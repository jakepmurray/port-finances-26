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sheetId="1" r:id="rId5"/>
    <sheet state="visible" name="Events" sheetId="2" r:id="rId6"/>
    <sheet state="visible" name="Attendance" sheetId="3" r:id="rId7"/>
    <sheet state="visible" name="Transactions" sheetId="4" r:id="rId8"/>
    <sheet state="visible" name="Nationals Fundraising" sheetId="5" r:id="rId9"/>
    <sheet state="visible" name="Player Balances" sheetId="6" r:id="rId10"/>
    <sheet state="visible" name="Pending Approval" sheetId="7" r:id="rId11"/>
    <sheet state="visible" name="Dashboard" sheetId="8" r:id="rId12"/>
    <sheet state="visible" name="Key &amp; Instructions" sheetId="9" r:id="rId13"/>
    <sheet state="visible" name="Access Codes" sheetId="10" r:id="rId14"/>
    <sheet state="visible" name="Settings" sheetId="11" r:id="rId15"/>
    <sheet state="visible" name="Retreat Expenses" sheetId="12" r:id="rId16"/>
    <sheet state="visible" name="Documentation" sheetId="13" r:id="rId17"/>
  </sheets>
  <definedNames/>
  <calcPr/>
</workbook>
</file>

<file path=xl/sharedStrings.xml><?xml version="1.0" encoding="utf-8"?>
<sst xmlns="http://schemas.openxmlformats.org/spreadsheetml/2006/main" count="1548" uniqueCount="519">
  <si>
    <t xml:space="preserve"> </t>
  </si>
  <si>
    <t>TRANSACTIONS â€” All Money In &amp; Out</t>
  </si>
  <si>
    <t>ROSTER - Ultimate Frisbee Team</t>
  </si>
  <si>
    <t>ATTENDANCE TRACKER</t>
  </si>
  <si>
    <t>Event Name</t>
  </si>
  <si>
    <t>Start Date</t>
  </si>
  <si>
    <t>End Date</t>
  </si>
  <si>
    <t>Category</t>
  </si>
  <si>
    <t>Location</t>
  </si>
  <si>
    <t>Budgeted Cost ($)</t>
  </si>
  <si>
    <t>Actual Cost ($)</t>
  </si>
  <si>
    <t>Split Method</t>
  </si>
  <si>
    <t>Season Group</t>
  </si>
  <si>
    <t>May-July Fields</t>
  </si>
  <si>
    <t>03/15/2025</t>
  </si>
  <si>
    <t>Practice</t>
  </si>
  <si>
    <t>Dan Marino</t>
  </si>
  <si>
    <t>Full Name</t>
  </si>
  <si>
    <t>Dues Amount ($)</t>
  </si>
  <si>
    <t>Dues Paid?</t>
  </si>
  <si>
    <t>Role</t>
  </si>
  <si>
    <t>Status</t>
  </si>
  <si>
    <t>Notes</t>
  </si>
  <si>
    <t>Guest Of</t>
  </si>
  <si>
    <t>Attendance</t>
  </si>
  <si>
    <t>In-Season 2026</t>
  </si>
  <si>
    <t>PEC</t>
  </si>
  <si>
    <t>Tournament</t>
  </si>
  <si>
    <t>Browns Summit</t>
  </si>
  <si>
    <t>Total In</t>
  </si>
  <si>
    <t>SFI</t>
  </si>
  <si>
    <t>Holiday Inn Downtown</t>
  </si>
  <si>
    <t>Total Out</t>
  </si>
  <si>
    <t>Net Balance</t>
  </si>
  <si>
    <t>Avg Transaction</t>
  </si>
  <si>
    <t>Pending</t>
  </si>
  <si>
    <t>Natties Watch Party</t>
  </si>
  <si>
    <t>Fundraiser</t>
  </si>
  <si>
    <t>Goodlander</t>
  </si>
  <si>
    <t>Pre-Season 2026</t>
  </si>
  <si>
    <t>Fantapalooza</t>
  </si>
  <si>
    <t>2025 Fundraising</t>
  </si>
  <si>
    <t>Mult.</t>
  </si>
  <si>
    <t>GHP Sessions</t>
  </si>
  <si>
    <t>Event</t>
  </si>
  <si>
    <t>GHP</t>
  </si>
  <si>
    <t>ESC</t>
  </si>
  <si>
    <t>Sectionals</t>
  </si>
  <si>
    <t>Regionals</t>
  </si>
  <si>
    <t>Retreat</t>
  </si>
  <si>
    <t>Misc</t>
  </si>
  <si>
    <t>Nationals</t>
  </si>
  <si>
    <t>Fan Stores</t>
  </si>
  <si>
    <t>Date</t>
  </si>
  <si>
    <t>Description</t>
  </si>
  <si>
    <t>Type</t>
  </si>
  <si>
    <t>Paid By</t>
  </si>
  <si>
    <t>Amount ($)</t>
  </si>
  <si>
    <t>Linked Event</t>
  </si>
  <si>
    <t>Reimbursed To</t>
  </si>
  <si>
    <t>Cost per Attendee ($)</t>
  </si>
  <si>
    <t>PEC Bid Fee</t>
  </si>
  <si>
    <t>Tournament Fee</t>
  </si>
  <si>
    <t>Expense</t>
  </si>
  <si>
    <t>Jake Murray</t>
  </si>
  <si>
    <t>Cleared</t>
  </si>
  <si>
    <t>Paid $75</t>
  </si>
  <si>
    <t>SFI Bid Fee</t>
  </si>
  <si>
    <t>Fundraiser Income</t>
  </si>
  <si>
    <t>Outstanding 2025 Funds</t>
  </si>
  <si>
    <t>Wednesday Tryout Field</t>
  </si>
  <si>
    <t>Field Fee</t>
  </si>
  <si>
    <t>tshirts and spray paint</t>
  </si>
  <si>
    <t>Equipment</t>
  </si>
  <si>
    <t>Jenna Nold</t>
  </si>
  <si>
    <t>gso airport minivan</t>
  </si>
  <si>
    <t>Travel</t>
  </si>
  <si>
    <t>City Practice Fields</t>
  </si>
  <si>
    <t>Income</t>
  </si>
  <si>
    <t>Chris Wohl Dues</t>
  </si>
  <si>
    <t>Dues</t>
  </si>
  <si>
    <t>Chris Wohl</t>
  </si>
  <si>
    <t>pec megavan</t>
  </si>
  <si>
    <t>Harry Park</t>
  </si>
  <si>
    <t>Will sort it out amongst passengers once final costs are finalized</t>
  </si>
  <si>
    <t>PEC Hotel</t>
  </si>
  <si>
    <t>Hotel</t>
  </si>
  <si>
    <t>Shani Rosenthal</t>
  </si>
  <si>
    <t>Nick Van Team Comp</t>
  </si>
  <si>
    <t>Credit</t>
  </si>
  <si>
    <t>Nick Blair</t>
  </si>
  <si>
    <t>Not sure if this amount is correct</t>
  </si>
  <si>
    <t>gso minivan gas</t>
  </si>
  <si>
    <t>jake murray</t>
  </si>
  <si>
    <t>Jake's Car Airport Parking</t>
  </si>
  <si>
    <t>Player Name</t>
  </si>
  <si>
    <t>Lexie dues</t>
  </si>
  <si>
    <t>Lexie Thomas</t>
  </si>
  <si>
    <t>Vivian dues</t>
  </si>
  <si>
    <t>Vivian Shen</t>
  </si>
  <si>
    <t>Dudley dues</t>
  </si>
  <si>
    <t>Kristin Dudley</t>
  </si>
  <si>
    <t>Graber dues</t>
  </si>
  <si>
    <t>Rachel Graber</t>
  </si>
  <si>
    <t>Kasey dues</t>
  </si>
  <si>
    <t>Kasey Schock</t>
  </si>
  <si>
    <t>Haleydues</t>
  </si>
  <si>
    <t>Haley Young</t>
  </si>
  <si>
    <t>Sarah kh dues</t>
  </si>
  <si>
    <t>Sarah Kingsley-Hart</t>
  </si>
  <si>
    <t>Jimmy dues</t>
  </si>
  <si>
    <t>Jimmy Towle</t>
  </si>
  <si>
    <t>Kevin Nicholl</t>
  </si>
  <si>
    <t>Pat dues</t>
  </si>
  <si>
    <t>Patrick McMullen</t>
  </si>
  <si>
    <t>Ward dues</t>
  </si>
  <si>
    <t>Ryan Ward</t>
  </si>
  <si>
    <t>PEC Team Snacks</t>
  </si>
  <si>
    <t>Darra Reppermund</t>
  </si>
  <si>
    <t>Toll Credit</t>
  </si>
  <si>
    <t>Jake murray</t>
  </si>
  <si>
    <t>ESC Bid Fee</t>
  </si>
  <si>
    <t>Kindell Dues</t>
  </si>
  <si>
    <t>Ryan Kindell</t>
  </si>
  <si>
    <t>Darra Dues</t>
  </si>
  <si>
    <t>SD Card</t>
  </si>
  <si>
    <t>Cost per Person ($) [auto]</t>
  </si>
  <si>
    <t>Chris wohl Dues</t>
  </si>
  <si>
    <t>SFI Team snacks</t>
  </si>
  <si>
    <t>SFI Hotels</t>
  </si>
  <si>
    <t>Griffin O'Neal-Freeman</t>
  </si>
  <si>
    <t>Mega Van Tolls</t>
  </si>
  <si>
    <t>Practice Fields thru July</t>
  </si>
  <si>
    <t>Post-SFI Reimbursement</t>
  </si>
  <si>
    <t>Reimbursement</t>
  </si>
  <si>
    <t>Griffin Dues</t>
  </si>
  <si>
    <t>AT Dues</t>
  </si>
  <si>
    <t>At</t>
  </si>
  <si>
    <t>Kev Dues</t>
  </si>
  <si>
    <t>Sectionals Bid Fee</t>
  </si>
  <si>
    <t>ESC Hotel</t>
  </si>
  <si>
    <t>Camera Gear</t>
  </si>
  <si>
    <t>ESC Team Snacks</t>
  </si>
  <si>
    <t>BBQ Food</t>
  </si>
  <si>
    <t>Refund</t>
  </si>
  <si>
    <t>Dylan Best</t>
  </si>
  <si>
    <t>August Fan Store</t>
  </si>
  <si>
    <t>Sarah KH Car Credit</t>
  </si>
  <si>
    <t>Lucius Christie</t>
  </si>
  <si>
    <t>PEC Pooled Car Fees</t>
  </si>
  <si>
    <t>SFI Pooled Car Fees</t>
  </si>
  <si>
    <t>ESC Pooled Car Fees</t>
  </si>
  <si>
    <t>Kindell gas + tolls</t>
  </si>
  <si>
    <t>Jake's Car Gas &amp; Tolls</t>
  </si>
  <si>
    <t>Haley Car Gas &amp; tolls</t>
  </si>
  <si>
    <t>Kasey's car fri only gas &amp; tolls</t>
  </si>
  <si>
    <t>Griffin Car SFI Gas</t>
  </si>
  <si>
    <t>DB Car ESC Gas</t>
  </si>
  <si>
    <t>Dick car ESC gas</t>
  </si>
  <si>
    <t>Ryan Birchard</t>
  </si>
  <si>
    <t>Harry Gas</t>
  </si>
  <si>
    <t>Annette car gas ESC</t>
  </si>
  <si>
    <t>Annette Kukunas-Piper</t>
  </si>
  <si>
    <t>Retreat - AirBNB</t>
  </si>
  <si>
    <t>Other</t>
  </si>
  <si>
    <t>Retreat - Duffy</t>
  </si>
  <si>
    <t>Matt Duffy</t>
  </si>
  <si>
    <t>Retreat - Slynch</t>
  </si>
  <si>
    <t>Sarah Lynch</t>
  </si>
  <si>
    <t>Retreat - Annette</t>
  </si>
  <si>
    <t>Retreat - Dudley</t>
  </si>
  <si>
    <t>Retreat - Ian</t>
  </si>
  <si>
    <t>Ian Piper</t>
  </si>
  <si>
    <t>Retreat - Tofu</t>
  </si>
  <si>
    <t>Alex Warrington</t>
  </si>
  <si>
    <t>Retreat - Griff</t>
  </si>
  <si>
    <t>Retreat - Full Cost</t>
  </si>
  <si>
    <t>Retreat - Air Mattress</t>
  </si>
  <si>
    <t>Retreat - One Night</t>
  </si>
  <si>
    <t>Random Venmo Donations</t>
  </si>
  <si>
    <t>Total</t>
  </si>
  <si>
    <t>Cork Harbor Event</t>
  </si>
  <si>
    <t>Mike Y</t>
  </si>
  <si>
    <t>Note</t>
  </si>
  <si>
    <t>From</t>
  </si>
  <si>
    <t>To</t>
  </si>
  <si>
    <t>Amount (total)</t>
  </si>
  <si>
    <t>Total Venmo From Cork Harbor</t>
  </si>
  <si>
    <t>Justin Murray</t>
  </si>
  <si>
    <t>Kira and taha anime pig shirt</t>
  </si>
  <si>
    <t>Kira Udyawar</t>
  </si>
  <si>
    <t>Jacob Murray</t>
  </si>
  <si>
    <t>+ $40.00</t>
  </si>
  <si>
    <t>Jeannine Opie</t>
  </si>
  <si>
    <t>Oink oink San Diego</t>
  </si>
  <si>
    <t>Charles Forster</t>
  </si>
  <si>
    <t>+ $20.00</t>
  </si>
  <si>
    <t>Lily Nong</t>
  </si>
  <si>
    <t>馃</t>
  </si>
  <si>
    <t>Jesse Puglin</t>
  </si>
  <si>
    <t>Drew Rose</t>
  </si>
  <si>
    <t>Port sticker</t>
  </si>
  <si>
    <t>Sophie Smith</t>
  </si>
  <si>
    <t>+ $1.00</t>
  </si>
  <si>
    <t>raffle!</t>
  </si>
  <si>
    <t>Raffle</t>
  </si>
  <si>
    <t>Shannon Haupt</t>
  </si>
  <si>
    <t>+ $10.00</t>
  </si>
  <si>
    <t>Ticket</t>
  </si>
  <si>
    <t>Quincy Washington</t>
  </si>
  <si>
    <t xml:space="preserve">Taha </t>
  </si>
  <si>
    <t>T shirt 2</t>
  </si>
  <si>
    <t>Lily Nguyen</t>
  </si>
  <si>
    <t>Kira</t>
  </si>
  <si>
    <t>GoFundMe</t>
  </si>
  <si>
    <t>Tshirt</t>
  </si>
  <si>
    <t>Lily</t>
  </si>
  <si>
    <t>Griffin</t>
  </si>
  <si>
    <t>馃惙馃惙</t>
  </si>
  <si>
    <t>Harrison Findley</t>
  </si>
  <si>
    <t>+ $25.00</t>
  </si>
  <si>
    <t>Retreat - Last Minute Drop</t>
  </si>
  <si>
    <t>Kindell</t>
  </si>
  <si>
    <t>Earrings and sticker</t>
  </si>
  <si>
    <t>Katie Spence</t>
  </si>
  <si>
    <t>+ $6.00</t>
  </si>
  <si>
    <t>Ben</t>
  </si>
  <si>
    <t>Port Fundraiser</t>
  </si>
  <si>
    <t>Daniel McGann</t>
  </si>
  <si>
    <t>Madi</t>
  </si>
  <si>
    <t>Harrison</t>
  </si>
  <si>
    <t>馃殞</t>
  </si>
  <si>
    <t>Nayana Suvarna</t>
  </si>
  <si>
    <t>Jesse</t>
  </si>
  <si>
    <t>Frisbe</t>
  </si>
  <si>
    <t>Swapnil Pande</t>
  </si>
  <si>
    <t>Josh</t>
  </si>
  <si>
    <t>T-shirt and sticker</t>
  </si>
  <si>
    <t>Ben Meyers</t>
  </si>
  <si>
    <t>+ $21.00</t>
  </si>
  <si>
    <t>Henry Braun</t>
  </si>
  <si>
    <t>+ $5.00</t>
  </si>
  <si>
    <t>馃惙</t>
  </si>
  <si>
    <t>+ $2.00</t>
  </si>
  <si>
    <t>Stickers</t>
  </si>
  <si>
    <t>+ $3.00</t>
  </si>
  <si>
    <t>Stickerrr</t>
  </si>
  <si>
    <t>Taha Udyawar</t>
  </si>
  <si>
    <t>Port raffle</t>
  </si>
  <si>
    <t>Tickets!</t>
  </si>
  <si>
    <t>Pork</t>
  </si>
  <si>
    <t>Kara Mariani</t>
  </si>
  <si>
    <t>Armspan</t>
  </si>
  <si>
    <t>Joseph Merante</t>
  </si>
  <si>
    <t>Priyanka Tewani</t>
  </si>
  <si>
    <t>Pig earring and raffle tickets</t>
  </si>
  <si>
    <t>Makenzie Priest</t>
  </si>
  <si>
    <t>+ $23.00</t>
  </si>
  <si>
    <t>Raffle and pig earrings</t>
  </si>
  <si>
    <t>12 tix</t>
  </si>
  <si>
    <t>Celeste Picone</t>
  </si>
  <si>
    <t>Wingspan</t>
  </si>
  <si>
    <t>Claire Stout</t>
  </si>
  <si>
    <t>Pork authority anime pig shirt</t>
  </si>
  <si>
    <t>Madi Pisone</t>
  </si>
  <si>
    <t>John Michel</t>
  </si>
  <si>
    <t>Svetlana Romanova</t>
  </si>
  <si>
    <t>Port raffle and things</t>
  </si>
  <si>
    <t>+ $24.00</t>
  </si>
  <si>
    <t>Cash from Kasey</t>
  </si>
  <si>
    <t>Venmo</t>
  </si>
  <si>
    <t>Tanner Fitzgerald</t>
  </si>
  <si>
    <t>+ $280.00</t>
  </si>
  <si>
    <t>Retreat - Drop</t>
  </si>
  <si>
    <t>Jenna Dues</t>
  </si>
  <si>
    <t>Post-ESC Reimbursement</t>
  </si>
  <si>
    <t>Kevin car gas</t>
  </si>
  <si>
    <t>PLAYER BALANCES - Individual Ledger</t>
  </si>
  <si>
    <t>Total Owed TO Team</t>
  </si>
  <si>
    <t>Total Owed BY Team</t>
  </si>
  <si>
    <t>Net</t>
  </si>
  <si>
    <t>Settled</t>
  </si>
  <si>
    <t>Unsettled</t>
  </si>
  <si>
    <t>Total Charged ($)</t>
  </si>
  <si>
    <t>Total Paid ($)</t>
  </si>
  <si>
    <t>Paid Upfront For Team ($)</t>
  </si>
  <si>
    <t>Net Balance ($)</t>
  </si>
  <si>
    <t>Credits Applied ($)</t>
  </si>
  <si>
    <t xml:space="preserve">Kevin car gas </t>
  </si>
  <si>
    <t>Kindell car gas + tolls</t>
  </si>
  <si>
    <t>Kindell car gas (return trip)</t>
  </si>
  <si>
    <t>Pool Party Pizza</t>
  </si>
  <si>
    <t>Sectionals team snacks</t>
  </si>
  <si>
    <t>Regionals team snacks</t>
  </si>
  <si>
    <t>Regionals Hotels</t>
  </si>
  <si>
    <t>Regionals laundry</t>
  </si>
  <si>
    <t>Shani Car Gas</t>
  </si>
  <si>
    <t>Shani Car Tolls</t>
  </si>
  <si>
    <t>Shani Car Parking</t>
  </si>
  <si>
    <t>Kasey SFI &amp; ESC Hotel Credit</t>
  </si>
  <si>
    <t>Adjustment</t>
  </si>
  <si>
    <t>Nationals Bid Fee</t>
  </si>
  <si>
    <t>Kit Dues</t>
  </si>
  <si>
    <t>Kit Asterin</t>
  </si>
  <si>
    <t>Graber Dues</t>
  </si>
  <si>
    <t>Sarah KH Dues</t>
  </si>
  <si>
    <t>Lexie Dues</t>
  </si>
  <si>
    <t>Slynch Car Gas</t>
  </si>
  <si>
    <t>Slynch Dues</t>
  </si>
  <si>
    <t>Regionals Bid Fee</t>
  </si>
  <si>
    <t>Haley Dues</t>
  </si>
  <si>
    <t>PORT AUTHORITY - PENDING EXPENSE APPROVAL</t>
  </si>
  <si>
    <t>Chris Dues</t>
  </si>
  <si>
    <t>Fill in rows below for expenses you paid out of pocket. Do NOT edit the Approved? column.</t>
  </si>
  <si>
    <t>Approved?</t>
  </si>
  <si>
    <t>Sarah KH PEC Car</t>
  </si>
  <si>
    <t>Venmo Donations</t>
  </si>
  <si>
    <t>Car Fee</t>
  </si>
  <si>
    <t>Waiting till all car costs are in to add. Credit will be applied against dues.</t>
  </si>
  <si>
    <t>PEC Total Car fees</t>
  </si>
  <si>
    <t>Cork Harbor Venmo</t>
  </si>
  <si>
    <t>Haley</t>
  </si>
  <si>
    <t>Kasey</t>
  </si>
  <si>
    <t>SFI Total Car fees</t>
  </si>
  <si>
    <t>DB</t>
  </si>
  <si>
    <t>Dick</t>
  </si>
  <si>
    <t>ESC Total Car fees</t>
  </si>
  <si>
    <t>Annette</t>
  </si>
  <si>
    <t>GoFundMe Donations</t>
  </si>
  <si>
    <t>Slynch</t>
  </si>
  <si>
    <t>Kasey Dues</t>
  </si>
  <si>
    <t>Shani Reimbursement</t>
  </si>
  <si>
    <t>Ian Dues</t>
  </si>
  <si>
    <t>Ward Dues</t>
  </si>
  <si>
    <t>Dudley Dues</t>
  </si>
  <si>
    <t>Annette Dues</t>
  </si>
  <si>
    <t>Pat Dues</t>
  </si>
  <si>
    <t>Harry Dues</t>
  </si>
  <si>
    <t>Duffy Dues</t>
  </si>
  <si>
    <t>October Fan Store</t>
  </si>
  <si>
    <t/>
  </si>
  <si>
    <t>Total Attendees</t>
  </si>
  <si>
    <t>Total Cost ($)</t>
  </si>
  <si>
    <t>X</t>
  </si>
  <si>
    <t>DASHBOARD â€” Auto-calculated Summary (Website reads this)</t>
  </si>
  <si>
    <t>TEAM OVERVIEW</t>
  </si>
  <si>
    <t>Total Players</t>
  </si>
  <si>
    <t>Active Players</t>
  </si>
  <si>
    <t>Coaches/Staff</t>
  </si>
  <si>
    <t>Captains</t>
  </si>
  <si>
    <t>FINANCES</t>
  </si>
  <si>
    <t>Total Dues Owed</t>
  </si>
  <si>
    <t>Total Dues Collected</t>
  </si>
  <si>
    <t>Dues Outstanding</t>
  </si>
  <si>
    <t>Total Income</t>
  </si>
  <si>
    <t>Total Expenses</t>
  </si>
  <si>
    <t>Pending Transactions</t>
  </si>
  <si>
    <t>EVENTS</t>
  </si>
  <si>
    <t>Total Events</t>
  </si>
  <si>
    <t>Practices</t>
  </si>
  <si>
    <t>Tournaments</t>
  </si>
  <si>
    <t>Fundraisers</t>
  </si>
  <si>
    <t>Total Budgeted</t>
  </si>
  <si>
    <t>Total Actual Spend</t>
  </si>
  <si>
    <t>Budget Variance</t>
  </si>
  <si>
    <t>KEY &amp; INSTRUCTIONS</t>
  </si>
  <si>
    <t>COLOR CODING</t>
  </si>
  <si>
    <t>Blue text</t>
  </si>
  <si>
    <t>Enter data here â€” these are your inputs</t>
  </si>
  <si>
    <t>Black text (formula)</t>
  </si>
  <si>
    <t>Auto-calculated â€” do not edit</t>
  </si>
  <si>
    <t>Green text</t>
  </si>
  <si>
    <t>Pulls from another sheet â€” do not edit</t>
  </si>
  <si>
    <t>ACCESS CODES</t>
  </si>
  <si>
    <t>Access codes</t>
  </si>
  <si>
    <t>Set unique codes in the 'Access Codes' tab. Share each player's code only with them.</t>
  </si>
  <si>
    <t>Player view</t>
  </si>
  <si>
    <t>Players enter their code â†’ see only their own dues, balance, attendance</t>
  </si>
  <si>
    <t>Captain view</t>
  </si>
  <si>
    <t>Captains enter their code â†’ see full roster balances, event attendance summary</t>
  </si>
  <si>
    <t>Coach/Treasurer</t>
  </si>
  <si>
    <t>Full dashboard: all finances, all player balances, all transactions</t>
  </si>
  <si>
    <t>ATTENDANCE</t>
  </si>
  <si>
    <t>1 = Attended | 0 = Absent | X = Exempt</t>
  </si>
  <si>
    <t>Player was present</t>
  </si>
  <si>
    <t>N = Absent</t>
  </si>
  <si>
    <t>Player did not attend</t>
  </si>
  <si>
    <t>X = Exempt â€” absent but excused/exempt from cost</t>
  </si>
  <si>
    <t>Absent but excused â€” may waive cost</t>
  </si>
  <si>
    <t>Row 4 in Attendance is auto-calculated from Events (Actual Cost Ã· attendees for "Attendance" events; Ã· roster size for "Equal Split" events)</t>
  </si>
  <si>
    <t>Row 6 in Attendance sheet â€” enter per-event cost, auto-calculates totals</t>
  </si>
  <si>
    <t>WORKFLOW</t>
  </si>
  <si>
    <t>1. Roster</t>
  </si>
  <si>
    <t>Add all players/coaches, set unique access codes, set dues amounts</t>
  </si>
  <si>
    <t>2. Events</t>
  </si>
  <si>
    <t>Log every event with budget and actual cost</t>
  </si>
  <si>
    <t>3. Attendance</t>
  </si>
  <si>
    <t>Mark Y/N/E for each player per event; set cost per person in row 6</t>
  </si>
  <si>
    <t>4. Transactions</t>
  </si>
  <si>
    <t>Log all money in/out; link to events where possible</t>
  </si>
  <si>
    <t>5. Player Balances</t>
  </si>
  <si>
    <t>Update dues paid, event costs owed, upfront payments â€” net auto-calculates</t>
  </si>
  <si>
    <t>6. Dashboard</t>
  </si>
  <si>
    <t>Auto-updates â€” this is what the website displays</t>
  </si>
  <si>
    <t>7. Commit to GitHub</t>
  </si>
  <si>
    <t>Save file â†’ git add â†’ git commit â†’ git push â†’ website updates!</t>
  </si>
  <si>
    <t>SPLIT METHODS</t>
  </si>
  <si>
    <t>Equal Split</t>
  </si>
  <si>
    <t>Total cost Ã· all active players</t>
  </si>
  <si>
    <t>Total cost Ã· attendees only</t>
  </si>
  <si>
    <t>Custom</t>
  </si>
  <si>
    <t>Manual â€” enter individual amounts in Player Balances</t>
  </si>
  <si>
    <t>Team Pays</t>
  </si>
  <si>
    <t>Covered by team funds, no individual charge</t>
  </si>
  <si>
    <t>Individual Pays</t>
  </si>
  <si>
    <t>Person pays their own way, no reimbursement</t>
  </si>
  <si>
    <t>ðŸ”’  ACCESS CODES â€” TREASURER ONLY  ðŸ”’</t>
  </si>
  <si>
    <t>âš ï¸_x008f_  HIDE THIS SHEET BEFORE SHARING THE FILE WITH PLAYERS  âš ï¸_x008f_</t>
  </si>
  <si>
    <t>To hide: right-click this sheet tab â†’ 'Hide'.  To unhide: right-click any tab â†’ 'Unhide'.</t>
  </si>
  <si>
    <t>Access Code</t>
  </si>
  <si>
    <t>Notes / Share Method</t>
  </si>
  <si>
    <t>TA</t>
  </si>
  <si>
    <t>Captain</t>
  </si>
  <si>
    <t>Active</t>
  </si>
  <si>
    <t>AW</t>
  </si>
  <si>
    <t>Player</t>
  </si>
  <si>
    <t>CW</t>
  </si>
  <si>
    <t>DR</t>
  </si>
  <si>
    <t>GOF</t>
  </si>
  <si>
    <t>HY</t>
  </si>
  <si>
    <t>HP</t>
  </si>
  <si>
    <t>IP</t>
  </si>
  <si>
    <t>Treasurer</t>
  </si>
  <si>
    <t>NJ</t>
  </si>
  <si>
    <t>JT</t>
  </si>
  <si>
    <t>Kailey Rugani</t>
  </si>
  <si>
    <t>KR</t>
  </si>
  <si>
    <t>KS</t>
  </si>
  <si>
    <t>KN</t>
  </si>
  <si>
    <t>AK</t>
  </si>
  <si>
    <t>KD</t>
  </si>
  <si>
    <t>LT</t>
  </si>
  <si>
    <t>Lucas Jones</t>
  </si>
  <si>
    <t>LJ</t>
  </si>
  <si>
    <t>Max Sheppard</t>
  </si>
  <si>
    <t>MS</t>
  </si>
  <si>
    <t>LC</t>
  </si>
  <si>
    <t>PM</t>
  </si>
  <si>
    <t>RG</t>
  </si>
  <si>
    <t>RK</t>
  </si>
  <si>
    <t>RW</t>
  </si>
  <si>
    <t>Sam Gombiner</t>
  </si>
  <si>
    <t>SG</t>
  </si>
  <si>
    <t>SKH</t>
  </si>
  <si>
    <t>SL</t>
  </si>
  <si>
    <t>SR</t>
  </si>
  <si>
    <t>VS</t>
  </si>
  <si>
    <t>Zach Esakof</t>
  </si>
  <si>
    <t>ZE</t>
  </si>
  <si>
    <t>KA</t>
  </si>
  <si>
    <t>Coach</t>
  </si>
  <si>
    <t>DM</t>
  </si>
  <si>
    <t>BR</t>
  </si>
  <si>
    <t>NB</t>
  </si>
  <si>
    <t>Support</t>
  </si>
  <si>
    <t>LN</t>
  </si>
  <si>
    <t>Griff Soren</t>
  </si>
  <si>
    <t>GS</t>
  </si>
  <si>
    <t>Griff Alice</t>
  </si>
  <si>
    <t>GA</t>
  </si>
  <si>
    <t>ðŸ’¡ Tip: Codes can be anything â€” e.g. initials + jersey # + year.  Make them easy to remember but hard to guess.</t>
  </si>
  <si>
    <t>PORT AUTHORITY - VIEW SETTINGS (TREASURER ONLY)</t>
  </si>
  <si>
    <t>Set "Show in Player View?" to Yes/No to control which events appear in the player My Balance breakdown.</t>
  </si>
  <si>
    <t>Show in Player View?</t>
  </si>
  <si>
    <t>No</t>
  </si>
  <si>
    <t>Tryouts, scrimmages, early practices</t>
  </si>
  <si>
    <t>Yes</t>
  </si>
  <si>
    <t>Tournaments and regular season events</t>
  </si>
  <si>
    <t>Airbnb costs</t>
  </si>
  <si>
    <t>Duffy beer</t>
  </si>
  <si>
    <t>Slynch Beer</t>
  </si>
  <si>
    <t>Annette Beer</t>
  </si>
  <si>
    <t>Dudley Beer</t>
  </si>
  <si>
    <t>Ian Beer</t>
  </si>
  <si>
    <t>Tofu Beer</t>
  </si>
  <si>
    <t>Griff food</t>
  </si>
  <si>
    <t>Dudley Food</t>
  </si>
  <si>
    <t>Total pp</t>
  </si>
  <si>
    <t>Tier 1 - Full</t>
  </si>
  <si>
    <t>Tier 2 - Air Mattress</t>
  </si>
  <si>
    <t>Tier 3 - One Night</t>
  </si>
  <si>
    <t>Tier 4 - Last Minute Drop</t>
  </si>
  <si>
    <t>Tier 5 - Drop</t>
  </si>
  <si>
    <t>Total Tier 1:</t>
  </si>
  <si>
    <t>Total Tier 2:</t>
  </si>
  <si>
    <t>Total Tier 3:</t>
  </si>
  <si>
    <t>Total Tier 4:</t>
  </si>
  <si>
    <t>Total Tier 5:</t>
  </si>
  <si>
    <t>air mattress</t>
  </si>
  <si>
    <t>AT</t>
  </si>
  <si>
    <t>Db</t>
  </si>
  <si>
    <t>Dudley</t>
  </si>
  <si>
    <t>Duffy</t>
  </si>
  <si>
    <t>Ian</t>
  </si>
  <si>
    <t>Jake</t>
  </si>
  <si>
    <t>Jimmy</t>
  </si>
  <si>
    <t>Kit</t>
  </si>
  <si>
    <t>Lexie</t>
  </si>
  <si>
    <t>Lucas</t>
  </si>
  <si>
    <t>lucius christie</t>
  </si>
  <si>
    <t>Nick</t>
  </si>
  <si>
    <t>PatMac!</t>
  </si>
  <si>
    <t>Ringo</t>
  </si>
  <si>
    <t>Vivian</t>
  </si>
  <si>
    <t>Kailey</t>
  </si>
  <si>
    <t>Shani</t>
  </si>
  <si>
    <t>Sarah</t>
  </si>
  <si>
    <t>Donations</t>
  </si>
  <si>
    <t>Jake, we’d like to use all the fundraising money for nationals except for $1,000 so there’s something to start next season. For fundraising, after it’s allocated for people who need assistance, we want that money to go directly split across the individual player bid fees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</si>
</sst>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0.00;($#,##0.00);&quot;-&quot;"/>
    <numFmt numFmtId="166" formatCode="m/d"/>
    <numFmt numFmtId="167" formatCode="&quot;$&quot;#,##0.00"/>
    <numFmt numFmtId="168" formatCode="m/d/yy"/>
    <numFmt numFmtId="169" formatCode="h:mm am/pm"/>
  </numFmts>
  <fonts count="39">
    <font>
      <sz val="11.0"/>
      <color theme="1"/>
      <name val="Arial"/>
      <scheme val="minor"/>
    </font>
    <font>
      <b/>
      <sz val="14.0"/>
      <color rgb="FFFFFFFF"/>
      <name val="Arial"/>
    </font>
    <font/>
    <font>
      <sz val="11.0"/>
      <color theme="1"/>
      <name val="Calibri"/>
    </font>
    <font>
      <b/>
      <sz val="10.0"/>
      <color rgb="FFFFFFFF"/>
      <name val="Arial"/>
    </font>
    <font>
      <b/>
      <sz val="11.0"/>
      <color rgb="FFFFFFFF"/>
      <name val="Arial"/>
    </font>
    <font>
      <sz val="10.0"/>
      <color rgb="FF000000"/>
      <name val="Arial"/>
    </font>
    <font>
      <sz val="10.0"/>
      <color rgb="FF0000FF"/>
      <name val="Arial"/>
    </font>
    <font>
      <sz val="10.0"/>
      <color rgb="FF008000"/>
      <name val="Arial"/>
    </font>
    <font>
      <sz val="11.0"/>
      <color rgb="FF1E293B"/>
      <name val="Arial"/>
    </font>
    <font>
      <b/>
      <sz val="10.0"/>
      <color rgb="FF1A3A5C"/>
      <name val="Arial"/>
    </font>
    <font>
      <i/>
      <sz val="9.0"/>
      <color rgb="FF0F766E"/>
      <name val="Arial"/>
    </font>
    <font>
      <sz val="10.0"/>
      <color rgb="FFCC0000"/>
      <name val="Arial"/>
    </font>
    <font>
      <b/>
      <sz val="10.0"/>
      <color rgb="FF000000"/>
      <name val="Arial"/>
    </font>
    <font>
      <color theme="1"/>
      <name val="Calibri"/>
    </font>
    <font>
      <i/>
      <sz val="9.0"/>
      <color rgb="FF334155"/>
      <name val="Arial"/>
    </font>
    <font>
      <b/>
      <color theme="1"/>
      <name val="Arial"/>
      <scheme val="minor"/>
    </font>
    <font>
      <color theme="1"/>
      <name val="Arial"/>
      <scheme val="minor"/>
    </font>
    <font>
      <sz val="10.0"/>
      <color theme="1"/>
      <name val="Arial"/>
    </font>
    <font>
      <i/>
      <color rgb="FF334155"/>
      <name val="Arial"/>
    </font>
    <font>
      <b/>
      <sz val="11.0"/>
      <color rgb="FF166534"/>
      <name val="Arial"/>
    </font>
    <font>
      <sz val="11.0"/>
      <color theme="1"/>
      <name val="Arial"/>
    </font>
    <font>
      <b/>
      <sz val="11.0"/>
      <color theme="1"/>
      <name val="Calibri"/>
    </font>
    <font>
      <color rgb="FF0000FF"/>
      <name val="Arial"/>
    </font>
    <font>
      <b/>
      <sz val="12.0"/>
      <color rgb="FFFFFFFF"/>
      <name val="Arial"/>
    </font>
    <font>
      <b/>
      <sz val="10.0"/>
      <color rgb="FF008000"/>
      <name val="Arial"/>
    </font>
    <font>
      <b/>
      <sz val="10.0"/>
      <color rgb="FF0000FF"/>
      <name val="Arial"/>
    </font>
    <font>
      <sz val="10.0"/>
      <color rgb="FF444444"/>
      <name val="Arial"/>
    </font>
    <font>
      <b/>
      <sz val="13.0"/>
      <color rgb="FFFFFFFF"/>
      <name val="Arial"/>
    </font>
    <font>
      <b/>
      <sz val="11.0"/>
      <color rgb="FF7B0000"/>
      <name val="Arial"/>
    </font>
    <font>
      <i/>
      <sz val="10.0"/>
      <color rgb="FF555555"/>
      <name val="Arial"/>
    </font>
    <font>
      <i/>
      <sz val="9.0"/>
      <color rgb="FF555555"/>
      <name val="Arial"/>
    </font>
    <font>
      <i/>
      <sz val="10.0"/>
      <color rgb="FF334155"/>
      <name val="Arial"/>
    </font>
    <font>
      <b/>
      <sz val="11.0"/>
      <color rgb="FF1E293B"/>
      <name val="Arial"/>
    </font>
    <font>
      <b/>
      <sz val="11.0"/>
      <color rgb="FFA32D2D"/>
      <name val="Arial"/>
    </font>
    <font>
      <i/>
      <sz val="11.0"/>
      <color rgb="FF64748B"/>
      <name val="Arial"/>
    </font>
    <font>
      <color theme="1"/>
      <name val="Arial"/>
    </font>
    <font>
      <b/>
      <color theme="1"/>
      <name val="Arial"/>
    </font>
    <font>
      <sz val="12.0"/>
      <color theme="1"/>
      <name val="&quot;gg sans&quot;"/>
    </font>
  </fonts>
  <fills count="20">
    <fill>
      <patternFill patternType="none"/>
    </fill>
    <fill>
      <patternFill patternType="lightGray"/>
    </fill>
    <fill>
      <patternFill patternType="solid">
        <fgColor rgb="FF1A3A5C"/>
        <bgColor rgb="FF1A3A5C"/>
      </patternFill>
    </fill>
    <fill>
      <patternFill patternType="solid">
        <fgColor rgb="FFB8860B"/>
        <bgColor rgb="FFB8860B"/>
      </patternFill>
    </fill>
    <fill>
      <patternFill patternType="solid">
        <fgColor rgb="FFFFFFFF"/>
        <bgColor rgb="FFFFFFFF"/>
      </patternFill>
    </fill>
    <fill>
      <patternFill patternType="solid">
        <fgColor rgb="FFD6E4F0"/>
        <bgColor rgb="FFD6E4F0"/>
      </patternFill>
    </fill>
    <fill>
      <patternFill patternType="solid">
        <fgColor rgb="FFF1F5F9"/>
        <bgColor rgb="FFF1F5F9"/>
      </patternFill>
    </fill>
    <fill>
      <patternFill patternType="solid">
        <fgColor rgb="FFF5F5F5"/>
        <bgColor rgb="FFF5F5F5"/>
      </patternFill>
    </fill>
    <fill>
      <patternFill patternType="solid">
        <fgColor rgb="FFCCFBF1"/>
        <bgColor rgb="FFCCFBF1"/>
      </patternFill>
    </fill>
    <fill>
      <patternFill patternType="solid">
        <fgColor rgb="FF0F766E"/>
        <bgColor rgb="FF0F766E"/>
      </patternFill>
    </fill>
    <fill>
      <patternFill patternType="solid">
        <fgColor rgb="FFE2E8F0"/>
        <bgColor rgb="FFE2E8F0"/>
      </patternFill>
    </fill>
    <fill>
      <patternFill patternType="solid">
        <fgColor rgb="FF1E3A5F"/>
        <bgColor rgb="FF1E3A5F"/>
      </patternFill>
    </fill>
    <fill>
      <patternFill patternType="solid">
        <fgColor rgb="FFDCFCE7"/>
        <bgColor rgb="FFDCFCE7"/>
      </patternFill>
    </fill>
    <fill>
      <patternFill patternType="solid">
        <fgColor rgb="FF7B0000"/>
        <bgColor rgb="FF7B0000"/>
      </patternFill>
    </fill>
    <fill>
      <patternFill patternType="solid">
        <fgColor rgb="FFFFE4E4"/>
        <bgColor rgb="FFFFE4E4"/>
      </patternFill>
    </fill>
    <fill>
      <patternFill patternType="solid">
        <fgColor rgb="FFFFF8F8"/>
        <bgColor rgb="FFFFF8F8"/>
      </patternFill>
    </fill>
    <fill>
      <patternFill patternType="solid">
        <fgColor rgb="FFF9F9F9"/>
        <bgColor rgb="FFF9F9F9"/>
      </patternFill>
    </fill>
    <fill>
      <patternFill patternType="solid">
        <fgColor rgb="FFFFF0F0"/>
        <bgColor rgb="FFFFF0F0"/>
      </patternFill>
    </fill>
    <fill>
      <patternFill patternType="solid">
        <fgColor rgb="FFF8F9FA"/>
        <bgColor rgb="FFF8F9FA"/>
      </patternFill>
    </fill>
    <fill>
      <patternFill patternType="solid">
        <fgColor rgb="FFF4CCCC"/>
        <bgColor rgb="FFF4CCCC"/>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CCCCCC"/>
      </bottom>
    </border>
    <border>
      <top style="thin">
        <color rgb="FF000000"/>
      </top>
      <bottom style="thin">
        <color rgb="FFCCCCCC"/>
      </bottom>
    </border>
    <border>
      <right style="thin">
        <color rgb="FFCCCCCC"/>
      </right>
      <top style="thin">
        <color rgb="FF000000"/>
      </top>
      <bottom style="thin">
        <color rgb="FFCCCCCC"/>
      </bottom>
    </border>
    <border>
      <bottom style="medium">
        <color rgb="FFC0C0C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bottom style="thin">
        <color rgb="FFE2E8F0"/>
      </bottom>
    </border>
    <border>
      <left style="thin">
        <color rgb="FFCCCCCC"/>
      </left>
      <right style="thin">
        <color rgb="FFCCCCCC"/>
      </right>
      <top style="thin">
        <color rgb="FFCCCCCC"/>
      </top>
      <bottom style="thin">
        <color rgb="FFCCCCCC"/>
      </bottom>
    </border>
    <border>
      <left/>
      <top/>
      <bottom/>
    </border>
    <border>
      <top/>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2" fontId="3" numFmtId="0" xfId="0" applyBorder="1" applyFill="1" applyFont="1"/>
    <xf borderId="0" fillId="0" fontId="3" numFmtId="0" xfId="0" applyFont="1"/>
    <xf borderId="5" fillId="2" fontId="1" numFmtId="0" xfId="0" applyAlignment="1" applyBorder="1" applyFill="1" applyFont="1">
      <alignment horizontal="center" vertical="center"/>
    </xf>
    <xf borderId="6" fillId="0" fontId="2" numFmtId="0" xfId="0" applyBorder="1" applyFont="1"/>
    <xf borderId="4" fillId="2" fontId="4" numFmtId="0" xfId="0" applyAlignment="1" applyBorder="1" applyFill="1" applyFont="1">
      <alignment horizontal="center" vertical="center"/>
    </xf>
    <xf borderId="7" fillId="0" fontId="2" numFmtId="0" xfId="0" applyBorder="1" applyFont="1"/>
    <xf borderId="8" fillId="3" fontId="5" numFmtId="0" xfId="0" applyAlignment="1" applyBorder="1" applyFill="1" applyFont="1">
      <alignment horizontal="center" shrinkToFit="0" vertical="center" wrapText="1"/>
    </xf>
    <xf borderId="4" fillId="0" fontId="6" numFmtId="0" xfId="0" applyAlignment="1" applyBorder="1" applyFont="1">
      <alignment horizontal="left" vertical="center"/>
    </xf>
    <xf borderId="4" fillId="0" fontId="6" numFmtId="164" xfId="0" applyAlignment="1" applyBorder="1" applyFont="1" applyNumberFormat="1">
      <alignment horizontal="left" vertical="center"/>
    </xf>
    <xf borderId="2" fillId="2" fontId="1" numFmtId="0" xfId="0" applyAlignment="1" applyBorder="1" applyFill="1" applyFont="1">
      <alignment horizontal="center" vertical="center"/>
    </xf>
    <xf borderId="4" fillId="0" fontId="7" numFmtId="165" xfId="0" applyAlignment="1" applyBorder="1" applyFont="1" applyNumberFormat="1">
      <alignment horizontal="left" vertical="center"/>
    </xf>
    <xf borderId="2" fillId="2" fontId="1" numFmtId="0" xfId="0" applyAlignment="1" applyBorder="1" applyFill="1" applyFont="1">
      <alignment horizontal="center" readingOrder="0" vertical="center"/>
    </xf>
    <xf borderId="3" fillId="2" fontId="1" numFmtId="0" xfId="0" applyAlignment="1" applyBorder="1" applyFill="1" applyFont="1">
      <alignment horizontal="center" readingOrder="0" vertical="center"/>
    </xf>
    <xf borderId="4" fillId="2" fontId="3" numFmtId="0" xfId="0" applyAlignment="1" applyBorder="1" applyFill="1" applyFont="1">
      <alignment readingOrder="0"/>
    </xf>
    <xf borderId="9" fillId="2" fontId="1" numFmtId="0" xfId="0" applyAlignment="1" applyBorder="1" applyFill="1" applyFont="1">
      <alignment horizontal="center" vertical="center"/>
    </xf>
    <xf borderId="10" fillId="0" fontId="2" numFmtId="0" xfId="0" applyBorder="1" applyFont="1"/>
    <xf borderId="11" fillId="0" fontId="2" numFmtId="0" xfId="0" applyBorder="1" applyFont="1"/>
    <xf borderId="1" fillId="2" fontId="1" numFmtId="0" xfId="0" applyAlignment="1" applyBorder="1" applyFill="1" applyFont="1">
      <alignment horizontal="center" readingOrder="0" vertical="center"/>
    </xf>
    <xf borderId="4" fillId="0" fontId="8" numFmtId="165" xfId="0" applyAlignment="1" applyBorder="1" applyFont="1" applyNumberFormat="1">
      <alignment horizontal="right" vertical="center"/>
    </xf>
    <xf borderId="0" fillId="0" fontId="3" numFmtId="0" xfId="0" applyAlignment="1" applyFont="1">
      <alignment horizontal="right"/>
    </xf>
    <xf borderId="12" fillId="4" fontId="9" numFmtId="0" xfId="0" applyAlignment="1" applyBorder="1" applyFill="1" applyFont="1">
      <alignment horizontal="center" shrinkToFit="0" vertical="center" wrapText="1"/>
    </xf>
    <xf borderId="13" fillId="5" fontId="10" numFmtId="0" xfId="0" applyAlignment="1" applyBorder="1" applyFill="1" applyFont="1">
      <alignment horizontal="center" vertical="center"/>
    </xf>
    <xf borderId="12" fillId="6" fontId="9" numFmtId="0" xfId="0" applyAlignment="1" applyBorder="1" applyFill="1" applyFont="1">
      <alignment horizontal="center" shrinkToFit="0" vertical="center" wrapText="1"/>
    </xf>
    <xf borderId="13" fillId="5" fontId="10" numFmtId="0" xfId="0" applyAlignment="1" applyBorder="1" applyFill="1" applyFont="1">
      <alignment horizontal="right" vertical="center"/>
    </xf>
    <xf borderId="4" fillId="7" fontId="6" numFmtId="0" xfId="0" applyAlignment="1" applyBorder="1" applyFill="1" applyFont="1">
      <alignment horizontal="left" readingOrder="0" vertical="center"/>
    </xf>
    <xf borderId="13" fillId="0" fontId="8" numFmtId="165" xfId="0" applyAlignment="1" applyBorder="1" applyFont="1" applyNumberFormat="1">
      <alignment horizontal="right" vertical="center"/>
    </xf>
    <xf borderId="4" fillId="7" fontId="6" numFmtId="164" xfId="0" applyAlignment="1" applyBorder="1" applyFill="1" applyFont="1" applyNumberFormat="1">
      <alignment horizontal="left" vertical="center"/>
    </xf>
    <xf borderId="4" fillId="7" fontId="6" numFmtId="0" xfId="0" applyAlignment="1" applyBorder="1" applyFill="1" applyFont="1">
      <alignment horizontal="left" vertical="center"/>
    </xf>
    <xf borderId="4" fillId="7" fontId="6" numFmtId="165" xfId="0" applyAlignment="1" applyBorder="1" applyFill="1" applyFont="1" applyNumberFormat="1">
      <alignment horizontal="left" vertical="center"/>
    </xf>
    <xf borderId="0" fillId="8" fontId="11" numFmtId="0" xfId="0" applyAlignment="1" applyFill="1" applyFont="1">
      <alignment horizontal="center" shrinkToFit="0" vertical="center" wrapText="1"/>
    </xf>
    <xf borderId="4" fillId="7" fontId="8" numFmtId="165" xfId="0" applyAlignment="1" applyBorder="1" applyFill="1" applyFont="1" applyNumberFormat="1">
      <alignment horizontal="right" vertical="center"/>
    </xf>
    <xf borderId="12" fillId="4" fontId="9" numFmtId="0" xfId="0" applyAlignment="1" applyBorder="1" applyFill="1" applyFont="1">
      <alignment horizontal="center" readingOrder="0" shrinkToFit="0" vertical="center" wrapText="1"/>
    </xf>
    <xf borderId="13" fillId="0" fontId="12" numFmtId="165" xfId="0" applyAlignment="1" applyBorder="1" applyFont="1" applyNumberFormat="1">
      <alignment horizontal="right" vertical="center"/>
    </xf>
    <xf borderId="12" fillId="6" fontId="9" numFmtId="0" xfId="0" applyAlignment="1" applyBorder="1" applyFill="1" applyFont="1">
      <alignment horizontal="center" readingOrder="0" shrinkToFit="0" vertical="center" wrapText="1"/>
    </xf>
    <xf borderId="13" fillId="0" fontId="13" numFmtId="165" xfId="0" applyAlignment="1" applyBorder="1" applyFont="1" applyNumberFormat="1">
      <alignment horizontal="right" vertical="center"/>
    </xf>
    <xf borderId="4" fillId="7" fontId="6" numFmtId="0" xfId="0" applyAlignment="1" applyBorder="1" applyFill="1" applyFont="1">
      <alignment horizontal="center" vertical="center"/>
    </xf>
    <xf borderId="13" fillId="0" fontId="6" numFmtId="165" xfId="0" applyAlignment="1" applyBorder="1" applyFont="1" applyNumberFormat="1">
      <alignment horizontal="right" vertical="center"/>
    </xf>
    <xf borderId="13" fillId="0" fontId="6" numFmtId="1" xfId="0" applyAlignment="1" applyBorder="1" applyFont="1" applyNumberFormat="1">
      <alignment horizontal="right" vertical="center"/>
    </xf>
    <xf borderId="13" fillId="2" fontId="4" numFmtId="0" xfId="0" applyAlignment="1" applyBorder="1" applyFill="1" applyFont="1">
      <alignment horizontal="center" vertical="center"/>
    </xf>
    <xf borderId="13" fillId="2" fontId="4" numFmtId="0" xfId="0" applyAlignment="1" applyBorder="1" applyFill="1" applyFont="1">
      <alignment horizontal="right" vertical="center"/>
    </xf>
    <xf borderId="13" fillId="0" fontId="6" numFmtId="164" xfId="0" applyAlignment="1" applyBorder="1" applyFont="1" applyNumberFormat="1">
      <alignment horizontal="left" vertical="center"/>
    </xf>
    <xf borderId="13" fillId="0" fontId="6" numFmtId="0" xfId="0" applyAlignment="1" applyBorder="1" applyFont="1">
      <alignment horizontal="left" vertical="center"/>
    </xf>
    <xf borderId="13" fillId="0" fontId="7" numFmtId="165" xfId="0" applyAlignment="1" applyBorder="1" applyFont="1" applyNumberFormat="1">
      <alignment horizontal="right" vertical="center"/>
    </xf>
    <xf borderId="4" fillId="0" fontId="6" numFmtId="0" xfId="0" applyAlignment="1" applyBorder="1" applyFont="1">
      <alignment horizontal="center" vertical="center"/>
    </xf>
    <xf borderId="4" fillId="0" fontId="8" numFmtId="0" xfId="0" applyAlignment="1" applyBorder="1" applyFont="1">
      <alignment horizontal="right" vertical="center"/>
    </xf>
    <xf borderId="13" fillId="7" fontId="6" numFmtId="164" xfId="0" applyBorder="1" applyFill="1" applyFont="1" applyNumberFormat="1"/>
    <xf borderId="13" fillId="7" fontId="6" numFmtId="0" xfId="0" applyBorder="1" applyFill="1" applyFont="1"/>
    <xf borderId="13" fillId="7" fontId="7" numFmtId="165" xfId="0" applyAlignment="1" applyBorder="1" applyFill="1" applyFont="1" applyNumberFormat="1">
      <alignment horizontal="right"/>
    </xf>
    <xf borderId="13" fillId="0" fontId="6" numFmtId="164" xfId="0" applyBorder="1" applyFont="1" applyNumberFormat="1"/>
    <xf borderId="13" fillId="0" fontId="6" numFmtId="0" xfId="0" applyBorder="1" applyFont="1"/>
    <xf borderId="13" fillId="0" fontId="6" numFmtId="166" xfId="0" applyBorder="1" applyFont="1" applyNumberFormat="1"/>
    <xf borderId="13" fillId="0" fontId="6" numFmtId="0" xfId="0" applyAlignment="1" applyBorder="1" applyFont="1">
      <alignment readingOrder="0"/>
    </xf>
    <xf borderId="13" fillId="0" fontId="7" numFmtId="167" xfId="0" applyAlignment="1" applyBorder="1" applyFont="1" applyNumberFormat="1">
      <alignment horizontal="right"/>
    </xf>
    <xf borderId="13" fillId="7" fontId="6" numFmtId="166" xfId="0" applyBorder="1" applyFill="1" applyFont="1" applyNumberFormat="1"/>
    <xf borderId="13" fillId="7" fontId="6" numFmtId="0" xfId="0" applyAlignment="1" applyBorder="1" applyFill="1" applyFont="1">
      <alignment readingOrder="0"/>
    </xf>
    <xf borderId="13" fillId="7" fontId="7" numFmtId="167" xfId="0" applyAlignment="1" applyBorder="1" applyFill="1" applyFont="1" applyNumberFormat="1">
      <alignment horizontal="right"/>
    </xf>
    <xf borderId="13" fillId="7" fontId="7" numFmtId="167" xfId="0" applyAlignment="1" applyBorder="1" applyFill="1" applyFont="1" applyNumberFormat="1">
      <alignment horizontal="right" readingOrder="0"/>
    </xf>
    <xf borderId="13" fillId="0" fontId="7" numFmtId="165" xfId="0" applyAlignment="1" applyBorder="1" applyFont="1" applyNumberFormat="1">
      <alignment horizontal="right"/>
    </xf>
    <xf borderId="0" fillId="0" fontId="14" numFmtId="0" xfId="0" applyFont="1"/>
    <xf borderId="13" fillId="0" fontId="7" numFmtId="165" xfId="0" applyAlignment="1" applyBorder="1" applyFont="1" applyNumberFormat="1">
      <alignment horizontal="right" readingOrder="0"/>
    </xf>
    <xf borderId="13" fillId="7" fontId="6" numFmtId="168" xfId="0" applyBorder="1" applyFill="1" applyFont="1" applyNumberFormat="1"/>
    <xf borderId="13" fillId="0" fontId="6" numFmtId="168" xfId="0" applyBorder="1" applyFont="1" applyNumberFormat="1"/>
    <xf borderId="4" fillId="9" fontId="4" numFmtId="0" xfId="0" applyAlignment="1" applyBorder="1" applyFill="1" applyFont="1">
      <alignment horizontal="center" shrinkToFit="0" vertical="center" wrapText="1"/>
    </xf>
    <xf borderId="13" fillId="7" fontId="6" numFmtId="166" xfId="0" applyAlignment="1" applyBorder="1" applyFill="1" applyFont="1" applyNumberFormat="1">
      <alignment readingOrder="0"/>
    </xf>
    <xf borderId="13" fillId="7" fontId="7" numFmtId="165" xfId="0" applyAlignment="1" applyBorder="1" applyFill="1" applyFont="1" applyNumberFormat="1">
      <alignment horizontal="right" readingOrder="0"/>
    </xf>
    <xf borderId="13" fillId="0" fontId="6" numFmtId="164" xfId="0" applyAlignment="1" applyBorder="1" applyFont="1" applyNumberFormat="1">
      <alignment readingOrder="0"/>
    </xf>
    <xf borderId="13" fillId="7" fontId="6" numFmtId="164" xfId="0" applyAlignment="1" applyBorder="1" applyFill="1" applyFont="1" applyNumberFormat="1">
      <alignment readingOrder="0"/>
    </xf>
    <xf borderId="4" fillId="5" fontId="10" numFmtId="0" xfId="0" applyAlignment="1" applyBorder="1" applyFill="1" applyFont="1">
      <alignment horizontal="left" vertical="center"/>
    </xf>
    <xf borderId="4" fillId="10" fontId="15" numFmtId="0" xfId="0" applyAlignment="1" applyBorder="1" applyFill="1" applyFont="1">
      <alignment horizontal="center" shrinkToFit="0" vertical="center" wrapText="1"/>
    </xf>
    <xf borderId="13" fillId="0" fontId="7" numFmtId="4" xfId="0" applyAlignment="1" applyBorder="1" applyFont="1" applyNumberFormat="1">
      <alignment horizontal="right"/>
    </xf>
    <xf borderId="13" fillId="0" fontId="7" numFmtId="167" xfId="0" applyAlignment="1" applyBorder="1" applyFont="1" applyNumberFormat="1">
      <alignment horizontal="right"/>
    </xf>
    <xf borderId="0" fillId="0" fontId="16" numFmtId="0" xfId="0" applyAlignment="1" applyFont="1">
      <alignment readingOrder="0"/>
    </xf>
    <xf borderId="0" fillId="0" fontId="17" numFmtId="0" xfId="0" applyAlignment="1" applyFont="1">
      <alignment readingOrder="0"/>
    </xf>
    <xf borderId="0" fillId="0" fontId="16" numFmtId="0" xfId="0" applyFont="1"/>
    <xf borderId="0" fillId="0" fontId="17" numFmtId="0" xfId="0" applyFont="1"/>
    <xf quotePrefix="1" borderId="0" fillId="0" fontId="17" numFmtId="0" xfId="0" applyAlignment="1" applyFont="1">
      <alignment readingOrder="0"/>
    </xf>
    <xf borderId="0" fillId="0" fontId="18" numFmtId="0" xfId="0" applyFont="1"/>
    <xf borderId="4" fillId="5" fontId="10" numFmtId="0" xfId="0" applyAlignment="1" applyBorder="1" applyFill="1" applyFont="1">
      <alignment horizontal="center" vertical="center"/>
    </xf>
    <xf borderId="4" fillId="0" fontId="6" numFmtId="165" xfId="0" applyAlignment="1" applyBorder="1" applyFont="1" applyNumberFormat="1">
      <alignment horizontal="right" vertical="center"/>
    </xf>
    <xf borderId="4" fillId="0" fontId="6" numFmtId="1" xfId="0" applyAlignment="1" applyBorder="1" applyFont="1" applyNumberFormat="1">
      <alignment horizontal="right" vertical="center"/>
    </xf>
    <xf borderId="4" fillId="0" fontId="8" numFmtId="0" xfId="0" applyAlignment="1" applyBorder="1" applyFont="1">
      <alignment horizontal="left" vertical="center"/>
    </xf>
    <xf borderId="4" fillId="0" fontId="8" numFmtId="165" xfId="0" applyAlignment="1" applyBorder="1" applyFont="1" applyNumberFormat="1">
      <alignment horizontal="left" vertical="center"/>
    </xf>
    <xf borderId="0" fillId="0" fontId="18" numFmtId="165" xfId="0" applyFont="1" applyNumberFormat="1"/>
    <xf borderId="4" fillId="7" fontId="8" numFmtId="0" xfId="0" applyAlignment="1" applyBorder="1" applyFill="1" applyFont="1">
      <alignment horizontal="left" vertical="center"/>
    </xf>
    <xf borderId="4" fillId="7" fontId="8" numFmtId="165" xfId="0" applyAlignment="1" applyBorder="1" applyFill="1" applyFont="1" applyNumberFormat="1">
      <alignment horizontal="left" vertical="center"/>
    </xf>
    <xf borderId="4" fillId="7" fontId="6" numFmtId="165" xfId="0" applyAlignment="1" applyBorder="1" applyFill="1" applyFont="1" applyNumberFormat="1">
      <alignment horizontal="right" vertical="center"/>
    </xf>
    <xf borderId="13" fillId="0" fontId="7" numFmtId="167" xfId="0" applyAlignment="1" applyBorder="1" applyFont="1" applyNumberFormat="1">
      <alignment horizontal="right"/>
    </xf>
    <xf borderId="13" fillId="7" fontId="7" numFmtId="0" xfId="0" applyAlignment="1" applyBorder="1" applyFill="1" applyFont="1">
      <alignment horizontal="right" readingOrder="0"/>
    </xf>
    <xf borderId="13" fillId="0" fontId="7" numFmtId="0" xfId="0" applyAlignment="1" applyBorder="1" applyFont="1">
      <alignment horizontal="right" readingOrder="0"/>
    </xf>
    <xf borderId="13" fillId="7" fontId="7" numFmtId="0" xfId="0" applyAlignment="1" applyBorder="1" applyFill="1" applyFont="1">
      <alignment horizontal="right"/>
    </xf>
    <xf borderId="14" fillId="11" fontId="1" numFmtId="0" xfId="0" applyAlignment="1" applyBorder="1" applyFill="1" applyFont="1">
      <alignment horizontal="center" shrinkToFit="0" wrapText="1"/>
    </xf>
    <xf borderId="15" fillId="0" fontId="2" numFmtId="0" xfId="0" applyBorder="1" applyFont="1"/>
    <xf borderId="0" fillId="0" fontId="3" numFmtId="0" xfId="0" applyAlignment="1" applyFont="1">
      <alignment vertical="bottom"/>
    </xf>
    <xf borderId="14" fillId="6" fontId="19" numFmtId="0" xfId="0" applyAlignment="1" applyBorder="1" applyFill="1" applyFont="1">
      <alignment shrinkToFit="0" wrapText="1"/>
    </xf>
    <xf borderId="8" fillId="3" fontId="5" numFmtId="0" xfId="0" applyAlignment="1" applyBorder="1" applyFill="1" applyFont="1">
      <alignment horizontal="center" shrinkToFit="0" wrapText="1"/>
    </xf>
    <xf borderId="12" fillId="12" fontId="20" numFmtId="0" xfId="0" applyAlignment="1" applyBorder="1" applyFill="1" applyFont="1">
      <alignment horizontal="center" shrinkToFit="0" wrapText="1"/>
    </xf>
    <xf borderId="12" fillId="4" fontId="21" numFmtId="168" xfId="0" applyAlignment="1" applyBorder="1" applyFill="1" applyFont="1" applyNumberFormat="1">
      <alignment shrinkToFit="0" wrapText="1"/>
    </xf>
    <xf borderId="12" fillId="4" fontId="21" numFmtId="0" xfId="0" applyAlignment="1" applyBorder="1" applyFill="1" applyFont="1">
      <alignment shrinkToFit="0" wrapText="1"/>
    </xf>
    <xf borderId="12" fillId="4" fontId="3" numFmtId="0" xfId="0" applyBorder="1" applyFill="1" applyFont="1"/>
    <xf borderId="0" fillId="0" fontId="22" numFmtId="0" xfId="0" applyAlignment="1" applyFont="1">
      <alignment readingOrder="0" vertical="bottom"/>
    </xf>
    <xf borderId="12" fillId="6" fontId="3" numFmtId="0" xfId="0" applyBorder="1" applyFill="1" applyFont="1"/>
    <xf borderId="12" fillId="12" fontId="3" numFmtId="0" xfId="0" applyBorder="1" applyFill="1" applyFont="1"/>
    <xf borderId="12" fillId="6" fontId="21" numFmtId="168" xfId="0" applyAlignment="1" applyBorder="1" applyFill="1" applyFont="1" applyNumberFormat="1">
      <alignment shrinkToFit="0" wrapText="1"/>
    </xf>
    <xf borderId="12" fillId="6" fontId="21" numFmtId="0" xfId="0" applyAlignment="1" applyBorder="1" applyFill="1" applyFont="1">
      <alignment shrinkToFit="0" wrapText="1"/>
    </xf>
    <xf borderId="12" fillId="6" fontId="3" numFmtId="0" xfId="0" applyAlignment="1" applyBorder="1" applyFill="1" applyFont="1">
      <alignment readingOrder="0"/>
    </xf>
    <xf borderId="13" fillId="0" fontId="7" numFmtId="167" xfId="0" applyAlignment="1" applyBorder="1" applyFont="1" applyNumberFormat="1">
      <alignment horizontal="right" readingOrder="0"/>
    </xf>
    <xf borderId="13" fillId="0" fontId="6" numFmtId="164" xfId="0" applyAlignment="1" applyBorder="1" applyFont="1" applyNumberFormat="1">
      <alignment readingOrder="0"/>
    </xf>
    <xf borderId="13" fillId="7" fontId="6" numFmtId="164" xfId="0" applyAlignment="1" applyBorder="1" applyFill="1" applyFont="1" applyNumberFormat="1">
      <alignment readingOrder="0"/>
    </xf>
    <xf borderId="4" fillId="5" fontId="6" numFmtId="0" xfId="0" applyAlignment="1" applyBorder="1" applyFill="1" applyFont="1">
      <alignment horizontal="right" vertical="center"/>
    </xf>
    <xf borderId="4" fillId="0" fontId="7" numFmtId="0" xfId="0" applyAlignment="1" applyBorder="1" applyFont="1">
      <alignment horizontal="center" vertical="center"/>
    </xf>
    <xf borderId="4" fillId="0" fontId="7" numFmtId="0" xfId="0" applyAlignment="1" applyBorder="1" applyFont="1">
      <alignment horizontal="center" readingOrder="0" vertical="center"/>
    </xf>
    <xf borderId="4" fillId="0" fontId="23" numFmtId="0" xfId="0" applyAlignment="1" applyBorder="1" applyFont="1">
      <alignment horizontal="center" readingOrder="0"/>
    </xf>
    <xf borderId="4" fillId="0" fontId="23" numFmtId="0" xfId="0" applyAlignment="1" applyBorder="1" applyFont="1">
      <alignment horizontal="center"/>
    </xf>
    <xf borderId="9" fillId="2" fontId="24" numFmtId="0" xfId="0" applyAlignment="1" applyBorder="1" applyFill="1" applyFont="1">
      <alignment horizontal="center" vertical="center"/>
    </xf>
    <xf borderId="9" fillId="5" fontId="10" numFmtId="0" xfId="0" applyAlignment="1" applyBorder="1" applyFill="1" applyFont="1">
      <alignment horizontal="left" vertical="center"/>
    </xf>
    <xf borderId="13" fillId="0" fontId="25" numFmtId="1" xfId="0" applyAlignment="1" applyBorder="1" applyFont="1" applyNumberFormat="1">
      <alignment horizontal="right" vertical="center"/>
    </xf>
    <xf borderId="13" fillId="0" fontId="25" numFmtId="165" xfId="0" applyAlignment="1" applyBorder="1" applyFont="1" applyNumberFormat="1">
      <alignment horizontal="right" vertical="center"/>
    </xf>
    <xf borderId="13" fillId="5" fontId="10" numFmtId="0" xfId="0" applyBorder="1" applyFill="1" applyFont="1"/>
    <xf borderId="13" fillId="5" fontId="18" numFmtId="0" xfId="0" applyAlignment="1" applyBorder="1" applyFill="1" applyFont="1">
      <alignment horizontal="left" shrinkToFit="0" vertical="center" wrapText="1"/>
    </xf>
    <xf borderId="13" fillId="0" fontId="26" numFmtId="0" xfId="0" applyBorder="1" applyFont="1"/>
    <xf borderId="13" fillId="0" fontId="18" numFmtId="0" xfId="0" applyAlignment="1" applyBorder="1" applyFont="1">
      <alignment horizontal="left" shrinkToFit="0" vertical="center" wrapText="1"/>
    </xf>
    <xf borderId="13" fillId="0" fontId="13" numFmtId="0" xfId="0" applyBorder="1" applyFont="1"/>
    <xf borderId="13" fillId="0" fontId="25" numFmtId="0" xfId="0" applyBorder="1" applyFont="1"/>
    <xf borderId="13" fillId="0" fontId="3" numFmtId="0" xfId="0" applyBorder="1" applyFont="1"/>
    <xf borderId="13" fillId="0" fontId="27" numFmtId="0" xfId="0" applyBorder="1" applyFont="1"/>
    <xf borderId="9" fillId="13" fontId="28" numFmtId="0" xfId="0" applyAlignment="1" applyBorder="1" applyFill="1" applyFont="1">
      <alignment horizontal="center" shrinkToFit="0" vertical="center" wrapText="1"/>
    </xf>
    <xf borderId="9" fillId="14" fontId="29" numFmtId="0" xfId="0" applyAlignment="1" applyBorder="1" applyFill="1" applyFont="1">
      <alignment horizontal="center" vertical="center"/>
    </xf>
    <xf borderId="9" fillId="15" fontId="30" numFmtId="0" xfId="0" applyAlignment="1" applyBorder="1" applyFill="1" applyFont="1">
      <alignment horizontal="center" vertical="center"/>
    </xf>
    <xf borderId="13" fillId="2" fontId="4" numFmtId="0" xfId="0" applyAlignment="1" applyBorder="1" applyFill="1" applyFont="1">
      <alignment horizontal="center" shrinkToFit="0" vertical="center" wrapText="1"/>
    </xf>
    <xf borderId="13" fillId="7" fontId="6" numFmtId="0" xfId="0" applyAlignment="1" applyBorder="1" applyFill="1" applyFont="1">
      <alignment horizontal="left" vertical="center"/>
    </xf>
    <xf borderId="13" fillId="7" fontId="26" numFmtId="0" xfId="0" applyAlignment="1" applyBorder="1" applyFill="1" applyFont="1">
      <alignment horizontal="center" vertical="center"/>
    </xf>
    <xf borderId="13" fillId="7" fontId="6" numFmtId="0" xfId="0" applyAlignment="1" applyBorder="1" applyFill="1" applyFont="1">
      <alignment horizontal="center" vertical="center"/>
    </xf>
    <xf borderId="13" fillId="0" fontId="26" numFmtId="0" xfId="0" applyAlignment="1" applyBorder="1" applyFont="1">
      <alignment horizontal="center" vertical="center"/>
    </xf>
    <xf borderId="13" fillId="0" fontId="6" numFmtId="0" xfId="0" applyAlignment="1" applyBorder="1" applyFont="1">
      <alignment horizontal="center" vertical="center"/>
    </xf>
    <xf borderId="13" fillId="16" fontId="6" numFmtId="0" xfId="0" applyAlignment="1" applyBorder="1" applyFill="1" applyFont="1">
      <alignment horizontal="left" vertical="center"/>
    </xf>
    <xf borderId="13" fillId="16" fontId="26" numFmtId="0" xfId="0" applyAlignment="1" applyBorder="1" applyFill="1" applyFont="1">
      <alignment horizontal="center" vertical="center"/>
    </xf>
    <xf borderId="13" fillId="4" fontId="6" numFmtId="0" xfId="0" applyAlignment="1" applyBorder="1" applyFill="1" applyFont="1">
      <alignment horizontal="left" vertical="center"/>
    </xf>
    <xf borderId="13" fillId="4" fontId="26" numFmtId="0" xfId="0" applyAlignment="1" applyBorder="1" applyFill="1" applyFont="1">
      <alignment horizontal="center" vertical="center"/>
    </xf>
    <xf borderId="13" fillId="16" fontId="6" numFmtId="0" xfId="0" applyAlignment="1" applyBorder="1" applyFill="1" applyFont="1">
      <alignment horizontal="center" vertical="center"/>
    </xf>
    <xf borderId="13" fillId="16" fontId="6" numFmtId="0" xfId="0" applyAlignment="1" applyBorder="1" applyFill="1" applyFont="1">
      <alignment horizontal="left" readingOrder="0" vertical="center"/>
    </xf>
    <xf borderId="13" fillId="16" fontId="26" numFmtId="0" xfId="0" applyAlignment="1" applyBorder="1" applyFill="1" applyFont="1">
      <alignment horizontal="center" readingOrder="0" vertical="center"/>
    </xf>
    <xf borderId="13" fillId="16" fontId="6" numFmtId="0" xfId="0" applyAlignment="1" applyBorder="1" applyFill="1" applyFont="1">
      <alignment horizontal="center" readingOrder="0" vertical="center"/>
    </xf>
    <xf borderId="13" fillId="4" fontId="6" numFmtId="0" xfId="0" applyAlignment="1" applyBorder="1" applyFill="1" applyFont="1">
      <alignment horizontal="center" vertical="center"/>
    </xf>
    <xf borderId="0" fillId="0" fontId="31" numFmtId="0" xfId="0" applyAlignment="1" applyFont="1">
      <alignment horizontal="left" vertical="center"/>
    </xf>
    <xf borderId="0" fillId="11" fontId="1" numFmtId="0" xfId="0" applyAlignment="1" applyFill="1" applyFont="1">
      <alignment horizontal="center" shrinkToFit="0" vertical="center" wrapText="1"/>
    </xf>
    <xf borderId="0" fillId="6" fontId="32" numFmtId="0" xfId="0" applyAlignment="1" applyFill="1" applyFont="1">
      <alignment horizontal="left" shrinkToFit="0" vertical="center" wrapText="1"/>
    </xf>
    <xf borderId="8" fillId="11" fontId="5" numFmtId="0" xfId="0" applyAlignment="1" applyBorder="1" applyFill="1" applyFont="1">
      <alignment horizontal="center" shrinkToFit="0" vertical="center" wrapText="1"/>
    </xf>
    <xf borderId="0" fillId="4" fontId="33" numFmtId="0" xfId="0" applyAlignment="1" applyFill="1" applyFont="1">
      <alignment horizontal="left" shrinkToFit="0" vertical="center" wrapText="1"/>
    </xf>
    <xf borderId="0" fillId="17" fontId="34" numFmtId="0" xfId="0" applyAlignment="1" applyFill="1" applyFont="1">
      <alignment horizontal="center" shrinkToFit="0" vertical="center" wrapText="1"/>
    </xf>
    <xf borderId="0" fillId="4" fontId="35" numFmtId="0" xfId="0" applyAlignment="1" applyFill="1" applyFont="1">
      <alignment horizontal="left" shrinkToFit="0" vertical="center" wrapText="1"/>
    </xf>
    <xf borderId="0" fillId="6" fontId="33" numFmtId="0" xfId="0" applyAlignment="1" applyFill="1" applyFont="1">
      <alignment horizontal="left" shrinkToFit="0" vertical="center" wrapText="1"/>
    </xf>
    <xf borderId="0" fillId="12" fontId="20" numFmtId="0" xfId="0" applyAlignment="1" applyFill="1" applyFont="1">
      <alignment horizontal="center" shrinkToFit="0" vertical="center" wrapText="1"/>
    </xf>
    <xf borderId="0" fillId="6" fontId="35" numFmtId="0" xfId="0" applyAlignment="1" applyFill="1" applyFont="1">
      <alignment horizontal="left" shrinkToFit="0" vertical="center" wrapText="1"/>
    </xf>
    <xf borderId="12" fillId="4" fontId="9" numFmtId="0" xfId="0" applyAlignment="1" applyBorder="1" applyFill="1" applyFont="1">
      <alignment horizontal="left" shrinkToFit="0" vertical="center" wrapText="1"/>
    </xf>
    <xf borderId="12" fillId="6" fontId="9" numFmtId="0" xfId="0" applyAlignment="1" applyBorder="1" applyFill="1" applyFont="1">
      <alignment horizontal="left" shrinkToFit="0" vertical="center" wrapText="1"/>
    </xf>
    <xf borderId="0" fillId="0" fontId="36" numFmtId="0" xfId="0" applyAlignment="1" applyFont="1">
      <alignment vertical="bottom"/>
    </xf>
    <xf borderId="0" fillId="0" fontId="36" numFmtId="0" xfId="0" applyAlignment="1" applyFont="1">
      <alignment readingOrder="0" vertical="bottom"/>
    </xf>
    <xf borderId="0" fillId="0" fontId="37" numFmtId="0" xfId="0" applyAlignment="1" applyFont="1">
      <alignment readingOrder="0" vertical="bottom"/>
    </xf>
    <xf borderId="0" fillId="4" fontId="36" numFmtId="0" xfId="0" applyAlignment="1" applyFill="1" applyFont="1">
      <alignment vertical="bottom"/>
    </xf>
    <xf borderId="0" fillId="4" fontId="36" numFmtId="0" xfId="0" applyAlignment="1" applyFill="1" applyFont="1">
      <alignment horizontal="right" vertical="bottom"/>
    </xf>
    <xf borderId="0" fillId="4" fontId="36" numFmtId="2" xfId="0" applyAlignment="1" applyFill="1" applyFont="1" applyNumberFormat="1">
      <alignment horizontal="right" vertical="bottom"/>
    </xf>
    <xf borderId="0" fillId="4" fontId="36" numFmtId="4" xfId="0" applyAlignment="1" applyFill="1" applyFont="1" applyNumberFormat="1">
      <alignment horizontal="right" vertical="bottom"/>
    </xf>
    <xf borderId="0" fillId="0" fontId="17" numFmtId="4" xfId="0" applyFont="1" applyNumberFormat="1"/>
    <xf borderId="0" fillId="4" fontId="36" numFmtId="1" xfId="0" applyAlignment="1" applyFill="1" applyFont="1" applyNumberFormat="1">
      <alignment vertical="bottom"/>
    </xf>
    <xf borderId="0" fillId="18" fontId="36" numFmtId="0" xfId="0" applyAlignment="1" applyFill="1" applyFont="1">
      <alignment vertical="bottom"/>
    </xf>
    <xf borderId="0" fillId="18" fontId="36" numFmtId="0" xfId="0" applyAlignment="1" applyFill="1" applyFont="1">
      <alignment horizontal="right" vertical="bottom"/>
    </xf>
    <xf borderId="0" fillId="18" fontId="36" numFmtId="2" xfId="0" applyAlignment="1" applyFill="1" applyFont="1" applyNumberFormat="1">
      <alignment horizontal="right" vertical="bottom"/>
    </xf>
    <xf borderId="0" fillId="18" fontId="36" numFmtId="4" xfId="0" applyAlignment="1" applyFill="1" applyFont="1" applyNumberFormat="1">
      <alignment horizontal="right" vertical="bottom"/>
    </xf>
    <xf borderId="0" fillId="19" fontId="36" numFmtId="0" xfId="0" applyAlignment="1" applyFill="1" applyFont="1">
      <alignment vertical="bottom"/>
    </xf>
    <xf borderId="0" fillId="19" fontId="36" numFmtId="0" xfId="0" applyAlignment="1" applyFill="1" applyFont="1">
      <alignment horizontal="right" vertical="bottom"/>
    </xf>
    <xf borderId="0" fillId="19" fontId="36" numFmtId="0" xfId="0" applyAlignment="1" applyFill="1" applyFont="1">
      <alignment vertical="bottom"/>
    </xf>
    <xf borderId="0" fillId="4" fontId="36" numFmtId="2" xfId="0" applyAlignment="1" applyFill="1" applyFont="1" applyNumberFormat="1">
      <alignment vertical="bottom"/>
    </xf>
    <xf borderId="0" fillId="18" fontId="36" numFmtId="2" xfId="0" applyAlignment="1" applyFill="1" applyFont="1" applyNumberFormat="1">
      <alignment vertical="bottom"/>
    </xf>
    <xf borderId="0" fillId="0" fontId="17" numFmtId="169" xfId="0" applyAlignment="1" applyFont="1" applyNumberFormat="1">
      <alignment readingOrder="0"/>
    </xf>
    <xf borderId="0" fillId="0" fontId="17" numFmtId="168" xfId="0" applyAlignment="1" applyFont="1" applyNumberFormat="1">
      <alignment readingOrder="0"/>
    </xf>
    <xf borderId="0" fillId="0" fontId="38"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Retreat Expens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X32"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Retreat Expen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25"/>
    <col customWidth="1" min="2" max="2" width="14.75"/>
    <col customWidth="1" min="3" max="6" width="12.25"/>
    <col customWidth="1" min="7" max="7" width="17.5"/>
    <col customWidth="1" min="8" max="9" width="15.75"/>
  </cols>
  <sheetData>
    <row r="1" ht="37.5" customHeight="1">
      <c r="A1" s="6" t="s">
        <v>2</v>
      </c>
      <c r="B1" s="7"/>
      <c r="C1" s="7"/>
      <c r="D1" s="7"/>
      <c r="E1" s="7"/>
      <c r="F1" s="7"/>
      <c r="G1" s="7"/>
      <c r="H1" s="7"/>
      <c r="I1" s="9"/>
      <c r="J1" s="5"/>
      <c r="K1" s="5"/>
      <c r="L1" s="5"/>
      <c r="M1" s="5"/>
      <c r="N1" s="5"/>
      <c r="O1" s="5"/>
      <c r="P1" s="5"/>
      <c r="Q1" s="5"/>
      <c r="R1" s="5"/>
      <c r="S1" s="5"/>
      <c r="T1" s="5"/>
      <c r="U1" s="5"/>
      <c r="V1" s="5"/>
      <c r="W1" s="5"/>
      <c r="X1" s="5"/>
      <c r="Y1" s="5"/>
      <c r="Z1" s="5"/>
    </row>
    <row r="2" ht="13.5" customHeight="1">
      <c r="A2" s="5"/>
      <c r="B2" s="5"/>
      <c r="C2" s="5"/>
      <c r="D2" s="5"/>
      <c r="E2" s="5"/>
      <c r="F2" s="5"/>
      <c r="G2" s="5"/>
      <c r="H2" s="5"/>
      <c r="I2" s="5"/>
      <c r="J2" s="5"/>
      <c r="K2" s="5"/>
      <c r="L2" s="5"/>
      <c r="M2" s="5"/>
      <c r="N2" s="5"/>
      <c r="O2" s="5"/>
      <c r="P2" s="5"/>
      <c r="Q2" s="5"/>
      <c r="R2" s="5"/>
      <c r="S2" s="5"/>
      <c r="T2" s="5"/>
      <c r="U2" s="5"/>
      <c r="V2" s="5"/>
      <c r="W2" s="5"/>
      <c r="X2" s="5"/>
      <c r="Y2" s="5"/>
      <c r="Z2" s="5"/>
    </row>
    <row r="3" ht="21.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8" t="s">
        <v>17</v>
      </c>
      <c r="B4" s="8" t="s">
        <v>18</v>
      </c>
      <c r="C4" s="8" t="s">
        <v>19</v>
      </c>
      <c r="D4" s="8" t="s">
        <v>20</v>
      </c>
      <c r="E4" s="8" t="s">
        <v>21</v>
      </c>
      <c r="F4" s="8" t="s">
        <v>22</v>
      </c>
      <c r="G4" s="8" t="s">
        <v>23</v>
      </c>
      <c r="H4" s="5"/>
      <c r="I4" s="5"/>
      <c r="J4" s="5"/>
      <c r="K4" s="5"/>
      <c r="L4" s="5"/>
      <c r="M4" s="5"/>
      <c r="N4" s="5"/>
      <c r="O4" s="5"/>
      <c r="P4" s="5"/>
      <c r="Q4" s="5"/>
      <c r="R4" s="5"/>
      <c r="S4" s="5"/>
      <c r="T4" s="5"/>
      <c r="U4" s="5"/>
      <c r="V4" s="5"/>
      <c r="W4" s="5"/>
      <c r="X4" s="5"/>
      <c r="Y4" s="5"/>
      <c r="Z4" s="5"/>
    </row>
    <row r="5" ht="26.25" customHeight="1">
      <c r="A5" s="11" t="str">
        <f>'Access Codes'!A6</f>
        <v>At</v>
      </c>
      <c r="B5" s="14">
        <f t="array" ref="B5">IFERROR(INDEX('Player Balances'!$B$7:$B$206,MATCH(A5,'Player Balances'!$A$7:$A$206,0)),"")</f>
        <v>0</v>
      </c>
      <c r="C5" s="11" t="str">
        <f>IF(A5="","",IF(OR(D5="Coach",D5="Treasurer"),"Waived",IF(OR(B5="",B5=0),"",IF(SUMIFS(Transactions!$F$7:$F$989,Transactions!$D$7:$D$989,"Income",Transactions!$C$7:$C$989,"Dues",Transactions!$E$7:$E$989,A5)&gt;=B5,"Paid",IF(SUMIFS(Transactions!$F$7:$F$989,Transactions!$D$7:$D$989,"Income",Transactions!$C$7:$C$989,"Dues",Transactions!$E$7:$E$989,A5)&gt;0,"Partial","Unpaid")))))</f>
        <v/>
      </c>
      <c r="D5" s="39" t="str">
        <f>'Access Codes'!C6</f>
        <v>Captain</v>
      </c>
      <c r="E5" s="11" t="str">
        <f>'Access Codes'!D6</f>
        <v>Active</v>
      </c>
      <c r="F5" s="11"/>
      <c r="G5" s="11"/>
      <c r="H5" s="5"/>
      <c r="I5" s="5"/>
      <c r="J5" s="5"/>
      <c r="K5" s="5"/>
      <c r="L5" s="5"/>
      <c r="M5" s="5"/>
      <c r="N5" s="5"/>
      <c r="O5" s="5"/>
      <c r="P5" s="5"/>
      <c r="Q5" s="5"/>
      <c r="R5" s="5"/>
      <c r="S5" s="5"/>
      <c r="T5" s="5"/>
      <c r="U5" s="5"/>
      <c r="V5" s="5"/>
      <c r="W5" s="5"/>
      <c r="X5" s="5"/>
      <c r="Y5" s="5"/>
      <c r="Z5" s="5"/>
    </row>
    <row r="6" ht="21.75" customHeight="1">
      <c r="A6" s="11" t="str">
        <f>'Access Codes'!A7</f>
        <v>Alex Warrington</v>
      </c>
      <c r="B6" s="14">
        <f t="array" ref="B6">IFERROR(INDEX('Player Balances'!$B$7:$B$206,MATCH(A6,'Player Balances'!$A$7:$A$206,0)),"")</f>
        <v>0</v>
      </c>
      <c r="C6" s="11" t="str">
        <f>IF(A6="","",IF(OR(D6="Coach",D6="Treasurer"),"Waived",IF(OR(B6="",B6=0),"",IF(SUMIFS(Transactions!$F$7:$F$989,Transactions!$D$7:$D$989,"Income",Transactions!$C$7:$C$989,"Dues",Transactions!$E$7:$E$989,A6)&gt;=B6,"Paid",IF(SUMIFS(Transactions!$F$7:$F$989,Transactions!$D$7:$D$989,"Income",Transactions!$C$7:$C$989,"Dues",Transactions!$E$7:$E$989,A6)&gt;0,"Partial","Unpaid")))))</f>
        <v/>
      </c>
      <c r="D6" s="39" t="str">
        <f>'Access Codes'!C7</f>
        <v>Player</v>
      </c>
      <c r="E6" s="11" t="str">
        <f>'Access Codes'!D7</f>
        <v>Active</v>
      </c>
      <c r="F6" s="11"/>
      <c r="G6" s="11"/>
      <c r="H6" s="5"/>
      <c r="I6" s="5"/>
      <c r="J6" s="5"/>
      <c r="K6" s="5"/>
      <c r="L6" s="5"/>
      <c r="M6" s="5"/>
      <c r="N6" s="5"/>
      <c r="O6" s="5"/>
      <c r="P6" s="5"/>
      <c r="Q6" s="5"/>
      <c r="R6" s="5"/>
      <c r="S6" s="5"/>
      <c r="T6" s="5"/>
      <c r="U6" s="5"/>
      <c r="V6" s="5"/>
      <c r="W6" s="5"/>
      <c r="X6" s="5"/>
      <c r="Y6" s="5"/>
      <c r="Z6" s="5"/>
    </row>
    <row r="7" ht="19.5" customHeight="1">
      <c r="A7" s="11" t="str">
        <f>'Access Codes'!A8</f>
        <v>Chris Wohl</v>
      </c>
      <c r="B7" s="14">
        <f t="array" ref="B7">IFERROR(INDEX('Player Balances'!$B$7:$B$206,MATCH(A7,'Player Balances'!$A$7:$A$206,0)),"")</f>
        <v>0</v>
      </c>
      <c r="C7" s="11" t="str">
        <f>IF(A7="","",IF(OR(D7="Coach",D7="Treasurer"),"Waived",IF(OR(B7="",B7=0),"",IF(SUMIFS(Transactions!$F$7:$F$989,Transactions!$D$7:$D$989,"Income",Transactions!$C$7:$C$989,"Dues",Transactions!$E$7:$E$989,A7)&gt;=B7,"Paid",IF(SUMIFS(Transactions!$F$7:$F$989,Transactions!$D$7:$D$989,"Income",Transactions!$C$7:$C$989,"Dues",Transactions!$E$7:$E$989,A7)&gt;0,"Partial","Unpaid")))))</f>
        <v/>
      </c>
      <c r="D7" s="47" t="str">
        <f>'Access Codes'!C8</f>
        <v>Player</v>
      </c>
      <c r="E7" s="11" t="str">
        <f>'Access Codes'!D8</f>
        <v>Active</v>
      </c>
      <c r="F7" s="11" t="s">
        <v>66</v>
      </c>
      <c r="G7" s="11"/>
      <c r="H7" s="5"/>
      <c r="I7" s="5"/>
      <c r="J7" s="5"/>
      <c r="K7" s="5"/>
      <c r="L7" s="5"/>
      <c r="M7" s="5"/>
      <c r="N7" s="5"/>
      <c r="O7" s="5"/>
      <c r="P7" s="5"/>
      <c r="Q7" s="5"/>
      <c r="R7" s="5"/>
      <c r="S7" s="5"/>
      <c r="T7" s="5"/>
      <c r="U7" s="5"/>
      <c r="V7" s="5"/>
      <c r="W7" s="5"/>
      <c r="X7" s="5"/>
      <c r="Y7" s="5"/>
      <c r="Z7" s="5"/>
    </row>
    <row r="8" ht="19.5" customHeight="1">
      <c r="A8" s="11" t="str">
        <f>'Access Codes'!A9</f>
        <v>Darra Reppermund</v>
      </c>
      <c r="B8" s="14">
        <f t="array" ref="B8">IFERROR(INDEX('Player Balances'!$B$7:$B$206,MATCH(A8,'Player Balances'!$A$7:$A$206,0)),"")</f>
        <v>0</v>
      </c>
      <c r="C8" s="11" t="str">
        <f>IF(A8="","",IF(OR(D8="Coach",D8="Treasurer"),"Waived",IF(OR(B8="",B8=0),"",IF(SUMIFS(Transactions!$F$7:$F$989,Transactions!$D$7:$D$989,"Income",Transactions!$C$7:$C$989,"Dues",Transactions!$E$7:$E$989,A8)&gt;=B8,"Paid",IF(SUMIFS(Transactions!$F$7:$F$989,Transactions!$D$7:$D$989,"Income",Transactions!$C$7:$C$989,"Dues",Transactions!$E$7:$E$989,A8)&gt;0,"Partial","Unpaid")))))</f>
        <v/>
      </c>
      <c r="D8" s="47" t="str">
        <f>'Access Codes'!C9</f>
        <v>Player</v>
      </c>
      <c r="E8" s="11" t="str">
        <f>'Access Codes'!D9</f>
        <v>Active</v>
      </c>
      <c r="F8" s="11"/>
      <c r="G8" s="11"/>
      <c r="H8" s="5"/>
      <c r="I8" s="5"/>
      <c r="J8" s="5"/>
      <c r="K8" s="5"/>
      <c r="L8" s="5"/>
      <c r="M8" s="5"/>
      <c r="N8" s="5"/>
      <c r="O8" s="5"/>
      <c r="P8" s="5"/>
      <c r="Q8" s="5"/>
      <c r="R8" s="5"/>
      <c r="S8" s="5"/>
      <c r="T8" s="5"/>
      <c r="U8" s="5"/>
      <c r="V8" s="5"/>
      <c r="W8" s="5"/>
      <c r="X8" s="5"/>
      <c r="Y8" s="5"/>
      <c r="Z8" s="5"/>
    </row>
    <row r="9" ht="19.5" customHeight="1">
      <c r="A9" s="11" t="str">
        <f>'Access Codes'!A10</f>
        <v>Dylan Best</v>
      </c>
      <c r="B9" s="14">
        <f t="array" ref="B9">IFERROR(INDEX('Player Balances'!$B$7:$B$206,MATCH(A9,'Player Balances'!$A$7:$A$206,0)),"")</f>
        <v>0</v>
      </c>
      <c r="C9" s="11" t="str">
        <f>IF(A9="","",IF(OR(D9="Coach",D9="Treasurer"),"Waived",IF(OR(B9="",B9=0),"",IF(SUMIFS(Transactions!$F$7:$F$989,Transactions!$D$7:$D$989,"Income",Transactions!$C$7:$C$989,"Dues",Transactions!$E$7:$E$989,A9)&gt;=B9,"Paid",IF(SUMIFS(Transactions!$F$7:$F$989,Transactions!$D$7:$D$989,"Income",Transactions!$C$7:$C$989,"Dues",Transactions!$E$7:$E$989,A9)&gt;0,"Partial","Unpaid")))))</f>
        <v/>
      </c>
      <c r="D9" s="39" t="str">
        <f>'Access Codes'!C10</f>
        <v>Player</v>
      </c>
      <c r="E9" s="11" t="str">
        <f>'Access Codes'!D10</f>
        <v>Active</v>
      </c>
      <c r="F9" s="11"/>
      <c r="G9" s="11"/>
      <c r="H9" s="5"/>
      <c r="I9" s="5"/>
      <c r="J9" s="5"/>
      <c r="K9" s="5"/>
      <c r="L9" s="5"/>
      <c r="M9" s="5"/>
      <c r="N9" s="5"/>
      <c r="O9" s="5"/>
      <c r="P9" s="5"/>
      <c r="Q9" s="5"/>
      <c r="R9" s="5"/>
      <c r="S9" s="5"/>
      <c r="T9" s="5"/>
      <c r="U9" s="5"/>
      <c r="V9" s="5"/>
      <c r="W9" s="5"/>
      <c r="X9" s="5"/>
      <c r="Y9" s="5"/>
      <c r="Z9" s="5"/>
    </row>
    <row r="10" ht="19.5" customHeight="1">
      <c r="A10" s="31" t="str">
        <f>'Access Codes'!A11</f>
        <v>Griffin O'Neal-Freeman</v>
      </c>
      <c r="B10" s="32">
        <f t="array" ref="B10">IFERROR(INDEX('Player Balances'!$B$7:$B$206,MATCH(A10,'Player Balances'!$A$7:$A$206,0)),"")</f>
        <v>0</v>
      </c>
      <c r="C10" s="31" t="str">
        <f>IF(A10="","",IF(OR(D10="Coach",D10="Treasurer"),"Waived",IF(OR(B10="",B10=0),"",IF(SUMIFS(Transactions!$F$7:$F$989,Transactions!$D$7:$D$989,"Income",Transactions!$C$7:$C$989,"Dues",Transactions!$E$7:$E$989,A10)&gt;=B10,"Paid",IF(SUMIFS(Transactions!$F$7:$F$989,Transactions!$D$7:$D$989,"Income",Transactions!$C$7:$C$989,"Dues",Transactions!$E$7:$E$989,A10)&gt;0,"Partial","Unpaid")))))</f>
        <v/>
      </c>
      <c r="D10" s="39" t="str">
        <f>'Access Codes'!C11</f>
        <v>Player</v>
      </c>
      <c r="E10" s="31" t="str">
        <f>'Access Codes'!D11</f>
        <v>Active</v>
      </c>
      <c r="F10" s="31"/>
      <c r="G10" s="31"/>
      <c r="H10" s="5"/>
      <c r="I10" s="5"/>
      <c r="J10" s="5"/>
      <c r="K10" s="5"/>
      <c r="L10" s="5"/>
      <c r="M10" s="5"/>
      <c r="N10" s="5"/>
      <c r="O10" s="5"/>
      <c r="P10" s="5"/>
      <c r="Q10" s="5"/>
      <c r="R10" s="5"/>
      <c r="S10" s="5"/>
      <c r="T10" s="5"/>
      <c r="U10" s="5"/>
      <c r="V10" s="5"/>
      <c r="W10" s="5"/>
      <c r="X10" s="5"/>
      <c r="Y10" s="5"/>
      <c r="Z10" s="5"/>
    </row>
    <row r="11" ht="19.5" customHeight="1">
      <c r="A11" s="31" t="str">
        <f>'Access Codes'!A12</f>
        <v>Haley Young</v>
      </c>
      <c r="B11" s="32">
        <f t="array" ref="B11">IFERROR(INDEX('Player Balances'!$B$7:$B$206,MATCH(A11,'Player Balances'!$A$7:$A$206,0)),"")</f>
        <v>0</v>
      </c>
      <c r="C11" s="31" t="str">
        <f>IF(A11="","",IF(OR(D11="Coach",D11="Treasurer"),"Waived",IF(OR(B11="",B11=0),"",IF(SUMIFS(Transactions!$F$7:$F$989,Transactions!$D$7:$D$989,"Income",Transactions!$C$7:$C$989,"Dues",Transactions!$E$7:$E$989,A11)&gt;=B11,"Paid",IF(SUMIFS(Transactions!$F$7:$F$989,Transactions!$D$7:$D$989,"Income",Transactions!$C$7:$C$989,"Dues",Transactions!$E$7:$E$989,A11)&gt;0,"Partial","Unpaid")))))</f>
        <v/>
      </c>
      <c r="D11" s="39" t="str">
        <f>'Access Codes'!C12</f>
        <v>Player</v>
      </c>
      <c r="E11" s="31" t="str">
        <f>'Access Codes'!D12</f>
        <v>Active</v>
      </c>
      <c r="F11" s="31"/>
      <c r="G11" s="31"/>
      <c r="H11" s="5"/>
      <c r="I11" s="5"/>
      <c r="J11" s="5"/>
      <c r="K11" s="5"/>
      <c r="L11" s="5"/>
      <c r="M11" s="5"/>
      <c r="N11" s="5"/>
      <c r="O11" s="5"/>
      <c r="P11" s="5"/>
      <c r="Q11" s="5"/>
      <c r="R11" s="5"/>
      <c r="S11" s="5"/>
      <c r="T11" s="5"/>
      <c r="U11" s="5"/>
      <c r="V11" s="5"/>
      <c r="W11" s="5"/>
      <c r="X11" s="5"/>
      <c r="Y11" s="5"/>
      <c r="Z11" s="5"/>
    </row>
    <row r="12" ht="19.5" customHeight="1">
      <c r="A12" s="31" t="str">
        <f>'Access Codes'!A13</f>
        <v>Harry Park</v>
      </c>
      <c r="B12" s="32">
        <f t="array" ref="B12">IFERROR(INDEX('Player Balances'!$B$7:$B$206,MATCH(A12,'Player Balances'!$A$7:$A$206,0)),"")</f>
        <v>0</v>
      </c>
      <c r="C12" s="31" t="str">
        <f>IF(A12="","",IF(OR(D12="Coach",D12="Treasurer"),"Waived",IF(OR(B12="",B12=0),"",IF(SUMIFS(Transactions!$F$7:$F$989,Transactions!$D$7:$D$989,"Income",Transactions!$C$7:$C$989,"Dues",Transactions!$E$7:$E$989,A12)&gt;=B12,"Paid",IF(SUMIFS(Transactions!$F$7:$F$989,Transactions!$D$7:$D$989,"Income",Transactions!$C$7:$C$989,"Dues",Transactions!$E$7:$E$989,A12)&gt;0,"Partial","Unpaid")))))</f>
        <v/>
      </c>
      <c r="D12" s="39" t="str">
        <f>'Access Codes'!C13</f>
        <v>Player</v>
      </c>
      <c r="E12" s="31" t="str">
        <f>'Access Codes'!D13</f>
        <v>Active</v>
      </c>
      <c r="F12" s="31"/>
      <c r="G12" s="31"/>
      <c r="H12" s="5"/>
      <c r="I12" s="5"/>
      <c r="J12" s="5"/>
      <c r="K12" s="5"/>
      <c r="L12" s="5"/>
      <c r="M12" s="5"/>
      <c r="N12" s="5"/>
      <c r="O12" s="5"/>
      <c r="P12" s="5"/>
      <c r="Q12" s="5"/>
      <c r="R12" s="5"/>
      <c r="S12" s="5"/>
      <c r="T12" s="5"/>
      <c r="U12" s="5"/>
      <c r="V12" s="5"/>
      <c r="W12" s="5"/>
      <c r="X12" s="5"/>
      <c r="Y12" s="5"/>
      <c r="Z12" s="5"/>
    </row>
    <row r="13" ht="19.5" customHeight="1">
      <c r="A13" s="31" t="str">
        <f>'Access Codes'!A14</f>
        <v>Ian Piper</v>
      </c>
      <c r="B13" s="32">
        <f t="array" ref="B13">IFERROR(INDEX('Player Balances'!$B$7:$B$206,MATCH(A13,'Player Balances'!$A$7:$A$206,0)),"")</f>
        <v>0</v>
      </c>
      <c r="C13" s="31" t="str">
        <f>IF(A13="","",IF(OR(D13="Coach",D13="Treasurer"),"Waived",IF(OR(B13="",B13=0),"",IF(SUMIFS(Transactions!$F$7:$F$989,Transactions!$D$7:$D$989,"Income",Transactions!$C$7:$C$989,"Dues",Transactions!$E$7:$E$989,A13)&gt;=B13,"Paid",IF(SUMIFS(Transactions!$F$7:$F$989,Transactions!$D$7:$D$989,"Income",Transactions!$C$7:$C$989,"Dues",Transactions!$E$7:$E$989,A13)&gt;0,"Partial","Unpaid")))))</f>
        <v/>
      </c>
      <c r="D13" s="39" t="str">
        <f>'Access Codes'!C14</f>
        <v>Player</v>
      </c>
      <c r="E13" s="31" t="str">
        <f>'Access Codes'!D14</f>
        <v>Active</v>
      </c>
      <c r="F13" s="31"/>
      <c r="G13" s="31"/>
      <c r="H13" s="5"/>
      <c r="I13" s="5"/>
      <c r="J13" s="5"/>
      <c r="K13" s="5"/>
      <c r="L13" s="5"/>
      <c r="M13" s="5"/>
      <c r="N13" s="5"/>
      <c r="O13" s="5"/>
      <c r="P13" s="5"/>
      <c r="Q13" s="5"/>
      <c r="R13" s="5"/>
      <c r="S13" s="5"/>
      <c r="T13" s="5"/>
      <c r="U13" s="5"/>
      <c r="V13" s="5"/>
      <c r="W13" s="5"/>
      <c r="X13" s="5"/>
      <c r="Y13" s="5"/>
      <c r="Z13" s="5"/>
    </row>
    <row r="14" ht="19.5" customHeight="1">
      <c r="A14" s="31" t="str">
        <f>'Access Codes'!A15</f>
        <v>Jake Murray</v>
      </c>
      <c r="B14" s="32">
        <f t="array" ref="B14">IFERROR(INDEX('Player Balances'!$B$7:$B$206,MATCH(A14,'Player Balances'!$A$7:$A$206,0)),"")</f>
        <v>0</v>
      </c>
      <c r="C14" s="31" t="str">
        <f>IF(A14="","",IF(OR(D14="Coach",D14="Treasurer"),"Waived",IF(OR(B14="",B14=0),"",IF(SUMIFS(Transactions!$F$7:$F$989,Transactions!$D$7:$D$989,"Income",Transactions!$C$7:$C$989,"Dues",Transactions!$E$7:$E$989,A14)&gt;=B14,"Paid",IF(SUMIFS(Transactions!$F$7:$F$989,Transactions!$D$7:$D$989,"Income",Transactions!$C$7:$C$989,"Dues",Transactions!$E$7:$E$989,A14)&gt;0,"Partial","Unpaid")))))</f>
        <v>Waived</v>
      </c>
      <c r="D14" s="39" t="str">
        <f>'Access Codes'!C15</f>
        <v>Treasurer</v>
      </c>
      <c r="E14" s="31" t="str">
        <f>'Access Codes'!D15</f>
        <v>Active</v>
      </c>
      <c r="F14" s="31"/>
      <c r="G14" s="31"/>
      <c r="H14" s="5"/>
      <c r="I14" s="5"/>
      <c r="J14" s="5"/>
      <c r="K14" s="5"/>
      <c r="L14" s="5"/>
      <c r="M14" s="5"/>
      <c r="N14" s="5"/>
      <c r="O14" s="5"/>
      <c r="P14" s="5"/>
      <c r="Q14" s="5"/>
      <c r="R14" s="5"/>
      <c r="S14" s="5"/>
      <c r="T14" s="5"/>
      <c r="U14" s="5"/>
      <c r="V14" s="5"/>
      <c r="W14" s="5"/>
      <c r="X14" s="5"/>
      <c r="Y14" s="5"/>
      <c r="Z14" s="5"/>
    </row>
    <row r="15" ht="19.5" customHeight="1">
      <c r="A15" s="31" t="str">
        <f>'Access Codes'!A16</f>
        <v>Jenna Nold</v>
      </c>
      <c r="B15" s="32">
        <f t="array" ref="B15">IFERROR(INDEX('Player Balances'!$B$7:$B$206,MATCH(A15,'Player Balances'!$A$7:$A$206,0)),"")</f>
        <v>0</v>
      </c>
      <c r="C15" s="31" t="str">
        <f>IF(A15="","",IF(OR(D15="Coach",D15="Treasurer"),"Waived",IF(OR(B15="",B15=0),"",IF(SUMIFS(Transactions!$F$7:$F$989,Transactions!$D$7:$D$989,"Income",Transactions!$C$7:$C$989,"Dues",Transactions!$E$7:$E$989,A15)&gt;=B15,"Paid",IF(SUMIFS(Transactions!$F$7:$F$989,Transactions!$D$7:$D$989,"Income",Transactions!$C$7:$C$989,"Dues",Transactions!$E$7:$E$989,A15)&gt;0,"Partial","Unpaid")))))</f>
        <v/>
      </c>
      <c r="D15" s="39" t="str">
        <f>'Access Codes'!C16</f>
        <v>Captain</v>
      </c>
      <c r="E15" s="31" t="str">
        <f>'Access Codes'!D16</f>
        <v>Active</v>
      </c>
      <c r="F15" s="31"/>
      <c r="G15" s="31"/>
      <c r="H15" s="5"/>
      <c r="I15" s="5"/>
      <c r="J15" s="5"/>
      <c r="K15" s="5"/>
      <c r="L15" s="5"/>
      <c r="M15" s="5"/>
      <c r="N15" s="5"/>
      <c r="O15" s="5"/>
      <c r="P15" s="5"/>
      <c r="Q15" s="5"/>
      <c r="R15" s="5"/>
      <c r="S15" s="5"/>
      <c r="T15" s="5"/>
      <c r="U15" s="5"/>
      <c r="V15" s="5"/>
      <c r="W15" s="5"/>
      <c r="X15" s="5"/>
      <c r="Y15" s="5"/>
      <c r="Z15" s="5"/>
    </row>
    <row r="16" ht="19.5" customHeight="1">
      <c r="A16" s="31" t="str">
        <f>'Access Codes'!A17</f>
        <v>Jimmy Towle</v>
      </c>
      <c r="B16" s="32">
        <f t="array" ref="B16">IFERROR(INDEX('Player Balances'!$B$7:$B$206,MATCH(A16,'Player Balances'!$A$7:$A$206,0)),"")</f>
        <v>0</v>
      </c>
      <c r="C16" s="31" t="str">
        <f>IF(A16="","",IF(OR(D16="Coach",D16="Treasurer"),"Waived",IF(OR(B16="",B16=0),"",IF(SUMIFS(Transactions!$F$7:$F$989,Transactions!$D$7:$D$989,"Income",Transactions!$C$7:$C$989,"Dues",Transactions!$E$7:$E$989,A16)&gt;=B16,"Paid",IF(SUMIFS(Transactions!$F$7:$F$989,Transactions!$D$7:$D$989,"Income",Transactions!$C$7:$C$989,"Dues",Transactions!$E$7:$E$989,A16)&gt;0,"Partial","Unpaid")))))</f>
        <v/>
      </c>
      <c r="D16" s="39" t="str">
        <f>'Access Codes'!C17</f>
        <v>Player</v>
      </c>
      <c r="E16" s="31" t="str">
        <f>'Access Codes'!D17</f>
        <v>Active</v>
      </c>
      <c r="F16" s="31"/>
      <c r="G16" s="31"/>
      <c r="H16" s="5"/>
      <c r="I16" s="5"/>
      <c r="J16" s="5"/>
      <c r="K16" s="5"/>
      <c r="L16" s="5"/>
      <c r="M16" s="5"/>
      <c r="N16" s="5"/>
      <c r="O16" s="5"/>
      <c r="P16" s="5"/>
      <c r="Q16" s="5"/>
      <c r="R16" s="5"/>
      <c r="S16" s="5"/>
      <c r="T16" s="5"/>
      <c r="U16" s="5"/>
      <c r="V16" s="5"/>
      <c r="W16" s="5"/>
      <c r="X16" s="5"/>
      <c r="Y16" s="5"/>
      <c r="Z16" s="5"/>
    </row>
    <row r="17" ht="19.5" customHeight="1">
      <c r="A17" s="31" t="str">
        <f>'Access Codes'!A18</f>
        <v>Kailey Rugani</v>
      </c>
      <c r="B17" s="32">
        <f t="array" ref="B17">IFERROR(INDEX('Player Balances'!$B$7:$B$206,MATCH(A17,'Player Balances'!$A$7:$A$206,0)),"")</f>
        <v>0</v>
      </c>
      <c r="C17" s="31" t="str">
        <f>IF(A17="","",IF(OR(D17="Coach",D17="Treasurer"),"Waived",IF(OR(B17="",B17=0),"",IF(SUMIFS(Transactions!$F$7:$F$989,Transactions!$D$7:$D$989,"Income",Transactions!$C$7:$C$989,"Dues",Transactions!$E$7:$E$989,A17)&gt;=B17,"Paid",IF(SUMIFS(Transactions!$F$7:$F$989,Transactions!$D$7:$D$989,"Income",Transactions!$C$7:$C$989,"Dues",Transactions!$E$7:$E$989,A17)&gt;0,"Partial","Unpaid")))))</f>
        <v/>
      </c>
      <c r="D17" s="39" t="str">
        <f>'Access Codes'!C18</f>
        <v>Player</v>
      </c>
      <c r="E17" s="31" t="str">
        <f>'Access Codes'!D18</f>
        <v>Active</v>
      </c>
      <c r="F17" s="31"/>
      <c r="G17" s="31"/>
      <c r="H17" s="5"/>
      <c r="I17" s="5"/>
      <c r="J17" s="5"/>
      <c r="K17" s="5"/>
      <c r="L17" s="5"/>
      <c r="M17" s="5"/>
      <c r="N17" s="5"/>
      <c r="O17" s="5"/>
      <c r="P17" s="5"/>
      <c r="Q17" s="5"/>
      <c r="R17" s="5"/>
      <c r="S17" s="5"/>
      <c r="T17" s="5"/>
      <c r="U17" s="5"/>
      <c r="V17" s="5"/>
      <c r="W17" s="5"/>
      <c r="X17" s="5"/>
      <c r="Y17" s="5"/>
      <c r="Z17" s="5"/>
    </row>
    <row r="18" ht="19.5" customHeight="1">
      <c r="A18" s="31" t="str">
        <f>'Access Codes'!A19</f>
        <v>Kasey Schock</v>
      </c>
      <c r="B18" s="32">
        <f t="array" ref="B18">IFERROR(INDEX('Player Balances'!$B$7:$B$206,MATCH(A18,'Player Balances'!$A$7:$A$206,0)),"")</f>
        <v>0</v>
      </c>
      <c r="C18" s="31" t="str">
        <f>IF(A18="","",IF(OR(D18="Coach",D18="Treasurer"),"Waived",IF(OR(B18="",B18=0),"",IF(SUMIFS(Transactions!$F$7:$F$989,Transactions!$D$7:$D$989,"Income",Transactions!$C$7:$C$989,"Dues",Transactions!$E$7:$E$989,A18)&gt;=B18,"Paid",IF(SUMIFS(Transactions!$F$7:$F$989,Transactions!$D$7:$D$989,"Income",Transactions!$C$7:$C$989,"Dues",Transactions!$E$7:$E$989,A18)&gt;0,"Partial","Unpaid")))))</f>
        <v/>
      </c>
      <c r="D18" s="39" t="str">
        <f>'Access Codes'!C19</f>
        <v>Player</v>
      </c>
      <c r="E18" s="31" t="str">
        <f>'Access Codes'!D19</f>
        <v>Active</v>
      </c>
      <c r="F18" s="31"/>
      <c r="G18" s="31"/>
      <c r="H18" s="5"/>
      <c r="I18" s="5"/>
      <c r="J18" s="5"/>
      <c r="K18" s="5"/>
      <c r="L18" s="5"/>
      <c r="M18" s="5"/>
      <c r="N18" s="5"/>
      <c r="O18" s="5"/>
      <c r="P18" s="5"/>
      <c r="Q18" s="5"/>
      <c r="R18" s="5"/>
      <c r="S18" s="5"/>
      <c r="T18" s="5"/>
      <c r="U18" s="5"/>
      <c r="V18" s="5"/>
      <c r="W18" s="5"/>
      <c r="X18" s="5"/>
      <c r="Y18" s="5"/>
      <c r="Z18" s="5"/>
    </row>
    <row r="19" ht="19.5" customHeight="1">
      <c r="A19" s="31" t="str">
        <f>'Access Codes'!A20</f>
        <v>Kevin Nicholl</v>
      </c>
      <c r="B19" s="32">
        <f t="array" ref="B19">IFERROR(INDEX('Player Balances'!$B$7:$B$206,MATCH(A19,'Player Balances'!$A$7:$A$206,0)),"")</f>
        <v>0</v>
      </c>
      <c r="C19" s="31" t="str">
        <f>IF(A19="","",IF(OR(D19="Coach",D19="Treasurer"),"Waived",IF(OR(B19="",B19=0),"",IF(SUMIFS(Transactions!$F$7:$F$989,Transactions!$D$7:$D$989,"Income",Transactions!$C$7:$C$989,"Dues",Transactions!$E$7:$E$989,A19)&gt;=B19,"Paid",IF(SUMIFS(Transactions!$F$7:$F$989,Transactions!$D$7:$D$989,"Income",Transactions!$C$7:$C$989,"Dues",Transactions!$E$7:$E$989,A19)&gt;0,"Partial","Unpaid")))))</f>
        <v/>
      </c>
      <c r="D19" s="39" t="str">
        <f>'Access Codes'!C20</f>
        <v>Player</v>
      </c>
      <c r="E19" s="31" t="str">
        <f>'Access Codes'!D20</f>
        <v>Active</v>
      </c>
      <c r="F19" s="31"/>
      <c r="G19" s="31"/>
      <c r="H19" s="5"/>
      <c r="I19" s="5"/>
      <c r="J19" s="5"/>
      <c r="K19" s="5"/>
      <c r="L19" s="5"/>
      <c r="M19" s="5"/>
      <c r="N19" s="5"/>
      <c r="O19" s="5"/>
      <c r="P19" s="5"/>
      <c r="Q19" s="5"/>
      <c r="R19" s="5"/>
      <c r="S19" s="5"/>
      <c r="T19" s="5"/>
      <c r="U19" s="5"/>
      <c r="V19" s="5"/>
      <c r="W19" s="5"/>
      <c r="X19" s="5"/>
      <c r="Y19" s="5"/>
      <c r="Z19" s="5"/>
    </row>
    <row r="20" ht="19.5" customHeight="1">
      <c r="A20" s="31" t="str">
        <f>'Access Codes'!A21</f>
        <v>Kit Asterin</v>
      </c>
      <c r="B20" s="32">
        <f t="array" ref="B20">IFERROR(INDEX('Player Balances'!$B$7:$B$206,MATCH(A20,'Player Balances'!$A$7:$A$206,0)),"")</f>
        <v>0</v>
      </c>
      <c r="C20" s="31" t="str">
        <f>IF(A20="","",IF(OR(D20="Coach",D20="Treasurer"),"Waived",IF(OR(B20="",B20=0),"",IF(SUMIFS(Transactions!$F$7:$F$989,Transactions!$D$7:$D$989,"Income",Transactions!$C$7:$C$989,"Dues",Transactions!$E$7:$E$989,A20)&gt;=B20,"Paid",IF(SUMIFS(Transactions!$F$7:$F$989,Transactions!$D$7:$D$989,"Income",Transactions!$C$7:$C$989,"Dues",Transactions!$E$7:$E$989,A20)&gt;0,"Partial","Unpaid")))))</f>
        <v/>
      </c>
      <c r="D20" s="39" t="str">
        <f>'Access Codes'!C21</f>
        <v>Captain</v>
      </c>
      <c r="E20" s="31" t="str">
        <f>'Access Codes'!D21</f>
        <v>Active</v>
      </c>
      <c r="F20" s="31"/>
      <c r="G20" s="31"/>
      <c r="H20" s="5"/>
      <c r="I20" s="5"/>
      <c r="J20" s="5"/>
      <c r="K20" s="5"/>
      <c r="L20" s="5"/>
      <c r="M20" s="5"/>
      <c r="N20" s="5"/>
      <c r="O20" s="5"/>
      <c r="P20" s="5"/>
      <c r="Q20" s="5"/>
      <c r="R20" s="5"/>
      <c r="S20" s="5"/>
      <c r="T20" s="5"/>
      <c r="U20" s="5"/>
      <c r="V20" s="5"/>
      <c r="W20" s="5"/>
      <c r="X20" s="5"/>
      <c r="Y20" s="5"/>
      <c r="Z20" s="5"/>
    </row>
    <row r="21" ht="19.5" customHeight="1">
      <c r="A21" s="31" t="str">
        <f>'Access Codes'!A22</f>
        <v>Kristin Dudley</v>
      </c>
      <c r="B21" s="32">
        <f t="array" ref="B21">IFERROR(INDEX('Player Balances'!$B$7:$B$206,MATCH(A21,'Player Balances'!$A$7:$A$206,0)),"")</f>
        <v>0</v>
      </c>
      <c r="C21" s="31" t="str">
        <f>IF(A21="","",IF(OR(D21="Coach",D21="Treasurer"),"Waived",IF(OR(B21="",B21=0),"",IF(SUMIFS(Transactions!$F$7:$F$989,Transactions!$D$7:$D$989,"Income",Transactions!$C$7:$C$989,"Dues",Transactions!$E$7:$E$989,A21)&gt;=B21,"Paid",IF(SUMIFS(Transactions!$F$7:$F$989,Transactions!$D$7:$D$989,"Income",Transactions!$C$7:$C$989,"Dues",Transactions!$E$7:$E$989,A21)&gt;0,"Partial","Unpaid")))))</f>
        <v/>
      </c>
      <c r="D21" s="39" t="str">
        <f>'Access Codes'!C22</f>
        <v>Player</v>
      </c>
      <c r="E21" s="31" t="str">
        <f>'Access Codes'!D22</f>
        <v>Active</v>
      </c>
      <c r="F21" s="31"/>
      <c r="G21" s="31"/>
      <c r="H21" s="5"/>
      <c r="I21" s="5"/>
      <c r="J21" s="5"/>
      <c r="K21" s="5"/>
      <c r="L21" s="5"/>
      <c r="M21" s="5"/>
      <c r="N21" s="5"/>
      <c r="O21" s="5"/>
      <c r="P21" s="5"/>
      <c r="Q21" s="5"/>
      <c r="R21" s="5"/>
      <c r="S21" s="5"/>
      <c r="T21" s="5"/>
      <c r="U21" s="5"/>
      <c r="V21" s="5"/>
      <c r="W21" s="5"/>
      <c r="X21" s="5"/>
      <c r="Y21" s="5"/>
      <c r="Z21" s="5"/>
    </row>
    <row r="22" ht="19.5" customHeight="1">
      <c r="A22" s="31" t="str">
        <f>'Access Codes'!A23</f>
        <v>Lexie Thomas</v>
      </c>
      <c r="B22" s="32">
        <f t="array" ref="B22">IFERROR(INDEX('Player Balances'!$B$7:$B$206,MATCH(A22,'Player Balances'!$A$7:$A$206,0)),"")</f>
        <v>0</v>
      </c>
      <c r="C22" s="31" t="str">
        <f>IF(A22="","",IF(OR(D22="Coach",D22="Treasurer"),"Waived",IF(OR(B22="",B22=0),"",IF(SUMIFS(Transactions!$F$7:$F$989,Transactions!$D$7:$D$989,"Income",Transactions!$C$7:$C$989,"Dues",Transactions!$E$7:$E$989,A22)&gt;=B22,"Paid",IF(SUMIFS(Transactions!$F$7:$F$989,Transactions!$D$7:$D$989,"Income",Transactions!$C$7:$C$989,"Dues",Transactions!$E$7:$E$989,A22)&gt;0,"Partial","Unpaid")))))</f>
        <v/>
      </c>
      <c r="D22" s="39" t="str">
        <f>'Access Codes'!C23</f>
        <v>Player</v>
      </c>
      <c r="E22" s="31" t="str">
        <f>'Access Codes'!D23</f>
        <v>Active</v>
      </c>
      <c r="F22" s="31"/>
      <c r="G22" s="31"/>
      <c r="H22" s="5"/>
      <c r="I22" s="5"/>
      <c r="J22" s="5"/>
      <c r="K22" s="5"/>
      <c r="L22" s="5"/>
      <c r="M22" s="5"/>
      <c r="N22" s="5"/>
      <c r="O22" s="5"/>
      <c r="P22" s="5"/>
      <c r="Q22" s="5"/>
      <c r="R22" s="5"/>
      <c r="S22" s="5"/>
      <c r="T22" s="5"/>
      <c r="U22" s="5"/>
      <c r="V22" s="5"/>
      <c r="W22" s="5"/>
      <c r="X22" s="5"/>
      <c r="Y22" s="5"/>
      <c r="Z22" s="5"/>
    </row>
    <row r="23" ht="19.5" customHeight="1">
      <c r="A23" s="31" t="str">
        <f>'Access Codes'!A24</f>
        <v>Lucas Jones</v>
      </c>
      <c r="B23" s="32">
        <f t="array" ref="B23">IFERROR(INDEX('Player Balances'!$B$7:$B$206,MATCH(A23,'Player Balances'!$A$7:$A$206,0)),"")</f>
        <v>0</v>
      </c>
      <c r="C23" s="31" t="str">
        <f>IF(A23="","",IF(OR(D23="Coach",D23="Treasurer"),"Waived",IF(OR(B23="",B23=0),"",IF(SUMIFS(Transactions!$F$7:$F$989,Transactions!$D$7:$D$989,"Income",Transactions!$C$7:$C$989,"Dues",Transactions!$E$7:$E$989,A23)&gt;=B23,"Paid",IF(SUMIFS(Transactions!$F$7:$F$989,Transactions!$D$7:$D$989,"Income",Transactions!$C$7:$C$989,"Dues",Transactions!$E$7:$E$989,A23)&gt;0,"Partial","Unpaid")))))</f>
        <v/>
      </c>
      <c r="D23" s="39" t="str">
        <f>'Access Codes'!C24</f>
        <v>Player</v>
      </c>
      <c r="E23" s="31" t="str">
        <f>'Access Codes'!D24</f>
        <v>Active</v>
      </c>
      <c r="F23" s="31"/>
      <c r="G23" s="31"/>
      <c r="H23" s="5"/>
      <c r="I23" s="5"/>
      <c r="J23" s="5"/>
      <c r="K23" s="5"/>
      <c r="L23" s="5"/>
      <c r="M23" s="5"/>
      <c r="N23" s="5"/>
      <c r="O23" s="5"/>
      <c r="P23" s="5"/>
      <c r="Q23" s="5"/>
      <c r="R23" s="5"/>
      <c r="S23" s="5"/>
      <c r="T23" s="5"/>
      <c r="U23" s="5"/>
      <c r="V23" s="5"/>
      <c r="W23" s="5"/>
      <c r="X23" s="5"/>
      <c r="Y23" s="5"/>
      <c r="Z23" s="5"/>
    </row>
    <row r="24" ht="19.5" customHeight="1">
      <c r="A24" s="31" t="str">
        <f>'Access Codes'!A25</f>
        <v>Max Sheppard</v>
      </c>
      <c r="B24" s="32">
        <f t="array" ref="B24">IFERROR(INDEX('Player Balances'!$B$7:$B$206,MATCH(A24,'Player Balances'!$A$7:$A$206,0)),"")</f>
        <v>0</v>
      </c>
      <c r="C24" s="31" t="str">
        <f>IF(A24="","",IF(OR(D24="Coach",D24="Treasurer"),"Waived",IF(OR(B24="",B24=0),"",IF(SUMIFS(Transactions!$F$7:$F$989,Transactions!$D$7:$D$989,"Income",Transactions!$C$7:$C$989,"Dues",Transactions!$E$7:$E$989,A24)&gt;=B24,"Paid",IF(SUMIFS(Transactions!$F$7:$F$989,Transactions!$D$7:$D$989,"Income",Transactions!$C$7:$C$989,"Dues",Transactions!$E$7:$E$989,A24)&gt;0,"Partial","Unpaid")))))</f>
        <v/>
      </c>
      <c r="D24" s="39" t="str">
        <f>'Access Codes'!C25</f>
        <v>Player</v>
      </c>
      <c r="E24" s="31" t="str">
        <f>'Access Codes'!D25</f>
        <v>Active</v>
      </c>
      <c r="F24" s="31"/>
      <c r="G24" s="31"/>
      <c r="H24" s="5"/>
      <c r="I24" s="5"/>
      <c r="J24" s="5"/>
      <c r="K24" s="5"/>
      <c r="L24" s="5"/>
      <c r="M24" s="5"/>
      <c r="N24" s="5"/>
      <c r="O24" s="5"/>
      <c r="P24" s="5"/>
      <c r="Q24" s="5"/>
      <c r="R24" s="5"/>
      <c r="S24" s="5"/>
      <c r="T24" s="5"/>
      <c r="U24" s="5"/>
      <c r="V24" s="5"/>
      <c r="W24" s="5"/>
      <c r="X24" s="5"/>
      <c r="Y24" s="5"/>
      <c r="Z24" s="5"/>
    </row>
    <row r="25" ht="19.5" customHeight="1">
      <c r="A25" s="31" t="str">
        <f>'Access Codes'!A26</f>
        <v>Lucius Christie</v>
      </c>
      <c r="B25" s="32">
        <f t="array" ref="B25">IFERROR(INDEX('Player Balances'!$B$7:$B$206,MATCH(A25,'Player Balances'!$A$7:$A$206,0)),"")</f>
        <v>0</v>
      </c>
      <c r="C25" s="31" t="str">
        <f>IF(A25="","",IF(OR(D25="Coach",D25="Treasurer"),"Waived",IF(OR(B25="",B25=0),"",IF(SUMIFS(Transactions!$F$7:$F$989,Transactions!$D$7:$D$989,"Income",Transactions!$C$7:$C$989,"Dues",Transactions!$E$7:$E$989,A25)&gt;=B25,"Paid",IF(SUMIFS(Transactions!$F$7:$F$989,Transactions!$D$7:$D$989,"Income",Transactions!$C$7:$C$989,"Dues",Transactions!$E$7:$E$989,A25)&gt;0,"Partial","Unpaid")))))</f>
        <v/>
      </c>
      <c r="D25" s="39" t="str">
        <f>'Access Codes'!C26</f>
        <v>Player</v>
      </c>
      <c r="E25" s="31" t="str">
        <f>'Access Codes'!D26</f>
        <v>Active</v>
      </c>
      <c r="F25" s="31"/>
      <c r="G25" s="31"/>
      <c r="H25" s="5"/>
      <c r="I25" s="5"/>
      <c r="J25" s="5"/>
      <c r="K25" s="5"/>
      <c r="L25" s="5"/>
      <c r="M25" s="5"/>
      <c r="N25" s="5"/>
      <c r="O25" s="5"/>
      <c r="P25" s="5"/>
      <c r="Q25" s="5"/>
      <c r="R25" s="5"/>
      <c r="S25" s="5"/>
      <c r="T25" s="5"/>
      <c r="U25" s="5"/>
      <c r="V25" s="5"/>
      <c r="W25" s="5"/>
      <c r="X25" s="5"/>
      <c r="Y25" s="5"/>
      <c r="Z25" s="5"/>
    </row>
    <row r="26" ht="19.5" customHeight="1">
      <c r="A26" s="31" t="str">
        <f>'Access Codes'!A27</f>
        <v>Patrick McMullen</v>
      </c>
      <c r="B26" s="32">
        <f t="array" ref="B26">IFERROR(INDEX('Player Balances'!$B$7:$B$206,MATCH(A26,'Player Balances'!$A$7:$A$206,0)),"")</f>
        <v>0</v>
      </c>
      <c r="C26" s="31" t="str">
        <f>IF(A26="","",IF(OR(D26="Coach",D26="Treasurer"),"Waived",IF(OR(B26="",B26=0),"",IF(SUMIFS(Transactions!$F$7:$F$989,Transactions!$D$7:$D$989,"Income",Transactions!$C$7:$C$989,"Dues",Transactions!$E$7:$E$989,A26)&gt;=B26,"Paid",IF(SUMIFS(Transactions!$F$7:$F$989,Transactions!$D$7:$D$989,"Income",Transactions!$C$7:$C$989,"Dues",Transactions!$E$7:$E$989,A26)&gt;0,"Partial","Unpaid")))))</f>
        <v/>
      </c>
      <c r="D26" s="39" t="str">
        <f>'Access Codes'!C27</f>
        <v>Player</v>
      </c>
      <c r="E26" s="31" t="str">
        <f>'Access Codes'!D27</f>
        <v>Active</v>
      </c>
      <c r="F26" s="31"/>
      <c r="G26" s="31"/>
      <c r="H26" s="5"/>
      <c r="I26" s="5"/>
      <c r="J26" s="5"/>
      <c r="K26" s="5"/>
      <c r="L26" s="5"/>
      <c r="M26" s="5"/>
      <c r="N26" s="5"/>
      <c r="O26" s="5"/>
      <c r="P26" s="5"/>
      <c r="Q26" s="5"/>
      <c r="R26" s="5"/>
      <c r="S26" s="5"/>
      <c r="T26" s="5"/>
      <c r="U26" s="5"/>
      <c r="V26" s="5"/>
      <c r="W26" s="5"/>
      <c r="X26" s="5"/>
      <c r="Y26" s="5"/>
      <c r="Z26" s="5"/>
    </row>
    <row r="27" ht="19.5" customHeight="1">
      <c r="A27" s="31" t="str">
        <f>'Access Codes'!A28</f>
        <v>Rachel Graber</v>
      </c>
      <c r="B27" s="32">
        <f t="array" ref="B27">IFERROR(INDEX('Player Balances'!$B$7:$B$206,MATCH(A27,'Player Balances'!$A$7:$A$206,0)),"")</f>
        <v>0</v>
      </c>
      <c r="C27" s="31" t="str">
        <f>IF(A27="","",IF(OR(D27="Coach",D27="Treasurer"),"Waived",IF(OR(B27="",B27=0),"",IF(SUMIFS(Transactions!$F$7:$F$989,Transactions!$D$7:$D$989,"Income",Transactions!$C$7:$C$989,"Dues",Transactions!$E$7:$E$989,A27)&gt;=B27,"Paid",IF(SUMIFS(Transactions!$F$7:$F$989,Transactions!$D$7:$D$989,"Income",Transactions!$C$7:$C$989,"Dues",Transactions!$E$7:$E$989,A27)&gt;0,"Partial","Unpaid")))))</f>
        <v/>
      </c>
      <c r="D27" s="39" t="str">
        <f>'Access Codes'!C28</f>
        <v>Player</v>
      </c>
      <c r="E27" s="31" t="str">
        <f>'Access Codes'!D28</f>
        <v>Active</v>
      </c>
      <c r="F27" s="31"/>
      <c r="G27" s="31"/>
      <c r="H27" s="5"/>
      <c r="I27" s="5"/>
      <c r="J27" s="5"/>
      <c r="K27" s="5"/>
      <c r="L27" s="5"/>
      <c r="M27" s="5"/>
      <c r="N27" s="5"/>
      <c r="O27" s="5"/>
      <c r="P27" s="5"/>
      <c r="Q27" s="5"/>
      <c r="R27" s="5"/>
      <c r="S27" s="5"/>
      <c r="T27" s="5"/>
      <c r="U27" s="5"/>
      <c r="V27" s="5"/>
      <c r="W27" s="5"/>
      <c r="X27" s="5"/>
      <c r="Y27" s="5"/>
      <c r="Z27" s="5"/>
    </row>
    <row r="28" ht="19.5" customHeight="1">
      <c r="A28" s="31" t="str">
        <f>'Access Codes'!A29</f>
        <v>Ryan Kindell</v>
      </c>
      <c r="B28" s="32">
        <f t="array" ref="B28">IFERROR(INDEX('Player Balances'!$B$7:$B$206,MATCH(A28,'Player Balances'!$A$7:$A$206,0)),"")</f>
        <v>0</v>
      </c>
      <c r="C28" s="31" t="str">
        <f>IF(A28="","",IF(OR(D28="Coach",D28="Treasurer"),"Waived",IF(OR(B28="",B28=0),"",IF(SUMIFS(Transactions!$F$7:$F$989,Transactions!$D$7:$D$989,"Income",Transactions!$C$7:$C$989,"Dues",Transactions!$E$7:$E$989,A28)&gt;=B28,"Paid",IF(SUMIFS(Transactions!$F$7:$F$989,Transactions!$D$7:$D$989,"Income",Transactions!$C$7:$C$989,"Dues",Transactions!$E$7:$E$989,A28)&gt;0,"Partial","Unpaid")))))</f>
        <v/>
      </c>
      <c r="D28" s="39" t="str">
        <f>'Access Codes'!C29</f>
        <v>Player</v>
      </c>
      <c r="E28" s="31" t="str">
        <f>'Access Codes'!D29</f>
        <v>Active</v>
      </c>
      <c r="F28" s="31"/>
      <c r="G28" s="31"/>
      <c r="H28" s="5"/>
      <c r="I28" s="5"/>
      <c r="J28" s="5"/>
      <c r="K28" s="5"/>
      <c r="L28" s="5"/>
      <c r="M28" s="5"/>
      <c r="N28" s="5"/>
      <c r="O28" s="5"/>
      <c r="P28" s="5"/>
      <c r="Q28" s="5"/>
      <c r="R28" s="5"/>
      <c r="S28" s="5"/>
      <c r="T28" s="5"/>
      <c r="U28" s="5"/>
      <c r="V28" s="5"/>
      <c r="W28" s="5"/>
      <c r="X28" s="5"/>
      <c r="Y28" s="5"/>
      <c r="Z28" s="5"/>
    </row>
    <row r="29" ht="19.5" customHeight="1">
      <c r="A29" s="31" t="str">
        <f>'Access Codes'!A30</f>
        <v>Ryan Ward</v>
      </c>
      <c r="B29" s="32">
        <f t="array" ref="B29">IFERROR(INDEX('Player Balances'!$B$7:$B$206,MATCH(A29,'Player Balances'!$A$7:$A$206,0)),"")</f>
        <v>0</v>
      </c>
      <c r="C29" s="31" t="str">
        <f>IF(A29="","",IF(OR(D29="Coach",D29="Treasurer"),"Waived",IF(OR(B29="",B29=0),"",IF(SUMIFS(Transactions!$F$7:$F$989,Transactions!$D$7:$D$989,"Income",Transactions!$C$7:$C$989,"Dues",Transactions!$E$7:$E$989,A29)&gt;=B29,"Paid",IF(SUMIFS(Transactions!$F$7:$F$989,Transactions!$D$7:$D$989,"Income",Transactions!$C$7:$C$989,"Dues",Transactions!$E$7:$E$989,A29)&gt;0,"Partial","Unpaid")))))</f>
        <v/>
      </c>
      <c r="D29" s="39" t="str">
        <f>'Access Codes'!C30</f>
        <v>Player</v>
      </c>
      <c r="E29" s="31" t="str">
        <f>'Access Codes'!D30</f>
        <v>Active</v>
      </c>
      <c r="F29" s="31"/>
      <c r="G29" s="31"/>
      <c r="H29" s="5"/>
      <c r="I29" s="5"/>
      <c r="J29" s="5"/>
      <c r="K29" s="5"/>
      <c r="L29" s="5"/>
      <c r="M29" s="5"/>
      <c r="N29" s="5"/>
      <c r="O29" s="5"/>
      <c r="P29" s="5"/>
      <c r="Q29" s="5"/>
      <c r="R29" s="5"/>
      <c r="S29" s="5"/>
      <c r="T29" s="5"/>
      <c r="U29" s="5"/>
      <c r="V29" s="5"/>
      <c r="W29" s="5"/>
      <c r="X29" s="5"/>
      <c r="Y29" s="5"/>
      <c r="Z29" s="5"/>
    </row>
    <row r="30" ht="19.5" customHeight="1">
      <c r="A30" s="31" t="str">
        <f>'Access Codes'!A31</f>
        <v>Sam Gombiner</v>
      </c>
      <c r="B30" s="32">
        <f t="array" ref="B30">IFERROR(INDEX('Player Balances'!$B$7:$B$206,MATCH(A30,'Player Balances'!$A$7:$A$206,0)),"")</f>
        <v>0</v>
      </c>
      <c r="C30" s="31" t="str">
        <f>IF(A30="","",IF(OR(D30="Coach",D30="Treasurer"),"Waived",IF(OR(B30="",B30=0),"",IF(SUMIFS(Transactions!$F$7:$F$989,Transactions!$D$7:$D$989,"Income",Transactions!$C$7:$C$989,"Dues",Transactions!$E$7:$E$989,A30)&gt;=B30,"Paid",IF(SUMIFS(Transactions!$F$7:$F$989,Transactions!$D$7:$D$989,"Income",Transactions!$C$7:$C$989,"Dues",Transactions!$E$7:$E$989,A30)&gt;0,"Partial","Unpaid")))))</f>
        <v/>
      </c>
      <c r="D30" s="39" t="str">
        <f>'Access Codes'!C31</f>
        <v>Player</v>
      </c>
      <c r="E30" s="31" t="str">
        <f>'Access Codes'!D31</f>
        <v>Active</v>
      </c>
      <c r="F30" s="31"/>
      <c r="G30" s="31"/>
      <c r="H30" s="5"/>
      <c r="I30" s="5"/>
      <c r="J30" s="5"/>
      <c r="K30" s="5"/>
      <c r="L30" s="5"/>
      <c r="M30" s="5"/>
      <c r="N30" s="5"/>
      <c r="O30" s="5"/>
      <c r="P30" s="5"/>
      <c r="Q30" s="5"/>
      <c r="R30" s="5"/>
      <c r="S30" s="5"/>
      <c r="T30" s="5"/>
      <c r="U30" s="5"/>
      <c r="V30" s="5"/>
      <c r="W30" s="5"/>
      <c r="X30" s="5"/>
      <c r="Y30" s="5"/>
      <c r="Z30" s="5"/>
    </row>
    <row r="31" ht="19.5" customHeight="1">
      <c r="A31" s="31" t="str">
        <f>'Access Codes'!A32</f>
        <v>Sarah Kingsley-Hart</v>
      </c>
      <c r="B31" s="32">
        <f t="array" ref="B31">IFERROR(INDEX('Player Balances'!$B$7:$B$206,MATCH(A31,'Player Balances'!$A$7:$A$206,0)),"")</f>
        <v>0</v>
      </c>
      <c r="C31" s="31" t="str">
        <f>IF(A31="","",IF(OR(D31="Coach",D31="Treasurer"),"Waived",IF(OR(B31="",B31=0),"",IF(SUMIFS(Transactions!$F$7:$F$989,Transactions!$D$7:$D$989,"Income",Transactions!$C$7:$C$989,"Dues",Transactions!$E$7:$E$989,A31)&gt;=B31,"Paid",IF(SUMIFS(Transactions!$F$7:$F$989,Transactions!$D$7:$D$989,"Income",Transactions!$C$7:$C$989,"Dues",Transactions!$E$7:$E$989,A31)&gt;0,"Partial","Unpaid")))))</f>
        <v/>
      </c>
      <c r="D31" s="39" t="str">
        <f>'Access Codes'!C32</f>
        <v>Player</v>
      </c>
      <c r="E31" s="31" t="str">
        <f>'Access Codes'!D32</f>
        <v>Active</v>
      </c>
      <c r="F31" s="31"/>
      <c r="G31" s="31"/>
      <c r="H31" s="5"/>
      <c r="I31" s="5"/>
      <c r="J31" s="5"/>
      <c r="K31" s="5"/>
      <c r="L31" s="5"/>
      <c r="M31" s="5"/>
      <c r="N31" s="5"/>
      <c r="O31" s="5"/>
      <c r="P31" s="5"/>
      <c r="Q31" s="5"/>
      <c r="R31" s="5"/>
      <c r="S31" s="5"/>
      <c r="T31" s="5"/>
      <c r="U31" s="5"/>
      <c r="V31" s="5"/>
      <c r="W31" s="5"/>
      <c r="X31" s="5"/>
      <c r="Y31" s="5"/>
      <c r="Z31" s="5"/>
    </row>
    <row r="32" ht="19.5" customHeight="1">
      <c r="A32" s="31" t="str">
        <f>'Access Codes'!A33</f>
        <v>Sarah Lynch</v>
      </c>
      <c r="B32" s="32">
        <f t="array" ref="B32">IFERROR(INDEX('Player Balances'!$B$7:$B$206,MATCH(A32,'Player Balances'!$A$7:$A$206,0)),"")</f>
        <v>0</v>
      </c>
      <c r="C32" s="31" t="str">
        <f>IF(A32="","",IF(OR(D32="Coach",D32="Treasurer"),"Waived",IF(OR(B32="",B32=0),"",IF(SUMIFS(Transactions!$F$7:$F$989,Transactions!$D$7:$D$989,"Income",Transactions!$C$7:$C$989,"Dues",Transactions!$E$7:$E$989,A32)&gt;=B32,"Paid",IF(SUMIFS(Transactions!$F$7:$F$989,Transactions!$D$7:$D$989,"Income",Transactions!$C$7:$C$989,"Dues",Transactions!$E$7:$E$989,A32)&gt;0,"Partial","Unpaid")))))</f>
        <v/>
      </c>
      <c r="D32" s="39" t="str">
        <f>'Access Codes'!C33</f>
        <v>Player</v>
      </c>
      <c r="E32" s="31" t="str">
        <f>'Access Codes'!D33</f>
        <v>Active</v>
      </c>
      <c r="F32" s="31"/>
      <c r="G32" s="31"/>
      <c r="H32" s="5"/>
      <c r="I32" s="5"/>
      <c r="J32" s="5"/>
      <c r="K32" s="5"/>
      <c r="L32" s="5"/>
      <c r="M32" s="5"/>
      <c r="N32" s="5"/>
      <c r="O32" s="5"/>
      <c r="P32" s="5"/>
      <c r="Q32" s="5"/>
      <c r="R32" s="5"/>
      <c r="S32" s="5"/>
      <c r="T32" s="5"/>
      <c r="U32" s="5"/>
      <c r="V32" s="5"/>
      <c r="W32" s="5"/>
      <c r="X32" s="5"/>
      <c r="Y32" s="5"/>
      <c r="Z32" s="5"/>
    </row>
    <row r="33" ht="19.5" customHeight="1">
      <c r="A33" s="31" t="str">
        <f>'Access Codes'!A34</f>
        <v>Shani Rosenthal</v>
      </c>
      <c r="B33" s="32">
        <f t="array" ref="B33">IFERROR(INDEX('Player Balances'!$B$7:$B$206,MATCH(A33,'Player Balances'!$A$7:$A$206,0)),"")</f>
        <v>0</v>
      </c>
      <c r="C33" s="31" t="str">
        <f>IF(A33="","",IF(OR(D33="Coach",D33="Treasurer"),"Waived",IF(OR(B33="",B33=0),"",IF(SUMIFS(Transactions!$F$7:$F$989,Transactions!$D$7:$D$989,"Income",Transactions!$C$7:$C$989,"Dues",Transactions!$E$7:$E$989,A33)&gt;=B33,"Paid",IF(SUMIFS(Transactions!$F$7:$F$989,Transactions!$D$7:$D$989,"Income",Transactions!$C$7:$C$989,"Dues",Transactions!$E$7:$E$989,A33)&gt;0,"Partial","Unpaid")))))</f>
        <v/>
      </c>
      <c r="D33" s="39" t="str">
        <f>'Access Codes'!C34</f>
        <v>Player</v>
      </c>
      <c r="E33" s="31" t="str">
        <f>'Access Codes'!D34</f>
        <v>Active</v>
      </c>
      <c r="F33" s="31"/>
      <c r="G33" s="31"/>
      <c r="H33" s="5"/>
      <c r="I33" s="5"/>
      <c r="J33" s="5"/>
      <c r="K33" s="5"/>
      <c r="L33" s="5"/>
      <c r="M33" s="5"/>
      <c r="N33" s="5"/>
      <c r="O33" s="5"/>
      <c r="P33" s="5"/>
      <c r="Q33" s="5"/>
      <c r="R33" s="5"/>
      <c r="S33" s="5"/>
      <c r="T33" s="5"/>
      <c r="U33" s="5"/>
      <c r="V33" s="5"/>
      <c r="W33" s="5"/>
      <c r="X33" s="5"/>
      <c r="Y33" s="5"/>
      <c r="Z33" s="5"/>
    </row>
    <row r="34" ht="19.5" customHeight="1">
      <c r="A34" s="31" t="str">
        <f>'Access Codes'!A35</f>
        <v>Vivian Shen</v>
      </c>
      <c r="B34" s="32">
        <f t="array" ref="B34">IFERROR(INDEX('Player Balances'!$B$7:$B$206,MATCH(A34,'Player Balances'!$A$7:$A$206,0)),"")</f>
        <v>0</v>
      </c>
      <c r="C34" s="31" t="str">
        <f>IF(A34="","",IF(OR(D34="Coach",D34="Treasurer"),"Waived",IF(OR(B34="",B34=0),"",IF(SUMIFS(Transactions!$F$7:$F$989,Transactions!$D$7:$D$989,"Income",Transactions!$C$7:$C$989,"Dues",Transactions!$E$7:$E$989,A34)&gt;=B34,"Paid",IF(SUMIFS(Transactions!$F$7:$F$989,Transactions!$D$7:$D$989,"Income",Transactions!$C$7:$C$989,"Dues",Transactions!$E$7:$E$989,A34)&gt;0,"Partial","Unpaid")))))</f>
        <v/>
      </c>
      <c r="D34" s="39" t="str">
        <f>'Access Codes'!C35</f>
        <v>Player</v>
      </c>
      <c r="E34" s="31" t="str">
        <f>'Access Codes'!D35</f>
        <v>Active</v>
      </c>
      <c r="F34" s="31"/>
      <c r="G34" s="31"/>
      <c r="H34" s="5"/>
      <c r="I34" s="5"/>
      <c r="J34" s="5"/>
      <c r="K34" s="5"/>
      <c r="L34" s="5"/>
      <c r="M34" s="5"/>
      <c r="N34" s="5"/>
      <c r="O34" s="5"/>
      <c r="P34" s="5"/>
      <c r="Q34" s="5"/>
      <c r="R34" s="5"/>
      <c r="S34" s="5"/>
      <c r="T34" s="5"/>
      <c r="U34" s="5"/>
      <c r="V34" s="5"/>
      <c r="W34" s="5"/>
      <c r="X34" s="5"/>
      <c r="Y34" s="5"/>
      <c r="Z34" s="5"/>
    </row>
    <row r="35" ht="19.5" customHeight="1">
      <c r="A35" s="31" t="str">
        <f>'Access Codes'!A36</f>
        <v>Zach Esakof</v>
      </c>
      <c r="B35" s="32">
        <f t="array" ref="B35">IFERROR(INDEX('Player Balances'!$B$7:$B$206,MATCH(A35,'Player Balances'!$A$7:$A$206,0)),"")</f>
        <v>0</v>
      </c>
      <c r="C35" s="31" t="str">
        <f>IF(A35="","",IF(OR(D35="Coach",D35="Treasurer"),"Waived",IF(OR(B35="",B35=0),"",IF(SUMIFS(Transactions!$F$7:$F$989,Transactions!$D$7:$D$989,"Income",Transactions!$C$7:$C$989,"Dues",Transactions!$E$7:$E$989,A35)&gt;=B35,"Paid",IF(SUMIFS(Transactions!$F$7:$F$989,Transactions!$D$7:$D$989,"Income",Transactions!$C$7:$C$989,"Dues",Transactions!$E$7:$E$989,A35)&gt;0,"Partial","Unpaid")))))</f>
        <v/>
      </c>
      <c r="D35" s="39" t="str">
        <f>'Access Codes'!C36</f>
        <v>Player</v>
      </c>
      <c r="E35" s="31" t="str">
        <f>'Access Codes'!D36</f>
        <v>Active</v>
      </c>
      <c r="F35" s="31"/>
      <c r="G35" s="31"/>
      <c r="H35" s="5"/>
      <c r="I35" s="5"/>
      <c r="J35" s="5"/>
      <c r="K35" s="5"/>
      <c r="L35" s="5"/>
      <c r="M35" s="5"/>
      <c r="N35" s="5"/>
      <c r="O35" s="5"/>
      <c r="P35" s="5"/>
      <c r="Q35" s="5"/>
      <c r="R35" s="5"/>
      <c r="S35" s="5"/>
      <c r="T35" s="5"/>
      <c r="U35" s="5"/>
      <c r="V35" s="5"/>
      <c r="W35" s="5"/>
      <c r="X35" s="5"/>
      <c r="Y35" s="5"/>
      <c r="Z35" s="5"/>
    </row>
    <row r="36" ht="19.5" customHeight="1">
      <c r="A36" s="31" t="str">
        <f>'Access Codes'!A37</f>
        <v>Annette Kukunas-Piper</v>
      </c>
      <c r="B36" s="32">
        <f t="array" ref="B36">IFERROR(INDEX('Player Balances'!$B$7:$B$206,MATCH(A36,'Player Balances'!$A$7:$A$206,0)),"")</f>
        <v>0</v>
      </c>
      <c r="C36" s="31" t="str">
        <f>IF(A36="","",IF(OR(D36="Coach",D36="Treasurer"),"Waived",IF(OR(B36="",B36=0),"",IF(SUMIFS(Transactions!$F$7:$F$989,Transactions!$D$7:$D$989,"Income",Transactions!$C$7:$C$989,"Dues",Transactions!$E$7:$E$989,A36)&gt;=B36,"Paid",IF(SUMIFS(Transactions!$F$7:$F$989,Transactions!$D$7:$D$989,"Income",Transactions!$C$7:$C$989,"Dues",Transactions!$E$7:$E$989,A36)&gt;0,"Partial","Unpaid")))))</f>
        <v>Waived</v>
      </c>
      <c r="D36" s="39" t="str">
        <f>'Access Codes'!C37</f>
        <v>Coach</v>
      </c>
      <c r="E36" s="31" t="str">
        <f>'Access Codes'!D37</f>
        <v>Active</v>
      </c>
      <c r="F36" s="31"/>
      <c r="G36" s="31"/>
      <c r="H36" s="5"/>
      <c r="I36" s="5"/>
      <c r="J36" s="5"/>
      <c r="K36" s="5"/>
      <c r="L36" s="5"/>
      <c r="M36" s="5"/>
      <c r="N36" s="5"/>
      <c r="O36" s="5"/>
      <c r="P36" s="5"/>
      <c r="Q36" s="5"/>
      <c r="R36" s="5"/>
      <c r="S36" s="5"/>
      <c r="T36" s="5"/>
      <c r="U36" s="5"/>
      <c r="V36" s="5"/>
      <c r="W36" s="5"/>
      <c r="X36" s="5"/>
      <c r="Y36" s="5"/>
      <c r="Z36" s="5"/>
    </row>
    <row r="37" ht="19.5" customHeight="1">
      <c r="A37" s="31" t="str">
        <f>'Access Codes'!A38</f>
        <v>Matt Duffy</v>
      </c>
      <c r="B37" s="32">
        <f t="array" ref="B37">IFERROR(INDEX('Player Balances'!$B$7:$B$206,MATCH(A37,'Player Balances'!$A$7:$A$206,0)),"")</f>
        <v>0</v>
      </c>
      <c r="C37" s="31" t="str">
        <f>IF(A37="","",IF(OR(D37="Coach",D37="Treasurer"),"Waived",IF(OR(B37="",B37=0),"",IF(SUMIFS(Transactions!$F$7:$F$989,Transactions!$D$7:$D$989,"Income",Transactions!$C$7:$C$989,"Dues",Transactions!$E$7:$E$989,A37)&gt;=B37,"Paid",IF(SUMIFS(Transactions!$F$7:$F$989,Transactions!$D$7:$D$989,"Income",Transactions!$C$7:$C$989,"Dues",Transactions!$E$7:$E$989,A37)&gt;0,"Partial","Unpaid")))))</f>
        <v>Waived</v>
      </c>
      <c r="D37" s="39" t="str">
        <f>'Access Codes'!C38</f>
        <v>Coach</v>
      </c>
      <c r="E37" s="31" t="str">
        <f>'Access Codes'!D38</f>
        <v>Active</v>
      </c>
      <c r="F37" s="31"/>
      <c r="G37" s="31"/>
      <c r="H37" s="5"/>
      <c r="I37" s="5"/>
      <c r="J37" s="5"/>
      <c r="K37" s="5"/>
      <c r="L37" s="5"/>
      <c r="M37" s="5"/>
      <c r="N37" s="5"/>
      <c r="O37" s="5"/>
      <c r="P37" s="5"/>
      <c r="Q37" s="5"/>
      <c r="R37" s="5"/>
      <c r="S37" s="5"/>
      <c r="T37" s="5"/>
      <c r="U37" s="5"/>
      <c r="V37" s="5"/>
      <c r="W37" s="5"/>
      <c r="X37" s="5"/>
      <c r="Y37" s="5"/>
      <c r="Z37" s="5"/>
    </row>
    <row r="38" ht="19.5" customHeight="1">
      <c r="A38" s="31" t="str">
        <f>'Access Codes'!A39</f>
        <v>Ryan Birchard</v>
      </c>
      <c r="B38" s="32">
        <f t="array" ref="B38">IFERROR(INDEX('Player Balances'!$B$7:$B$206,MATCH(A38,'Player Balances'!$A$7:$A$206,0)),"")</f>
        <v>0</v>
      </c>
      <c r="C38" s="31" t="str">
        <f>IF(A38="","",IF(OR(D38="Coach",D38="Treasurer"),"Waived",IF(OR(B38="",B38=0),"",IF(SUMIFS(Transactions!$F$7:$F$989,Transactions!$D$7:$D$989,"Income",Transactions!$C$7:$C$989,"Dues",Transactions!$E$7:$E$989,A38)&gt;=B38,"Paid",IF(SUMIFS(Transactions!$F$7:$F$989,Transactions!$D$7:$D$989,"Income",Transactions!$C$7:$C$989,"Dues",Transactions!$E$7:$E$989,A38)&gt;0,"Partial","Unpaid")))))</f>
        <v>Waived</v>
      </c>
      <c r="D38" s="39" t="str">
        <f>'Access Codes'!C39</f>
        <v>Coach</v>
      </c>
      <c r="E38" s="31" t="str">
        <f>'Access Codes'!D39</f>
        <v>Active</v>
      </c>
      <c r="F38" s="31"/>
      <c r="G38" s="31"/>
      <c r="H38" s="5"/>
      <c r="I38" s="5"/>
      <c r="J38" s="5"/>
      <c r="K38" s="5"/>
      <c r="L38" s="5"/>
      <c r="M38" s="5"/>
      <c r="N38" s="5"/>
      <c r="O38" s="5"/>
      <c r="P38" s="5"/>
      <c r="Q38" s="5"/>
      <c r="R38" s="5"/>
      <c r="S38" s="5"/>
      <c r="T38" s="5"/>
      <c r="U38" s="5"/>
      <c r="V38" s="5"/>
      <c r="W38" s="5"/>
      <c r="X38" s="5"/>
      <c r="Y38" s="5"/>
      <c r="Z38" s="5"/>
    </row>
    <row r="39" ht="19.5" customHeight="1">
      <c r="A39" s="31" t="str">
        <f>'Access Codes'!A40</f>
        <v>Nick Blair</v>
      </c>
      <c r="B39" s="32">
        <f t="array" ref="B39">IFERROR(INDEX('Player Balances'!$B$7:$B$206,MATCH(A39,'Player Balances'!$A$7:$A$206,0)),"")</f>
        <v>0</v>
      </c>
      <c r="C39" s="31" t="str">
        <f>IF(A39="","",IF(OR(D39="Coach",D39="Treasurer"),"Waived",IF(OR(B39="",B39=0),"",IF(SUMIFS(Transactions!$F$7:$F$989,Transactions!$D$7:$D$989,"Income",Transactions!$C$7:$C$989,"Dues",Transactions!$E$7:$E$989,A39)&gt;=B39,"Paid",IF(SUMIFS(Transactions!$F$7:$F$989,Transactions!$D$7:$D$989,"Income",Transactions!$C$7:$C$989,"Dues",Transactions!$E$7:$E$989,A39)&gt;0,"Partial","Unpaid")))))</f>
        <v/>
      </c>
      <c r="D39" s="39" t="str">
        <f>'Access Codes'!C40</f>
        <v>Support</v>
      </c>
      <c r="E39" s="31" t="str">
        <f>'Access Codes'!D40</f>
        <v>Active</v>
      </c>
      <c r="F39" s="31"/>
      <c r="G39" s="31"/>
      <c r="H39" s="5"/>
      <c r="I39" s="5"/>
      <c r="J39" s="5"/>
      <c r="K39" s="5"/>
      <c r="L39" s="5"/>
      <c r="M39" s="5"/>
      <c r="N39" s="5"/>
      <c r="O39" s="5"/>
      <c r="P39" s="5"/>
      <c r="Q39" s="5"/>
      <c r="R39" s="5"/>
      <c r="S39" s="5"/>
      <c r="T39" s="5"/>
      <c r="U39" s="5"/>
      <c r="V39" s="5"/>
      <c r="W39" s="5"/>
      <c r="X39" s="5"/>
      <c r="Y39" s="5"/>
      <c r="Z39" s="5"/>
    </row>
    <row r="40" ht="19.5" customHeight="1">
      <c r="A40" s="31" t="str">
        <f>'Access Codes'!A41</f>
        <v>Lily Nguyen</v>
      </c>
      <c r="B40" s="32">
        <f t="array" ref="B40">IFERROR(INDEX('Player Balances'!$B$7:$B$206,MATCH(A40,'Player Balances'!$A$7:$A$206,0)),"")</f>
        <v>0</v>
      </c>
      <c r="C40" s="31" t="str">
        <f>IF(A40="","",IF(OR(D40="Coach",D40="Treasurer"),"Waived",IF(OR(B40="",B40=0),"",IF(SUMIFS(Transactions!$F$7:$F$989,Transactions!$D$7:$D$989,"Income",Transactions!$C$7:$C$989,"Dues",Transactions!$E$7:$E$989,A40)&gt;=B40,"Paid",IF(SUMIFS(Transactions!$F$7:$F$989,Transactions!$D$7:$D$989,"Income",Transactions!$C$7:$C$989,"Dues",Transactions!$E$7:$E$989,A40)&gt;0,"Partial","Unpaid")))))</f>
        <v/>
      </c>
      <c r="D40" s="39" t="str">
        <f>'Access Codes'!C41</f>
        <v>Support</v>
      </c>
      <c r="E40" s="31" t="str">
        <f>'Access Codes'!D41</f>
        <v>Active</v>
      </c>
      <c r="F40" s="31"/>
      <c r="G40" s="31" t="s">
        <v>123</v>
      </c>
      <c r="H40" s="5"/>
      <c r="I40" s="5"/>
      <c r="J40" s="5"/>
      <c r="K40" s="5"/>
      <c r="L40" s="5"/>
      <c r="M40" s="5"/>
      <c r="N40" s="5"/>
      <c r="O40" s="5"/>
      <c r="P40" s="5"/>
      <c r="Q40" s="5"/>
      <c r="R40" s="5"/>
      <c r="S40" s="5"/>
      <c r="T40" s="5"/>
      <c r="U40" s="5"/>
      <c r="V40" s="5"/>
      <c r="W40" s="5"/>
      <c r="X40" s="5"/>
      <c r="Y40" s="5"/>
      <c r="Z40" s="5"/>
    </row>
    <row r="41" ht="19.5" customHeight="1">
      <c r="A41" s="31" t="str">
        <f>'Access Codes'!A42</f>
        <v>Griff Soren</v>
      </c>
      <c r="B41" s="32">
        <f t="array" ref="B41">IFERROR(INDEX('Player Balances'!$B$7:$B$206,MATCH(A41,'Player Balances'!$A$7:$A$206,0)),"")</f>
        <v>0</v>
      </c>
      <c r="C41" s="31" t="str">
        <f>IF(A41="","",IF(OR(D41="Coach",D41="Treasurer"),"Waived",IF(OR(B41="",B41=0),"",IF(SUMIFS(Transactions!$F$7:$F$989,Transactions!$D$7:$D$989,"Income",Transactions!$C$7:$C$989,"Dues",Transactions!$E$7:$E$989,A41)&gt;=B41,"Paid",IF(SUMIFS(Transactions!$F$7:$F$989,Transactions!$D$7:$D$989,"Income",Transactions!$C$7:$C$989,"Dues",Transactions!$E$7:$E$989,A41)&gt;0,"Partial","Unpaid")))))</f>
        <v/>
      </c>
      <c r="D41" s="39" t="str">
        <f>'Access Codes'!C42</f>
        <v>Support</v>
      </c>
      <c r="E41" s="31" t="str">
        <f>'Access Codes'!D42</f>
        <v>Active</v>
      </c>
      <c r="F41" s="31"/>
      <c r="G41" s="31" t="s">
        <v>130</v>
      </c>
      <c r="H41" s="5"/>
      <c r="I41" s="5"/>
      <c r="J41" s="5"/>
      <c r="K41" s="5"/>
      <c r="L41" s="5"/>
      <c r="M41" s="5"/>
      <c r="N41" s="5"/>
      <c r="O41" s="5"/>
      <c r="P41" s="5"/>
      <c r="Q41" s="5"/>
      <c r="R41" s="5"/>
      <c r="S41" s="5"/>
      <c r="T41" s="5"/>
      <c r="U41" s="5"/>
      <c r="V41" s="5"/>
      <c r="W41" s="5"/>
      <c r="X41" s="5"/>
      <c r="Y41" s="5"/>
      <c r="Z41" s="5"/>
    </row>
    <row r="42" ht="19.5" customHeight="1">
      <c r="A42" s="31" t="str">
        <f>'Access Codes'!A43</f>
        <v>Griff Alice</v>
      </c>
      <c r="B42" s="32">
        <f t="array" ref="B42">IFERROR(INDEX('Player Balances'!$B$7:$B$206,MATCH(A42,'Player Balances'!$A$7:$A$206,0)),"")</f>
        <v>0</v>
      </c>
      <c r="C42" s="31" t="str">
        <f>IF(A42="","",IF(OR(D42="Coach",D42="Treasurer"),"Waived",IF(OR(B42="",B42=0),"",IF(SUMIFS(Transactions!$F$7:$F$989,Transactions!$D$7:$D$989,"Income",Transactions!$C$7:$C$989,"Dues",Transactions!$E$7:$E$989,A42)&gt;=B42,"Paid",IF(SUMIFS(Transactions!$F$7:$F$989,Transactions!$D$7:$D$989,"Income",Transactions!$C$7:$C$989,"Dues",Transactions!$E$7:$E$989,A42)&gt;0,"Partial","Unpaid")))))</f>
        <v/>
      </c>
      <c r="D42" s="39" t="str">
        <f>'Access Codes'!C43</f>
        <v>Support</v>
      </c>
      <c r="E42" s="31" t="str">
        <f>'Access Codes'!D43</f>
        <v>Active</v>
      </c>
      <c r="F42" s="31"/>
      <c r="G42" s="31" t="s">
        <v>130</v>
      </c>
      <c r="H42" s="5"/>
      <c r="I42" s="5"/>
      <c r="J42" s="5"/>
      <c r="K42" s="5"/>
      <c r="L42" s="5"/>
      <c r="M42" s="5"/>
      <c r="N42" s="5"/>
      <c r="O42" s="5"/>
      <c r="P42" s="5"/>
      <c r="Q42" s="5"/>
      <c r="R42" s="5"/>
      <c r="S42" s="5"/>
      <c r="T42" s="5"/>
      <c r="U42" s="5"/>
      <c r="V42" s="5"/>
      <c r="W42" s="5"/>
      <c r="X42" s="5"/>
      <c r="Y42" s="5"/>
      <c r="Z42" s="5"/>
    </row>
    <row r="43" ht="19.5" customHeight="1">
      <c r="A43" s="31"/>
      <c r="B43" s="32"/>
      <c r="C43" s="31"/>
      <c r="D43" s="31"/>
      <c r="E43" s="31"/>
      <c r="F43" s="31"/>
      <c r="G43" s="31"/>
      <c r="H43" s="5"/>
      <c r="I43" s="5"/>
      <c r="J43" s="5"/>
      <c r="K43" s="5"/>
      <c r="L43" s="5"/>
      <c r="M43" s="5"/>
      <c r="N43" s="5"/>
      <c r="O43" s="5"/>
      <c r="P43" s="5"/>
      <c r="Q43" s="5"/>
      <c r="R43" s="5"/>
      <c r="S43" s="5"/>
      <c r="T43" s="5"/>
      <c r="U43" s="5"/>
      <c r="V43" s="5"/>
      <c r="W43" s="5"/>
      <c r="X43" s="5"/>
      <c r="Y43" s="5"/>
      <c r="Z43" s="5"/>
    </row>
    <row r="44" ht="19.5" customHeight="1">
      <c r="A44" s="31"/>
      <c r="B44" s="32"/>
      <c r="C44" s="31"/>
      <c r="D44" s="31"/>
      <c r="E44" s="31"/>
      <c r="F44" s="31"/>
      <c r="G44" s="31"/>
      <c r="H44" s="5"/>
      <c r="I44" s="5"/>
      <c r="J44" s="5"/>
      <c r="K44" s="5"/>
      <c r="L44" s="5"/>
      <c r="M44" s="5"/>
      <c r="N44" s="5"/>
      <c r="O44" s="5"/>
      <c r="P44" s="5"/>
      <c r="Q44" s="5"/>
      <c r="R44" s="5"/>
      <c r="S44" s="5"/>
      <c r="T44" s="5"/>
      <c r="U44" s="5"/>
      <c r="V44" s="5"/>
      <c r="W44" s="5"/>
      <c r="X44" s="5"/>
      <c r="Y44" s="5"/>
      <c r="Z44" s="5"/>
    </row>
    <row r="45" ht="19.5" customHeight="1">
      <c r="A45" s="31"/>
      <c r="B45" s="32"/>
      <c r="C45" s="31"/>
      <c r="D45" s="31"/>
      <c r="E45" s="31"/>
      <c r="F45" s="31"/>
      <c r="G45" s="31"/>
      <c r="H45" s="5"/>
      <c r="I45" s="5"/>
      <c r="J45" s="5"/>
      <c r="K45" s="5"/>
      <c r="L45" s="5"/>
      <c r="M45" s="5"/>
      <c r="N45" s="5"/>
      <c r="O45" s="5"/>
      <c r="P45" s="5"/>
      <c r="Q45" s="5"/>
      <c r="R45" s="5"/>
      <c r="S45" s="5"/>
      <c r="T45" s="5"/>
      <c r="U45" s="5"/>
      <c r="V45" s="5"/>
      <c r="W45" s="5"/>
      <c r="X45" s="5"/>
      <c r="Y45" s="5"/>
      <c r="Z45" s="5"/>
    </row>
    <row r="46" ht="19.5" customHeight="1">
      <c r="A46" s="31"/>
      <c r="B46" s="32"/>
      <c r="C46" s="31"/>
      <c r="D46" s="31"/>
      <c r="E46" s="31"/>
      <c r="F46" s="31"/>
      <c r="G46" s="31"/>
      <c r="H46" s="5"/>
      <c r="I46" s="5"/>
      <c r="J46" s="5"/>
      <c r="K46" s="5"/>
      <c r="L46" s="5"/>
      <c r="M46" s="5"/>
      <c r="N46" s="5"/>
      <c r="O46" s="5"/>
      <c r="P46" s="5"/>
      <c r="Q46" s="5"/>
      <c r="R46" s="5"/>
      <c r="S46" s="5"/>
      <c r="T46" s="5"/>
      <c r="U46" s="5"/>
      <c r="V46" s="5"/>
      <c r="W46" s="5"/>
      <c r="X46" s="5"/>
      <c r="Y46" s="5"/>
      <c r="Z46" s="5"/>
    </row>
    <row r="47" ht="19.5" customHeight="1">
      <c r="A47" s="31"/>
      <c r="B47" s="32"/>
      <c r="C47" s="31"/>
      <c r="D47" s="31"/>
      <c r="E47" s="31"/>
      <c r="F47" s="31"/>
      <c r="G47" s="31"/>
      <c r="H47" s="5"/>
      <c r="I47" s="5"/>
      <c r="J47" s="5"/>
      <c r="K47" s="5"/>
      <c r="L47" s="5"/>
      <c r="M47" s="5"/>
      <c r="N47" s="5"/>
      <c r="O47" s="5"/>
      <c r="P47" s="5"/>
      <c r="Q47" s="5"/>
      <c r="R47" s="5"/>
      <c r="S47" s="5"/>
      <c r="T47" s="5"/>
      <c r="U47" s="5"/>
      <c r="V47" s="5"/>
      <c r="W47" s="5"/>
      <c r="X47" s="5"/>
      <c r="Y47" s="5"/>
      <c r="Z47" s="5"/>
    </row>
    <row r="48" ht="19.5" customHeight="1">
      <c r="A48" s="31"/>
      <c r="B48" s="32"/>
      <c r="C48" s="31"/>
      <c r="D48" s="31"/>
      <c r="E48" s="31"/>
      <c r="F48" s="31"/>
      <c r="G48" s="31"/>
      <c r="H48" s="5"/>
      <c r="I48" s="5"/>
      <c r="J48" s="5"/>
      <c r="K48" s="5"/>
      <c r="L48" s="5"/>
      <c r="M48" s="5"/>
      <c r="N48" s="5"/>
      <c r="O48" s="5"/>
      <c r="P48" s="5"/>
      <c r="Q48" s="5"/>
      <c r="R48" s="5"/>
      <c r="S48" s="5"/>
      <c r="T48" s="5"/>
      <c r="U48" s="5"/>
      <c r="V48" s="5"/>
      <c r="W48" s="5"/>
      <c r="X48" s="5"/>
      <c r="Y48" s="5"/>
      <c r="Z48" s="5"/>
    </row>
    <row r="49" ht="19.5" customHeight="1">
      <c r="A49" s="31"/>
      <c r="B49" s="32"/>
      <c r="C49" s="31"/>
      <c r="D49" s="31"/>
      <c r="E49" s="31"/>
      <c r="F49" s="31"/>
      <c r="G49" s="31"/>
      <c r="H49" s="5"/>
      <c r="I49" s="5"/>
      <c r="J49" s="5"/>
      <c r="K49" s="5"/>
      <c r="L49" s="5"/>
      <c r="M49" s="5"/>
      <c r="N49" s="5"/>
      <c r="O49" s="5"/>
      <c r="P49" s="5"/>
      <c r="Q49" s="5"/>
      <c r="R49" s="5"/>
      <c r="S49" s="5"/>
      <c r="T49" s="5"/>
      <c r="U49" s="5"/>
      <c r="V49" s="5"/>
      <c r="W49" s="5"/>
      <c r="X49" s="5"/>
      <c r="Y49" s="5"/>
      <c r="Z49" s="5"/>
    </row>
    <row r="50" ht="19.5" customHeight="1">
      <c r="A50" s="31"/>
      <c r="B50" s="32"/>
      <c r="C50" s="31"/>
      <c r="D50" s="31"/>
      <c r="E50" s="31"/>
      <c r="F50" s="31"/>
      <c r="G50" s="31"/>
      <c r="H50" s="5"/>
      <c r="I50" s="5"/>
      <c r="J50" s="5"/>
      <c r="K50" s="5"/>
      <c r="L50" s="5"/>
      <c r="M50" s="5"/>
      <c r="N50" s="5"/>
      <c r="O50" s="5"/>
      <c r="P50" s="5"/>
      <c r="Q50" s="5"/>
      <c r="R50" s="5"/>
      <c r="S50" s="5"/>
      <c r="T50" s="5"/>
      <c r="U50" s="5"/>
      <c r="V50" s="5"/>
      <c r="W50" s="5"/>
      <c r="X50" s="5"/>
      <c r="Y50" s="5"/>
      <c r="Z50" s="5"/>
    </row>
    <row r="51" ht="19.5" customHeight="1">
      <c r="A51" s="31"/>
      <c r="B51" s="32"/>
      <c r="C51" s="31"/>
      <c r="D51" s="31"/>
      <c r="E51" s="31"/>
      <c r="F51" s="31"/>
      <c r="G51" s="31"/>
      <c r="H51" s="5"/>
      <c r="I51" s="5"/>
      <c r="J51" s="5"/>
      <c r="K51" s="5"/>
      <c r="L51" s="5"/>
      <c r="M51" s="5"/>
      <c r="N51" s="5"/>
      <c r="O51" s="5"/>
      <c r="P51" s="5"/>
      <c r="Q51" s="5"/>
      <c r="R51" s="5"/>
      <c r="S51" s="5"/>
      <c r="T51" s="5"/>
      <c r="U51" s="5"/>
      <c r="V51" s="5"/>
      <c r="W51" s="5"/>
      <c r="X51" s="5"/>
      <c r="Y51" s="5"/>
      <c r="Z51" s="5"/>
    </row>
    <row r="52" ht="19.5" customHeight="1">
      <c r="A52" s="31"/>
      <c r="B52" s="32"/>
      <c r="C52" s="31"/>
      <c r="D52" s="31"/>
      <c r="E52" s="31"/>
      <c r="F52" s="31"/>
      <c r="G52" s="31"/>
      <c r="H52" s="5"/>
      <c r="I52" s="5"/>
      <c r="J52" s="5"/>
      <c r="K52" s="5"/>
      <c r="L52" s="5"/>
      <c r="M52" s="5"/>
      <c r="N52" s="5"/>
      <c r="O52" s="5"/>
      <c r="P52" s="5"/>
      <c r="Q52" s="5"/>
      <c r="R52" s="5"/>
      <c r="S52" s="5"/>
      <c r="T52" s="5"/>
      <c r="U52" s="5"/>
      <c r="V52" s="5"/>
      <c r="W52" s="5"/>
      <c r="X52" s="5"/>
      <c r="Y52" s="5"/>
      <c r="Z52" s="5"/>
    </row>
    <row r="53" ht="19.5" customHeight="1">
      <c r="A53" s="31"/>
      <c r="B53" s="32"/>
      <c r="C53" s="31"/>
      <c r="D53" s="31"/>
      <c r="E53" s="31"/>
      <c r="F53" s="31"/>
      <c r="G53" s="31"/>
      <c r="H53" s="5"/>
      <c r="I53" s="5"/>
      <c r="J53" s="5"/>
      <c r="K53" s="5"/>
      <c r="L53" s="5"/>
      <c r="M53" s="5"/>
      <c r="N53" s="5"/>
      <c r="O53" s="5"/>
      <c r="P53" s="5"/>
      <c r="Q53" s="5"/>
      <c r="R53" s="5"/>
      <c r="S53" s="5"/>
      <c r="T53" s="5"/>
      <c r="U53" s="5"/>
      <c r="V53" s="5"/>
      <c r="W53" s="5"/>
      <c r="X53" s="5"/>
      <c r="Y53" s="5"/>
      <c r="Z53" s="5"/>
    </row>
    <row r="54" ht="19.5" customHeight="1">
      <c r="A54" s="31"/>
      <c r="B54" s="32"/>
      <c r="C54" s="31"/>
      <c r="D54" s="31"/>
      <c r="E54" s="31"/>
      <c r="F54" s="31"/>
      <c r="G54" s="31"/>
      <c r="H54" s="5"/>
      <c r="I54" s="5"/>
      <c r="J54" s="5"/>
      <c r="K54" s="5"/>
      <c r="L54" s="5"/>
      <c r="M54" s="5"/>
      <c r="N54" s="5"/>
      <c r="O54" s="5"/>
      <c r="P54" s="5"/>
      <c r="Q54" s="5"/>
      <c r="R54" s="5"/>
      <c r="S54" s="5"/>
      <c r="T54" s="5"/>
      <c r="U54" s="5"/>
      <c r="V54" s="5"/>
      <c r="W54" s="5"/>
      <c r="X54" s="5"/>
      <c r="Y54" s="5"/>
      <c r="Z54" s="5"/>
    </row>
    <row r="55" ht="19.5" customHeight="1">
      <c r="A55" s="31"/>
      <c r="B55" s="32"/>
      <c r="C55" s="31"/>
      <c r="D55" s="31"/>
      <c r="E55" s="31"/>
      <c r="F55" s="31"/>
      <c r="G55" s="31"/>
      <c r="H55" s="5"/>
      <c r="I55" s="5"/>
      <c r="J55" s="5"/>
      <c r="K55" s="5"/>
      <c r="L55" s="5"/>
      <c r="M55" s="5"/>
      <c r="N55" s="5"/>
      <c r="O55" s="5"/>
      <c r="P55" s="5"/>
      <c r="Q55" s="5"/>
      <c r="R55" s="5"/>
      <c r="S55" s="5"/>
      <c r="T55" s="5"/>
      <c r="U55" s="5"/>
      <c r="V55" s="5"/>
      <c r="W55" s="5"/>
      <c r="X55" s="5"/>
      <c r="Y55" s="5"/>
      <c r="Z55" s="5"/>
    </row>
    <row r="56" ht="19.5" customHeight="1">
      <c r="A56" s="31"/>
      <c r="B56" s="32"/>
      <c r="C56" s="31"/>
      <c r="D56" s="31"/>
      <c r="E56" s="31"/>
      <c r="F56" s="31"/>
      <c r="G56" s="31"/>
      <c r="H56" s="5"/>
      <c r="I56" s="5"/>
      <c r="J56" s="5"/>
      <c r="K56" s="5"/>
      <c r="L56" s="5"/>
      <c r="M56" s="5"/>
      <c r="N56" s="5"/>
      <c r="O56" s="5"/>
      <c r="P56" s="5"/>
      <c r="Q56" s="5"/>
      <c r="R56" s="5"/>
      <c r="S56" s="5"/>
      <c r="T56" s="5"/>
      <c r="U56" s="5"/>
      <c r="V56" s="5"/>
      <c r="W56" s="5"/>
      <c r="X56" s="5"/>
      <c r="Y56" s="5"/>
      <c r="Z56" s="5"/>
    </row>
    <row r="57" ht="19.5" customHeight="1">
      <c r="A57" s="31"/>
      <c r="B57" s="32"/>
      <c r="C57" s="31"/>
      <c r="D57" s="31"/>
      <c r="E57" s="31"/>
      <c r="F57" s="31"/>
      <c r="G57" s="31"/>
      <c r="H57" s="5"/>
      <c r="I57" s="5"/>
      <c r="J57" s="5"/>
      <c r="K57" s="5"/>
      <c r="L57" s="5"/>
      <c r="M57" s="5"/>
      <c r="N57" s="5"/>
      <c r="O57" s="5"/>
      <c r="P57" s="5"/>
      <c r="Q57" s="5"/>
      <c r="R57" s="5"/>
      <c r="S57" s="5"/>
      <c r="T57" s="5"/>
      <c r="U57" s="5"/>
      <c r="V57" s="5"/>
      <c r="W57" s="5"/>
      <c r="X57" s="5"/>
      <c r="Y57" s="5"/>
      <c r="Z57" s="5"/>
    </row>
    <row r="58" ht="19.5" customHeight="1">
      <c r="A58" s="31"/>
      <c r="B58" s="32"/>
      <c r="C58" s="31"/>
      <c r="D58" s="31"/>
      <c r="E58" s="31"/>
      <c r="F58" s="31"/>
      <c r="G58" s="31"/>
      <c r="H58" s="5"/>
      <c r="I58" s="5"/>
      <c r="J58" s="5"/>
      <c r="K58" s="5"/>
      <c r="L58" s="5"/>
      <c r="M58" s="5"/>
      <c r="N58" s="5"/>
      <c r="O58" s="5"/>
      <c r="P58" s="5"/>
      <c r="Q58" s="5"/>
      <c r="R58" s="5"/>
      <c r="S58" s="5"/>
      <c r="T58" s="5"/>
      <c r="U58" s="5"/>
      <c r="V58" s="5"/>
      <c r="W58" s="5"/>
      <c r="X58" s="5"/>
      <c r="Y58" s="5"/>
      <c r="Z58" s="5"/>
    </row>
    <row r="59" ht="19.5" customHeight="1">
      <c r="A59" s="31"/>
      <c r="B59" s="32"/>
      <c r="C59" s="31"/>
      <c r="D59" s="31"/>
      <c r="E59" s="31"/>
      <c r="F59" s="31"/>
      <c r="G59" s="31"/>
      <c r="H59" s="5"/>
      <c r="I59" s="5"/>
      <c r="J59" s="5"/>
      <c r="K59" s="5"/>
      <c r="L59" s="5"/>
      <c r="M59" s="5"/>
      <c r="N59" s="5"/>
      <c r="O59" s="5"/>
      <c r="P59" s="5"/>
      <c r="Q59" s="5"/>
      <c r="R59" s="5"/>
      <c r="S59" s="5"/>
      <c r="T59" s="5"/>
      <c r="U59" s="5"/>
      <c r="V59" s="5"/>
      <c r="W59" s="5"/>
      <c r="X59" s="5"/>
      <c r="Y59" s="5"/>
      <c r="Z59" s="5"/>
    </row>
    <row r="60" ht="19.5" customHeight="1">
      <c r="A60" s="31"/>
      <c r="B60" s="32"/>
      <c r="C60" s="31"/>
      <c r="D60" s="31"/>
      <c r="E60" s="31"/>
      <c r="F60" s="31"/>
      <c r="G60" s="31"/>
      <c r="H60" s="5"/>
      <c r="I60" s="5"/>
      <c r="J60" s="5"/>
      <c r="K60" s="5"/>
      <c r="L60" s="5"/>
      <c r="M60" s="5"/>
      <c r="N60" s="5"/>
      <c r="O60" s="5"/>
      <c r="P60" s="5"/>
      <c r="Q60" s="5"/>
      <c r="R60" s="5"/>
      <c r="S60" s="5"/>
      <c r="T60" s="5"/>
      <c r="U60" s="5"/>
      <c r="V60" s="5"/>
      <c r="W60" s="5"/>
      <c r="X60" s="5"/>
      <c r="Y60" s="5"/>
      <c r="Z60" s="5"/>
    </row>
    <row r="61" ht="19.5" customHeight="1">
      <c r="A61" s="31"/>
      <c r="B61" s="32"/>
      <c r="C61" s="31"/>
      <c r="D61" s="31"/>
      <c r="E61" s="31"/>
      <c r="F61" s="31"/>
      <c r="G61" s="31"/>
      <c r="H61" s="5"/>
      <c r="I61" s="5"/>
      <c r="J61" s="5"/>
      <c r="K61" s="5"/>
      <c r="L61" s="5"/>
      <c r="M61" s="5"/>
      <c r="N61" s="5"/>
      <c r="O61" s="5"/>
      <c r="P61" s="5"/>
      <c r="Q61" s="5"/>
      <c r="R61" s="5"/>
      <c r="S61" s="5"/>
      <c r="T61" s="5"/>
      <c r="U61" s="5"/>
      <c r="V61" s="5"/>
      <c r="W61" s="5"/>
      <c r="X61" s="5"/>
      <c r="Y61" s="5"/>
      <c r="Z61" s="5"/>
    </row>
    <row r="62" ht="19.5" customHeight="1">
      <c r="A62" s="31"/>
      <c r="B62" s="32"/>
      <c r="C62" s="31"/>
      <c r="D62" s="31"/>
      <c r="E62" s="31"/>
      <c r="F62" s="31"/>
      <c r="G62" s="31"/>
      <c r="H62" s="5"/>
      <c r="I62" s="5"/>
      <c r="J62" s="5"/>
      <c r="K62" s="5"/>
      <c r="L62" s="5"/>
      <c r="M62" s="5"/>
      <c r="N62" s="5"/>
      <c r="O62" s="5"/>
      <c r="P62" s="5"/>
      <c r="Q62" s="5"/>
      <c r="R62" s="5"/>
      <c r="S62" s="5"/>
      <c r="T62" s="5"/>
      <c r="U62" s="5"/>
      <c r="V62" s="5"/>
      <c r="W62" s="5"/>
      <c r="X62" s="5"/>
      <c r="Y62" s="5"/>
      <c r="Z62" s="5"/>
    </row>
    <row r="63" ht="19.5" customHeight="1">
      <c r="A63" s="31"/>
      <c r="B63" s="32"/>
      <c r="C63" s="31"/>
      <c r="D63" s="31"/>
      <c r="E63" s="31"/>
      <c r="F63" s="31"/>
      <c r="G63" s="31"/>
      <c r="H63" s="5"/>
      <c r="I63" s="5"/>
      <c r="J63" s="5"/>
      <c r="K63" s="5"/>
      <c r="L63" s="5"/>
      <c r="M63" s="5"/>
      <c r="N63" s="5"/>
      <c r="O63" s="5"/>
      <c r="P63" s="5"/>
      <c r="Q63" s="5"/>
      <c r="R63" s="5"/>
      <c r="S63" s="5"/>
      <c r="T63" s="5"/>
      <c r="U63" s="5"/>
      <c r="V63" s="5"/>
      <c r="W63" s="5"/>
      <c r="X63" s="5"/>
      <c r="Y63" s="5"/>
      <c r="Z63" s="5"/>
    </row>
    <row r="64" ht="19.5" customHeight="1">
      <c r="A64" s="31"/>
      <c r="B64" s="32"/>
      <c r="C64" s="31"/>
      <c r="D64" s="31"/>
      <c r="E64" s="31"/>
      <c r="F64" s="31"/>
      <c r="G64" s="31"/>
      <c r="H64" s="5"/>
      <c r="I64" s="5"/>
      <c r="J64" s="5"/>
      <c r="K64" s="5"/>
      <c r="L64" s="5"/>
      <c r="M64" s="5"/>
      <c r="N64" s="5"/>
      <c r="O64" s="5"/>
      <c r="P64" s="5"/>
      <c r="Q64" s="5"/>
      <c r="R64" s="5"/>
      <c r="S64" s="5"/>
      <c r="T64" s="5"/>
      <c r="U64" s="5"/>
      <c r="V64" s="5"/>
      <c r="W64" s="5"/>
      <c r="X64" s="5"/>
      <c r="Y64" s="5"/>
      <c r="Z64" s="5"/>
    </row>
    <row r="65" ht="19.5" customHeight="1">
      <c r="A65" s="31"/>
      <c r="B65" s="32"/>
      <c r="C65" s="31"/>
      <c r="D65" s="31"/>
      <c r="E65" s="31"/>
      <c r="F65" s="31"/>
      <c r="G65" s="31"/>
      <c r="H65" s="5"/>
      <c r="I65" s="5"/>
      <c r="J65" s="5"/>
      <c r="K65" s="5"/>
      <c r="L65" s="5"/>
      <c r="M65" s="5"/>
      <c r="N65" s="5"/>
      <c r="O65" s="5"/>
      <c r="P65" s="5"/>
      <c r="Q65" s="5"/>
      <c r="R65" s="5"/>
      <c r="S65" s="5"/>
      <c r="T65" s="5"/>
      <c r="U65" s="5"/>
      <c r="V65" s="5"/>
      <c r="W65" s="5"/>
      <c r="X65" s="5"/>
      <c r="Y65" s="5"/>
      <c r="Z65" s="5"/>
    </row>
    <row r="66" ht="19.5" customHeight="1">
      <c r="A66" s="31"/>
      <c r="B66" s="32"/>
      <c r="C66" s="31"/>
      <c r="D66" s="31"/>
      <c r="E66" s="31"/>
      <c r="F66" s="31"/>
      <c r="G66" s="31"/>
      <c r="H66" s="5"/>
      <c r="I66" s="5"/>
      <c r="J66" s="5"/>
      <c r="K66" s="5"/>
      <c r="L66" s="5"/>
      <c r="M66" s="5"/>
      <c r="N66" s="5"/>
      <c r="O66" s="5"/>
      <c r="P66" s="5"/>
      <c r="Q66" s="5"/>
      <c r="R66" s="5"/>
      <c r="S66" s="5"/>
      <c r="T66" s="5"/>
      <c r="U66" s="5"/>
      <c r="V66" s="5"/>
      <c r="W66" s="5"/>
      <c r="X66" s="5"/>
      <c r="Y66" s="5"/>
      <c r="Z66" s="5"/>
    </row>
    <row r="67" ht="19.5" customHeight="1">
      <c r="A67" s="31"/>
      <c r="B67" s="32"/>
      <c r="C67" s="31"/>
      <c r="D67" s="31"/>
      <c r="E67" s="31"/>
      <c r="F67" s="31"/>
      <c r="G67" s="31"/>
      <c r="H67" s="5"/>
      <c r="I67" s="5"/>
      <c r="J67" s="5"/>
      <c r="K67" s="5"/>
      <c r="L67" s="5"/>
      <c r="M67" s="5"/>
      <c r="N67" s="5"/>
      <c r="O67" s="5"/>
      <c r="P67" s="5"/>
      <c r="Q67" s="5"/>
      <c r="R67" s="5"/>
      <c r="S67" s="5"/>
      <c r="T67" s="5"/>
      <c r="U67" s="5"/>
      <c r="V67" s="5"/>
      <c r="W67" s="5"/>
      <c r="X67" s="5"/>
      <c r="Y67" s="5"/>
      <c r="Z67" s="5"/>
    </row>
    <row r="68" ht="19.5" customHeight="1">
      <c r="A68" s="31"/>
      <c r="B68" s="32"/>
      <c r="C68" s="31"/>
      <c r="D68" s="31"/>
      <c r="E68" s="31"/>
      <c r="F68" s="31"/>
      <c r="G68" s="31"/>
      <c r="H68" s="5"/>
      <c r="I68" s="5"/>
      <c r="J68" s="5"/>
      <c r="K68" s="5"/>
      <c r="L68" s="5"/>
      <c r="M68" s="5"/>
      <c r="N68" s="5"/>
      <c r="O68" s="5"/>
      <c r="P68" s="5"/>
      <c r="Q68" s="5"/>
      <c r="R68" s="5"/>
      <c r="S68" s="5"/>
      <c r="T68" s="5"/>
      <c r="U68" s="5"/>
      <c r="V68" s="5"/>
      <c r="W68" s="5"/>
      <c r="X68" s="5"/>
      <c r="Y68" s="5"/>
      <c r="Z68" s="5"/>
    </row>
    <row r="69" ht="19.5" customHeight="1">
      <c r="A69" s="31"/>
      <c r="B69" s="32"/>
      <c r="C69" s="31"/>
      <c r="D69" s="31"/>
      <c r="E69" s="31"/>
      <c r="F69" s="31"/>
      <c r="G69" s="31"/>
      <c r="H69" s="5"/>
      <c r="I69" s="5"/>
      <c r="J69" s="5"/>
      <c r="K69" s="5"/>
      <c r="L69" s="5"/>
      <c r="M69" s="5"/>
      <c r="N69" s="5"/>
      <c r="O69" s="5"/>
      <c r="P69" s="5"/>
      <c r="Q69" s="5"/>
      <c r="R69" s="5"/>
      <c r="S69" s="5"/>
      <c r="T69" s="5"/>
      <c r="U69" s="5"/>
      <c r="V69" s="5"/>
      <c r="W69" s="5"/>
      <c r="X69" s="5"/>
      <c r="Y69" s="5"/>
      <c r="Z69" s="5"/>
    </row>
    <row r="70" ht="19.5" customHeight="1">
      <c r="A70" s="31"/>
      <c r="B70" s="32"/>
      <c r="C70" s="31"/>
      <c r="D70" s="31"/>
      <c r="E70" s="31"/>
      <c r="F70" s="31"/>
      <c r="G70" s="31"/>
      <c r="H70" s="5"/>
      <c r="I70" s="5"/>
      <c r="J70" s="5"/>
      <c r="K70" s="5"/>
      <c r="L70" s="5"/>
      <c r="M70" s="5"/>
      <c r="N70" s="5"/>
      <c r="O70" s="5"/>
      <c r="P70" s="5"/>
      <c r="Q70" s="5"/>
      <c r="R70" s="5"/>
      <c r="S70" s="5"/>
      <c r="T70" s="5"/>
      <c r="U70" s="5"/>
      <c r="V70" s="5"/>
      <c r="W70" s="5"/>
      <c r="X70" s="5"/>
      <c r="Y70" s="5"/>
      <c r="Z70" s="5"/>
    </row>
    <row r="71" ht="19.5" customHeight="1">
      <c r="A71" s="31"/>
      <c r="B71" s="32"/>
      <c r="C71" s="31"/>
      <c r="D71" s="31"/>
      <c r="E71" s="31"/>
      <c r="F71" s="31"/>
      <c r="G71" s="31"/>
      <c r="H71" s="5"/>
      <c r="I71" s="5"/>
      <c r="J71" s="5"/>
      <c r="K71" s="5"/>
      <c r="L71" s="5"/>
      <c r="M71" s="5"/>
      <c r="N71" s="5"/>
      <c r="O71" s="5"/>
      <c r="P71" s="5"/>
      <c r="Q71" s="5"/>
      <c r="R71" s="5"/>
      <c r="S71" s="5"/>
      <c r="T71" s="5"/>
      <c r="U71" s="5"/>
      <c r="V71" s="5"/>
      <c r="W71" s="5"/>
      <c r="X71" s="5"/>
      <c r="Y71" s="5"/>
      <c r="Z71" s="5"/>
    </row>
    <row r="72" ht="19.5" customHeight="1">
      <c r="A72" s="31"/>
      <c r="B72" s="32"/>
      <c r="C72" s="31"/>
      <c r="D72" s="31"/>
      <c r="E72" s="31"/>
      <c r="F72" s="31"/>
      <c r="G72" s="31"/>
      <c r="H72" s="5"/>
      <c r="I72" s="5"/>
      <c r="J72" s="5"/>
      <c r="K72" s="5"/>
      <c r="L72" s="5"/>
      <c r="M72" s="5"/>
      <c r="N72" s="5"/>
      <c r="O72" s="5"/>
      <c r="P72" s="5"/>
      <c r="Q72" s="5"/>
      <c r="R72" s="5"/>
      <c r="S72" s="5"/>
      <c r="T72" s="5"/>
      <c r="U72" s="5"/>
      <c r="V72" s="5"/>
      <c r="W72" s="5"/>
      <c r="X72" s="5"/>
      <c r="Y72" s="5"/>
      <c r="Z72" s="5"/>
    </row>
    <row r="73" ht="19.5" customHeight="1">
      <c r="A73" s="31"/>
      <c r="B73" s="32"/>
      <c r="C73" s="31"/>
      <c r="D73" s="31"/>
      <c r="E73" s="31"/>
      <c r="F73" s="31"/>
      <c r="G73" s="31"/>
      <c r="H73" s="5"/>
      <c r="I73" s="5"/>
      <c r="J73" s="5"/>
      <c r="K73" s="5"/>
      <c r="L73" s="5"/>
      <c r="M73" s="5"/>
      <c r="N73" s="5"/>
      <c r="O73" s="5"/>
      <c r="P73" s="5"/>
      <c r="Q73" s="5"/>
      <c r="R73" s="5"/>
      <c r="S73" s="5"/>
      <c r="T73" s="5"/>
      <c r="U73" s="5"/>
      <c r="V73" s="5"/>
      <c r="W73" s="5"/>
      <c r="X73" s="5"/>
      <c r="Y73" s="5"/>
      <c r="Z73" s="5"/>
    </row>
    <row r="74" ht="19.5" customHeight="1">
      <c r="A74" s="31"/>
      <c r="B74" s="32"/>
      <c r="C74" s="31"/>
      <c r="D74" s="31"/>
      <c r="E74" s="31"/>
      <c r="F74" s="31"/>
      <c r="G74" s="31"/>
      <c r="H74" s="5"/>
      <c r="I74" s="5"/>
      <c r="J74" s="5"/>
      <c r="K74" s="5"/>
      <c r="L74" s="5"/>
      <c r="M74" s="5"/>
      <c r="N74" s="5"/>
      <c r="O74" s="5"/>
      <c r="P74" s="5"/>
      <c r="Q74" s="5"/>
      <c r="R74" s="5"/>
      <c r="S74" s="5"/>
      <c r="T74" s="5"/>
      <c r="U74" s="5"/>
      <c r="V74" s="5"/>
      <c r="W74" s="5"/>
      <c r="X74" s="5"/>
      <c r="Y74" s="5"/>
      <c r="Z74" s="5"/>
    </row>
    <row r="75" ht="19.5" customHeight="1">
      <c r="A75" s="31"/>
      <c r="B75" s="32"/>
      <c r="C75" s="31"/>
      <c r="D75" s="31"/>
      <c r="E75" s="31"/>
      <c r="F75" s="31"/>
      <c r="G75" s="31"/>
      <c r="H75" s="5"/>
      <c r="I75" s="5"/>
      <c r="J75" s="5"/>
      <c r="K75" s="5"/>
      <c r="L75" s="5"/>
      <c r="M75" s="5"/>
      <c r="N75" s="5"/>
      <c r="O75" s="5"/>
      <c r="P75" s="5"/>
      <c r="Q75" s="5"/>
      <c r="R75" s="5"/>
      <c r="S75" s="5"/>
      <c r="T75" s="5"/>
      <c r="U75" s="5"/>
      <c r="V75" s="5"/>
      <c r="W75" s="5"/>
      <c r="X75" s="5"/>
      <c r="Y75" s="5"/>
      <c r="Z75" s="5"/>
    </row>
    <row r="76" ht="19.5" customHeight="1">
      <c r="A76" s="31"/>
      <c r="B76" s="32"/>
      <c r="C76" s="31"/>
      <c r="D76" s="31"/>
      <c r="E76" s="31"/>
      <c r="F76" s="31"/>
      <c r="G76" s="31"/>
      <c r="H76" s="5"/>
      <c r="I76" s="5"/>
      <c r="J76" s="5"/>
      <c r="K76" s="5"/>
      <c r="L76" s="5"/>
      <c r="M76" s="5"/>
      <c r="N76" s="5"/>
      <c r="O76" s="5"/>
      <c r="P76" s="5"/>
      <c r="Q76" s="5"/>
      <c r="R76" s="5"/>
      <c r="S76" s="5"/>
      <c r="T76" s="5"/>
      <c r="U76" s="5"/>
      <c r="V76" s="5"/>
      <c r="W76" s="5"/>
      <c r="X76" s="5"/>
      <c r="Y76" s="5"/>
      <c r="Z76" s="5"/>
    </row>
    <row r="77" ht="19.5" customHeight="1">
      <c r="A77" s="31"/>
      <c r="B77" s="32"/>
      <c r="C77" s="31"/>
      <c r="D77" s="31"/>
      <c r="E77" s="31"/>
      <c r="F77" s="31"/>
      <c r="G77" s="31"/>
      <c r="H77" s="5"/>
      <c r="I77" s="5"/>
      <c r="J77" s="5"/>
      <c r="K77" s="5"/>
      <c r="L77" s="5"/>
      <c r="M77" s="5"/>
      <c r="N77" s="5"/>
      <c r="O77" s="5"/>
      <c r="P77" s="5"/>
      <c r="Q77" s="5"/>
      <c r="R77" s="5"/>
      <c r="S77" s="5"/>
      <c r="T77" s="5"/>
      <c r="U77" s="5"/>
      <c r="V77" s="5"/>
      <c r="W77" s="5"/>
      <c r="X77" s="5"/>
      <c r="Y77" s="5"/>
      <c r="Z77" s="5"/>
    </row>
    <row r="78" ht="19.5" customHeight="1">
      <c r="A78" s="31"/>
      <c r="B78" s="32"/>
      <c r="C78" s="31"/>
      <c r="D78" s="31"/>
      <c r="E78" s="31"/>
      <c r="F78" s="31"/>
      <c r="G78" s="31"/>
      <c r="H78" s="5"/>
      <c r="I78" s="5"/>
      <c r="J78" s="5"/>
      <c r="K78" s="5"/>
      <c r="L78" s="5"/>
      <c r="M78" s="5"/>
      <c r="N78" s="5"/>
      <c r="O78" s="5"/>
      <c r="P78" s="5"/>
      <c r="Q78" s="5"/>
      <c r="R78" s="5"/>
      <c r="S78" s="5"/>
      <c r="T78" s="5"/>
      <c r="U78" s="5"/>
      <c r="V78" s="5"/>
      <c r="W78" s="5"/>
      <c r="X78" s="5"/>
      <c r="Y78" s="5"/>
      <c r="Z78" s="5"/>
    </row>
    <row r="79" ht="19.5" customHeight="1">
      <c r="A79" s="31"/>
      <c r="B79" s="32"/>
      <c r="C79" s="31"/>
      <c r="D79" s="31"/>
      <c r="E79" s="31"/>
      <c r="F79" s="31"/>
      <c r="G79" s="31"/>
      <c r="H79" s="5"/>
      <c r="I79" s="5"/>
      <c r="J79" s="5"/>
      <c r="K79" s="5"/>
      <c r="L79" s="5"/>
      <c r="M79" s="5"/>
      <c r="N79" s="5"/>
      <c r="O79" s="5"/>
      <c r="P79" s="5"/>
      <c r="Q79" s="5"/>
      <c r="R79" s="5"/>
      <c r="S79" s="5"/>
      <c r="T79" s="5"/>
      <c r="U79" s="5"/>
      <c r="V79" s="5"/>
      <c r="W79" s="5"/>
      <c r="X79" s="5"/>
      <c r="Y79" s="5"/>
      <c r="Z79" s="5"/>
    </row>
    <row r="80" ht="19.5" customHeight="1">
      <c r="A80" s="31"/>
      <c r="B80" s="32"/>
      <c r="C80" s="31"/>
      <c r="D80" s="31"/>
      <c r="E80" s="31"/>
      <c r="F80" s="31"/>
      <c r="G80" s="31"/>
      <c r="H80" s="5"/>
      <c r="I80" s="5"/>
      <c r="J80" s="5"/>
      <c r="K80" s="5"/>
      <c r="L80" s="5"/>
      <c r="M80" s="5"/>
      <c r="N80" s="5"/>
      <c r="O80" s="5"/>
      <c r="P80" s="5"/>
      <c r="Q80" s="5"/>
      <c r="R80" s="5"/>
      <c r="S80" s="5"/>
      <c r="T80" s="5"/>
      <c r="U80" s="5"/>
      <c r="V80" s="5"/>
      <c r="W80" s="5"/>
      <c r="X80" s="5"/>
      <c r="Y80" s="5"/>
      <c r="Z80" s="5"/>
    </row>
    <row r="81" ht="19.5" customHeight="1">
      <c r="A81" s="31"/>
      <c r="B81" s="32"/>
      <c r="C81" s="31"/>
      <c r="D81" s="31"/>
      <c r="E81" s="31"/>
      <c r="F81" s="31"/>
      <c r="G81" s="31"/>
      <c r="H81" s="5"/>
      <c r="I81" s="5"/>
      <c r="J81" s="5"/>
      <c r="K81" s="5"/>
      <c r="L81" s="5"/>
      <c r="M81" s="5"/>
      <c r="N81" s="5"/>
      <c r="O81" s="5"/>
      <c r="P81" s="5"/>
      <c r="Q81" s="5"/>
      <c r="R81" s="5"/>
      <c r="S81" s="5"/>
      <c r="T81" s="5"/>
      <c r="U81" s="5"/>
      <c r="V81" s="5"/>
      <c r="W81" s="5"/>
      <c r="X81" s="5"/>
      <c r="Y81" s="5"/>
      <c r="Z81" s="5"/>
    </row>
    <row r="82" ht="19.5" customHeight="1">
      <c r="A82" s="31"/>
      <c r="B82" s="32"/>
      <c r="C82" s="31"/>
      <c r="D82" s="31"/>
      <c r="E82" s="31"/>
      <c r="F82" s="31"/>
      <c r="G82" s="31"/>
      <c r="H82" s="5"/>
      <c r="I82" s="5"/>
      <c r="J82" s="5"/>
      <c r="K82" s="5"/>
      <c r="L82" s="5"/>
      <c r="M82" s="5"/>
      <c r="N82" s="5"/>
      <c r="O82" s="5"/>
      <c r="P82" s="5"/>
      <c r="Q82" s="5"/>
      <c r="R82" s="5"/>
      <c r="S82" s="5"/>
      <c r="T82" s="5"/>
      <c r="U82" s="5"/>
      <c r="V82" s="5"/>
      <c r="W82" s="5"/>
      <c r="X82" s="5"/>
      <c r="Y82" s="5"/>
      <c r="Z82" s="5"/>
    </row>
    <row r="83" ht="19.5" customHeight="1">
      <c r="A83" s="31"/>
      <c r="B83" s="32"/>
      <c r="C83" s="31"/>
      <c r="D83" s="31"/>
      <c r="E83" s="31"/>
      <c r="F83" s="31"/>
      <c r="G83" s="31"/>
      <c r="H83" s="5"/>
      <c r="I83" s="5"/>
      <c r="J83" s="5"/>
      <c r="K83" s="5"/>
      <c r="L83" s="5"/>
      <c r="M83" s="5"/>
      <c r="N83" s="5"/>
      <c r="O83" s="5"/>
      <c r="P83" s="5"/>
      <c r="Q83" s="5"/>
      <c r="R83" s="5"/>
      <c r="S83" s="5"/>
      <c r="T83" s="5"/>
      <c r="U83" s="5"/>
      <c r="V83" s="5"/>
      <c r="W83" s="5"/>
      <c r="X83" s="5"/>
      <c r="Y83" s="5"/>
      <c r="Z83" s="5"/>
    </row>
    <row r="84" ht="19.5" customHeight="1">
      <c r="A84" s="31"/>
      <c r="B84" s="32"/>
      <c r="C84" s="31"/>
      <c r="D84" s="31"/>
      <c r="E84" s="31"/>
      <c r="F84" s="31"/>
      <c r="G84" s="31"/>
      <c r="H84" s="5"/>
      <c r="I84" s="5"/>
      <c r="J84" s="5"/>
      <c r="K84" s="5"/>
      <c r="L84" s="5"/>
      <c r="M84" s="5"/>
      <c r="N84" s="5"/>
      <c r="O84" s="5"/>
      <c r="P84" s="5"/>
      <c r="Q84" s="5"/>
      <c r="R84" s="5"/>
      <c r="S84" s="5"/>
      <c r="T84" s="5"/>
      <c r="U84" s="5"/>
      <c r="V84" s="5"/>
      <c r="W84" s="5"/>
      <c r="X84" s="5"/>
      <c r="Y84" s="5"/>
      <c r="Z84" s="5"/>
    </row>
    <row r="85" ht="19.5" customHeight="1">
      <c r="A85" s="31"/>
      <c r="B85" s="32"/>
      <c r="C85" s="31"/>
      <c r="D85" s="31"/>
      <c r="E85" s="31"/>
      <c r="F85" s="31"/>
      <c r="G85" s="31"/>
      <c r="H85" s="5"/>
      <c r="I85" s="5"/>
      <c r="J85" s="5"/>
      <c r="K85" s="5"/>
      <c r="L85" s="5"/>
      <c r="M85" s="5"/>
      <c r="N85" s="5"/>
      <c r="O85" s="5"/>
      <c r="P85" s="5"/>
      <c r="Q85" s="5"/>
      <c r="R85" s="5"/>
      <c r="S85" s="5"/>
      <c r="T85" s="5"/>
      <c r="U85" s="5"/>
      <c r="V85" s="5"/>
      <c r="W85" s="5"/>
      <c r="X85" s="5"/>
      <c r="Y85" s="5"/>
      <c r="Z85" s="5"/>
    </row>
    <row r="86" ht="19.5" customHeight="1">
      <c r="A86" s="31"/>
      <c r="B86" s="32"/>
      <c r="C86" s="31"/>
      <c r="D86" s="31"/>
      <c r="E86" s="31"/>
      <c r="F86" s="31"/>
      <c r="G86" s="31"/>
      <c r="H86" s="5"/>
      <c r="I86" s="5"/>
      <c r="J86" s="5"/>
      <c r="K86" s="5"/>
      <c r="L86" s="5"/>
      <c r="M86" s="5"/>
      <c r="N86" s="5"/>
      <c r="O86" s="5"/>
      <c r="P86" s="5"/>
      <c r="Q86" s="5"/>
      <c r="R86" s="5"/>
      <c r="S86" s="5"/>
      <c r="T86" s="5"/>
      <c r="U86" s="5"/>
      <c r="V86" s="5"/>
      <c r="W86" s="5"/>
      <c r="X86" s="5"/>
      <c r="Y86" s="5"/>
      <c r="Z86" s="5"/>
    </row>
    <row r="87" ht="19.5" customHeight="1">
      <c r="A87" s="31"/>
      <c r="B87" s="32"/>
      <c r="C87" s="31"/>
      <c r="D87" s="31"/>
      <c r="E87" s="31"/>
      <c r="F87" s="31"/>
      <c r="G87" s="31"/>
      <c r="H87" s="5"/>
      <c r="I87" s="5"/>
      <c r="J87" s="5"/>
      <c r="K87" s="5"/>
      <c r="L87" s="5"/>
      <c r="M87" s="5"/>
      <c r="N87" s="5"/>
      <c r="O87" s="5"/>
      <c r="P87" s="5"/>
      <c r="Q87" s="5"/>
      <c r="R87" s="5"/>
      <c r="S87" s="5"/>
      <c r="T87" s="5"/>
      <c r="U87" s="5"/>
      <c r="V87" s="5"/>
      <c r="W87" s="5"/>
      <c r="X87" s="5"/>
      <c r="Y87" s="5"/>
      <c r="Z87" s="5"/>
    </row>
    <row r="88" ht="19.5" customHeight="1">
      <c r="A88" s="31"/>
      <c r="B88" s="32"/>
      <c r="C88" s="31"/>
      <c r="D88" s="31"/>
      <c r="E88" s="31"/>
      <c r="F88" s="31"/>
      <c r="G88" s="31"/>
      <c r="H88" s="5"/>
      <c r="I88" s="5"/>
      <c r="J88" s="5"/>
      <c r="K88" s="5"/>
      <c r="L88" s="5"/>
      <c r="M88" s="5"/>
      <c r="N88" s="5"/>
      <c r="O88" s="5"/>
      <c r="P88" s="5"/>
      <c r="Q88" s="5"/>
      <c r="R88" s="5"/>
      <c r="S88" s="5"/>
      <c r="T88" s="5"/>
      <c r="U88" s="5"/>
      <c r="V88" s="5"/>
      <c r="W88" s="5"/>
      <c r="X88" s="5"/>
      <c r="Y88" s="5"/>
      <c r="Z88" s="5"/>
    </row>
    <row r="89" ht="19.5" customHeight="1">
      <c r="A89" s="31"/>
      <c r="B89" s="32"/>
      <c r="C89" s="31"/>
      <c r="D89" s="31"/>
      <c r="E89" s="31"/>
      <c r="F89" s="31"/>
      <c r="G89" s="31"/>
      <c r="H89" s="5"/>
      <c r="I89" s="5"/>
      <c r="J89" s="5"/>
      <c r="K89" s="5"/>
      <c r="L89" s="5"/>
      <c r="M89" s="5"/>
      <c r="N89" s="5"/>
      <c r="O89" s="5"/>
      <c r="P89" s="5"/>
      <c r="Q89" s="5"/>
      <c r="R89" s="5"/>
      <c r="S89" s="5"/>
      <c r="T89" s="5"/>
      <c r="U89" s="5"/>
      <c r="V89" s="5"/>
      <c r="W89" s="5"/>
      <c r="X89" s="5"/>
      <c r="Y89" s="5"/>
      <c r="Z89" s="5"/>
    </row>
    <row r="90" ht="19.5" customHeight="1">
      <c r="A90" s="31"/>
      <c r="B90" s="32"/>
      <c r="C90" s="31"/>
      <c r="D90" s="31"/>
      <c r="E90" s="31"/>
      <c r="F90" s="31"/>
      <c r="G90" s="31"/>
      <c r="H90" s="5"/>
      <c r="I90" s="5"/>
      <c r="J90" s="5"/>
      <c r="K90" s="5"/>
      <c r="L90" s="5"/>
      <c r="M90" s="5"/>
      <c r="N90" s="5"/>
      <c r="O90" s="5"/>
      <c r="P90" s="5"/>
      <c r="Q90" s="5"/>
      <c r="R90" s="5"/>
      <c r="S90" s="5"/>
      <c r="T90" s="5"/>
      <c r="U90" s="5"/>
      <c r="V90" s="5"/>
      <c r="W90" s="5"/>
      <c r="X90" s="5"/>
      <c r="Y90" s="5"/>
      <c r="Z90" s="5"/>
    </row>
    <row r="91" ht="19.5" customHeight="1">
      <c r="A91" s="31"/>
      <c r="B91" s="32"/>
      <c r="C91" s="31"/>
      <c r="D91" s="31"/>
      <c r="E91" s="31"/>
      <c r="F91" s="31"/>
      <c r="G91" s="31"/>
      <c r="H91" s="5"/>
      <c r="I91" s="5"/>
      <c r="J91" s="5"/>
      <c r="K91" s="5"/>
      <c r="L91" s="5"/>
      <c r="M91" s="5"/>
      <c r="N91" s="5"/>
      <c r="O91" s="5"/>
      <c r="P91" s="5"/>
      <c r="Q91" s="5"/>
      <c r="R91" s="5"/>
      <c r="S91" s="5"/>
      <c r="T91" s="5"/>
      <c r="U91" s="5"/>
      <c r="V91" s="5"/>
      <c r="W91" s="5"/>
      <c r="X91" s="5"/>
      <c r="Y91" s="5"/>
      <c r="Z91" s="5"/>
    </row>
    <row r="92" ht="19.5" customHeight="1">
      <c r="A92" s="31"/>
      <c r="B92" s="32"/>
      <c r="C92" s="31"/>
      <c r="D92" s="31"/>
      <c r="E92" s="31"/>
      <c r="F92" s="31"/>
      <c r="G92" s="31"/>
      <c r="H92" s="5"/>
      <c r="I92" s="5"/>
      <c r="J92" s="5"/>
      <c r="K92" s="5"/>
      <c r="L92" s="5"/>
      <c r="M92" s="5"/>
      <c r="N92" s="5"/>
      <c r="O92" s="5"/>
      <c r="P92" s="5"/>
      <c r="Q92" s="5"/>
      <c r="R92" s="5"/>
      <c r="S92" s="5"/>
      <c r="T92" s="5"/>
      <c r="U92" s="5"/>
      <c r="V92" s="5"/>
      <c r="W92" s="5"/>
      <c r="X92" s="5"/>
      <c r="Y92" s="5"/>
      <c r="Z92" s="5"/>
    </row>
    <row r="93" ht="19.5" customHeight="1">
      <c r="A93" s="31"/>
      <c r="B93" s="32"/>
      <c r="C93" s="31"/>
      <c r="D93" s="31"/>
      <c r="E93" s="31"/>
      <c r="F93" s="31"/>
      <c r="G93" s="31"/>
      <c r="H93" s="5"/>
      <c r="I93" s="5"/>
      <c r="J93" s="5"/>
      <c r="K93" s="5"/>
      <c r="L93" s="5"/>
      <c r="M93" s="5"/>
      <c r="N93" s="5"/>
      <c r="O93" s="5"/>
      <c r="P93" s="5"/>
      <c r="Q93" s="5"/>
      <c r="R93" s="5"/>
      <c r="S93" s="5"/>
      <c r="T93" s="5"/>
      <c r="U93" s="5"/>
      <c r="V93" s="5"/>
      <c r="W93" s="5"/>
      <c r="X93" s="5"/>
      <c r="Y93" s="5"/>
      <c r="Z93" s="5"/>
    </row>
    <row r="94" ht="19.5" customHeight="1">
      <c r="A94" s="31"/>
      <c r="B94" s="32"/>
      <c r="C94" s="31"/>
      <c r="D94" s="31"/>
      <c r="E94" s="31"/>
      <c r="F94" s="31"/>
      <c r="G94" s="31"/>
      <c r="H94" s="5"/>
      <c r="I94" s="5"/>
      <c r="J94" s="5"/>
      <c r="K94" s="5"/>
      <c r="L94" s="5"/>
      <c r="M94" s="5"/>
      <c r="N94" s="5"/>
      <c r="O94" s="5"/>
      <c r="P94" s="5"/>
      <c r="Q94" s="5"/>
      <c r="R94" s="5"/>
      <c r="S94" s="5"/>
      <c r="T94" s="5"/>
      <c r="U94" s="5"/>
      <c r="V94" s="5"/>
      <c r="W94" s="5"/>
      <c r="X94" s="5"/>
      <c r="Y94" s="5"/>
      <c r="Z94" s="5"/>
    </row>
    <row r="95" ht="19.5" customHeight="1">
      <c r="A95" s="31"/>
      <c r="B95" s="32"/>
      <c r="C95" s="31"/>
      <c r="D95" s="31"/>
      <c r="E95" s="31"/>
      <c r="F95" s="31"/>
      <c r="G95" s="31"/>
      <c r="H95" s="5"/>
      <c r="I95" s="5"/>
      <c r="J95" s="5"/>
      <c r="K95" s="5"/>
      <c r="L95" s="5"/>
      <c r="M95" s="5"/>
      <c r="N95" s="5"/>
      <c r="O95" s="5"/>
      <c r="P95" s="5"/>
      <c r="Q95" s="5"/>
      <c r="R95" s="5"/>
      <c r="S95" s="5"/>
      <c r="T95" s="5"/>
      <c r="U95" s="5"/>
      <c r="V95" s="5"/>
      <c r="W95" s="5"/>
      <c r="X95" s="5"/>
      <c r="Y95" s="5"/>
      <c r="Z95" s="5"/>
    </row>
    <row r="96" ht="19.5" customHeight="1">
      <c r="A96" s="31"/>
      <c r="B96" s="32"/>
      <c r="C96" s="31"/>
      <c r="D96" s="31"/>
      <c r="E96" s="31"/>
      <c r="F96" s="31"/>
      <c r="G96" s="31"/>
      <c r="H96" s="5"/>
      <c r="I96" s="5"/>
      <c r="J96" s="5"/>
      <c r="K96" s="5"/>
      <c r="L96" s="5"/>
      <c r="M96" s="5"/>
      <c r="N96" s="5"/>
      <c r="O96" s="5"/>
      <c r="P96" s="5"/>
      <c r="Q96" s="5"/>
      <c r="R96" s="5"/>
      <c r="S96" s="5"/>
      <c r="T96" s="5"/>
      <c r="U96" s="5"/>
      <c r="V96" s="5"/>
      <c r="W96" s="5"/>
      <c r="X96" s="5"/>
      <c r="Y96" s="5"/>
      <c r="Z96" s="5"/>
    </row>
    <row r="97" ht="19.5" customHeight="1">
      <c r="A97" s="31"/>
      <c r="B97" s="32"/>
      <c r="C97" s="31"/>
      <c r="D97" s="31"/>
      <c r="E97" s="31"/>
      <c r="F97" s="31"/>
      <c r="G97" s="31"/>
      <c r="H97" s="5"/>
      <c r="I97" s="5"/>
      <c r="J97" s="5"/>
      <c r="K97" s="5"/>
      <c r="L97" s="5"/>
      <c r="M97" s="5"/>
      <c r="N97" s="5"/>
      <c r="O97" s="5"/>
      <c r="P97" s="5"/>
      <c r="Q97" s="5"/>
      <c r="R97" s="5"/>
      <c r="S97" s="5"/>
      <c r="T97" s="5"/>
      <c r="U97" s="5"/>
      <c r="V97" s="5"/>
      <c r="W97" s="5"/>
      <c r="X97" s="5"/>
      <c r="Y97" s="5"/>
      <c r="Z97" s="5"/>
    </row>
    <row r="98" ht="19.5" customHeight="1">
      <c r="A98" s="31"/>
      <c r="B98" s="32"/>
      <c r="C98" s="31"/>
      <c r="D98" s="31"/>
      <c r="E98" s="31"/>
      <c r="F98" s="31"/>
      <c r="G98" s="31"/>
      <c r="H98" s="5"/>
      <c r="I98" s="5"/>
      <c r="J98" s="5"/>
      <c r="K98" s="5"/>
      <c r="L98" s="5"/>
      <c r="M98" s="5"/>
      <c r="N98" s="5"/>
      <c r="O98" s="5"/>
      <c r="P98" s="5"/>
      <c r="Q98" s="5"/>
      <c r="R98" s="5"/>
      <c r="S98" s="5"/>
      <c r="T98" s="5"/>
      <c r="U98" s="5"/>
      <c r="V98" s="5"/>
      <c r="W98" s="5"/>
      <c r="X98" s="5"/>
      <c r="Y98" s="5"/>
      <c r="Z98" s="5"/>
    </row>
    <row r="99" ht="19.5" customHeight="1">
      <c r="A99" s="31"/>
      <c r="B99" s="32"/>
      <c r="C99" s="31"/>
      <c r="D99" s="31"/>
      <c r="E99" s="31"/>
      <c r="F99" s="31"/>
      <c r="G99" s="31"/>
      <c r="H99" s="5"/>
      <c r="I99" s="5"/>
      <c r="J99" s="5"/>
      <c r="K99" s="5"/>
      <c r="L99" s="5"/>
      <c r="M99" s="5"/>
      <c r="N99" s="5"/>
      <c r="O99" s="5"/>
      <c r="P99" s="5"/>
      <c r="Q99" s="5"/>
      <c r="R99" s="5"/>
      <c r="S99" s="5"/>
      <c r="T99" s="5"/>
      <c r="U99" s="5"/>
      <c r="V99" s="5"/>
      <c r="W99" s="5"/>
      <c r="X99" s="5"/>
      <c r="Y99" s="5"/>
      <c r="Z99" s="5"/>
    </row>
    <row r="100" ht="19.5" customHeight="1">
      <c r="A100" s="31"/>
      <c r="B100" s="32"/>
      <c r="C100" s="31"/>
      <c r="D100" s="31"/>
      <c r="E100" s="31"/>
      <c r="F100" s="31"/>
      <c r="G100" s="31"/>
      <c r="H100" s="5"/>
      <c r="I100" s="5"/>
      <c r="J100" s="5"/>
      <c r="K100" s="5"/>
      <c r="L100" s="5"/>
      <c r="M100" s="5"/>
      <c r="N100" s="5"/>
      <c r="O100" s="5"/>
      <c r="P100" s="5"/>
      <c r="Q100" s="5"/>
      <c r="R100" s="5"/>
      <c r="S100" s="5"/>
      <c r="T100" s="5"/>
      <c r="U100" s="5"/>
      <c r="V100" s="5"/>
      <c r="W100" s="5"/>
      <c r="X100" s="5"/>
      <c r="Y100" s="5"/>
      <c r="Z100" s="5"/>
    </row>
    <row r="101" ht="19.5" customHeight="1">
      <c r="A101" s="31"/>
      <c r="B101" s="32"/>
      <c r="C101" s="31"/>
      <c r="D101" s="31"/>
      <c r="E101" s="31"/>
      <c r="F101" s="31"/>
      <c r="G101" s="31"/>
      <c r="H101" s="5"/>
      <c r="I101" s="5"/>
      <c r="J101" s="5"/>
      <c r="K101" s="5"/>
      <c r="L101" s="5"/>
      <c r="M101" s="5"/>
      <c r="N101" s="5"/>
      <c r="O101" s="5"/>
      <c r="P101" s="5"/>
      <c r="Q101" s="5"/>
      <c r="R101" s="5"/>
      <c r="S101" s="5"/>
      <c r="T101" s="5"/>
      <c r="U101" s="5"/>
      <c r="V101" s="5"/>
      <c r="W101" s="5"/>
      <c r="X101" s="5"/>
      <c r="Y101" s="5"/>
      <c r="Z101" s="5"/>
    </row>
    <row r="102" ht="19.5" customHeight="1">
      <c r="A102" s="31"/>
      <c r="B102" s="32"/>
      <c r="C102" s="31"/>
      <c r="D102" s="31"/>
      <c r="E102" s="31"/>
      <c r="F102" s="31"/>
      <c r="G102" s="31"/>
      <c r="H102" s="5"/>
      <c r="I102" s="5"/>
      <c r="J102" s="5"/>
      <c r="K102" s="5"/>
      <c r="L102" s="5"/>
      <c r="M102" s="5"/>
      <c r="N102" s="5"/>
      <c r="O102" s="5"/>
      <c r="P102" s="5"/>
      <c r="Q102" s="5"/>
      <c r="R102" s="5"/>
      <c r="S102" s="5"/>
      <c r="T102" s="5"/>
      <c r="U102" s="5"/>
      <c r="V102" s="5"/>
      <c r="W102" s="5"/>
      <c r="X102" s="5"/>
      <c r="Y102" s="5"/>
      <c r="Z102" s="5"/>
    </row>
    <row r="103" ht="19.5" customHeight="1">
      <c r="A103" s="31"/>
      <c r="B103" s="32"/>
      <c r="C103" s="31"/>
      <c r="D103" s="31"/>
      <c r="E103" s="31"/>
      <c r="F103" s="31"/>
      <c r="G103" s="31"/>
      <c r="H103" s="5"/>
      <c r="I103" s="5"/>
      <c r="J103" s="5"/>
      <c r="K103" s="5"/>
      <c r="L103" s="5"/>
      <c r="M103" s="5"/>
      <c r="N103" s="5"/>
      <c r="O103" s="5"/>
      <c r="P103" s="5"/>
      <c r="Q103" s="5"/>
      <c r="R103" s="5"/>
      <c r="S103" s="5"/>
      <c r="T103" s="5"/>
      <c r="U103" s="5"/>
      <c r="V103" s="5"/>
      <c r="W103" s="5"/>
      <c r="X103" s="5"/>
      <c r="Y103" s="5"/>
      <c r="Z103" s="5"/>
    </row>
    <row r="104" ht="19.5" customHeight="1">
      <c r="A104" s="31"/>
      <c r="B104" s="32"/>
      <c r="C104" s="31"/>
      <c r="D104" s="31"/>
      <c r="E104" s="31"/>
      <c r="F104" s="31"/>
      <c r="G104" s="31"/>
      <c r="H104" s="5"/>
      <c r="I104" s="5"/>
      <c r="J104" s="5"/>
      <c r="K104" s="5"/>
      <c r="L104" s="5"/>
      <c r="M104" s="5"/>
      <c r="N104" s="5"/>
      <c r="O104" s="5"/>
      <c r="P104" s="5"/>
      <c r="Q104" s="5"/>
      <c r="R104" s="5"/>
      <c r="S104" s="5"/>
      <c r="T104" s="5"/>
      <c r="U104" s="5"/>
      <c r="V104" s="5"/>
      <c r="W104" s="5"/>
      <c r="X104" s="5"/>
      <c r="Y104" s="5"/>
      <c r="Z104" s="5"/>
    </row>
    <row r="105" ht="19.5" customHeight="1">
      <c r="A105" s="31"/>
      <c r="B105" s="32"/>
      <c r="C105" s="31"/>
      <c r="D105" s="31"/>
      <c r="E105" s="31"/>
      <c r="F105" s="31"/>
      <c r="G105" s="31"/>
      <c r="H105" s="5"/>
      <c r="I105" s="5"/>
      <c r="J105" s="5"/>
      <c r="K105" s="5"/>
      <c r="L105" s="5"/>
      <c r="M105" s="5"/>
      <c r="N105" s="5"/>
      <c r="O105" s="5"/>
      <c r="P105" s="5"/>
      <c r="Q105" s="5"/>
      <c r="R105" s="5"/>
      <c r="S105" s="5"/>
      <c r="T105" s="5"/>
      <c r="U105" s="5"/>
      <c r="V105" s="5"/>
      <c r="W105" s="5"/>
      <c r="X105" s="5"/>
      <c r="Y105" s="5"/>
      <c r="Z105" s="5"/>
    </row>
    <row r="106" ht="19.5" customHeight="1">
      <c r="A106" s="31"/>
      <c r="B106" s="32"/>
      <c r="C106" s="31"/>
      <c r="D106" s="31"/>
      <c r="E106" s="31"/>
      <c r="F106" s="31"/>
      <c r="G106" s="31"/>
      <c r="H106" s="5"/>
      <c r="I106" s="5"/>
      <c r="J106" s="5"/>
      <c r="K106" s="5"/>
      <c r="L106" s="5"/>
      <c r="M106" s="5"/>
      <c r="N106" s="5"/>
      <c r="O106" s="5"/>
      <c r="P106" s="5"/>
      <c r="Q106" s="5"/>
      <c r="R106" s="5"/>
      <c r="S106" s="5"/>
      <c r="T106" s="5"/>
      <c r="U106" s="5"/>
      <c r="V106" s="5"/>
      <c r="W106" s="5"/>
      <c r="X106" s="5"/>
      <c r="Y106" s="5"/>
      <c r="Z106" s="5"/>
    </row>
    <row r="107" ht="19.5" customHeight="1">
      <c r="A107" s="31"/>
      <c r="B107" s="32"/>
      <c r="C107" s="31"/>
      <c r="D107" s="31"/>
      <c r="E107" s="31"/>
      <c r="F107" s="31"/>
      <c r="G107" s="31"/>
      <c r="H107" s="5"/>
      <c r="I107" s="5"/>
      <c r="J107" s="5"/>
      <c r="K107" s="5"/>
      <c r="L107" s="5"/>
      <c r="M107" s="5"/>
      <c r="N107" s="5"/>
      <c r="O107" s="5"/>
      <c r="P107" s="5"/>
      <c r="Q107" s="5"/>
      <c r="R107" s="5"/>
      <c r="S107" s="5"/>
      <c r="T107" s="5"/>
      <c r="U107" s="5"/>
      <c r="V107" s="5"/>
      <c r="W107" s="5"/>
      <c r="X107" s="5"/>
      <c r="Y107" s="5"/>
      <c r="Z107" s="5"/>
    </row>
    <row r="108" ht="19.5" customHeight="1">
      <c r="A108" s="31"/>
      <c r="B108" s="32"/>
      <c r="C108" s="31"/>
      <c r="D108" s="31"/>
      <c r="E108" s="31"/>
      <c r="F108" s="31"/>
      <c r="G108" s="31"/>
      <c r="H108" s="5"/>
      <c r="I108" s="5"/>
      <c r="J108" s="5"/>
      <c r="K108" s="5"/>
      <c r="L108" s="5"/>
      <c r="M108" s="5"/>
      <c r="N108" s="5"/>
      <c r="O108" s="5"/>
      <c r="P108" s="5"/>
      <c r="Q108" s="5"/>
      <c r="R108" s="5"/>
      <c r="S108" s="5"/>
      <c r="T108" s="5"/>
      <c r="U108" s="5"/>
      <c r="V108" s="5"/>
      <c r="W108" s="5"/>
      <c r="X108" s="5"/>
      <c r="Y108" s="5"/>
      <c r="Z108" s="5"/>
    </row>
    <row r="109" ht="19.5" customHeight="1">
      <c r="A109" s="31"/>
      <c r="B109" s="32"/>
      <c r="C109" s="31"/>
      <c r="D109" s="31"/>
      <c r="E109" s="31"/>
      <c r="F109" s="31"/>
      <c r="G109" s="31"/>
      <c r="H109" s="5"/>
      <c r="I109" s="5"/>
      <c r="J109" s="5"/>
      <c r="K109" s="5"/>
      <c r="L109" s="5"/>
      <c r="M109" s="5"/>
      <c r="N109" s="5"/>
      <c r="O109" s="5"/>
      <c r="P109" s="5"/>
      <c r="Q109" s="5"/>
      <c r="R109" s="5"/>
      <c r="S109" s="5"/>
      <c r="T109" s="5"/>
      <c r="U109" s="5"/>
      <c r="V109" s="5"/>
      <c r="W109" s="5"/>
      <c r="X109" s="5"/>
      <c r="Y109" s="5"/>
      <c r="Z109" s="5"/>
    </row>
    <row r="110" ht="19.5" customHeight="1">
      <c r="A110" s="31"/>
      <c r="B110" s="32"/>
      <c r="C110" s="31"/>
      <c r="D110" s="31"/>
      <c r="E110" s="31"/>
      <c r="F110" s="31"/>
      <c r="G110" s="31"/>
      <c r="H110" s="5"/>
      <c r="I110" s="5"/>
      <c r="J110" s="5"/>
      <c r="K110" s="5"/>
      <c r="L110" s="5"/>
      <c r="M110" s="5"/>
      <c r="N110" s="5"/>
      <c r="O110" s="5"/>
      <c r="P110" s="5"/>
      <c r="Q110" s="5"/>
      <c r="R110" s="5"/>
      <c r="S110" s="5"/>
      <c r="T110" s="5"/>
      <c r="U110" s="5"/>
      <c r="V110" s="5"/>
      <c r="W110" s="5"/>
      <c r="X110" s="5"/>
      <c r="Y110" s="5"/>
      <c r="Z110" s="5"/>
    </row>
    <row r="111" ht="19.5" customHeight="1">
      <c r="A111" s="31"/>
      <c r="B111" s="32"/>
      <c r="C111" s="31"/>
      <c r="D111" s="31"/>
      <c r="E111" s="31"/>
      <c r="F111" s="31"/>
      <c r="G111" s="31"/>
      <c r="H111" s="5"/>
      <c r="I111" s="5"/>
      <c r="J111" s="5"/>
      <c r="K111" s="5"/>
      <c r="L111" s="5"/>
      <c r="M111" s="5"/>
      <c r="N111" s="5"/>
      <c r="O111" s="5"/>
      <c r="P111" s="5"/>
      <c r="Q111" s="5"/>
      <c r="R111" s="5"/>
      <c r="S111" s="5"/>
      <c r="T111" s="5"/>
      <c r="U111" s="5"/>
      <c r="V111" s="5"/>
      <c r="W111" s="5"/>
      <c r="X111" s="5"/>
      <c r="Y111" s="5"/>
      <c r="Z111" s="5"/>
    </row>
    <row r="112" ht="19.5" customHeight="1">
      <c r="A112" s="31"/>
      <c r="B112" s="32"/>
      <c r="C112" s="31"/>
      <c r="D112" s="31"/>
      <c r="E112" s="31"/>
      <c r="F112" s="31"/>
      <c r="G112" s="31"/>
      <c r="H112" s="5"/>
      <c r="I112" s="5"/>
      <c r="J112" s="5"/>
      <c r="K112" s="5"/>
      <c r="L112" s="5"/>
      <c r="M112" s="5"/>
      <c r="N112" s="5"/>
      <c r="O112" s="5"/>
      <c r="P112" s="5"/>
      <c r="Q112" s="5"/>
      <c r="R112" s="5"/>
      <c r="S112" s="5"/>
      <c r="T112" s="5"/>
      <c r="U112" s="5"/>
      <c r="V112" s="5"/>
      <c r="W112" s="5"/>
      <c r="X112" s="5"/>
      <c r="Y112" s="5"/>
      <c r="Z112" s="5"/>
    </row>
    <row r="113" ht="19.5" customHeight="1">
      <c r="A113" s="31"/>
      <c r="B113" s="32"/>
      <c r="C113" s="31"/>
      <c r="D113" s="31"/>
      <c r="E113" s="31"/>
      <c r="F113" s="31"/>
      <c r="G113" s="31"/>
      <c r="H113" s="5"/>
      <c r="I113" s="5"/>
      <c r="J113" s="5"/>
      <c r="K113" s="5"/>
      <c r="L113" s="5"/>
      <c r="M113" s="5"/>
      <c r="N113" s="5"/>
      <c r="O113" s="5"/>
      <c r="P113" s="5"/>
      <c r="Q113" s="5"/>
      <c r="R113" s="5"/>
      <c r="S113" s="5"/>
      <c r="T113" s="5"/>
      <c r="U113" s="5"/>
      <c r="V113" s="5"/>
      <c r="W113" s="5"/>
      <c r="X113" s="5"/>
      <c r="Y113" s="5"/>
      <c r="Z113" s="5"/>
    </row>
    <row r="114" ht="19.5" customHeight="1">
      <c r="A114" s="31"/>
      <c r="B114" s="32"/>
      <c r="C114" s="31"/>
      <c r="D114" s="31"/>
      <c r="E114" s="31"/>
      <c r="F114" s="31"/>
      <c r="G114" s="31"/>
      <c r="H114" s="5"/>
      <c r="I114" s="5"/>
      <c r="J114" s="5"/>
      <c r="K114" s="5"/>
      <c r="L114" s="5"/>
      <c r="M114" s="5"/>
      <c r="N114" s="5"/>
      <c r="O114" s="5"/>
      <c r="P114" s="5"/>
      <c r="Q114" s="5"/>
      <c r="R114" s="5"/>
      <c r="S114" s="5"/>
      <c r="T114" s="5"/>
      <c r="U114" s="5"/>
      <c r="V114" s="5"/>
      <c r="W114" s="5"/>
      <c r="X114" s="5"/>
      <c r="Y114" s="5"/>
      <c r="Z114" s="5"/>
    </row>
    <row r="115" ht="19.5" customHeight="1">
      <c r="A115" s="31"/>
      <c r="B115" s="32"/>
      <c r="C115" s="31"/>
      <c r="D115" s="31"/>
      <c r="E115" s="31"/>
      <c r="F115" s="31"/>
      <c r="G115" s="31"/>
      <c r="H115" s="5"/>
      <c r="I115" s="5"/>
      <c r="J115" s="5"/>
      <c r="K115" s="5"/>
      <c r="L115" s="5"/>
      <c r="M115" s="5"/>
      <c r="N115" s="5"/>
      <c r="O115" s="5"/>
      <c r="P115" s="5"/>
      <c r="Q115" s="5"/>
      <c r="R115" s="5"/>
      <c r="S115" s="5"/>
      <c r="T115" s="5"/>
      <c r="U115" s="5"/>
      <c r="V115" s="5"/>
      <c r="W115" s="5"/>
      <c r="X115" s="5"/>
      <c r="Y115" s="5"/>
      <c r="Z115" s="5"/>
    </row>
    <row r="116" ht="19.5" customHeight="1">
      <c r="A116" s="31"/>
      <c r="B116" s="32"/>
      <c r="C116" s="31"/>
      <c r="D116" s="31"/>
      <c r="E116" s="31"/>
      <c r="F116" s="31"/>
      <c r="G116" s="31"/>
      <c r="H116" s="5"/>
      <c r="I116" s="5"/>
      <c r="J116" s="5"/>
      <c r="K116" s="5"/>
      <c r="L116" s="5"/>
      <c r="M116" s="5"/>
      <c r="N116" s="5"/>
      <c r="O116" s="5"/>
      <c r="P116" s="5"/>
      <c r="Q116" s="5"/>
      <c r="R116" s="5"/>
      <c r="S116" s="5"/>
      <c r="T116" s="5"/>
      <c r="U116" s="5"/>
      <c r="V116" s="5"/>
      <c r="W116" s="5"/>
      <c r="X116" s="5"/>
      <c r="Y116" s="5"/>
      <c r="Z116" s="5"/>
    </row>
    <row r="117" ht="19.5" customHeight="1">
      <c r="A117" s="31"/>
      <c r="B117" s="32"/>
      <c r="C117" s="31"/>
      <c r="D117" s="31"/>
      <c r="E117" s="31"/>
      <c r="F117" s="31"/>
      <c r="G117" s="31"/>
      <c r="H117" s="5"/>
      <c r="I117" s="5"/>
      <c r="J117" s="5"/>
      <c r="K117" s="5"/>
      <c r="L117" s="5"/>
      <c r="M117" s="5"/>
      <c r="N117" s="5"/>
      <c r="O117" s="5"/>
      <c r="P117" s="5"/>
      <c r="Q117" s="5"/>
      <c r="R117" s="5"/>
      <c r="S117" s="5"/>
      <c r="T117" s="5"/>
      <c r="U117" s="5"/>
      <c r="V117" s="5"/>
      <c r="W117" s="5"/>
      <c r="X117" s="5"/>
      <c r="Y117" s="5"/>
      <c r="Z117" s="5"/>
    </row>
    <row r="118" ht="19.5" customHeight="1">
      <c r="A118" s="31"/>
      <c r="B118" s="32"/>
      <c r="C118" s="31"/>
      <c r="D118" s="31"/>
      <c r="E118" s="31"/>
      <c r="F118" s="31"/>
      <c r="G118" s="31"/>
      <c r="H118" s="5"/>
      <c r="I118" s="5"/>
      <c r="J118" s="5"/>
      <c r="K118" s="5"/>
      <c r="L118" s="5"/>
      <c r="M118" s="5"/>
      <c r="N118" s="5"/>
      <c r="O118" s="5"/>
      <c r="P118" s="5"/>
      <c r="Q118" s="5"/>
      <c r="R118" s="5"/>
      <c r="S118" s="5"/>
      <c r="T118" s="5"/>
      <c r="U118" s="5"/>
      <c r="V118" s="5"/>
      <c r="W118" s="5"/>
      <c r="X118" s="5"/>
      <c r="Y118" s="5"/>
      <c r="Z118" s="5"/>
    </row>
    <row r="119" ht="19.5" customHeight="1">
      <c r="A119" s="31"/>
      <c r="B119" s="32"/>
      <c r="C119" s="31"/>
      <c r="D119" s="31"/>
      <c r="E119" s="31"/>
      <c r="F119" s="31"/>
      <c r="G119" s="31"/>
      <c r="H119" s="5"/>
      <c r="I119" s="5"/>
      <c r="J119" s="5"/>
      <c r="K119" s="5"/>
      <c r="L119" s="5"/>
      <c r="M119" s="5"/>
      <c r="N119" s="5"/>
      <c r="O119" s="5"/>
      <c r="P119" s="5"/>
      <c r="Q119" s="5"/>
      <c r="R119" s="5"/>
      <c r="S119" s="5"/>
      <c r="T119" s="5"/>
      <c r="U119" s="5"/>
      <c r="V119" s="5"/>
      <c r="W119" s="5"/>
      <c r="X119" s="5"/>
      <c r="Y119" s="5"/>
      <c r="Z119" s="5"/>
    </row>
    <row r="120" ht="19.5" customHeight="1">
      <c r="A120" s="31"/>
      <c r="B120" s="32"/>
      <c r="C120" s="31"/>
      <c r="D120" s="31"/>
      <c r="E120" s="31"/>
      <c r="F120" s="31"/>
      <c r="G120" s="31"/>
      <c r="H120" s="5"/>
      <c r="I120" s="5"/>
      <c r="J120" s="5"/>
      <c r="K120" s="5"/>
      <c r="L120" s="5"/>
      <c r="M120" s="5"/>
      <c r="N120" s="5"/>
      <c r="O120" s="5"/>
      <c r="P120" s="5"/>
      <c r="Q120" s="5"/>
      <c r="R120" s="5"/>
      <c r="S120" s="5"/>
      <c r="T120" s="5"/>
      <c r="U120" s="5"/>
      <c r="V120" s="5"/>
      <c r="W120" s="5"/>
      <c r="X120" s="5"/>
      <c r="Y120" s="5"/>
      <c r="Z120" s="5"/>
    </row>
    <row r="121" ht="19.5" customHeight="1">
      <c r="A121" s="31"/>
      <c r="B121" s="32"/>
      <c r="C121" s="31"/>
      <c r="D121" s="31"/>
      <c r="E121" s="31"/>
      <c r="F121" s="31"/>
      <c r="G121" s="31"/>
      <c r="H121" s="5"/>
      <c r="I121" s="5"/>
      <c r="J121" s="5"/>
      <c r="K121" s="5"/>
      <c r="L121" s="5"/>
      <c r="M121" s="5"/>
      <c r="N121" s="5"/>
      <c r="O121" s="5"/>
      <c r="P121" s="5"/>
      <c r="Q121" s="5"/>
      <c r="R121" s="5"/>
      <c r="S121" s="5"/>
      <c r="T121" s="5"/>
      <c r="U121" s="5"/>
      <c r="V121" s="5"/>
      <c r="W121" s="5"/>
      <c r="X121" s="5"/>
      <c r="Y121" s="5"/>
      <c r="Z121" s="5"/>
    </row>
    <row r="122" ht="19.5" customHeight="1">
      <c r="A122" s="31"/>
      <c r="B122" s="32"/>
      <c r="C122" s="31"/>
      <c r="D122" s="31"/>
      <c r="E122" s="31"/>
      <c r="F122" s="31"/>
      <c r="G122" s="31"/>
      <c r="H122" s="5"/>
      <c r="I122" s="5"/>
      <c r="J122" s="5"/>
      <c r="K122" s="5"/>
      <c r="L122" s="5"/>
      <c r="M122" s="5"/>
      <c r="N122" s="5"/>
      <c r="O122" s="5"/>
      <c r="P122" s="5"/>
      <c r="Q122" s="5"/>
      <c r="R122" s="5"/>
      <c r="S122" s="5"/>
      <c r="T122" s="5"/>
      <c r="U122" s="5"/>
      <c r="V122" s="5"/>
      <c r="W122" s="5"/>
      <c r="X122" s="5"/>
      <c r="Y122" s="5"/>
      <c r="Z122" s="5"/>
    </row>
    <row r="123" ht="19.5" customHeight="1">
      <c r="A123" s="31"/>
      <c r="B123" s="32"/>
      <c r="C123" s="31"/>
      <c r="D123" s="31"/>
      <c r="E123" s="31"/>
      <c r="F123" s="31"/>
      <c r="G123" s="31"/>
      <c r="H123" s="5"/>
      <c r="I123" s="5"/>
      <c r="J123" s="5"/>
      <c r="K123" s="5"/>
      <c r="L123" s="5"/>
      <c r="M123" s="5"/>
      <c r="N123" s="5"/>
      <c r="O123" s="5"/>
      <c r="P123" s="5"/>
      <c r="Q123" s="5"/>
      <c r="R123" s="5"/>
      <c r="S123" s="5"/>
      <c r="T123" s="5"/>
      <c r="U123" s="5"/>
      <c r="V123" s="5"/>
      <c r="W123" s="5"/>
      <c r="X123" s="5"/>
      <c r="Y123" s="5"/>
      <c r="Z123" s="5"/>
    </row>
    <row r="124" ht="19.5" customHeight="1">
      <c r="A124" s="31"/>
      <c r="B124" s="32"/>
      <c r="C124" s="31"/>
      <c r="D124" s="31"/>
      <c r="E124" s="31"/>
      <c r="F124" s="31"/>
      <c r="G124" s="31"/>
      <c r="H124" s="5"/>
      <c r="I124" s="5"/>
      <c r="J124" s="5"/>
      <c r="K124" s="5"/>
      <c r="L124" s="5"/>
      <c r="M124" s="5"/>
      <c r="N124" s="5"/>
      <c r="O124" s="5"/>
      <c r="P124" s="5"/>
      <c r="Q124" s="5"/>
      <c r="R124" s="5"/>
      <c r="S124" s="5"/>
      <c r="T124" s="5"/>
      <c r="U124" s="5"/>
      <c r="V124" s="5"/>
      <c r="W124" s="5"/>
      <c r="X124" s="5"/>
      <c r="Y124" s="5"/>
      <c r="Z124" s="5"/>
    </row>
    <row r="125" ht="19.5" customHeight="1">
      <c r="A125" s="31"/>
      <c r="B125" s="32"/>
      <c r="C125" s="31"/>
      <c r="D125" s="31"/>
      <c r="E125" s="31"/>
      <c r="F125" s="31"/>
      <c r="G125" s="31"/>
      <c r="H125" s="5"/>
      <c r="I125" s="5"/>
      <c r="J125" s="5"/>
      <c r="K125" s="5"/>
      <c r="L125" s="5"/>
      <c r="M125" s="5"/>
      <c r="N125" s="5"/>
      <c r="O125" s="5"/>
      <c r="P125" s="5"/>
      <c r="Q125" s="5"/>
      <c r="R125" s="5"/>
      <c r="S125" s="5"/>
      <c r="T125" s="5"/>
      <c r="U125" s="5"/>
      <c r="V125" s="5"/>
      <c r="W125" s="5"/>
      <c r="X125" s="5"/>
      <c r="Y125" s="5"/>
      <c r="Z125" s="5"/>
    </row>
    <row r="126" ht="19.5" customHeight="1">
      <c r="A126" s="31"/>
      <c r="B126" s="32"/>
      <c r="C126" s="31"/>
      <c r="D126" s="31"/>
      <c r="E126" s="31"/>
      <c r="F126" s="31"/>
      <c r="G126" s="31"/>
      <c r="H126" s="5"/>
      <c r="I126" s="5"/>
      <c r="J126" s="5"/>
      <c r="K126" s="5"/>
      <c r="L126" s="5"/>
      <c r="M126" s="5"/>
      <c r="N126" s="5"/>
      <c r="O126" s="5"/>
      <c r="P126" s="5"/>
      <c r="Q126" s="5"/>
      <c r="R126" s="5"/>
      <c r="S126" s="5"/>
      <c r="T126" s="5"/>
      <c r="U126" s="5"/>
      <c r="V126" s="5"/>
      <c r="W126" s="5"/>
      <c r="X126" s="5"/>
      <c r="Y126" s="5"/>
      <c r="Z126" s="5"/>
    </row>
    <row r="127" ht="19.5" customHeight="1">
      <c r="A127" s="31"/>
      <c r="B127" s="32"/>
      <c r="C127" s="31"/>
      <c r="D127" s="31"/>
      <c r="E127" s="31"/>
      <c r="F127" s="31"/>
      <c r="G127" s="31"/>
      <c r="H127" s="5"/>
      <c r="I127" s="5"/>
      <c r="J127" s="5"/>
      <c r="K127" s="5"/>
      <c r="L127" s="5"/>
      <c r="M127" s="5"/>
      <c r="N127" s="5"/>
      <c r="O127" s="5"/>
      <c r="P127" s="5"/>
      <c r="Q127" s="5"/>
      <c r="R127" s="5"/>
      <c r="S127" s="5"/>
      <c r="T127" s="5"/>
      <c r="U127" s="5"/>
      <c r="V127" s="5"/>
      <c r="W127" s="5"/>
      <c r="X127" s="5"/>
      <c r="Y127" s="5"/>
      <c r="Z127" s="5"/>
    </row>
    <row r="128" ht="19.5" customHeight="1">
      <c r="A128" s="31"/>
      <c r="B128" s="32"/>
      <c r="C128" s="31"/>
      <c r="D128" s="31"/>
      <c r="E128" s="31"/>
      <c r="F128" s="31"/>
      <c r="G128" s="31"/>
      <c r="H128" s="5"/>
      <c r="I128" s="5"/>
      <c r="J128" s="5"/>
      <c r="K128" s="5"/>
      <c r="L128" s="5"/>
      <c r="M128" s="5"/>
      <c r="N128" s="5"/>
      <c r="O128" s="5"/>
      <c r="P128" s="5"/>
      <c r="Q128" s="5"/>
      <c r="R128" s="5"/>
      <c r="S128" s="5"/>
      <c r="T128" s="5"/>
      <c r="U128" s="5"/>
      <c r="V128" s="5"/>
      <c r="W128" s="5"/>
      <c r="X128" s="5"/>
      <c r="Y128" s="5"/>
      <c r="Z128" s="5"/>
    </row>
    <row r="129" ht="19.5" customHeight="1">
      <c r="A129" s="31"/>
      <c r="B129" s="32"/>
      <c r="C129" s="31"/>
      <c r="D129" s="31"/>
      <c r="E129" s="31"/>
      <c r="F129" s="31"/>
      <c r="G129" s="31"/>
      <c r="H129" s="5"/>
      <c r="I129" s="5"/>
      <c r="J129" s="5"/>
      <c r="K129" s="5"/>
      <c r="L129" s="5"/>
      <c r="M129" s="5"/>
      <c r="N129" s="5"/>
      <c r="O129" s="5"/>
      <c r="P129" s="5"/>
      <c r="Q129" s="5"/>
      <c r="R129" s="5"/>
      <c r="S129" s="5"/>
      <c r="T129" s="5"/>
      <c r="U129" s="5"/>
      <c r="V129" s="5"/>
      <c r="W129" s="5"/>
      <c r="X129" s="5"/>
      <c r="Y129" s="5"/>
      <c r="Z129" s="5"/>
    </row>
    <row r="130" ht="19.5" customHeight="1">
      <c r="A130" s="31"/>
      <c r="B130" s="32"/>
      <c r="C130" s="31"/>
      <c r="D130" s="31"/>
      <c r="E130" s="31"/>
      <c r="F130" s="31"/>
      <c r="G130" s="31"/>
      <c r="H130" s="5"/>
      <c r="I130" s="5"/>
      <c r="J130" s="5"/>
      <c r="K130" s="5"/>
      <c r="L130" s="5"/>
      <c r="M130" s="5"/>
      <c r="N130" s="5"/>
      <c r="O130" s="5"/>
      <c r="P130" s="5"/>
      <c r="Q130" s="5"/>
      <c r="R130" s="5"/>
      <c r="S130" s="5"/>
      <c r="T130" s="5"/>
      <c r="U130" s="5"/>
      <c r="V130" s="5"/>
      <c r="W130" s="5"/>
      <c r="X130" s="5"/>
      <c r="Y130" s="5"/>
      <c r="Z130" s="5"/>
    </row>
    <row r="131" ht="19.5" customHeight="1">
      <c r="A131" s="31"/>
      <c r="B131" s="32"/>
      <c r="C131" s="31"/>
      <c r="D131" s="31"/>
      <c r="E131" s="31"/>
      <c r="F131" s="31"/>
      <c r="G131" s="31"/>
      <c r="H131" s="5"/>
      <c r="I131" s="5"/>
      <c r="J131" s="5"/>
      <c r="K131" s="5"/>
      <c r="L131" s="5"/>
      <c r="M131" s="5"/>
      <c r="N131" s="5"/>
      <c r="O131" s="5"/>
      <c r="P131" s="5"/>
      <c r="Q131" s="5"/>
      <c r="R131" s="5"/>
      <c r="S131" s="5"/>
      <c r="T131" s="5"/>
      <c r="U131" s="5"/>
      <c r="V131" s="5"/>
      <c r="W131" s="5"/>
      <c r="X131" s="5"/>
      <c r="Y131" s="5"/>
      <c r="Z131" s="5"/>
    </row>
    <row r="132" ht="19.5" customHeight="1">
      <c r="A132" s="31"/>
      <c r="B132" s="32"/>
      <c r="C132" s="31"/>
      <c r="D132" s="31"/>
      <c r="E132" s="31"/>
      <c r="F132" s="31"/>
      <c r="G132" s="31"/>
      <c r="H132" s="5"/>
      <c r="I132" s="5"/>
      <c r="J132" s="5"/>
      <c r="K132" s="5"/>
      <c r="L132" s="5"/>
      <c r="M132" s="5"/>
      <c r="N132" s="5"/>
      <c r="O132" s="5"/>
      <c r="P132" s="5"/>
      <c r="Q132" s="5"/>
      <c r="R132" s="5"/>
      <c r="S132" s="5"/>
      <c r="T132" s="5"/>
      <c r="U132" s="5"/>
      <c r="V132" s="5"/>
      <c r="W132" s="5"/>
      <c r="X132" s="5"/>
      <c r="Y132" s="5"/>
      <c r="Z132" s="5"/>
    </row>
    <row r="133" ht="19.5" customHeight="1">
      <c r="A133" s="31"/>
      <c r="B133" s="32"/>
      <c r="C133" s="31"/>
      <c r="D133" s="31"/>
      <c r="E133" s="31"/>
      <c r="F133" s="31"/>
      <c r="G133" s="31"/>
      <c r="H133" s="5"/>
      <c r="I133" s="5"/>
      <c r="J133" s="5"/>
      <c r="K133" s="5"/>
      <c r="L133" s="5"/>
      <c r="M133" s="5"/>
      <c r="N133" s="5"/>
      <c r="O133" s="5"/>
      <c r="P133" s="5"/>
      <c r="Q133" s="5"/>
      <c r="R133" s="5"/>
      <c r="S133" s="5"/>
      <c r="T133" s="5"/>
      <c r="U133" s="5"/>
      <c r="V133" s="5"/>
      <c r="W133" s="5"/>
      <c r="X133" s="5"/>
      <c r="Y133" s="5"/>
      <c r="Z133" s="5"/>
    </row>
    <row r="134" ht="19.5" customHeight="1">
      <c r="A134" s="31"/>
      <c r="B134" s="32"/>
      <c r="C134" s="31"/>
      <c r="D134" s="31"/>
      <c r="E134" s="31"/>
      <c r="F134" s="31"/>
      <c r="G134" s="31"/>
      <c r="H134" s="5"/>
      <c r="I134" s="5"/>
      <c r="J134" s="5"/>
      <c r="K134" s="5"/>
      <c r="L134" s="5"/>
      <c r="M134" s="5"/>
      <c r="N134" s="5"/>
      <c r="O134" s="5"/>
      <c r="P134" s="5"/>
      <c r="Q134" s="5"/>
      <c r="R134" s="5"/>
      <c r="S134" s="5"/>
      <c r="T134" s="5"/>
      <c r="U134" s="5"/>
      <c r="V134" s="5"/>
      <c r="W134" s="5"/>
      <c r="X134" s="5"/>
      <c r="Y134" s="5"/>
      <c r="Z134" s="5"/>
    </row>
    <row r="135" ht="19.5" customHeight="1">
      <c r="A135" s="31"/>
      <c r="B135" s="32"/>
      <c r="C135" s="31"/>
      <c r="D135" s="31"/>
      <c r="E135" s="31"/>
      <c r="F135" s="31"/>
      <c r="G135" s="31"/>
      <c r="H135" s="5"/>
      <c r="I135" s="5"/>
      <c r="J135" s="5"/>
      <c r="K135" s="5"/>
      <c r="L135" s="5"/>
      <c r="M135" s="5"/>
      <c r="N135" s="5"/>
      <c r="O135" s="5"/>
      <c r="P135" s="5"/>
      <c r="Q135" s="5"/>
      <c r="R135" s="5"/>
      <c r="S135" s="5"/>
      <c r="T135" s="5"/>
      <c r="U135" s="5"/>
      <c r="V135" s="5"/>
      <c r="W135" s="5"/>
      <c r="X135" s="5"/>
      <c r="Y135" s="5"/>
      <c r="Z135" s="5"/>
    </row>
    <row r="136" ht="19.5" customHeight="1">
      <c r="A136" s="31"/>
      <c r="B136" s="32"/>
      <c r="C136" s="31"/>
      <c r="D136" s="31"/>
      <c r="E136" s="31"/>
      <c r="F136" s="31"/>
      <c r="G136" s="31"/>
      <c r="H136" s="5"/>
      <c r="I136" s="5"/>
      <c r="J136" s="5"/>
      <c r="K136" s="5"/>
      <c r="L136" s="5"/>
      <c r="M136" s="5"/>
      <c r="N136" s="5"/>
      <c r="O136" s="5"/>
      <c r="P136" s="5"/>
      <c r="Q136" s="5"/>
      <c r="R136" s="5"/>
      <c r="S136" s="5"/>
      <c r="T136" s="5"/>
      <c r="U136" s="5"/>
      <c r="V136" s="5"/>
      <c r="W136" s="5"/>
      <c r="X136" s="5"/>
      <c r="Y136" s="5"/>
      <c r="Z136" s="5"/>
    </row>
    <row r="137" ht="19.5" customHeight="1">
      <c r="A137" s="31"/>
      <c r="B137" s="32"/>
      <c r="C137" s="31"/>
      <c r="D137" s="31"/>
      <c r="E137" s="31"/>
      <c r="F137" s="31"/>
      <c r="G137" s="31"/>
      <c r="H137" s="5"/>
      <c r="I137" s="5"/>
      <c r="J137" s="5"/>
      <c r="K137" s="5"/>
      <c r="L137" s="5"/>
      <c r="M137" s="5"/>
      <c r="N137" s="5"/>
      <c r="O137" s="5"/>
      <c r="P137" s="5"/>
      <c r="Q137" s="5"/>
      <c r="R137" s="5"/>
      <c r="S137" s="5"/>
      <c r="T137" s="5"/>
      <c r="U137" s="5"/>
      <c r="V137" s="5"/>
      <c r="W137" s="5"/>
      <c r="X137" s="5"/>
      <c r="Y137" s="5"/>
      <c r="Z137" s="5"/>
    </row>
    <row r="138" ht="19.5" customHeight="1">
      <c r="A138" s="31"/>
      <c r="B138" s="32"/>
      <c r="C138" s="31"/>
      <c r="D138" s="31"/>
      <c r="E138" s="31"/>
      <c r="F138" s="31"/>
      <c r="G138" s="31"/>
      <c r="H138" s="5"/>
      <c r="I138" s="5"/>
      <c r="J138" s="5"/>
      <c r="K138" s="5"/>
      <c r="L138" s="5"/>
      <c r="M138" s="5"/>
      <c r="N138" s="5"/>
      <c r="O138" s="5"/>
      <c r="P138" s="5"/>
      <c r="Q138" s="5"/>
      <c r="R138" s="5"/>
      <c r="S138" s="5"/>
      <c r="T138" s="5"/>
      <c r="U138" s="5"/>
      <c r="V138" s="5"/>
      <c r="W138" s="5"/>
      <c r="X138" s="5"/>
      <c r="Y138" s="5"/>
      <c r="Z138" s="5"/>
    </row>
    <row r="139" ht="19.5" customHeight="1">
      <c r="A139" s="31"/>
      <c r="B139" s="32"/>
      <c r="C139" s="31"/>
      <c r="D139" s="31"/>
      <c r="E139" s="31"/>
      <c r="F139" s="31"/>
      <c r="G139" s="31"/>
      <c r="H139" s="5"/>
      <c r="I139" s="5"/>
      <c r="J139" s="5"/>
      <c r="K139" s="5"/>
      <c r="L139" s="5"/>
      <c r="M139" s="5"/>
      <c r="N139" s="5"/>
      <c r="O139" s="5"/>
      <c r="P139" s="5"/>
      <c r="Q139" s="5"/>
      <c r="R139" s="5"/>
      <c r="S139" s="5"/>
      <c r="T139" s="5"/>
      <c r="U139" s="5"/>
      <c r="V139" s="5"/>
      <c r="W139" s="5"/>
      <c r="X139" s="5"/>
      <c r="Y139" s="5"/>
      <c r="Z139" s="5"/>
    </row>
    <row r="140" ht="19.5" customHeight="1">
      <c r="A140" s="31"/>
      <c r="B140" s="32"/>
      <c r="C140" s="31"/>
      <c r="D140" s="31"/>
      <c r="E140" s="31"/>
      <c r="F140" s="31"/>
      <c r="G140" s="31"/>
      <c r="H140" s="5"/>
      <c r="I140" s="5"/>
      <c r="J140" s="5"/>
      <c r="K140" s="5"/>
      <c r="L140" s="5"/>
      <c r="M140" s="5"/>
      <c r="N140" s="5"/>
      <c r="O140" s="5"/>
      <c r="P140" s="5"/>
      <c r="Q140" s="5"/>
      <c r="R140" s="5"/>
      <c r="S140" s="5"/>
      <c r="T140" s="5"/>
      <c r="U140" s="5"/>
      <c r="V140" s="5"/>
      <c r="W140" s="5"/>
      <c r="X140" s="5"/>
      <c r="Y140" s="5"/>
      <c r="Z140" s="5"/>
    </row>
    <row r="141" ht="19.5" customHeight="1">
      <c r="A141" s="31"/>
      <c r="B141" s="32"/>
      <c r="C141" s="31"/>
      <c r="D141" s="31"/>
      <c r="E141" s="31"/>
      <c r="F141" s="31"/>
      <c r="G141" s="31"/>
      <c r="H141" s="5"/>
      <c r="I141" s="5"/>
      <c r="J141" s="5"/>
      <c r="K141" s="5"/>
      <c r="L141" s="5"/>
      <c r="M141" s="5"/>
      <c r="N141" s="5"/>
      <c r="O141" s="5"/>
      <c r="P141" s="5"/>
      <c r="Q141" s="5"/>
      <c r="R141" s="5"/>
      <c r="S141" s="5"/>
      <c r="T141" s="5"/>
      <c r="U141" s="5"/>
      <c r="V141" s="5"/>
      <c r="W141" s="5"/>
      <c r="X141" s="5"/>
      <c r="Y141" s="5"/>
      <c r="Z141" s="5"/>
    </row>
    <row r="142" ht="19.5" customHeight="1">
      <c r="A142" s="31"/>
      <c r="B142" s="32"/>
      <c r="C142" s="31"/>
      <c r="D142" s="31"/>
      <c r="E142" s="31"/>
      <c r="F142" s="31"/>
      <c r="G142" s="31"/>
      <c r="H142" s="5"/>
      <c r="I142" s="5"/>
      <c r="J142" s="5"/>
      <c r="K142" s="5"/>
      <c r="L142" s="5"/>
      <c r="M142" s="5"/>
      <c r="N142" s="5"/>
      <c r="O142" s="5"/>
      <c r="P142" s="5"/>
      <c r="Q142" s="5"/>
      <c r="R142" s="5"/>
      <c r="S142" s="5"/>
      <c r="T142" s="5"/>
      <c r="U142" s="5"/>
      <c r="V142" s="5"/>
      <c r="W142" s="5"/>
      <c r="X142" s="5"/>
      <c r="Y142" s="5"/>
      <c r="Z142" s="5"/>
    </row>
    <row r="143" ht="19.5" customHeight="1">
      <c r="A143" s="31"/>
      <c r="B143" s="32"/>
      <c r="C143" s="31"/>
      <c r="D143" s="31"/>
      <c r="E143" s="31"/>
      <c r="F143" s="31"/>
      <c r="G143" s="31"/>
      <c r="H143" s="5"/>
      <c r="I143" s="5"/>
      <c r="J143" s="5"/>
      <c r="K143" s="5"/>
      <c r="L143" s="5"/>
      <c r="M143" s="5"/>
      <c r="N143" s="5"/>
      <c r="O143" s="5"/>
      <c r="P143" s="5"/>
      <c r="Q143" s="5"/>
      <c r="R143" s="5"/>
      <c r="S143" s="5"/>
      <c r="T143" s="5"/>
      <c r="U143" s="5"/>
      <c r="V143" s="5"/>
      <c r="W143" s="5"/>
      <c r="X143" s="5"/>
      <c r="Y143" s="5"/>
      <c r="Z143" s="5"/>
    </row>
    <row r="144" ht="19.5" customHeight="1">
      <c r="A144" s="31"/>
      <c r="B144" s="32"/>
      <c r="C144" s="31"/>
      <c r="D144" s="31"/>
      <c r="E144" s="31"/>
      <c r="F144" s="31"/>
      <c r="G144" s="31"/>
      <c r="H144" s="5"/>
      <c r="I144" s="5"/>
      <c r="J144" s="5"/>
      <c r="K144" s="5"/>
      <c r="L144" s="5"/>
      <c r="M144" s="5"/>
      <c r="N144" s="5"/>
      <c r="O144" s="5"/>
      <c r="P144" s="5"/>
      <c r="Q144" s="5"/>
      <c r="R144" s="5"/>
      <c r="S144" s="5"/>
      <c r="T144" s="5"/>
      <c r="U144" s="5"/>
      <c r="V144" s="5"/>
      <c r="W144" s="5"/>
      <c r="X144" s="5"/>
      <c r="Y144" s="5"/>
      <c r="Z144" s="5"/>
    </row>
    <row r="145" ht="19.5" customHeight="1">
      <c r="A145" s="31"/>
      <c r="B145" s="32"/>
      <c r="C145" s="31"/>
      <c r="D145" s="31"/>
      <c r="E145" s="31"/>
      <c r="F145" s="31"/>
      <c r="G145" s="31"/>
      <c r="H145" s="5"/>
      <c r="I145" s="5"/>
      <c r="J145" s="5"/>
      <c r="K145" s="5"/>
      <c r="L145" s="5"/>
      <c r="M145" s="5"/>
      <c r="N145" s="5"/>
      <c r="O145" s="5"/>
      <c r="P145" s="5"/>
      <c r="Q145" s="5"/>
      <c r="R145" s="5"/>
      <c r="S145" s="5"/>
      <c r="T145" s="5"/>
      <c r="U145" s="5"/>
      <c r="V145" s="5"/>
      <c r="W145" s="5"/>
      <c r="X145" s="5"/>
      <c r="Y145" s="5"/>
      <c r="Z145" s="5"/>
    </row>
    <row r="146" ht="19.5" customHeight="1">
      <c r="A146" s="31"/>
      <c r="B146" s="32"/>
      <c r="C146" s="31"/>
      <c r="D146" s="31"/>
      <c r="E146" s="31"/>
      <c r="F146" s="31"/>
      <c r="G146" s="31"/>
      <c r="H146" s="5"/>
      <c r="I146" s="5"/>
      <c r="J146" s="5"/>
      <c r="K146" s="5"/>
      <c r="L146" s="5"/>
      <c r="M146" s="5"/>
      <c r="N146" s="5"/>
      <c r="O146" s="5"/>
      <c r="P146" s="5"/>
      <c r="Q146" s="5"/>
      <c r="R146" s="5"/>
      <c r="S146" s="5"/>
      <c r="T146" s="5"/>
      <c r="U146" s="5"/>
      <c r="V146" s="5"/>
      <c r="W146" s="5"/>
      <c r="X146" s="5"/>
      <c r="Y146" s="5"/>
      <c r="Z146" s="5"/>
    </row>
    <row r="147" ht="19.5" customHeight="1">
      <c r="A147" s="31"/>
      <c r="B147" s="32"/>
      <c r="C147" s="31"/>
      <c r="D147" s="31"/>
      <c r="E147" s="31"/>
      <c r="F147" s="31"/>
      <c r="G147" s="31"/>
      <c r="H147" s="5"/>
      <c r="I147" s="5"/>
      <c r="J147" s="5"/>
      <c r="K147" s="5"/>
      <c r="L147" s="5"/>
      <c r="M147" s="5"/>
      <c r="N147" s="5"/>
      <c r="O147" s="5"/>
      <c r="P147" s="5"/>
      <c r="Q147" s="5"/>
      <c r="R147" s="5"/>
      <c r="S147" s="5"/>
      <c r="T147" s="5"/>
      <c r="U147" s="5"/>
      <c r="V147" s="5"/>
      <c r="W147" s="5"/>
      <c r="X147" s="5"/>
      <c r="Y147" s="5"/>
      <c r="Z147" s="5"/>
    </row>
    <row r="148" ht="19.5" customHeight="1">
      <c r="A148" s="31"/>
      <c r="B148" s="32"/>
      <c r="C148" s="31"/>
      <c r="D148" s="31"/>
      <c r="E148" s="31"/>
      <c r="F148" s="31"/>
      <c r="G148" s="31"/>
      <c r="H148" s="5"/>
      <c r="I148" s="5"/>
      <c r="J148" s="5"/>
      <c r="K148" s="5"/>
      <c r="L148" s="5"/>
      <c r="M148" s="5"/>
      <c r="N148" s="5"/>
      <c r="O148" s="5"/>
      <c r="P148" s="5"/>
      <c r="Q148" s="5"/>
      <c r="R148" s="5"/>
      <c r="S148" s="5"/>
      <c r="T148" s="5"/>
      <c r="U148" s="5"/>
      <c r="V148" s="5"/>
      <c r="W148" s="5"/>
      <c r="X148" s="5"/>
      <c r="Y148" s="5"/>
      <c r="Z148" s="5"/>
    </row>
    <row r="149" ht="19.5" customHeight="1">
      <c r="A149" s="31"/>
      <c r="B149" s="32"/>
      <c r="C149" s="31"/>
      <c r="D149" s="31"/>
      <c r="E149" s="31"/>
      <c r="F149" s="31"/>
      <c r="G149" s="31"/>
      <c r="H149" s="5"/>
      <c r="I149" s="5"/>
      <c r="J149" s="5"/>
      <c r="K149" s="5"/>
      <c r="L149" s="5"/>
      <c r="M149" s="5"/>
      <c r="N149" s="5"/>
      <c r="O149" s="5"/>
      <c r="P149" s="5"/>
      <c r="Q149" s="5"/>
      <c r="R149" s="5"/>
      <c r="S149" s="5"/>
      <c r="T149" s="5"/>
      <c r="U149" s="5"/>
      <c r="V149" s="5"/>
      <c r="W149" s="5"/>
      <c r="X149" s="5"/>
      <c r="Y149" s="5"/>
      <c r="Z149" s="5"/>
    </row>
    <row r="150" ht="19.5" customHeight="1">
      <c r="A150" s="31"/>
      <c r="B150" s="32"/>
      <c r="C150" s="31"/>
      <c r="D150" s="31"/>
      <c r="E150" s="31"/>
      <c r="F150" s="31"/>
      <c r="G150" s="31"/>
      <c r="H150" s="5"/>
      <c r="I150" s="5"/>
      <c r="J150" s="5"/>
      <c r="K150" s="5"/>
      <c r="L150" s="5"/>
      <c r="M150" s="5"/>
      <c r="N150" s="5"/>
      <c r="O150" s="5"/>
      <c r="P150" s="5"/>
      <c r="Q150" s="5"/>
      <c r="R150" s="5"/>
      <c r="S150" s="5"/>
      <c r="T150" s="5"/>
      <c r="U150" s="5"/>
      <c r="V150" s="5"/>
      <c r="W150" s="5"/>
      <c r="X150" s="5"/>
      <c r="Y150" s="5"/>
      <c r="Z150" s="5"/>
    </row>
    <row r="151" ht="19.5" customHeight="1">
      <c r="A151" s="31"/>
      <c r="B151" s="32"/>
      <c r="C151" s="31"/>
      <c r="D151" s="31"/>
      <c r="E151" s="31"/>
      <c r="F151" s="31"/>
      <c r="G151" s="31"/>
      <c r="H151" s="5"/>
      <c r="I151" s="5"/>
      <c r="J151" s="5"/>
      <c r="K151" s="5"/>
      <c r="L151" s="5"/>
      <c r="M151" s="5"/>
      <c r="N151" s="5"/>
      <c r="O151" s="5"/>
      <c r="P151" s="5"/>
      <c r="Q151" s="5"/>
      <c r="R151" s="5"/>
      <c r="S151" s="5"/>
      <c r="T151" s="5"/>
      <c r="U151" s="5"/>
      <c r="V151" s="5"/>
      <c r="W151" s="5"/>
      <c r="X151" s="5"/>
      <c r="Y151" s="5"/>
      <c r="Z151" s="5"/>
    </row>
    <row r="152" ht="19.5" customHeight="1">
      <c r="A152" s="31"/>
      <c r="B152" s="32"/>
      <c r="C152" s="31"/>
      <c r="D152" s="31"/>
      <c r="E152" s="31"/>
      <c r="F152" s="31"/>
      <c r="G152" s="31"/>
      <c r="H152" s="5"/>
      <c r="I152" s="5"/>
      <c r="J152" s="5"/>
      <c r="K152" s="5"/>
      <c r="L152" s="5"/>
      <c r="M152" s="5"/>
      <c r="N152" s="5"/>
      <c r="O152" s="5"/>
      <c r="P152" s="5"/>
      <c r="Q152" s="5"/>
      <c r="R152" s="5"/>
      <c r="S152" s="5"/>
      <c r="T152" s="5"/>
      <c r="U152" s="5"/>
      <c r="V152" s="5"/>
      <c r="W152" s="5"/>
      <c r="X152" s="5"/>
      <c r="Y152" s="5"/>
      <c r="Z152" s="5"/>
    </row>
    <row r="153" ht="19.5" customHeight="1">
      <c r="A153" s="31"/>
      <c r="B153" s="32"/>
      <c r="C153" s="31"/>
      <c r="D153" s="31"/>
      <c r="E153" s="31"/>
      <c r="F153" s="31"/>
      <c r="G153" s="31"/>
      <c r="H153" s="5"/>
      <c r="I153" s="5"/>
      <c r="J153" s="5"/>
      <c r="K153" s="5"/>
      <c r="L153" s="5"/>
      <c r="M153" s="5"/>
      <c r="N153" s="5"/>
      <c r="O153" s="5"/>
      <c r="P153" s="5"/>
      <c r="Q153" s="5"/>
      <c r="R153" s="5"/>
      <c r="S153" s="5"/>
      <c r="T153" s="5"/>
      <c r="U153" s="5"/>
      <c r="V153" s="5"/>
      <c r="W153" s="5"/>
      <c r="X153" s="5"/>
      <c r="Y153" s="5"/>
      <c r="Z153" s="5"/>
    </row>
    <row r="154" ht="19.5" customHeight="1">
      <c r="A154" s="31"/>
      <c r="B154" s="32"/>
      <c r="C154" s="31"/>
      <c r="D154" s="31"/>
      <c r="E154" s="31"/>
      <c r="F154" s="31"/>
      <c r="G154" s="31"/>
      <c r="H154" s="5"/>
      <c r="I154" s="5"/>
      <c r="J154" s="5"/>
      <c r="K154" s="5"/>
      <c r="L154" s="5"/>
      <c r="M154" s="5"/>
      <c r="N154" s="5"/>
      <c r="O154" s="5"/>
      <c r="P154" s="5"/>
      <c r="Q154" s="5"/>
      <c r="R154" s="5"/>
      <c r="S154" s="5"/>
      <c r="T154" s="5"/>
      <c r="U154" s="5"/>
      <c r="V154" s="5"/>
      <c r="W154" s="5"/>
      <c r="X154" s="5"/>
      <c r="Y154" s="5"/>
      <c r="Z154" s="5"/>
    </row>
    <row r="155" ht="19.5" customHeight="1">
      <c r="A155" s="31"/>
      <c r="B155" s="32"/>
      <c r="C155" s="31"/>
      <c r="D155" s="31"/>
      <c r="E155" s="31"/>
      <c r="F155" s="31"/>
      <c r="G155" s="31"/>
      <c r="H155" s="5"/>
      <c r="I155" s="5"/>
      <c r="J155" s="5"/>
      <c r="K155" s="5"/>
      <c r="L155" s="5"/>
      <c r="M155" s="5"/>
      <c r="N155" s="5"/>
      <c r="O155" s="5"/>
      <c r="P155" s="5"/>
      <c r="Q155" s="5"/>
      <c r="R155" s="5"/>
      <c r="S155" s="5"/>
      <c r="T155" s="5"/>
      <c r="U155" s="5"/>
      <c r="V155" s="5"/>
      <c r="W155" s="5"/>
      <c r="X155" s="5"/>
      <c r="Y155" s="5"/>
      <c r="Z155" s="5"/>
    </row>
    <row r="156" ht="19.5" customHeight="1">
      <c r="A156" s="31"/>
      <c r="B156" s="32"/>
      <c r="C156" s="31"/>
      <c r="D156" s="31"/>
      <c r="E156" s="31"/>
      <c r="F156" s="31"/>
      <c r="G156" s="31"/>
      <c r="H156" s="5"/>
      <c r="I156" s="5"/>
      <c r="J156" s="5"/>
      <c r="K156" s="5"/>
      <c r="L156" s="5"/>
      <c r="M156" s="5"/>
      <c r="N156" s="5"/>
      <c r="O156" s="5"/>
      <c r="P156" s="5"/>
      <c r="Q156" s="5"/>
      <c r="R156" s="5"/>
      <c r="S156" s="5"/>
      <c r="T156" s="5"/>
      <c r="U156" s="5"/>
      <c r="V156" s="5"/>
      <c r="W156" s="5"/>
      <c r="X156" s="5"/>
      <c r="Y156" s="5"/>
      <c r="Z156" s="5"/>
    </row>
    <row r="157" ht="19.5" customHeight="1">
      <c r="A157" s="31"/>
      <c r="B157" s="32"/>
      <c r="C157" s="31"/>
      <c r="D157" s="31"/>
      <c r="E157" s="31"/>
      <c r="F157" s="31"/>
      <c r="G157" s="31"/>
      <c r="H157" s="5"/>
      <c r="I157" s="5"/>
      <c r="J157" s="5"/>
      <c r="K157" s="5"/>
      <c r="L157" s="5"/>
      <c r="M157" s="5"/>
      <c r="N157" s="5"/>
      <c r="O157" s="5"/>
      <c r="P157" s="5"/>
      <c r="Q157" s="5"/>
      <c r="R157" s="5"/>
      <c r="S157" s="5"/>
      <c r="T157" s="5"/>
      <c r="U157" s="5"/>
      <c r="V157" s="5"/>
      <c r="W157" s="5"/>
      <c r="X157" s="5"/>
      <c r="Y157" s="5"/>
      <c r="Z157" s="5"/>
    </row>
    <row r="158" ht="19.5" customHeight="1">
      <c r="A158" s="31"/>
      <c r="B158" s="32"/>
      <c r="C158" s="31"/>
      <c r="D158" s="31"/>
      <c r="E158" s="31"/>
      <c r="F158" s="31"/>
      <c r="G158" s="31"/>
      <c r="H158" s="5"/>
      <c r="I158" s="5"/>
      <c r="J158" s="5"/>
      <c r="K158" s="5"/>
      <c r="L158" s="5"/>
      <c r="M158" s="5"/>
      <c r="N158" s="5"/>
      <c r="O158" s="5"/>
      <c r="P158" s="5"/>
      <c r="Q158" s="5"/>
      <c r="R158" s="5"/>
      <c r="S158" s="5"/>
      <c r="T158" s="5"/>
      <c r="U158" s="5"/>
      <c r="V158" s="5"/>
      <c r="W158" s="5"/>
      <c r="X158" s="5"/>
      <c r="Y158" s="5"/>
      <c r="Z158" s="5"/>
    </row>
    <row r="159" ht="19.5" customHeight="1">
      <c r="A159" s="31"/>
      <c r="B159" s="32"/>
      <c r="C159" s="31"/>
      <c r="D159" s="31"/>
      <c r="E159" s="31"/>
      <c r="F159" s="31"/>
      <c r="G159" s="31"/>
      <c r="H159" s="5"/>
      <c r="I159" s="5"/>
      <c r="J159" s="5"/>
      <c r="K159" s="5"/>
      <c r="L159" s="5"/>
      <c r="M159" s="5"/>
      <c r="N159" s="5"/>
      <c r="O159" s="5"/>
      <c r="P159" s="5"/>
      <c r="Q159" s="5"/>
      <c r="R159" s="5"/>
      <c r="S159" s="5"/>
      <c r="T159" s="5"/>
      <c r="U159" s="5"/>
      <c r="V159" s="5"/>
      <c r="W159" s="5"/>
      <c r="X159" s="5"/>
      <c r="Y159" s="5"/>
      <c r="Z159" s="5"/>
    </row>
    <row r="160" ht="19.5" customHeight="1">
      <c r="A160" s="31"/>
      <c r="B160" s="32"/>
      <c r="C160" s="31"/>
      <c r="D160" s="31"/>
      <c r="E160" s="31"/>
      <c r="F160" s="31"/>
      <c r="G160" s="31"/>
      <c r="H160" s="5"/>
      <c r="I160" s="5"/>
      <c r="J160" s="5"/>
      <c r="K160" s="5"/>
      <c r="L160" s="5"/>
      <c r="M160" s="5"/>
      <c r="N160" s="5"/>
      <c r="O160" s="5"/>
      <c r="P160" s="5"/>
      <c r="Q160" s="5"/>
      <c r="R160" s="5"/>
      <c r="S160" s="5"/>
      <c r="T160" s="5"/>
      <c r="U160" s="5"/>
      <c r="V160" s="5"/>
      <c r="W160" s="5"/>
      <c r="X160" s="5"/>
      <c r="Y160" s="5"/>
      <c r="Z160" s="5"/>
    </row>
    <row r="161" ht="19.5" customHeight="1">
      <c r="A161" s="31"/>
      <c r="B161" s="32"/>
      <c r="C161" s="31"/>
      <c r="D161" s="31"/>
      <c r="E161" s="31"/>
      <c r="F161" s="31"/>
      <c r="G161" s="31"/>
      <c r="H161" s="5"/>
      <c r="I161" s="5"/>
      <c r="J161" s="5"/>
      <c r="K161" s="5"/>
      <c r="L161" s="5"/>
      <c r="M161" s="5"/>
      <c r="N161" s="5"/>
      <c r="O161" s="5"/>
      <c r="P161" s="5"/>
      <c r="Q161" s="5"/>
      <c r="R161" s="5"/>
      <c r="S161" s="5"/>
      <c r="T161" s="5"/>
      <c r="U161" s="5"/>
      <c r="V161" s="5"/>
      <c r="W161" s="5"/>
      <c r="X161" s="5"/>
      <c r="Y161" s="5"/>
      <c r="Z161" s="5"/>
    </row>
    <row r="162" ht="19.5" customHeight="1">
      <c r="A162" s="31"/>
      <c r="B162" s="32"/>
      <c r="C162" s="31"/>
      <c r="D162" s="31"/>
      <c r="E162" s="31"/>
      <c r="F162" s="31"/>
      <c r="G162" s="31"/>
      <c r="H162" s="5"/>
      <c r="I162" s="5"/>
      <c r="J162" s="5"/>
      <c r="K162" s="5"/>
      <c r="L162" s="5"/>
      <c r="M162" s="5"/>
      <c r="N162" s="5"/>
      <c r="O162" s="5"/>
      <c r="P162" s="5"/>
      <c r="Q162" s="5"/>
      <c r="R162" s="5"/>
      <c r="S162" s="5"/>
      <c r="T162" s="5"/>
      <c r="U162" s="5"/>
      <c r="V162" s="5"/>
      <c r="W162" s="5"/>
      <c r="X162" s="5"/>
      <c r="Y162" s="5"/>
      <c r="Z162" s="5"/>
    </row>
    <row r="163" ht="19.5" customHeight="1">
      <c r="A163" s="31"/>
      <c r="B163" s="32"/>
      <c r="C163" s="31"/>
      <c r="D163" s="31"/>
      <c r="E163" s="31"/>
      <c r="F163" s="31"/>
      <c r="G163" s="31"/>
      <c r="H163" s="5"/>
      <c r="I163" s="5"/>
      <c r="J163" s="5"/>
      <c r="K163" s="5"/>
      <c r="L163" s="5"/>
      <c r="M163" s="5"/>
      <c r="N163" s="5"/>
      <c r="O163" s="5"/>
      <c r="P163" s="5"/>
      <c r="Q163" s="5"/>
      <c r="R163" s="5"/>
      <c r="S163" s="5"/>
      <c r="T163" s="5"/>
      <c r="U163" s="5"/>
      <c r="V163" s="5"/>
      <c r="W163" s="5"/>
      <c r="X163" s="5"/>
      <c r="Y163" s="5"/>
      <c r="Z163" s="5"/>
    </row>
    <row r="164" ht="19.5" customHeight="1">
      <c r="A164" s="31"/>
      <c r="B164" s="32"/>
      <c r="C164" s="31"/>
      <c r="D164" s="31"/>
      <c r="E164" s="31"/>
      <c r="F164" s="31"/>
      <c r="G164" s="31"/>
      <c r="H164" s="5"/>
      <c r="I164" s="5"/>
      <c r="J164" s="5"/>
      <c r="K164" s="5"/>
      <c r="L164" s="5"/>
      <c r="M164" s="5"/>
      <c r="N164" s="5"/>
      <c r="O164" s="5"/>
      <c r="P164" s="5"/>
      <c r="Q164" s="5"/>
      <c r="R164" s="5"/>
      <c r="S164" s="5"/>
      <c r="T164" s="5"/>
      <c r="U164" s="5"/>
      <c r="V164" s="5"/>
      <c r="W164" s="5"/>
      <c r="X164" s="5"/>
      <c r="Y164" s="5"/>
      <c r="Z164" s="5"/>
    </row>
    <row r="165" ht="19.5" customHeight="1">
      <c r="A165" s="31"/>
      <c r="B165" s="32"/>
      <c r="C165" s="31"/>
      <c r="D165" s="31"/>
      <c r="E165" s="31"/>
      <c r="F165" s="31"/>
      <c r="G165" s="31"/>
      <c r="H165" s="5"/>
      <c r="I165" s="5"/>
      <c r="J165" s="5"/>
      <c r="K165" s="5"/>
      <c r="L165" s="5"/>
      <c r="M165" s="5"/>
      <c r="N165" s="5"/>
      <c r="O165" s="5"/>
      <c r="P165" s="5"/>
      <c r="Q165" s="5"/>
      <c r="R165" s="5"/>
      <c r="S165" s="5"/>
      <c r="T165" s="5"/>
      <c r="U165" s="5"/>
      <c r="V165" s="5"/>
      <c r="W165" s="5"/>
      <c r="X165" s="5"/>
      <c r="Y165" s="5"/>
      <c r="Z165" s="5"/>
    </row>
    <row r="166" ht="19.5" customHeight="1">
      <c r="A166" s="31"/>
      <c r="B166" s="32"/>
      <c r="C166" s="31"/>
      <c r="D166" s="31"/>
      <c r="E166" s="31"/>
      <c r="F166" s="31"/>
      <c r="G166" s="31"/>
      <c r="H166" s="5"/>
      <c r="I166" s="5"/>
      <c r="J166" s="5"/>
      <c r="K166" s="5"/>
      <c r="L166" s="5"/>
      <c r="M166" s="5"/>
      <c r="N166" s="5"/>
      <c r="O166" s="5"/>
      <c r="P166" s="5"/>
      <c r="Q166" s="5"/>
      <c r="R166" s="5"/>
      <c r="S166" s="5"/>
      <c r="T166" s="5"/>
      <c r="U166" s="5"/>
      <c r="V166" s="5"/>
      <c r="W166" s="5"/>
      <c r="X166" s="5"/>
      <c r="Y166" s="5"/>
      <c r="Z166" s="5"/>
    </row>
    <row r="167" ht="19.5" customHeight="1">
      <c r="A167" s="31"/>
      <c r="B167" s="32"/>
      <c r="C167" s="31"/>
      <c r="D167" s="31"/>
      <c r="E167" s="31"/>
      <c r="F167" s="31"/>
      <c r="G167" s="31"/>
      <c r="H167" s="5"/>
      <c r="I167" s="5"/>
      <c r="J167" s="5"/>
      <c r="K167" s="5"/>
      <c r="L167" s="5"/>
      <c r="M167" s="5"/>
      <c r="N167" s="5"/>
      <c r="O167" s="5"/>
      <c r="P167" s="5"/>
      <c r="Q167" s="5"/>
      <c r="R167" s="5"/>
      <c r="S167" s="5"/>
      <c r="T167" s="5"/>
      <c r="U167" s="5"/>
      <c r="V167" s="5"/>
      <c r="W167" s="5"/>
      <c r="X167" s="5"/>
      <c r="Y167" s="5"/>
      <c r="Z167" s="5"/>
    </row>
    <row r="168" ht="19.5" customHeight="1">
      <c r="A168" s="31"/>
      <c r="B168" s="32"/>
      <c r="C168" s="31"/>
      <c r="D168" s="31"/>
      <c r="E168" s="31"/>
      <c r="F168" s="31"/>
      <c r="G168" s="31"/>
      <c r="H168" s="5"/>
      <c r="I168" s="5"/>
      <c r="J168" s="5"/>
      <c r="K168" s="5"/>
      <c r="L168" s="5"/>
      <c r="M168" s="5"/>
      <c r="N168" s="5"/>
      <c r="O168" s="5"/>
      <c r="P168" s="5"/>
      <c r="Q168" s="5"/>
      <c r="R168" s="5"/>
      <c r="S168" s="5"/>
      <c r="T168" s="5"/>
      <c r="U168" s="5"/>
      <c r="V168" s="5"/>
      <c r="W168" s="5"/>
      <c r="X168" s="5"/>
      <c r="Y168" s="5"/>
      <c r="Z168" s="5"/>
    </row>
    <row r="169" ht="19.5" customHeight="1">
      <c r="A169" s="31"/>
      <c r="B169" s="32"/>
      <c r="C169" s="31"/>
      <c r="D169" s="31"/>
      <c r="E169" s="31"/>
      <c r="F169" s="31"/>
      <c r="G169" s="31"/>
      <c r="H169" s="5"/>
      <c r="I169" s="5"/>
      <c r="J169" s="5"/>
      <c r="K169" s="5"/>
      <c r="L169" s="5"/>
      <c r="M169" s="5"/>
      <c r="N169" s="5"/>
      <c r="O169" s="5"/>
      <c r="P169" s="5"/>
      <c r="Q169" s="5"/>
      <c r="R169" s="5"/>
      <c r="S169" s="5"/>
      <c r="T169" s="5"/>
      <c r="U169" s="5"/>
      <c r="V169" s="5"/>
      <c r="W169" s="5"/>
      <c r="X169" s="5"/>
      <c r="Y169" s="5"/>
      <c r="Z169" s="5"/>
    </row>
    <row r="170" ht="19.5" customHeight="1">
      <c r="A170" s="31"/>
      <c r="B170" s="32"/>
      <c r="C170" s="31"/>
      <c r="D170" s="31"/>
      <c r="E170" s="31"/>
      <c r="F170" s="31"/>
      <c r="G170" s="31"/>
      <c r="H170" s="5"/>
      <c r="I170" s="5"/>
      <c r="J170" s="5"/>
      <c r="K170" s="5"/>
      <c r="L170" s="5"/>
      <c r="M170" s="5"/>
      <c r="N170" s="5"/>
      <c r="O170" s="5"/>
      <c r="P170" s="5"/>
      <c r="Q170" s="5"/>
      <c r="R170" s="5"/>
      <c r="S170" s="5"/>
      <c r="T170" s="5"/>
      <c r="U170" s="5"/>
      <c r="V170" s="5"/>
      <c r="W170" s="5"/>
      <c r="X170" s="5"/>
      <c r="Y170" s="5"/>
      <c r="Z170" s="5"/>
    </row>
    <row r="171" ht="19.5" customHeight="1">
      <c r="A171" s="31"/>
      <c r="B171" s="32"/>
      <c r="C171" s="31"/>
      <c r="D171" s="31"/>
      <c r="E171" s="31"/>
      <c r="F171" s="31"/>
      <c r="G171" s="31"/>
      <c r="H171" s="5"/>
      <c r="I171" s="5"/>
      <c r="J171" s="5"/>
      <c r="K171" s="5"/>
      <c r="L171" s="5"/>
      <c r="M171" s="5"/>
      <c r="N171" s="5"/>
      <c r="O171" s="5"/>
      <c r="P171" s="5"/>
      <c r="Q171" s="5"/>
      <c r="R171" s="5"/>
      <c r="S171" s="5"/>
      <c r="T171" s="5"/>
      <c r="U171" s="5"/>
      <c r="V171" s="5"/>
      <c r="W171" s="5"/>
      <c r="X171" s="5"/>
      <c r="Y171" s="5"/>
      <c r="Z171" s="5"/>
    </row>
    <row r="172" ht="19.5" customHeight="1">
      <c r="A172" s="31"/>
      <c r="B172" s="32"/>
      <c r="C172" s="31"/>
      <c r="D172" s="31"/>
      <c r="E172" s="31"/>
      <c r="F172" s="31"/>
      <c r="G172" s="31"/>
      <c r="H172" s="5"/>
      <c r="I172" s="5"/>
      <c r="J172" s="5"/>
      <c r="K172" s="5"/>
      <c r="L172" s="5"/>
      <c r="M172" s="5"/>
      <c r="N172" s="5"/>
      <c r="O172" s="5"/>
      <c r="P172" s="5"/>
      <c r="Q172" s="5"/>
      <c r="R172" s="5"/>
      <c r="S172" s="5"/>
      <c r="T172" s="5"/>
      <c r="U172" s="5"/>
      <c r="V172" s="5"/>
      <c r="W172" s="5"/>
      <c r="X172" s="5"/>
      <c r="Y172" s="5"/>
      <c r="Z172" s="5"/>
    </row>
    <row r="173" ht="19.5" customHeight="1">
      <c r="A173" s="31"/>
      <c r="B173" s="32"/>
      <c r="C173" s="31"/>
      <c r="D173" s="31"/>
      <c r="E173" s="31"/>
      <c r="F173" s="31"/>
      <c r="G173" s="31"/>
      <c r="H173" s="5"/>
      <c r="I173" s="5"/>
      <c r="J173" s="5"/>
      <c r="K173" s="5"/>
      <c r="L173" s="5"/>
      <c r="M173" s="5"/>
      <c r="N173" s="5"/>
      <c r="O173" s="5"/>
      <c r="P173" s="5"/>
      <c r="Q173" s="5"/>
      <c r="R173" s="5"/>
      <c r="S173" s="5"/>
      <c r="T173" s="5"/>
      <c r="U173" s="5"/>
      <c r="V173" s="5"/>
      <c r="W173" s="5"/>
      <c r="X173" s="5"/>
      <c r="Y173" s="5"/>
      <c r="Z173" s="5"/>
    </row>
    <row r="174" ht="19.5" customHeight="1">
      <c r="A174" s="31"/>
      <c r="B174" s="32"/>
      <c r="C174" s="31"/>
      <c r="D174" s="31"/>
      <c r="E174" s="31"/>
      <c r="F174" s="31"/>
      <c r="G174" s="31"/>
      <c r="H174" s="5"/>
      <c r="I174" s="5"/>
      <c r="J174" s="5"/>
      <c r="K174" s="5"/>
      <c r="L174" s="5"/>
      <c r="M174" s="5"/>
      <c r="N174" s="5"/>
      <c r="O174" s="5"/>
      <c r="P174" s="5"/>
      <c r="Q174" s="5"/>
      <c r="R174" s="5"/>
      <c r="S174" s="5"/>
      <c r="T174" s="5"/>
      <c r="U174" s="5"/>
      <c r="V174" s="5"/>
      <c r="W174" s="5"/>
      <c r="X174" s="5"/>
      <c r="Y174" s="5"/>
      <c r="Z174" s="5"/>
    </row>
    <row r="175" ht="19.5" customHeight="1">
      <c r="A175" s="31"/>
      <c r="B175" s="32"/>
      <c r="C175" s="31"/>
      <c r="D175" s="31"/>
      <c r="E175" s="31"/>
      <c r="F175" s="31"/>
      <c r="G175" s="31"/>
      <c r="H175" s="5"/>
      <c r="I175" s="5"/>
      <c r="J175" s="5"/>
      <c r="K175" s="5"/>
      <c r="L175" s="5"/>
      <c r="M175" s="5"/>
      <c r="N175" s="5"/>
      <c r="O175" s="5"/>
      <c r="P175" s="5"/>
      <c r="Q175" s="5"/>
      <c r="R175" s="5"/>
      <c r="S175" s="5"/>
      <c r="T175" s="5"/>
      <c r="U175" s="5"/>
      <c r="V175" s="5"/>
      <c r="W175" s="5"/>
      <c r="X175" s="5"/>
      <c r="Y175" s="5"/>
      <c r="Z175" s="5"/>
    </row>
    <row r="176" ht="19.5" customHeight="1">
      <c r="A176" s="31"/>
      <c r="B176" s="32"/>
      <c r="C176" s="31"/>
      <c r="D176" s="31"/>
      <c r="E176" s="31"/>
      <c r="F176" s="31"/>
      <c r="G176" s="31"/>
      <c r="H176" s="5"/>
      <c r="I176" s="5"/>
      <c r="J176" s="5"/>
      <c r="K176" s="5"/>
      <c r="L176" s="5"/>
      <c r="M176" s="5"/>
      <c r="N176" s="5"/>
      <c r="O176" s="5"/>
      <c r="P176" s="5"/>
      <c r="Q176" s="5"/>
      <c r="R176" s="5"/>
      <c r="S176" s="5"/>
      <c r="T176" s="5"/>
      <c r="U176" s="5"/>
      <c r="V176" s="5"/>
      <c r="W176" s="5"/>
      <c r="X176" s="5"/>
      <c r="Y176" s="5"/>
      <c r="Z176" s="5"/>
    </row>
    <row r="177" ht="19.5" customHeight="1">
      <c r="A177" s="31"/>
      <c r="B177" s="32"/>
      <c r="C177" s="31"/>
      <c r="D177" s="31"/>
      <c r="E177" s="31"/>
      <c r="F177" s="31"/>
      <c r="G177" s="31"/>
      <c r="H177" s="5"/>
      <c r="I177" s="5"/>
      <c r="J177" s="5"/>
      <c r="K177" s="5"/>
      <c r="L177" s="5"/>
      <c r="M177" s="5"/>
      <c r="N177" s="5"/>
      <c r="O177" s="5"/>
      <c r="P177" s="5"/>
      <c r="Q177" s="5"/>
      <c r="R177" s="5"/>
      <c r="S177" s="5"/>
      <c r="T177" s="5"/>
      <c r="U177" s="5"/>
      <c r="V177" s="5"/>
      <c r="W177" s="5"/>
      <c r="X177" s="5"/>
      <c r="Y177" s="5"/>
      <c r="Z177" s="5"/>
    </row>
    <row r="178" ht="19.5" customHeight="1">
      <c r="A178" s="31"/>
      <c r="B178" s="32"/>
      <c r="C178" s="31"/>
      <c r="D178" s="31"/>
      <c r="E178" s="31"/>
      <c r="F178" s="31"/>
      <c r="G178" s="31"/>
      <c r="H178" s="5"/>
      <c r="I178" s="5"/>
      <c r="J178" s="5"/>
      <c r="K178" s="5"/>
      <c r="L178" s="5"/>
      <c r="M178" s="5"/>
      <c r="N178" s="5"/>
      <c r="O178" s="5"/>
      <c r="P178" s="5"/>
      <c r="Q178" s="5"/>
      <c r="R178" s="5"/>
      <c r="S178" s="5"/>
      <c r="T178" s="5"/>
      <c r="U178" s="5"/>
      <c r="V178" s="5"/>
      <c r="W178" s="5"/>
      <c r="X178" s="5"/>
      <c r="Y178" s="5"/>
      <c r="Z178" s="5"/>
    </row>
    <row r="179" ht="19.5" customHeight="1">
      <c r="A179" s="31"/>
      <c r="B179" s="32"/>
      <c r="C179" s="31"/>
      <c r="D179" s="31"/>
      <c r="E179" s="31"/>
      <c r="F179" s="31"/>
      <c r="G179" s="31"/>
      <c r="H179" s="5"/>
      <c r="I179" s="5"/>
      <c r="J179" s="5"/>
      <c r="K179" s="5"/>
      <c r="L179" s="5"/>
      <c r="M179" s="5"/>
      <c r="N179" s="5"/>
      <c r="O179" s="5"/>
      <c r="P179" s="5"/>
      <c r="Q179" s="5"/>
      <c r="R179" s="5"/>
      <c r="S179" s="5"/>
      <c r="T179" s="5"/>
      <c r="U179" s="5"/>
      <c r="V179" s="5"/>
      <c r="W179" s="5"/>
      <c r="X179" s="5"/>
      <c r="Y179" s="5"/>
      <c r="Z179" s="5"/>
    </row>
    <row r="180" ht="19.5" customHeight="1">
      <c r="A180" s="31"/>
      <c r="B180" s="32"/>
      <c r="C180" s="31"/>
      <c r="D180" s="31"/>
      <c r="E180" s="31"/>
      <c r="F180" s="31"/>
      <c r="G180" s="31"/>
      <c r="H180" s="5"/>
      <c r="I180" s="5"/>
      <c r="J180" s="5"/>
      <c r="K180" s="5"/>
      <c r="L180" s="5"/>
      <c r="M180" s="5"/>
      <c r="N180" s="5"/>
      <c r="O180" s="5"/>
      <c r="P180" s="5"/>
      <c r="Q180" s="5"/>
      <c r="R180" s="5"/>
      <c r="S180" s="5"/>
      <c r="T180" s="5"/>
      <c r="U180" s="5"/>
      <c r="V180" s="5"/>
      <c r="W180" s="5"/>
      <c r="X180" s="5"/>
      <c r="Y180" s="5"/>
      <c r="Z180" s="5"/>
    </row>
    <row r="181" ht="19.5" customHeight="1">
      <c r="A181" s="31"/>
      <c r="B181" s="32"/>
      <c r="C181" s="31"/>
      <c r="D181" s="31"/>
      <c r="E181" s="31"/>
      <c r="F181" s="31"/>
      <c r="G181" s="31"/>
      <c r="H181" s="5"/>
      <c r="I181" s="5"/>
      <c r="J181" s="5"/>
      <c r="K181" s="5"/>
      <c r="L181" s="5"/>
      <c r="M181" s="5"/>
      <c r="N181" s="5"/>
      <c r="O181" s="5"/>
      <c r="P181" s="5"/>
      <c r="Q181" s="5"/>
      <c r="R181" s="5"/>
      <c r="S181" s="5"/>
      <c r="T181" s="5"/>
      <c r="U181" s="5"/>
      <c r="V181" s="5"/>
      <c r="W181" s="5"/>
      <c r="X181" s="5"/>
      <c r="Y181" s="5"/>
      <c r="Z181" s="5"/>
    </row>
    <row r="182" ht="19.5" customHeight="1">
      <c r="A182" s="31"/>
      <c r="B182" s="32"/>
      <c r="C182" s="31"/>
      <c r="D182" s="31"/>
      <c r="E182" s="31"/>
      <c r="F182" s="31"/>
      <c r="G182" s="31"/>
      <c r="H182" s="5"/>
      <c r="I182" s="5"/>
      <c r="J182" s="5"/>
      <c r="K182" s="5"/>
      <c r="L182" s="5"/>
      <c r="M182" s="5"/>
      <c r="N182" s="5"/>
      <c r="O182" s="5"/>
      <c r="P182" s="5"/>
      <c r="Q182" s="5"/>
      <c r="R182" s="5"/>
      <c r="S182" s="5"/>
      <c r="T182" s="5"/>
      <c r="U182" s="5"/>
      <c r="V182" s="5"/>
      <c r="W182" s="5"/>
      <c r="X182" s="5"/>
      <c r="Y182" s="5"/>
      <c r="Z182" s="5"/>
    </row>
    <row r="183" ht="19.5" customHeight="1">
      <c r="A183" s="31"/>
      <c r="B183" s="32"/>
      <c r="C183" s="31"/>
      <c r="D183" s="31"/>
      <c r="E183" s="31"/>
      <c r="F183" s="31"/>
      <c r="G183" s="31"/>
      <c r="H183" s="5"/>
      <c r="I183" s="5"/>
      <c r="J183" s="5"/>
      <c r="K183" s="5"/>
      <c r="L183" s="5"/>
      <c r="M183" s="5"/>
      <c r="N183" s="5"/>
      <c r="O183" s="5"/>
      <c r="P183" s="5"/>
      <c r="Q183" s="5"/>
      <c r="R183" s="5"/>
      <c r="S183" s="5"/>
      <c r="T183" s="5"/>
      <c r="U183" s="5"/>
      <c r="V183" s="5"/>
      <c r="W183" s="5"/>
      <c r="X183" s="5"/>
      <c r="Y183" s="5"/>
      <c r="Z183" s="5"/>
    </row>
    <row r="184" ht="19.5" customHeight="1">
      <c r="A184" s="31"/>
      <c r="B184" s="32"/>
      <c r="C184" s="31"/>
      <c r="D184" s="31"/>
      <c r="E184" s="31"/>
      <c r="F184" s="31"/>
      <c r="G184" s="31"/>
      <c r="H184" s="5"/>
      <c r="I184" s="5"/>
      <c r="J184" s="5"/>
      <c r="K184" s="5"/>
      <c r="L184" s="5"/>
      <c r="M184" s="5"/>
      <c r="N184" s="5"/>
      <c r="O184" s="5"/>
      <c r="P184" s="5"/>
      <c r="Q184" s="5"/>
      <c r="R184" s="5"/>
      <c r="S184" s="5"/>
      <c r="T184" s="5"/>
      <c r="U184" s="5"/>
      <c r="V184" s="5"/>
      <c r="W184" s="5"/>
      <c r="X184" s="5"/>
      <c r="Y184" s="5"/>
      <c r="Z184" s="5"/>
    </row>
    <row r="185" ht="19.5" customHeight="1">
      <c r="A185" s="31"/>
      <c r="B185" s="32"/>
      <c r="C185" s="31"/>
      <c r="D185" s="31"/>
      <c r="E185" s="31"/>
      <c r="F185" s="31"/>
      <c r="G185" s="31"/>
      <c r="H185" s="5"/>
      <c r="I185" s="5"/>
      <c r="J185" s="5"/>
      <c r="K185" s="5"/>
      <c r="L185" s="5"/>
      <c r="M185" s="5"/>
      <c r="N185" s="5"/>
      <c r="O185" s="5"/>
      <c r="P185" s="5"/>
      <c r="Q185" s="5"/>
      <c r="R185" s="5"/>
      <c r="S185" s="5"/>
      <c r="T185" s="5"/>
      <c r="U185" s="5"/>
      <c r="V185" s="5"/>
      <c r="W185" s="5"/>
      <c r="X185" s="5"/>
      <c r="Y185" s="5"/>
      <c r="Z185" s="5"/>
    </row>
    <row r="186" ht="19.5" customHeight="1">
      <c r="A186" s="31"/>
      <c r="B186" s="32"/>
      <c r="C186" s="31"/>
      <c r="D186" s="31"/>
      <c r="E186" s="31"/>
      <c r="F186" s="31"/>
      <c r="G186" s="31"/>
      <c r="H186" s="5"/>
      <c r="I186" s="5"/>
      <c r="J186" s="5"/>
      <c r="K186" s="5"/>
      <c r="L186" s="5"/>
      <c r="M186" s="5"/>
      <c r="N186" s="5"/>
      <c r="O186" s="5"/>
      <c r="P186" s="5"/>
      <c r="Q186" s="5"/>
      <c r="R186" s="5"/>
      <c r="S186" s="5"/>
      <c r="T186" s="5"/>
      <c r="U186" s="5"/>
      <c r="V186" s="5"/>
      <c r="W186" s="5"/>
      <c r="X186" s="5"/>
      <c r="Y186" s="5"/>
      <c r="Z186" s="5"/>
    </row>
    <row r="187" ht="19.5" customHeight="1">
      <c r="A187" s="31"/>
      <c r="B187" s="32"/>
      <c r="C187" s="31"/>
      <c r="D187" s="31"/>
      <c r="E187" s="31"/>
      <c r="F187" s="31"/>
      <c r="G187" s="31"/>
      <c r="H187" s="5"/>
      <c r="I187" s="5"/>
      <c r="J187" s="5"/>
      <c r="K187" s="5"/>
      <c r="L187" s="5"/>
      <c r="M187" s="5"/>
      <c r="N187" s="5"/>
      <c r="O187" s="5"/>
      <c r="P187" s="5"/>
      <c r="Q187" s="5"/>
      <c r="R187" s="5"/>
      <c r="S187" s="5"/>
      <c r="T187" s="5"/>
      <c r="U187" s="5"/>
      <c r="V187" s="5"/>
      <c r="W187" s="5"/>
      <c r="X187" s="5"/>
      <c r="Y187" s="5"/>
      <c r="Z187" s="5"/>
    </row>
    <row r="188" ht="19.5" customHeight="1">
      <c r="A188" s="31"/>
      <c r="B188" s="32"/>
      <c r="C188" s="31"/>
      <c r="D188" s="31"/>
      <c r="E188" s="31"/>
      <c r="F188" s="31"/>
      <c r="G188" s="31"/>
      <c r="H188" s="5"/>
      <c r="I188" s="5"/>
      <c r="J188" s="5"/>
      <c r="K188" s="5"/>
      <c r="L188" s="5"/>
      <c r="M188" s="5"/>
      <c r="N188" s="5"/>
      <c r="O188" s="5"/>
      <c r="P188" s="5"/>
      <c r="Q188" s="5"/>
      <c r="R188" s="5"/>
      <c r="S188" s="5"/>
      <c r="T188" s="5"/>
      <c r="U188" s="5"/>
      <c r="V188" s="5"/>
      <c r="W188" s="5"/>
      <c r="X188" s="5"/>
      <c r="Y188" s="5"/>
      <c r="Z188" s="5"/>
    </row>
    <row r="189" ht="19.5" customHeight="1">
      <c r="A189" s="31"/>
      <c r="B189" s="32"/>
      <c r="C189" s="31"/>
      <c r="D189" s="31"/>
      <c r="E189" s="31"/>
      <c r="F189" s="31"/>
      <c r="G189" s="31"/>
      <c r="H189" s="5"/>
      <c r="I189" s="5"/>
      <c r="J189" s="5"/>
      <c r="K189" s="5"/>
      <c r="L189" s="5"/>
      <c r="M189" s="5"/>
      <c r="N189" s="5"/>
      <c r="O189" s="5"/>
      <c r="P189" s="5"/>
      <c r="Q189" s="5"/>
      <c r="R189" s="5"/>
      <c r="S189" s="5"/>
      <c r="T189" s="5"/>
      <c r="U189" s="5"/>
      <c r="V189" s="5"/>
      <c r="W189" s="5"/>
      <c r="X189" s="5"/>
      <c r="Y189" s="5"/>
      <c r="Z189" s="5"/>
    </row>
    <row r="190" ht="19.5" customHeight="1">
      <c r="A190" s="31"/>
      <c r="B190" s="32"/>
      <c r="C190" s="31"/>
      <c r="D190" s="31"/>
      <c r="E190" s="31"/>
      <c r="F190" s="31"/>
      <c r="G190" s="31"/>
      <c r="H190" s="5"/>
      <c r="I190" s="5"/>
      <c r="J190" s="5"/>
      <c r="K190" s="5"/>
      <c r="L190" s="5"/>
      <c r="M190" s="5"/>
      <c r="N190" s="5"/>
      <c r="O190" s="5"/>
      <c r="P190" s="5"/>
      <c r="Q190" s="5"/>
      <c r="R190" s="5"/>
      <c r="S190" s="5"/>
      <c r="T190" s="5"/>
      <c r="U190" s="5"/>
      <c r="V190" s="5"/>
      <c r="W190" s="5"/>
      <c r="X190" s="5"/>
      <c r="Y190" s="5"/>
      <c r="Z190" s="5"/>
    </row>
    <row r="191" ht="19.5" customHeight="1">
      <c r="A191" s="31"/>
      <c r="B191" s="32"/>
      <c r="C191" s="31"/>
      <c r="D191" s="31"/>
      <c r="E191" s="31"/>
      <c r="F191" s="31"/>
      <c r="G191" s="31"/>
      <c r="H191" s="5"/>
      <c r="I191" s="5"/>
      <c r="J191" s="5"/>
      <c r="K191" s="5"/>
      <c r="L191" s="5"/>
      <c r="M191" s="5"/>
      <c r="N191" s="5"/>
      <c r="O191" s="5"/>
      <c r="P191" s="5"/>
      <c r="Q191" s="5"/>
      <c r="R191" s="5"/>
      <c r="S191" s="5"/>
      <c r="T191" s="5"/>
      <c r="U191" s="5"/>
      <c r="V191" s="5"/>
      <c r="W191" s="5"/>
      <c r="X191" s="5"/>
      <c r="Y191" s="5"/>
      <c r="Z191" s="5"/>
    </row>
    <row r="192" ht="19.5" customHeight="1">
      <c r="A192" s="31"/>
      <c r="B192" s="32"/>
      <c r="C192" s="31"/>
      <c r="D192" s="31"/>
      <c r="E192" s="31"/>
      <c r="F192" s="31"/>
      <c r="G192" s="31"/>
      <c r="H192" s="5"/>
      <c r="I192" s="5"/>
      <c r="J192" s="5"/>
      <c r="K192" s="5"/>
      <c r="L192" s="5"/>
      <c r="M192" s="5"/>
      <c r="N192" s="5"/>
      <c r="O192" s="5"/>
      <c r="P192" s="5"/>
      <c r="Q192" s="5"/>
      <c r="R192" s="5"/>
      <c r="S192" s="5"/>
      <c r="T192" s="5"/>
      <c r="U192" s="5"/>
      <c r="V192" s="5"/>
      <c r="W192" s="5"/>
      <c r="X192" s="5"/>
      <c r="Y192" s="5"/>
      <c r="Z192" s="5"/>
    </row>
    <row r="193" ht="19.5" customHeight="1">
      <c r="A193" s="31"/>
      <c r="B193" s="32"/>
      <c r="C193" s="31"/>
      <c r="D193" s="31"/>
      <c r="E193" s="31"/>
      <c r="F193" s="31"/>
      <c r="G193" s="31"/>
      <c r="H193" s="5"/>
      <c r="I193" s="5"/>
      <c r="J193" s="5"/>
      <c r="K193" s="5"/>
      <c r="L193" s="5"/>
      <c r="M193" s="5"/>
      <c r="N193" s="5"/>
      <c r="O193" s="5"/>
      <c r="P193" s="5"/>
      <c r="Q193" s="5"/>
      <c r="R193" s="5"/>
      <c r="S193" s="5"/>
      <c r="T193" s="5"/>
      <c r="U193" s="5"/>
      <c r="V193" s="5"/>
      <c r="W193" s="5"/>
      <c r="X193" s="5"/>
      <c r="Y193" s="5"/>
      <c r="Z193" s="5"/>
    </row>
    <row r="194" ht="19.5" customHeight="1">
      <c r="A194" s="31"/>
      <c r="B194" s="32"/>
      <c r="C194" s="31"/>
      <c r="D194" s="31"/>
      <c r="E194" s="31"/>
      <c r="F194" s="31"/>
      <c r="G194" s="31"/>
      <c r="H194" s="5"/>
      <c r="I194" s="5"/>
      <c r="J194" s="5"/>
      <c r="K194" s="5"/>
      <c r="L194" s="5"/>
      <c r="M194" s="5"/>
      <c r="N194" s="5"/>
      <c r="O194" s="5"/>
      <c r="P194" s="5"/>
      <c r="Q194" s="5"/>
      <c r="R194" s="5"/>
      <c r="S194" s="5"/>
      <c r="T194" s="5"/>
      <c r="U194" s="5"/>
      <c r="V194" s="5"/>
      <c r="W194" s="5"/>
      <c r="X194" s="5"/>
      <c r="Y194" s="5"/>
      <c r="Z194" s="5"/>
    </row>
    <row r="195" ht="19.5" customHeight="1">
      <c r="A195" s="31"/>
      <c r="B195" s="32"/>
      <c r="C195" s="31"/>
      <c r="D195" s="31"/>
      <c r="E195" s="31"/>
      <c r="F195" s="31"/>
      <c r="G195" s="31"/>
      <c r="H195" s="5"/>
      <c r="I195" s="5"/>
      <c r="J195" s="5"/>
      <c r="K195" s="5"/>
      <c r="L195" s="5"/>
      <c r="M195" s="5"/>
      <c r="N195" s="5"/>
      <c r="O195" s="5"/>
      <c r="P195" s="5"/>
      <c r="Q195" s="5"/>
      <c r="R195" s="5"/>
      <c r="S195" s="5"/>
      <c r="T195" s="5"/>
      <c r="U195" s="5"/>
      <c r="V195" s="5"/>
      <c r="W195" s="5"/>
      <c r="X195" s="5"/>
      <c r="Y195" s="5"/>
      <c r="Z195" s="5"/>
    </row>
    <row r="196" ht="19.5" customHeight="1">
      <c r="A196" s="31"/>
      <c r="B196" s="32"/>
      <c r="C196" s="31"/>
      <c r="D196" s="31"/>
      <c r="E196" s="31"/>
      <c r="F196" s="31"/>
      <c r="G196" s="31"/>
      <c r="H196" s="5"/>
      <c r="I196" s="5"/>
      <c r="J196" s="5"/>
      <c r="K196" s="5"/>
      <c r="L196" s="5"/>
      <c r="M196" s="5"/>
      <c r="N196" s="5"/>
      <c r="O196" s="5"/>
      <c r="P196" s="5"/>
      <c r="Q196" s="5"/>
      <c r="R196" s="5"/>
      <c r="S196" s="5"/>
      <c r="T196" s="5"/>
      <c r="U196" s="5"/>
      <c r="V196" s="5"/>
      <c r="W196" s="5"/>
      <c r="X196" s="5"/>
      <c r="Y196" s="5"/>
      <c r="Z196" s="5"/>
    </row>
    <row r="197" ht="19.5" customHeight="1">
      <c r="A197" s="31"/>
      <c r="B197" s="32"/>
      <c r="C197" s="31"/>
      <c r="D197" s="31"/>
      <c r="E197" s="31"/>
      <c r="F197" s="31"/>
      <c r="G197" s="31"/>
      <c r="H197" s="5"/>
      <c r="I197" s="5"/>
      <c r="J197" s="5"/>
      <c r="K197" s="5"/>
      <c r="L197" s="5"/>
      <c r="M197" s="5"/>
      <c r="N197" s="5"/>
      <c r="O197" s="5"/>
      <c r="P197" s="5"/>
      <c r="Q197" s="5"/>
      <c r="R197" s="5"/>
      <c r="S197" s="5"/>
      <c r="T197" s="5"/>
      <c r="U197" s="5"/>
      <c r="V197" s="5"/>
      <c r="W197" s="5"/>
      <c r="X197" s="5"/>
      <c r="Y197" s="5"/>
      <c r="Z197" s="5"/>
    </row>
    <row r="198" ht="19.5" customHeight="1">
      <c r="A198" s="31"/>
      <c r="B198" s="32"/>
      <c r="C198" s="31"/>
      <c r="D198" s="31"/>
      <c r="E198" s="31"/>
      <c r="F198" s="31"/>
      <c r="G198" s="31"/>
      <c r="H198" s="5"/>
      <c r="I198" s="5"/>
      <c r="J198" s="5"/>
      <c r="K198" s="5"/>
      <c r="L198" s="5"/>
      <c r="M198" s="5"/>
      <c r="N198" s="5"/>
      <c r="O198" s="5"/>
      <c r="P198" s="5"/>
      <c r="Q198" s="5"/>
      <c r="R198" s="5"/>
      <c r="S198" s="5"/>
      <c r="T198" s="5"/>
      <c r="U198" s="5"/>
      <c r="V198" s="5"/>
      <c r="W198" s="5"/>
      <c r="X198" s="5"/>
      <c r="Y198" s="5"/>
      <c r="Z198" s="5"/>
    </row>
    <row r="199" ht="19.5" customHeight="1">
      <c r="A199" s="31"/>
      <c r="B199" s="32"/>
      <c r="C199" s="31"/>
      <c r="D199" s="31"/>
      <c r="E199" s="31"/>
      <c r="F199" s="31"/>
      <c r="G199" s="31"/>
      <c r="H199" s="5"/>
      <c r="I199" s="5"/>
      <c r="J199" s="5"/>
      <c r="K199" s="5"/>
      <c r="L199" s="5"/>
      <c r="M199" s="5"/>
      <c r="N199" s="5"/>
      <c r="O199" s="5"/>
      <c r="P199" s="5"/>
      <c r="Q199" s="5"/>
      <c r="R199" s="5"/>
      <c r="S199" s="5"/>
      <c r="T199" s="5"/>
      <c r="U199" s="5"/>
      <c r="V199" s="5"/>
      <c r="W199" s="5"/>
      <c r="X199" s="5"/>
      <c r="Y199" s="5"/>
      <c r="Z199" s="5"/>
    </row>
    <row r="200" ht="19.5" customHeight="1">
      <c r="A200" s="31"/>
      <c r="B200" s="32"/>
      <c r="C200" s="31"/>
      <c r="D200" s="31"/>
      <c r="E200" s="31"/>
      <c r="F200" s="31"/>
      <c r="G200" s="31"/>
      <c r="H200" s="5"/>
      <c r="I200" s="5"/>
      <c r="J200" s="5"/>
      <c r="K200" s="5"/>
      <c r="L200" s="5"/>
      <c r="M200" s="5"/>
      <c r="N200" s="5"/>
      <c r="O200" s="5"/>
      <c r="P200" s="5"/>
      <c r="Q200" s="5"/>
      <c r="R200" s="5"/>
      <c r="S200" s="5"/>
      <c r="T200" s="5"/>
      <c r="U200" s="5"/>
      <c r="V200" s="5"/>
      <c r="W200" s="5"/>
      <c r="X200" s="5"/>
      <c r="Y200" s="5"/>
      <c r="Z200" s="5"/>
    </row>
    <row r="201" ht="19.5" customHeight="1">
      <c r="A201" s="31"/>
      <c r="B201" s="32"/>
      <c r="C201" s="31"/>
      <c r="D201" s="31"/>
      <c r="E201" s="31"/>
      <c r="F201" s="31"/>
      <c r="G201" s="31"/>
      <c r="H201" s="5"/>
      <c r="I201" s="5"/>
      <c r="J201" s="5"/>
      <c r="K201" s="5"/>
      <c r="L201" s="5"/>
      <c r="M201" s="5"/>
      <c r="N201" s="5"/>
      <c r="O201" s="5"/>
      <c r="P201" s="5"/>
      <c r="Q201" s="5"/>
      <c r="R201" s="5"/>
      <c r="S201" s="5"/>
      <c r="T201" s="5"/>
      <c r="U201" s="5"/>
      <c r="V201" s="5"/>
      <c r="W201" s="5"/>
      <c r="X201" s="5"/>
      <c r="Y201" s="5"/>
      <c r="Z201" s="5"/>
    </row>
    <row r="202" ht="19.5" customHeight="1">
      <c r="A202" s="31"/>
      <c r="B202" s="32"/>
      <c r="C202" s="31"/>
      <c r="D202" s="31"/>
      <c r="E202" s="31"/>
      <c r="F202" s="31"/>
      <c r="G202" s="31"/>
      <c r="H202" s="5"/>
      <c r="I202" s="5"/>
      <c r="J202" s="5"/>
      <c r="K202" s="5"/>
      <c r="L202" s="5"/>
      <c r="M202" s="5"/>
      <c r="N202" s="5"/>
      <c r="O202" s="5"/>
      <c r="P202" s="5"/>
      <c r="Q202" s="5"/>
      <c r="R202" s="5"/>
      <c r="S202" s="5"/>
      <c r="T202" s="5"/>
      <c r="U202" s="5"/>
      <c r="V202" s="5"/>
      <c r="W202" s="5"/>
      <c r="X202" s="5"/>
      <c r="Y202" s="5"/>
      <c r="Z202" s="5"/>
    </row>
    <row r="203" ht="19.5" customHeight="1">
      <c r="A203" s="31"/>
      <c r="B203" s="32"/>
      <c r="C203" s="31"/>
      <c r="D203" s="31"/>
      <c r="E203" s="31"/>
      <c r="F203" s="31"/>
      <c r="G203" s="31"/>
      <c r="H203" s="5"/>
      <c r="I203" s="5"/>
      <c r="J203" s="5"/>
      <c r="K203" s="5"/>
      <c r="L203" s="5"/>
      <c r="M203" s="5"/>
      <c r="N203" s="5"/>
      <c r="O203" s="5"/>
      <c r="P203" s="5"/>
      <c r="Q203" s="5"/>
      <c r="R203" s="5"/>
      <c r="S203" s="5"/>
      <c r="T203" s="5"/>
      <c r="U203" s="5"/>
      <c r="V203" s="5"/>
      <c r="W203" s="5"/>
      <c r="X203" s="5"/>
      <c r="Y203" s="5"/>
      <c r="Z203" s="5"/>
    </row>
    <row r="204" ht="19.5" customHeight="1">
      <c r="A204" s="31"/>
      <c r="B204" s="32"/>
      <c r="C204" s="31"/>
      <c r="D204" s="31"/>
      <c r="E204" s="31"/>
      <c r="F204" s="31"/>
      <c r="G204" s="31"/>
      <c r="H204" s="5"/>
      <c r="I204" s="5"/>
      <c r="J204" s="5"/>
      <c r="K204" s="5"/>
      <c r="L204" s="5"/>
      <c r="M204" s="5"/>
      <c r="N204" s="5"/>
      <c r="O204" s="5"/>
      <c r="P204" s="5"/>
      <c r="Q204" s="5"/>
      <c r="R204" s="5"/>
      <c r="S204" s="5"/>
      <c r="T204" s="5"/>
      <c r="U204" s="5"/>
      <c r="V204" s="5"/>
      <c r="W204" s="5"/>
      <c r="X204" s="5"/>
      <c r="Y204" s="5"/>
      <c r="Z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row>
    <row r="240" ht="15.75" customHeight="1">
      <c r="A240" s="5"/>
      <c r="B240" s="5"/>
      <c r="C240" s="5"/>
      <c r="D240" s="5"/>
      <c r="E240" s="5"/>
      <c r="F240" s="5"/>
      <c r="G240" s="5"/>
      <c r="H240" s="5"/>
      <c r="I240" s="5"/>
    </row>
    <row r="241" ht="15.75" customHeight="1">
      <c r="A241" s="5"/>
      <c r="B241" s="5"/>
      <c r="C241" s="5"/>
      <c r="D241" s="5"/>
      <c r="E241" s="5"/>
      <c r="F241" s="5"/>
      <c r="G241" s="5"/>
      <c r="H241" s="5"/>
      <c r="I241" s="5"/>
    </row>
    <row r="242" ht="15.75" customHeight="1">
      <c r="A242" s="5"/>
      <c r="B242" s="5"/>
      <c r="C242" s="5"/>
      <c r="D242" s="5"/>
      <c r="E242" s="5"/>
      <c r="F242" s="5"/>
      <c r="G242" s="5"/>
      <c r="H242" s="5"/>
      <c r="I242" s="5"/>
    </row>
    <row r="243" ht="15.75" customHeight="1">
      <c r="A243" s="5"/>
      <c r="B243" s="5"/>
      <c r="C243" s="5"/>
      <c r="D243" s="5"/>
      <c r="E243" s="5"/>
      <c r="F243" s="5"/>
      <c r="G243" s="5"/>
      <c r="H243" s="5"/>
      <c r="I243" s="5"/>
    </row>
    <row r="244" ht="15.75" customHeight="1">
      <c r="A244" s="5"/>
      <c r="B244" s="5"/>
      <c r="C244" s="5"/>
      <c r="D244" s="5"/>
      <c r="E244" s="5"/>
      <c r="F244" s="5"/>
      <c r="G244" s="5"/>
      <c r="H244" s="5"/>
      <c r="I244" s="5"/>
    </row>
    <row r="245" ht="15.75" customHeight="1">
      <c r="A245" s="5"/>
      <c r="B245" s="5"/>
      <c r="C245" s="5"/>
      <c r="D245" s="5"/>
      <c r="E245" s="5"/>
      <c r="F245" s="5"/>
      <c r="G245" s="5"/>
      <c r="H245" s="5"/>
      <c r="I245" s="5"/>
    </row>
    <row r="246" ht="15.75" customHeight="1">
      <c r="A246" s="5"/>
      <c r="B246" s="5"/>
      <c r="C246" s="5"/>
      <c r="D246" s="5"/>
      <c r="E246" s="5"/>
      <c r="F246" s="5"/>
      <c r="G246" s="5"/>
      <c r="H246" s="5"/>
      <c r="I246" s="5"/>
    </row>
    <row r="247" ht="15.75" customHeight="1">
      <c r="A247" s="5"/>
      <c r="B247" s="5"/>
      <c r="C247" s="5"/>
      <c r="D247" s="5"/>
      <c r="E247" s="5"/>
      <c r="F247" s="5"/>
      <c r="G247" s="5"/>
      <c r="H247" s="5"/>
      <c r="I247" s="5"/>
    </row>
    <row r="248" ht="15.75" customHeight="1">
      <c r="A248" s="5"/>
      <c r="B248" s="5"/>
      <c r="C248" s="5"/>
      <c r="D248" s="5"/>
      <c r="E248" s="5"/>
      <c r="F248" s="5"/>
      <c r="G248" s="5"/>
      <c r="H248" s="5"/>
      <c r="I248" s="5"/>
    </row>
    <row r="249" ht="15.75" customHeight="1">
      <c r="A249" s="5"/>
      <c r="B249" s="5"/>
      <c r="C249" s="5"/>
      <c r="D249" s="5"/>
      <c r="E249" s="5"/>
      <c r="F249" s="5"/>
      <c r="G249" s="5"/>
      <c r="H249" s="5"/>
      <c r="I249" s="5"/>
    </row>
    <row r="250" ht="15.75" customHeight="1">
      <c r="A250" s="5"/>
      <c r="B250" s="5"/>
      <c r="C250" s="5"/>
      <c r="D250" s="5"/>
      <c r="E250" s="5"/>
      <c r="F250" s="5"/>
      <c r="G250" s="5"/>
      <c r="H250" s="5"/>
      <c r="I250" s="5"/>
    </row>
    <row r="251" ht="15.75" customHeight="1">
      <c r="A251" s="5"/>
      <c r="B251" s="5"/>
      <c r="C251" s="5"/>
      <c r="D251" s="5"/>
      <c r="E251" s="5"/>
      <c r="F251" s="5"/>
      <c r="G251" s="5"/>
      <c r="H251" s="5"/>
      <c r="I251" s="5"/>
    </row>
    <row r="252" ht="15.75" customHeight="1">
      <c r="A252" s="5"/>
      <c r="B252" s="5"/>
      <c r="C252" s="5"/>
      <c r="D252" s="5"/>
      <c r="E252" s="5"/>
      <c r="F252" s="5"/>
      <c r="G252" s="5"/>
      <c r="H252" s="5"/>
      <c r="I252" s="5"/>
    </row>
    <row r="253" ht="15.75" customHeight="1">
      <c r="A253" s="5"/>
      <c r="B253" s="5"/>
      <c r="C253" s="5"/>
      <c r="D253" s="5"/>
      <c r="E253" s="5"/>
      <c r="F253" s="5"/>
      <c r="G253" s="5"/>
      <c r="H253" s="5"/>
      <c r="I253" s="5"/>
    </row>
    <row r="254" ht="15.75" customHeight="1">
      <c r="A254" s="5"/>
      <c r="B254" s="5"/>
      <c r="C254" s="5"/>
      <c r="D254" s="5"/>
      <c r="E254" s="5"/>
      <c r="F254" s="5"/>
      <c r="G254" s="5"/>
      <c r="H254" s="5"/>
      <c r="I254" s="5"/>
    </row>
    <row r="255" ht="15.75" customHeight="1">
      <c r="A255" s="5"/>
      <c r="B255" s="5"/>
      <c r="C255" s="5"/>
      <c r="D255" s="5"/>
      <c r="E255" s="5"/>
      <c r="F255" s="5"/>
      <c r="G255" s="5"/>
      <c r="H255" s="5"/>
      <c r="I255" s="5"/>
    </row>
    <row r="256" ht="15.75" customHeight="1">
      <c r="A256" s="5"/>
      <c r="B256" s="5"/>
      <c r="C256" s="5"/>
      <c r="D256" s="5"/>
      <c r="E256" s="5"/>
      <c r="F256" s="5"/>
      <c r="G256" s="5"/>
      <c r="H256" s="5"/>
      <c r="I256" s="5"/>
    </row>
    <row r="257" ht="15.75" customHeight="1">
      <c r="A257" s="5"/>
      <c r="B257" s="5"/>
      <c r="C257" s="5"/>
      <c r="D257" s="5"/>
      <c r="E257" s="5"/>
      <c r="F257" s="5"/>
      <c r="G257" s="5"/>
      <c r="H257" s="5"/>
      <c r="I257" s="5"/>
    </row>
    <row r="258" ht="15.75" customHeight="1">
      <c r="A258" s="5"/>
      <c r="B258" s="5"/>
      <c r="C258" s="5"/>
      <c r="D258" s="5"/>
      <c r="E258" s="5"/>
      <c r="F258" s="5"/>
      <c r="G258" s="5"/>
      <c r="H258" s="5"/>
      <c r="I258" s="5"/>
    </row>
    <row r="259" ht="15.75" customHeight="1">
      <c r="A259" s="5"/>
      <c r="B259" s="5"/>
      <c r="C259" s="5"/>
      <c r="D259" s="5"/>
      <c r="E259" s="5"/>
      <c r="F259" s="5"/>
      <c r="G259" s="5"/>
      <c r="H259" s="5"/>
      <c r="I259" s="5"/>
    </row>
    <row r="260" ht="15.75" customHeight="1">
      <c r="A260" s="5"/>
      <c r="B260" s="5"/>
      <c r="C260" s="5"/>
      <c r="D260" s="5"/>
      <c r="E260" s="5"/>
      <c r="F260" s="5"/>
      <c r="G260" s="5"/>
      <c r="H260" s="5"/>
      <c r="I260" s="5"/>
    </row>
    <row r="261" ht="15.75" customHeight="1">
      <c r="A261" s="5"/>
      <c r="B261" s="5"/>
      <c r="C261" s="5"/>
      <c r="D261" s="5"/>
      <c r="E261" s="5"/>
      <c r="F261" s="5"/>
      <c r="G261" s="5"/>
      <c r="H261" s="5"/>
      <c r="I261" s="5"/>
    </row>
    <row r="262" ht="15.75" customHeight="1">
      <c r="A262" s="5"/>
      <c r="B262" s="5"/>
      <c r="C262" s="5"/>
      <c r="D262" s="5"/>
      <c r="E262" s="5"/>
      <c r="F262" s="5"/>
      <c r="G262" s="5"/>
      <c r="H262" s="5"/>
      <c r="I262" s="5"/>
    </row>
    <row r="263" ht="15.75" customHeight="1">
      <c r="A263" s="5"/>
      <c r="B263" s="5"/>
      <c r="C263" s="5"/>
      <c r="D263" s="5"/>
      <c r="E263" s="5"/>
      <c r="F263" s="5"/>
      <c r="G263" s="5"/>
      <c r="H263" s="5"/>
      <c r="I263" s="5"/>
    </row>
    <row r="264" ht="15.75" customHeight="1">
      <c r="A264" s="5"/>
      <c r="B264" s="5"/>
      <c r="C264" s="5"/>
      <c r="D264" s="5"/>
      <c r="E264" s="5"/>
      <c r="F264" s="5"/>
      <c r="G264" s="5"/>
      <c r="H264" s="5"/>
      <c r="I264" s="5"/>
    </row>
    <row r="265" ht="15.75" customHeight="1">
      <c r="A265" s="5"/>
      <c r="B265" s="5"/>
      <c r="C265" s="5"/>
      <c r="D265" s="5"/>
      <c r="E265" s="5"/>
      <c r="F265" s="5"/>
      <c r="G265" s="5"/>
      <c r="H265" s="5"/>
      <c r="I265" s="5"/>
    </row>
    <row r="266" ht="15.75" customHeight="1">
      <c r="A266" s="5"/>
      <c r="B266" s="5"/>
      <c r="C266" s="5"/>
      <c r="D266" s="5"/>
      <c r="E266" s="5"/>
      <c r="F266" s="5"/>
      <c r="G266" s="5"/>
      <c r="H266" s="5"/>
      <c r="I266" s="5"/>
    </row>
    <row r="267" ht="15.75" customHeight="1">
      <c r="A267" s="5"/>
      <c r="B267" s="5"/>
      <c r="C267" s="5"/>
      <c r="D267" s="5"/>
      <c r="E267" s="5"/>
      <c r="F267" s="5"/>
      <c r="G267" s="5"/>
      <c r="H267" s="5"/>
      <c r="I267" s="5"/>
    </row>
    <row r="268" ht="15.75" customHeight="1">
      <c r="A268" s="5"/>
      <c r="B268" s="5"/>
      <c r="C268" s="5"/>
      <c r="D268" s="5"/>
      <c r="E268" s="5"/>
      <c r="F268" s="5"/>
      <c r="G268" s="5"/>
      <c r="H268" s="5"/>
      <c r="I268" s="5"/>
    </row>
    <row r="269" ht="15.75" customHeight="1">
      <c r="A269" s="5"/>
      <c r="B269" s="5"/>
      <c r="C269" s="5"/>
      <c r="D269" s="5"/>
      <c r="E269" s="5"/>
      <c r="F269" s="5"/>
      <c r="G269" s="5"/>
      <c r="H269" s="5"/>
      <c r="I269" s="5"/>
    </row>
    <row r="270" ht="15.75" customHeight="1">
      <c r="A270" s="5"/>
      <c r="B270" s="5"/>
      <c r="C270" s="5"/>
      <c r="D270" s="5"/>
      <c r="E270" s="5"/>
      <c r="F270" s="5"/>
      <c r="G270" s="5"/>
      <c r="H270" s="5"/>
      <c r="I270" s="5"/>
    </row>
    <row r="271" ht="15.75" customHeight="1">
      <c r="A271" s="5"/>
      <c r="B271" s="5"/>
      <c r="C271" s="5"/>
      <c r="D271" s="5"/>
      <c r="E271" s="5"/>
      <c r="F271" s="5"/>
      <c r="G271" s="5"/>
      <c r="H271" s="5"/>
      <c r="I271" s="5"/>
    </row>
    <row r="272" ht="15.75" customHeight="1">
      <c r="A272" s="5"/>
      <c r="B272" s="5"/>
      <c r="C272" s="5"/>
      <c r="D272" s="5"/>
      <c r="E272" s="5"/>
      <c r="F272" s="5"/>
      <c r="G272" s="5"/>
      <c r="H272" s="5"/>
      <c r="I272" s="5"/>
    </row>
    <row r="273" ht="15.75" customHeight="1">
      <c r="A273" s="5"/>
      <c r="B273" s="5"/>
      <c r="C273" s="5"/>
      <c r="D273" s="5"/>
      <c r="E273" s="5"/>
      <c r="F273" s="5"/>
      <c r="G273" s="5"/>
      <c r="H273" s="5"/>
      <c r="I273" s="5"/>
    </row>
    <row r="274" ht="15.75" customHeight="1">
      <c r="A274" s="5"/>
      <c r="B274" s="5"/>
      <c r="C274" s="5"/>
      <c r="D274" s="5"/>
      <c r="E274" s="5"/>
      <c r="F274" s="5"/>
      <c r="G274" s="5"/>
      <c r="H274" s="5"/>
      <c r="I274" s="5"/>
    </row>
    <row r="275" ht="15.75" customHeight="1">
      <c r="A275" s="5"/>
      <c r="B275" s="5"/>
      <c r="C275" s="5"/>
      <c r="D275" s="5"/>
      <c r="E275" s="5"/>
      <c r="F275" s="5"/>
      <c r="G275" s="5"/>
      <c r="H275" s="5"/>
      <c r="I275" s="5"/>
    </row>
    <row r="276" ht="15.75" customHeight="1">
      <c r="A276" s="5"/>
      <c r="B276" s="5"/>
      <c r="C276" s="5"/>
      <c r="D276" s="5"/>
      <c r="E276" s="5"/>
      <c r="F276" s="5"/>
      <c r="G276" s="5"/>
      <c r="H276" s="5"/>
      <c r="I276" s="5"/>
    </row>
    <row r="277" ht="15.75" customHeight="1">
      <c r="A277" s="5"/>
      <c r="B277" s="5"/>
      <c r="C277" s="5"/>
      <c r="D277" s="5"/>
      <c r="E277" s="5"/>
      <c r="F277" s="5"/>
      <c r="G277" s="5"/>
      <c r="H277" s="5"/>
      <c r="I277" s="5"/>
    </row>
    <row r="278" ht="15.75" customHeight="1">
      <c r="A278" s="5"/>
      <c r="B278" s="5"/>
      <c r="C278" s="5"/>
      <c r="D278" s="5"/>
      <c r="E278" s="5"/>
      <c r="F278" s="5"/>
      <c r="G278" s="5"/>
      <c r="H278" s="5"/>
      <c r="I278" s="5"/>
    </row>
    <row r="279" ht="15.75" customHeight="1">
      <c r="A279" s="5"/>
      <c r="B279" s="5"/>
      <c r="C279" s="5"/>
      <c r="D279" s="5"/>
      <c r="E279" s="5"/>
      <c r="F279" s="5"/>
      <c r="G279" s="5"/>
      <c r="H279" s="5"/>
      <c r="I279" s="5"/>
    </row>
    <row r="280" ht="15.75" customHeight="1">
      <c r="A280" s="5"/>
      <c r="B280" s="5"/>
      <c r="C280" s="5"/>
      <c r="D280" s="5"/>
      <c r="E280" s="5"/>
      <c r="F280" s="5"/>
      <c r="G280" s="5"/>
      <c r="H280" s="5"/>
      <c r="I280" s="5"/>
    </row>
    <row r="281" ht="15.75" customHeight="1">
      <c r="A281" s="5"/>
      <c r="B281" s="5"/>
      <c r="C281" s="5"/>
      <c r="D281" s="5"/>
      <c r="E281" s="5"/>
      <c r="F281" s="5"/>
      <c r="G281" s="5"/>
      <c r="H281" s="5"/>
      <c r="I281" s="5"/>
    </row>
    <row r="282" ht="15.75" customHeight="1">
      <c r="A282" s="5"/>
      <c r="B282" s="5"/>
      <c r="C282" s="5"/>
      <c r="D282" s="5"/>
      <c r="E282" s="5"/>
      <c r="F282" s="5"/>
      <c r="G282" s="5"/>
      <c r="H282" s="5"/>
      <c r="I282" s="5"/>
    </row>
    <row r="283" ht="15.75" customHeight="1">
      <c r="A283" s="5"/>
      <c r="B283" s="5"/>
      <c r="C283" s="5"/>
      <c r="D283" s="5"/>
      <c r="E283" s="5"/>
      <c r="F283" s="5"/>
      <c r="G283" s="5"/>
      <c r="H283" s="5"/>
      <c r="I283" s="5"/>
    </row>
    <row r="284" ht="15.75" customHeight="1">
      <c r="A284" s="5"/>
      <c r="B284" s="5"/>
      <c r="C284" s="5"/>
      <c r="D284" s="5"/>
      <c r="E284" s="5"/>
      <c r="F284" s="5"/>
      <c r="G284" s="5"/>
      <c r="H284" s="5"/>
      <c r="I284" s="5"/>
    </row>
    <row r="285" ht="15.75" customHeight="1">
      <c r="A285" s="5"/>
      <c r="B285" s="5"/>
      <c r="C285" s="5"/>
      <c r="D285" s="5"/>
      <c r="E285" s="5"/>
      <c r="F285" s="5"/>
      <c r="G285" s="5"/>
      <c r="H285" s="5"/>
      <c r="I285" s="5"/>
    </row>
    <row r="286" ht="15.75" customHeight="1">
      <c r="A286" s="5"/>
      <c r="B286" s="5"/>
      <c r="C286" s="5"/>
      <c r="D286" s="5"/>
      <c r="E286" s="5"/>
      <c r="F286" s="5"/>
      <c r="G286" s="5"/>
      <c r="H286" s="5"/>
      <c r="I286" s="5"/>
    </row>
    <row r="287" ht="15.75" customHeight="1">
      <c r="A287" s="5"/>
      <c r="B287" s="5"/>
      <c r="C287" s="5"/>
      <c r="D287" s="5"/>
      <c r="E287" s="5"/>
      <c r="F287" s="5"/>
      <c r="G287" s="5"/>
      <c r="H287" s="5"/>
      <c r="I287" s="5"/>
    </row>
    <row r="288" ht="15.75" customHeight="1">
      <c r="A288" s="5"/>
      <c r="B288" s="5"/>
      <c r="C288" s="5"/>
      <c r="D288" s="5"/>
      <c r="E288" s="5"/>
      <c r="F288" s="5"/>
      <c r="G288" s="5"/>
      <c r="H288" s="5"/>
      <c r="I288" s="5"/>
    </row>
    <row r="289" ht="15.75" customHeight="1">
      <c r="A289" s="5"/>
      <c r="B289" s="5"/>
      <c r="C289" s="5"/>
      <c r="D289" s="5"/>
      <c r="E289" s="5"/>
      <c r="F289" s="5"/>
      <c r="G289" s="5"/>
      <c r="H289" s="5"/>
      <c r="I289" s="5"/>
    </row>
    <row r="290" ht="15.75" customHeight="1">
      <c r="A290" s="5"/>
      <c r="B290" s="5"/>
      <c r="C290" s="5"/>
      <c r="D290" s="5"/>
      <c r="E290" s="5"/>
      <c r="F290" s="5"/>
      <c r="G290" s="5"/>
      <c r="H290" s="5"/>
      <c r="I290" s="5"/>
    </row>
    <row r="291" ht="15.75" customHeight="1">
      <c r="A291" s="5"/>
      <c r="B291" s="5"/>
      <c r="C291" s="5"/>
      <c r="D291" s="5"/>
      <c r="E291" s="5"/>
      <c r="F291" s="5"/>
      <c r="G291" s="5"/>
      <c r="H291" s="5"/>
      <c r="I291" s="5"/>
    </row>
    <row r="292" ht="15.75" customHeight="1">
      <c r="A292" s="5"/>
      <c r="B292" s="5"/>
      <c r="C292" s="5"/>
      <c r="D292" s="5"/>
      <c r="E292" s="5"/>
      <c r="F292" s="5"/>
      <c r="G292" s="5"/>
      <c r="H292" s="5"/>
      <c r="I292" s="5"/>
    </row>
    <row r="293" ht="15.75" customHeight="1">
      <c r="A293" s="5"/>
      <c r="B293" s="5"/>
      <c r="C293" s="5"/>
      <c r="D293" s="5"/>
      <c r="E293" s="5"/>
      <c r="F293" s="5"/>
      <c r="G293" s="5"/>
      <c r="H293" s="5"/>
      <c r="I293" s="5"/>
    </row>
    <row r="294" ht="15.75" customHeight="1">
      <c r="A294" s="5"/>
      <c r="B294" s="5"/>
      <c r="C294" s="5"/>
      <c r="D294" s="5"/>
      <c r="E294" s="5"/>
      <c r="F294" s="5"/>
      <c r="G294" s="5"/>
      <c r="H294" s="5"/>
      <c r="I294" s="5"/>
    </row>
    <row r="295" ht="15.75" customHeight="1">
      <c r="A295" s="5"/>
      <c r="B295" s="5"/>
      <c r="C295" s="5"/>
      <c r="D295" s="5"/>
      <c r="E295" s="5"/>
      <c r="F295" s="5"/>
      <c r="G295" s="5"/>
      <c r="H295" s="5"/>
      <c r="I295" s="5"/>
    </row>
    <row r="296" ht="15.75" customHeight="1">
      <c r="A296" s="5"/>
      <c r="B296" s="5"/>
      <c r="C296" s="5"/>
      <c r="D296" s="5"/>
      <c r="E296" s="5"/>
      <c r="F296" s="5"/>
      <c r="G296" s="5"/>
      <c r="H296" s="5"/>
      <c r="I296" s="5"/>
    </row>
    <row r="297" ht="15.75" customHeight="1">
      <c r="A297" s="5"/>
      <c r="B297" s="5"/>
      <c r="C297" s="5"/>
      <c r="D297" s="5"/>
      <c r="E297" s="5"/>
      <c r="F297" s="5"/>
      <c r="G297" s="5"/>
      <c r="H297" s="5"/>
      <c r="I297" s="5"/>
    </row>
    <row r="298" ht="15.75" customHeight="1">
      <c r="A298" s="5"/>
      <c r="B298" s="5"/>
      <c r="C298" s="5"/>
      <c r="D298" s="5"/>
      <c r="E298" s="5"/>
      <c r="F298" s="5"/>
      <c r="G298" s="5"/>
      <c r="H298" s="5"/>
      <c r="I298" s="5"/>
    </row>
    <row r="299" ht="15.75" customHeight="1">
      <c r="A299" s="5"/>
      <c r="B299" s="5"/>
      <c r="C299" s="5"/>
      <c r="D299" s="5"/>
      <c r="E299" s="5"/>
      <c r="F299" s="5"/>
      <c r="G299" s="5"/>
      <c r="H299" s="5"/>
      <c r="I299" s="5"/>
    </row>
    <row r="300" ht="15.75" customHeight="1">
      <c r="A300" s="5"/>
      <c r="B300" s="5"/>
      <c r="C300" s="5"/>
      <c r="D300" s="5"/>
      <c r="E300" s="5"/>
      <c r="F300" s="5"/>
      <c r="G300" s="5"/>
      <c r="H300" s="5"/>
      <c r="I300" s="5"/>
    </row>
    <row r="301" ht="15.75" customHeight="1">
      <c r="A301" s="5"/>
      <c r="B301" s="5"/>
      <c r="C301" s="5"/>
      <c r="D301" s="5"/>
      <c r="E301" s="5"/>
      <c r="F301" s="5"/>
      <c r="G301" s="5"/>
      <c r="H301" s="5"/>
      <c r="I301" s="5"/>
    </row>
    <row r="302" ht="15.75" customHeight="1">
      <c r="A302" s="5"/>
      <c r="B302" s="5"/>
      <c r="C302" s="5"/>
      <c r="D302" s="5"/>
      <c r="E302" s="5"/>
      <c r="F302" s="5"/>
      <c r="G302" s="5"/>
      <c r="H302" s="5"/>
      <c r="I302" s="5"/>
    </row>
    <row r="303" ht="15.75" customHeight="1">
      <c r="A303" s="5"/>
      <c r="B303" s="5"/>
      <c r="C303" s="5"/>
      <c r="D303" s="5"/>
      <c r="E303" s="5"/>
      <c r="F303" s="5"/>
      <c r="G303" s="5"/>
      <c r="H303" s="5"/>
      <c r="I303" s="5"/>
    </row>
    <row r="304" ht="15.75" customHeight="1">
      <c r="A304" s="5"/>
      <c r="B304" s="5"/>
      <c r="C304" s="5"/>
      <c r="D304" s="5"/>
      <c r="E304" s="5"/>
      <c r="F304" s="5"/>
      <c r="G304" s="5"/>
      <c r="H304" s="5"/>
      <c r="I304" s="5"/>
    </row>
    <row r="305" ht="15.75" customHeight="1">
      <c r="A305" s="5"/>
      <c r="B305" s="5"/>
      <c r="C305" s="5"/>
      <c r="D305" s="5"/>
      <c r="E305" s="5"/>
      <c r="F305" s="5"/>
      <c r="G305" s="5"/>
      <c r="H305" s="5"/>
      <c r="I305" s="5"/>
    </row>
    <row r="306" ht="15.75" customHeight="1">
      <c r="A306" s="5"/>
      <c r="B306" s="5"/>
      <c r="C306" s="5"/>
      <c r="D306" s="5"/>
      <c r="E306" s="5"/>
      <c r="F306" s="5"/>
      <c r="G306" s="5"/>
      <c r="H306" s="5"/>
      <c r="I306" s="5"/>
    </row>
    <row r="307" ht="15.75" customHeight="1">
      <c r="A307" s="5"/>
      <c r="B307" s="5"/>
      <c r="C307" s="5"/>
      <c r="D307" s="5"/>
      <c r="E307" s="5"/>
      <c r="F307" s="5"/>
      <c r="G307" s="5"/>
      <c r="H307" s="5"/>
      <c r="I307" s="5"/>
    </row>
    <row r="308" ht="15.75" customHeight="1">
      <c r="A308" s="5"/>
      <c r="B308" s="5"/>
      <c r="C308" s="5"/>
      <c r="D308" s="5"/>
      <c r="E308" s="5"/>
      <c r="F308" s="5"/>
      <c r="G308" s="5"/>
      <c r="H308" s="5"/>
      <c r="I308" s="5"/>
    </row>
    <row r="309" ht="15.75" customHeight="1">
      <c r="A309" s="5"/>
      <c r="B309" s="5"/>
      <c r="C309" s="5"/>
      <c r="D309" s="5"/>
      <c r="E309" s="5"/>
      <c r="F309" s="5"/>
      <c r="G309" s="5"/>
      <c r="H309" s="5"/>
      <c r="I309" s="5"/>
    </row>
    <row r="310" ht="15.75" customHeight="1">
      <c r="A310" s="5"/>
      <c r="B310" s="5"/>
      <c r="C310" s="5"/>
      <c r="D310" s="5"/>
      <c r="E310" s="5"/>
      <c r="F310" s="5"/>
      <c r="G310" s="5"/>
      <c r="H310" s="5"/>
      <c r="I310" s="5"/>
    </row>
    <row r="311" ht="15.75" customHeight="1">
      <c r="A311" s="5"/>
      <c r="B311" s="5"/>
      <c r="C311" s="5"/>
      <c r="D311" s="5"/>
      <c r="E311" s="5"/>
      <c r="F311" s="5"/>
      <c r="G311" s="5"/>
      <c r="H311" s="5"/>
      <c r="I311" s="5"/>
    </row>
    <row r="312" ht="15.75" customHeight="1">
      <c r="A312" s="5"/>
      <c r="B312" s="5"/>
      <c r="C312" s="5"/>
      <c r="D312" s="5"/>
      <c r="E312" s="5"/>
      <c r="F312" s="5"/>
      <c r="G312" s="5"/>
      <c r="H312" s="5"/>
      <c r="I312" s="5"/>
    </row>
    <row r="313" ht="15.75" customHeight="1">
      <c r="A313" s="5"/>
      <c r="B313" s="5"/>
      <c r="C313" s="5"/>
      <c r="D313" s="5"/>
      <c r="E313" s="5"/>
      <c r="F313" s="5"/>
      <c r="G313" s="5"/>
      <c r="H313" s="5"/>
      <c r="I313" s="5"/>
    </row>
    <row r="314" ht="15.75" customHeight="1">
      <c r="A314" s="5"/>
      <c r="B314" s="5"/>
      <c r="C314" s="5"/>
      <c r="D314" s="5"/>
      <c r="E314" s="5"/>
      <c r="F314" s="5"/>
      <c r="G314" s="5"/>
      <c r="H314" s="5"/>
      <c r="I314" s="5"/>
    </row>
    <row r="315" ht="15.75" customHeight="1">
      <c r="A315" s="5"/>
      <c r="B315" s="5"/>
      <c r="C315" s="5"/>
      <c r="D315" s="5"/>
      <c r="E315" s="5"/>
      <c r="F315" s="5"/>
      <c r="G315" s="5"/>
      <c r="H315" s="5"/>
      <c r="I315" s="5"/>
    </row>
    <row r="316" ht="15.75" customHeight="1">
      <c r="A316" s="5"/>
      <c r="B316" s="5"/>
      <c r="C316" s="5"/>
      <c r="D316" s="5"/>
      <c r="E316" s="5"/>
      <c r="F316" s="5"/>
      <c r="G316" s="5"/>
      <c r="H316" s="5"/>
      <c r="I316" s="5"/>
    </row>
    <row r="317" ht="15.75" customHeight="1">
      <c r="A317" s="5"/>
      <c r="B317" s="5"/>
      <c r="C317" s="5"/>
      <c r="D317" s="5"/>
      <c r="E317" s="5"/>
      <c r="F317" s="5"/>
      <c r="G317" s="5"/>
      <c r="H317" s="5"/>
      <c r="I317" s="5"/>
    </row>
    <row r="318" ht="15.75" customHeight="1">
      <c r="A318" s="5"/>
      <c r="B318" s="5"/>
      <c r="C318" s="5"/>
      <c r="D318" s="5"/>
      <c r="E318" s="5"/>
      <c r="F318" s="5"/>
      <c r="G318" s="5"/>
      <c r="H318" s="5"/>
      <c r="I318" s="5"/>
    </row>
    <row r="319" ht="15.75" customHeight="1">
      <c r="A319" s="5"/>
      <c r="B319" s="5"/>
      <c r="C319" s="5"/>
      <c r="D319" s="5"/>
      <c r="E319" s="5"/>
      <c r="F319" s="5"/>
      <c r="G319" s="5"/>
      <c r="H319" s="5"/>
      <c r="I319" s="5"/>
    </row>
    <row r="320" ht="15.75" customHeight="1">
      <c r="A320" s="5"/>
      <c r="B320" s="5"/>
      <c r="C320" s="5"/>
      <c r="D320" s="5"/>
      <c r="E320" s="5"/>
      <c r="F320" s="5"/>
      <c r="G320" s="5"/>
      <c r="H320" s="5"/>
      <c r="I320" s="5"/>
    </row>
    <row r="321" ht="15.75" customHeight="1">
      <c r="A321" s="5"/>
      <c r="B321" s="5"/>
      <c r="C321" s="5"/>
      <c r="D321" s="5"/>
      <c r="E321" s="5"/>
      <c r="F321" s="5"/>
      <c r="G321" s="5"/>
      <c r="H321" s="5"/>
      <c r="I321" s="5"/>
    </row>
    <row r="322" ht="15.75" customHeight="1">
      <c r="A322" s="5"/>
      <c r="B322" s="5"/>
      <c r="C322" s="5"/>
      <c r="D322" s="5"/>
      <c r="E322" s="5"/>
      <c r="F322" s="5"/>
      <c r="G322" s="5"/>
      <c r="H322" s="5"/>
      <c r="I322" s="5"/>
    </row>
    <row r="323" ht="15.75" customHeight="1">
      <c r="A323" s="5"/>
      <c r="B323" s="5"/>
      <c r="C323" s="5"/>
      <c r="D323" s="5"/>
      <c r="E323" s="5"/>
      <c r="F323" s="5"/>
      <c r="G323" s="5"/>
      <c r="H323" s="5"/>
      <c r="I323" s="5"/>
    </row>
    <row r="324" ht="15.75" customHeight="1">
      <c r="A324" s="5"/>
      <c r="B324" s="5"/>
      <c r="C324" s="5"/>
      <c r="D324" s="5"/>
      <c r="E324" s="5"/>
      <c r="F324" s="5"/>
      <c r="G324" s="5"/>
      <c r="H324" s="5"/>
      <c r="I324" s="5"/>
    </row>
    <row r="325" ht="15.75" customHeight="1">
      <c r="A325" s="5"/>
      <c r="B325" s="5"/>
      <c r="C325" s="5"/>
      <c r="D325" s="5"/>
      <c r="E325" s="5"/>
      <c r="F325" s="5"/>
      <c r="G325" s="5"/>
      <c r="H325" s="5"/>
      <c r="I325" s="5"/>
    </row>
    <row r="326" ht="15.75" customHeight="1">
      <c r="A326" s="5"/>
      <c r="B326" s="5"/>
      <c r="C326" s="5"/>
      <c r="D326" s="5"/>
      <c r="E326" s="5"/>
      <c r="F326" s="5"/>
      <c r="G326" s="5"/>
      <c r="H326" s="5"/>
      <c r="I326" s="5"/>
    </row>
    <row r="327" ht="15.75" customHeight="1">
      <c r="A327" s="5"/>
      <c r="B327" s="5"/>
      <c r="C327" s="5"/>
      <c r="D327" s="5"/>
      <c r="E327" s="5"/>
      <c r="F327" s="5"/>
      <c r="G327" s="5"/>
      <c r="H327" s="5"/>
      <c r="I327" s="5"/>
    </row>
    <row r="328" ht="15.75" customHeight="1">
      <c r="A328" s="5"/>
      <c r="B328" s="5"/>
      <c r="C328" s="5"/>
      <c r="D328" s="5"/>
      <c r="E328" s="5"/>
      <c r="F328" s="5"/>
      <c r="G328" s="5"/>
      <c r="H328" s="5"/>
      <c r="I328" s="5"/>
    </row>
    <row r="329" ht="15.75" customHeight="1">
      <c r="A329" s="5"/>
      <c r="B329" s="5"/>
      <c r="C329" s="5"/>
      <c r="D329" s="5"/>
      <c r="E329" s="5"/>
      <c r="F329" s="5"/>
      <c r="G329" s="5"/>
      <c r="H329" s="5"/>
      <c r="I329" s="5"/>
    </row>
    <row r="330" ht="15.75" customHeight="1">
      <c r="A330" s="5"/>
      <c r="B330" s="5"/>
      <c r="C330" s="5"/>
      <c r="D330" s="5"/>
      <c r="E330" s="5"/>
      <c r="F330" s="5"/>
      <c r="G330" s="5"/>
      <c r="H330" s="5"/>
      <c r="I330" s="5"/>
    </row>
    <row r="331" ht="15.75" customHeight="1">
      <c r="A331" s="5"/>
      <c r="B331" s="5"/>
      <c r="C331" s="5"/>
      <c r="D331" s="5"/>
      <c r="E331" s="5"/>
      <c r="F331" s="5"/>
      <c r="G331" s="5"/>
      <c r="H331" s="5"/>
      <c r="I331" s="5"/>
    </row>
    <row r="332" ht="15.75" customHeight="1">
      <c r="A332" s="5"/>
      <c r="B332" s="5"/>
      <c r="C332" s="5"/>
      <c r="D332" s="5"/>
      <c r="E332" s="5"/>
      <c r="F332" s="5"/>
      <c r="G332" s="5"/>
      <c r="H332" s="5"/>
      <c r="I332" s="5"/>
    </row>
    <row r="333" ht="15.75" customHeight="1">
      <c r="A333" s="5"/>
      <c r="B333" s="5"/>
      <c r="C333" s="5"/>
      <c r="D333" s="5"/>
      <c r="E333" s="5"/>
      <c r="F333" s="5"/>
      <c r="G333" s="5"/>
      <c r="H333" s="5"/>
      <c r="I333" s="5"/>
    </row>
    <row r="334" ht="15.75" customHeight="1">
      <c r="A334" s="5"/>
      <c r="B334" s="5"/>
      <c r="C334" s="5"/>
      <c r="D334" s="5"/>
      <c r="E334" s="5"/>
      <c r="F334" s="5"/>
      <c r="G334" s="5"/>
      <c r="H334" s="5"/>
      <c r="I334" s="5"/>
    </row>
    <row r="335" ht="15.75" customHeight="1">
      <c r="A335" s="5"/>
      <c r="B335" s="5"/>
      <c r="C335" s="5"/>
      <c r="D335" s="5"/>
      <c r="E335" s="5"/>
      <c r="F335" s="5"/>
      <c r="G335" s="5"/>
      <c r="H335" s="5"/>
      <c r="I335" s="5"/>
    </row>
    <row r="336" ht="15.75" customHeight="1">
      <c r="A336" s="5"/>
      <c r="B336" s="5"/>
      <c r="C336" s="5"/>
      <c r="D336" s="5"/>
      <c r="E336" s="5"/>
      <c r="F336" s="5"/>
      <c r="G336" s="5"/>
      <c r="H336" s="5"/>
      <c r="I336" s="5"/>
    </row>
    <row r="337" ht="15.75" customHeight="1">
      <c r="A337" s="5"/>
      <c r="B337" s="5"/>
      <c r="C337" s="5"/>
      <c r="D337" s="5"/>
      <c r="E337" s="5"/>
      <c r="F337" s="5"/>
      <c r="G337" s="5"/>
      <c r="H337" s="5"/>
      <c r="I337" s="5"/>
    </row>
    <row r="338" ht="15.75" customHeight="1">
      <c r="A338" s="5"/>
      <c r="B338" s="5"/>
      <c r="C338" s="5"/>
      <c r="D338" s="5"/>
      <c r="E338" s="5"/>
      <c r="F338" s="5"/>
      <c r="G338" s="5"/>
      <c r="H338" s="5"/>
      <c r="I338" s="5"/>
    </row>
    <row r="339" ht="15.75" customHeight="1">
      <c r="A339" s="5"/>
      <c r="B339" s="5"/>
      <c r="C339" s="5"/>
      <c r="D339" s="5"/>
      <c r="E339" s="5"/>
      <c r="F339" s="5"/>
      <c r="G339" s="5"/>
      <c r="H339" s="5"/>
      <c r="I339" s="5"/>
    </row>
    <row r="340" ht="15.75" customHeight="1">
      <c r="A340" s="5"/>
      <c r="B340" s="5"/>
      <c r="C340" s="5"/>
      <c r="D340" s="5"/>
      <c r="E340" s="5"/>
      <c r="F340" s="5"/>
      <c r="G340" s="5"/>
      <c r="H340" s="5"/>
      <c r="I340" s="5"/>
    </row>
    <row r="341" ht="15.75" customHeight="1">
      <c r="A341" s="5"/>
      <c r="B341" s="5"/>
      <c r="C341" s="5"/>
      <c r="D341" s="5"/>
      <c r="E341" s="5"/>
      <c r="F341" s="5"/>
      <c r="G341" s="5"/>
      <c r="H341" s="5"/>
      <c r="I341" s="5"/>
    </row>
    <row r="342" ht="15.75" customHeight="1">
      <c r="A342" s="5"/>
      <c r="B342" s="5"/>
      <c r="C342" s="5"/>
      <c r="D342" s="5"/>
      <c r="E342" s="5"/>
      <c r="F342" s="5"/>
      <c r="G342" s="5"/>
      <c r="H342" s="5"/>
      <c r="I342" s="5"/>
    </row>
    <row r="343" ht="15.75" customHeight="1">
      <c r="A343" s="5"/>
      <c r="B343" s="5"/>
      <c r="C343" s="5"/>
      <c r="D343" s="5"/>
      <c r="E343" s="5"/>
      <c r="F343" s="5"/>
      <c r="G343" s="5"/>
      <c r="H343" s="5"/>
      <c r="I343" s="5"/>
    </row>
    <row r="344" ht="15.75" customHeight="1">
      <c r="A344" s="5"/>
      <c r="B344" s="5"/>
      <c r="C344" s="5"/>
      <c r="D344" s="5"/>
      <c r="E344" s="5"/>
      <c r="F344" s="5"/>
      <c r="G344" s="5"/>
      <c r="H344" s="5"/>
      <c r="I344" s="5"/>
    </row>
    <row r="345" ht="15.75" customHeight="1">
      <c r="A345" s="5"/>
      <c r="B345" s="5"/>
      <c r="C345" s="5"/>
      <c r="D345" s="5"/>
      <c r="E345" s="5"/>
      <c r="F345" s="5"/>
      <c r="G345" s="5"/>
      <c r="H345" s="5"/>
      <c r="I345" s="5"/>
    </row>
    <row r="346" ht="15.75" customHeight="1">
      <c r="A346" s="5"/>
      <c r="B346" s="5"/>
      <c r="C346" s="5"/>
      <c r="D346" s="5"/>
      <c r="E346" s="5"/>
      <c r="F346" s="5"/>
      <c r="G346" s="5"/>
      <c r="H346" s="5"/>
      <c r="I346" s="5"/>
    </row>
    <row r="347" ht="15.75" customHeight="1">
      <c r="A347" s="5"/>
      <c r="B347" s="5"/>
      <c r="C347" s="5"/>
      <c r="D347" s="5"/>
      <c r="E347" s="5"/>
      <c r="F347" s="5"/>
      <c r="G347" s="5"/>
      <c r="H347" s="5"/>
      <c r="I347" s="5"/>
    </row>
    <row r="348" ht="15.75" customHeight="1">
      <c r="A348" s="5"/>
      <c r="B348" s="5"/>
      <c r="C348" s="5"/>
      <c r="D348" s="5"/>
      <c r="E348" s="5"/>
      <c r="F348" s="5"/>
      <c r="G348" s="5"/>
      <c r="H348" s="5"/>
      <c r="I348" s="5"/>
    </row>
    <row r="349" ht="15.75" customHeight="1">
      <c r="A349" s="5"/>
      <c r="B349" s="5"/>
      <c r="C349" s="5"/>
      <c r="D349" s="5"/>
      <c r="E349" s="5"/>
      <c r="F349" s="5"/>
      <c r="G349" s="5"/>
      <c r="H349" s="5"/>
      <c r="I349" s="5"/>
    </row>
    <row r="350" ht="15.75" customHeight="1">
      <c r="A350" s="5"/>
      <c r="B350" s="5"/>
      <c r="C350" s="5"/>
      <c r="D350" s="5"/>
      <c r="E350" s="5"/>
      <c r="F350" s="5"/>
      <c r="G350" s="5"/>
      <c r="H350" s="5"/>
      <c r="I350" s="5"/>
    </row>
    <row r="351" ht="15.75" customHeight="1">
      <c r="A351" s="5"/>
      <c r="B351" s="5"/>
      <c r="C351" s="5"/>
      <c r="D351" s="5"/>
      <c r="E351" s="5"/>
      <c r="F351" s="5"/>
      <c r="G351" s="5"/>
      <c r="H351" s="5"/>
      <c r="I351" s="5"/>
    </row>
    <row r="352" ht="15.75" customHeight="1">
      <c r="A352" s="5"/>
      <c r="B352" s="5"/>
      <c r="C352" s="5"/>
      <c r="D352" s="5"/>
      <c r="E352" s="5"/>
      <c r="F352" s="5"/>
      <c r="G352" s="5"/>
      <c r="H352" s="5"/>
      <c r="I352" s="5"/>
    </row>
    <row r="353" ht="15.75" customHeight="1">
      <c r="A353" s="5"/>
      <c r="B353" s="5"/>
      <c r="C353" s="5"/>
      <c r="D353" s="5"/>
      <c r="E353" s="5"/>
      <c r="F353" s="5"/>
      <c r="G353" s="5"/>
      <c r="H353" s="5"/>
      <c r="I353" s="5"/>
    </row>
    <row r="354" ht="15.75" customHeight="1">
      <c r="A354" s="5"/>
      <c r="B354" s="5"/>
      <c r="C354" s="5"/>
      <c r="D354" s="5"/>
      <c r="E354" s="5"/>
      <c r="F354" s="5"/>
      <c r="G354" s="5"/>
      <c r="H354" s="5"/>
      <c r="I354" s="5"/>
    </row>
    <row r="355" ht="15.75" customHeight="1">
      <c r="A355" s="5"/>
      <c r="B355" s="5"/>
      <c r="C355" s="5"/>
      <c r="D355" s="5"/>
      <c r="E355" s="5"/>
      <c r="F355" s="5"/>
      <c r="G355" s="5"/>
      <c r="H355" s="5"/>
      <c r="I355" s="5"/>
    </row>
    <row r="356" ht="15.75" customHeight="1">
      <c r="A356" s="5"/>
      <c r="B356" s="5"/>
      <c r="C356" s="5"/>
      <c r="D356" s="5"/>
      <c r="E356" s="5"/>
      <c r="F356" s="5"/>
      <c r="G356" s="5"/>
      <c r="H356" s="5"/>
      <c r="I356" s="5"/>
    </row>
    <row r="357" ht="15.75" customHeight="1">
      <c r="A357" s="5"/>
      <c r="B357" s="5"/>
      <c r="C357" s="5"/>
      <c r="D357" s="5"/>
      <c r="E357" s="5"/>
      <c r="F357" s="5"/>
      <c r="G357" s="5"/>
      <c r="H357" s="5"/>
      <c r="I357" s="5"/>
    </row>
    <row r="358" ht="15.75" customHeight="1">
      <c r="A358" s="5"/>
      <c r="B358" s="5"/>
      <c r="C358" s="5"/>
      <c r="D358" s="5"/>
      <c r="E358" s="5"/>
      <c r="F358" s="5"/>
      <c r="G358" s="5"/>
      <c r="H358" s="5"/>
      <c r="I358" s="5"/>
    </row>
    <row r="359" ht="15.75" customHeight="1">
      <c r="A359" s="5"/>
      <c r="B359" s="5"/>
      <c r="C359" s="5"/>
      <c r="D359" s="5"/>
      <c r="E359" s="5"/>
      <c r="F359" s="5"/>
      <c r="G359" s="5"/>
      <c r="H359" s="5"/>
      <c r="I359" s="5"/>
    </row>
    <row r="360" ht="15.75" customHeight="1">
      <c r="A360" s="5"/>
      <c r="B360" s="5"/>
      <c r="C360" s="5"/>
      <c r="D360" s="5"/>
      <c r="E360" s="5"/>
      <c r="F360" s="5"/>
      <c r="G360" s="5"/>
      <c r="H360" s="5"/>
      <c r="I360" s="5"/>
    </row>
    <row r="361" ht="15.75" customHeight="1">
      <c r="A361" s="5"/>
      <c r="B361" s="5"/>
      <c r="C361" s="5"/>
      <c r="D361" s="5"/>
      <c r="E361" s="5"/>
      <c r="F361" s="5"/>
      <c r="G361" s="5"/>
      <c r="H361" s="5"/>
      <c r="I361" s="5"/>
    </row>
    <row r="362" ht="15.75" customHeight="1">
      <c r="A362" s="5"/>
      <c r="B362" s="5"/>
      <c r="C362" s="5"/>
      <c r="D362" s="5"/>
      <c r="E362" s="5"/>
      <c r="F362" s="5"/>
      <c r="G362" s="5"/>
      <c r="H362" s="5"/>
      <c r="I362" s="5"/>
    </row>
    <row r="363" ht="15.75" customHeight="1">
      <c r="A363" s="5"/>
      <c r="B363" s="5"/>
      <c r="C363" s="5"/>
      <c r="D363" s="5"/>
      <c r="E363" s="5"/>
      <c r="F363" s="5"/>
      <c r="G363" s="5"/>
      <c r="H363" s="5"/>
      <c r="I363" s="5"/>
    </row>
    <row r="364" ht="15.75" customHeight="1">
      <c r="A364" s="5"/>
      <c r="B364" s="5"/>
      <c r="C364" s="5"/>
      <c r="D364" s="5"/>
      <c r="E364" s="5"/>
      <c r="F364" s="5"/>
      <c r="G364" s="5"/>
      <c r="H364" s="5"/>
      <c r="I364" s="5"/>
    </row>
    <row r="365" ht="15.75" customHeight="1">
      <c r="A365" s="5"/>
      <c r="B365" s="5"/>
      <c r="C365" s="5"/>
      <c r="D365" s="5"/>
      <c r="E365" s="5"/>
      <c r="F365" s="5"/>
      <c r="G365" s="5"/>
      <c r="H365" s="5"/>
      <c r="I365" s="5"/>
    </row>
    <row r="366" ht="15.75" customHeight="1">
      <c r="A366" s="5"/>
      <c r="B366" s="5"/>
      <c r="C366" s="5"/>
      <c r="D366" s="5"/>
      <c r="E366" s="5"/>
      <c r="F366" s="5"/>
      <c r="G366" s="5"/>
      <c r="H366" s="5"/>
      <c r="I366" s="5"/>
    </row>
    <row r="367" ht="15.75" customHeight="1">
      <c r="A367" s="5"/>
      <c r="B367" s="5"/>
      <c r="C367" s="5"/>
      <c r="D367" s="5"/>
      <c r="E367" s="5"/>
      <c r="F367" s="5"/>
      <c r="G367" s="5"/>
      <c r="H367" s="5"/>
      <c r="I367" s="5"/>
    </row>
    <row r="368" ht="15.75" customHeight="1">
      <c r="A368" s="5"/>
      <c r="B368" s="5"/>
      <c r="C368" s="5"/>
      <c r="D368" s="5"/>
      <c r="E368" s="5"/>
      <c r="F368" s="5"/>
      <c r="G368" s="5"/>
      <c r="H368" s="5"/>
      <c r="I368" s="5"/>
    </row>
    <row r="369" ht="15.75" customHeight="1">
      <c r="A369" s="5"/>
      <c r="B369" s="5"/>
      <c r="C369" s="5"/>
      <c r="D369" s="5"/>
      <c r="E369" s="5"/>
      <c r="F369" s="5"/>
      <c r="G369" s="5"/>
      <c r="H369" s="5"/>
      <c r="I369" s="5"/>
    </row>
    <row r="370" ht="15.75" customHeight="1">
      <c r="A370" s="5"/>
      <c r="B370" s="5"/>
      <c r="C370" s="5"/>
      <c r="D370" s="5"/>
      <c r="E370" s="5"/>
      <c r="F370" s="5"/>
      <c r="G370" s="5"/>
      <c r="H370" s="5"/>
      <c r="I370" s="5"/>
    </row>
    <row r="371" ht="15.75" customHeight="1">
      <c r="A371" s="5"/>
      <c r="B371" s="5"/>
      <c r="C371" s="5"/>
      <c r="D371" s="5"/>
      <c r="E371" s="5"/>
      <c r="F371" s="5"/>
      <c r="G371" s="5"/>
      <c r="H371" s="5"/>
      <c r="I371" s="5"/>
    </row>
    <row r="372" ht="15.75" customHeight="1">
      <c r="A372" s="5"/>
      <c r="B372" s="5"/>
      <c r="C372" s="5"/>
      <c r="D372" s="5"/>
      <c r="E372" s="5"/>
      <c r="F372" s="5"/>
      <c r="G372" s="5"/>
      <c r="H372" s="5"/>
      <c r="I372" s="5"/>
    </row>
    <row r="373" ht="15.75" customHeight="1">
      <c r="A373" s="5"/>
      <c r="B373" s="5"/>
      <c r="C373" s="5"/>
      <c r="D373" s="5"/>
      <c r="E373" s="5"/>
      <c r="F373" s="5"/>
      <c r="G373" s="5"/>
      <c r="H373" s="5"/>
      <c r="I373" s="5"/>
    </row>
    <row r="374" ht="15.75" customHeight="1">
      <c r="A374" s="5"/>
      <c r="B374" s="5"/>
      <c r="C374" s="5"/>
      <c r="D374" s="5"/>
      <c r="E374" s="5"/>
      <c r="F374" s="5"/>
      <c r="G374" s="5"/>
      <c r="H374" s="5"/>
      <c r="I374" s="5"/>
    </row>
    <row r="375" ht="15.75" customHeight="1">
      <c r="A375" s="5"/>
      <c r="B375" s="5"/>
      <c r="C375" s="5"/>
      <c r="D375" s="5"/>
      <c r="E375" s="5"/>
      <c r="F375" s="5"/>
      <c r="G375" s="5"/>
      <c r="H375" s="5"/>
      <c r="I375" s="5"/>
    </row>
    <row r="376" ht="15.75" customHeight="1">
      <c r="A376" s="5"/>
      <c r="B376" s="5"/>
      <c r="C376" s="5"/>
      <c r="D376" s="5"/>
      <c r="E376" s="5"/>
      <c r="F376" s="5"/>
      <c r="G376" s="5"/>
      <c r="H376" s="5"/>
      <c r="I376" s="5"/>
    </row>
    <row r="377" ht="15.75" customHeight="1">
      <c r="A377" s="5"/>
      <c r="B377" s="5"/>
      <c r="C377" s="5"/>
      <c r="D377" s="5"/>
      <c r="E377" s="5"/>
      <c r="F377" s="5"/>
      <c r="G377" s="5"/>
      <c r="H377" s="5"/>
      <c r="I377" s="5"/>
    </row>
    <row r="378" ht="15.75" customHeight="1">
      <c r="A378" s="5"/>
      <c r="B378" s="5"/>
      <c r="C378" s="5"/>
      <c r="D378" s="5"/>
      <c r="E378" s="5"/>
      <c r="F378" s="5"/>
      <c r="G378" s="5"/>
      <c r="H378" s="5"/>
      <c r="I378" s="5"/>
    </row>
    <row r="379" ht="15.75" customHeight="1">
      <c r="A379" s="5"/>
      <c r="B379" s="5"/>
      <c r="C379" s="5"/>
      <c r="D379" s="5"/>
      <c r="E379" s="5"/>
      <c r="F379" s="5"/>
      <c r="G379" s="5"/>
      <c r="H379" s="5"/>
      <c r="I379" s="5"/>
    </row>
    <row r="380" ht="15.75" customHeight="1">
      <c r="A380" s="5"/>
      <c r="B380" s="5"/>
      <c r="C380" s="5"/>
      <c r="D380" s="5"/>
      <c r="E380" s="5"/>
      <c r="F380" s="5"/>
      <c r="G380" s="5"/>
      <c r="H380" s="5"/>
      <c r="I380" s="5"/>
    </row>
    <row r="381" ht="15.75" customHeight="1">
      <c r="A381" s="5"/>
      <c r="B381" s="5"/>
      <c r="C381" s="5"/>
      <c r="D381" s="5"/>
      <c r="E381" s="5"/>
      <c r="F381" s="5"/>
      <c r="G381" s="5"/>
      <c r="H381" s="5"/>
      <c r="I381" s="5"/>
    </row>
    <row r="382" ht="15.75" customHeight="1">
      <c r="A382" s="5"/>
      <c r="B382" s="5"/>
      <c r="C382" s="5"/>
      <c r="D382" s="5"/>
      <c r="E382" s="5"/>
      <c r="F382" s="5"/>
      <c r="G382" s="5"/>
      <c r="H382" s="5"/>
      <c r="I382" s="5"/>
    </row>
    <row r="383" ht="15.75" customHeight="1">
      <c r="A383" s="5"/>
      <c r="B383" s="5"/>
      <c r="C383" s="5"/>
      <c r="D383" s="5"/>
      <c r="E383" s="5"/>
      <c r="F383" s="5"/>
      <c r="G383" s="5"/>
      <c r="H383" s="5"/>
      <c r="I383" s="5"/>
    </row>
    <row r="384" ht="15.75" customHeight="1">
      <c r="A384" s="5"/>
      <c r="B384" s="5"/>
      <c r="C384" s="5"/>
      <c r="D384" s="5"/>
      <c r="E384" s="5"/>
      <c r="F384" s="5"/>
      <c r="G384" s="5"/>
      <c r="H384" s="5"/>
      <c r="I384" s="5"/>
    </row>
    <row r="385" ht="15.75" customHeight="1">
      <c r="A385" s="5"/>
      <c r="B385" s="5"/>
      <c r="C385" s="5"/>
      <c r="D385" s="5"/>
      <c r="E385" s="5"/>
      <c r="F385" s="5"/>
      <c r="G385" s="5"/>
      <c r="H385" s="5"/>
      <c r="I385" s="5"/>
    </row>
    <row r="386" ht="15.75" customHeight="1">
      <c r="A386" s="5"/>
      <c r="B386" s="5"/>
      <c r="C386" s="5"/>
      <c r="D386" s="5"/>
      <c r="E386" s="5"/>
      <c r="F386" s="5"/>
      <c r="G386" s="5"/>
      <c r="H386" s="5"/>
      <c r="I386" s="5"/>
    </row>
    <row r="387" ht="15.75" customHeight="1">
      <c r="A387" s="5"/>
      <c r="B387" s="5"/>
      <c r="C387" s="5"/>
      <c r="D387" s="5"/>
      <c r="E387" s="5"/>
      <c r="F387" s="5"/>
      <c r="G387" s="5"/>
      <c r="H387" s="5"/>
      <c r="I387" s="5"/>
    </row>
    <row r="388" ht="15.75" customHeight="1">
      <c r="A388" s="5"/>
      <c r="B388" s="5"/>
      <c r="C388" s="5"/>
      <c r="D388" s="5"/>
      <c r="E388" s="5"/>
      <c r="F388" s="5"/>
      <c r="G388" s="5"/>
      <c r="H388" s="5"/>
      <c r="I388" s="5"/>
    </row>
    <row r="389" ht="15.75" customHeight="1">
      <c r="A389" s="5"/>
      <c r="B389" s="5"/>
      <c r="C389" s="5"/>
      <c r="D389" s="5"/>
      <c r="E389" s="5"/>
      <c r="F389" s="5"/>
      <c r="G389" s="5"/>
      <c r="H389" s="5"/>
      <c r="I389" s="5"/>
    </row>
    <row r="390" ht="15.75" customHeight="1">
      <c r="A390" s="5"/>
      <c r="B390" s="5"/>
      <c r="C390" s="5"/>
      <c r="D390" s="5"/>
      <c r="E390" s="5"/>
      <c r="F390" s="5"/>
      <c r="G390" s="5"/>
      <c r="H390" s="5"/>
      <c r="I390" s="5"/>
    </row>
    <row r="391" ht="15.75" customHeight="1">
      <c r="A391" s="5"/>
      <c r="B391" s="5"/>
      <c r="C391" s="5"/>
      <c r="D391" s="5"/>
      <c r="E391" s="5"/>
      <c r="F391" s="5"/>
      <c r="G391" s="5"/>
      <c r="H391" s="5"/>
      <c r="I391" s="5"/>
    </row>
    <row r="392" ht="15.75" customHeight="1">
      <c r="A392" s="5"/>
      <c r="B392" s="5"/>
      <c r="C392" s="5"/>
      <c r="D392" s="5"/>
      <c r="E392" s="5"/>
      <c r="F392" s="5"/>
      <c r="G392" s="5"/>
      <c r="H392" s="5"/>
      <c r="I392" s="5"/>
    </row>
    <row r="393" ht="15.75" customHeight="1">
      <c r="A393" s="5"/>
      <c r="B393" s="5"/>
      <c r="C393" s="5"/>
      <c r="D393" s="5"/>
      <c r="E393" s="5"/>
      <c r="F393" s="5"/>
      <c r="G393" s="5"/>
      <c r="H393" s="5"/>
      <c r="I393" s="5"/>
    </row>
    <row r="394" ht="15.75" customHeight="1">
      <c r="A394" s="5"/>
      <c r="B394" s="5"/>
      <c r="C394" s="5"/>
      <c r="D394" s="5"/>
      <c r="E394" s="5"/>
      <c r="F394" s="5"/>
      <c r="G394" s="5"/>
      <c r="H394" s="5"/>
      <c r="I394" s="5"/>
    </row>
    <row r="395" ht="15.75" customHeight="1">
      <c r="A395" s="5"/>
      <c r="B395" s="5"/>
      <c r="C395" s="5"/>
      <c r="D395" s="5"/>
      <c r="E395" s="5"/>
      <c r="F395" s="5"/>
      <c r="G395" s="5"/>
      <c r="H395" s="5"/>
      <c r="I395" s="5"/>
    </row>
    <row r="396" ht="15.75" customHeight="1">
      <c r="A396" s="5"/>
      <c r="B396" s="5"/>
      <c r="C396" s="5"/>
      <c r="D396" s="5"/>
      <c r="E396" s="5"/>
      <c r="F396" s="5"/>
      <c r="G396" s="5"/>
      <c r="H396" s="5"/>
      <c r="I396" s="5"/>
    </row>
    <row r="397" ht="15.75" customHeight="1">
      <c r="A397" s="5"/>
      <c r="B397" s="5"/>
      <c r="C397" s="5"/>
      <c r="D397" s="5"/>
      <c r="E397" s="5"/>
      <c r="F397" s="5"/>
      <c r="G397" s="5"/>
      <c r="H397" s="5"/>
      <c r="I397" s="5"/>
    </row>
    <row r="398" ht="15.75" customHeight="1">
      <c r="A398" s="5"/>
      <c r="B398" s="5"/>
      <c r="C398" s="5"/>
      <c r="D398" s="5"/>
      <c r="E398" s="5"/>
      <c r="F398" s="5"/>
      <c r="G398" s="5"/>
      <c r="H398" s="5"/>
      <c r="I398" s="5"/>
    </row>
    <row r="399" ht="15.75" customHeight="1">
      <c r="A399" s="5"/>
      <c r="B399" s="5"/>
      <c r="C399" s="5"/>
      <c r="D399" s="5"/>
      <c r="E399" s="5"/>
      <c r="F399" s="5"/>
      <c r="G399" s="5"/>
      <c r="H399" s="5"/>
      <c r="I399" s="5"/>
    </row>
    <row r="400" ht="15.75" customHeight="1">
      <c r="A400" s="5"/>
      <c r="B400" s="5"/>
      <c r="C400" s="5"/>
      <c r="D400" s="5"/>
      <c r="E400" s="5"/>
      <c r="F400" s="5"/>
      <c r="G400" s="5"/>
      <c r="H400" s="5"/>
      <c r="I400" s="5"/>
    </row>
    <row r="401" ht="15.75" customHeight="1">
      <c r="A401" s="5"/>
      <c r="B401" s="5"/>
      <c r="C401" s="5"/>
      <c r="D401" s="5"/>
      <c r="E401" s="5"/>
      <c r="F401" s="5"/>
      <c r="G401" s="5"/>
      <c r="H401" s="5"/>
      <c r="I401" s="5"/>
    </row>
    <row r="402" ht="15.75" customHeight="1">
      <c r="A402" s="5"/>
      <c r="B402" s="5"/>
      <c r="C402" s="5"/>
      <c r="D402" s="5"/>
      <c r="E402" s="5"/>
      <c r="F402" s="5"/>
      <c r="G402" s="5"/>
      <c r="H402" s="5"/>
      <c r="I402" s="5"/>
    </row>
    <row r="403" ht="15.75" customHeight="1">
      <c r="A403" s="5"/>
      <c r="B403" s="5"/>
      <c r="C403" s="5"/>
      <c r="D403" s="5"/>
      <c r="E403" s="5"/>
      <c r="F403" s="5"/>
      <c r="G403" s="5"/>
      <c r="H403" s="5"/>
      <c r="I403" s="5"/>
    </row>
    <row r="404" ht="15.75" customHeight="1">
      <c r="A404" s="5"/>
      <c r="B404" s="5"/>
      <c r="C404" s="5"/>
      <c r="D404" s="5"/>
      <c r="E404" s="5"/>
      <c r="F404" s="5"/>
      <c r="G404" s="5"/>
      <c r="H404" s="5"/>
      <c r="I404" s="5"/>
    </row>
    <row r="405" ht="15.75" customHeight="1">
      <c r="A405" s="5"/>
      <c r="B405" s="5"/>
      <c r="C405" s="5"/>
      <c r="D405" s="5"/>
      <c r="E405" s="5"/>
      <c r="F405" s="5"/>
      <c r="G405" s="5"/>
      <c r="H405" s="5"/>
      <c r="I405" s="5"/>
    </row>
    <row r="406" ht="15.75" customHeight="1">
      <c r="A406" s="5"/>
      <c r="B406" s="5"/>
      <c r="C406" s="5"/>
      <c r="D406" s="5"/>
      <c r="E406" s="5"/>
      <c r="F406" s="5"/>
      <c r="G406" s="5"/>
      <c r="H406" s="5"/>
      <c r="I406" s="5"/>
    </row>
    <row r="407" ht="15.75" customHeight="1">
      <c r="A407" s="5"/>
      <c r="B407" s="5"/>
      <c r="C407" s="5"/>
      <c r="D407" s="5"/>
      <c r="E407" s="5"/>
      <c r="F407" s="5"/>
      <c r="G407" s="5"/>
      <c r="H407" s="5"/>
      <c r="I407" s="5"/>
    </row>
    <row r="408" ht="15.75" customHeight="1">
      <c r="A408" s="5"/>
      <c r="B408" s="5"/>
      <c r="C408" s="5"/>
      <c r="D408" s="5"/>
      <c r="E408" s="5"/>
      <c r="F408" s="5"/>
      <c r="G408" s="5"/>
      <c r="H408" s="5"/>
      <c r="I408" s="5"/>
    </row>
    <row r="409" ht="15.75" customHeight="1">
      <c r="A409" s="5"/>
      <c r="B409" s="5"/>
      <c r="C409" s="5"/>
      <c r="D409" s="5"/>
      <c r="E409" s="5"/>
      <c r="F409" s="5"/>
      <c r="G409" s="5"/>
      <c r="H409" s="5"/>
      <c r="I409" s="5"/>
    </row>
    <row r="410" ht="15.75" customHeight="1">
      <c r="A410" s="5"/>
      <c r="B410" s="5"/>
      <c r="C410" s="5"/>
      <c r="D410" s="5"/>
      <c r="E410" s="5"/>
      <c r="F410" s="5"/>
      <c r="G410" s="5"/>
      <c r="H410" s="5"/>
      <c r="I410" s="5"/>
    </row>
    <row r="411" ht="15.75" customHeight="1">
      <c r="A411" s="5"/>
      <c r="B411" s="5"/>
      <c r="C411" s="5"/>
      <c r="D411" s="5"/>
      <c r="E411" s="5"/>
      <c r="F411" s="5"/>
      <c r="G411" s="5"/>
      <c r="H411" s="5"/>
      <c r="I411" s="5"/>
    </row>
    <row r="412" ht="15.75" customHeight="1">
      <c r="A412" s="5"/>
      <c r="B412" s="5"/>
      <c r="C412" s="5"/>
      <c r="D412" s="5"/>
      <c r="E412" s="5"/>
      <c r="F412" s="5"/>
      <c r="G412" s="5"/>
      <c r="H412" s="5"/>
      <c r="I412" s="5"/>
    </row>
    <row r="413" ht="15.75" customHeight="1">
      <c r="A413" s="5"/>
      <c r="B413" s="5"/>
      <c r="C413" s="5"/>
      <c r="D413" s="5"/>
      <c r="E413" s="5"/>
      <c r="F413" s="5"/>
      <c r="G413" s="5"/>
      <c r="H413" s="5"/>
      <c r="I413" s="5"/>
    </row>
    <row r="414" ht="15.75" customHeight="1">
      <c r="A414" s="5"/>
      <c r="B414" s="5"/>
      <c r="C414" s="5"/>
      <c r="D414" s="5"/>
      <c r="E414" s="5"/>
      <c r="F414" s="5"/>
      <c r="G414" s="5"/>
      <c r="H414" s="5"/>
      <c r="I414" s="5"/>
    </row>
    <row r="415" ht="15.75" customHeight="1">
      <c r="A415" s="5"/>
      <c r="B415" s="5"/>
      <c r="C415" s="5"/>
      <c r="D415" s="5"/>
      <c r="E415" s="5"/>
      <c r="F415" s="5"/>
      <c r="G415" s="5"/>
      <c r="H415" s="5"/>
      <c r="I415" s="5"/>
    </row>
    <row r="416" ht="15.75" customHeight="1">
      <c r="A416" s="5"/>
      <c r="B416" s="5"/>
      <c r="C416" s="5"/>
      <c r="D416" s="5"/>
      <c r="E416" s="5"/>
      <c r="F416" s="5"/>
      <c r="G416" s="5"/>
      <c r="H416" s="5"/>
      <c r="I416" s="5"/>
    </row>
    <row r="417" ht="15.75" customHeight="1">
      <c r="A417" s="5"/>
      <c r="B417" s="5"/>
      <c r="C417" s="5"/>
      <c r="D417" s="5"/>
      <c r="E417" s="5"/>
      <c r="F417" s="5"/>
      <c r="G417" s="5"/>
      <c r="H417" s="5"/>
      <c r="I417" s="5"/>
    </row>
    <row r="418" ht="15.75" customHeight="1">
      <c r="A418" s="5"/>
      <c r="B418" s="5"/>
      <c r="C418" s="5"/>
      <c r="D418" s="5"/>
      <c r="E418" s="5"/>
      <c r="F418" s="5"/>
      <c r="G418" s="5"/>
      <c r="H418" s="5"/>
      <c r="I418" s="5"/>
    </row>
    <row r="419" ht="15.75" customHeight="1">
      <c r="A419" s="5"/>
      <c r="B419" s="5"/>
      <c r="C419" s="5"/>
      <c r="D419" s="5"/>
      <c r="E419" s="5"/>
      <c r="F419" s="5"/>
      <c r="G419" s="5"/>
      <c r="H419" s="5"/>
      <c r="I419" s="5"/>
    </row>
    <row r="420" ht="15.75" customHeight="1">
      <c r="A420" s="5"/>
      <c r="B420" s="5"/>
      <c r="C420" s="5"/>
      <c r="D420" s="5"/>
      <c r="E420" s="5"/>
      <c r="F420" s="5"/>
      <c r="G420" s="5"/>
      <c r="H420" s="5"/>
      <c r="I420" s="5"/>
    </row>
    <row r="421" ht="15.75" customHeight="1">
      <c r="A421" s="5"/>
      <c r="B421" s="5"/>
      <c r="C421" s="5"/>
      <c r="D421" s="5"/>
      <c r="E421" s="5"/>
      <c r="F421" s="5"/>
      <c r="G421" s="5"/>
      <c r="H421" s="5"/>
      <c r="I421" s="5"/>
    </row>
    <row r="422" ht="15.75" customHeight="1">
      <c r="A422" s="5"/>
      <c r="B422" s="5"/>
      <c r="C422" s="5"/>
      <c r="D422" s="5"/>
      <c r="E422" s="5"/>
      <c r="F422" s="5"/>
      <c r="G422" s="5"/>
      <c r="H422" s="5"/>
      <c r="I422" s="5"/>
    </row>
    <row r="423" ht="15.75" customHeight="1">
      <c r="A423" s="5"/>
      <c r="B423" s="5"/>
      <c r="C423" s="5"/>
      <c r="D423" s="5"/>
      <c r="E423" s="5"/>
      <c r="F423" s="5"/>
      <c r="G423" s="5"/>
      <c r="H423" s="5"/>
      <c r="I423" s="5"/>
    </row>
    <row r="424" ht="15.75" customHeight="1">
      <c r="A424" s="5"/>
      <c r="B424" s="5"/>
      <c r="C424" s="5"/>
      <c r="D424" s="5"/>
      <c r="E424" s="5"/>
      <c r="F424" s="5"/>
      <c r="G424" s="5"/>
      <c r="H424" s="5"/>
      <c r="I424" s="5"/>
    </row>
    <row r="425" ht="15.75" customHeight="1">
      <c r="A425" s="5"/>
      <c r="B425" s="5"/>
      <c r="C425" s="5"/>
      <c r="D425" s="5"/>
      <c r="E425" s="5"/>
      <c r="F425" s="5"/>
      <c r="G425" s="5"/>
      <c r="H425" s="5"/>
      <c r="I425" s="5"/>
    </row>
    <row r="426" ht="15.75" customHeight="1">
      <c r="A426" s="5"/>
      <c r="B426" s="5"/>
      <c r="C426" s="5"/>
      <c r="D426" s="5"/>
      <c r="E426" s="5"/>
      <c r="F426" s="5"/>
      <c r="G426" s="5"/>
      <c r="H426" s="5"/>
      <c r="I426" s="5"/>
    </row>
    <row r="427" ht="15.75" customHeight="1">
      <c r="A427" s="5"/>
      <c r="B427" s="5"/>
      <c r="C427" s="5"/>
      <c r="D427" s="5"/>
      <c r="E427" s="5"/>
      <c r="F427" s="5"/>
      <c r="G427" s="5"/>
      <c r="H427" s="5"/>
      <c r="I427" s="5"/>
    </row>
    <row r="428" ht="15.75" customHeight="1">
      <c r="A428" s="5"/>
      <c r="B428" s="5"/>
      <c r="C428" s="5"/>
      <c r="D428" s="5"/>
      <c r="E428" s="5"/>
      <c r="F428" s="5"/>
      <c r="G428" s="5"/>
      <c r="H428" s="5"/>
      <c r="I428" s="5"/>
    </row>
    <row r="429" ht="15.75" customHeight="1">
      <c r="A429" s="5"/>
      <c r="B429" s="5"/>
      <c r="C429" s="5"/>
      <c r="D429" s="5"/>
      <c r="E429" s="5"/>
      <c r="F429" s="5"/>
      <c r="G429" s="5"/>
      <c r="H429" s="5"/>
      <c r="I429" s="5"/>
    </row>
    <row r="430" ht="15.75" customHeight="1">
      <c r="A430" s="5"/>
      <c r="B430" s="5"/>
      <c r="C430" s="5"/>
      <c r="D430" s="5"/>
      <c r="E430" s="5"/>
      <c r="F430" s="5"/>
      <c r="G430" s="5"/>
      <c r="H430" s="5"/>
      <c r="I430" s="5"/>
    </row>
    <row r="431" ht="15.75" customHeight="1">
      <c r="A431" s="5"/>
      <c r="B431" s="5"/>
      <c r="C431" s="5"/>
      <c r="D431" s="5"/>
      <c r="E431" s="5"/>
      <c r="F431" s="5"/>
      <c r="G431" s="5"/>
      <c r="H431" s="5"/>
      <c r="I431" s="5"/>
    </row>
    <row r="432" ht="15.75" customHeight="1">
      <c r="A432" s="5"/>
      <c r="B432" s="5"/>
      <c r="C432" s="5"/>
      <c r="D432" s="5"/>
      <c r="E432" s="5"/>
      <c r="F432" s="5"/>
      <c r="G432" s="5"/>
      <c r="H432" s="5"/>
      <c r="I432" s="5"/>
    </row>
    <row r="433" ht="15.75" customHeight="1">
      <c r="A433" s="5"/>
      <c r="B433" s="5"/>
      <c r="C433" s="5"/>
      <c r="D433" s="5"/>
      <c r="E433" s="5"/>
      <c r="F433" s="5"/>
      <c r="G433" s="5"/>
      <c r="H433" s="5"/>
      <c r="I433" s="5"/>
    </row>
    <row r="434" ht="15.75" customHeight="1">
      <c r="A434" s="5"/>
      <c r="B434" s="5"/>
      <c r="C434" s="5"/>
      <c r="D434" s="5"/>
      <c r="E434" s="5"/>
      <c r="F434" s="5"/>
      <c r="G434" s="5"/>
      <c r="H434" s="5"/>
      <c r="I434" s="5"/>
    </row>
    <row r="435" ht="15.75" customHeight="1">
      <c r="A435" s="5"/>
      <c r="B435" s="5"/>
      <c r="C435" s="5"/>
      <c r="D435" s="5"/>
      <c r="E435" s="5"/>
      <c r="F435" s="5"/>
      <c r="G435" s="5"/>
      <c r="H435" s="5"/>
      <c r="I435" s="5"/>
    </row>
    <row r="436" ht="15.75" customHeight="1">
      <c r="A436" s="5"/>
      <c r="B436" s="5"/>
      <c r="C436" s="5"/>
      <c r="D436" s="5"/>
      <c r="E436" s="5"/>
      <c r="F436" s="5"/>
      <c r="G436" s="5"/>
      <c r="H436" s="5"/>
      <c r="I436" s="5"/>
    </row>
    <row r="437" ht="15.75" customHeight="1">
      <c r="A437" s="5"/>
      <c r="B437" s="5"/>
      <c r="C437" s="5"/>
      <c r="D437" s="5"/>
      <c r="E437" s="5"/>
      <c r="F437" s="5"/>
      <c r="G437" s="5"/>
      <c r="H437" s="5"/>
      <c r="I437" s="5"/>
    </row>
    <row r="438" ht="15.75" customHeight="1">
      <c r="A438" s="5"/>
      <c r="B438" s="5"/>
      <c r="C438" s="5"/>
      <c r="D438" s="5"/>
      <c r="E438" s="5"/>
      <c r="F438" s="5"/>
      <c r="G438" s="5"/>
      <c r="H438" s="5"/>
      <c r="I438" s="5"/>
    </row>
    <row r="439" ht="15.75" customHeight="1">
      <c r="A439" s="5"/>
      <c r="B439" s="5"/>
      <c r="C439" s="5"/>
      <c r="D439" s="5"/>
      <c r="E439" s="5"/>
      <c r="F439" s="5"/>
      <c r="G439" s="5"/>
      <c r="H439" s="5"/>
      <c r="I439" s="5"/>
    </row>
    <row r="440" ht="15.75" customHeight="1">
      <c r="A440" s="5"/>
      <c r="B440" s="5"/>
      <c r="C440" s="5"/>
      <c r="D440" s="5"/>
      <c r="E440" s="5"/>
      <c r="F440" s="5"/>
      <c r="G440" s="5"/>
      <c r="H440" s="5"/>
      <c r="I440" s="5"/>
    </row>
    <row r="441" ht="15.75" customHeight="1">
      <c r="A441" s="5"/>
      <c r="B441" s="5"/>
      <c r="C441" s="5"/>
      <c r="D441" s="5"/>
      <c r="E441" s="5"/>
      <c r="F441" s="5"/>
      <c r="G441" s="5"/>
      <c r="H441" s="5"/>
      <c r="I441" s="5"/>
    </row>
    <row r="442" ht="15.75" customHeight="1">
      <c r="A442" s="5"/>
      <c r="B442" s="5"/>
      <c r="C442" s="5"/>
      <c r="D442" s="5"/>
      <c r="E442" s="5"/>
      <c r="F442" s="5"/>
      <c r="G442" s="5"/>
      <c r="H442" s="5"/>
      <c r="I442" s="5"/>
    </row>
    <row r="443" ht="15.75" customHeight="1">
      <c r="A443" s="5"/>
      <c r="B443" s="5"/>
      <c r="C443" s="5"/>
      <c r="D443" s="5"/>
      <c r="E443" s="5"/>
      <c r="F443" s="5"/>
      <c r="G443" s="5"/>
      <c r="H443" s="5"/>
      <c r="I443" s="5"/>
    </row>
    <row r="444" ht="15.75" customHeight="1">
      <c r="A444" s="5"/>
      <c r="B444" s="5"/>
      <c r="C444" s="5"/>
      <c r="D444" s="5"/>
      <c r="E444" s="5"/>
      <c r="F444" s="5"/>
      <c r="G444" s="5"/>
      <c r="H444" s="5"/>
      <c r="I444" s="5"/>
    </row>
    <row r="445" ht="15.75" customHeight="1">
      <c r="A445" s="5"/>
      <c r="B445" s="5"/>
      <c r="C445" s="5"/>
      <c r="D445" s="5"/>
      <c r="E445" s="5"/>
      <c r="F445" s="5"/>
      <c r="G445" s="5"/>
      <c r="H445" s="5"/>
      <c r="I445" s="5"/>
    </row>
    <row r="446" ht="15.75" customHeight="1">
      <c r="A446" s="5"/>
      <c r="B446" s="5"/>
      <c r="C446" s="5"/>
      <c r="D446" s="5"/>
      <c r="E446" s="5"/>
      <c r="F446" s="5"/>
      <c r="G446" s="5"/>
      <c r="H446" s="5"/>
      <c r="I446" s="5"/>
    </row>
    <row r="447" ht="15.75" customHeight="1">
      <c r="A447" s="5"/>
      <c r="B447" s="5"/>
      <c r="C447" s="5"/>
      <c r="D447" s="5"/>
      <c r="E447" s="5"/>
      <c r="F447" s="5"/>
      <c r="G447" s="5"/>
      <c r="H447" s="5"/>
      <c r="I447" s="5"/>
    </row>
    <row r="448" ht="15.75" customHeight="1">
      <c r="A448" s="5"/>
      <c r="B448" s="5"/>
      <c r="C448" s="5"/>
      <c r="D448" s="5"/>
      <c r="E448" s="5"/>
      <c r="F448" s="5"/>
      <c r="G448" s="5"/>
      <c r="H448" s="5"/>
      <c r="I448" s="5"/>
    </row>
    <row r="449" ht="15.75" customHeight="1">
      <c r="A449" s="5"/>
      <c r="B449" s="5"/>
      <c r="C449" s="5"/>
      <c r="D449" s="5"/>
      <c r="E449" s="5"/>
      <c r="F449" s="5"/>
      <c r="G449" s="5"/>
      <c r="H449" s="5"/>
      <c r="I449" s="5"/>
    </row>
    <row r="450" ht="15.75" customHeight="1">
      <c r="A450" s="5"/>
      <c r="B450" s="5"/>
      <c r="C450" s="5"/>
      <c r="D450" s="5"/>
      <c r="E450" s="5"/>
      <c r="F450" s="5"/>
      <c r="G450" s="5"/>
      <c r="H450" s="5"/>
      <c r="I450" s="5"/>
    </row>
    <row r="451" ht="15.75" customHeight="1">
      <c r="A451" s="5"/>
      <c r="B451" s="5"/>
      <c r="C451" s="5"/>
      <c r="D451" s="5"/>
      <c r="E451" s="5"/>
      <c r="F451" s="5"/>
      <c r="G451" s="5"/>
      <c r="H451" s="5"/>
      <c r="I451" s="5"/>
    </row>
    <row r="452" ht="15.75" customHeight="1">
      <c r="A452" s="5"/>
      <c r="B452" s="5"/>
      <c r="C452" s="5"/>
      <c r="D452" s="5"/>
      <c r="E452" s="5"/>
      <c r="F452" s="5"/>
      <c r="G452" s="5"/>
      <c r="H452" s="5"/>
      <c r="I452" s="5"/>
    </row>
    <row r="453" ht="15.75" customHeight="1">
      <c r="A453" s="5"/>
      <c r="B453" s="5"/>
      <c r="C453" s="5"/>
      <c r="D453" s="5"/>
      <c r="E453" s="5"/>
      <c r="F453" s="5"/>
      <c r="G453" s="5"/>
      <c r="H453" s="5"/>
      <c r="I453" s="5"/>
    </row>
    <row r="454" ht="15.75" customHeight="1">
      <c r="A454" s="5"/>
      <c r="B454" s="5"/>
      <c r="C454" s="5"/>
      <c r="D454" s="5"/>
      <c r="E454" s="5"/>
      <c r="F454" s="5"/>
      <c r="G454" s="5"/>
      <c r="H454" s="5"/>
      <c r="I454" s="5"/>
    </row>
    <row r="455" ht="15.75" customHeight="1">
      <c r="A455" s="5"/>
      <c r="B455" s="5"/>
      <c r="C455" s="5"/>
      <c r="D455" s="5"/>
      <c r="E455" s="5"/>
      <c r="F455" s="5"/>
      <c r="G455" s="5"/>
      <c r="H455" s="5"/>
      <c r="I455" s="5"/>
    </row>
    <row r="456" ht="15.75" customHeight="1">
      <c r="A456" s="5"/>
      <c r="B456" s="5"/>
      <c r="C456" s="5"/>
      <c r="D456" s="5"/>
      <c r="E456" s="5"/>
      <c r="F456" s="5"/>
      <c r="G456" s="5"/>
      <c r="H456" s="5"/>
      <c r="I456" s="5"/>
    </row>
    <row r="457" ht="15.75" customHeight="1">
      <c r="A457" s="5"/>
      <c r="B457" s="5"/>
      <c r="C457" s="5"/>
      <c r="D457" s="5"/>
      <c r="E457" s="5"/>
      <c r="F457" s="5"/>
      <c r="G457" s="5"/>
      <c r="H457" s="5"/>
      <c r="I457" s="5"/>
    </row>
    <row r="458" ht="15.75" customHeight="1">
      <c r="A458" s="5"/>
      <c r="B458" s="5"/>
      <c r="C458" s="5"/>
      <c r="D458" s="5"/>
      <c r="E458" s="5"/>
      <c r="F458" s="5"/>
      <c r="G458" s="5"/>
      <c r="H458" s="5"/>
      <c r="I458" s="5"/>
    </row>
    <row r="459" ht="15.75" customHeight="1">
      <c r="A459" s="5"/>
      <c r="B459" s="5"/>
      <c r="C459" s="5"/>
      <c r="D459" s="5"/>
      <c r="E459" s="5"/>
      <c r="F459" s="5"/>
      <c r="G459" s="5"/>
      <c r="H459" s="5"/>
      <c r="I459" s="5"/>
    </row>
    <row r="460" ht="15.75" customHeight="1">
      <c r="A460" s="5"/>
      <c r="B460" s="5"/>
      <c r="C460" s="5"/>
      <c r="D460" s="5"/>
      <c r="E460" s="5"/>
      <c r="F460" s="5"/>
      <c r="G460" s="5"/>
      <c r="H460" s="5"/>
      <c r="I460" s="5"/>
    </row>
    <row r="461" ht="15.75" customHeight="1">
      <c r="A461" s="5"/>
      <c r="B461" s="5"/>
      <c r="C461" s="5"/>
      <c r="D461" s="5"/>
      <c r="E461" s="5"/>
      <c r="F461" s="5"/>
      <c r="G461" s="5"/>
      <c r="H461" s="5"/>
      <c r="I461" s="5"/>
    </row>
    <row r="462" ht="15.75" customHeight="1">
      <c r="A462" s="5"/>
      <c r="B462" s="5"/>
      <c r="C462" s="5"/>
      <c r="D462" s="5"/>
      <c r="E462" s="5"/>
      <c r="F462" s="5"/>
      <c r="G462" s="5"/>
      <c r="H462" s="5"/>
      <c r="I462" s="5"/>
    </row>
    <row r="463" ht="15.75" customHeight="1">
      <c r="A463" s="5"/>
      <c r="B463" s="5"/>
      <c r="C463" s="5"/>
      <c r="D463" s="5"/>
      <c r="E463" s="5"/>
      <c r="F463" s="5"/>
      <c r="G463" s="5"/>
      <c r="H463" s="5"/>
      <c r="I463" s="5"/>
    </row>
    <row r="464" ht="15.75" customHeight="1">
      <c r="A464" s="5"/>
      <c r="B464" s="5"/>
      <c r="C464" s="5"/>
      <c r="D464" s="5"/>
      <c r="E464" s="5"/>
      <c r="F464" s="5"/>
      <c r="G464" s="5"/>
      <c r="H464" s="5"/>
      <c r="I464" s="5"/>
    </row>
    <row r="465" ht="15.75" customHeight="1">
      <c r="A465" s="5"/>
      <c r="B465" s="5"/>
      <c r="C465" s="5"/>
      <c r="D465" s="5"/>
      <c r="E465" s="5"/>
      <c r="F465" s="5"/>
      <c r="G465" s="5"/>
      <c r="H465" s="5"/>
      <c r="I465" s="5"/>
    </row>
    <row r="466" ht="15.75" customHeight="1">
      <c r="A466" s="5"/>
      <c r="B466" s="5"/>
      <c r="C466" s="5"/>
      <c r="D466" s="5"/>
      <c r="E466" s="5"/>
      <c r="F466" s="5"/>
      <c r="G466" s="5"/>
      <c r="H466" s="5"/>
      <c r="I466" s="5"/>
    </row>
    <row r="467" ht="15.75" customHeight="1">
      <c r="A467" s="5"/>
      <c r="B467" s="5"/>
      <c r="C467" s="5"/>
      <c r="D467" s="5"/>
      <c r="E467" s="5"/>
      <c r="F467" s="5"/>
      <c r="G467" s="5"/>
      <c r="H467" s="5"/>
      <c r="I467" s="5"/>
    </row>
    <row r="468" ht="15.75" customHeight="1">
      <c r="A468" s="5"/>
      <c r="B468" s="5"/>
      <c r="C468" s="5"/>
      <c r="D468" s="5"/>
      <c r="E468" s="5"/>
      <c r="F468" s="5"/>
      <c r="G468" s="5"/>
      <c r="H468" s="5"/>
      <c r="I468" s="5"/>
    </row>
    <row r="469" ht="15.75" customHeight="1">
      <c r="A469" s="5"/>
      <c r="B469" s="5"/>
      <c r="C469" s="5"/>
      <c r="D469" s="5"/>
      <c r="E469" s="5"/>
      <c r="F469" s="5"/>
      <c r="G469" s="5"/>
      <c r="H469" s="5"/>
      <c r="I469" s="5"/>
    </row>
    <row r="470" ht="15.75" customHeight="1">
      <c r="A470" s="5"/>
      <c r="B470" s="5"/>
      <c r="C470" s="5"/>
      <c r="D470" s="5"/>
      <c r="E470" s="5"/>
      <c r="F470" s="5"/>
      <c r="G470" s="5"/>
      <c r="H470" s="5"/>
      <c r="I470" s="5"/>
    </row>
    <row r="471" ht="15.75" customHeight="1">
      <c r="A471" s="5"/>
      <c r="B471" s="5"/>
      <c r="C471" s="5"/>
      <c r="D471" s="5"/>
      <c r="E471" s="5"/>
      <c r="F471" s="5"/>
      <c r="G471" s="5"/>
      <c r="H471" s="5"/>
      <c r="I471" s="5"/>
    </row>
    <row r="472" ht="15.75" customHeight="1">
      <c r="A472" s="5"/>
      <c r="B472" s="5"/>
      <c r="C472" s="5"/>
      <c r="D472" s="5"/>
      <c r="E472" s="5"/>
      <c r="F472" s="5"/>
      <c r="G472" s="5"/>
      <c r="H472" s="5"/>
      <c r="I472" s="5"/>
    </row>
    <row r="473" ht="15.75" customHeight="1">
      <c r="A473" s="5"/>
      <c r="B473" s="5"/>
      <c r="C473" s="5"/>
      <c r="D473" s="5"/>
      <c r="E473" s="5"/>
      <c r="F473" s="5"/>
      <c r="G473" s="5"/>
      <c r="H473" s="5"/>
      <c r="I473" s="5"/>
    </row>
    <row r="474" ht="15.75" customHeight="1">
      <c r="A474" s="5"/>
      <c r="B474" s="5"/>
      <c r="C474" s="5"/>
      <c r="D474" s="5"/>
      <c r="E474" s="5"/>
      <c r="F474" s="5"/>
      <c r="G474" s="5"/>
      <c r="H474" s="5"/>
      <c r="I474" s="5"/>
    </row>
    <row r="475" ht="15.75" customHeight="1">
      <c r="A475" s="5"/>
      <c r="B475" s="5"/>
      <c r="C475" s="5"/>
      <c r="D475" s="5"/>
      <c r="E475" s="5"/>
      <c r="F475" s="5"/>
      <c r="G475" s="5"/>
      <c r="H475" s="5"/>
      <c r="I475" s="5"/>
    </row>
    <row r="476" ht="15.75" customHeight="1">
      <c r="A476" s="5"/>
      <c r="B476" s="5"/>
      <c r="C476" s="5"/>
      <c r="D476" s="5"/>
      <c r="E476" s="5"/>
      <c r="F476" s="5"/>
      <c r="G476" s="5"/>
      <c r="H476" s="5"/>
      <c r="I476" s="5"/>
    </row>
    <row r="477" ht="15.75" customHeight="1">
      <c r="A477" s="5"/>
      <c r="B477" s="5"/>
      <c r="C477" s="5"/>
      <c r="D477" s="5"/>
      <c r="E477" s="5"/>
      <c r="F477" s="5"/>
      <c r="G477" s="5"/>
      <c r="H477" s="5"/>
      <c r="I477" s="5"/>
    </row>
    <row r="478" ht="15.75" customHeight="1">
      <c r="A478" s="5"/>
      <c r="B478" s="5"/>
      <c r="C478" s="5"/>
      <c r="D478" s="5"/>
      <c r="E478" s="5"/>
      <c r="F478" s="5"/>
      <c r="G478" s="5"/>
      <c r="H478" s="5"/>
      <c r="I478" s="5"/>
    </row>
    <row r="479" ht="15.75" customHeight="1">
      <c r="A479" s="5"/>
      <c r="B479" s="5"/>
      <c r="C479" s="5"/>
      <c r="D479" s="5"/>
      <c r="E479" s="5"/>
      <c r="F479" s="5"/>
      <c r="G479" s="5"/>
      <c r="H479" s="5"/>
      <c r="I479" s="5"/>
    </row>
    <row r="480" ht="15.75" customHeight="1">
      <c r="A480" s="5"/>
      <c r="B480" s="5"/>
      <c r="C480" s="5"/>
      <c r="D480" s="5"/>
      <c r="E480" s="5"/>
      <c r="F480" s="5"/>
      <c r="G480" s="5"/>
      <c r="H480" s="5"/>
      <c r="I480" s="5"/>
    </row>
    <row r="481" ht="15.75" customHeight="1">
      <c r="A481" s="5"/>
      <c r="B481" s="5"/>
      <c r="C481" s="5"/>
      <c r="D481" s="5"/>
      <c r="E481" s="5"/>
      <c r="F481" s="5"/>
      <c r="G481" s="5"/>
      <c r="H481" s="5"/>
      <c r="I481" s="5"/>
    </row>
    <row r="482" ht="15.75" customHeight="1">
      <c r="A482" s="5"/>
      <c r="B482" s="5"/>
      <c r="C482" s="5"/>
      <c r="D482" s="5"/>
      <c r="E482" s="5"/>
      <c r="F482" s="5"/>
      <c r="G482" s="5"/>
      <c r="H482" s="5"/>
      <c r="I482" s="5"/>
    </row>
    <row r="483" ht="15.75" customHeight="1">
      <c r="A483" s="5"/>
      <c r="B483" s="5"/>
      <c r="C483" s="5"/>
      <c r="D483" s="5"/>
      <c r="E483" s="5"/>
      <c r="F483" s="5"/>
      <c r="G483" s="5"/>
      <c r="H483" s="5"/>
      <c r="I483" s="5"/>
    </row>
    <row r="484" ht="15.75" customHeight="1">
      <c r="A484" s="5"/>
      <c r="B484" s="5"/>
      <c r="C484" s="5"/>
      <c r="D484" s="5"/>
      <c r="E484" s="5"/>
      <c r="F484" s="5"/>
      <c r="G484" s="5"/>
      <c r="H484" s="5"/>
      <c r="I484" s="5"/>
    </row>
    <row r="485" ht="15.75" customHeight="1">
      <c r="A485" s="5"/>
      <c r="B485" s="5"/>
      <c r="C485" s="5"/>
      <c r="D485" s="5"/>
      <c r="E485" s="5"/>
      <c r="F485" s="5"/>
      <c r="G485" s="5"/>
      <c r="H485" s="5"/>
      <c r="I485" s="5"/>
    </row>
    <row r="486" ht="15.75" customHeight="1">
      <c r="A486" s="5"/>
      <c r="B486" s="5"/>
      <c r="C486" s="5"/>
      <c r="D486" s="5"/>
      <c r="E486" s="5"/>
      <c r="F486" s="5"/>
      <c r="G486" s="5"/>
      <c r="H486" s="5"/>
      <c r="I486" s="5"/>
    </row>
    <row r="487" ht="15.75" customHeight="1">
      <c r="A487" s="5"/>
      <c r="B487" s="5"/>
      <c r="C487" s="5"/>
      <c r="D487" s="5"/>
      <c r="E487" s="5"/>
      <c r="F487" s="5"/>
      <c r="G487" s="5"/>
      <c r="H487" s="5"/>
      <c r="I487" s="5"/>
    </row>
    <row r="488" ht="15.75" customHeight="1">
      <c r="A488" s="5"/>
      <c r="B488" s="5"/>
      <c r="C488" s="5"/>
      <c r="D488" s="5"/>
      <c r="E488" s="5"/>
      <c r="F488" s="5"/>
      <c r="G488" s="5"/>
      <c r="H488" s="5"/>
      <c r="I488" s="5"/>
    </row>
    <row r="489" ht="15.75" customHeight="1">
      <c r="A489" s="5"/>
      <c r="B489" s="5"/>
      <c r="C489" s="5"/>
      <c r="D489" s="5"/>
      <c r="E489" s="5"/>
      <c r="F489" s="5"/>
      <c r="G489" s="5"/>
      <c r="H489" s="5"/>
      <c r="I489" s="5"/>
    </row>
    <row r="490" ht="15.75" customHeight="1">
      <c r="A490" s="5"/>
      <c r="B490" s="5"/>
      <c r="C490" s="5"/>
      <c r="D490" s="5"/>
      <c r="E490" s="5"/>
      <c r="F490" s="5"/>
      <c r="G490" s="5"/>
      <c r="H490" s="5"/>
      <c r="I490" s="5"/>
    </row>
    <row r="491" ht="15.75" customHeight="1">
      <c r="A491" s="5"/>
      <c r="B491" s="5"/>
      <c r="C491" s="5"/>
      <c r="D491" s="5"/>
      <c r="E491" s="5"/>
      <c r="F491" s="5"/>
      <c r="G491" s="5"/>
      <c r="H491" s="5"/>
      <c r="I491" s="5"/>
    </row>
    <row r="492" ht="15.75" customHeight="1">
      <c r="A492" s="5"/>
      <c r="B492" s="5"/>
      <c r="C492" s="5"/>
      <c r="D492" s="5"/>
      <c r="E492" s="5"/>
      <c r="F492" s="5"/>
      <c r="G492" s="5"/>
      <c r="H492" s="5"/>
      <c r="I492" s="5"/>
    </row>
    <row r="493" ht="15.75" customHeight="1">
      <c r="A493" s="5"/>
      <c r="B493" s="5"/>
      <c r="C493" s="5"/>
      <c r="D493" s="5"/>
      <c r="E493" s="5"/>
      <c r="F493" s="5"/>
      <c r="G493" s="5"/>
      <c r="H493" s="5"/>
      <c r="I493" s="5"/>
    </row>
    <row r="494" ht="15.75" customHeight="1">
      <c r="A494" s="5"/>
      <c r="B494" s="5"/>
      <c r="C494" s="5"/>
      <c r="D494" s="5"/>
      <c r="E494" s="5"/>
      <c r="F494" s="5"/>
      <c r="G494" s="5"/>
      <c r="H494" s="5"/>
      <c r="I494" s="5"/>
    </row>
    <row r="495" ht="15.75" customHeight="1">
      <c r="A495" s="5"/>
      <c r="B495" s="5"/>
      <c r="C495" s="5"/>
      <c r="D495" s="5"/>
      <c r="E495" s="5"/>
      <c r="F495" s="5"/>
      <c r="G495" s="5"/>
      <c r="H495" s="5"/>
      <c r="I495" s="5"/>
    </row>
    <row r="496" ht="15.75" customHeight="1">
      <c r="A496" s="5"/>
      <c r="B496" s="5"/>
      <c r="C496" s="5"/>
      <c r="D496" s="5"/>
      <c r="E496" s="5"/>
      <c r="F496" s="5"/>
      <c r="G496" s="5"/>
      <c r="H496" s="5"/>
      <c r="I496" s="5"/>
    </row>
    <row r="497" ht="15.75" customHeight="1">
      <c r="A497" s="5"/>
      <c r="B497" s="5"/>
      <c r="C497" s="5"/>
      <c r="D497" s="5"/>
      <c r="E497" s="5"/>
      <c r="F497" s="5"/>
      <c r="G497" s="5"/>
      <c r="H497" s="5"/>
      <c r="I497" s="5"/>
    </row>
    <row r="498" ht="15.75" customHeight="1">
      <c r="A498" s="5"/>
      <c r="B498" s="5"/>
      <c r="C498" s="5"/>
      <c r="D498" s="5"/>
      <c r="E498" s="5"/>
      <c r="F498" s="5"/>
      <c r="G498" s="5"/>
      <c r="H498" s="5"/>
      <c r="I498" s="5"/>
    </row>
    <row r="499" ht="15.75" customHeight="1">
      <c r="A499" s="5"/>
      <c r="B499" s="5"/>
      <c r="C499" s="5"/>
      <c r="D499" s="5"/>
      <c r="E499" s="5"/>
      <c r="F499" s="5"/>
      <c r="G499" s="5"/>
      <c r="H499" s="5"/>
      <c r="I499" s="5"/>
    </row>
    <row r="500" ht="15.75" customHeight="1">
      <c r="A500" s="5"/>
      <c r="B500" s="5"/>
      <c r="C500" s="5"/>
      <c r="D500" s="5"/>
      <c r="E500" s="5"/>
      <c r="F500" s="5"/>
      <c r="G500" s="5"/>
      <c r="H500" s="5"/>
      <c r="I500" s="5"/>
    </row>
    <row r="501" ht="15.75" customHeight="1">
      <c r="A501" s="5"/>
      <c r="B501" s="5"/>
      <c r="C501" s="5"/>
      <c r="D501" s="5"/>
      <c r="E501" s="5"/>
      <c r="F501" s="5"/>
      <c r="G501" s="5"/>
      <c r="H501" s="5"/>
      <c r="I501" s="5"/>
    </row>
    <row r="502" ht="15.75" customHeight="1">
      <c r="A502" s="5"/>
      <c r="B502" s="5"/>
      <c r="C502" s="5"/>
      <c r="D502" s="5"/>
      <c r="E502" s="5"/>
      <c r="F502" s="5"/>
      <c r="G502" s="5"/>
      <c r="H502" s="5"/>
      <c r="I502" s="5"/>
    </row>
    <row r="503" ht="15.75" customHeight="1">
      <c r="A503" s="5"/>
      <c r="B503" s="5"/>
      <c r="C503" s="5"/>
      <c r="D503" s="5"/>
      <c r="E503" s="5"/>
      <c r="F503" s="5"/>
      <c r="G503" s="5"/>
      <c r="H503" s="5"/>
      <c r="I503" s="5"/>
    </row>
    <row r="504" ht="15.75" customHeight="1">
      <c r="A504" s="5"/>
      <c r="B504" s="5"/>
      <c r="C504" s="5"/>
      <c r="D504" s="5"/>
      <c r="E504" s="5"/>
      <c r="F504" s="5"/>
      <c r="G504" s="5"/>
      <c r="H504" s="5"/>
      <c r="I504" s="5"/>
    </row>
    <row r="505" ht="15.75" customHeight="1">
      <c r="A505" s="5"/>
      <c r="B505" s="5"/>
      <c r="C505" s="5"/>
      <c r="D505" s="5"/>
      <c r="E505" s="5"/>
      <c r="F505" s="5"/>
      <c r="G505" s="5"/>
      <c r="H505" s="5"/>
      <c r="I505" s="5"/>
    </row>
    <row r="506" ht="15.75" customHeight="1">
      <c r="A506" s="5"/>
      <c r="B506" s="5"/>
      <c r="C506" s="5"/>
      <c r="D506" s="5"/>
      <c r="E506" s="5"/>
      <c r="F506" s="5"/>
      <c r="G506" s="5"/>
      <c r="H506" s="5"/>
      <c r="I506" s="5"/>
    </row>
    <row r="507" ht="15.75" customHeight="1">
      <c r="A507" s="5"/>
      <c r="B507" s="5"/>
      <c r="C507" s="5"/>
      <c r="D507" s="5"/>
      <c r="E507" s="5"/>
      <c r="F507" s="5"/>
      <c r="G507" s="5"/>
      <c r="H507" s="5"/>
      <c r="I507" s="5"/>
    </row>
    <row r="508" ht="15.75" customHeight="1">
      <c r="A508" s="5"/>
      <c r="B508" s="5"/>
      <c r="C508" s="5"/>
      <c r="D508" s="5"/>
      <c r="E508" s="5"/>
      <c r="F508" s="5"/>
      <c r="G508" s="5"/>
      <c r="H508" s="5"/>
      <c r="I508" s="5"/>
    </row>
    <row r="509" ht="15.75" customHeight="1">
      <c r="A509" s="5"/>
      <c r="B509" s="5"/>
      <c r="C509" s="5"/>
      <c r="D509" s="5"/>
      <c r="E509" s="5"/>
      <c r="F509" s="5"/>
      <c r="G509" s="5"/>
      <c r="H509" s="5"/>
      <c r="I509" s="5"/>
    </row>
    <row r="510" ht="15.75" customHeight="1">
      <c r="A510" s="5"/>
      <c r="B510" s="5"/>
      <c r="C510" s="5"/>
      <c r="D510" s="5"/>
      <c r="E510" s="5"/>
      <c r="F510" s="5"/>
      <c r="G510" s="5"/>
      <c r="H510" s="5"/>
      <c r="I510" s="5"/>
    </row>
    <row r="511" ht="15.75" customHeight="1">
      <c r="A511" s="5"/>
      <c r="B511" s="5"/>
      <c r="C511" s="5"/>
      <c r="D511" s="5"/>
      <c r="E511" s="5"/>
      <c r="F511" s="5"/>
      <c r="G511" s="5"/>
      <c r="H511" s="5"/>
      <c r="I511" s="5"/>
    </row>
    <row r="512" ht="15.75" customHeight="1">
      <c r="A512" s="5"/>
      <c r="B512" s="5"/>
      <c r="C512" s="5"/>
      <c r="D512" s="5"/>
      <c r="E512" s="5"/>
      <c r="F512" s="5"/>
      <c r="G512" s="5"/>
      <c r="H512" s="5"/>
      <c r="I512" s="5"/>
    </row>
    <row r="513" ht="15.75" customHeight="1">
      <c r="A513" s="5"/>
      <c r="B513" s="5"/>
      <c r="C513" s="5"/>
      <c r="D513" s="5"/>
      <c r="E513" s="5"/>
      <c r="F513" s="5"/>
      <c r="G513" s="5"/>
      <c r="H513" s="5"/>
      <c r="I513" s="5"/>
    </row>
    <row r="514" ht="15.75" customHeight="1">
      <c r="A514" s="5"/>
      <c r="B514" s="5"/>
      <c r="C514" s="5"/>
      <c r="D514" s="5"/>
      <c r="E514" s="5"/>
      <c r="F514" s="5"/>
      <c r="G514" s="5"/>
      <c r="H514" s="5"/>
      <c r="I514" s="5"/>
    </row>
    <row r="515" ht="15.75" customHeight="1">
      <c r="A515" s="5"/>
      <c r="B515" s="5"/>
      <c r="C515" s="5"/>
      <c r="D515" s="5"/>
      <c r="E515" s="5"/>
      <c r="F515" s="5"/>
      <c r="G515" s="5"/>
      <c r="H515" s="5"/>
      <c r="I515" s="5"/>
    </row>
    <row r="516" ht="15.75" customHeight="1">
      <c r="A516" s="5"/>
      <c r="B516" s="5"/>
      <c r="C516" s="5"/>
      <c r="D516" s="5"/>
      <c r="E516" s="5"/>
      <c r="F516" s="5"/>
      <c r="G516" s="5"/>
      <c r="H516" s="5"/>
      <c r="I516" s="5"/>
    </row>
    <row r="517" ht="15.75" customHeight="1">
      <c r="A517" s="5"/>
      <c r="B517" s="5"/>
      <c r="C517" s="5"/>
      <c r="D517" s="5"/>
      <c r="E517" s="5"/>
      <c r="F517" s="5"/>
      <c r="G517" s="5"/>
      <c r="H517" s="5"/>
      <c r="I517" s="5"/>
    </row>
    <row r="518" ht="15.75" customHeight="1">
      <c r="A518" s="5"/>
      <c r="B518" s="5"/>
      <c r="C518" s="5"/>
      <c r="D518" s="5"/>
      <c r="E518" s="5"/>
      <c r="F518" s="5"/>
      <c r="G518" s="5"/>
      <c r="H518" s="5"/>
      <c r="I518" s="5"/>
    </row>
    <row r="519" ht="15.75" customHeight="1">
      <c r="A519" s="5"/>
      <c r="B519" s="5"/>
      <c r="C519" s="5"/>
      <c r="D519" s="5"/>
      <c r="E519" s="5"/>
      <c r="F519" s="5"/>
      <c r="G519" s="5"/>
      <c r="H519" s="5"/>
      <c r="I519" s="5"/>
    </row>
    <row r="520" ht="15.75" customHeight="1">
      <c r="A520" s="5"/>
      <c r="B520" s="5"/>
      <c r="C520" s="5"/>
      <c r="D520" s="5"/>
      <c r="E520" s="5"/>
      <c r="F520" s="5"/>
      <c r="G520" s="5"/>
      <c r="H520" s="5"/>
      <c r="I520" s="5"/>
    </row>
    <row r="521" ht="15.75" customHeight="1">
      <c r="A521" s="5"/>
      <c r="B521" s="5"/>
      <c r="C521" s="5"/>
      <c r="D521" s="5"/>
      <c r="E521" s="5"/>
      <c r="F521" s="5"/>
      <c r="G521" s="5"/>
      <c r="H521" s="5"/>
      <c r="I521" s="5"/>
    </row>
    <row r="522" ht="15.75" customHeight="1">
      <c r="A522" s="5"/>
      <c r="B522" s="5"/>
      <c r="C522" s="5"/>
      <c r="D522" s="5"/>
      <c r="E522" s="5"/>
      <c r="F522" s="5"/>
      <c r="G522" s="5"/>
      <c r="H522" s="5"/>
      <c r="I522" s="5"/>
    </row>
    <row r="523" ht="15.75" customHeight="1">
      <c r="A523" s="5"/>
      <c r="B523" s="5"/>
      <c r="C523" s="5"/>
      <c r="D523" s="5"/>
      <c r="E523" s="5"/>
      <c r="F523" s="5"/>
      <c r="G523" s="5"/>
      <c r="H523" s="5"/>
      <c r="I523" s="5"/>
    </row>
    <row r="524" ht="15.75" customHeight="1">
      <c r="A524" s="5"/>
      <c r="B524" s="5"/>
      <c r="C524" s="5"/>
      <c r="D524" s="5"/>
      <c r="E524" s="5"/>
      <c r="F524" s="5"/>
      <c r="G524" s="5"/>
      <c r="H524" s="5"/>
      <c r="I524" s="5"/>
    </row>
    <row r="525" ht="15.75" customHeight="1">
      <c r="A525" s="5"/>
      <c r="B525" s="5"/>
      <c r="C525" s="5"/>
      <c r="D525" s="5"/>
      <c r="E525" s="5"/>
      <c r="F525" s="5"/>
      <c r="G525" s="5"/>
      <c r="H525" s="5"/>
      <c r="I525" s="5"/>
    </row>
    <row r="526" ht="15.75" customHeight="1">
      <c r="A526" s="5"/>
      <c r="B526" s="5"/>
      <c r="C526" s="5"/>
      <c r="D526" s="5"/>
      <c r="E526" s="5"/>
      <c r="F526" s="5"/>
      <c r="G526" s="5"/>
      <c r="H526" s="5"/>
      <c r="I526" s="5"/>
    </row>
    <row r="527" ht="15.75" customHeight="1">
      <c r="A527" s="5"/>
      <c r="B527" s="5"/>
      <c r="C527" s="5"/>
      <c r="D527" s="5"/>
      <c r="E527" s="5"/>
      <c r="F527" s="5"/>
      <c r="G527" s="5"/>
      <c r="H527" s="5"/>
      <c r="I527" s="5"/>
    </row>
    <row r="528" ht="15.75" customHeight="1">
      <c r="A528" s="5"/>
      <c r="B528" s="5"/>
      <c r="C528" s="5"/>
      <c r="D528" s="5"/>
      <c r="E528" s="5"/>
      <c r="F528" s="5"/>
      <c r="G528" s="5"/>
      <c r="H528" s="5"/>
      <c r="I528" s="5"/>
    </row>
    <row r="529" ht="15.75" customHeight="1">
      <c r="A529" s="5"/>
      <c r="B529" s="5"/>
      <c r="C529" s="5"/>
      <c r="D529" s="5"/>
      <c r="E529" s="5"/>
      <c r="F529" s="5"/>
      <c r="G529" s="5"/>
      <c r="H529" s="5"/>
      <c r="I529" s="5"/>
    </row>
    <row r="530" ht="15.75" customHeight="1">
      <c r="A530" s="5"/>
      <c r="B530" s="5"/>
      <c r="C530" s="5"/>
      <c r="D530" s="5"/>
      <c r="E530" s="5"/>
      <c r="F530" s="5"/>
      <c r="G530" s="5"/>
      <c r="H530" s="5"/>
      <c r="I530" s="5"/>
    </row>
    <row r="531" ht="15.75" customHeight="1">
      <c r="A531" s="5"/>
      <c r="B531" s="5"/>
      <c r="C531" s="5"/>
      <c r="D531" s="5"/>
      <c r="E531" s="5"/>
      <c r="F531" s="5"/>
      <c r="G531" s="5"/>
      <c r="H531" s="5"/>
      <c r="I531" s="5"/>
    </row>
    <row r="532" ht="15.75" customHeight="1">
      <c r="A532" s="5"/>
      <c r="B532" s="5"/>
      <c r="C532" s="5"/>
      <c r="D532" s="5"/>
      <c r="E532" s="5"/>
      <c r="F532" s="5"/>
      <c r="G532" s="5"/>
      <c r="H532" s="5"/>
      <c r="I532" s="5"/>
    </row>
    <row r="533" ht="15.75" customHeight="1">
      <c r="A533" s="5"/>
      <c r="B533" s="5"/>
      <c r="C533" s="5"/>
      <c r="D533" s="5"/>
      <c r="E533" s="5"/>
      <c r="F533" s="5"/>
      <c r="G533" s="5"/>
      <c r="H533" s="5"/>
      <c r="I533" s="5"/>
    </row>
    <row r="534" ht="15.75" customHeight="1">
      <c r="A534" s="5"/>
      <c r="B534" s="5"/>
      <c r="C534" s="5"/>
      <c r="D534" s="5"/>
      <c r="E534" s="5"/>
      <c r="F534" s="5"/>
      <c r="G534" s="5"/>
      <c r="H534" s="5"/>
      <c r="I534" s="5"/>
    </row>
    <row r="535" ht="15.75" customHeight="1">
      <c r="A535" s="5"/>
      <c r="B535" s="5"/>
      <c r="C535" s="5"/>
      <c r="D535" s="5"/>
      <c r="E535" s="5"/>
      <c r="F535" s="5"/>
      <c r="G535" s="5"/>
      <c r="H535" s="5"/>
      <c r="I535" s="5"/>
    </row>
    <row r="536" ht="15.75" customHeight="1">
      <c r="A536" s="5"/>
      <c r="B536" s="5"/>
      <c r="C536" s="5"/>
      <c r="D536" s="5"/>
      <c r="E536" s="5"/>
      <c r="F536" s="5"/>
      <c r="G536" s="5"/>
      <c r="H536" s="5"/>
      <c r="I536" s="5"/>
    </row>
    <row r="537" ht="15.75" customHeight="1">
      <c r="A537" s="5"/>
      <c r="B537" s="5"/>
      <c r="C537" s="5"/>
      <c r="D537" s="5"/>
      <c r="E537" s="5"/>
      <c r="F537" s="5"/>
      <c r="G537" s="5"/>
      <c r="H537" s="5"/>
      <c r="I537" s="5"/>
    </row>
    <row r="538" ht="15.75" customHeight="1">
      <c r="A538" s="5"/>
      <c r="B538" s="5"/>
      <c r="C538" s="5"/>
      <c r="D538" s="5"/>
      <c r="E538" s="5"/>
      <c r="F538" s="5"/>
      <c r="G538" s="5"/>
      <c r="H538" s="5"/>
      <c r="I538" s="5"/>
    </row>
    <row r="539" ht="15.75" customHeight="1">
      <c r="A539" s="5"/>
      <c r="B539" s="5"/>
      <c r="C539" s="5"/>
      <c r="D539" s="5"/>
      <c r="E539" s="5"/>
      <c r="F539" s="5"/>
      <c r="G539" s="5"/>
      <c r="H539" s="5"/>
      <c r="I539" s="5"/>
    </row>
    <row r="540" ht="15.75" customHeight="1">
      <c r="A540" s="5"/>
      <c r="B540" s="5"/>
      <c r="C540" s="5"/>
      <c r="D540" s="5"/>
      <c r="E540" s="5"/>
      <c r="F540" s="5"/>
      <c r="G540" s="5"/>
      <c r="H540" s="5"/>
      <c r="I540" s="5"/>
    </row>
    <row r="541" ht="15.75" customHeight="1">
      <c r="A541" s="5"/>
      <c r="B541" s="5"/>
      <c r="C541" s="5"/>
      <c r="D541" s="5"/>
      <c r="E541" s="5"/>
      <c r="F541" s="5"/>
      <c r="G541" s="5"/>
      <c r="H541" s="5"/>
      <c r="I541" s="5"/>
    </row>
    <row r="542" ht="15.75" customHeight="1">
      <c r="A542" s="5"/>
      <c r="B542" s="5"/>
      <c r="C542" s="5"/>
      <c r="D542" s="5"/>
      <c r="E542" s="5"/>
      <c r="F542" s="5"/>
      <c r="G542" s="5"/>
      <c r="H542" s="5"/>
      <c r="I542" s="5"/>
    </row>
    <row r="543" ht="15.75" customHeight="1">
      <c r="A543" s="5"/>
      <c r="B543" s="5"/>
      <c r="C543" s="5"/>
      <c r="D543" s="5"/>
      <c r="E543" s="5"/>
      <c r="F543" s="5"/>
      <c r="G543" s="5"/>
      <c r="H543" s="5"/>
      <c r="I543" s="5"/>
    </row>
    <row r="544" ht="15.75" customHeight="1">
      <c r="A544" s="5"/>
      <c r="B544" s="5"/>
      <c r="C544" s="5"/>
      <c r="D544" s="5"/>
      <c r="E544" s="5"/>
      <c r="F544" s="5"/>
      <c r="G544" s="5"/>
      <c r="H544" s="5"/>
      <c r="I544" s="5"/>
    </row>
    <row r="545" ht="15.75" customHeight="1">
      <c r="A545" s="5"/>
      <c r="B545" s="5"/>
      <c r="C545" s="5"/>
      <c r="D545" s="5"/>
      <c r="E545" s="5"/>
      <c r="F545" s="5"/>
      <c r="G545" s="5"/>
      <c r="H545" s="5"/>
      <c r="I545" s="5"/>
    </row>
    <row r="546" ht="15.75" customHeight="1">
      <c r="A546" s="5"/>
      <c r="B546" s="5"/>
      <c r="C546" s="5"/>
      <c r="D546" s="5"/>
      <c r="E546" s="5"/>
      <c r="F546" s="5"/>
      <c r="G546" s="5"/>
      <c r="H546" s="5"/>
      <c r="I546" s="5"/>
    </row>
    <row r="547" ht="15.75" customHeight="1">
      <c r="A547" s="5"/>
      <c r="B547" s="5"/>
      <c r="C547" s="5"/>
      <c r="D547" s="5"/>
      <c r="E547" s="5"/>
      <c r="F547" s="5"/>
      <c r="G547" s="5"/>
      <c r="H547" s="5"/>
      <c r="I547" s="5"/>
    </row>
    <row r="548" ht="15.75" customHeight="1">
      <c r="A548" s="5"/>
      <c r="B548" s="5"/>
      <c r="C548" s="5"/>
      <c r="D548" s="5"/>
      <c r="E548" s="5"/>
      <c r="F548" s="5"/>
      <c r="G548" s="5"/>
      <c r="H548" s="5"/>
      <c r="I548" s="5"/>
    </row>
    <row r="549" ht="15.75" customHeight="1">
      <c r="A549" s="5"/>
      <c r="B549" s="5"/>
      <c r="C549" s="5"/>
      <c r="D549" s="5"/>
      <c r="E549" s="5"/>
      <c r="F549" s="5"/>
      <c r="G549" s="5"/>
      <c r="H549" s="5"/>
      <c r="I549" s="5"/>
    </row>
    <row r="550" ht="15.75" customHeight="1">
      <c r="A550" s="5"/>
      <c r="B550" s="5"/>
      <c r="C550" s="5"/>
      <c r="D550" s="5"/>
      <c r="E550" s="5"/>
      <c r="F550" s="5"/>
      <c r="G550" s="5"/>
      <c r="H550" s="5"/>
      <c r="I550" s="5"/>
    </row>
    <row r="551" ht="15.75" customHeight="1">
      <c r="A551" s="5"/>
      <c r="B551" s="5"/>
      <c r="C551" s="5"/>
      <c r="D551" s="5"/>
      <c r="E551" s="5"/>
      <c r="F551" s="5"/>
      <c r="G551" s="5"/>
      <c r="H551" s="5"/>
      <c r="I551" s="5"/>
    </row>
    <row r="552" ht="15.75" customHeight="1">
      <c r="A552" s="5"/>
      <c r="B552" s="5"/>
      <c r="C552" s="5"/>
      <c r="D552" s="5"/>
      <c r="E552" s="5"/>
      <c r="F552" s="5"/>
      <c r="G552" s="5"/>
      <c r="H552" s="5"/>
      <c r="I552" s="5"/>
    </row>
    <row r="553" ht="15.75" customHeight="1">
      <c r="A553" s="5"/>
      <c r="B553" s="5"/>
      <c r="C553" s="5"/>
      <c r="D553" s="5"/>
      <c r="E553" s="5"/>
      <c r="F553" s="5"/>
      <c r="G553" s="5"/>
      <c r="H553" s="5"/>
      <c r="I553" s="5"/>
    </row>
    <row r="554" ht="15.75" customHeight="1">
      <c r="A554" s="5"/>
      <c r="B554" s="5"/>
      <c r="C554" s="5"/>
      <c r="D554" s="5"/>
      <c r="E554" s="5"/>
      <c r="F554" s="5"/>
      <c r="G554" s="5"/>
      <c r="H554" s="5"/>
      <c r="I554" s="5"/>
    </row>
    <row r="555" ht="15.75" customHeight="1">
      <c r="A555" s="5"/>
      <c r="B555" s="5"/>
      <c r="C555" s="5"/>
      <c r="D555" s="5"/>
      <c r="E555" s="5"/>
      <c r="F555" s="5"/>
      <c r="G555" s="5"/>
      <c r="H555" s="5"/>
      <c r="I555" s="5"/>
    </row>
    <row r="556" ht="15.75" customHeight="1">
      <c r="A556" s="5"/>
      <c r="B556" s="5"/>
      <c r="C556" s="5"/>
      <c r="D556" s="5"/>
      <c r="E556" s="5"/>
      <c r="F556" s="5"/>
      <c r="G556" s="5"/>
      <c r="H556" s="5"/>
      <c r="I556" s="5"/>
    </row>
    <row r="557" ht="15.75" customHeight="1">
      <c r="A557" s="5"/>
      <c r="B557" s="5"/>
      <c r="C557" s="5"/>
      <c r="D557" s="5"/>
      <c r="E557" s="5"/>
      <c r="F557" s="5"/>
      <c r="G557" s="5"/>
      <c r="H557" s="5"/>
      <c r="I557" s="5"/>
    </row>
    <row r="558" ht="15.75" customHeight="1">
      <c r="A558" s="5"/>
      <c r="B558" s="5"/>
      <c r="C558" s="5"/>
      <c r="D558" s="5"/>
      <c r="E558" s="5"/>
      <c r="F558" s="5"/>
      <c r="G558" s="5"/>
      <c r="H558" s="5"/>
      <c r="I558" s="5"/>
    </row>
    <row r="559" ht="15.75" customHeight="1">
      <c r="A559" s="5"/>
      <c r="B559" s="5"/>
      <c r="C559" s="5"/>
      <c r="D559" s="5"/>
      <c r="E559" s="5"/>
      <c r="F559" s="5"/>
      <c r="G559" s="5"/>
      <c r="H559" s="5"/>
      <c r="I559" s="5"/>
    </row>
    <row r="560" ht="15.75" customHeight="1">
      <c r="A560" s="5"/>
      <c r="B560" s="5"/>
      <c r="C560" s="5"/>
      <c r="D560" s="5"/>
      <c r="E560" s="5"/>
      <c r="F560" s="5"/>
      <c r="G560" s="5"/>
      <c r="H560" s="5"/>
      <c r="I560" s="5"/>
    </row>
    <row r="561" ht="15.75" customHeight="1">
      <c r="A561" s="5"/>
      <c r="B561" s="5"/>
      <c r="C561" s="5"/>
      <c r="D561" s="5"/>
      <c r="E561" s="5"/>
      <c r="F561" s="5"/>
      <c r="G561" s="5"/>
      <c r="H561" s="5"/>
      <c r="I561" s="5"/>
    </row>
    <row r="562" ht="15.75" customHeight="1">
      <c r="A562" s="5"/>
      <c r="B562" s="5"/>
      <c r="C562" s="5"/>
      <c r="D562" s="5"/>
      <c r="E562" s="5"/>
      <c r="F562" s="5"/>
      <c r="G562" s="5"/>
      <c r="H562" s="5"/>
      <c r="I562" s="5"/>
    </row>
    <row r="563" ht="15.75" customHeight="1">
      <c r="A563" s="5"/>
      <c r="B563" s="5"/>
      <c r="C563" s="5"/>
      <c r="D563" s="5"/>
      <c r="E563" s="5"/>
      <c r="F563" s="5"/>
      <c r="G563" s="5"/>
      <c r="H563" s="5"/>
      <c r="I563" s="5"/>
    </row>
    <row r="564" ht="15.75" customHeight="1">
      <c r="A564" s="5"/>
      <c r="B564" s="5"/>
      <c r="C564" s="5"/>
      <c r="D564" s="5"/>
      <c r="E564" s="5"/>
      <c r="F564" s="5"/>
      <c r="G564" s="5"/>
      <c r="H564" s="5"/>
      <c r="I564" s="5"/>
    </row>
    <row r="565" ht="15.75" customHeight="1">
      <c r="A565" s="5"/>
      <c r="B565" s="5"/>
      <c r="C565" s="5"/>
      <c r="D565" s="5"/>
      <c r="E565" s="5"/>
      <c r="F565" s="5"/>
      <c r="G565" s="5"/>
      <c r="H565" s="5"/>
      <c r="I565" s="5"/>
    </row>
    <row r="566" ht="15.75" customHeight="1">
      <c r="A566" s="5"/>
      <c r="B566" s="5"/>
      <c r="C566" s="5"/>
      <c r="D566" s="5"/>
      <c r="E566" s="5"/>
      <c r="F566" s="5"/>
      <c r="G566" s="5"/>
      <c r="H566" s="5"/>
      <c r="I566" s="5"/>
    </row>
    <row r="567" ht="15.75" customHeight="1">
      <c r="A567" s="5"/>
      <c r="B567" s="5"/>
      <c r="C567" s="5"/>
      <c r="D567" s="5"/>
      <c r="E567" s="5"/>
      <c r="F567" s="5"/>
      <c r="G567" s="5"/>
      <c r="H567" s="5"/>
      <c r="I567" s="5"/>
    </row>
    <row r="568" ht="15.75" customHeight="1">
      <c r="A568" s="5"/>
      <c r="B568" s="5"/>
      <c r="C568" s="5"/>
      <c r="D568" s="5"/>
      <c r="E568" s="5"/>
      <c r="F568" s="5"/>
      <c r="G568" s="5"/>
      <c r="H568" s="5"/>
      <c r="I568" s="5"/>
    </row>
    <row r="569" ht="15.75" customHeight="1">
      <c r="A569" s="5"/>
      <c r="B569" s="5"/>
      <c r="C569" s="5"/>
      <c r="D569" s="5"/>
      <c r="E569" s="5"/>
      <c r="F569" s="5"/>
      <c r="G569" s="5"/>
      <c r="H569" s="5"/>
      <c r="I569" s="5"/>
    </row>
    <row r="570" ht="15.75" customHeight="1">
      <c r="A570" s="5"/>
      <c r="B570" s="5"/>
      <c r="C570" s="5"/>
      <c r="D570" s="5"/>
      <c r="E570" s="5"/>
      <c r="F570" s="5"/>
      <c r="G570" s="5"/>
      <c r="H570" s="5"/>
      <c r="I570" s="5"/>
    </row>
    <row r="571" ht="15.75" customHeight="1">
      <c r="A571" s="5"/>
      <c r="B571" s="5"/>
      <c r="C571" s="5"/>
      <c r="D571" s="5"/>
      <c r="E571" s="5"/>
      <c r="F571" s="5"/>
      <c r="G571" s="5"/>
      <c r="H571" s="5"/>
      <c r="I571" s="5"/>
    </row>
    <row r="572" ht="15.75" customHeight="1">
      <c r="A572" s="5"/>
      <c r="B572" s="5"/>
      <c r="C572" s="5"/>
      <c r="D572" s="5"/>
      <c r="E572" s="5"/>
      <c r="F572" s="5"/>
      <c r="G572" s="5"/>
      <c r="H572" s="5"/>
      <c r="I572" s="5"/>
    </row>
    <row r="573" ht="15.75" customHeight="1">
      <c r="A573" s="5"/>
      <c r="B573" s="5"/>
      <c r="C573" s="5"/>
      <c r="D573" s="5"/>
      <c r="E573" s="5"/>
      <c r="F573" s="5"/>
      <c r="G573" s="5"/>
      <c r="H573" s="5"/>
      <c r="I573" s="5"/>
    </row>
    <row r="574" ht="15.75" customHeight="1">
      <c r="A574" s="5"/>
      <c r="B574" s="5"/>
      <c r="C574" s="5"/>
      <c r="D574" s="5"/>
      <c r="E574" s="5"/>
      <c r="F574" s="5"/>
      <c r="G574" s="5"/>
      <c r="H574" s="5"/>
      <c r="I574" s="5"/>
    </row>
    <row r="575" ht="15.75" customHeight="1">
      <c r="A575" s="5"/>
      <c r="B575" s="5"/>
      <c r="C575" s="5"/>
      <c r="D575" s="5"/>
      <c r="E575" s="5"/>
      <c r="F575" s="5"/>
      <c r="G575" s="5"/>
      <c r="H575" s="5"/>
      <c r="I575" s="5"/>
    </row>
    <row r="576" ht="15.75" customHeight="1">
      <c r="A576" s="5"/>
      <c r="B576" s="5"/>
      <c r="C576" s="5"/>
      <c r="D576" s="5"/>
      <c r="E576" s="5"/>
      <c r="F576" s="5"/>
      <c r="G576" s="5"/>
      <c r="H576" s="5"/>
      <c r="I576" s="5"/>
    </row>
    <row r="577" ht="15.75" customHeight="1">
      <c r="A577" s="5"/>
      <c r="B577" s="5"/>
      <c r="C577" s="5"/>
      <c r="D577" s="5"/>
      <c r="E577" s="5"/>
      <c r="F577" s="5"/>
      <c r="G577" s="5"/>
      <c r="H577" s="5"/>
      <c r="I577" s="5"/>
    </row>
    <row r="578" ht="15.75" customHeight="1">
      <c r="A578" s="5"/>
      <c r="B578" s="5"/>
      <c r="C578" s="5"/>
      <c r="D578" s="5"/>
      <c r="E578" s="5"/>
      <c r="F578" s="5"/>
      <c r="G578" s="5"/>
      <c r="H578" s="5"/>
      <c r="I578" s="5"/>
    </row>
    <row r="579" ht="15.75" customHeight="1">
      <c r="A579" s="5"/>
      <c r="B579" s="5"/>
      <c r="C579" s="5"/>
      <c r="D579" s="5"/>
      <c r="E579" s="5"/>
      <c r="F579" s="5"/>
      <c r="G579" s="5"/>
      <c r="H579" s="5"/>
      <c r="I579" s="5"/>
    </row>
    <row r="580" ht="15.75" customHeight="1">
      <c r="A580" s="5"/>
      <c r="B580" s="5"/>
      <c r="C580" s="5"/>
      <c r="D580" s="5"/>
      <c r="E580" s="5"/>
      <c r="F580" s="5"/>
      <c r="G580" s="5"/>
      <c r="H580" s="5"/>
      <c r="I580" s="5"/>
    </row>
    <row r="581" ht="15.75" customHeight="1">
      <c r="A581" s="5"/>
      <c r="B581" s="5"/>
      <c r="C581" s="5"/>
      <c r="D581" s="5"/>
      <c r="E581" s="5"/>
      <c r="F581" s="5"/>
      <c r="G581" s="5"/>
      <c r="H581" s="5"/>
      <c r="I581" s="5"/>
    </row>
    <row r="582" ht="15.75" customHeight="1">
      <c r="A582" s="5"/>
      <c r="B582" s="5"/>
      <c r="C582" s="5"/>
      <c r="D582" s="5"/>
      <c r="E582" s="5"/>
      <c r="F582" s="5"/>
      <c r="G582" s="5"/>
      <c r="H582" s="5"/>
      <c r="I582" s="5"/>
    </row>
    <row r="583" ht="15.75" customHeight="1">
      <c r="A583" s="5"/>
      <c r="B583" s="5"/>
      <c r="C583" s="5"/>
      <c r="D583" s="5"/>
      <c r="E583" s="5"/>
      <c r="F583" s="5"/>
      <c r="G583" s="5"/>
      <c r="H583" s="5"/>
      <c r="I583" s="5"/>
    </row>
    <row r="584" ht="15.75" customHeight="1">
      <c r="A584" s="5"/>
      <c r="B584" s="5"/>
      <c r="C584" s="5"/>
      <c r="D584" s="5"/>
      <c r="E584" s="5"/>
      <c r="F584" s="5"/>
      <c r="G584" s="5"/>
      <c r="H584" s="5"/>
      <c r="I584" s="5"/>
    </row>
    <row r="585" ht="15.75" customHeight="1">
      <c r="A585" s="5"/>
      <c r="B585" s="5"/>
      <c r="C585" s="5"/>
      <c r="D585" s="5"/>
      <c r="E585" s="5"/>
      <c r="F585" s="5"/>
      <c r="G585" s="5"/>
      <c r="H585" s="5"/>
      <c r="I585" s="5"/>
    </row>
    <row r="586" ht="15.75" customHeight="1">
      <c r="A586" s="5"/>
      <c r="B586" s="5"/>
      <c r="C586" s="5"/>
      <c r="D586" s="5"/>
      <c r="E586" s="5"/>
      <c r="F586" s="5"/>
      <c r="G586" s="5"/>
      <c r="H586" s="5"/>
      <c r="I586" s="5"/>
    </row>
    <row r="587" ht="15.75" customHeight="1">
      <c r="A587" s="5"/>
      <c r="B587" s="5"/>
      <c r="C587" s="5"/>
      <c r="D587" s="5"/>
      <c r="E587" s="5"/>
      <c r="F587" s="5"/>
      <c r="G587" s="5"/>
      <c r="H587" s="5"/>
      <c r="I587" s="5"/>
    </row>
    <row r="588" ht="15.75" customHeight="1">
      <c r="A588" s="5"/>
      <c r="B588" s="5"/>
      <c r="C588" s="5"/>
      <c r="D588" s="5"/>
      <c r="E588" s="5"/>
      <c r="F588" s="5"/>
      <c r="G588" s="5"/>
      <c r="H588" s="5"/>
      <c r="I588" s="5"/>
    </row>
    <row r="589" ht="15.75" customHeight="1">
      <c r="A589" s="5"/>
      <c r="B589" s="5"/>
      <c r="C589" s="5"/>
      <c r="D589" s="5"/>
      <c r="E589" s="5"/>
      <c r="F589" s="5"/>
      <c r="G589" s="5"/>
      <c r="H589" s="5"/>
      <c r="I589" s="5"/>
    </row>
    <row r="590" ht="15.75" customHeight="1">
      <c r="A590" s="5"/>
      <c r="B590" s="5"/>
      <c r="C590" s="5"/>
      <c r="D590" s="5"/>
      <c r="E590" s="5"/>
      <c r="F590" s="5"/>
      <c r="G590" s="5"/>
      <c r="H590" s="5"/>
      <c r="I590" s="5"/>
    </row>
    <row r="591" ht="15.75" customHeight="1">
      <c r="A591" s="5"/>
      <c r="B591" s="5"/>
      <c r="C591" s="5"/>
      <c r="D591" s="5"/>
      <c r="E591" s="5"/>
      <c r="F591" s="5"/>
      <c r="G591" s="5"/>
      <c r="H591" s="5"/>
      <c r="I591" s="5"/>
    </row>
    <row r="592" ht="15.75" customHeight="1">
      <c r="A592" s="5"/>
      <c r="B592" s="5"/>
      <c r="C592" s="5"/>
      <c r="D592" s="5"/>
      <c r="E592" s="5"/>
      <c r="F592" s="5"/>
      <c r="G592" s="5"/>
      <c r="H592" s="5"/>
      <c r="I592" s="5"/>
    </row>
    <row r="593" ht="15.75" customHeight="1">
      <c r="A593" s="5"/>
      <c r="B593" s="5"/>
      <c r="C593" s="5"/>
      <c r="D593" s="5"/>
      <c r="E593" s="5"/>
      <c r="F593" s="5"/>
      <c r="G593" s="5"/>
      <c r="H593" s="5"/>
      <c r="I593" s="5"/>
    </row>
    <row r="594" ht="15.75" customHeight="1">
      <c r="A594" s="5"/>
      <c r="B594" s="5"/>
      <c r="C594" s="5"/>
      <c r="D594" s="5"/>
      <c r="E594" s="5"/>
      <c r="F594" s="5"/>
      <c r="G594" s="5"/>
      <c r="H594" s="5"/>
      <c r="I594" s="5"/>
    </row>
    <row r="595" ht="15.75" customHeight="1">
      <c r="A595" s="5"/>
      <c r="B595" s="5"/>
      <c r="C595" s="5"/>
      <c r="D595" s="5"/>
      <c r="E595" s="5"/>
      <c r="F595" s="5"/>
      <c r="G595" s="5"/>
      <c r="H595" s="5"/>
      <c r="I595" s="5"/>
    </row>
    <row r="596" ht="15.75" customHeight="1">
      <c r="A596" s="5"/>
      <c r="B596" s="5"/>
      <c r="C596" s="5"/>
      <c r="D596" s="5"/>
      <c r="E596" s="5"/>
      <c r="F596" s="5"/>
      <c r="G596" s="5"/>
      <c r="H596" s="5"/>
      <c r="I596" s="5"/>
    </row>
    <row r="597" ht="15.75" customHeight="1">
      <c r="A597" s="5"/>
      <c r="B597" s="5"/>
      <c r="C597" s="5"/>
      <c r="D597" s="5"/>
      <c r="E597" s="5"/>
      <c r="F597" s="5"/>
      <c r="G597" s="5"/>
      <c r="H597" s="5"/>
      <c r="I597" s="5"/>
    </row>
    <row r="598" ht="15.75" customHeight="1">
      <c r="A598" s="5"/>
      <c r="B598" s="5"/>
      <c r="C598" s="5"/>
      <c r="D598" s="5"/>
      <c r="E598" s="5"/>
      <c r="F598" s="5"/>
      <c r="G598" s="5"/>
      <c r="H598" s="5"/>
      <c r="I598" s="5"/>
    </row>
    <row r="599" ht="15.75" customHeight="1">
      <c r="A599" s="5"/>
      <c r="B599" s="5"/>
      <c r="C599" s="5"/>
      <c r="D599" s="5"/>
      <c r="E599" s="5"/>
      <c r="F599" s="5"/>
      <c r="G599" s="5"/>
      <c r="H599" s="5"/>
      <c r="I599" s="5"/>
    </row>
    <row r="600" ht="15.75" customHeight="1">
      <c r="A600" s="5"/>
      <c r="B600" s="5"/>
      <c r="C600" s="5"/>
      <c r="D600" s="5"/>
      <c r="E600" s="5"/>
      <c r="F600" s="5"/>
      <c r="G600" s="5"/>
      <c r="H600" s="5"/>
      <c r="I600" s="5"/>
    </row>
    <row r="601" ht="15.75" customHeight="1">
      <c r="A601" s="5"/>
      <c r="B601" s="5"/>
      <c r="C601" s="5"/>
      <c r="D601" s="5"/>
      <c r="E601" s="5"/>
      <c r="F601" s="5"/>
      <c r="G601" s="5"/>
      <c r="H601" s="5"/>
      <c r="I601" s="5"/>
    </row>
    <row r="602" ht="15.75" customHeight="1">
      <c r="A602" s="5"/>
      <c r="B602" s="5"/>
      <c r="C602" s="5"/>
      <c r="D602" s="5"/>
      <c r="E602" s="5"/>
      <c r="F602" s="5"/>
      <c r="G602" s="5"/>
      <c r="H602" s="5"/>
      <c r="I602" s="5"/>
    </row>
    <row r="603" ht="15.75" customHeight="1">
      <c r="A603" s="5"/>
      <c r="B603" s="5"/>
      <c r="C603" s="5"/>
      <c r="D603" s="5"/>
      <c r="E603" s="5"/>
      <c r="F603" s="5"/>
      <c r="G603" s="5"/>
      <c r="H603" s="5"/>
      <c r="I603" s="5"/>
    </row>
    <row r="604" ht="15.75" customHeight="1">
      <c r="A604" s="5"/>
      <c r="B604" s="5"/>
      <c r="C604" s="5"/>
      <c r="D604" s="5"/>
      <c r="E604" s="5"/>
      <c r="F604" s="5"/>
      <c r="G604" s="5"/>
      <c r="H604" s="5"/>
      <c r="I604" s="5"/>
    </row>
    <row r="605" ht="15.75" customHeight="1">
      <c r="A605" s="5"/>
      <c r="B605" s="5"/>
      <c r="C605" s="5"/>
      <c r="D605" s="5"/>
      <c r="E605" s="5"/>
      <c r="F605" s="5"/>
      <c r="G605" s="5"/>
      <c r="H605" s="5"/>
      <c r="I605" s="5"/>
    </row>
    <row r="606" ht="15.75" customHeight="1">
      <c r="A606" s="5"/>
      <c r="B606" s="5"/>
      <c r="C606" s="5"/>
      <c r="D606" s="5"/>
      <c r="E606" s="5"/>
      <c r="F606" s="5"/>
      <c r="G606" s="5"/>
      <c r="H606" s="5"/>
      <c r="I606" s="5"/>
    </row>
    <row r="607" ht="15.75" customHeight="1">
      <c r="A607" s="5"/>
      <c r="B607" s="5"/>
      <c r="C607" s="5"/>
      <c r="D607" s="5"/>
      <c r="E607" s="5"/>
      <c r="F607" s="5"/>
      <c r="G607" s="5"/>
      <c r="H607" s="5"/>
      <c r="I607" s="5"/>
    </row>
    <row r="608" ht="15.75" customHeight="1">
      <c r="A608" s="5"/>
      <c r="B608" s="5"/>
      <c r="C608" s="5"/>
      <c r="D608" s="5"/>
      <c r="E608" s="5"/>
      <c r="F608" s="5"/>
      <c r="G608" s="5"/>
      <c r="H608" s="5"/>
      <c r="I608" s="5"/>
    </row>
    <row r="609" ht="15.75" customHeight="1">
      <c r="A609" s="5"/>
      <c r="B609" s="5"/>
      <c r="C609" s="5"/>
      <c r="D609" s="5"/>
      <c r="E609" s="5"/>
      <c r="F609" s="5"/>
      <c r="G609" s="5"/>
      <c r="H609" s="5"/>
      <c r="I609" s="5"/>
    </row>
    <row r="610" ht="15.75" customHeight="1">
      <c r="A610" s="5"/>
      <c r="B610" s="5"/>
      <c r="C610" s="5"/>
      <c r="D610" s="5"/>
      <c r="E610" s="5"/>
      <c r="F610" s="5"/>
      <c r="G610" s="5"/>
      <c r="H610" s="5"/>
      <c r="I610" s="5"/>
    </row>
    <row r="611" ht="15.75" customHeight="1">
      <c r="A611" s="5"/>
      <c r="B611" s="5"/>
      <c r="C611" s="5"/>
      <c r="D611" s="5"/>
      <c r="E611" s="5"/>
      <c r="F611" s="5"/>
      <c r="G611" s="5"/>
      <c r="H611" s="5"/>
      <c r="I611" s="5"/>
    </row>
    <row r="612" ht="15.75" customHeight="1">
      <c r="A612" s="5"/>
      <c r="B612" s="5"/>
      <c r="C612" s="5"/>
      <c r="D612" s="5"/>
      <c r="E612" s="5"/>
      <c r="F612" s="5"/>
      <c r="G612" s="5"/>
      <c r="H612" s="5"/>
      <c r="I612" s="5"/>
    </row>
    <row r="613" ht="15.75" customHeight="1">
      <c r="A613" s="5"/>
      <c r="B613" s="5"/>
      <c r="C613" s="5"/>
      <c r="D613" s="5"/>
      <c r="E613" s="5"/>
      <c r="F613" s="5"/>
      <c r="G613" s="5"/>
      <c r="H613" s="5"/>
      <c r="I613" s="5"/>
    </row>
    <row r="614" ht="15.75" customHeight="1">
      <c r="A614" s="5"/>
      <c r="B614" s="5"/>
      <c r="C614" s="5"/>
      <c r="D614" s="5"/>
      <c r="E614" s="5"/>
      <c r="F614" s="5"/>
      <c r="G614" s="5"/>
      <c r="H614" s="5"/>
      <c r="I614" s="5"/>
    </row>
    <row r="615" ht="15.75" customHeight="1">
      <c r="A615" s="5"/>
      <c r="B615" s="5"/>
      <c r="C615" s="5"/>
      <c r="D615" s="5"/>
      <c r="E615" s="5"/>
      <c r="F615" s="5"/>
      <c r="G615" s="5"/>
      <c r="H615" s="5"/>
      <c r="I615" s="5"/>
    </row>
    <row r="616" ht="15.75" customHeight="1">
      <c r="A616" s="5"/>
      <c r="B616" s="5"/>
      <c r="C616" s="5"/>
      <c r="D616" s="5"/>
      <c r="E616" s="5"/>
      <c r="F616" s="5"/>
      <c r="G616" s="5"/>
      <c r="H616" s="5"/>
      <c r="I616" s="5"/>
    </row>
    <row r="617" ht="15.75" customHeight="1">
      <c r="A617" s="5"/>
      <c r="B617" s="5"/>
      <c r="C617" s="5"/>
      <c r="D617" s="5"/>
      <c r="E617" s="5"/>
      <c r="F617" s="5"/>
      <c r="G617" s="5"/>
      <c r="H617" s="5"/>
      <c r="I617" s="5"/>
    </row>
    <row r="618" ht="15.75" customHeight="1">
      <c r="A618" s="5"/>
      <c r="B618" s="5"/>
      <c r="C618" s="5"/>
      <c r="D618" s="5"/>
      <c r="E618" s="5"/>
      <c r="F618" s="5"/>
      <c r="G618" s="5"/>
      <c r="H618" s="5"/>
      <c r="I618" s="5"/>
    </row>
    <row r="619" ht="15.75" customHeight="1">
      <c r="A619" s="5"/>
      <c r="B619" s="5"/>
      <c r="C619" s="5"/>
      <c r="D619" s="5"/>
      <c r="E619" s="5"/>
      <c r="F619" s="5"/>
      <c r="G619" s="5"/>
      <c r="H619" s="5"/>
      <c r="I619" s="5"/>
    </row>
    <row r="620" ht="15.75" customHeight="1">
      <c r="A620" s="5"/>
      <c r="B620" s="5"/>
      <c r="C620" s="5"/>
      <c r="D620" s="5"/>
      <c r="E620" s="5"/>
      <c r="F620" s="5"/>
      <c r="G620" s="5"/>
      <c r="H620" s="5"/>
      <c r="I620" s="5"/>
    </row>
    <row r="621" ht="15.75" customHeight="1">
      <c r="A621" s="5"/>
      <c r="B621" s="5"/>
      <c r="C621" s="5"/>
      <c r="D621" s="5"/>
      <c r="E621" s="5"/>
      <c r="F621" s="5"/>
      <c r="G621" s="5"/>
      <c r="H621" s="5"/>
      <c r="I621" s="5"/>
    </row>
    <row r="622" ht="15.75" customHeight="1">
      <c r="A622" s="5"/>
      <c r="B622" s="5"/>
      <c r="C622" s="5"/>
      <c r="D622" s="5"/>
      <c r="E622" s="5"/>
      <c r="F622" s="5"/>
      <c r="G622" s="5"/>
      <c r="H622" s="5"/>
      <c r="I622" s="5"/>
    </row>
    <row r="623" ht="15.75" customHeight="1">
      <c r="A623" s="5"/>
      <c r="B623" s="5"/>
      <c r="C623" s="5"/>
      <c r="D623" s="5"/>
      <c r="E623" s="5"/>
      <c r="F623" s="5"/>
      <c r="G623" s="5"/>
      <c r="H623" s="5"/>
      <c r="I623" s="5"/>
    </row>
    <row r="624" ht="15.75" customHeight="1">
      <c r="A624" s="5"/>
      <c r="B624" s="5"/>
      <c r="C624" s="5"/>
      <c r="D624" s="5"/>
      <c r="E624" s="5"/>
      <c r="F624" s="5"/>
      <c r="G624" s="5"/>
      <c r="H624" s="5"/>
      <c r="I624" s="5"/>
    </row>
    <row r="625" ht="15.75" customHeight="1">
      <c r="A625" s="5"/>
      <c r="B625" s="5"/>
      <c r="C625" s="5"/>
      <c r="D625" s="5"/>
      <c r="E625" s="5"/>
      <c r="F625" s="5"/>
      <c r="G625" s="5"/>
      <c r="H625" s="5"/>
      <c r="I625" s="5"/>
    </row>
    <row r="626" ht="15.75" customHeight="1">
      <c r="A626" s="5"/>
      <c r="B626" s="5"/>
      <c r="C626" s="5"/>
      <c r="D626" s="5"/>
      <c r="E626" s="5"/>
      <c r="F626" s="5"/>
      <c r="G626" s="5"/>
      <c r="H626" s="5"/>
      <c r="I626" s="5"/>
    </row>
    <row r="627" ht="15.75" customHeight="1">
      <c r="A627" s="5"/>
      <c r="B627" s="5"/>
      <c r="C627" s="5"/>
      <c r="D627" s="5"/>
      <c r="E627" s="5"/>
      <c r="F627" s="5"/>
      <c r="G627" s="5"/>
      <c r="H627" s="5"/>
      <c r="I627" s="5"/>
    </row>
    <row r="628" ht="15.75" customHeight="1">
      <c r="A628" s="5"/>
      <c r="B628" s="5"/>
      <c r="C628" s="5"/>
      <c r="D628" s="5"/>
      <c r="E628" s="5"/>
      <c r="F628" s="5"/>
      <c r="G628" s="5"/>
      <c r="H628" s="5"/>
      <c r="I628" s="5"/>
    </row>
    <row r="629" ht="15.75" customHeight="1">
      <c r="A629" s="5"/>
      <c r="B629" s="5"/>
      <c r="C629" s="5"/>
      <c r="D629" s="5"/>
      <c r="E629" s="5"/>
      <c r="F629" s="5"/>
      <c r="G629" s="5"/>
      <c r="H629" s="5"/>
      <c r="I629" s="5"/>
    </row>
    <row r="630" ht="15.75" customHeight="1">
      <c r="A630" s="5"/>
      <c r="B630" s="5"/>
      <c r="C630" s="5"/>
      <c r="D630" s="5"/>
      <c r="E630" s="5"/>
      <c r="F630" s="5"/>
      <c r="G630" s="5"/>
      <c r="H630" s="5"/>
      <c r="I630" s="5"/>
    </row>
    <row r="631" ht="15.75" customHeight="1">
      <c r="A631" s="5"/>
      <c r="B631" s="5"/>
      <c r="C631" s="5"/>
      <c r="D631" s="5"/>
      <c r="E631" s="5"/>
      <c r="F631" s="5"/>
      <c r="G631" s="5"/>
      <c r="H631" s="5"/>
      <c r="I631" s="5"/>
    </row>
    <row r="632" ht="15.75" customHeight="1">
      <c r="A632" s="5"/>
      <c r="B632" s="5"/>
      <c r="C632" s="5"/>
      <c r="D632" s="5"/>
      <c r="E632" s="5"/>
      <c r="F632" s="5"/>
      <c r="G632" s="5"/>
      <c r="H632" s="5"/>
      <c r="I632" s="5"/>
    </row>
    <row r="633" ht="15.75" customHeight="1">
      <c r="A633" s="5"/>
      <c r="B633" s="5"/>
      <c r="C633" s="5"/>
      <c r="D633" s="5"/>
      <c r="E633" s="5"/>
      <c r="F633" s="5"/>
      <c r="G633" s="5"/>
      <c r="H633" s="5"/>
      <c r="I633" s="5"/>
    </row>
    <row r="634" ht="15.75" customHeight="1">
      <c r="A634" s="5"/>
      <c r="B634" s="5"/>
      <c r="C634" s="5"/>
      <c r="D634" s="5"/>
      <c r="E634" s="5"/>
      <c r="F634" s="5"/>
      <c r="G634" s="5"/>
      <c r="H634" s="5"/>
      <c r="I634" s="5"/>
    </row>
    <row r="635" ht="15.75" customHeight="1">
      <c r="A635" s="5"/>
      <c r="B635" s="5"/>
      <c r="C635" s="5"/>
      <c r="D635" s="5"/>
      <c r="E635" s="5"/>
      <c r="F635" s="5"/>
      <c r="G635" s="5"/>
      <c r="H635" s="5"/>
      <c r="I635" s="5"/>
    </row>
    <row r="636" ht="15.75" customHeight="1">
      <c r="A636" s="5"/>
      <c r="B636" s="5"/>
      <c r="C636" s="5"/>
      <c r="D636" s="5"/>
      <c r="E636" s="5"/>
      <c r="F636" s="5"/>
      <c r="G636" s="5"/>
      <c r="H636" s="5"/>
      <c r="I636" s="5"/>
    </row>
    <row r="637" ht="15.75" customHeight="1">
      <c r="A637" s="5"/>
      <c r="B637" s="5"/>
      <c r="C637" s="5"/>
      <c r="D637" s="5"/>
      <c r="E637" s="5"/>
      <c r="F637" s="5"/>
      <c r="G637" s="5"/>
      <c r="H637" s="5"/>
      <c r="I637" s="5"/>
    </row>
    <row r="638" ht="15.75" customHeight="1">
      <c r="A638" s="5"/>
      <c r="B638" s="5"/>
      <c r="C638" s="5"/>
      <c r="D638" s="5"/>
      <c r="E638" s="5"/>
      <c r="F638" s="5"/>
      <c r="G638" s="5"/>
      <c r="H638" s="5"/>
      <c r="I638" s="5"/>
    </row>
    <row r="639" ht="15.75" customHeight="1">
      <c r="A639" s="5"/>
      <c r="B639" s="5"/>
      <c r="C639" s="5"/>
      <c r="D639" s="5"/>
      <c r="E639" s="5"/>
      <c r="F639" s="5"/>
      <c r="G639" s="5"/>
      <c r="H639" s="5"/>
      <c r="I639" s="5"/>
    </row>
    <row r="640" ht="15.75" customHeight="1">
      <c r="A640" s="5"/>
      <c r="B640" s="5"/>
      <c r="C640" s="5"/>
      <c r="D640" s="5"/>
      <c r="E640" s="5"/>
      <c r="F640" s="5"/>
      <c r="G640" s="5"/>
      <c r="H640" s="5"/>
      <c r="I640" s="5"/>
    </row>
    <row r="641" ht="15.75" customHeight="1">
      <c r="A641" s="5"/>
      <c r="B641" s="5"/>
      <c r="C641" s="5"/>
      <c r="D641" s="5"/>
      <c r="E641" s="5"/>
      <c r="F641" s="5"/>
      <c r="G641" s="5"/>
      <c r="H641" s="5"/>
      <c r="I641" s="5"/>
    </row>
    <row r="642" ht="15.75" customHeight="1">
      <c r="A642" s="5"/>
      <c r="B642" s="5"/>
      <c r="C642" s="5"/>
      <c r="D642" s="5"/>
      <c r="E642" s="5"/>
      <c r="F642" s="5"/>
      <c r="G642" s="5"/>
      <c r="H642" s="5"/>
      <c r="I642" s="5"/>
    </row>
    <row r="643" ht="15.75" customHeight="1">
      <c r="A643" s="5"/>
      <c r="B643" s="5"/>
      <c r="C643" s="5"/>
      <c r="D643" s="5"/>
      <c r="E643" s="5"/>
      <c r="F643" s="5"/>
      <c r="G643" s="5"/>
      <c r="H643" s="5"/>
      <c r="I643" s="5"/>
    </row>
    <row r="644" ht="15.75" customHeight="1">
      <c r="A644" s="5"/>
      <c r="B644" s="5"/>
      <c r="C644" s="5"/>
      <c r="D644" s="5"/>
      <c r="E644" s="5"/>
      <c r="F644" s="5"/>
      <c r="G644" s="5"/>
      <c r="H644" s="5"/>
      <c r="I644" s="5"/>
    </row>
    <row r="645" ht="15.75" customHeight="1">
      <c r="A645" s="5"/>
      <c r="B645" s="5"/>
      <c r="C645" s="5"/>
      <c r="D645" s="5"/>
      <c r="E645" s="5"/>
      <c r="F645" s="5"/>
      <c r="G645" s="5"/>
      <c r="H645" s="5"/>
      <c r="I645" s="5"/>
    </row>
    <row r="646" ht="15.75" customHeight="1">
      <c r="A646" s="5"/>
      <c r="B646" s="5"/>
      <c r="C646" s="5"/>
      <c r="D646" s="5"/>
      <c r="E646" s="5"/>
      <c r="F646" s="5"/>
      <c r="G646" s="5"/>
      <c r="H646" s="5"/>
      <c r="I646" s="5"/>
    </row>
    <row r="647" ht="15.75" customHeight="1">
      <c r="A647" s="5"/>
      <c r="B647" s="5"/>
      <c r="C647" s="5"/>
      <c r="D647" s="5"/>
      <c r="E647" s="5"/>
      <c r="F647" s="5"/>
      <c r="G647" s="5"/>
      <c r="H647" s="5"/>
      <c r="I647" s="5"/>
    </row>
    <row r="648" ht="15.75" customHeight="1">
      <c r="A648" s="5"/>
      <c r="B648" s="5"/>
      <c r="C648" s="5"/>
      <c r="D648" s="5"/>
      <c r="E648" s="5"/>
      <c r="F648" s="5"/>
      <c r="G648" s="5"/>
      <c r="H648" s="5"/>
      <c r="I648" s="5"/>
    </row>
    <row r="649" ht="15.75" customHeight="1">
      <c r="A649" s="5"/>
      <c r="B649" s="5"/>
      <c r="C649" s="5"/>
      <c r="D649" s="5"/>
      <c r="E649" s="5"/>
      <c r="F649" s="5"/>
      <c r="G649" s="5"/>
      <c r="H649" s="5"/>
      <c r="I649" s="5"/>
    </row>
    <row r="650" ht="15.75" customHeight="1">
      <c r="A650" s="5"/>
      <c r="B650" s="5"/>
      <c r="C650" s="5"/>
      <c r="D650" s="5"/>
      <c r="E650" s="5"/>
      <c r="F650" s="5"/>
      <c r="G650" s="5"/>
      <c r="H650" s="5"/>
      <c r="I650" s="5"/>
    </row>
    <row r="651" ht="15.75" customHeight="1">
      <c r="A651" s="5"/>
      <c r="B651" s="5"/>
      <c r="C651" s="5"/>
      <c r="D651" s="5"/>
      <c r="E651" s="5"/>
      <c r="F651" s="5"/>
      <c r="G651" s="5"/>
      <c r="H651" s="5"/>
      <c r="I651" s="5"/>
    </row>
    <row r="652" ht="15.75" customHeight="1">
      <c r="A652" s="5"/>
      <c r="B652" s="5"/>
      <c r="C652" s="5"/>
      <c r="D652" s="5"/>
      <c r="E652" s="5"/>
      <c r="F652" s="5"/>
      <c r="G652" s="5"/>
      <c r="H652" s="5"/>
      <c r="I652" s="5"/>
    </row>
    <row r="653" ht="15.75" customHeight="1">
      <c r="A653" s="5"/>
      <c r="B653" s="5"/>
      <c r="C653" s="5"/>
      <c r="D653" s="5"/>
      <c r="E653" s="5"/>
      <c r="F653" s="5"/>
      <c r="G653" s="5"/>
      <c r="H653" s="5"/>
      <c r="I653" s="5"/>
    </row>
    <row r="654" ht="15.75" customHeight="1">
      <c r="A654" s="5"/>
      <c r="B654" s="5"/>
      <c r="C654" s="5"/>
      <c r="D654" s="5"/>
      <c r="E654" s="5"/>
      <c r="F654" s="5"/>
      <c r="G654" s="5"/>
      <c r="H654" s="5"/>
      <c r="I654" s="5"/>
    </row>
    <row r="655" ht="15.75" customHeight="1">
      <c r="A655" s="5"/>
      <c r="B655" s="5"/>
      <c r="C655" s="5"/>
      <c r="D655" s="5"/>
      <c r="E655" s="5"/>
      <c r="F655" s="5"/>
      <c r="G655" s="5"/>
      <c r="H655" s="5"/>
      <c r="I655" s="5"/>
    </row>
    <row r="656" ht="15.75" customHeight="1">
      <c r="A656" s="5"/>
      <c r="B656" s="5"/>
      <c r="C656" s="5"/>
      <c r="D656" s="5"/>
      <c r="E656" s="5"/>
      <c r="F656" s="5"/>
      <c r="G656" s="5"/>
      <c r="H656" s="5"/>
      <c r="I656" s="5"/>
    </row>
    <row r="657" ht="15.75" customHeight="1">
      <c r="A657" s="5"/>
      <c r="B657" s="5"/>
      <c r="C657" s="5"/>
      <c r="D657" s="5"/>
      <c r="E657" s="5"/>
      <c r="F657" s="5"/>
      <c r="G657" s="5"/>
      <c r="H657" s="5"/>
      <c r="I657" s="5"/>
    </row>
    <row r="658" ht="15.75" customHeight="1">
      <c r="A658" s="5"/>
      <c r="B658" s="5"/>
      <c r="C658" s="5"/>
      <c r="D658" s="5"/>
      <c r="E658" s="5"/>
      <c r="F658" s="5"/>
      <c r="G658" s="5"/>
      <c r="H658" s="5"/>
      <c r="I658" s="5"/>
    </row>
    <row r="659" ht="15.75" customHeight="1">
      <c r="A659" s="5"/>
      <c r="B659" s="5"/>
      <c r="C659" s="5"/>
      <c r="D659" s="5"/>
      <c r="E659" s="5"/>
      <c r="F659" s="5"/>
      <c r="G659" s="5"/>
      <c r="H659" s="5"/>
      <c r="I659" s="5"/>
    </row>
    <row r="660" ht="15.75" customHeight="1">
      <c r="A660" s="5"/>
      <c r="B660" s="5"/>
      <c r="C660" s="5"/>
      <c r="D660" s="5"/>
      <c r="E660" s="5"/>
      <c r="F660" s="5"/>
      <c r="G660" s="5"/>
      <c r="H660" s="5"/>
      <c r="I660" s="5"/>
    </row>
    <row r="661" ht="15.75" customHeight="1">
      <c r="A661" s="5"/>
      <c r="B661" s="5"/>
      <c r="C661" s="5"/>
      <c r="D661" s="5"/>
      <c r="E661" s="5"/>
      <c r="F661" s="5"/>
      <c r="G661" s="5"/>
      <c r="H661" s="5"/>
      <c r="I661" s="5"/>
    </row>
    <row r="662" ht="15.75" customHeight="1">
      <c r="A662" s="5"/>
      <c r="B662" s="5"/>
      <c r="C662" s="5"/>
      <c r="D662" s="5"/>
      <c r="E662" s="5"/>
      <c r="F662" s="5"/>
      <c r="G662" s="5"/>
      <c r="H662" s="5"/>
      <c r="I662" s="5"/>
    </row>
    <row r="663" ht="15.75" customHeight="1">
      <c r="A663" s="5"/>
      <c r="B663" s="5"/>
      <c r="C663" s="5"/>
      <c r="D663" s="5"/>
      <c r="E663" s="5"/>
      <c r="F663" s="5"/>
      <c r="G663" s="5"/>
      <c r="H663" s="5"/>
      <c r="I663" s="5"/>
    </row>
    <row r="664" ht="15.75" customHeight="1">
      <c r="A664" s="5"/>
      <c r="B664" s="5"/>
      <c r="C664" s="5"/>
      <c r="D664" s="5"/>
      <c r="E664" s="5"/>
      <c r="F664" s="5"/>
      <c r="G664" s="5"/>
      <c r="H664" s="5"/>
      <c r="I664" s="5"/>
    </row>
    <row r="665" ht="15.75" customHeight="1">
      <c r="A665" s="5"/>
      <c r="B665" s="5"/>
      <c r="C665" s="5"/>
      <c r="D665" s="5"/>
      <c r="E665" s="5"/>
      <c r="F665" s="5"/>
      <c r="G665" s="5"/>
      <c r="H665" s="5"/>
      <c r="I665" s="5"/>
    </row>
    <row r="666" ht="15.75" customHeight="1">
      <c r="A666" s="5"/>
      <c r="B666" s="5"/>
      <c r="C666" s="5"/>
      <c r="D666" s="5"/>
      <c r="E666" s="5"/>
      <c r="F666" s="5"/>
      <c r="G666" s="5"/>
      <c r="H666" s="5"/>
      <c r="I666" s="5"/>
    </row>
    <row r="667" ht="15.75" customHeight="1">
      <c r="A667" s="5"/>
      <c r="B667" s="5"/>
      <c r="C667" s="5"/>
      <c r="D667" s="5"/>
      <c r="E667" s="5"/>
      <c r="F667" s="5"/>
      <c r="G667" s="5"/>
      <c r="H667" s="5"/>
      <c r="I667" s="5"/>
    </row>
    <row r="668" ht="15.75" customHeight="1">
      <c r="A668" s="5"/>
      <c r="B668" s="5"/>
      <c r="C668" s="5"/>
      <c r="D668" s="5"/>
      <c r="E668" s="5"/>
      <c r="F668" s="5"/>
      <c r="G668" s="5"/>
      <c r="H668" s="5"/>
      <c r="I668" s="5"/>
    </row>
    <row r="669" ht="15.75" customHeight="1">
      <c r="A669" s="5"/>
      <c r="B669" s="5"/>
      <c r="C669" s="5"/>
      <c r="D669" s="5"/>
      <c r="E669" s="5"/>
      <c r="F669" s="5"/>
      <c r="G669" s="5"/>
      <c r="H669" s="5"/>
      <c r="I669" s="5"/>
    </row>
    <row r="670" ht="15.75" customHeight="1">
      <c r="A670" s="5"/>
      <c r="B670" s="5"/>
      <c r="C670" s="5"/>
      <c r="D670" s="5"/>
      <c r="E670" s="5"/>
      <c r="F670" s="5"/>
      <c r="G670" s="5"/>
      <c r="H670" s="5"/>
      <c r="I670" s="5"/>
    </row>
    <row r="671" ht="15.75" customHeight="1">
      <c r="A671" s="5"/>
      <c r="B671" s="5"/>
      <c r="C671" s="5"/>
      <c r="D671" s="5"/>
      <c r="E671" s="5"/>
      <c r="F671" s="5"/>
      <c r="G671" s="5"/>
      <c r="H671" s="5"/>
      <c r="I671" s="5"/>
    </row>
    <row r="672" ht="15.75" customHeight="1">
      <c r="A672" s="5"/>
      <c r="B672" s="5"/>
      <c r="C672" s="5"/>
      <c r="D672" s="5"/>
      <c r="E672" s="5"/>
      <c r="F672" s="5"/>
      <c r="G672" s="5"/>
      <c r="H672" s="5"/>
      <c r="I672" s="5"/>
    </row>
    <row r="673" ht="15.75" customHeight="1">
      <c r="A673" s="5"/>
      <c r="B673" s="5"/>
      <c r="C673" s="5"/>
      <c r="D673" s="5"/>
      <c r="E673" s="5"/>
      <c r="F673" s="5"/>
      <c r="G673" s="5"/>
      <c r="H673" s="5"/>
      <c r="I673" s="5"/>
    </row>
    <row r="674" ht="15.75" customHeight="1">
      <c r="A674" s="5"/>
      <c r="B674" s="5"/>
      <c r="C674" s="5"/>
      <c r="D674" s="5"/>
      <c r="E674" s="5"/>
      <c r="F674" s="5"/>
      <c r="G674" s="5"/>
      <c r="H674" s="5"/>
      <c r="I674" s="5"/>
    </row>
    <row r="675" ht="15.75" customHeight="1">
      <c r="A675" s="5"/>
      <c r="B675" s="5"/>
      <c r="C675" s="5"/>
      <c r="D675" s="5"/>
      <c r="E675" s="5"/>
      <c r="F675" s="5"/>
      <c r="G675" s="5"/>
      <c r="H675" s="5"/>
      <c r="I675" s="5"/>
    </row>
    <row r="676" ht="15.75" customHeight="1">
      <c r="A676" s="5"/>
      <c r="B676" s="5"/>
      <c r="C676" s="5"/>
      <c r="D676" s="5"/>
      <c r="E676" s="5"/>
      <c r="F676" s="5"/>
      <c r="G676" s="5"/>
      <c r="H676" s="5"/>
      <c r="I676" s="5"/>
    </row>
    <row r="677" ht="15.75" customHeight="1">
      <c r="A677" s="5"/>
      <c r="B677" s="5"/>
      <c r="C677" s="5"/>
      <c r="D677" s="5"/>
      <c r="E677" s="5"/>
      <c r="F677" s="5"/>
      <c r="G677" s="5"/>
      <c r="H677" s="5"/>
      <c r="I677" s="5"/>
    </row>
    <row r="678" ht="15.75" customHeight="1">
      <c r="A678" s="5"/>
      <c r="B678" s="5"/>
      <c r="C678" s="5"/>
      <c r="D678" s="5"/>
      <c r="E678" s="5"/>
      <c r="F678" s="5"/>
      <c r="G678" s="5"/>
      <c r="H678" s="5"/>
      <c r="I678" s="5"/>
    </row>
    <row r="679" ht="15.75" customHeight="1">
      <c r="A679" s="5"/>
      <c r="B679" s="5"/>
      <c r="C679" s="5"/>
      <c r="D679" s="5"/>
      <c r="E679" s="5"/>
      <c r="F679" s="5"/>
      <c r="G679" s="5"/>
      <c r="H679" s="5"/>
      <c r="I679" s="5"/>
    </row>
    <row r="680" ht="15.75" customHeight="1">
      <c r="A680" s="5"/>
      <c r="B680" s="5"/>
      <c r="C680" s="5"/>
      <c r="D680" s="5"/>
      <c r="E680" s="5"/>
      <c r="F680" s="5"/>
      <c r="G680" s="5"/>
      <c r="H680" s="5"/>
      <c r="I680" s="5"/>
    </row>
    <row r="681" ht="15.75" customHeight="1">
      <c r="A681" s="5"/>
      <c r="B681" s="5"/>
      <c r="C681" s="5"/>
      <c r="D681" s="5"/>
      <c r="E681" s="5"/>
      <c r="F681" s="5"/>
      <c r="G681" s="5"/>
      <c r="H681" s="5"/>
      <c r="I681" s="5"/>
    </row>
    <row r="682" ht="15.75" customHeight="1">
      <c r="A682" s="5"/>
      <c r="B682" s="5"/>
      <c r="C682" s="5"/>
      <c r="D682" s="5"/>
      <c r="E682" s="5"/>
      <c r="F682" s="5"/>
      <c r="G682" s="5"/>
      <c r="H682" s="5"/>
      <c r="I682" s="5"/>
    </row>
    <row r="683" ht="15.75" customHeight="1">
      <c r="A683" s="5"/>
      <c r="B683" s="5"/>
      <c r="C683" s="5"/>
      <c r="D683" s="5"/>
      <c r="E683" s="5"/>
      <c r="F683" s="5"/>
      <c r="G683" s="5"/>
      <c r="H683" s="5"/>
      <c r="I683" s="5"/>
    </row>
    <row r="684" ht="15.75" customHeight="1">
      <c r="A684" s="5"/>
      <c r="B684" s="5"/>
      <c r="C684" s="5"/>
      <c r="D684" s="5"/>
      <c r="E684" s="5"/>
      <c r="F684" s="5"/>
      <c r="G684" s="5"/>
      <c r="H684" s="5"/>
      <c r="I684" s="5"/>
    </row>
    <row r="685" ht="15.75" customHeight="1">
      <c r="A685" s="5"/>
      <c r="B685" s="5"/>
      <c r="C685" s="5"/>
      <c r="D685" s="5"/>
      <c r="E685" s="5"/>
      <c r="F685" s="5"/>
      <c r="G685" s="5"/>
      <c r="H685" s="5"/>
      <c r="I685" s="5"/>
    </row>
    <row r="686" ht="15.75" customHeight="1">
      <c r="A686" s="5"/>
      <c r="B686" s="5"/>
      <c r="C686" s="5"/>
      <c r="D686" s="5"/>
      <c r="E686" s="5"/>
      <c r="F686" s="5"/>
      <c r="G686" s="5"/>
      <c r="H686" s="5"/>
      <c r="I686" s="5"/>
    </row>
    <row r="687" ht="15.75" customHeight="1">
      <c r="A687" s="5"/>
      <c r="B687" s="5"/>
      <c r="C687" s="5"/>
      <c r="D687" s="5"/>
      <c r="E687" s="5"/>
      <c r="F687" s="5"/>
      <c r="G687" s="5"/>
      <c r="H687" s="5"/>
      <c r="I687" s="5"/>
    </row>
    <row r="688" ht="15.75" customHeight="1">
      <c r="A688" s="5"/>
      <c r="B688" s="5"/>
      <c r="C688" s="5"/>
      <c r="D688" s="5"/>
      <c r="E688" s="5"/>
      <c r="F688" s="5"/>
      <c r="G688" s="5"/>
      <c r="H688" s="5"/>
      <c r="I688" s="5"/>
    </row>
    <row r="689" ht="15.75" customHeight="1">
      <c r="A689" s="5"/>
      <c r="B689" s="5"/>
      <c r="C689" s="5"/>
      <c r="D689" s="5"/>
      <c r="E689" s="5"/>
      <c r="F689" s="5"/>
      <c r="G689" s="5"/>
      <c r="H689" s="5"/>
      <c r="I689" s="5"/>
    </row>
    <row r="690" ht="15.75" customHeight="1">
      <c r="A690" s="5"/>
      <c r="B690" s="5"/>
      <c r="C690" s="5"/>
      <c r="D690" s="5"/>
      <c r="E690" s="5"/>
      <c r="F690" s="5"/>
      <c r="G690" s="5"/>
      <c r="H690" s="5"/>
      <c r="I690" s="5"/>
    </row>
    <row r="691" ht="15.75" customHeight="1">
      <c r="A691" s="5"/>
      <c r="B691" s="5"/>
      <c r="C691" s="5"/>
      <c r="D691" s="5"/>
      <c r="E691" s="5"/>
      <c r="F691" s="5"/>
      <c r="G691" s="5"/>
      <c r="H691" s="5"/>
      <c r="I691" s="5"/>
    </row>
    <row r="692" ht="15.75" customHeight="1">
      <c r="A692" s="5"/>
      <c r="B692" s="5"/>
      <c r="C692" s="5"/>
      <c r="D692" s="5"/>
      <c r="E692" s="5"/>
      <c r="F692" s="5"/>
      <c r="G692" s="5"/>
      <c r="H692" s="5"/>
      <c r="I692" s="5"/>
    </row>
    <row r="693" ht="15.75" customHeight="1">
      <c r="A693" s="5"/>
      <c r="B693" s="5"/>
      <c r="C693" s="5"/>
      <c r="D693" s="5"/>
      <c r="E693" s="5"/>
      <c r="F693" s="5"/>
      <c r="G693" s="5"/>
      <c r="H693" s="5"/>
      <c r="I693" s="5"/>
    </row>
    <row r="694" ht="15.75" customHeight="1">
      <c r="A694" s="5"/>
      <c r="B694" s="5"/>
      <c r="C694" s="5"/>
      <c r="D694" s="5"/>
      <c r="E694" s="5"/>
      <c r="F694" s="5"/>
      <c r="G694" s="5"/>
      <c r="H694" s="5"/>
      <c r="I694" s="5"/>
    </row>
    <row r="695" ht="15.75" customHeight="1">
      <c r="A695" s="5"/>
      <c r="B695" s="5"/>
      <c r="C695" s="5"/>
      <c r="D695" s="5"/>
      <c r="E695" s="5"/>
      <c r="F695" s="5"/>
      <c r="G695" s="5"/>
      <c r="H695" s="5"/>
      <c r="I695" s="5"/>
    </row>
    <row r="696" ht="15.75" customHeight="1">
      <c r="A696" s="5"/>
      <c r="B696" s="5"/>
      <c r="C696" s="5"/>
      <c r="D696" s="5"/>
      <c r="E696" s="5"/>
      <c r="F696" s="5"/>
      <c r="G696" s="5"/>
      <c r="H696" s="5"/>
      <c r="I696" s="5"/>
    </row>
    <row r="697" ht="15.75" customHeight="1">
      <c r="A697" s="5"/>
      <c r="B697" s="5"/>
      <c r="C697" s="5"/>
      <c r="D697" s="5"/>
      <c r="E697" s="5"/>
      <c r="F697" s="5"/>
      <c r="G697" s="5"/>
      <c r="H697" s="5"/>
      <c r="I697" s="5"/>
    </row>
    <row r="698" ht="15.75" customHeight="1">
      <c r="A698" s="5"/>
      <c r="B698" s="5"/>
      <c r="C698" s="5"/>
      <c r="D698" s="5"/>
      <c r="E698" s="5"/>
      <c r="F698" s="5"/>
      <c r="G698" s="5"/>
      <c r="H698" s="5"/>
      <c r="I698" s="5"/>
    </row>
    <row r="699" ht="15.75" customHeight="1">
      <c r="A699" s="5"/>
      <c r="B699" s="5"/>
      <c r="C699" s="5"/>
      <c r="D699" s="5"/>
      <c r="E699" s="5"/>
      <c r="F699" s="5"/>
      <c r="G699" s="5"/>
      <c r="H699" s="5"/>
      <c r="I699" s="5"/>
    </row>
    <row r="700" ht="15.75" customHeight="1">
      <c r="A700" s="5"/>
      <c r="B700" s="5"/>
      <c r="C700" s="5"/>
      <c r="D700" s="5"/>
      <c r="E700" s="5"/>
      <c r="F700" s="5"/>
      <c r="G700" s="5"/>
      <c r="H700" s="5"/>
      <c r="I700" s="5"/>
    </row>
    <row r="701" ht="15.75" customHeight="1">
      <c r="A701" s="5"/>
      <c r="B701" s="5"/>
      <c r="C701" s="5"/>
      <c r="D701" s="5"/>
      <c r="E701" s="5"/>
      <c r="F701" s="5"/>
      <c r="G701" s="5"/>
      <c r="H701" s="5"/>
      <c r="I701" s="5"/>
    </row>
    <row r="702" ht="15.75" customHeight="1">
      <c r="A702" s="5"/>
      <c r="B702" s="5"/>
      <c r="C702" s="5"/>
      <c r="D702" s="5"/>
      <c r="E702" s="5"/>
      <c r="F702" s="5"/>
      <c r="G702" s="5"/>
      <c r="H702" s="5"/>
      <c r="I702" s="5"/>
    </row>
    <row r="703" ht="15.75" customHeight="1">
      <c r="A703" s="5"/>
      <c r="B703" s="5"/>
      <c r="C703" s="5"/>
      <c r="D703" s="5"/>
      <c r="E703" s="5"/>
      <c r="F703" s="5"/>
      <c r="G703" s="5"/>
      <c r="H703" s="5"/>
      <c r="I703" s="5"/>
    </row>
    <row r="704" ht="15.75" customHeight="1">
      <c r="A704" s="5"/>
      <c r="B704" s="5"/>
      <c r="C704" s="5"/>
      <c r="D704" s="5"/>
      <c r="E704" s="5"/>
      <c r="F704" s="5"/>
      <c r="G704" s="5"/>
      <c r="H704" s="5"/>
      <c r="I704" s="5"/>
    </row>
    <row r="705" ht="15.75" customHeight="1">
      <c r="A705" s="5"/>
      <c r="B705" s="5"/>
      <c r="C705" s="5"/>
      <c r="D705" s="5"/>
      <c r="E705" s="5"/>
      <c r="F705" s="5"/>
      <c r="G705" s="5"/>
      <c r="H705" s="5"/>
      <c r="I705" s="5"/>
    </row>
    <row r="706" ht="15.75" customHeight="1">
      <c r="A706" s="5"/>
      <c r="B706" s="5"/>
      <c r="C706" s="5"/>
      <c r="D706" s="5"/>
      <c r="E706" s="5"/>
      <c r="F706" s="5"/>
      <c r="G706" s="5"/>
      <c r="H706" s="5"/>
      <c r="I706" s="5"/>
    </row>
    <row r="707" ht="15.75" customHeight="1">
      <c r="A707" s="5"/>
      <c r="B707" s="5"/>
      <c r="C707" s="5"/>
      <c r="D707" s="5"/>
      <c r="E707" s="5"/>
      <c r="F707" s="5"/>
      <c r="G707" s="5"/>
      <c r="H707" s="5"/>
      <c r="I707" s="5"/>
    </row>
    <row r="708" ht="15.75" customHeight="1">
      <c r="A708" s="5"/>
      <c r="B708" s="5"/>
      <c r="C708" s="5"/>
      <c r="D708" s="5"/>
      <c r="E708" s="5"/>
      <c r="F708" s="5"/>
      <c r="G708" s="5"/>
      <c r="H708" s="5"/>
      <c r="I708" s="5"/>
    </row>
    <row r="709" ht="15.75" customHeight="1">
      <c r="A709" s="5"/>
      <c r="B709" s="5"/>
      <c r="C709" s="5"/>
      <c r="D709" s="5"/>
      <c r="E709" s="5"/>
      <c r="F709" s="5"/>
      <c r="G709" s="5"/>
      <c r="H709" s="5"/>
      <c r="I709" s="5"/>
    </row>
    <row r="710" ht="15.75" customHeight="1">
      <c r="A710" s="5"/>
      <c r="B710" s="5"/>
      <c r="C710" s="5"/>
      <c r="D710" s="5"/>
      <c r="E710" s="5"/>
      <c r="F710" s="5"/>
      <c r="G710" s="5"/>
      <c r="H710" s="5"/>
      <c r="I710" s="5"/>
    </row>
    <row r="711" ht="15.75" customHeight="1">
      <c r="A711" s="5"/>
      <c r="B711" s="5"/>
      <c r="C711" s="5"/>
      <c r="D711" s="5"/>
      <c r="E711" s="5"/>
      <c r="F711" s="5"/>
      <c r="G711" s="5"/>
      <c r="H711" s="5"/>
      <c r="I711" s="5"/>
    </row>
    <row r="712" ht="15.75" customHeight="1">
      <c r="A712" s="5"/>
      <c r="B712" s="5"/>
      <c r="C712" s="5"/>
      <c r="D712" s="5"/>
      <c r="E712" s="5"/>
      <c r="F712" s="5"/>
      <c r="G712" s="5"/>
      <c r="H712" s="5"/>
      <c r="I712" s="5"/>
    </row>
    <row r="713" ht="15.75" customHeight="1">
      <c r="A713" s="5"/>
      <c r="B713" s="5"/>
      <c r="C713" s="5"/>
      <c r="D713" s="5"/>
      <c r="E713" s="5"/>
      <c r="F713" s="5"/>
      <c r="G713" s="5"/>
      <c r="H713" s="5"/>
      <c r="I713" s="5"/>
    </row>
    <row r="714" ht="15.75" customHeight="1">
      <c r="A714" s="5"/>
      <c r="B714" s="5"/>
      <c r="C714" s="5"/>
      <c r="D714" s="5"/>
      <c r="E714" s="5"/>
      <c r="F714" s="5"/>
      <c r="G714" s="5"/>
      <c r="H714" s="5"/>
      <c r="I714" s="5"/>
    </row>
    <row r="715" ht="15.75" customHeight="1">
      <c r="A715" s="5"/>
      <c r="B715" s="5"/>
      <c r="C715" s="5"/>
      <c r="D715" s="5"/>
      <c r="E715" s="5"/>
      <c r="F715" s="5"/>
      <c r="G715" s="5"/>
      <c r="H715" s="5"/>
      <c r="I715" s="5"/>
    </row>
    <row r="716" ht="15.75" customHeight="1">
      <c r="A716" s="5"/>
      <c r="B716" s="5"/>
      <c r="C716" s="5"/>
      <c r="D716" s="5"/>
      <c r="E716" s="5"/>
      <c r="F716" s="5"/>
      <c r="G716" s="5"/>
      <c r="H716" s="5"/>
      <c r="I716" s="5"/>
    </row>
    <row r="717" ht="15.75" customHeight="1">
      <c r="A717" s="5"/>
      <c r="B717" s="5"/>
      <c r="C717" s="5"/>
      <c r="D717" s="5"/>
      <c r="E717" s="5"/>
      <c r="F717" s="5"/>
      <c r="G717" s="5"/>
      <c r="H717" s="5"/>
      <c r="I717" s="5"/>
    </row>
    <row r="718" ht="15.75" customHeight="1">
      <c r="A718" s="5"/>
      <c r="B718" s="5"/>
      <c r="C718" s="5"/>
      <c r="D718" s="5"/>
      <c r="E718" s="5"/>
      <c r="F718" s="5"/>
      <c r="G718" s="5"/>
      <c r="H718" s="5"/>
      <c r="I718" s="5"/>
    </row>
    <row r="719" ht="15.75" customHeight="1">
      <c r="A719" s="5"/>
      <c r="B719" s="5"/>
      <c r="C719" s="5"/>
      <c r="D719" s="5"/>
      <c r="E719" s="5"/>
      <c r="F719" s="5"/>
      <c r="G719" s="5"/>
      <c r="H719" s="5"/>
      <c r="I719" s="5"/>
    </row>
    <row r="720" ht="15.75" customHeight="1">
      <c r="A720" s="5"/>
      <c r="B720" s="5"/>
      <c r="C720" s="5"/>
      <c r="D720" s="5"/>
      <c r="E720" s="5"/>
      <c r="F720" s="5"/>
      <c r="G720" s="5"/>
      <c r="H720" s="5"/>
      <c r="I720" s="5"/>
    </row>
    <row r="721" ht="15.75" customHeight="1">
      <c r="A721" s="5"/>
      <c r="B721" s="5"/>
      <c r="C721" s="5"/>
      <c r="D721" s="5"/>
      <c r="E721" s="5"/>
      <c r="F721" s="5"/>
      <c r="G721" s="5"/>
      <c r="H721" s="5"/>
      <c r="I721" s="5"/>
    </row>
    <row r="722" ht="15.75" customHeight="1">
      <c r="A722" s="5"/>
      <c r="B722" s="5"/>
      <c r="C722" s="5"/>
      <c r="D722" s="5"/>
      <c r="E722" s="5"/>
      <c r="F722" s="5"/>
      <c r="G722" s="5"/>
      <c r="H722" s="5"/>
      <c r="I722" s="5"/>
    </row>
    <row r="723" ht="15.75" customHeight="1">
      <c r="A723" s="5"/>
      <c r="B723" s="5"/>
      <c r="C723" s="5"/>
      <c r="D723" s="5"/>
      <c r="E723" s="5"/>
      <c r="F723" s="5"/>
      <c r="G723" s="5"/>
      <c r="H723" s="5"/>
      <c r="I723" s="5"/>
    </row>
    <row r="724" ht="15.75" customHeight="1">
      <c r="A724" s="5"/>
      <c r="B724" s="5"/>
      <c r="C724" s="5"/>
      <c r="D724" s="5"/>
      <c r="E724" s="5"/>
      <c r="F724" s="5"/>
      <c r="G724" s="5"/>
      <c r="H724" s="5"/>
      <c r="I724" s="5"/>
    </row>
    <row r="725" ht="15.75" customHeight="1">
      <c r="A725" s="5"/>
      <c r="B725" s="5"/>
      <c r="C725" s="5"/>
      <c r="D725" s="5"/>
      <c r="E725" s="5"/>
      <c r="F725" s="5"/>
      <c r="G725" s="5"/>
      <c r="H725" s="5"/>
      <c r="I725" s="5"/>
    </row>
    <row r="726" ht="15.75" customHeight="1">
      <c r="A726" s="5"/>
      <c r="B726" s="5"/>
      <c r="C726" s="5"/>
      <c r="D726" s="5"/>
      <c r="E726" s="5"/>
      <c r="F726" s="5"/>
      <c r="G726" s="5"/>
      <c r="H726" s="5"/>
      <c r="I726" s="5"/>
    </row>
    <row r="727" ht="15.75" customHeight="1">
      <c r="A727" s="5"/>
      <c r="B727" s="5"/>
      <c r="C727" s="5"/>
      <c r="D727" s="5"/>
      <c r="E727" s="5"/>
      <c r="F727" s="5"/>
      <c r="G727" s="5"/>
      <c r="H727" s="5"/>
      <c r="I727" s="5"/>
    </row>
    <row r="728" ht="15.75" customHeight="1">
      <c r="A728" s="5"/>
      <c r="B728" s="5"/>
      <c r="C728" s="5"/>
      <c r="D728" s="5"/>
      <c r="E728" s="5"/>
      <c r="F728" s="5"/>
      <c r="G728" s="5"/>
      <c r="H728" s="5"/>
      <c r="I728" s="5"/>
    </row>
    <row r="729" ht="15.75" customHeight="1">
      <c r="A729" s="5"/>
      <c r="B729" s="5"/>
      <c r="C729" s="5"/>
      <c r="D729" s="5"/>
      <c r="E729" s="5"/>
      <c r="F729" s="5"/>
      <c r="G729" s="5"/>
      <c r="H729" s="5"/>
      <c r="I729" s="5"/>
    </row>
    <row r="730" ht="15.75" customHeight="1">
      <c r="A730" s="5"/>
      <c r="B730" s="5"/>
      <c r="C730" s="5"/>
      <c r="D730" s="5"/>
      <c r="E730" s="5"/>
      <c r="F730" s="5"/>
      <c r="G730" s="5"/>
      <c r="H730" s="5"/>
      <c r="I730" s="5"/>
    </row>
    <row r="731" ht="15.75" customHeight="1">
      <c r="A731" s="5"/>
      <c r="B731" s="5"/>
      <c r="C731" s="5"/>
      <c r="D731" s="5"/>
      <c r="E731" s="5"/>
      <c r="F731" s="5"/>
      <c r="G731" s="5"/>
      <c r="H731" s="5"/>
      <c r="I731" s="5"/>
    </row>
    <row r="732" ht="15.75" customHeight="1">
      <c r="A732" s="5"/>
      <c r="B732" s="5"/>
      <c r="C732" s="5"/>
      <c r="D732" s="5"/>
      <c r="E732" s="5"/>
      <c r="F732" s="5"/>
      <c r="G732" s="5"/>
      <c r="H732" s="5"/>
      <c r="I732" s="5"/>
    </row>
    <row r="733" ht="15.75" customHeight="1">
      <c r="A733" s="5"/>
      <c r="B733" s="5"/>
      <c r="C733" s="5"/>
      <c r="D733" s="5"/>
      <c r="E733" s="5"/>
      <c r="F733" s="5"/>
      <c r="G733" s="5"/>
      <c r="H733" s="5"/>
      <c r="I733" s="5"/>
    </row>
    <row r="734" ht="15.75" customHeight="1">
      <c r="A734" s="5"/>
      <c r="B734" s="5"/>
      <c r="C734" s="5"/>
      <c r="D734" s="5"/>
      <c r="E734" s="5"/>
      <c r="F734" s="5"/>
      <c r="G734" s="5"/>
      <c r="H734" s="5"/>
      <c r="I734" s="5"/>
    </row>
    <row r="735" ht="15.75" customHeight="1">
      <c r="A735" s="5"/>
      <c r="B735" s="5"/>
      <c r="C735" s="5"/>
      <c r="D735" s="5"/>
      <c r="E735" s="5"/>
      <c r="F735" s="5"/>
      <c r="G735" s="5"/>
      <c r="H735" s="5"/>
      <c r="I735" s="5"/>
    </row>
    <row r="736" ht="15.75" customHeight="1">
      <c r="A736" s="5"/>
      <c r="B736" s="5"/>
      <c r="C736" s="5"/>
      <c r="D736" s="5"/>
      <c r="E736" s="5"/>
      <c r="F736" s="5"/>
      <c r="G736" s="5"/>
      <c r="H736" s="5"/>
      <c r="I736" s="5"/>
    </row>
    <row r="737" ht="15.75" customHeight="1">
      <c r="A737" s="5"/>
      <c r="B737" s="5"/>
      <c r="C737" s="5"/>
      <c r="D737" s="5"/>
      <c r="E737" s="5"/>
      <c r="F737" s="5"/>
      <c r="G737" s="5"/>
      <c r="H737" s="5"/>
      <c r="I737" s="5"/>
    </row>
    <row r="738" ht="15.75" customHeight="1">
      <c r="A738" s="5"/>
      <c r="B738" s="5"/>
      <c r="C738" s="5"/>
      <c r="D738" s="5"/>
      <c r="E738" s="5"/>
      <c r="F738" s="5"/>
      <c r="G738" s="5"/>
      <c r="H738" s="5"/>
      <c r="I738" s="5"/>
    </row>
    <row r="739" ht="15.75" customHeight="1">
      <c r="A739" s="5"/>
      <c r="B739" s="5"/>
      <c r="C739" s="5"/>
      <c r="D739" s="5"/>
      <c r="E739" s="5"/>
      <c r="F739" s="5"/>
      <c r="G739" s="5"/>
      <c r="H739" s="5"/>
      <c r="I739" s="5"/>
    </row>
    <row r="740" ht="15.75" customHeight="1">
      <c r="A740" s="5"/>
      <c r="B740" s="5"/>
      <c r="C740" s="5"/>
      <c r="D740" s="5"/>
      <c r="E740" s="5"/>
      <c r="F740" s="5"/>
      <c r="G740" s="5"/>
      <c r="H740" s="5"/>
      <c r="I740" s="5"/>
    </row>
    <row r="741" ht="15.75" customHeight="1">
      <c r="A741" s="5"/>
      <c r="B741" s="5"/>
      <c r="C741" s="5"/>
      <c r="D741" s="5"/>
      <c r="E741" s="5"/>
      <c r="F741" s="5"/>
      <c r="G741" s="5"/>
      <c r="H741" s="5"/>
      <c r="I741" s="5"/>
    </row>
    <row r="742" ht="15.75" customHeight="1">
      <c r="A742" s="5"/>
      <c r="B742" s="5"/>
      <c r="C742" s="5"/>
      <c r="D742" s="5"/>
      <c r="E742" s="5"/>
      <c r="F742" s="5"/>
      <c r="G742" s="5"/>
      <c r="H742" s="5"/>
      <c r="I742" s="5"/>
    </row>
    <row r="743" ht="15.75" customHeight="1">
      <c r="A743" s="5"/>
      <c r="B743" s="5"/>
      <c r="C743" s="5"/>
      <c r="D743" s="5"/>
      <c r="E743" s="5"/>
      <c r="F743" s="5"/>
      <c r="G743" s="5"/>
      <c r="H743" s="5"/>
      <c r="I743" s="5"/>
    </row>
    <row r="744" ht="15.75" customHeight="1">
      <c r="A744" s="5"/>
      <c r="B744" s="5"/>
      <c r="C744" s="5"/>
      <c r="D744" s="5"/>
      <c r="E744" s="5"/>
      <c r="F744" s="5"/>
      <c r="G744" s="5"/>
      <c r="H744" s="5"/>
      <c r="I744" s="5"/>
    </row>
    <row r="745" ht="15.75" customHeight="1">
      <c r="A745" s="5"/>
      <c r="B745" s="5"/>
      <c r="C745" s="5"/>
      <c r="D745" s="5"/>
      <c r="E745" s="5"/>
      <c r="F745" s="5"/>
      <c r="G745" s="5"/>
      <c r="H745" s="5"/>
      <c r="I745" s="5"/>
    </row>
    <row r="746" ht="15.75" customHeight="1">
      <c r="A746" s="5"/>
      <c r="B746" s="5"/>
      <c r="C746" s="5"/>
      <c r="D746" s="5"/>
      <c r="E746" s="5"/>
      <c r="F746" s="5"/>
      <c r="G746" s="5"/>
      <c r="H746" s="5"/>
      <c r="I746" s="5"/>
    </row>
    <row r="747" ht="15.75" customHeight="1">
      <c r="A747" s="5"/>
      <c r="B747" s="5"/>
      <c r="C747" s="5"/>
      <c r="D747" s="5"/>
      <c r="E747" s="5"/>
      <c r="F747" s="5"/>
      <c r="G747" s="5"/>
      <c r="H747" s="5"/>
      <c r="I747" s="5"/>
    </row>
    <row r="748" ht="15.75" customHeight="1">
      <c r="A748" s="5"/>
      <c r="B748" s="5"/>
      <c r="C748" s="5"/>
      <c r="D748" s="5"/>
      <c r="E748" s="5"/>
      <c r="F748" s="5"/>
      <c r="G748" s="5"/>
      <c r="H748" s="5"/>
      <c r="I748" s="5"/>
    </row>
    <row r="749" ht="15.75" customHeight="1">
      <c r="A749" s="5"/>
      <c r="B749" s="5"/>
      <c r="C749" s="5"/>
      <c r="D749" s="5"/>
      <c r="E749" s="5"/>
      <c r="F749" s="5"/>
      <c r="G749" s="5"/>
      <c r="H749" s="5"/>
      <c r="I749" s="5"/>
    </row>
    <row r="750" ht="15.75" customHeight="1">
      <c r="A750" s="5"/>
      <c r="B750" s="5"/>
      <c r="C750" s="5"/>
      <c r="D750" s="5"/>
      <c r="E750" s="5"/>
      <c r="F750" s="5"/>
      <c r="G750" s="5"/>
      <c r="H750" s="5"/>
      <c r="I750" s="5"/>
    </row>
    <row r="751" ht="15.75" customHeight="1">
      <c r="A751" s="5"/>
      <c r="B751" s="5"/>
      <c r="C751" s="5"/>
      <c r="D751" s="5"/>
      <c r="E751" s="5"/>
      <c r="F751" s="5"/>
      <c r="G751" s="5"/>
      <c r="H751" s="5"/>
      <c r="I751" s="5"/>
    </row>
    <row r="752" ht="15.75" customHeight="1">
      <c r="A752" s="5"/>
      <c r="B752" s="5"/>
      <c r="C752" s="5"/>
      <c r="D752" s="5"/>
      <c r="E752" s="5"/>
      <c r="F752" s="5"/>
      <c r="G752" s="5"/>
      <c r="H752" s="5"/>
      <c r="I752" s="5"/>
    </row>
    <row r="753" ht="15.75" customHeight="1">
      <c r="A753" s="5"/>
      <c r="B753" s="5"/>
      <c r="C753" s="5"/>
      <c r="D753" s="5"/>
      <c r="E753" s="5"/>
      <c r="F753" s="5"/>
      <c r="G753" s="5"/>
      <c r="H753" s="5"/>
      <c r="I753" s="5"/>
    </row>
    <row r="754" ht="15.75" customHeight="1">
      <c r="A754" s="5"/>
      <c r="B754" s="5"/>
      <c r="C754" s="5"/>
      <c r="D754" s="5"/>
      <c r="E754" s="5"/>
      <c r="F754" s="5"/>
      <c r="G754" s="5"/>
      <c r="H754" s="5"/>
      <c r="I754" s="5"/>
    </row>
    <row r="755" ht="15.75" customHeight="1">
      <c r="A755" s="5"/>
      <c r="B755" s="5"/>
      <c r="C755" s="5"/>
      <c r="D755" s="5"/>
      <c r="E755" s="5"/>
      <c r="F755" s="5"/>
      <c r="G755" s="5"/>
      <c r="H755" s="5"/>
      <c r="I755" s="5"/>
    </row>
    <row r="756" ht="15.75" customHeight="1">
      <c r="A756" s="5"/>
      <c r="B756" s="5"/>
      <c r="C756" s="5"/>
      <c r="D756" s="5"/>
      <c r="E756" s="5"/>
      <c r="F756" s="5"/>
      <c r="G756" s="5"/>
      <c r="H756" s="5"/>
      <c r="I756" s="5"/>
    </row>
    <row r="757" ht="15.75" customHeight="1">
      <c r="A757" s="5"/>
      <c r="B757" s="5"/>
      <c r="C757" s="5"/>
      <c r="D757" s="5"/>
      <c r="E757" s="5"/>
      <c r="F757" s="5"/>
      <c r="G757" s="5"/>
      <c r="H757" s="5"/>
      <c r="I757" s="5"/>
    </row>
    <row r="758" ht="15.75" customHeight="1">
      <c r="A758" s="5"/>
      <c r="B758" s="5"/>
      <c r="C758" s="5"/>
      <c r="D758" s="5"/>
      <c r="E758" s="5"/>
      <c r="F758" s="5"/>
      <c r="G758" s="5"/>
      <c r="H758" s="5"/>
      <c r="I758" s="5"/>
    </row>
    <row r="759" ht="15.75" customHeight="1">
      <c r="A759" s="5"/>
      <c r="B759" s="5"/>
      <c r="C759" s="5"/>
      <c r="D759" s="5"/>
      <c r="E759" s="5"/>
      <c r="F759" s="5"/>
      <c r="G759" s="5"/>
      <c r="H759" s="5"/>
      <c r="I759" s="5"/>
    </row>
    <row r="760" ht="15.75" customHeight="1">
      <c r="A760" s="5"/>
      <c r="B760" s="5"/>
      <c r="C760" s="5"/>
      <c r="D760" s="5"/>
      <c r="E760" s="5"/>
      <c r="F760" s="5"/>
      <c r="G760" s="5"/>
      <c r="H760" s="5"/>
      <c r="I760" s="5"/>
    </row>
    <row r="761" ht="15.75" customHeight="1">
      <c r="A761" s="5"/>
      <c r="B761" s="5"/>
      <c r="C761" s="5"/>
      <c r="D761" s="5"/>
      <c r="E761" s="5"/>
      <c r="F761" s="5"/>
      <c r="G761" s="5"/>
      <c r="H761" s="5"/>
      <c r="I761" s="5"/>
    </row>
    <row r="762" ht="15.75" customHeight="1">
      <c r="A762" s="5"/>
      <c r="B762" s="5"/>
      <c r="C762" s="5"/>
      <c r="D762" s="5"/>
      <c r="E762" s="5"/>
      <c r="F762" s="5"/>
      <c r="G762" s="5"/>
      <c r="H762" s="5"/>
      <c r="I762" s="5"/>
    </row>
    <row r="763" ht="15.75" customHeight="1">
      <c r="A763" s="5"/>
      <c r="B763" s="5"/>
      <c r="C763" s="5"/>
      <c r="D763" s="5"/>
      <c r="E763" s="5"/>
      <c r="F763" s="5"/>
      <c r="G763" s="5"/>
      <c r="H763" s="5"/>
      <c r="I763" s="5"/>
    </row>
    <row r="764" ht="15.75" customHeight="1">
      <c r="A764" s="5"/>
      <c r="B764" s="5"/>
      <c r="C764" s="5"/>
      <c r="D764" s="5"/>
      <c r="E764" s="5"/>
      <c r="F764" s="5"/>
      <c r="G764" s="5"/>
      <c r="H764" s="5"/>
      <c r="I764" s="5"/>
    </row>
    <row r="765" ht="15.75" customHeight="1">
      <c r="A765" s="5"/>
      <c r="B765" s="5"/>
      <c r="C765" s="5"/>
      <c r="D765" s="5"/>
      <c r="E765" s="5"/>
      <c r="F765" s="5"/>
      <c r="G765" s="5"/>
      <c r="H765" s="5"/>
      <c r="I765" s="5"/>
    </row>
    <row r="766" ht="15.75" customHeight="1">
      <c r="A766" s="5"/>
      <c r="B766" s="5"/>
      <c r="C766" s="5"/>
      <c r="D766" s="5"/>
      <c r="E766" s="5"/>
      <c r="F766" s="5"/>
      <c r="G766" s="5"/>
      <c r="H766" s="5"/>
      <c r="I766" s="5"/>
    </row>
    <row r="767" ht="15.75" customHeight="1">
      <c r="A767" s="5"/>
      <c r="B767" s="5"/>
      <c r="C767" s="5"/>
      <c r="D767" s="5"/>
      <c r="E767" s="5"/>
      <c r="F767" s="5"/>
      <c r="G767" s="5"/>
      <c r="H767" s="5"/>
      <c r="I767" s="5"/>
    </row>
    <row r="768" ht="15.75" customHeight="1">
      <c r="A768" s="5"/>
      <c r="B768" s="5"/>
      <c r="C768" s="5"/>
      <c r="D768" s="5"/>
      <c r="E768" s="5"/>
      <c r="F768" s="5"/>
      <c r="G768" s="5"/>
      <c r="H768" s="5"/>
      <c r="I768" s="5"/>
    </row>
    <row r="769" ht="15.75" customHeight="1">
      <c r="A769" s="5"/>
      <c r="B769" s="5"/>
      <c r="C769" s="5"/>
      <c r="D769" s="5"/>
      <c r="E769" s="5"/>
      <c r="F769" s="5"/>
      <c r="G769" s="5"/>
      <c r="H769" s="5"/>
      <c r="I769" s="5"/>
    </row>
    <row r="770" ht="15.75" customHeight="1">
      <c r="A770" s="5"/>
      <c r="B770" s="5"/>
      <c r="C770" s="5"/>
      <c r="D770" s="5"/>
      <c r="E770" s="5"/>
      <c r="F770" s="5"/>
      <c r="G770" s="5"/>
      <c r="H770" s="5"/>
      <c r="I770" s="5"/>
    </row>
    <row r="771" ht="15.75" customHeight="1">
      <c r="A771" s="5"/>
      <c r="B771" s="5"/>
      <c r="C771" s="5"/>
      <c r="D771" s="5"/>
      <c r="E771" s="5"/>
      <c r="F771" s="5"/>
      <c r="G771" s="5"/>
      <c r="H771" s="5"/>
      <c r="I771" s="5"/>
    </row>
    <row r="772" ht="15.75" customHeight="1">
      <c r="A772" s="5"/>
      <c r="B772" s="5"/>
      <c r="C772" s="5"/>
      <c r="D772" s="5"/>
      <c r="E772" s="5"/>
      <c r="F772" s="5"/>
      <c r="G772" s="5"/>
      <c r="H772" s="5"/>
      <c r="I772" s="5"/>
    </row>
    <row r="773" ht="15.75" customHeight="1">
      <c r="A773" s="5"/>
      <c r="B773" s="5"/>
      <c r="C773" s="5"/>
      <c r="D773" s="5"/>
      <c r="E773" s="5"/>
      <c r="F773" s="5"/>
      <c r="G773" s="5"/>
      <c r="H773" s="5"/>
      <c r="I773" s="5"/>
    </row>
    <row r="774" ht="15.75" customHeight="1">
      <c r="A774" s="5"/>
      <c r="B774" s="5"/>
      <c r="C774" s="5"/>
      <c r="D774" s="5"/>
      <c r="E774" s="5"/>
      <c r="F774" s="5"/>
      <c r="G774" s="5"/>
      <c r="H774" s="5"/>
      <c r="I774" s="5"/>
    </row>
    <row r="775" ht="15.75" customHeight="1">
      <c r="A775" s="5"/>
      <c r="B775" s="5"/>
      <c r="C775" s="5"/>
      <c r="D775" s="5"/>
      <c r="E775" s="5"/>
      <c r="F775" s="5"/>
      <c r="G775" s="5"/>
      <c r="H775" s="5"/>
      <c r="I775" s="5"/>
    </row>
    <row r="776" ht="15.75" customHeight="1">
      <c r="A776" s="5"/>
      <c r="B776" s="5"/>
      <c r="C776" s="5"/>
      <c r="D776" s="5"/>
      <c r="E776" s="5"/>
      <c r="F776" s="5"/>
      <c r="G776" s="5"/>
      <c r="H776" s="5"/>
      <c r="I776" s="5"/>
    </row>
    <row r="777" ht="15.75" customHeight="1">
      <c r="A777" s="5"/>
      <c r="B777" s="5"/>
      <c r="C777" s="5"/>
      <c r="D777" s="5"/>
      <c r="E777" s="5"/>
      <c r="F777" s="5"/>
      <c r="G777" s="5"/>
      <c r="H777" s="5"/>
      <c r="I777" s="5"/>
    </row>
    <row r="778" ht="15.75" customHeight="1">
      <c r="A778" s="5"/>
      <c r="B778" s="5"/>
      <c r="C778" s="5"/>
      <c r="D778" s="5"/>
      <c r="E778" s="5"/>
      <c r="F778" s="5"/>
      <c r="G778" s="5"/>
      <c r="H778" s="5"/>
      <c r="I778" s="5"/>
    </row>
    <row r="779" ht="15.75" customHeight="1">
      <c r="A779" s="5"/>
      <c r="B779" s="5"/>
      <c r="C779" s="5"/>
      <c r="D779" s="5"/>
      <c r="E779" s="5"/>
      <c r="F779" s="5"/>
      <c r="G779" s="5"/>
      <c r="H779" s="5"/>
      <c r="I779" s="5"/>
    </row>
    <row r="780" ht="15.75" customHeight="1">
      <c r="A780" s="5"/>
      <c r="B780" s="5"/>
      <c r="C780" s="5"/>
      <c r="D780" s="5"/>
      <c r="E780" s="5"/>
      <c r="F780" s="5"/>
      <c r="G780" s="5"/>
      <c r="H780" s="5"/>
      <c r="I780" s="5"/>
    </row>
    <row r="781" ht="15.75" customHeight="1">
      <c r="A781" s="5"/>
      <c r="B781" s="5"/>
      <c r="C781" s="5"/>
      <c r="D781" s="5"/>
      <c r="E781" s="5"/>
      <c r="F781" s="5"/>
      <c r="G781" s="5"/>
      <c r="H781" s="5"/>
      <c r="I781" s="5"/>
    </row>
    <row r="782" ht="15.75" customHeight="1">
      <c r="A782" s="5"/>
      <c r="B782" s="5"/>
      <c r="C782" s="5"/>
      <c r="D782" s="5"/>
      <c r="E782" s="5"/>
      <c r="F782" s="5"/>
      <c r="G782" s="5"/>
      <c r="H782" s="5"/>
      <c r="I782" s="5"/>
    </row>
    <row r="783" ht="15.75" customHeight="1">
      <c r="A783" s="5"/>
      <c r="B783" s="5"/>
      <c r="C783" s="5"/>
      <c r="D783" s="5"/>
      <c r="E783" s="5"/>
      <c r="F783" s="5"/>
      <c r="G783" s="5"/>
      <c r="H783" s="5"/>
      <c r="I783" s="5"/>
    </row>
    <row r="784" ht="15.75" customHeight="1">
      <c r="A784" s="5"/>
      <c r="B784" s="5"/>
      <c r="C784" s="5"/>
      <c r="D784" s="5"/>
      <c r="E784" s="5"/>
      <c r="F784" s="5"/>
      <c r="G784" s="5"/>
      <c r="H784" s="5"/>
      <c r="I784" s="5"/>
    </row>
    <row r="785" ht="15.75" customHeight="1">
      <c r="A785" s="5"/>
      <c r="B785" s="5"/>
      <c r="C785" s="5"/>
      <c r="D785" s="5"/>
      <c r="E785" s="5"/>
      <c r="F785" s="5"/>
      <c r="G785" s="5"/>
      <c r="H785" s="5"/>
      <c r="I785" s="5"/>
    </row>
    <row r="786" ht="15.75" customHeight="1">
      <c r="A786" s="5"/>
      <c r="B786" s="5"/>
      <c r="C786" s="5"/>
      <c r="D786" s="5"/>
      <c r="E786" s="5"/>
      <c r="F786" s="5"/>
      <c r="G786" s="5"/>
      <c r="H786" s="5"/>
      <c r="I786" s="5"/>
    </row>
    <row r="787" ht="15.75" customHeight="1">
      <c r="A787" s="5"/>
      <c r="B787" s="5"/>
      <c r="C787" s="5"/>
      <c r="D787" s="5"/>
      <c r="E787" s="5"/>
      <c r="F787" s="5"/>
      <c r="G787" s="5"/>
      <c r="H787" s="5"/>
      <c r="I787" s="5"/>
    </row>
    <row r="788" ht="15.75" customHeight="1">
      <c r="A788" s="5"/>
      <c r="B788" s="5"/>
      <c r="C788" s="5"/>
      <c r="D788" s="5"/>
      <c r="E788" s="5"/>
      <c r="F788" s="5"/>
      <c r="G788" s="5"/>
      <c r="H788" s="5"/>
      <c r="I788" s="5"/>
    </row>
    <row r="789" ht="15.75" customHeight="1">
      <c r="A789" s="5"/>
      <c r="B789" s="5"/>
      <c r="C789" s="5"/>
      <c r="D789" s="5"/>
      <c r="E789" s="5"/>
      <c r="F789" s="5"/>
      <c r="G789" s="5"/>
      <c r="H789" s="5"/>
      <c r="I789" s="5"/>
    </row>
    <row r="790" ht="15.75" customHeight="1">
      <c r="A790" s="5"/>
      <c r="B790" s="5"/>
      <c r="C790" s="5"/>
      <c r="D790" s="5"/>
      <c r="E790" s="5"/>
      <c r="F790" s="5"/>
      <c r="G790" s="5"/>
      <c r="H790" s="5"/>
      <c r="I790" s="5"/>
    </row>
    <row r="791" ht="15.75" customHeight="1">
      <c r="A791" s="5"/>
      <c r="B791" s="5"/>
      <c r="C791" s="5"/>
      <c r="D791" s="5"/>
      <c r="E791" s="5"/>
      <c r="F791" s="5"/>
      <c r="G791" s="5"/>
      <c r="H791" s="5"/>
      <c r="I791" s="5"/>
    </row>
    <row r="792" ht="15.75" customHeight="1">
      <c r="A792" s="5"/>
      <c r="B792" s="5"/>
      <c r="C792" s="5"/>
      <c r="D792" s="5"/>
      <c r="E792" s="5"/>
      <c r="F792" s="5"/>
      <c r="G792" s="5"/>
      <c r="H792" s="5"/>
      <c r="I792" s="5"/>
    </row>
    <row r="793" ht="15.75" customHeight="1">
      <c r="A793" s="5"/>
      <c r="B793" s="5"/>
      <c r="C793" s="5"/>
      <c r="D793" s="5"/>
      <c r="E793" s="5"/>
      <c r="F793" s="5"/>
      <c r="G793" s="5"/>
      <c r="H793" s="5"/>
      <c r="I793" s="5"/>
    </row>
    <row r="794" ht="15.75" customHeight="1">
      <c r="A794" s="5"/>
      <c r="B794" s="5"/>
      <c r="C794" s="5"/>
      <c r="D794" s="5"/>
      <c r="E794" s="5"/>
      <c r="F794" s="5"/>
      <c r="G794" s="5"/>
      <c r="H794" s="5"/>
      <c r="I794" s="5"/>
    </row>
    <row r="795" ht="15.75" customHeight="1">
      <c r="A795" s="5"/>
      <c r="B795" s="5"/>
      <c r="C795" s="5"/>
      <c r="D795" s="5"/>
      <c r="E795" s="5"/>
      <c r="F795" s="5"/>
      <c r="G795" s="5"/>
      <c r="H795" s="5"/>
      <c r="I795" s="5"/>
    </row>
    <row r="796" ht="15.75" customHeight="1">
      <c r="A796" s="5"/>
      <c r="B796" s="5"/>
      <c r="C796" s="5"/>
      <c r="D796" s="5"/>
      <c r="E796" s="5"/>
      <c r="F796" s="5"/>
      <c r="G796" s="5"/>
      <c r="H796" s="5"/>
      <c r="I796" s="5"/>
    </row>
    <row r="797" ht="15.75" customHeight="1">
      <c r="A797" s="5"/>
      <c r="B797" s="5"/>
      <c r="C797" s="5"/>
      <c r="D797" s="5"/>
      <c r="E797" s="5"/>
      <c r="F797" s="5"/>
      <c r="G797" s="5"/>
      <c r="H797" s="5"/>
      <c r="I797" s="5"/>
    </row>
    <row r="798" ht="15.75" customHeight="1">
      <c r="A798" s="5"/>
      <c r="B798" s="5"/>
      <c r="C798" s="5"/>
      <c r="D798" s="5"/>
      <c r="E798" s="5"/>
      <c r="F798" s="5"/>
      <c r="G798" s="5"/>
      <c r="H798" s="5"/>
      <c r="I798" s="5"/>
    </row>
    <row r="799" ht="15.75" customHeight="1">
      <c r="A799" s="5"/>
      <c r="B799" s="5"/>
      <c r="C799" s="5"/>
      <c r="D799" s="5"/>
      <c r="E799" s="5"/>
      <c r="F799" s="5"/>
      <c r="G799" s="5"/>
      <c r="H799" s="5"/>
      <c r="I799" s="5"/>
    </row>
    <row r="800" ht="15.75" customHeight="1">
      <c r="A800" s="5"/>
      <c r="B800" s="5"/>
      <c r="C800" s="5"/>
      <c r="D800" s="5"/>
      <c r="E800" s="5"/>
      <c r="F800" s="5"/>
      <c r="G800" s="5"/>
      <c r="H800" s="5"/>
      <c r="I800" s="5"/>
    </row>
    <row r="801" ht="15.75" customHeight="1">
      <c r="A801" s="5"/>
      <c r="B801" s="5"/>
      <c r="C801" s="5"/>
      <c r="D801" s="5"/>
      <c r="E801" s="5"/>
      <c r="F801" s="5"/>
      <c r="G801" s="5"/>
      <c r="H801" s="5"/>
      <c r="I801" s="5"/>
    </row>
    <row r="802" ht="15.75" customHeight="1">
      <c r="A802" s="5"/>
      <c r="B802" s="5"/>
      <c r="C802" s="5"/>
      <c r="D802" s="5"/>
      <c r="E802" s="5"/>
      <c r="F802" s="5"/>
      <c r="G802" s="5"/>
      <c r="H802" s="5"/>
      <c r="I802" s="5"/>
    </row>
    <row r="803" ht="15.75" customHeight="1">
      <c r="A803" s="5"/>
      <c r="B803" s="5"/>
      <c r="C803" s="5"/>
      <c r="D803" s="5"/>
      <c r="E803" s="5"/>
      <c r="F803" s="5"/>
      <c r="G803" s="5"/>
      <c r="H803" s="5"/>
      <c r="I803" s="5"/>
    </row>
    <row r="804" ht="15.75" customHeight="1">
      <c r="A804" s="5"/>
      <c r="B804" s="5"/>
      <c r="C804" s="5"/>
      <c r="D804" s="5"/>
      <c r="E804" s="5"/>
      <c r="F804" s="5"/>
      <c r="G804" s="5"/>
      <c r="H804" s="5"/>
      <c r="I804" s="5"/>
    </row>
    <row r="805" ht="15.75" customHeight="1">
      <c r="A805" s="5"/>
      <c r="B805" s="5"/>
      <c r="C805" s="5"/>
      <c r="D805" s="5"/>
      <c r="E805" s="5"/>
      <c r="F805" s="5"/>
      <c r="G805" s="5"/>
      <c r="H805" s="5"/>
      <c r="I805" s="5"/>
    </row>
    <row r="806" ht="15.75" customHeight="1">
      <c r="A806" s="5"/>
      <c r="B806" s="5"/>
      <c r="C806" s="5"/>
      <c r="D806" s="5"/>
      <c r="E806" s="5"/>
      <c r="F806" s="5"/>
      <c r="G806" s="5"/>
      <c r="H806" s="5"/>
      <c r="I806" s="5"/>
    </row>
    <row r="807" ht="15.75" customHeight="1">
      <c r="A807" s="5"/>
      <c r="B807" s="5"/>
      <c r="C807" s="5"/>
      <c r="D807" s="5"/>
      <c r="E807" s="5"/>
      <c r="F807" s="5"/>
      <c r="G807" s="5"/>
      <c r="H807" s="5"/>
      <c r="I807" s="5"/>
    </row>
    <row r="808" ht="15.75" customHeight="1">
      <c r="A808" s="5"/>
      <c r="B808" s="5"/>
      <c r="C808" s="5"/>
      <c r="D808" s="5"/>
      <c r="E808" s="5"/>
      <c r="F808" s="5"/>
      <c r="G808" s="5"/>
      <c r="H808" s="5"/>
      <c r="I808" s="5"/>
    </row>
    <row r="809" ht="15.75" customHeight="1">
      <c r="A809" s="5"/>
      <c r="B809" s="5"/>
      <c r="C809" s="5"/>
      <c r="D809" s="5"/>
      <c r="E809" s="5"/>
      <c r="F809" s="5"/>
      <c r="G809" s="5"/>
      <c r="H809" s="5"/>
      <c r="I809" s="5"/>
    </row>
    <row r="810" ht="15.75" customHeight="1">
      <c r="A810" s="5"/>
      <c r="B810" s="5"/>
      <c r="C810" s="5"/>
      <c r="D810" s="5"/>
      <c r="E810" s="5"/>
      <c r="F810" s="5"/>
      <c r="G810" s="5"/>
      <c r="H810" s="5"/>
      <c r="I810" s="5"/>
    </row>
    <row r="811" ht="15.75" customHeight="1">
      <c r="A811" s="5"/>
      <c r="B811" s="5"/>
      <c r="C811" s="5"/>
      <c r="D811" s="5"/>
      <c r="E811" s="5"/>
      <c r="F811" s="5"/>
      <c r="G811" s="5"/>
      <c r="H811" s="5"/>
      <c r="I811" s="5"/>
    </row>
    <row r="812" ht="15.75" customHeight="1">
      <c r="A812" s="5"/>
      <c r="B812" s="5"/>
      <c r="C812" s="5"/>
      <c r="D812" s="5"/>
      <c r="E812" s="5"/>
      <c r="F812" s="5"/>
      <c r="G812" s="5"/>
      <c r="H812" s="5"/>
      <c r="I812" s="5"/>
    </row>
    <row r="813" ht="15.75" customHeight="1">
      <c r="A813" s="5"/>
      <c r="B813" s="5"/>
      <c r="C813" s="5"/>
      <c r="D813" s="5"/>
      <c r="E813" s="5"/>
      <c r="F813" s="5"/>
      <c r="G813" s="5"/>
      <c r="H813" s="5"/>
      <c r="I813" s="5"/>
    </row>
    <row r="814" ht="15.75" customHeight="1">
      <c r="A814" s="5"/>
      <c r="B814" s="5"/>
      <c r="C814" s="5"/>
      <c r="D814" s="5"/>
      <c r="E814" s="5"/>
      <c r="F814" s="5"/>
      <c r="G814" s="5"/>
      <c r="H814" s="5"/>
      <c r="I814" s="5"/>
    </row>
    <row r="815" ht="15.75" customHeight="1">
      <c r="A815" s="5"/>
      <c r="B815" s="5"/>
      <c r="C815" s="5"/>
      <c r="D815" s="5"/>
      <c r="E815" s="5"/>
      <c r="F815" s="5"/>
      <c r="G815" s="5"/>
      <c r="H815" s="5"/>
      <c r="I815" s="5"/>
    </row>
    <row r="816" ht="15.75" customHeight="1">
      <c r="A816" s="5"/>
      <c r="B816" s="5"/>
      <c r="C816" s="5"/>
      <c r="D816" s="5"/>
      <c r="E816" s="5"/>
      <c r="F816" s="5"/>
      <c r="G816" s="5"/>
      <c r="H816" s="5"/>
      <c r="I816" s="5"/>
    </row>
    <row r="817" ht="15.75" customHeight="1">
      <c r="A817" s="5"/>
      <c r="B817" s="5"/>
      <c r="C817" s="5"/>
      <c r="D817" s="5"/>
      <c r="E817" s="5"/>
      <c r="F817" s="5"/>
      <c r="G817" s="5"/>
      <c r="H817" s="5"/>
      <c r="I817" s="5"/>
    </row>
    <row r="818" ht="15.75" customHeight="1">
      <c r="A818" s="5"/>
      <c r="B818" s="5"/>
      <c r="C818" s="5"/>
      <c r="D818" s="5"/>
      <c r="E818" s="5"/>
      <c r="F818" s="5"/>
      <c r="G818" s="5"/>
      <c r="H818" s="5"/>
      <c r="I818" s="5"/>
    </row>
    <row r="819" ht="15.75" customHeight="1">
      <c r="A819" s="5"/>
      <c r="B819" s="5"/>
      <c r="C819" s="5"/>
      <c r="D819" s="5"/>
      <c r="E819" s="5"/>
      <c r="F819" s="5"/>
      <c r="G819" s="5"/>
      <c r="H819" s="5"/>
      <c r="I819" s="5"/>
    </row>
    <row r="820" ht="15.75" customHeight="1">
      <c r="A820" s="5"/>
      <c r="B820" s="5"/>
      <c r="C820" s="5"/>
      <c r="D820" s="5"/>
      <c r="E820" s="5"/>
      <c r="F820" s="5"/>
      <c r="G820" s="5"/>
      <c r="H820" s="5"/>
      <c r="I820" s="5"/>
    </row>
    <row r="821" ht="15.75" customHeight="1">
      <c r="A821" s="5"/>
      <c r="B821" s="5"/>
      <c r="C821" s="5"/>
      <c r="D821" s="5"/>
      <c r="E821" s="5"/>
      <c r="F821" s="5"/>
      <c r="G821" s="5"/>
      <c r="H821" s="5"/>
      <c r="I821" s="5"/>
    </row>
    <row r="822" ht="15.75" customHeight="1">
      <c r="A822" s="5"/>
      <c r="B822" s="5"/>
      <c r="C822" s="5"/>
      <c r="D822" s="5"/>
      <c r="E822" s="5"/>
      <c r="F822" s="5"/>
      <c r="G822" s="5"/>
      <c r="H822" s="5"/>
      <c r="I822" s="5"/>
    </row>
    <row r="823" ht="15.75" customHeight="1">
      <c r="A823" s="5"/>
      <c r="B823" s="5"/>
      <c r="C823" s="5"/>
      <c r="D823" s="5"/>
      <c r="E823" s="5"/>
      <c r="F823" s="5"/>
      <c r="G823" s="5"/>
      <c r="H823" s="5"/>
      <c r="I823" s="5"/>
    </row>
    <row r="824" ht="15.75" customHeight="1">
      <c r="A824" s="5"/>
      <c r="B824" s="5"/>
      <c r="C824" s="5"/>
      <c r="D824" s="5"/>
      <c r="E824" s="5"/>
      <c r="F824" s="5"/>
      <c r="G824" s="5"/>
      <c r="H824" s="5"/>
      <c r="I824" s="5"/>
    </row>
    <row r="825" ht="15.75" customHeight="1">
      <c r="A825" s="5"/>
      <c r="B825" s="5"/>
      <c r="C825" s="5"/>
      <c r="D825" s="5"/>
      <c r="E825" s="5"/>
      <c r="F825" s="5"/>
      <c r="G825" s="5"/>
      <c r="H825" s="5"/>
      <c r="I825" s="5"/>
    </row>
    <row r="826" ht="15.75" customHeight="1">
      <c r="A826" s="5"/>
      <c r="B826" s="5"/>
      <c r="C826" s="5"/>
      <c r="D826" s="5"/>
      <c r="E826" s="5"/>
      <c r="F826" s="5"/>
      <c r="G826" s="5"/>
      <c r="H826" s="5"/>
      <c r="I826" s="5"/>
    </row>
    <row r="827" ht="15.75" customHeight="1">
      <c r="A827" s="5"/>
      <c r="B827" s="5"/>
      <c r="C827" s="5"/>
      <c r="D827" s="5"/>
      <c r="E827" s="5"/>
      <c r="F827" s="5"/>
      <c r="G827" s="5"/>
      <c r="H827" s="5"/>
      <c r="I827" s="5"/>
    </row>
    <row r="828" ht="15.75" customHeight="1">
      <c r="A828" s="5"/>
      <c r="B828" s="5"/>
      <c r="C828" s="5"/>
      <c r="D828" s="5"/>
      <c r="E828" s="5"/>
      <c r="F828" s="5"/>
      <c r="G828" s="5"/>
      <c r="H828" s="5"/>
      <c r="I828" s="5"/>
    </row>
    <row r="829" ht="15.75" customHeight="1">
      <c r="A829" s="5"/>
      <c r="B829" s="5"/>
      <c r="C829" s="5"/>
      <c r="D829" s="5"/>
      <c r="E829" s="5"/>
      <c r="F829" s="5"/>
      <c r="G829" s="5"/>
      <c r="H829" s="5"/>
      <c r="I829" s="5"/>
    </row>
    <row r="830" ht="15.75" customHeight="1">
      <c r="A830" s="5"/>
      <c r="B830" s="5"/>
      <c r="C830" s="5"/>
      <c r="D830" s="5"/>
      <c r="E830" s="5"/>
      <c r="F830" s="5"/>
      <c r="G830" s="5"/>
      <c r="H830" s="5"/>
      <c r="I830" s="5"/>
    </row>
    <row r="831" ht="15.75" customHeight="1">
      <c r="A831" s="5"/>
      <c r="B831" s="5"/>
      <c r="C831" s="5"/>
      <c r="D831" s="5"/>
      <c r="E831" s="5"/>
      <c r="F831" s="5"/>
      <c r="G831" s="5"/>
      <c r="H831" s="5"/>
      <c r="I831" s="5"/>
    </row>
    <row r="832" ht="15.75" customHeight="1">
      <c r="A832" s="5"/>
      <c r="B832" s="5"/>
      <c r="C832" s="5"/>
      <c r="D832" s="5"/>
      <c r="E832" s="5"/>
      <c r="F832" s="5"/>
      <c r="G832" s="5"/>
      <c r="H832" s="5"/>
      <c r="I832" s="5"/>
    </row>
    <row r="833" ht="15.75" customHeight="1">
      <c r="A833" s="5"/>
      <c r="B833" s="5"/>
      <c r="C833" s="5"/>
      <c r="D833" s="5"/>
      <c r="E833" s="5"/>
      <c r="F833" s="5"/>
      <c r="G833" s="5"/>
      <c r="H833" s="5"/>
      <c r="I833" s="5"/>
    </row>
    <row r="834" ht="15.75" customHeight="1">
      <c r="A834" s="5"/>
      <c r="B834" s="5"/>
      <c r="C834" s="5"/>
      <c r="D834" s="5"/>
      <c r="E834" s="5"/>
      <c r="F834" s="5"/>
      <c r="G834" s="5"/>
      <c r="H834" s="5"/>
      <c r="I834" s="5"/>
    </row>
    <row r="835" ht="15.75" customHeight="1">
      <c r="A835" s="5"/>
      <c r="B835" s="5"/>
      <c r="C835" s="5"/>
      <c r="D835" s="5"/>
      <c r="E835" s="5"/>
      <c r="F835" s="5"/>
      <c r="G835" s="5"/>
      <c r="H835" s="5"/>
      <c r="I835" s="5"/>
    </row>
    <row r="836" ht="15.75" customHeight="1">
      <c r="A836" s="5"/>
      <c r="B836" s="5"/>
      <c r="C836" s="5"/>
      <c r="D836" s="5"/>
      <c r="E836" s="5"/>
      <c r="F836" s="5"/>
      <c r="G836" s="5"/>
      <c r="H836" s="5"/>
      <c r="I836" s="5"/>
    </row>
    <row r="837" ht="15.75" customHeight="1">
      <c r="A837" s="5"/>
      <c r="B837" s="5"/>
      <c r="C837" s="5"/>
      <c r="D837" s="5"/>
      <c r="E837" s="5"/>
      <c r="F837" s="5"/>
      <c r="G837" s="5"/>
      <c r="H837" s="5"/>
      <c r="I837" s="5"/>
    </row>
    <row r="838" ht="15.75" customHeight="1">
      <c r="A838" s="5"/>
      <c r="B838" s="5"/>
      <c r="C838" s="5"/>
      <c r="D838" s="5"/>
      <c r="E838" s="5"/>
      <c r="F838" s="5"/>
      <c r="G838" s="5"/>
      <c r="H838" s="5"/>
      <c r="I838" s="5"/>
    </row>
    <row r="839" ht="15.75" customHeight="1">
      <c r="A839" s="5"/>
      <c r="B839" s="5"/>
      <c r="C839" s="5"/>
      <c r="D839" s="5"/>
      <c r="E839" s="5"/>
      <c r="F839" s="5"/>
      <c r="G839" s="5"/>
      <c r="H839" s="5"/>
      <c r="I839" s="5"/>
    </row>
    <row r="840" ht="15.75" customHeight="1">
      <c r="A840" s="5"/>
      <c r="B840" s="5"/>
      <c r="C840" s="5"/>
      <c r="D840" s="5"/>
      <c r="E840" s="5"/>
      <c r="F840" s="5"/>
      <c r="G840" s="5"/>
      <c r="H840" s="5"/>
      <c r="I840" s="5"/>
    </row>
    <row r="841" ht="15.75" customHeight="1">
      <c r="A841" s="5"/>
      <c r="B841" s="5"/>
      <c r="C841" s="5"/>
      <c r="D841" s="5"/>
      <c r="E841" s="5"/>
      <c r="F841" s="5"/>
      <c r="G841" s="5"/>
      <c r="H841" s="5"/>
      <c r="I841" s="5"/>
    </row>
    <row r="842" ht="15.75" customHeight="1">
      <c r="A842" s="5"/>
      <c r="B842" s="5"/>
      <c r="C842" s="5"/>
      <c r="D842" s="5"/>
      <c r="E842" s="5"/>
      <c r="F842" s="5"/>
      <c r="G842" s="5"/>
      <c r="H842" s="5"/>
      <c r="I842" s="5"/>
    </row>
    <row r="843" ht="15.75" customHeight="1">
      <c r="A843" s="5"/>
      <c r="B843" s="5"/>
      <c r="C843" s="5"/>
      <c r="D843" s="5"/>
      <c r="E843" s="5"/>
      <c r="F843" s="5"/>
      <c r="G843" s="5"/>
      <c r="H843" s="5"/>
      <c r="I843" s="5"/>
    </row>
    <row r="844" ht="15.75" customHeight="1">
      <c r="A844" s="5"/>
      <c r="B844" s="5"/>
      <c r="C844" s="5"/>
      <c r="D844" s="5"/>
      <c r="E844" s="5"/>
      <c r="F844" s="5"/>
      <c r="G844" s="5"/>
      <c r="H844" s="5"/>
      <c r="I844" s="5"/>
    </row>
    <row r="845" ht="15.75" customHeight="1">
      <c r="A845" s="5"/>
      <c r="B845" s="5"/>
      <c r="C845" s="5"/>
      <c r="D845" s="5"/>
      <c r="E845" s="5"/>
      <c r="F845" s="5"/>
      <c r="G845" s="5"/>
      <c r="H845" s="5"/>
      <c r="I845" s="5"/>
    </row>
    <row r="846" ht="15.75" customHeight="1">
      <c r="A846" s="5"/>
      <c r="B846" s="5"/>
      <c r="C846" s="5"/>
      <c r="D846" s="5"/>
      <c r="E846" s="5"/>
      <c r="F846" s="5"/>
      <c r="G846" s="5"/>
      <c r="H846" s="5"/>
      <c r="I846" s="5"/>
    </row>
    <row r="847" ht="15.75" customHeight="1">
      <c r="A847" s="5"/>
      <c r="B847" s="5"/>
      <c r="C847" s="5"/>
      <c r="D847" s="5"/>
      <c r="E847" s="5"/>
      <c r="F847" s="5"/>
      <c r="G847" s="5"/>
      <c r="H847" s="5"/>
      <c r="I847" s="5"/>
    </row>
    <row r="848" ht="15.75" customHeight="1">
      <c r="A848" s="5"/>
      <c r="B848" s="5"/>
      <c r="C848" s="5"/>
      <c r="D848" s="5"/>
      <c r="E848" s="5"/>
      <c r="F848" s="5"/>
      <c r="G848" s="5"/>
      <c r="H848" s="5"/>
      <c r="I848" s="5"/>
    </row>
    <row r="849" ht="15.75" customHeight="1">
      <c r="A849" s="5"/>
      <c r="B849" s="5"/>
      <c r="C849" s="5"/>
      <c r="D849" s="5"/>
      <c r="E849" s="5"/>
      <c r="F849" s="5"/>
      <c r="G849" s="5"/>
      <c r="H849" s="5"/>
      <c r="I849" s="5"/>
    </row>
    <row r="850" ht="15.75" customHeight="1">
      <c r="A850" s="5"/>
      <c r="B850" s="5"/>
      <c r="C850" s="5"/>
      <c r="D850" s="5"/>
      <c r="E850" s="5"/>
      <c r="F850" s="5"/>
      <c r="G850" s="5"/>
      <c r="H850" s="5"/>
      <c r="I850" s="5"/>
    </row>
    <row r="851" ht="15.75" customHeight="1">
      <c r="A851" s="5"/>
      <c r="B851" s="5"/>
      <c r="C851" s="5"/>
      <c r="D851" s="5"/>
      <c r="E851" s="5"/>
      <c r="F851" s="5"/>
      <c r="G851" s="5"/>
      <c r="H851" s="5"/>
      <c r="I851" s="5"/>
    </row>
    <row r="852" ht="15.75" customHeight="1">
      <c r="A852" s="5"/>
      <c r="B852" s="5"/>
      <c r="C852" s="5"/>
      <c r="D852" s="5"/>
      <c r="E852" s="5"/>
      <c r="F852" s="5"/>
      <c r="G852" s="5"/>
      <c r="H852" s="5"/>
      <c r="I852" s="5"/>
    </row>
    <row r="853" ht="15.75" customHeight="1">
      <c r="A853" s="5"/>
      <c r="B853" s="5"/>
      <c r="C853" s="5"/>
      <c r="D853" s="5"/>
      <c r="E853" s="5"/>
      <c r="F853" s="5"/>
      <c r="G853" s="5"/>
      <c r="H853" s="5"/>
      <c r="I853" s="5"/>
    </row>
    <row r="854" ht="15.75" customHeight="1">
      <c r="A854" s="5"/>
      <c r="B854" s="5"/>
      <c r="C854" s="5"/>
      <c r="D854" s="5"/>
      <c r="E854" s="5"/>
      <c r="F854" s="5"/>
      <c r="G854" s="5"/>
      <c r="H854" s="5"/>
      <c r="I854" s="5"/>
    </row>
    <row r="855" ht="15.75" customHeight="1">
      <c r="A855" s="5"/>
      <c r="B855" s="5"/>
      <c r="C855" s="5"/>
      <c r="D855" s="5"/>
      <c r="E855" s="5"/>
      <c r="F855" s="5"/>
      <c r="G855" s="5"/>
      <c r="H855" s="5"/>
      <c r="I855" s="5"/>
    </row>
    <row r="856" ht="15.75" customHeight="1">
      <c r="A856" s="5"/>
      <c r="B856" s="5"/>
      <c r="C856" s="5"/>
      <c r="D856" s="5"/>
      <c r="E856" s="5"/>
      <c r="F856" s="5"/>
      <c r="G856" s="5"/>
      <c r="H856" s="5"/>
      <c r="I856" s="5"/>
    </row>
    <row r="857" ht="15.75" customHeight="1">
      <c r="A857" s="5"/>
      <c r="B857" s="5"/>
      <c r="C857" s="5"/>
      <c r="D857" s="5"/>
      <c r="E857" s="5"/>
      <c r="F857" s="5"/>
      <c r="G857" s="5"/>
      <c r="H857" s="5"/>
      <c r="I857" s="5"/>
    </row>
    <row r="858" ht="15.75" customHeight="1">
      <c r="A858" s="5"/>
      <c r="B858" s="5"/>
      <c r="C858" s="5"/>
      <c r="D858" s="5"/>
      <c r="E858" s="5"/>
      <c r="F858" s="5"/>
      <c r="G858" s="5"/>
      <c r="H858" s="5"/>
      <c r="I858" s="5"/>
    </row>
    <row r="859" ht="15.75" customHeight="1">
      <c r="A859" s="5"/>
      <c r="B859" s="5"/>
      <c r="C859" s="5"/>
      <c r="D859" s="5"/>
      <c r="E859" s="5"/>
      <c r="F859" s="5"/>
      <c r="G859" s="5"/>
      <c r="H859" s="5"/>
      <c r="I859" s="5"/>
    </row>
    <row r="860" ht="15.75" customHeight="1">
      <c r="A860" s="5"/>
      <c r="B860" s="5"/>
      <c r="C860" s="5"/>
      <c r="D860" s="5"/>
      <c r="E860" s="5"/>
      <c r="F860" s="5"/>
      <c r="G860" s="5"/>
      <c r="H860" s="5"/>
      <c r="I860" s="5"/>
    </row>
    <row r="861" ht="15.75" customHeight="1">
      <c r="A861" s="5"/>
      <c r="B861" s="5"/>
      <c r="C861" s="5"/>
      <c r="D861" s="5"/>
      <c r="E861" s="5"/>
      <c r="F861" s="5"/>
      <c r="G861" s="5"/>
      <c r="H861" s="5"/>
      <c r="I861" s="5"/>
    </row>
    <row r="862" ht="15.75" customHeight="1">
      <c r="A862" s="5"/>
      <c r="B862" s="5"/>
      <c r="C862" s="5"/>
      <c r="D862" s="5"/>
      <c r="E862" s="5"/>
      <c r="F862" s="5"/>
      <c r="G862" s="5"/>
      <c r="H862" s="5"/>
      <c r="I862" s="5"/>
    </row>
    <row r="863" ht="15.75" customHeight="1">
      <c r="A863" s="5"/>
      <c r="B863" s="5"/>
      <c r="C863" s="5"/>
      <c r="D863" s="5"/>
      <c r="E863" s="5"/>
      <c r="F863" s="5"/>
      <c r="G863" s="5"/>
      <c r="H863" s="5"/>
      <c r="I863" s="5"/>
    </row>
    <row r="864" ht="15.75" customHeight="1">
      <c r="A864" s="5"/>
      <c r="B864" s="5"/>
      <c r="C864" s="5"/>
      <c r="D864" s="5"/>
      <c r="E864" s="5"/>
      <c r="F864" s="5"/>
      <c r="G864" s="5"/>
      <c r="H864" s="5"/>
      <c r="I864" s="5"/>
    </row>
    <row r="865" ht="15.75" customHeight="1">
      <c r="A865" s="5"/>
      <c r="B865" s="5"/>
      <c r="C865" s="5"/>
      <c r="D865" s="5"/>
      <c r="E865" s="5"/>
      <c r="F865" s="5"/>
      <c r="G865" s="5"/>
      <c r="H865" s="5"/>
      <c r="I865" s="5"/>
    </row>
    <row r="866" ht="15.75" customHeight="1">
      <c r="A866" s="5"/>
      <c r="B866" s="5"/>
      <c r="C866" s="5"/>
      <c r="D866" s="5"/>
      <c r="E866" s="5"/>
      <c r="F866" s="5"/>
      <c r="G866" s="5"/>
      <c r="H866" s="5"/>
      <c r="I866" s="5"/>
    </row>
    <row r="867" ht="15.75" customHeight="1">
      <c r="A867" s="5"/>
      <c r="B867" s="5"/>
      <c r="C867" s="5"/>
      <c r="D867" s="5"/>
      <c r="E867" s="5"/>
      <c r="F867" s="5"/>
      <c r="G867" s="5"/>
      <c r="H867" s="5"/>
      <c r="I867" s="5"/>
    </row>
    <row r="868" ht="15.75" customHeight="1">
      <c r="A868" s="5"/>
      <c r="B868" s="5"/>
      <c r="C868" s="5"/>
      <c r="D868" s="5"/>
      <c r="E868" s="5"/>
      <c r="F868" s="5"/>
      <c r="G868" s="5"/>
      <c r="H868" s="5"/>
      <c r="I868" s="5"/>
    </row>
    <row r="869" ht="15.75" customHeight="1">
      <c r="A869" s="5"/>
      <c r="B869" s="5"/>
      <c r="C869" s="5"/>
      <c r="D869" s="5"/>
      <c r="E869" s="5"/>
      <c r="F869" s="5"/>
      <c r="G869" s="5"/>
      <c r="H869" s="5"/>
      <c r="I869" s="5"/>
    </row>
    <row r="870" ht="15.75" customHeight="1">
      <c r="A870" s="5"/>
      <c r="B870" s="5"/>
      <c r="C870" s="5"/>
      <c r="D870" s="5"/>
      <c r="E870" s="5"/>
      <c r="F870" s="5"/>
      <c r="G870" s="5"/>
      <c r="H870" s="5"/>
      <c r="I870" s="5"/>
    </row>
    <row r="871" ht="15.75" customHeight="1">
      <c r="A871" s="5"/>
      <c r="B871" s="5"/>
      <c r="C871" s="5"/>
      <c r="D871" s="5"/>
      <c r="E871" s="5"/>
      <c r="F871" s="5"/>
      <c r="G871" s="5"/>
      <c r="H871" s="5"/>
      <c r="I871" s="5"/>
    </row>
    <row r="872" ht="15.75" customHeight="1">
      <c r="A872" s="5"/>
      <c r="B872" s="5"/>
      <c r="C872" s="5"/>
      <c r="D872" s="5"/>
      <c r="E872" s="5"/>
      <c r="F872" s="5"/>
      <c r="G872" s="5"/>
      <c r="H872" s="5"/>
      <c r="I872" s="5"/>
    </row>
    <row r="873" ht="15.75" customHeight="1">
      <c r="A873" s="5"/>
      <c r="B873" s="5"/>
      <c r="C873" s="5"/>
      <c r="D873" s="5"/>
      <c r="E873" s="5"/>
      <c r="F873" s="5"/>
      <c r="G873" s="5"/>
      <c r="H873" s="5"/>
      <c r="I873" s="5"/>
    </row>
    <row r="874" ht="15.75" customHeight="1">
      <c r="A874" s="5"/>
      <c r="B874" s="5"/>
      <c r="C874" s="5"/>
      <c r="D874" s="5"/>
      <c r="E874" s="5"/>
      <c r="F874" s="5"/>
      <c r="G874" s="5"/>
      <c r="H874" s="5"/>
      <c r="I874" s="5"/>
    </row>
    <row r="875" ht="15.75" customHeight="1">
      <c r="A875" s="5"/>
      <c r="B875" s="5"/>
      <c r="C875" s="5"/>
      <c r="D875" s="5"/>
      <c r="E875" s="5"/>
      <c r="F875" s="5"/>
      <c r="G875" s="5"/>
      <c r="H875" s="5"/>
      <c r="I875" s="5"/>
    </row>
    <row r="876" ht="15.75" customHeight="1">
      <c r="A876" s="5"/>
      <c r="B876" s="5"/>
      <c r="C876" s="5"/>
      <c r="D876" s="5"/>
      <c r="E876" s="5"/>
      <c r="F876" s="5"/>
      <c r="G876" s="5"/>
      <c r="H876" s="5"/>
      <c r="I876" s="5"/>
    </row>
    <row r="877" ht="15.75" customHeight="1">
      <c r="A877" s="5"/>
      <c r="B877" s="5"/>
      <c r="C877" s="5"/>
      <c r="D877" s="5"/>
      <c r="E877" s="5"/>
      <c r="F877" s="5"/>
      <c r="G877" s="5"/>
      <c r="H877" s="5"/>
      <c r="I877" s="5"/>
    </row>
    <row r="878" ht="15.75" customHeight="1">
      <c r="A878" s="5"/>
      <c r="B878" s="5"/>
      <c r="C878" s="5"/>
      <c r="D878" s="5"/>
      <c r="E878" s="5"/>
      <c r="F878" s="5"/>
      <c r="G878" s="5"/>
      <c r="H878" s="5"/>
      <c r="I878" s="5"/>
    </row>
    <row r="879" ht="15.75" customHeight="1">
      <c r="A879" s="5"/>
      <c r="B879" s="5"/>
      <c r="C879" s="5"/>
      <c r="D879" s="5"/>
      <c r="E879" s="5"/>
      <c r="F879" s="5"/>
      <c r="G879" s="5"/>
      <c r="H879" s="5"/>
      <c r="I879" s="5"/>
    </row>
    <row r="880" ht="15.75" customHeight="1">
      <c r="A880" s="5"/>
      <c r="B880" s="5"/>
      <c r="C880" s="5"/>
      <c r="D880" s="5"/>
      <c r="E880" s="5"/>
      <c r="F880" s="5"/>
      <c r="G880" s="5"/>
      <c r="H880" s="5"/>
      <c r="I880" s="5"/>
    </row>
    <row r="881" ht="15.75" customHeight="1">
      <c r="A881" s="5"/>
      <c r="B881" s="5"/>
      <c r="C881" s="5"/>
      <c r="D881" s="5"/>
      <c r="E881" s="5"/>
      <c r="F881" s="5"/>
      <c r="G881" s="5"/>
      <c r="H881" s="5"/>
      <c r="I881" s="5"/>
    </row>
    <row r="882" ht="15.75" customHeight="1">
      <c r="A882" s="5"/>
      <c r="B882" s="5"/>
      <c r="C882" s="5"/>
      <c r="D882" s="5"/>
      <c r="E882" s="5"/>
      <c r="F882" s="5"/>
      <c r="G882" s="5"/>
      <c r="H882" s="5"/>
      <c r="I882" s="5"/>
    </row>
    <row r="883" ht="15.75" customHeight="1">
      <c r="A883" s="5"/>
      <c r="B883" s="5"/>
      <c r="C883" s="5"/>
      <c r="D883" s="5"/>
      <c r="E883" s="5"/>
      <c r="F883" s="5"/>
      <c r="G883" s="5"/>
      <c r="H883" s="5"/>
      <c r="I883" s="5"/>
    </row>
    <row r="884" ht="15.75" customHeight="1">
      <c r="A884" s="5"/>
      <c r="B884" s="5"/>
      <c r="C884" s="5"/>
      <c r="D884" s="5"/>
      <c r="E884" s="5"/>
      <c r="F884" s="5"/>
      <c r="G884" s="5"/>
      <c r="H884" s="5"/>
      <c r="I884" s="5"/>
    </row>
    <row r="885" ht="15.75" customHeight="1">
      <c r="A885" s="5"/>
      <c r="B885" s="5"/>
      <c r="C885" s="5"/>
      <c r="D885" s="5"/>
      <c r="E885" s="5"/>
      <c r="F885" s="5"/>
      <c r="G885" s="5"/>
      <c r="H885" s="5"/>
      <c r="I885" s="5"/>
    </row>
    <row r="886" ht="15.75" customHeight="1">
      <c r="A886" s="5"/>
      <c r="B886" s="5"/>
      <c r="C886" s="5"/>
      <c r="D886" s="5"/>
      <c r="E886" s="5"/>
      <c r="F886" s="5"/>
      <c r="G886" s="5"/>
      <c r="H886" s="5"/>
      <c r="I886" s="5"/>
    </row>
    <row r="887" ht="15.75" customHeight="1">
      <c r="A887" s="5"/>
      <c r="B887" s="5"/>
      <c r="C887" s="5"/>
      <c r="D887" s="5"/>
      <c r="E887" s="5"/>
      <c r="F887" s="5"/>
      <c r="G887" s="5"/>
      <c r="H887" s="5"/>
      <c r="I887" s="5"/>
    </row>
    <row r="888" ht="15.75" customHeight="1">
      <c r="A888" s="5"/>
      <c r="B888" s="5"/>
      <c r="C888" s="5"/>
      <c r="D888" s="5"/>
      <c r="E888" s="5"/>
      <c r="F888" s="5"/>
      <c r="G888" s="5"/>
      <c r="H888" s="5"/>
      <c r="I888" s="5"/>
    </row>
    <row r="889" ht="15.75" customHeight="1">
      <c r="A889" s="5"/>
      <c r="B889" s="5"/>
      <c r="C889" s="5"/>
      <c r="D889" s="5"/>
      <c r="E889" s="5"/>
      <c r="F889" s="5"/>
      <c r="G889" s="5"/>
      <c r="H889" s="5"/>
      <c r="I889" s="5"/>
    </row>
    <row r="890" ht="15.75" customHeight="1">
      <c r="A890" s="5"/>
      <c r="B890" s="5"/>
      <c r="C890" s="5"/>
      <c r="D890" s="5"/>
      <c r="E890" s="5"/>
      <c r="F890" s="5"/>
      <c r="G890" s="5"/>
      <c r="H890" s="5"/>
      <c r="I890" s="5"/>
    </row>
    <row r="891" ht="15.75" customHeight="1">
      <c r="A891" s="5"/>
      <c r="B891" s="5"/>
      <c r="C891" s="5"/>
      <c r="D891" s="5"/>
      <c r="E891" s="5"/>
      <c r="F891" s="5"/>
      <c r="G891" s="5"/>
      <c r="H891" s="5"/>
      <c r="I891" s="5"/>
    </row>
    <row r="892" ht="15.75" customHeight="1">
      <c r="A892" s="5"/>
      <c r="B892" s="5"/>
      <c r="C892" s="5"/>
      <c r="D892" s="5"/>
      <c r="E892" s="5"/>
      <c r="F892" s="5"/>
      <c r="G892" s="5"/>
      <c r="H892" s="5"/>
      <c r="I892" s="5"/>
    </row>
    <row r="893" ht="15.75" customHeight="1">
      <c r="A893" s="5"/>
      <c r="B893" s="5"/>
      <c r="C893" s="5"/>
      <c r="D893" s="5"/>
      <c r="E893" s="5"/>
      <c r="F893" s="5"/>
      <c r="G893" s="5"/>
      <c r="H893" s="5"/>
      <c r="I893" s="5"/>
    </row>
    <row r="894" ht="15.75" customHeight="1">
      <c r="A894" s="5"/>
      <c r="B894" s="5"/>
      <c r="C894" s="5"/>
      <c r="D894" s="5"/>
      <c r="E894" s="5"/>
      <c r="F894" s="5"/>
      <c r="G894" s="5"/>
      <c r="H894" s="5"/>
      <c r="I894" s="5"/>
    </row>
    <row r="895" ht="15.75" customHeight="1">
      <c r="A895" s="5"/>
      <c r="B895" s="5"/>
      <c r="C895" s="5"/>
      <c r="D895" s="5"/>
      <c r="E895" s="5"/>
      <c r="F895" s="5"/>
      <c r="G895" s="5"/>
      <c r="H895" s="5"/>
      <c r="I895" s="5"/>
    </row>
    <row r="896" ht="15.75" customHeight="1">
      <c r="A896" s="5"/>
      <c r="B896" s="5"/>
      <c r="C896" s="5"/>
      <c r="D896" s="5"/>
      <c r="E896" s="5"/>
      <c r="F896" s="5"/>
      <c r="G896" s="5"/>
      <c r="H896" s="5"/>
      <c r="I896" s="5"/>
    </row>
    <row r="897" ht="15.75" customHeight="1">
      <c r="A897" s="5"/>
      <c r="B897" s="5"/>
      <c r="C897" s="5"/>
      <c r="D897" s="5"/>
      <c r="E897" s="5"/>
      <c r="F897" s="5"/>
      <c r="G897" s="5"/>
      <c r="H897" s="5"/>
      <c r="I897" s="5"/>
    </row>
    <row r="898" ht="15.75" customHeight="1">
      <c r="A898" s="5"/>
      <c r="B898" s="5"/>
      <c r="C898" s="5"/>
      <c r="D898" s="5"/>
      <c r="E898" s="5"/>
      <c r="F898" s="5"/>
      <c r="G898" s="5"/>
      <c r="H898" s="5"/>
      <c r="I898" s="5"/>
    </row>
    <row r="899" ht="15.75" customHeight="1">
      <c r="A899" s="5"/>
      <c r="B899" s="5"/>
      <c r="C899" s="5"/>
      <c r="D899" s="5"/>
      <c r="E899" s="5"/>
      <c r="F899" s="5"/>
      <c r="G899" s="5"/>
      <c r="H899" s="5"/>
      <c r="I899" s="5"/>
    </row>
    <row r="900" ht="15.75" customHeight="1">
      <c r="A900" s="5"/>
      <c r="B900" s="5"/>
      <c r="C900" s="5"/>
      <c r="D900" s="5"/>
      <c r="E900" s="5"/>
      <c r="F900" s="5"/>
      <c r="G900" s="5"/>
      <c r="H900" s="5"/>
      <c r="I900" s="5"/>
    </row>
    <row r="901" ht="15.75" customHeight="1">
      <c r="A901" s="5"/>
      <c r="B901" s="5"/>
      <c r="C901" s="5"/>
      <c r="D901" s="5"/>
      <c r="E901" s="5"/>
      <c r="F901" s="5"/>
      <c r="G901" s="5"/>
      <c r="H901" s="5"/>
      <c r="I901" s="5"/>
    </row>
    <row r="902" ht="15.75" customHeight="1">
      <c r="A902" s="5"/>
      <c r="B902" s="5"/>
      <c r="C902" s="5"/>
      <c r="D902" s="5"/>
      <c r="E902" s="5"/>
      <c r="F902" s="5"/>
      <c r="G902" s="5"/>
      <c r="H902" s="5"/>
      <c r="I902" s="5"/>
    </row>
    <row r="903" ht="15.75" customHeight="1">
      <c r="A903" s="5"/>
      <c r="B903" s="5"/>
      <c r="C903" s="5"/>
      <c r="D903" s="5"/>
      <c r="E903" s="5"/>
      <c r="F903" s="5"/>
      <c r="G903" s="5"/>
      <c r="H903" s="5"/>
      <c r="I903" s="5"/>
    </row>
    <row r="904" ht="15.75" customHeight="1">
      <c r="A904" s="5"/>
      <c r="B904" s="5"/>
      <c r="C904" s="5"/>
      <c r="D904" s="5"/>
      <c r="E904" s="5"/>
      <c r="F904" s="5"/>
      <c r="G904" s="5"/>
      <c r="H904" s="5"/>
      <c r="I904" s="5"/>
    </row>
    <row r="905" ht="15.75" customHeight="1">
      <c r="A905" s="5"/>
      <c r="B905" s="5"/>
      <c r="C905" s="5"/>
      <c r="D905" s="5"/>
      <c r="E905" s="5"/>
      <c r="F905" s="5"/>
      <c r="G905" s="5"/>
      <c r="H905" s="5"/>
      <c r="I905" s="5"/>
    </row>
    <row r="906" ht="15.75" customHeight="1">
      <c r="A906" s="5"/>
      <c r="B906" s="5"/>
      <c r="C906" s="5"/>
      <c r="D906" s="5"/>
      <c r="E906" s="5"/>
      <c r="F906" s="5"/>
      <c r="G906" s="5"/>
      <c r="H906" s="5"/>
      <c r="I906" s="5"/>
    </row>
    <row r="907" ht="15.75" customHeight="1">
      <c r="A907" s="5"/>
      <c r="B907" s="5"/>
      <c r="C907" s="5"/>
      <c r="D907" s="5"/>
      <c r="E907" s="5"/>
      <c r="F907" s="5"/>
      <c r="G907" s="5"/>
      <c r="H907" s="5"/>
      <c r="I907" s="5"/>
    </row>
    <row r="908" ht="15.75" customHeight="1">
      <c r="A908" s="5"/>
      <c r="B908" s="5"/>
      <c r="C908" s="5"/>
      <c r="D908" s="5"/>
      <c r="E908" s="5"/>
      <c r="F908" s="5"/>
      <c r="G908" s="5"/>
      <c r="H908" s="5"/>
      <c r="I908" s="5"/>
    </row>
    <row r="909" ht="15.75" customHeight="1">
      <c r="A909" s="5"/>
      <c r="B909" s="5"/>
      <c r="C909" s="5"/>
      <c r="D909" s="5"/>
      <c r="E909" s="5"/>
      <c r="F909" s="5"/>
      <c r="G909" s="5"/>
      <c r="H909" s="5"/>
      <c r="I909" s="5"/>
    </row>
    <row r="910" ht="15.75" customHeight="1">
      <c r="A910" s="5"/>
      <c r="B910" s="5"/>
      <c r="C910" s="5"/>
      <c r="D910" s="5"/>
      <c r="E910" s="5"/>
      <c r="F910" s="5"/>
      <c r="G910" s="5"/>
      <c r="H910" s="5"/>
      <c r="I910" s="5"/>
    </row>
    <row r="911" ht="15.75" customHeight="1">
      <c r="A911" s="5"/>
      <c r="B911" s="5"/>
      <c r="C911" s="5"/>
      <c r="D911" s="5"/>
      <c r="E911" s="5"/>
      <c r="F911" s="5"/>
      <c r="G911" s="5"/>
      <c r="H911" s="5"/>
      <c r="I911" s="5"/>
    </row>
    <row r="912" ht="15.75" customHeight="1">
      <c r="A912" s="5"/>
      <c r="B912" s="5"/>
      <c r="C912" s="5"/>
      <c r="D912" s="5"/>
      <c r="E912" s="5"/>
      <c r="F912" s="5"/>
      <c r="G912" s="5"/>
      <c r="H912" s="5"/>
      <c r="I912" s="5"/>
    </row>
    <row r="913" ht="15.75" customHeight="1">
      <c r="A913" s="5"/>
      <c r="B913" s="5"/>
      <c r="C913" s="5"/>
      <c r="D913" s="5"/>
      <c r="E913" s="5"/>
      <c r="F913" s="5"/>
      <c r="G913" s="5"/>
      <c r="H913" s="5"/>
      <c r="I913" s="5"/>
    </row>
    <row r="914" ht="15.75" customHeight="1">
      <c r="A914" s="5"/>
      <c r="B914" s="5"/>
      <c r="C914" s="5"/>
      <c r="D914" s="5"/>
      <c r="E914" s="5"/>
      <c r="F914" s="5"/>
      <c r="G914" s="5"/>
      <c r="H914" s="5"/>
      <c r="I914" s="5"/>
    </row>
    <row r="915" ht="15.75" customHeight="1">
      <c r="A915" s="5"/>
      <c r="B915" s="5"/>
      <c r="C915" s="5"/>
      <c r="D915" s="5"/>
      <c r="E915" s="5"/>
      <c r="F915" s="5"/>
      <c r="G915" s="5"/>
      <c r="H915" s="5"/>
      <c r="I915" s="5"/>
    </row>
    <row r="916" ht="15.75" customHeight="1">
      <c r="A916" s="5"/>
      <c r="B916" s="5"/>
      <c r="C916" s="5"/>
      <c r="D916" s="5"/>
      <c r="E916" s="5"/>
      <c r="F916" s="5"/>
      <c r="G916" s="5"/>
      <c r="H916" s="5"/>
      <c r="I916" s="5"/>
    </row>
    <row r="917" ht="15.75" customHeight="1">
      <c r="A917" s="5"/>
      <c r="B917" s="5"/>
      <c r="C917" s="5"/>
      <c r="D917" s="5"/>
      <c r="E917" s="5"/>
      <c r="F917" s="5"/>
      <c r="G917" s="5"/>
      <c r="H917" s="5"/>
      <c r="I917" s="5"/>
    </row>
    <row r="918" ht="15.75" customHeight="1">
      <c r="A918" s="5"/>
      <c r="B918" s="5"/>
      <c r="C918" s="5"/>
      <c r="D918" s="5"/>
      <c r="E918" s="5"/>
      <c r="F918" s="5"/>
      <c r="G918" s="5"/>
      <c r="H918" s="5"/>
      <c r="I918" s="5"/>
    </row>
    <row r="919" ht="15.75" customHeight="1">
      <c r="A919" s="5"/>
      <c r="B919" s="5"/>
      <c r="C919" s="5"/>
      <c r="D919" s="5"/>
      <c r="E919" s="5"/>
      <c r="F919" s="5"/>
      <c r="G919" s="5"/>
      <c r="H919" s="5"/>
      <c r="I919" s="5"/>
    </row>
    <row r="920" ht="15.75" customHeight="1">
      <c r="A920" s="5"/>
      <c r="B920" s="5"/>
      <c r="C920" s="5"/>
      <c r="D920" s="5"/>
      <c r="E920" s="5"/>
      <c r="F920" s="5"/>
      <c r="G920" s="5"/>
      <c r="H920" s="5"/>
      <c r="I920" s="5"/>
    </row>
    <row r="921" ht="15.75" customHeight="1">
      <c r="A921" s="5"/>
      <c r="B921" s="5"/>
      <c r="C921" s="5"/>
      <c r="D921" s="5"/>
      <c r="E921" s="5"/>
      <c r="F921" s="5"/>
      <c r="G921" s="5"/>
      <c r="H921" s="5"/>
      <c r="I921" s="5"/>
    </row>
    <row r="922" ht="15.75" customHeight="1">
      <c r="A922" s="5"/>
      <c r="B922" s="5"/>
      <c r="C922" s="5"/>
      <c r="D922" s="5"/>
      <c r="E922" s="5"/>
      <c r="F922" s="5"/>
      <c r="G922" s="5"/>
      <c r="H922" s="5"/>
      <c r="I922" s="5"/>
    </row>
    <row r="923" ht="15.75" customHeight="1">
      <c r="A923" s="5"/>
      <c r="B923" s="5"/>
      <c r="C923" s="5"/>
      <c r="D923" s="5"/>
      <c r="E923" s="5"/>
      <c r="F923" s="5"/>
      <c r="G923" s="5"/>
      <c r="H923" s="5"/>
      <c r="I923" s="5"/>
    </row>
    <row r="924" ht="15.75" customHeight="1">
      <c r="A924" s="5"/>
      <c r="B924" s="5"/>
      <c r="C924" s="5"/>
      <c r="D924" s="5"/>
      <c r="E924" s="5"/>
      <c r="F924" s="5"/>
      <c r="G924" s="5"/>
      <c r="H924" s="5"/>
      <c r="I924" s="5"/>
    </row>
    <row r="925" ht="15.75" customHeight="1">
      <c r="A925" s="5"/>
      <c r="B925" s="5"/>
      <c r="C925" s="5"/>
      <c r="D925" s="5"/>
      <c r="E925" s="5"/>
      <c r="F925" s="5"/>
      <c r="G925" s="5"/>
      <c r="H925" s="5"/>
      <c r="I925" s="5"/>
    </row>
    <row r="926" ht="15.75" customHeight="1">
      <c r="A926" s="5"/>
      <c r="B926" s="5"/>
      <c r="C926" s="5"/>
      <c r="D926" s="5"/>
      <c r="E926" s="5"/>
      <c r="F926" s="5"/>
      <c r="G926" s="5"/>
      <c r="H926" s="5"/>
      <c r="I926" s="5"/>
    </row>
    <row r="927" ht="15.75" customHeight="1">
      <c r="A927" s="5"/>
      <c r="B927" s="5"/>
      <c r="C927" s="5"/>
      <c r="D927" s="5"/>
      <c r="E927" s="5"/>
      <c r="F927" s="5"/>
      <c r="G927" s="5"/>
      <c r="H927" s="5"/>
      <c r="I927" s="5"/>
    </row>
    <row r="928" ht="15.75" customHeight="1">
      <c r="A928" s="5"/>
      <c r="B928" s="5"/>
      <c r="C928" s="5"/>
      <c r="D928" s="5"/>
      <c r="E928" s="5"/>
      <c r="F928" s="5"/>
      <c r="G928" s="5"/>
      <c r="H928" s="5"/>
      <c r="I928" s="5"/>
    </row>
    <row r="929" ht="15.75" customHeight="1">
      <c r="A929" s="5"/>
      <c r="B929" s="5"/>
      <c r="C929" s="5"/>
      <c r="D929" s="5"/>
      <c r="E929" s="5"/>
      <c r="F929" s="5"/>
      <c r="G929" s="5"/>
      <c r="H929" s="5"/>
      <c r="I929" s="5"/>
    </row>
    <row r="930" ht="15.75" customHeight="1">
      <c r="A930" s="5"/>
      <c r="B930" s="5"/>
      <c r="C930" s="5"/>
      <c r="D930" s="5"/>
      <c r="E930" s="5"/>
      <c r="F930" s="5"/>
      <c r="G930" s="5"/>
      <c r="H930" s="5"/>
      <c r="I930" s="5"/>
    </row>
    <row r="931" ht="15.75" customHeight="1">
      <c r="A931" s="5"/>
      <c r="B931" s="5"/>
      <c r="C931" s="5"/>
      <c r="D931" s="5"/>
      <c r="E931" s="5"/>
      <c r="F931" s="5"/>
      <c r="G931" s="5"/>
      <c r="H931" s="5"/>
      <c r="I931" s="5"/>
    </row>
    <row r="932" ht="15.75" customHeight="1">
      <c r="A932" s="5"/>
      <c r="B932" s="5"/>
      <c r="C932" s="5"/>
      <c r="D932" s="5"/>
      <c r="E932" s="5"/>
      <c r="F932" s="5"/>
      <c r="G932" s="5"/>
      <c r="H932" s="5"/>
      <c r="I932" s="5"/>
    </row>
    <row r="933" ht="15.75" customHeight="1">
      <c r="A933" s="5"/>
      <c r="B933" s="5"/>
      <c r="C933" s="5"/>
      <c r="D933" s="5"/>
      <c r="E933" s="5"/>
      <c r="F933" s="5"/>
      <c r="G933" s="5"/>
      <c r="H933" s="5"/>
      <c r="I933" s="5"/>
    </row>
    <row r="934" ht="15.75" customHeight="1">
      <c r="A934" s="5"/>
      <c r="B934" s="5"/>
      <c r="C934" s="5"/>
      <c r="D934" s="5"/>
      <c r="E934" s="5"/>
      <c r="F934" s="5"/>
      <c r="G934" s="5"/>
      <c r="H934" s="5"/>
      <c r="I934" s="5"/>
    </row>
    <row r="935" ht="15.75" customHeight="1">
      <c r="A935" s="5"/>
      <c r="B935" s="5"/>
      <c r="C935" s="5"/>
      <c r="D935" s="5"/>
      <c r="E935" s="5"/>
      <c r="F935" s="5"/>
      <c r="G935" s="5"/>
      <c r="H935" s="5"/>
      <c r="I935" s="5"/>
    </row>
    <row r="936" ht="15.75" customHeight="1">
      <c r="A936" s="5"/>
      <c r="B936" s="5"/>
      <c r="C936" s="5"/>
      <c r="D936" s="5"/>
      <c r="E936" s="5"/>
      <c r="F936" s="5"/>
      <c r="G936" s="5"/>
      <c r="H936" s="5"/>
      <c r="I936" s="5"/>
    </row>
    <row r="937" ht="15.75" customHeight="1">
      <c r="A937" s="5"/>
      <c r="B937" s="5"/>
      <c r="C937" s="5"/>
      <c r="D937" s="5"/>
      <c r="E937" s="5"/>
      <c r="F937" s="5"/>
      <c r="G937" s="5"/>
      <c r="H937" s="5"/>
      <c r="I937" s="5"/>
    </row>
    <row r="938" ht="15.75" customHeight="1">
      <c r="A938" s="5"/>
      <c r="B938" s="5"/>
      <c r="C938" s="5"/>
      <c r="D938" s="5"/>
      <c r="E938" s="5"/>
      <c r="F938" s="5"/>
      <c r="G938" s="5"/>
      <c r="H938" s="5"/>
      <c r="I938" s="5"/>
    </row>
    <row r="939" ht="15.75" customHeight="1">
      <c r="A939" s="5"/>
      <c r="B939" s="5"/>
      <c r="C939" s="5"/>
      <c r="D939" s="5"/>
      <c r="E939" s="5"/>
      <c r="F939" s="5"/>
      <c r="G939" s="5"/>
      <c r="H939" s="5"/>
      <c r="I939" s="5"/>
    </row>
    <row r="940" ht="15.75" customHeight="1">
      <c r="A940" s="5"/>
      <c r="B940" s="5"/>
      <c r="C940" s="5"/>
      <c r="D940" s="5"/>
      <c r="E940" s="5"/>
      <c r="F940" s="5"/>
      <c r="G940" s="5"/>
      <c r="H940" s="5"/>
      <c r="I940" s="5"/>
    </row>
    <row r="941" ht="15.75" customHeight="1">
      <c r="A941" s="5"/>
      <c r="B941" s="5"/>
      <c r="C941" s="5"/>
      <c r="D941" s="5"/>
      <c r="E941" s="5"/>
      <c r="F941" s="5"/>
      <c r="G941" s="5"/>
      <c r="H941" s="5"/>
      <c r="I941" s="5"/>
    </row>
    <row r="942" ht="15.75" customHeight="1">
      <c r="A942" s="5"/>
      <c r="B942" s="5"/>
      <c r="C942" s="5"/>
      <c r="D942" s="5"/>
      <c r="E942" s="5"/>
      <c r="F942" s="5"/>
      <c r="G942" s="5"/>
      <c r="H942" s="5"/>
      <c r="I942" s="5"/>
    </row>
    <row r="943" ht="15.75" customHeight="1">
      <c r="A943" s="5"/>
      <c r="B943" s="5"/>
      <c r="C943" s="5"/>
      <c r="D943" s="5"/>
      <c r="E943" s="5"/>
      <c r="F943" s="5"/>
      <c r="G943" s="5"/>
      <c r="H943" s="5"/>
      <c r="I943" s="5"/>
    </row>
    <row r="944" ht="15.75" customHeight="1">
      <c r="A944" s="5"/>
      <c r="B944" s="5"/>
      <c r="C944" s="5"/>
      <c r="D944" s="5"/>
      <c r="E944" s="5"/>
      <c r="F944" s="5"/>
      <c r="G944" s="5"/>
      <c r="H944" s="5"/>
      <c r="I944" s="5"/>
    </row>
    <row r="945" ht="15.75" customHeight="1">
      <c r="A945" s="5"/>
      <c r="B945" s="5"/>
      <c r="C945" s="5"/>
      <c r="D945" s="5"/>
      <c r="E945" s="5"/>
      <c r="F945" s="5"/>
      <c r="G945" s="5"/>
      <c r="H945" s="5"/>
      <c r="I945" s="5"/>
    </row>
    <row r="946" ht="15.75" customHeight="1">
      <c r="A946" s="5"/>
      <c r="B946" s="5"/>
      <c r="C946" s="5"/>
      <c r="D946" s="5"/>
      <c r="E946" s="5"/>
      <c r="F946" s="5"/>
      <c r="G946" s="5"/>
      <c r="H946" s="5"/>
      <c r="I946" s="5"/>
    </row>
    <row r="947" ht="15.75" customHeight="1">
      <c r="A947" s="5"/>
      <c r="B947" s="5"/>
      <c r="C947" s="5"/>
      <c r="D947" s="5"/>
      <c r="E947" s="5"/>
      <c r="F947" s="5"/>
      <c r="G947" s="5"/>
      <c r="H947" s="5"/>
      <c r="I947" s="5"/>
    </row>
    <row r="948" ht="15.75" customHeight="1">
      <c r="A948" s="5"/>
      <c r="B948" s="5"/>
      <c r="C948" s="5"/>
      <c r="D948" s="5"/>
      <c r="E948" s="5"/>
      <c r="F948" s="5"/>
      <c r="G948" s="5"/>
      <c r="H948" s="5"/>
      <c r="I948" s="5"/>
    </row>
    <row r="949" ht="15.75" customHeight="1">
      <c r="A949" s="5"/>
      <c r="B949" s="5"/>
      <c r="C949" s="5"/>
      <c r="D949" s="5"/>
      <c r="E949" s="5"/>
      <c r="F949" s="5"/>
      <c r="G949" s="5"/>
      <c r="H949" s="5"/>
      <c r="I949" s="5"/>
    </row>
    <row r="950" ht="15.75" customHeight="1">
      <c r="A950" s="5"/>
      <c r="B950" s="5"/>
      <c r="C950" s="5"/>
      <c r="D950" s="5"/>
      <c r="E950" s="5"/>
      <c r="F950" s="5"/>
      <c r="G950" s="5"/>
      <c r="H950" s="5"/>
      <c r="I950" s="5"/>
    </row>
    <row r="951" ht="15.75" customHeight="1">
      <c r="A951" s="5"/>
      <c r="B951" s="5"/>
      <c r="C951" s="5"/>
      <c r="D951" s="5"/>
      <c r="E951" s="5"/>
      <c r="F951" s="5"/>
      <c r="G951" s="5"/>
      <c r="H951" s="5"/>
      <c r="I951" s="5"/>
    </row>
    <row r="952" ht="15.75" customHeight="1">
      <c r="A952" s="5"/>
      <c r="B952" s="5"/>
      <c r="C952" s="5"/>
      <c r="D952" s="5"/>
      <c r="E952" s="5"/>
      <c r="F952" s="5"/>
      <c r="G952" s="5"/>
      <c r="H952" s="5"/>
      <c r="I952" s="5"/>
    </row>
    <row r="953" ht="15.75" customHeight="1">
      <c r="A953" s="5"/>
      <c r="B953" s="5"/>
      <c r="C953" s="5"/>
      <c r="D953" s="5"/>
      <c r="E953" s="5"/>
      <c r="F953" s="5"/>
      <c r="G953" s="5"/>
      <c r="H953" s="5"/>
      <c r="I953" s="5"/>
    </row>
    <row r="954" ht="15.75" customHeight="1">
      <c r="A954" s="5"/>
      <c r="B954" s="5"/>
      <c r="C954" s="5"/>
      <c r="D954" s="5"/>
      <c r="E954" s="5"/>
      <c r="F954" s="5"/>
      <c r="G954" s="5"/>
      <c r="H954" s="5"/>
      <c r="I954" s="5"/>
    </row>
    <row r="955" ht="15.75" customHeight="1">
      <c r="A955" s="5"/>
      <c r="B955" s="5"/>
      <c r="C955" s="5"/>
      <c r="D955" s="5"/>
      <c r="E955" s="5"/>
      <c r="F955" s="5"/>
      <c r="G955" s="5"/>
      <c r="H955" s="5"/>
      <c r="I955" s="5"/>
    </row>
    <row r="956" ht="15.75" customHeight="1">
      <c r="A956" s="5"/>
      <c r="B956" s="5"/>
      <c r="C956" s="5"/>
      <c r="D956" s="5"/>
      <c r="E956" s="5"/>
      <c r="F956" s="5"/>
      <c r="G956" s="5"/>
      <c r="H956" s="5"/>
      <c r="I956" s="5"/>
    </row>
    <row r="957" ht="15.75" customHeight="1">
      <c r="A957" s="5"/>
      <c r="B957" s="5"/>
      <c r="C957" s="5"/>
      <c r="D957" s="5"/>
      <c r="E957" s="5"/>
      <c r="F957" s="5"/>
      <c r="G957" s="5"/>
      <c r="H957" s="5"/>
      <c r="I957" s="5"/>
    </row>
    <row r="958" ht="15.75" customHeight="1">
      <c r="A958" s="5"/>
      <c r="B958" s="5"/>
      <c r="C958" s="5"/>
      <c r="D958" s="5"/>
      <c r="E958" s="5"/>
      <c r="F958" s="5"/>
      <c r="G958" s="5"/>
      <c r="H958" s="5"/>
      <c r="I958" s="5"/>
    </row>
    <row r="959" ht="15.75" customHeight="1">
      <c r="A959" s="5"/>
      <c r="B959" s="5"/>
      <c r="C959" s="5"/>
      <c r="D959" s="5"/>
      <c r="E959" s="5"/>
      <c r="F959" s="5"/>
      <c r="G959" s="5"/>
      <c r="H959" s="5"/>
      <c r="I959" s="5"/>
    </row>
    <row r="960" ht="15.75" customHeight="1">
      <c r="A960" s="5"/>
      <c r="B960" s="5"/>
      <c r="C960" s="5"/>
      <c r="D960" s="5"/>
      <c r="E960" s="5"/>
      <c r="F960" s="5"/>
      <c r="G960" s="5"/>
      <c r="H960" s="5"/>
      <c r="I960" s="5"/>
    </row>
    <row r="961" ht="15.75" customHeight="1">
      <c r="A961" s="5"/>
      <c r="B961" s="5"/>
      <c r="C961" s="5"/>
      <c r="D961" s="5"/>
      <c r="E961" s="5"/>
      <c r="F961" s="5"/>
      <c r="G961" s="5"/>
      <c r="H961" s="5"/>
      <c r="I961" s="5"/>
    </row>
    <row r="962" ht="15.75" customHeight="1">
      <c r="A962" s="5"/>
      <c r="B962" s="5"/>
      <c r="C962" s="5"/>
      <c r="D962" s="5"/>
      <c r="E962" s="5"/>
      <c r="F962" s="5"/>
      <c r="G962" s="5"/>
      <c r="H962" s="5"/>
      <c r="I962" s="5"/>
    </row>
    <row r="963" ht="15.75" customHeight="1">
      <c r="A963" s="5"/>
      <c r="B963" s="5"/>
      <c r="C963" s="5"/>
      <c r="D963" s="5"/>
      <c r="E963" s="5"/>
      <c r="F963" s="5"/>
      <c r="G963" s="5"/>
      <c r="H963" s="5"/>
      <c r="I963" s="5"/>
    </row>
    <row r="964" ht="15.75" customHeight="1">
      <c r="A964" s="5"/>
      <c r="B964" s="5"/>
      <c r="C964" s="5"/>
      <c r="D964" s="5"/>
      <c r="E964" s="5"/>
      <c r="F964" s="5"/>
      <c r="G964" s="5"/>
      <c r="H964" s="5"/>
      <c r="I964" s="5"/>
    </row>
    <row r="965" ht="15.75" customHeight="1">
      <c r="A965" s="5"/>
      <c r="B965" s="5"/>
      <c r="C965" s="5"/>
      <c r="D965" s="5"/>
      <c r="E965" s="5"/>
      <c r="F965" s="5"/>
      <c r="G965" s="5"/>
      <c r="H965" s="5"/>
      <c r="I965" s="5"/>
    </row>
    <row r="966" ht="15.75" customHeight="1">
      <c r="A966" s="5"/>
      <c r="B966" s="5"/>
      <c r="C966" s="5"/>
      <c r="D966" s="5"/>
      <c r="E966" s="5"/>
      <c r="F966" s="5"/>
      <c r="G966" s="5"/>
      <c r="H966" s="5"/>
      <c r="I966" s="5"/>
    </row>
    <row r="967" ht="15.75" customHeight="1">
      <c r="A967" s="5"/>
      <c r="B967" s="5"/>
      <c r="C967" s="5"/>
      <c r="D967" s="5"/>
      <c r="E967" s="5"/>
      <c r="F967" s="5"/>
      <c r="G967" s="5"/>
      <c r="H967" s="5"/>
      <c r="I967" s="5"/>
    </row>
    <row r="968" ht="15.75" customHeight="1">
      <c r="A968" s="5"/>
      <c r="B968" s="5"/>
      <c r="C968" s="5"/>
      <c r="D968" s="5"/>
      <c r="E968" s="5"/>
      <c r="F968" s="5"/>
      <c r="G968" s="5"/>
      <c r="H968" s="5"/>
      <c r="I968" s="5"/>
    </row>
    <row r="969" ht="15.75" customHeight="1">
      <c r="A969" s="5"/>
      <c r="B969" s="5"/>
      <c r="C969" s="5"/>
      <c r="D969" s="5"/>
      <c r="E969" s="5"/>
      <c r="F969" s="5"/>
      <c r="G969" s="5"/>
      <c r="H969" s="5"/>
      <c r="I969" s="5"/>
    </row>
    <row r="970" ht="15.75" customHeight="1">
      <c r="A970" s="5"/>
      <c r="B970" s="5"/>
      <c r="C970" s="5"/>
      <c r="D970" s="5"/>
      <c r="E970" s="5"/>
      <c r="F970" s="5"/>
      <c r="G970" s="5"/>
      <c r="H970" s="5"/>
      <c r="I970" s="5"/>
    </row>
    <row r="971" ht="15.75" customHeight="1">
      <c r="A971" s="5"/>
      <c r="B971" s="5"/>
      <c r="C971" s="5"/>
      <c r="D971" s="5"/>
      <c r="E971" s="5"/>
      <c r="F971" s="5"/>
      <c r="G971" s="5"/>
      <c r="H971" s="5"/>
      <c r="I971" s="5"/>
    </row>
    <row r="972" ht="15.75" customHeight="1">
      <c r="A972" s="5"/>
      <c r="B972" s="5"/>
      <c r="C972" s="5"/>
      <c r="D972" s="5"/>
      <c r="E972" s="5"/>
      <c r="F972" s="5"/>
      <c r="G972" s="5"/>
      <c r="H972" s="5"/>
      <c r="I972" s="5"/>
    </row>
    <row r="973" ht="15.75" customHeight="1">
      <c r="A973" s="5"/>
      <c r="B973" s="5"/>
      <c r="C973" s="5"/>
      <c r="D973" s="5"/>
      <c r="E973" s="5"/>
      <c r="F973" s="5"/>
      <c r="G973" s="5"/>
      <c r="H973" s="5"/>
      <c r="I973" s="5"/>
    </row>
    <row r="974" ht="15.75" customHeight="1">
      <c r="A974" s="5"/>
      <c r="B974" s="5"/>
      <c r="C974" s="5"/>
      <c r="D974" s="5"/>
      <c r="E974" s="5"/>
      <c r="F974" s="5"/>
      <c r="G974" s="5"/>
      <c r="H974" s="5"/>
      <c r="I974" s="5"/>
    </row>
    <row r="975" ht="15.75" customHeight="1">
      <c r="A975" s="5"/>
      <c r="B975" s="5"/>
      <c r="C975" s="5"/>
      <c r="D975" s="5"/>
      <c r="E975" s="5"/>
      <c r="F975" s="5"/>
      <c r="G975" s="5"/>
      <c r="H975" s="5"/>
      <c r="I975" s="5"/>
    </row>
    <row r="976" ht="15.75" customHeight="1">
      <c r="A976" s="5"/>
      <c r="B976" s="5"/>
      <c r="C976" s="5"/>
      <c r="D976" s="5"/>
      <c r="E976" s="5"/>
      <c r="F976" s="5"/>
      <c r="G976" s="5"/>
      <c r="H976" s="5"/>
      <c r="I976" s="5"/>
    </row>
    <row r="977" ht="15.75" customHeight="1">
      <c r="A977" s="5"/>
      <c r="B977" s="5"/>
      <c r="C977" s="5"/>
      <c r="D977" s="5"/>
      <c r="E977" s="5"/>
      <c r="F977" s="5"/>
      <c r="G977" s="5"/>
      <c r="H977" s="5"/>
      <c r="I977" s="5"/>
    </row>
    <row r="978" ht="15.75" customHeight="1">
      <c r="A978" s="5"/>
      <c r="B978" s="5"/>
      <c r="C978" s="5"/>
      <c r="D978" s="5"/>
      <c r="E978" s="5"/>
      <c r="F978" s="5"/>
      <c r="G978" s="5"/>
      <c r="H978" s="5"/>
      <c r="I978" s="5"/>
    </row>
    <row r="979" ht="15.75" customHeight="1">
      <c r="A979" s="5"/>
      <c r="B979" s="5"/>
      <c r="C979" s="5"/>
      <c r="D979" s="5"/>
      <c r="E979" s="5"/>
      <c r="F979" s="5"/>
      <c r="G979" s="5"/>
      <c r="H979" s="5"/>
      <c r="I979" s="5"/>
    </row>
    <row r="980" ht="15.75" customHeight="1">
      <c r="A980" s="5"/>
      <c r="B980" s="5"/>
      <c r="C980" s="5"/>
      <c r="D980" s="5"/>
      <c r="E980" s="5"/>
      <c r="F980" s="5"/>
      <c r="G980" s="5"/>
      <c r="H980" s="5"/>
      <c r="I980" s="5"/>
    </row>
    <row r="981" ht="15.75" customHeight="1">
      <c r="A981" s="5"/>
      <c r="B981" s="5"/>
      <c r="C981" s="5"/>
      <c r="D981" s="5"/>
      <c r="E981" s="5"/>
      <c r="F981" s="5"/>
      <c r="G981" s="5"/>
      <c r="H981" s="5"/>
      <c r="I981" s="5"/>
    </row>
    <row r="982" ht="15.75" customHeight="1">
      <c r="A982" s="5"/>
      <c r="B982" s="5"/>
      <c r="C982" s="5"/>
      <c r="D982" s="5"/>
      <c r="E982" s="5"/>
      <c r="F982" s="5"/>
      <c r="G982" s="5"/>
      <c r="H982" s="5"/>
      <c r="I982" s="5"/>
    </row>
    <row r="983" ht="15.75" customHeight="1">
      <c r="A983" s="5"/>
      <c r="B983" s="5"/>
      <c r="C983" s="5"/>
      <c r="D983" s="5"/>
      <c r="E983" s="5"/>
      <c r="F983" s="5"/>
      <c r="G983" s="5"/>
      <c r="H983" s="5"/>
      <c r="I983" s="5"/>
    </row>
    <row r="984" ht="15.75" customHeight="1">
      <c r="A984" s="5"/>
      <c r="B984" s="5"/>
      <c r="C984" s="5"/>
      <c r="D984" s="5"/>
      <c r="E984" s="5"/>
      <c r="F984" s="5"/>
      <c r="G984" s="5"/>
      <c r="H984" s="5"/>
      <c r="I984" s="5"/>
    </row>
    <row r="985" ht="15.75" customHeight="1">
      <c r="A985" s="5"/>
      <c r="B985" s="5"/>
      <c r="C985" s="5"/>
      <c r="D985" s="5"/>
      <c r="E985" s="5"/>
      <c r="F985" s="5"/>
      <c r="G985" s="5"/>
      <c r="H985" s="5"/>
      <c r="I985" s="5"/>
    </row>
    <row r="986" ht="15.75" customHeight="1">
      <c r="A986" s="5"/>
      <c r="B986" s="5"/>
      <c r="C986" s="5"/>
      <c r="D986" s="5"/>
      <c r="E986" s="5"/>
      <c r="F986" s="5"/>
      <c r="G986" s="5"/>
      <c r="H986" s="5"/>
      <c r="I986" s="5"/>
    </row>
    <row r="987" ht="15.75" customHeight="1">
      <c r="A987" s="5"/>
      <c r="B987" s="5"/>
      <c r="C987" s="5"/>
      <c r="D987" s="5"/>
      <c r="E987" s="5"/>
      <c r="F987" s="5"/>
      <c r="G987" s="5"/>
      <c r="H987" s="5"/>
      <c r="I987" s="5"/>
    </row>
    <row r="988" ht="15.75" customHeight="1">
      <c r="A988" s="5"/>
      <c r="B988" s="5"/>
      <c r="C988" s="5"/>
      <c r="D988" s="5"/>
      <c r="E988" s="5"/>
      <c r="F988" s="5"/>
      <c r="G988" s="5"/>
      <c r="H988" s="5"/>
      <c r="I988" s="5"/>
    </row>
    <row r="989" ht="15.75" customHeight="1">
      <c r="A989" s="5"/>
      <c r="B989" s="5"/>
      <c r="C989" s="5"/>
      <c r="D989" s="5"/>
      <c r="E989" s="5"/>
      <c r="F989" s="5"/>
      <c r="G989" s="5"/>
      <c r="H989" s="5"/>
      <c r="I989" s="5"/>
    </row>
    <row r="990" ht="15.75" customHeight="1">
      <c r="A990" s="5"/>
      <c r="B990" s="5"/>
      <c r="C990" s="5"/>
      <c r="D990" s="5"/>
      <c r="E990" s="5"/>
      <c r="F990" s="5"/>
      <c r="G990" s="5"/>
      <c r="H990" s="5"/>
      <c r="I990" s="5"/>
    </row>
    <row r="991" ht="15.75" customHeight="1">
      <c r="A991" s="5"/>
      <c r="B991" s="5"/>
      <c r="C991" s="5"/>
      <c r="D991" s="5"/>
      <c r="E991" s="5"/>
      <c r="F991" s="5"/>
      <c r="G991" s="5"/>
      <c r="H991" s="5"/>
      <c r="I991" s="5"/>
    </row>
    <row r="992" ht="15.75" customHeight="1">
      <c r="A992" s="5"/>
      <c r="B992" s="5"/>
      <c r="C992" s="5"/>
      <c r="D992" s="5"/>
      <c r="E992" s="5"/>
      <c r="F992" s="5"/>
      <c r="G992" s="5"/>
      <c r="H992" s="5"/>
      <c r="I992" s="5"/>
    </row>
    <row r="993" ht="15.75" customHeight="1">
      <c r="A993" s="5"/>
      <c r="B993" s="5"/>
      <c r="C993" s="5"/>
      <c r="D993" s="5"/>
      <c r="E993" s="5"/>
      <c r="F993" s="5"/>
      <c r="G993" s="5"/>
      <c r="H993" s="5"/>
      <c r="I993" s="5"/>
    </row>
    <row r="994" ht="15.75" customHeight="1">
      <c r="A994" s="5"/>
      <c r="B994" s="5"/>
      <c r="C994" s="5"/>
      <c r="D994" s="5"/>
      <c r="E994" s="5"/>
      <c r="F994" s="5"/>
      <c r="G994" s="5"/>
      <c r="H994" s="5"/>
      <c r="I994" s="5"/>
    </row>
    <row r="995" ht="15.75" customHeight="1">
      <c r="A995" s="5"/>
      <c r="B995" s="5"/>
      <c r="C995" s="5"/>
      <c r="D995" s="5"/>
      <c r="E995" s="5"/>
      <c r="F995" s="5"/>
      <c r="G995" s="5"/>
      <c r="H995" s="5"/>
      <c r="I995" s="5"/>
    </row>
    <row r="996" ht="15.75" customHeight="1">
      <c r="A996" s="5"/>
      <c r="B996" s="5"/>
      <c r="C996" s="5"/>
      <c r="D996" s="5"/>
      <c r="E996" s="5"/>
      <c r="F996" s="5"/>
      <c r="G996" s="5"/>
      <c r="H996" s="5"/>
      <c r="I996" s="5"/>
    </row>
    <row r="997" ht="15.75" customHeight="1">
      <c r="A997" s="5"/>
      <c r="B997" s="5"/>
      <c r="C997" s="5"/>
      <c r="D997" s="5"/>
      <c r="E997" s="5"/>
      <c r="F997" s="5"/>
      <c r="G997" s="5"/>
      <c r="H997" s="5"/>
      <c r="I997" s="5"/>
    </row>
    <row r="998" ht="15.75" customHeight="1">
      <c r="A998" s="5"/>
      <c r="B998" s="5"/>
      <c r="C998" s="5"/>
      <c r="D998" s="5"/>
      <c r="E998" s="5"/>
      <c r="F998" s="5"/>
      <c r="G998" s="5"/>
      <c r="H998" s="5"/>
      <c r="I998" s="5"/>
    </row>
    <row r="999" ht="15.75" customHeight="1">
      <c r="A999" s="5"/>
      <c r="B999" s="5"/>
      <c r="C999" s="5"/>
      <c r="D999" s="5"/>
      <c r="E999" s="5"/>
      <c r="F999" s="5"/>
      <c r="G999" s="5"/>
      <c r="H999" s="5"/>
      <c r="I999" s="5"/>
    </row>
    <row r="1000" ht="15.75" customHeight="1">
      <c r="A1000" s="5"/>
      <c r="B1000" s="5"/>
      <c r="C1000" s="5"/>
      <c r="D1000" s="5"/>
      <c r="E1000" s="5"/>
      <c r="F1000" s="5"/>
      <c r="G1000" s="5"/>
      <c r="H1000" s="5"/>
      <c r="I1000" s="5"/>
    </row>
  </sheetData>
  <mergeCells count="1">
    <mergeCell ref="A1:I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0"/>
    <col customWidth="1" min="2" max="2" width="14.0"/>
    <col customWidth="1" min="3" max="3" width="12.25"/>
    <col customWidth="1" min="4" max="4" width="14.0"/>
    <col customWidth="1" min="5" max="5" width="19.38"/>
    <col customWidth="1" min="6" max="7" width="14.0"/>
    <col customWidth="1" min="8" max="9" width="17.5"/>
    <col customWidth="1" min="10" max="10" width="15.75"/>
  </cols>
  <sheetData>
    <row r="1" ht="37.5" customHeight="1">
      <c r="A1" s="1" t="s">
        <v>0</v>
      </c>
      <c r="B1" s="2"/>
      <c r="C1" s="2"/>
      <c r="D1" s="2"/>
      <c r="E1" s="2"/>
      <c r="F1" s="2"/>
      <c r="G1" s="2"/>
      <c r="H1" s="2"/>
      <c r="I1" s="2"/>
      <c r="J1" s="3"/>
      <c r="K1" s="5"/>
      <c r="L1" s="5"/>
      <c r="M1" s="5"/>
      <c r="N1" s="5"/>
      <c r="O1" s="5"/>
      <c r="P1" s="5"/>
      <c r="Q1" s="5"/>
      <c r="R1" s="5"/>
      <c r="S1" s="5"/>
      <c r="T1" s="5"/>
      <c r="U1" s="5"/>
      <c r="V1" s="5"/>
      <c r="W1" s="5"/>
      <c r="X1" s="5"/>
      <c r="Y1" s="5"/>
      <c r="Z1" s="5"/>
    </row>
    <row r="2" ht="13.5" customHeight="1">
      <c r="A2" s="5"/>
      <c r="B2" s="5"/>
      <c r="C2" s="5"/>
      <c r="D2" s="5"/>
      <c r="E2" s="5"/>
      <c r="F2" s="5"/>
      <c r="G2" s="5"/>
      <c r="H2" s="5"/>
      <c r="I2" s="5"/>
      <c r="J2" s="5"/>
      <c r="K2" s="5"/>
      <c r="L2" s="5"/>
      <c r="M2" s="5"/>
      <c r="N2" s="5"/>
      <c r="O2" s="5"/>
      <c r="P2" s="5"/>
      <c r="Q2" s="5"/>
      <c r="R2" s="5"/>
      <c r="S2" s="5"/>
      <c r="T2" s="5"/>
      <c r="U2" s="5"/>
      <c r="V2" s="5"/>
      <c r="W2" s="5"/>
      <c r="X2" s="5"/>
      <c r="Y2" s="5"/>
      <c r="Z2" s="5"/>
    </row>
    <row r="3" ht="21.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8" t="s">
        <v>4</v>
      </c>
      <c r="B4" s="8" t="s">
        <v>5</v>
      </c>
      <c r="C4" s="8" t="s">
        <v>6</v>
      </c>
      <c r="D4" s="8" t="s">
        <v>7</v>
      </c>
      <c r="E4" s="8" t="s">
        <v>8</v>
      </c>
      <c r="F4" s="8" t="s">
        <v>9</v>
      </c>
      <c r="G4" s="8" t="s">
        <v>10</v>
      </c>
      <c r="H4" s="8"/>
      <c r="I4" s="8" t="s">
        <v>11</v>
      </c>
      <c r="J4" s="10" t="s">
        <v>12</v>
      </c>
      <c r="K4" s="5"/>
      <c r="L4" s="5"/>
      <c r="M4" s="5"/>
      <c r="N4" s="5"/>
      <c r="O4" s="5"/>
      <c r="P4" s="5"/>
      <c r="Q4" s="5"/>
      <c r="R4" s="5"/>
      <c r="S4" s="5"/>
      <c r="T4" s="5"/>
      <c r="U4" s="5"/>
      <c r="V4" s="5"/>
      <c r="W4" s="5"/>
      <c r="X4" s="5"/>
      <c r="Y4" s="5"/>
      <c r="Z4" s="5"/>
    </row>
    <row r="5" ht="25.5" customHeight="1">
      <c r="A5" s="11" t="s">
        <v>13</v>
      </c>
      <c r="B5" s="12" t="s">
        <v>14</v>
      </c>
      <c r="C5" s="11"/>
      <c r="D5" s="11" t="s">
        <v>15</v>
      </c>
      <c r="E5" s="11" t="s">
        <v>16</v>
      </c>
      <c r="F5" s="14">
        <v>850.0</v>
      </c>
      <c r="G5" s="22">
        <f>IFERROR(SUMIFS(Transactions!$F$7:$F$989,Transactions!$G$7:$G$989,A5,Transactions!$D$7:$D$989,"Expense"),0)</f>
        <v>2326</v>
      </c>
      <c r="H5" s="11"/>
      <c r="I5" s="11" t="s">
        <v>24</v>
      </c>
      <c r="J5" s="24" t="s">
        <v>25</v>
      </c>
      <c r="K5" s="5"/>
      <c r="L5" s="5"/>
      <c r="M5" s="5"/>
      <c r="N5" s="5"/>
      <c r="O5" s="5"/>
      <c r="P5" s="5"/>
      <c r="Q5" s="5"/>
      <c r="R5" s="5"/>
      <c r="S5" s="5"/>
      <c r="T5" s="5"/>
      <c r="U5" s="5"/>
      <c r="V5" s="5"/>
      <c r="W5" s="5"/>
      <c r="X5" s="5"/>
      <c r="Y5" s="5"/>
      <c r="Z5" s="5"/>
    </row>
    <row r="6" ht="21.75" customHeight="1">
      <c r="A6" s="11" t="s">
        <v>26</v>
      </c>
      <c r="B6" s="12">
        <v>46199.0</v>
      </c>
      <c r="C6" s="11"/>
      <c r="D6" s="11" t="s">
        <v>27</v>
      </c>
      <c r="E6" s="11" t="s">
        <v>28</v>
      </c>
      <c r="F6" s="14">
        <v>1310.0</v>
      </c>
      <c r="G6" s="22">
        <v>1310.0</v>
      </c>
      <c r="H6" s="11"/>
      <c r="I6" s="11" t="s">
        <v>24</v>
      </c>
      <c r="J6" s="24" t="s">
        <v>25</v>
      </c>
      <c r="K6" s="5"/>
      <c r="L6" s="5"/>
      <c r="M6" s="5"/>
      <c r="N6" s="5"/>
      <c r="O6" s="5"/>
      <c r="P6" s="5"/>
      <c r="Q6" s="5"/>
      <c r="R6" s="5"/>
      <c r="S6" s="5"/>
      <c r="T6" s="5"/>
      <c r="U6" s="5"/>
      <c r="V6" s="5"/>
      <c r="W6" s="5"/>
      <c r="X6" s="5"/>
      <c r="Y6" s="5"/>
      <c r="Z6" s="5"/>
    </row>
    <row r="7" ht="19.5" customHeight="1">
      <c r="A7" s="11" t="s">
        <v>30</v>
      </c>
      <c r="B7" s="12">
        <v>46227.0</v>
      </c>
      <c r="C7" s="11"/>
      <c r="D7" s="11" t="s">
        <v>27</v>
      </c>
      <c r="E7" s="11" t="s">
        <v>31</v>
      </c>
      <c r="F7" s="14">
        <v>1050.0</v>
      </c>
      <c r="G7" s="22">
        <v>1050.0</v>
      </c>
      <c r="H7" s="11"/>
      <c r="I7" s="11" t="s">
        <v>24</v>
      </c>
      <c r="J7" s="26" t="s">
        <v>25</v>
      </c>
      <c r="K7" s="5"/>
      <c r="L7" s="5"/>
      <c r="M7" s="5"/>
      <c r="N7" s="5"/>
      <c r="O7" s="5"/>
      <c r="P7" s="5"/>
      <c r="Q7" s="5"/>
      <c r="R7" s="5"/>
      <c r="S7" s="5"/>
      <c r="T7" s="5"/>
      <c r="U7" s="5"/>
      <c r="V7" s="5"/>
      <c r="W7" s="5"/>
      <c r="X7" s="5"/>
      <c r="Y7" s="5"/>
      <c r="Z7" s="5"/>
    </row>
    <row r="8" ht="19.5" customHeight="1">
      <c r="A8" s="11" t="s">
        <v>36</v>
      </c>
      <c r="B8" s="12"/>
      <c r="C8" s="11"/>
      <c r="D8" s="11" t="s">
        <v>37</v>
      </c>
      <c r="E8" s="11" t="s">
        <v>38</v>
      </c>
      <c r="F8" s="14">
        <v>0.0</v>
      </c>
      <c r="G8" s="22">
        <v>-123.0</v>
      </c>
      <c r="H8" s="11"/>
      <c r="I8" s="11"/>
      <c r="J8" s="24" t="s">
        <v>39</v>
      </c>
      <c r="K8" s="5"/>
      <c r="L8" s="5"/>
      <c r="M8" s="5"/>
      <c r="N8" s="5"/>
      <c r="O8" s="5"/>
      <c r="P8" s="5"/>
      <c r="Q8" s="5"/>
      <c r="R8" s="5"/>
      <c r="S8" s="5"/>
      <c r="T8" s="5"/>
      <c r="U8" s="5"/>
      <c r="V8" s="5"/>
      <c r="W8" s="5"/>
      <c r="X8" s="5"/>
      <c r="Y8" s="5"/>
      <c r="Z8" s="5"/>
    </row>
    <row r="9" ht="19.5" customHeight="1">
      <c r="A9" s="11" t="s">
        <v>40</v>
      </c>
      <c r="B9" s="12">
        <v>45706.0</v>
      </c>
      <c r="C9" s="11"/>
      <c r="D9" s="11" t="s">
        <v>37</v>
      </c>
      <c r="E9" s="11" t="s">
        <v>38</v>
      </c>
      <c r="F9" s="14">
        <v>0.0</v>
      </c>
      <c r="G9" s="22">
        <v>-956.0</v>
      </c>
      <c r="H9" s="11"/>
      <c r="I9" s="11"/>
      <c r="J9" s="26" t="s">
        <v>39</v>
      </c>
      <c r="K9" s="5"/>
      <c r="L9" s="5"/>
      <c r="M9" s="5"/>
      <c r="N9" s="5"/>
      <c r="O9" s="5"/>
      <c r="P9" s="5"/>
      <c r="Q9" s="5"/>
      <c r="R9" s="5"/>
      <c r="S9" s="5"/>
      <c r="T9" s="5"/>
      <c r="U9" s="5"/>
      <c r="V9" s="5"/>
      <c r="W9" s="5"/>
      <c r="X9" s="5"/>
      <c r="Y9" s="5"/>
      <c r="Z9" s="5"/>
    </row>
    <row r="10" ht="19.5" customHeight="1">
      <c r="A10" s="11" t="s">
        <v>41</v>
      </c>
      <c r="B10" s="12">
        <v>45706.0</v>
      </c>
      <c r="C10" s="11"/>
      <c r="D10" s="11" t="s">
        <v>37</v>
      </c>
      <c r="E10" s="11" t="s">
        <v>42</v>
      </c>
      <c r="F10" s="14">
        <v>0.0</v>
      </c>
      <c r="G10" s="22">
        <v>1030.0</v>
      </c>
      <c r="H10" s="11"/>
      <c r="I10" s="11"/>
      <c r="J10" s="24" t="s">
        <v>39</v>
      </c>
      <c r="K10" s="5"/>
      <c r="L10" s="5"/>
      <c r="M10" s="5"/>
      <c r="N10" s="5"/>
      <c r="O10" s="5"/>
      <c r="P10" s="5"/>
      <c r="Q10" s="5"/>
      <c r="R10" s="5"/>
      <c r="S10" s="5"/>
      <c r="T10" s="5"/>
      <c r="U10" s="5"/>
      <c r="V10" s="5"/>
      <c r="W10" s="5"/>
      <c r="X10" s="5"/>
      <c r="Y10" s="5"/>
      <c r="Z10" s="5"/>
    </row>
    <row r="11" ht="19.5" customHeight="1">
      <c r="A11" s="11" t="s">
        <v>43</v>
      </c>
      <c r="B11" s="12"/>
      <c r="C11" s="11"/>
      <c r="D11" s="11" t="s">
        <v>44</v>
      </c>
      <c r="E11" s="11" t="s">
        <v>45</v>
      </c>
      <c r="F11" s="14">
        <v>600.0</v>
      </c>
      <c r="G11" s="22">
        <f>IFERROR(SUMIFS(Transactions!$F$7:$F$989,Transactions!$G$7:$G$989,A11,Transactions!$D$7:$D$989,"Expense"),0)</f>
        <v>0</v>
      </c>
      <c r="H11" s="11"/>
      <c r="I11" s="11" t="s">
        <v>24</v>
      </c>
      <c r="J11" s="26" t="s">
        <v>39</v>
      </c>
      <c r="K11" s="5"/>
      <c r="L11" s="5"/>
      <c r="M11" s="5"/>
      <c r="N11" s="5"/>
      <c r="O11" s="5"/>
      <c r="P11" s="5"/>
      <c r="Q11" s="5"/>
      <c r="R11" s="5"/>
      <c r="S11" s="5"/>
      <c r="T11" s="5"/>
      <c r="U11" s="5"/>
      <c r="V11" s="5"/>
      <c r="W11" s="5"/>
      <c r="X11" s="5"/>
      <c r="Y11" s="5"/>
      <c r="Z11" s="5"/>
    </row>
    <row r="12" ht="19.5" customHeight="1">
      <c r="A12" s="28" t="s">
        <v>46</v>
      </c>
      <c r="B12" s="30"/>
      <c r="C12" s="31"/>
      <c r="D12" s="31"/>
      <c r="E12" s="31"/>
      <c r="F12" s="32"/>
      <c r="G12" s="34">
        <f>IFERROR(SUMIFS(Transactions!$F$7:$F$989,Transactions!$G$7:$G$989,A12,Transactions!$D$7:$D$989,"Expense"),0)</f>
        <v>5345.86</v>
      </c>
      <c r="H12" s="31"/>
      <c r="I12" s="28" t="s">
        <v>24</v>
      </c>
      <c r="J12" s="35" t="s">
        <v>25</v>
      </c>
      <c r="K12" s="5"/>
      <c r="L12" s="5"/>
      <c r="M12" s="5"/>
      <c r="N12" s="5"/>
      <c r="O12" s="5"/>
      <c r="P12" s="5"/>
      <c r="Q12" s="5"/>
      <c r="R12" s="5"/>
      <c r="S12" s="5"/>
      <c r="T12" s="5"/>
      <c r="U12" s="5"/>
      <c r="V12" s="5"/>
      <c r="W12" s="5"/>
      <c r="X12" s="5"/>
      <c r="Y12" s="5"/>
      <c r="Z12" s="5"/>
    </row>
    <row r="13" ht="19.5" customHeight="1">
      <c r="A13" s="28" t="s">
        <v>47</v>
      </c>
      <c r="B13" s="30"/>
      <c r="C13" s="31"/>
      <c r="D13" s="31"/>
      <c r="E13" s="31"/>
      <c r="F13" s="32"/>
      <c r="G13" s="34">
        <f>IFERROR(SUMIFS(Transactions!$F$7:$F$989,Transactions!$G$7:$G$989,A13,Transactions!$D$7:$D$989,"Expense"),0)</f>
        <v>560.85</v>
      </c>
      <c r="H13" s="31"/>
      <c r="I13" s="28" t="s">
        <v>24</v>
      </c>
      <c r="J13" s="37" t="s">
        <v>25</v>
      </c>
      <c r="K13" s="5"/>
      <c r="L13" s="5"/>
      <c r="M13" s="5"/>
      <c r="N13" s="5"/>
      <c r="O13" s="5"/>
      <c r="P13" s="5"/>
      <c r="Q13" s="5"/>
      <c r="R13" s="5"/>
      <c r="S13" s="5"/>
      <c r="T13" s="5"/>
      <c r="U13" s="5"/>
      <c r="V13" s="5"/>
      <c r="W13" s="5"/>
      <c r="X13" s="5"/>
      <c r="Y13" s="5"/>
      <c r="Z13" s="5"/>
    </row>
    <row r="14" ht="19.5" customHeight="1">
      <c r="A14" s="28" t="s">
        <v>48</v>
      </c>
      <c r="B14" s="30"/>
      <c r="C14" s="31"/>
      <c r="D14" s="31"/>
      <c r="E14" s="31"/>
      <c r="F14" s="32"/>
      <c r="G14" s="34">
        <f>IFERROR(SUMIFS(Transactions!$F$7:$F$989,Transactions!$G$7:$G$989,A14,Transactions!$D$7:$D$989,"Expense"),0)</f>
        <v>5965.16</v>
      </c>
      <c r="H14" s="31"/>
      <c r="I14" s="28" t="s">
        <v>24</v>
      </c>
      <c r="J14" s="35" t="s">
        <v>25</v>
      </c>
      <c r="K14" s="5"/>
      <c r="L14" s="5"/>
      <c r="M14" s="5"/>
      <c r="N14" s="5"/>
      <c r="O14" s="5"/>
      <c r="P14" s="5"/>
      <c r="Q14" s="5"/>
      <c r="R14" s="5"/>
      <c r="S14" s="5"/>
      <c r="T14" s="5"/>
      <c r="U14" s="5"/>
      <c r="V14" s="5"/>
      <c r="W14" s="5"/>
      <c r="X14" s="5"/>
      <c r="Y14" s="5"/>
      <c r="Z14" s="5"/>
    </row>
    <row r="15" ht="19.5" customHeight="1">
      <c r="A15" s="28" t="s">
        <v>49</v>
      </c>
      <c r="B15" s="30"/>
      <c r="C15" s="31"/>
      <c r="D15" s="31"/>
      <c r="E15" s="31"/>
      <c r="F15" s="32"/>
      <c r="G15" s="34">
        <f>IFERROR(SUMIFS(Transactions!$F$7:$F$989,Transactions!$G$7:$G$989,A15,Transactions!$D$7:$D$989,"Expense"),0)</f>
        <v>9054.59</v>
      </c>
      <c r="H15" s="31"/>
      <c r="I15" s="28" t="s">
        <v>24</v>
      </c>
      <c r="J15" s="37" t="s">
        <v>25</v>
      </c>
      <c r="K15" s="5"/>
      <c r="L15" s="5"/>
      <c r="M15" s="5"/>
      <c r="N15" s="5"/>
      <c r="O15" s="5"/>
      <c r="P15" s="5"/>
      <c r="Q15" s="5"/>
      <c r="R15" s="5"/>
      <c r="S15" s="5"/>
      <c r="T15" s="5"/>
      <c r="U15" s="5"/>
      <c r="V15" s="5"/>
      <c r="W15" s="5"/>
      <c r="X15" s="5"/>
      <c r="Y15" s="5"/>
      <c r="Z15" s="5"/>
    </row>
    <row r="16" ht="19.5" customHeight="1">
      <c r="A16" s="28" t="s">
        <v>50</v>
      </c>
      <c r="B16" s="30"/>
      <c r="C16" s="31"/>
      <c r="D16" s="31"/>
      <c r="E16" s="31"/>
      <c r="F16" s="32"/>
      <c r="G16" s="34">
        <f>IFERROR(SUMIFS(Transactions!$F$7:$F$989,Transactions!$G$7:$G$989,A16,Transactions!$D$7:$D$989,"Expense"),0)</f>
        <v>0</v>
      </c>
      <c r="H16" s="31"/>
      <c r="I16" s="28" t="s">
        <v>24</v>
      </c>
      <c r="J16" s="35" t="s">
        <v>25</v>
      </c>
      <c r="K16" s="5"/>
      <c r="L16" s="5"/>
      <c r="M16" s="5"/>
      <c r="N16" s="5"/>
      <c r="O16" s="5"/>
      <c r="P16" s="5"/>
      <c r="Q16" s="5"/>
      <c r="R16" s="5"/>
      <c r="S16" s="5"/>
      <c r="T16" s="5"/>
      <c r="U16" s="5"/>
      <c r="V16" s="5"/>
      <c r="W16" s="5"/>
      <c r="X16" s="5"/>
      <c r="Y16" s="5"/>
      <c r="Z16" s="5"/>
    </row>
    <row r="17" ht="19.5" customHeight="1">
      <c r="A17" s="28" t="s">
        <v>51</v>
      </c>
      <c r="B17" s="30"/>
      <c r="C17" s="31"/>
      <c r="D17" s="31"/>
      <c r="E17" s="31"/>
      <c r="F17" s="32"/>
      <c r="G17" s="34">
        <f>IFERROR(SUMIFS(Transactions!$F$7:$F$989,Transactions!$G$7:$G$989,A17,Transactions!$D$7:$D$989,"Expense"),0)</f>
        <v>7150</v>
      </c>
      <c r="H17" s="31"/>
      <c r="I17" s="28" t="s">
        <v>24</v>
      </c>
      <c r="J17" s="37" t="s">
        <v>25</v>
      </c>
      <c r="K17" s="5"/>
      <c r="L17" s="5"/>
      <c r="M17" s="5"/>
      <c r="N17" s="5"/>
      <c r="O17" s="5"/>
      <c r="P17" s="5"/>
      <c r="Q17" s="5"/>
      <c r="R17" s="5"/>
      <c r="S17" s="5"/>
      <c r="T17" s="5"/>
      <c r="U17" s="5"/>
      <c r="V17" s="5"/>
      <c r="W17" s="5"/>
      <c r="X17" s="5"/>
      <c r="Y17" s="5"/>
      <c r="Z17" s="5"/>
    </row>
    <row r="18" ht="19.5" customHeight="1">
      <c r="A18" s="28" t="s">
        <v>52</v>
      </c>
      <c r="B18" s="30"/>
      <c r="C18" s="31"/>
      <c r="D18" s="31"/>
      <c r="E18" s="31"/>
      <c r="F18" s="32"/>
      <c r="G18" s="34">
        <f>IFERROR(SUMIFS(Transactions!$F$7:$F$989,Transactions!$G$7:$G$989,A18,Transactions!$D$7:$D$989,"Expense"),0)</f>
        <v>0</v>
      </c>
      <c r="H18" s="31"/>
      <c r="I18" s="28"/>
      <c r="J18" s="24"/>
      <c r="K18" s="5"/>
      <c r="L18" s="5"/>
      <c r="M18" s="5"/>
      <c r="N18" s="5"/>
      <c r="O18" s="5"/>
      <c r="P18" s="5"/>
      <c r="Q18" s="5"/>
      <c r="R18" s="5"/>
      <c r="S18" s="5"/>
      <c r="T18" s="5"/>
      <c r="U18" s="5"/>
      <c r="V18" s="5"/>
      <c r="W18" s="5"/>
      <c r="X18" s="5"/>
      <c r="Y18" s="5"/>
      <c r="Z18" s="5"/>
    </row>
    <row r="19" ht="19.5" customHeight="1">
      <c r="A19" s="31"/>
      <c r="B19" s="30"/>
      <c r="C19" s="31"/>
      <c r="D19" s="31"/>
      <c r="E19" s="31"/>
      <c r="F19" s="32"/>
      <c r="G19" s="34">
        <f>IFERROR(SUMIFS(Transactions!$F$7:$F$989,Transactions!$G$7:$G$989,A19,Transactions!$D$7:$D$989,"Expense"),0)</f>
        <v>0</v>
      </c>
      <c r="H19" s="31"/>
      <c r="I19" s="31"/>
      <c r="J19" s="26"/>
      <c r="K19" s="5"/>
      <c r="L19" s="5"/>
      <c r="M19" s="5"/>
      <c r="N19" s="5"/>
      <c r="O19" s="5"/>
      <c r="P19" s="5"/>
      <c r="Q19" s="5"/>
      <c r="R19" s="5"/>
      <c r="S19" s="5"/>
      <c r="T19" s="5"/>
      <c r="U19" s="5"/>
      <c r="V19" s="5"/>
      <c r="W19" s="5"/>
      <c r="X19" s="5"/>
      <c r="Y19" s="5"/>
      <c r="Z19" s="5"/>
    </row>
    <row r="20" ht="19.5" customHeight="1">
      <c r="A20" s="31"/>
      <c r="B20" s="30"/>
      <c r="C20" s="31"/>
      <c r="D20" s="31"/>
      <c r="E20" s="31"/>
      <c r="F20" s="32"/>
      <c r="G20" s="34">
        <f>IFERROR(SUMIFS(Transactions!$F$7:$F$989,Transactions!$G$7:$G$989,A20,Transactions!$D$7:$D$989,"Expense"),0)</f>
        <v>0</v>
      </c>
      <c r="H20" s="31"/>
      <c r="I20" s="31"/>
      <c r="J20" s="24"/>
      <c r="K20" s="5"/>
      <c r="L20" s="5"/>
      <c r="M20" s="5"/>
      <c r="N20" s="5"/>
      <c r="O20" s="5"/>
      <c r="P20" s="5"/>
      <c r="Q20" s="5"/>
      <c r="R20" s="5"/>
      <c r="S20" s="5"/>
      <c r="T20" s="5"/>
      <c r="U20" s="5"/>
      <c r="V20" s="5"/>
      <c r="W20" s="5"/>
      <c r="X20" s="5"/>
      <c r="Y20" s="5"/>
      <c r="Z20" s="5"/>
    </row>
    <row r="21" ht="19.5" customHeight="1">
      <c r="A21" s="31"/>
      <c r="B21" s="30"/>
      <c r="C21" s="31"/>
      <c r="D21" s="31"/>
      <c r="E21" s="31"/>
      <c r="F21" s="32"/>
      <c r="G21" s="34">
        <f>IFERROR(SUMIFS(Transactions!$F$7:$F$989,Transactions!$G$7:$G$989,A21,Transactions!$D$7:$D$989,"Expense"),0)</f>
        <v>0</v>
      </c>
      <c r="H21" s="31"/>
      <c r="I21" s="31"/>
      <c r="J21" s="26"/>
      <c r="K21" s="5"/>
      <c r="L21" s="5"/>
      <c r="M21" s="5"/>
      <c r="N21" s="5"/>
      <c r="O21" s="5"/>
      <c r="P21" s="5"/>
      <c r="Q21" s="5"/>
      <c r="R21" s="5"/>
      <c r="S21" s="5"/>
      <c r="T21" s="5"/>
      <c r="U21" s="5"/>
      <c r="V21" s="5"/>
      <c r="W21" s="5"/>
      <c r="X21" s="5"/>
      <c r="Y21" s="5"/>
      <c r="Z21" s="5"/>
    </row>
    <row r="22" ht="19.5" customHeight="1">
      <c r="A22" s="31"/>
      <c r="B22" s="30"/>
      <c r="C22" s="31"/>
      <c r="D22" s="31"/>
      <c r="E22" s="31"/>
      <c r="F22" s="32"/>
      <c r="G22" s="34">
        <f>IFERROR(SUMIFS(Transactions!$F$7:$F$989,Transactions!$G$7:$G$989,A22,Transactions!$D$7:$D$989,"Expense"),0)</f>
        <v>0</v>
      </c>
      <c r="H22" s="31"/>
      <c r="I22" s="31"/>
      <c r="J22" s="24"/>
      <c r="K22" s="5"/>
      <c r="L22" s="5"/>
      <c r="M22" s="5"/>
      <c r="N22" s="5"/>
      <c r="O22" s="5"/>
      <c r="P22" s="5"/>
      <c r="Q22" s="5"/>
      <c r="R22" s="5"/>
      <c r="S22" s="5"/>
      <c r="T22" s="5"/>
      <c r="U22" s="5"/>
      <c r="V22" s="5"/>
      <c r="W22" s="5"/>
      <c r="X22" s="5"/>
      <c r="Y22" s="5"/>
      <c r="Z22" s="5"/>
    </row>
    <row r="23" ht="19.5" customHeight="1">
      <c r="A23" s="31"/>
      <c r="B23" s="30"/>
      <c r="C23" s="31"/>
      <c r="D23" s="31"/>
      <c r="E23" s="31"/>
      <c r="F23" s="32"/>
      <c r="G23" s="34">
        <f>IFERROR(SUMIFS(Transactions!$F$7:$F$989,Transactions!$G$7:$G$989,A23,Transactions!$D$7:$D$989,"Expense"),0)</f>
        <v>0</v>
      </c>
      <c r="H23" s="31"/>
      <c r="I23" s="31"/>
      <c r="J23" s="26"/>
      <c r="K23" s="5"/>
      <c r="L23" s="5"/>
      <c r="M23" s="5"/>
      <c r="N23" s="5"/>
      <c r="O23" s="5"/>
      <c r="P23" s="5"/>
      <c r="Q23" s="5"/>
      <c r="R23" s="5"/>
      <c r="S23" s="5"/>
      <c r="T23" s="5"/>
      <c r="U23" s="5"/>
      <c r="V23" s="5"/>
      <c r="W23" s="5"/>
      <c r="X23" s="5"/>
      <c r="Y23" s="5"/>
      <c r="Z23" s="5"/>
    </row>
    <row r="24" ht="19.5" customHeight="1">
      <c r="A24" s="31"/>
      <c r="B24" s="30"/>
      <c r="C24" s="31"/>
      <c r="D24" s="31"/>
      <c r="E24" s="31"/>
      <c r="F24" s="32"/>
      <c r="G24" s="34">
        <f>IFERROR(SUMIFS(Transactions!$F$7:$F$989,Transactions!$G$7:$G$989,A24,Transactions!$D$7:$D$989,"Expense"),0)</f>
        <v>0</v>
      </c>
      <c r="H24" s="31"/>
      <c r="I24" s="31"/>
      <c r="J24" s="24"/>
      <c r="K24" s="5"/>
      <c r="L24" s="5"/>
      <c r="M24" s="5"/>
      <c r="N24" s="5"/>
      <c r="O24" s="5"/>
      <c r="P24" s="5"/>
      <c r="Q24" s="5"/>
      <c r="R24" s="5"/>
      <c r="S24" s="5"/>
      <c r="T24" s="5"/>
      <c r="U24" s="5"/>
      <c r="V24" s="5"/>
      <c r="W24" s="5"/>
      <c r="X24" s="5"/>
      <c r="Y24" s="5"/>
      <c r="Z24" s="5"/>
    </row>
    <row r="25" ht="19.5" customHeight="1">
      <c r="A25" s="31"/>
      <c r="B25" s="30"/>
      <c r="C25" s="31"/>
      <c r="D25" s="31"/>
      <c r="E25" s="31"/>
      <c r="F25" s="32"/>
      <c r="G25" s="34">
        <f>IFERROR(SUMIFS(Transactions!$F$7:$F$989,Transactions!$G$7:$G$989,A25,Transactions!$D$7:$D$989,"Expense"),0)</f>
        <v>0</v>
      </c>
      <c r="H25" s="31"/>
      <c r="I25" s="31"/>
      <c r="J25" s="26"/>
      <c r="K25" s="5"/>
      <c r="L25" s="5"/>
      <c r="M25" s="5"/>
      <c r="N25" s="5"/>
      <c r="O25" s="5"/>
      <c r="P25" s="5"/>
      <c r="Q25" s="5"/>
      <c r="R25" s="5"/>
      <c r="S25" s="5"/>
      <c r="T25" s="5"/>
      <c r="U25" s="5"/>
      <c r="V25" s="5"/>
      <c r="W25" s="5"/>
      <c r="X25" s="5"/>
      <c r="Y25" s="5"/>
      <c r="Z25" s="5"/>
    </row>
    <row r="26" ht="19.5" customHeight="1">
      <c r="A26" s="31"/>
      <c r="B26" s="30"/>
      <c r="C26" s="31"/>
      <c r="D26" s="31"/>
      <c r="E26" s="31"/>
      <c r="F26" s="32"/>
      <c r="G26" s="34">
        <f>IFERROR(SUMIFS(Transactions!$F$7:$F$989,Transactions!$G$7:$G$989,A26,Transactions!$D$7:$D$989,"Expense"),0)</f>
        <v>0</v>
      </c>
      <c r="H26" s="31"/>
      <c r="I26" s="31"/>
      <c r="J26" s="24"/>
      <c r="K26" s="5"/>
      <c r="L26" s="5"/>
      <c r="M26" s="5"/>
      <c r="N26" s="5"/>
      <c r="O26" s="5"/>
      <c r="P26" s="5"/>
      <c r="Q26" s="5"/>
      <c r="R26" s="5"/>
      <c r="S26" s="5"/>
      <c r="T26" s="5"/>
      <c r="U26" s="5"/>
      <c r="V26" s="5"/>
      <c r="W26" s="5"/>
      <c r="X26" s="5"/>
      <c r="Y26" s="5"/>
      <c r="Z26" s="5"/>
    </row>
    <row r="27" ht="19.5" customHeight="1">
      <c r="A27" s="31"/>
      <c r="B27" s="30"/>
      <c r="C27" s="31"/>
      <c r="D27" s="31"/>
      <c r="E27" s="31"/>
      <c r="F27" s="32"/>
      <c r="G27" s="34">
        <f>IFERROR(SUMIFS(Transactions!$F$7:$F$989,Transactions!$G$7:$G$989,A27,Transactions!$D$7:$D$989,"Expense"),0)</f>
        <v>0</v>
      </c>
      <c r="H27" s="31"/>
      <c r="I27" s="31"/>
      <c r="J27" s="26"/>
      <c r="K27" s="5"/>
      <c r="L27" s="5"/>
      <c r="M27" s="5"/>
      <c r="N27" s="5"/>
      <c r="O27" s="5"/>
      <c r="P27" s="5"/>
      <c r="Q27" s="5"/>
      <c r="R27" s="5"/>
      <c r="S27" s="5"/>
      <c r="T27" s="5"/>
      <c r="U27" s="5"/>
      <c r="V27" s="5"/>
      <c r="W27" s="5"/>
      <c r="X27" s="5"/>
      <c r="Y27" s="5"/>
      <c r="Z27" s="5"/>
    </row>
    <row r="28" ht="19.5" customHeight="1">
      <c r="A28" s="31"/>
      <c r="B28" s="30"/>
      <c r="C28" s="31"/>
      <c r="D28" s="31"/>
      <c r="E28" s="31"/>
      <c r="F28" s="32"/>
      <c r="G28" s="34">
        <f>IFERROR(SUMIFS(Transactions!$F$7:$F$989,Transactions!$G$7:$G$989,A28,Transactions!$D$7:$D$989,"Expense"),0)</f>
        <v>0</v>
      </c>
      <c r="H28" s="31"/>
      <c r="I28" s="31"/>
      <c r="J28" s="24"/>
      <c r="K28" s="5"/>
      <c r="L28" s="5"/>
      <c r="M28" s="5"/>
      <c r="N28" s="5"/>
      <c r="O28" s="5"/>
      <c r="P28" s="5"/>
      <c r="Q28" s="5"/>
      <c r="R28" s="5"/>
      <c r="S28" s="5"/>
      <c r="T28" s="5"/>
      <c r="U28" s="5"/>
      <c r="V28" s="5"/>
      <c r="W28" s="5"/>
      <c r="X28" s="5"/>
      <c r="Y28" s="5"/>
      <c r="Z28" s="5"/>
    </row>
    <row r="29" ht="19.5" customHeight="1">
      <c r="A29" s="31"/>
      <c r="B29" s="30"/>
      <c r="C29" s="31"/>
      <c r="D29" s="31"/>
      <c r="E29" s="31"/>
      <c r="F29" s="32"/>
      <c r="G29" s="34">
        <f>IFERROR(SUMIFS(Transactions!$F$7:$F$989,Transactions!$G$7:$G$989,A29,Transactions!$D$7:$D$989,"Expense"),0)</f>
        <v>0</v>
      </c>
      <c r="H29" s="31"/>
      <c r="I29" s="31"/>
      <c r="J29" s="26"/>
      <c r="K29" s="5"/>
      <c r="L29" s="5"/>
      <c r="M29" s="5"/>
      <c r="N29" s="5"/>
      <c r="O29" s="5"/>
      <c r="P29" s="5"/>
      <c r="Q29" s="5"/>
      <c r="R29" s="5"/>
      <c r="S29" s="5"/>
      <c r="T29" s="5"/>
      <c r="U29" s="5"/>
      <c r="V29" s="5"/>
      <c r="W29" s="5"/>
      <c r="X29" s="5"/>
      <c r="Y29" s="5"/>
      <c r="Z29" s="5"/>
    </row>
    <row r="30" ht="19.5" customHeight="1">
      <c r="A30" s="31"/>
      <c r="B30" s="30"/>
      <c r="C30" s="31"/>
      <c r="D30" s="31"/>
      <c r="E30" s="31"/>
      <c r="F30" s="32"/>
      <c r="G30" s="34">
        <f>IFERROR(SUMIFS(Transactions!$F$7:$F$989,Transactions!$G$7:$G$989,A30,Transactions!$D$7:$D$989,"Expense"),0)</f>
        <v>0</v>
      </c>
      <c r="H30" s="31"/>
      <c r="I30" s="31"/>
      <c r="J30" s="24"/>
      <c r="K30" s="5"/>
      <c r="L30" s="5"/>
      <c r="M30" s="5"/>
      <c r="N30" s="5"/>
      <c r="O30" s="5"/>
      <c r="P30" s="5"/>
      <c r="Q30" s="5"/>
      <c r="R30" s="5"/>
      <c r="S30" s="5"/>
      <c r="T30" s="5"/>
      <c r="U30" s="5"/>
      <c r="V30" s="5"/>
      <c r="W30" s="5"/>
      <c r="X30" s="5"/>
      <c r="Y30" s="5"/>
      <c r="Z30" s="5"/>
    </row>
    <row r="31" ht="19.5" customHeight="1">
      <c r="A31" s="31"/>
      <c r="B31" s="30"/>
      <c r="C31" s="31"/>
      <c r="D31" s="31"/>
      <c r="E31" s="31"/>
      <c r="F31" s="32"/>
      <c r="G31" s="34">
        <f>IFERROR(SUMIFS(Transactions!$F$7:$F$989,Transactions!$G$7:$G$989,A31,Transactions!$D$7:$D$989,"Expense"),0)</f>
        <v>0</v>
      </c>
      <c r="H31" s="31"/>
      <c r="I31" s="31"/>
      <c r="J31" s="26"/>
      <c r="K31" s="5"/>
      <c r="L31" s="5"/>
      <c r="M31" s="5"/>
      <c r="N31" s="5"/>
      <c r="O31" s="5"/>
      <c r="P31" s="5"/>
      <c r="Q31" s="5"/>
      <c r="R31" s="5"/>
      <c r="S31" s="5"/>
      <c r="T31" s="5"/>
      <c r="U31" s="5"/>
      <c r="V31" s="5"/>
      <c r="W31" s="5"/>
      <c r="X31" s="5"/>
      <c r="Y31" s="5"/>
      <c r="Z31" s="5"/>
    </row>
    <row r="32" ht="19.5" customHeight="1">
      <c r="A32" s="31"/>
      <c r="B32" s="30"/>
      <c r="C32" s="31"/>
      <c r="D32" s="31"/>
      <c r="E32" s="31"/>
      <c r="F32" s="32"/>
      <c r="G32" s="34">
        <f>IFERROR(SUMIFS(Transactions!$F$7:$F$989,Transactions!$G$7:$G$989,A32,Transactions!$D$7:$D$989,"Expense"),0)</f>
        <v>0</v>
      </c>
      <c r="H32" s="31"/>
      <c r="I32" s="31"/>
      <c r="J32" s="24"/>
      <c r="K32" s="5"/>
      <c r="L32" s="5"/>
      <c r="M32" s="5"/>
      <c r="N32" s="5"/>
      <c r="O32" s="5"/>
      <c r="P32" s="5"/>
      <c r="Q32" s="5"/>
      <c r="R32" s="5"/>
      <c r="S32" s="5"/>
      <c r="T32" s="5"/>
      <c r="U32" s="5"/>
      <c r="V32" s="5"/>
      <c r="W32" s="5"/>
      <c r="X32" s="5"/>
      <c r="Y32" s="5"/>
      <c r="Z32" s="5"/>
    </row>
    <row r="33" ht="19.5" customHeight="1">
      <c r="A33" s="31"/>
      <c r="B33" s="30"/>
      <c r="C33" s="31"/>
      <c r="D33" s="31"/>
      <c r="E33" s="31"/>
      <c r="F33" s="32"/>
      <c r="G33" s="34">
        <f>IFERROR(SUMIFS(Transactions!$F$7:$F$989,Transactions!$G$7:$G$989,A33,Transactions!$D$7:$D$989,"Expense"),0)</f>
        <v>0</v>
      </c>
      <c r="H33" s="31"/>
      <c r="I33" s="31"/>
      <c r="J33" s="26"/>
      <c r="K33" s="5"/>
      <c r="L33" s="5"/>
      <c r="M33" s="5"/>
      <c r="N33" s="5"/>
      <c r="O33" s="5"/>
      <c r="P33" s="5"/>
      <c r="Q33" s="5"/>
      <c r="R33" s="5"/>
      <c r="S33" s="5"/>
      <c r="T33" s="5"/>
      <c r="U33" s="5"/>
      <c r="V33" s="5"/>
      <c r="W33" s="5"/>
      <c r="X33" s="5"/>
      <c r="Y33" s="5"/>
      <c r="Z33" s="5"/>
    </row>
    <row r="34" ht="19.5" customHeight="1">
      <c r="A34" s="31"/>
      <c r="B34" s="30"/>
      <c r="C34" s="31"/>
      <c r="D34" s="31"/>
      <c r="E34" s="31"/>
      <c r="F34" s="32"/>
      <c r="G34" s="34">
        <f>IFERROR(SUMIFS(Transactions!$F$7:$F$989,Transactions!$G$7:$G$989,A34,Transactions!$D$7:$D$989,"Expense"),0)</f>
        <v>0</v>
      </c>
      <c r="H34" s="31"/>
      <c r="I34" s="31"/>
      <c r="J34" s="24"/>
      <c r="K34" s="5"/>
      <c r="L34" s="5"/>
      <c r="M34" s="5"/>
      <c r="N34" s="5"/>
      <c r="O34" s="5"/>
      <c r="P34" s="5"/>
      <c r="Q34" s="5"/>
      <c r="R34" s="5"/>
      <c r="S34" s="5"/>
      <c r="T34" s="5"/>
      <c r="U34" s="5"/>
      <c r="V34" s="5"/>
      <c r="W34" s="5"/>
      <c r="X34" s="5"/>
      <c r="Y34" s="5"/>
      <c r="Z34" s="5"/>
    </row>
    <row r="35" ht="19.5" customHeight="1">
      <c r="A35" s="31"/>
      <c r="B35" s="30"/>
      <c r="C35" s="31"/>
      <c r="D35" s="31"/>
      <c r="E35" s="31"/>
      <c r="F35" s="32"/>
      <c r="G35" s="34">
        <f>IFERROR(SUMIFS(Transactions!$F$7:$F$989,Transactions!$G$7:$G$989,A35,Transactions!$D$7:$D$989,"Expense"),0)</f>
        <v>0</v>
      </c>
      <c r="H35" s="31"/>
      <c r="I35" s="31"/>
      <c r="J35" s="26"/>
      <c r="K35" s="5"/>
      <c r="L35" s="5"/>
      <c r="M35" s="5"/>
      <c r="N35" s="5"/>
      <c r="O35" s="5"/>
      <c r="P35" s="5"/>
      <c r="Q35" s="5"/>
      <c r="R35" s="5"/>
      <c r="S35" s="5"/>
      <c r="T35" s="5"/>
      <c r="U35" s="5"/>
      <c r="V35" s="5"/>
      <c r="W35" s="5"/>
      <c r="X35" s="5"/>
      <c r="Y35" s="5"/>
      <c r="Z35" s="5"/>
    </row>
    <row r="36" ht="19.5" customHeight="1">
      <c r="A36" s="31"/>
      <c r="B36" s="30"/>
      <c r="C36" s="31"/>
      <c r="D36" s="31"/>
      <c r="E36" s="31"/>
      <c r="F36" s="32"/>
      <c r="G36" s="34">
        <f>IFERROR(SUMIFS(Transactions!$F$7:$F$989,Transactions!$G$7:$G$989,A36,Transactions!$D$7:$D$989,"Expense"),0)</f>
        <v>0</v>
      </c>
      <c r="H36" s="31"/>
      <c r="I36" s="31"/>
      <c r="J36" s="24"/>
      <c r="K36" s="5"/>
      <c r="L36" s="5"/>
      <c r="M36" s="5"/>
      <c r="N36" s="5"/>
      <c r="O36" s="5"/>
      <c r="P36" s="5"/>
      <c r="Q36" s="5"/>
      <c r="R36" s="5"/>
      <c r="S36" s="5"/>
      <c r="T36" s="5"/>
      <c r="U36" s="5"/>
      <c r="V36" s="5"/>
      <c r="W36" s="5"/>
      <c r="X36" s="5"/>
      <c r="Y36" s="5"/>
      <c r="Z36" s="5"/>
    </row>
    <row r="37" ht="19.5" customHeight="1">
      <c r="A37" s="31"/>
      <c r="B37" s="30"/>
      <c r="C37" s="31"/>
      <c r="D37" s="31"/>
      <c r="E37" s="31"/>
      <c r="F37" s="32"/>
      <c r="G37" s="34">
        <f>IFERROR(SUMIFS(Transactions!$F$7:$F$989,Transactions!$G$7:$G$989,A37,Transactions!$D$7:$D$989,"Expense"),0)</f>
        <v>0</v>
      </c>
      <c r="H37" s="31"/>
      <c r="I37" s="31"/>
      <c r="J37" s="26"/>
      <c r="K37" s="5"/>
      <c r="L37" s="5"/>
      <c r="M37" s="5"/>
      <c r="N37" s="5"/>
      <c r="O37" s="5"/>
      <c r="P37" s="5"/>
      <c r="Q37" s="5"/>
      <c r="R37" s="5"/>
      <c r="S37" s="5"/>
      <c r="T37" s="5"/>
      <c r="U37" s="5"/>
      <c r="V37" s="5"/>
      <c r="W37" s="5"/>
      <c r="X37" s="5"/>
      <c r="Y37" s="5"/>
      <c r="Z37" s="5"/>
    </row>
    <row r="38" ht="19.5" customHeight="1">
      <c r="A38" s="31"/>
      <c r="B38" s="30"/>
      <c r="C38" s="31"/>
      <c r="D38" s="31"/>
      <c r="E38" s="31"/>
      <c r="F38" s="32"/>
      <c r="G38" s="34">
        <f>IFERROR(SUMIFS(Transactions!$F$7:$F$989,Transactions!$G$7:$G$989,A38,Transactions!$D$7:$D$989,"Expense"),0)</f>
        <v>0</v>
      </c>
      <c r="H38" s="31"/>
      <c r="I38" s="31"/>
      <c r="J38" s="24"/>
      <c r="K38" s="5"/>
      <c r="L38" s="5"/>
      <c r="M38" s="5"/>
      <c r="N38" s="5"/>
      <c r="O38" s="5"/>
      <c r="P38" s="5"/>
      <c r="Q38" s="5"/>
      <c r="R38" s="5"/>
      <c r="S38" s="5"/>
      <c r="T38" s="5"/>
      <c r="U38" s="5"/>
      <c r="V38" s="5"/>
      <c r="W38" s="5"/>
      <c r="X38" s="5"/>
      <c r="Y38" s="5"/>
      <c r="Z38" s="5"/>
    </row>
    <row r="39" ht="19.5" customHeight="1">
      <c r="A39" s="31"/>
      <c r="B39" s="30"/>
      <c r="C39" s="31"/>
      <c r="D39" s="31"/>
      <c r="E39" s="31"/>
      <c r="F39" s="32"/>
      <c r="G39" s="34">
        <f>IFERROR(SUMIFS(Transactions!$F$7:$F$989,Transactions!$G$7:$G$989,A39,Transactions!$D$7:$D$989,"Expense"),0)</f>
        <v>0</v>
      </c>
      <c r="H39" s="31"/>
      <c r="I39" s="31"/>
      <c r="J39" s="26"/>
      <c r="K39" s="5"/>
      <c r="L39" s="5"/>
      <c r="M39" s="5"/>
      <c r="N39" s="5"/>
      <c r="O39" s="5"/>
      <c r="P39" s="5"/>
      <c r="Q39" s="5"/>
      <c r="R39" s="5"/>
      <c r="S39" s="5"/>
      <c r="T39" s="5"/>
      <c r="U39" s="5"/>
      <c r="V39" s="5"/>
      <c r="W39" s="5"/>
      <c r="X39" s="5"/>
      <c r="Y39" s="5"/>
      <c r="Z39" s="5"/>
    </row>
    <row r="40" ht="19.5" customHeight="1">
      <c r="A40" s="31"/>
      <c r="B40" s="30"/>
      <c r="C40" s="31"/>
      <c r="D40" s="31"/>
      <c r="E40" s="31"/>
      <c r="F40" s="32"/>
      <c r="G40" s="34">
        <f>IFERROR(SUMIFS(Transactions!$F$7:$F$989,Transactions!$G$7:$G$989,A40,Transactions!$D$7:$D$989,"Expense"),0)</f>
        <v>0</v>
      </c>
      <c r="H40" s="31"/>
      <c r="I40" s="31"/>
      <c r="J40" s="24"/>
      <c r="K40" s="5"/>
      <c r="L40" s="5"/>
      <c r="M40" s="5"/>
      <c r="N40" s="5"/>
      <c r="O40" s="5"/>
      <c r="P40" s="5"/>
      <c r="Q40" s="5"/>
      <c r="R40" s="5"/>
      <c r="S40" s="5"/>
      <c r="T40" s="5"/>
      <c r="U40" s="5"/>
      <c r="V40" s="5"/>
      <c r="W40" s="5"/>
      <c r="X40" s="5"/>
      <c r="Y40" s="5"/>
      <c r="Z40" s="5"/>
    </row>
    <row r="41" ht="19.5" customHeight="1">
      <c r="A41" s="31"/>
      <c r="B41" s="30"/>
      <c r="C41" s="31"/>
      <c r="D41" s="31"/>
      <c r="E41" s="31"/>
      <c r="F41" s="32"/>
      <c r="G41" s="34">
        <f>IFERROR(SUMIFS(Transactions!$F$7:$F$989,Transactions!$G$7:$G$989,A41,Transactions!$D$7:$D$989,"Expense"),0)</f>
        <v>0</v>
      </c>
      <c r="H41" s="31"/>
      <c r="I41" s="31"/>
      <c r="J41" s="26"/>
      <c r="K41" s="5"/>
      <c r="L41" s="5"/>
      <c r="M41" s="5"/>
      <c r="N41" s="5"/>
      <c r="O41" s="5"/>
      <c r="P41" s="5"/>
      <c r="Q41" s="5"/>
      <c r="R41" s="5"/>
      <c r="S41" s="5"/>
      <c r="T41" s="5"/>
      <c r="U41" s="5"/>
      <c r="V41" s="5"/>
      <c r="W41" s="5"/>
      <c r="X41" s="5"/>
      <c r="Y41" s="5"/>
      <c r="Z41" s="5"/>
    </row>
    <row r="42" ht="19.5" customHeight="1">
      <c r="A42" s="31"/>
      <c r="B42" s="30"/>
      <c r="C42" s="31"/>
      <c r="D42" s="31"/>
      <c r="E42" s="31"/>
      <c r="F42" s="32"/>
      <c r="G42" s="34">
        <f>IFERROR(SUMIFS(Transactions!$F$7:$F$989,Transactions!$G$7:$G$989,A42,Transactions!$D$7:$D$989,"Expense"),0)</f>
        <v>0</v>
      </c>
      <c r="H42" s="31"/>
      <c r="I42" s="31"/>
      <c r="J42" s="24"/>
      <c r="K42" s="5"/>
      <c r="L42" s="5"/>
      <c r="M42" s="5"/>
      <c r="N42" s="5"/>
      <c r="O42" s="5"/>
      <c r="P42" s="5"/>
      <c r="Q42" s="5"/>
      <c r="R42" s="5"/>
      <c r="S42" s="5"/>
      <c r="T42" s="5"/>
      <c r="U42" s="5"/>
      <c r="V42" s="5"/>
      <c r="W42" s="5"/>
      <c r="X42" s="5"/>
      <c r="Y42" s="5"/>
      <c r="Z42" s="5"/>
    </row>
    <row r="43" ht="19.5" customHeight="1">
      <c r="A43" s="31"/>
      <c r="B43" s="30"/>
      <c r="C43" s="31"/>
      <c r="D43" s="31"/>
      <c r="E43" s="31"/>
      <c r="F43" s="32"/>
      <c r="G43" s="34">
        <f>IFERROR(SUMIFS(Transactions!$F$7:$F$989,Transactions!$G$7:$G$989,A43,Transactions!$D$7:$D$989,"Expense"),0)</f>
        <v>0</v>
      </c>
      <c r="H43" s="31"/>
      <c r="I43" s="31"/>
      <c r="J43" s="26"/>
      <c r="K43" s="5"/>
      <c r="L43" s="5"/>
      <c r="M43" s="5"/>
      <c r="N43" s="5"/>
      <c r="O43" s="5"/>
      <c r="P43" s="5"/>
      <c r="Q43" s="5"/>
      <c r="R43" s="5"/>
      <c r="S43" s="5"/>
      <c r="T43" s="5"/>
      <c r="U43" s="5"/>
      <c r="V43" s="5"/>
      <c r="W43" s="5"/>
      <c r="X43" s="5"/>
      <c r="Y43" s="5"/>
      <c r="Z43" s="5"/>
    </row>
    <row r="44" ht="19.5" customHeight="1">
      <c r="A44" s="31"/>
      <c r="B44" s="30"/>
      <c r="C44" s="31"/>
      <c r="D44" s="31"/>
      <c r="E44" s="31"/>
      <c r="F44" s="32"/>
      <c r="G44" s="34">
        <f>IFERROR(SUMIFS(Transactions!$F$7:$F$989,Transactions!$G$7:$G$989,A44,Transactions!$D$7:$D$989,"Expense"),0)</f>
        <v>0</v>
      </c>
      <c r="H44" s="31"/>
      <c r="I44" s="31"/>
      <c r="J44" s="24"/>
      <c r="K44" s="5"/>
      <c r="L44" s="5"/>
      <c r="M44" s="5"/>
      <c r="N44" s="5"/>
      <c r="O44" s="5"/>
      <c r="P44" s="5"/>
      <c r="Q44" s="5"/>
      <c r="R44" s="5"/>
      <c r="S44" s="5"/>
      <c r="T44" s="5"/>
      <c r="U44" s="5"/>
      <c r="V44" s="5"/>
      <c r="W44" s="5"/>
      <c r="X44" s="5"/>
      <c r="Y44" s="5"/>
      <c r="Z44" s="5"/>
    </row>
    <row r="45" ht="19.5" customHeight="1">
      <c r="A45" s="31"/>
      <c r="B45" s="30"/>
      <c r="C45" s="31"/>
      <c r="D45" s="31"/>
      <c r="E45" s="31"/>
      <c r="F45" s="32"/>
      <c r="G45" s="34">
        <f>IFERROR(SUMIFS(Transactions!$F$7:$F$989,Transactions!$G$7:$G$989,A45,Transactions!$D$7:$D$989,"Expense"),0)</f>
        <v>0</v>
      </c>
      <c r="H45" s="31"/>
      <c r="I45" s="31"/>
      <c r="J45" s="26"/>
      <c r="K45" s="5"/>
      <c r="L45" s="5"/>
      <c r="M45" s="5"/>
      <c r="N45" s="5"/>
      <c r="O45" s="5"/>
      <c r="P45" s="5"/>
      <c r="Q45" s="5"/>
      <c r="R45" s="5"/>
      <c r="S45" s="5"/>
      <c r="T45" s="5"/>
      <c r="U45" s="5"/>
      <c r="V45" s="5"/>
      <c r="W45" s="5"/>
      <c r="X45" s="5"/>
      <c r="Y45" s="5"/>
      <c r="Z45" s="5"/>
    </row>
    <row r="46" ht="19.5" customHeight="1">
      <c r="A46" s="31"/>
      <c r="B46" s="30"/>
      <c r="C46" s="31"/>
      <c r="D46" s="31"/>
      <c r="E46" s="31"/>
      <c r="F46" s="32"/>
      <c r="G46" s="34">
        <f>IFERROR(SUMIFS(Transactions!$F$7:$F$989,Transactions!$G$7:$G$989,A46,Transactions!$D$7:$D$989,"Expense"),0)</f>
        <v>0</v>
      </c>
      <c r="H46" s="31"/>
      <c r="I46" s="31"/>
      <c r="J46" s="24"/>
      <c r="K46" s="5"/>
      <c r="L46" s="5"/>
      <c r="M46" s="5"/>
      <c r="N46" s="5"/>
      <c r="O46" s="5"/>
      <c r="P46" s="5"/>
      <c r="Q46" s="5"/>
      <c r="R46" s="5"/>
      <c r="S46" s="5"/>
      <c r="T46" s="5"/>
      <c r="U46" s="5"/>
      <c r="V46" s="5"/>
      <c r="W46" s="5"/>
      <c r="X46" s="5"/>
      <c r="Y46" s="5"/>
      <c r="Z46" s="5"/>
    </row>
    <row r="47" ht="19.5" customHeight="1">
      <c r="A47" s="31"/>
      <c r="B47" s="30"/>
      <c r="C47" s="31"/>
      <c r="D47" s="31"/>
      <c r="E47" s="31"/>
      <c r="F47" s="32"/>
      <c r="G47" s="34">
        <f>IFERROR(SUMIFS(Transactions!$F$7:$F$989,Transactions!$G$7:$G$989,A47,Transactions!$D$7:$D$989,"Expense"),0)</f>
        <v>0</v>
      </c>
      <c r="H47" s="31"/>
      <c r="I47" s="31"/>
      <c r="J47" s="26"/>
      <c r="K47" s="5"/>
      <c r="L47" s="5"/>
      <c r="M47" s="5"/>
      <c r="N47" s="5"/>
      <c r="O47" s="5"/>
      <c r="P47" s="5"/>
      <c r="Q47" s="5"/>
      <c r="R47" s="5"/>
      <c r="S47" s="5"/>
      <c r="T47" s="5"/>
      <c r="U47" s="5"/>
      <c r="V47" s="5"/>
      <c r="W47" s="5"/>
      <c r="X47" s="5"/>
      <c r="Y47" s="5"/>
      <c r="Z47" s="5"/>
    </row>
    <row r="48" ht="19.5" customHeight="1">
      <c r="A48" s="31"/>
      <c r="B48" s="30"/>
      <c r="C48" s="31"/>
      <c r="D48" s="31"/>
      <c r="E48" s="31"/>
      <c r="F48" s="32"/>
      <c r="G48" s="34">
        <f>IFERROR(SUMIFS(Transactions!$F$7:$F$989,Transactions!$G$7:$G$989,A48,Transactions!$D$7:$D$989,"Expense"),0)</f>
        <v>0</v>
      </c>
      <c r="H48" s="31"/>
      <c r="I48" s="31"/>
      <c r="J48" s="24"/>
      <c r="K48" s="5"/>
      <c r="L48" s="5"/>
      <c r="M48" s="5"/>
      <c r="N48" s="5"/>
      <c r="O48" s="5"/>
      <c r="P48" s="5"/>
      <c r="Q48" s="5"/>
      <c r="R48" s="5"/>
      <c r="S48" s="5"/>
      <c r="T48" s="5"/>
      <c r="U48" s="5"/>
      <c r="V48" s="5"/>
      <c r="W48" s="5"/>
      <c r="X48" s="5"/>
      <c r="Y48" s="5"/>
      <c r="Z48" s="5"/>
    </row>
    <row r="49" ht="19.5" customHeight="1">
      <c r="A49" s="31"/>
      <c r="B49" s="30"/>
      <c r="C49" s="31"/>
      <c r="D49" s="31"/>
      <c r="E49" s="31"/>
      <c r="F49" s="32"/>
      <c r="G49" s="34">
        <f>IFERROR(SUMIFS(Transactions!$F$7:$F$989,Transactions!$G$7:$G$989,A49,Transactions!$D$7:$D$989,"Expense"),0)</f>
        <v>0</v>
      </c>
      <c r="H49" s="31"/>
      <c r="I49" s="31"/>
      <c r="J49" s="26"/>
      <c r="K49" s="5"/>
      <c r="L49" s="5"/>
      <c r="M49" s="5"/>
      <c r="N49" s="5"/>
      <c r="O49" s="5"/>
      <c r="P49" s="5"/>
      <c r="Q49" s="5"/>
      <c r="R49" s="5"/>
      <c r="S49" s="5"/>
      <c r="T49" s="5"/>
      <c r="U49" s="5"/>
      <c r="V49" s="5"/>
      <c r="W49" s="5"/>
      <c r="X49" s="5"/>
      <c r="Y49" s="5"/>
      <c r="Z49" s="5"/>
    </row>
    <row r="50" ht="19.5" customHeight="1">
      <c r="A50" s="31"/>
      <c r="B50" s="30"/>
      <c r="C50" s="31"/>
      <c r="D50" s="31"/>
      <c r="E50" s="31"/>
      <c r="F50" s="32"/>
      <c r="G50" s="34">
        <f>IFERROR(SUMIFS(Transactions!$F$7:$F$989,Transactions!$G$7:$G$989,A50,Transactions!$D$7:$D$989,"Expense"),0)</f>
        <v>0</v>
      </c>
      <c r="H50" s="31"/>
      <c r="I50" s="31"/>
      <c r="J50" s="24"/>
      <c r="K50" s="5"/>
      <c r="L50" s="5"/>
      <c r="M50" s="5"/>
      <c r="N50" s="5"/>
      <c r="O50" s="5"/>
      <c r="P50" s="5"/>
      <c r="Q50" s="5"/>
      <c r="R50" s="5"/>
      <c r="S50" s="5"/>
      <c r="T50" s="5"/>
      <c r="U50" s="5"/>
      <c r="V50" s="5"/>
      <c r="W50" s="5"/>
      <c r="X50" s="5"/>
      <c r="Y50" s="5"/>
      <c r="Z50" s="5"/>
    </row>
    <row r="51" ht="19.5" customHeight="1">
      <c r="A51" s="31"/>
      <c r="B51" s="30"/>
      <c r="C51" s="31"/>
      <c r="D51" s="31"/>
      <c r="E51" s="31"/>
      <c r="F51" s="32"/>
      <c r="G51" s="34">
        <f>IFERROR(SUMIFS(Transactions!$F$7:$F$989,Transactions!$G$7:$G$989,A51,Transactions!$D$7:$D$989,"Expense"),0)</f>
        <v>0</v>
      </c>
      <c r="H51" s="31"/>
      <c r="I51" s="31"/>
      <c r="J51" s="26"/>
      <c r="K51" s="5"/>
      <c r="L51" s="5"/>
      <c r="M51" s="5"/>
      <c r="N51" s="5"/>
      <c r="O51" s="5"/>
      <c r="P51" s="5"/>
      <c r="Q51" s="5"/>
      <c r="R51" s="5"/>
      <c r="S51" s="5"/>
      <c r="T51" s="5"/>
      <c r="U51" s="5"/>
      <c r="V51" s="5"/>
      <c r="W51" s="5"/>
      <c r="X51" s="5"/>
      <c r="Y51" s="5"/>
      <c r="Z51" s="5"/>
    </row>
    <row r="52" ht="19.5" customHeight="1">
      <c r="A52" s="31"/>
      <c r="B52" s="30"/>
      <c r="C52" s="31"/>
      <c r="D52" s="31"/>
      <c r="E52" s="31"/>
      <c r="F52" s="32"/>
      <c r="G52" s="34">
        <f>IFERROR(SUMIFS(Transactions!$F$7:$F$989,Transactions!$G$7:$G$989,A52,Transactions!$D$7:$D$989,"Expense"),0)</f>
        <v>0</v>
      </c>
      <c r="H52" s="31"/>
      <c r="I52" s="31"/>
      <c r="J52" s="24"/>
      <c r="K52" s="5"/>
      <c r="L52" s="5"/>
      <c r="M52" s="5"/>
      <c r="N52" s="5"/>
      <c r="O52" s="5"/>
      <c r="P52" s="5"/>
      <c r="Q52" s="5"/>
      <c r="R52" s="5"/>
      <c r="S52" s="5"/>
      <c r="T52" s="5"/>
      <c r="U52" s="5"/>
      <c r="V52" s="5"/>
      <c r="W52" s="5"/>
      <c r="X52" s="5"/>
      <c r="Y52" s="5"/>
      <c r="Z52" s="5"/>
    </row>
    <row r="53" ht="19.5" customHeight="1">
      <c r="A53" s="31"/>
      <c r="B53" s="30"/>
      <c r="C53" s="31"/>
      <c r="D53" s="31"/>
      <c r="E53" s="31"/>
      <c r="F53" s="32"/>
      <c r="G53" s="34">
        <f>IFERROR(SUMIFS(Transactions!$F$7:$F$989,Transactions!$G$7:$G$989,A53,Transactions!$D$7:$D$989,"Expense"),0)</f>
        <v>0</v>
      </c>
      <c r="H53" s="31"/>
      <c r="I53" s="31"/>
      <c r="J53" s="26"/>
      <c r="K53" s="5"/>
      <c r="L53" s="5"/>
      <c r="M53" s="5"/>
      <c r="N53" s="5"/>
      <c r="O53" s="5"/>
      <c r="P53" s="5"/>
      <c r="Q53" s="5"/>
      <c r="R53" s="5"/>
      <c r="S53" s="5"/>
      <c r="T53" s="5"/>
      <c r="U53" s="5"/>
      <c r="V53" s="5"/>
      <c r="W53" s="5"/>
      <c r="X53" s="5"/>
      <c r="Y53" s="5"/>
      <c r="Z53" s="5"/>
    </row>
    <row r="54" ht="19.5" customHeight="1">
      <c r="A54" s="31"/>
      <c r="B54" s="30"/>
      <c r="C54" s="31"/>
      <c r="D54" s="31"/>
      <c r="E54" s="31"/>
      <c r="F54" s="32"/>
      <c r="G54" s="34">
        <f>IFERROR(SUMIFS(Transactions!$F$7:$F$989,Transactions!$G$7:$G$989,A54,Transactions!$D$7:$D$989,"Expense"),0)</f>
        <v>0</v>
      </c>
      <c r="H54" s="31"/>
      <c r="I54" s="31"/>
      <c r="J54" s="24"/>
      <c r="K54" s="5"/>
      <c r="L54" s="5"/>
      <c r="M54" s="5"/>
      <c r="N54" s="5"/>
      <c r="O54" s="5"/>
      <c r="P54" s="5"/>
      <c r="Q54" s="5"/>
      <c r="R54" s="5"/>
      <c r="S54" s="5"/>
      <c r="T54" s="5"/>
      <c r="U54" s="5"/>
      <c r="V54" s="5"/>
      <c r="W54" s="5"/>
      <c r="X54" s="5"/>
      <c r="Y54" s="5"/>
      <c r="Z54" s="5"/>
    </row>
    <row r="55" ht="19.5" customHeight="1">
      <c r="A55" s="31"/>
      <c r="B55" s="30"/>
      <c r="C55" s="31"/>
      <c r="D55" s="31"/>
      <c r="E55" s="31"/>
      <c r="F55" s="32"/>
      <c r="G55" s="34">
        <f>IFERROR(SUMIFS(Transactions!$F$7:$F$989,Transactions!$G$7:$G$989,A55,Transactions!$D$7:$D$989,"Expense"),0)</f>
        <v>0</v>
      </c>
      <c r="H55" s="31"/>
      <c r="I55" s="31"/>
      <c r="J55" s="26"/>
      <c r="K55" s="5"/>
      <c r="L55" s="5"/>
      <c r="M55" s="5"/>
      <c r="N55" s="5"/>
      <c r="O55" s="5"/>
      <c r="P55" s="5"/>
      <c r="Q55" s="5"/>
      <c r="R55" s="5"/>
      <c r="S55" s="5"/>
      <c r="T55" s="5"/>
      <c r="U55" s="5"/>
      <c r="V55" s="5"/>
      <c r="W55" s="5"/>
      <c r="X55" s="5"/>
      <c r="Y55" s="5"/>
      <c r="Z55" s="5"/>
    </row>
    <row r="56" ht="19.5" customHeight="1">
      <c r="A56" s="31"/>
      <c r="B56" s="30"/>
      <c r="C56" s="31"/>
      <c r="D56" s="31"/>
      <c r="E56" s="31"/>
      <c r="F56" s="32"/>
      <c r="G56" s="34">
        <f>IFERROR(SUMIFS(Transactions!$F$7:$F$989,Transactions!$G$7:$G$989,A56,Transactions!$D$7:$D$989,"Expense"),0)</f>
        <v>0</v>
      </c>
      <c r="H56" s="31"/>
      <c r="I56" s="31"/>
      <c r="J56" s="24"/>
      <c r="K56" s="5"/>
      <c r="L56" s="5"/>
      <c r="M56" s="5"/>
      <c r="N56" s="5"/>
      <c r="O56" s="5"/>
      <c r="P56" s="5"/>
      <c r="Q56" s="5"/>
      <c r="R56" s="5"/>
      <c r="S56" s="5"/>
      <c r="T56" s="5"/>
      <c r="U56" s="5"/>
      <c r="V56" s="5"/>
      <c r="W56" s="5"/>
      <c r="X56" s="5"/>
      <c r="Y56" s="5"/>
      <c r="Z56" s="5"/>
    </row>
    <row r="57" ht="19.5" customHeight="1">
      <c r="A57" s="31"/>
      <c r="B57" s="30"/>
      <c r="C57" s="31"/>
      <c r="D57" s="31"/>
      <c r="E57" s="31"/>
      <c r="F57" s="32"/>
      <c r="G57" s="34">
        <f>IFERROR(SUMIFS(Transactions!$F$7:$F$989,Transactions!$G$7:$G$989,A57,Transactions!$D$7:$D$989,"Expense"),0)</f>
        <v>0</v>
      </c>
      <c r="H57" s="31"/>
      <c r="I57" s="31"/>
      <c r="J57" s="26"/>
      <c r="K57" s="5"/>
      <c r="L57" s="5"/>
      <c r="M57" s="5"/>
      <c r="N57" s="5"/>
      <c r="O57" s="5"/>
      <c r="P57" s="5"/>
      <c r="Q57" s="5"/>
      <c r="R57" s="5"/>
      <c r="S57" s="5"/>
      <c r="T57" s="5"/>
      <c r="U57" s="5"/>
      <c r="V57" s="5"/>
      <c r="W57" s="5"/>
      <c r="X57" s="5"/>
      <c r="Y57" s="5"/>
      <c r="Z57" s="5"/>
    </row>
    <row r="58" ht="19.5" customHeight="1">
      <c r="A58" s="31"/>
      <c r="B58" s="30"/>
      <c r="C58" s="31"/>
      <c r="D58" s="31"/>
      <c r="E58" s="31"/>
      <c r="F58" s="32"/>
      <c r="G58" s="34">
        <f>IFERROR(SUMIFS(Transactions!$F$7:$F$989,Transactions!$G$7:$G$989,A58,Transactions!$D$7:$D$989,"Expense"),0)</f>
        <v>0</v>
      </c>
      <c r="H58" s="31"/>
      <c r="I58" s="31"/>
      <c r="J58" s="24"/>
      <c r="K58" s="5"/>
      <c r="L58" s="5"/>
      <c r="M58" s="5"/>
      <c r="N58" s="5"/>
      <c r="O58" s="5"/>
      <c r="P58" s="5"/>
      <c r="Q58" s="5"/>
      <c r="R58" s="5"/>
      <c r="S58" s="5"/>
      <c r="T58" s="5"/>
      <c r="U58" s="5"/>
      <c r="V58" s="5"/>
      <c r="W58" s="5"/>
      <c r="X58" s="5"/>
      <c r="Y58" s="5"/>
      <c r="Z58" s="5"/>
    </row>
    <row r="59" ht="19.5" customHeight="1">
      <c r="A59" s="31"/>
      <c r="B59" s="30"/>
      <c r="C59" s="31"/>
      <c r="D59" s="31"/>
      <c r="E59" s="31"/>
      <c r="F59" s="32"/>
      <c r="G59" s="34">
        <f>IFERROR(SUMIFS(Transactions!$F$7:$F$989,Transactions!$G$7:$G$989,A59,Transactions!$D$7:$D$989,"Expense"),0)</f>
        <v>0</v>
      </c>
      <c r="H59" s="31"/>
      <c r="I59" s="31"/>
      <c r="J59" s="26"/>
      <c r="K59" s="5"/>
      <c r="L59" s="5"/>
      <c r="M59" s="5"/>
      <c r="N59" s="5"/>
      <c r="O59" s="5"/>
      <c r="P59" s="5"/>
      <c r="Q59" s="5"/>
      <c r="R59" s="5"/>
      <c r="S59" s="5"/>
      <c r="T59" s="5"/>
      <c r="U59" s="5"/>
      <c r="V59" s="5"/>
      <c r="W59" s="5"/>
      <c r="X59" s="5"/>
      <c r="Y59" s="5"/>
      <c r="Z59" s="5"/>
    </row>
    <row r="60" ht="19.5" customHeight="1">
      <c r="A60" s="31"/>
      <c r="B60" s="30"/>
      <c r="C60" s="31"/>
      <c r="D60" s="31"/>
      <c r="E60" s="31"/>
      <c r="F60" s="32"/>
      <c r="G60" s="34">
        <f>IFERROR(SUMIFS(Transactions!$F$7:$F$989,Transactions!$G$7:$G$989,A60,Transactions!$D$7:$D$989,"Expense"),0)</f>
        <v>0</v>
      </c>
      <c r="H60" s="31"/>
      <c r="I60" s="31"/>
      <c r="J60" s="24"/>
      <c r="K60" s="5"/>
      <c r="L60" s="5"/>
      <c r="M60" s="5"/>
      <c r="N60" s="5"/>
      <c r="O60" s="5"/>
      <c r="P60" s="5"/>
      <c r="Q60" s="5"/>
      <c r="R60" s="5"/>
      <c r="S60" s="5"/>
      <c r="T60" s="5"/>
      <c r="U60" s="5"/>
      <c r="V60" s="5"/>
      <c r="W60" s="5"/>
      <c r="X60" s="5"/>
      <c r="Y60" s="5"/>
      <c r="Z60" s="5"/>
    </row>
    <row r="61" ht="19.5" customHeight="1">
      <c r="A61" s="31"/>
      <c r="B61" s="30"/>
      <c r="C61" s="31"/>
      <c r="D61" s="31"/>
      <c r="E61" s="31"/>
      <c r="F61" s="32"/>
      <c r="G61" s="34">
        <f>IFERROR(SUMIFS(Transactions!$F$7:$F$989,Transactions!$G$7:$G$989,A61,Transactions!$D$7:$D$989,"Expense"),0)</f>
        <v>0</v>
      </c>
      <c r="H61" s="31"/>
      <c r="I61" s="31"/>
      <c r="J61" s="26"/>
      <c r="K61" s="5"/>
      <c r="L61" s="5"/>
      <c r="M61" s="5"/>
      <c r="N61" s="5"/>
      <c r="O61" s="5"/>
      <c r="P61" s="5"/>
      <c r="Q61" s="5"/>
      <c r="R61" s="5"/>
      <c r="S61" s="5"/>
      <c r="T61" s="5"/>
      <c r="U61" s="5"/>
      <c r="V61" s="5"/>
      <c r="W61" s="5"/>
      <c r="X61" s="5"/>
      <c r="Y61" s="5"/>
      <c r="Z61" s="5"/>
    </row>
    <row r="62" ht="19.5" customHeight="1">
      <c r="A62" s="31"/>
      <c r="B62" s="30"/>
      <c r="C62" s="31"/>
      <c r="D62" s="31"/>
      <c r="E62" s="31"/>
      <c r="F62" s="32"/>
      <c r="G62" s="34">
        <f>IFERROR(SUMIFS(Transactions!$F$7:$F$989,Transactions!$G$7:$G$989,A62,Transactions!$D$7:$D$989,"Expense"),0)</f>
        <v>0</v>
      </c>
      <c r="H62" s="31"/>
      <c r="I62" s="31"/>
      <c r="J62" s="24"/>
      <c r="K62" s="5"/>
      <c r="L62" s="5"/>
      <c r="M62" s="5"/>
      <c r="N62" s="5"/>
      <c r="O62" s="5"/>
      <c r="P62" s="5"/>
      <c r="Q62" s="5"/>
      <c r="R62" s="5"/>
      <c r="S62" s="5"/>
      <c r="T62" s="5"/>
      <c r="U62" s="5"/>
      <c r="V62" s="5"/>
      <c r="W62" s="5"/>
      <c r="X62" s="5"/>
      <c r="Y62" s="5"/>
      <c r="Z62" s="5"/>
    </row>
    <row r="63" ht="19.5" customHeight="1">
      <c r="A63" s="31"/>
      <c r="B63" s="30"/>
      <c r="C63" s="31"/>
      <c r="D63" s="31"/>
      <c r="E63" s="31"/>
      <c r="F63" s="32"/>
      <c r="G63" s="34">
        <f>IFERROR(SUMIFS(Transactions!$F$7:$F$989,Transactions!$G$7:$G$989,A63,Transactions!$D$7:$D$989,"Expense"),0)</f>
        <v>0</v>
      </c>
      <c r="H63" s="31"/>
      <c r="I63" s="31"/>
      <c r="J63" s="26"/>
      <c r="K63" s="5"/>
      <c r="L63" s="5"/>
      <c r="M63" s="5"/>
      <c r="N63" s="5"/>
      <c r="O63" s="5"/>
      <c r="P63" s="5"/>
      <c r="Q63" s="5"/>
      <c r="R63" s="5"/>
      <c r="S63" s="5"/>
      <c r="T63" s="5"/>
      <c r="U63" s="5"/>
      <c r="V63" s="5"/>
      <c r="W63" s="5"/>
      <c r="X63" s="5"/>
      <c r="Y63" s="5"/>
      <c r="Z63" s="5"/>
    </row>
    <row r="64" ht="19.5" customHeight="1">
      <c r="A64" s="31"/>
      <c r="B64" s="30"/>
      <c r="C64" s="31"/>
      <c r="D64" s="31"/>
      <c r="E64" s="31"/>
      <c r="F64" s="32"/>
      <c r="G64" s="34">
        <f>IFERROR(SUMIFS(Transactions!$F$7:$F$989,Transactions!$G$7:$G$989,A64,Transactions!$D$7:$D$989,"Expense"),0)</f>
        <v>0</v>
      </c>
      <c r="H64" s="31"/>
      <c r="I64" s="31"/>
      <c r="J64" s="24"/>
      <c r="K64" s="5"/>
      <c r="L64" s="5"/>
      <c r="M64" s="5"/>
      <c r="N64" s="5"/>
      <c r="O64" s="5"/>
      <c r="P64" s="5"/>
      <c r="Q64" s="5"/>
      <c r="R64" s="5"/>
      <c r="S64" s="5"/>
      <c r="T64" s="5"/>
      <c r="U64" s="5"/>
      <c r="V64" s="5"/>
      <c r="W64" s="5"/>
      <c r="X64" s="5"/>
      <c r="Y64" s="5"/>
      <c r="Z64" s="5"/>
    </row>
    <row r="65" ht="19.5" customHeight="1">
      <c r="A65" s="31"/>
      <c r="B65" s="30"/>
      <c r="C65" s="31"/>
      <c r="D65" s="31"/>
      <c r="E65" s="31"/>
      <c r="F65" s="32"/>
      <c r="G65" s="34">
        <f>IFERROR(SUMIFS(Transactions!$F$7:$F$989,Transactions!$G$7:$G$989,A65,Transactions!$D$7:$D$989,"Expense"),0)</f>
        <v>0</v>
      </c>
      <c r="H65" s="31"/>
      <c r="I65" s="31"/>
      <c r="J65" s="26"/>
      <c r="K65" s="5"/>
      <c r="L65" s="5"/>
      <c r="M65" s="5"/>
      <c r="N65" s="5"/>
      <c r="O65" s="5"/>
      <c r="P65" s="5"/>
      <c r="Q65" s="5"/>
      <c r="R65" s="5"/>
      <c r="S65" s="5"/>
      <c r="T65" s="5"/>
      <c r="U65" s="5"/>
      <c r="V65" s="5"/>
      <c r="W65" s="5"/>
      <c r="X65" s="5"/>
      <c r="Y65" s="5"/>
      <c r="Z65" s="5"/>
    </row>
    <row r="66" ht="19.5" customHeight="1">
      <c r="A66" s="31"/>
      <c r="B66" s="30"/>
      <c r="C66" s="31"/>
      <c r="D66" s="31"/>
      <c r="E66" s="31"/>
      <c r="F66" s="32"/>
      <c r="G66" s="34">
        <f>IFERROR(SUMIFS(Transactions!$F$7:$F$989,Transactions!$G$7:$G$989,A66,Transactions!$D$7:$D$989,"Expense"),0)</f>
        <v>0</v>
      </c>
      <c r="H66" s="31"/>
      <c r="I66" s="31"/>
      <c r="J66" s="24"/>
      <c r="K66" s="5"/>
      <c r="L66" s="5"/>
      <c r="M66" s="5"/>
      <c r="N66" s="5"/>
      <c r="O66" s="5"/>
      <c r="P66" s="5"/>
      <c r="Q66" s="5"/>
      <c r="R66" s="5"/>
      <c r="S66" s="5"/>
      <c r="T66" s="5"/>
      <c r="U66" s="5"/>
      <c r="V66" s="5"/>
      <c r="W66" s="5"/>
      <c r="X66" s="5"/>
      <c r="Y66" s="5"/>
      <c r="Z66" s="5"/>
    </row>
    <row r="67" ht="19.5" customHeight="1">
      <c r="A67" s="31"/>
      <c r="B67" s="30"/>
      <c r="C67" s="31"/>
      <c r="D67" s="31"/>
      <c r="E67" s="31"/>
      <c r="F67" s="32"/>
      <c r="G67" s="34">
        <f>IFERROR(SUMIFS(Transactions!$F$7:$F$989,Transactions!$G$7:$G$989,A67,Transactions!$D$7:$D$989,"Expense"),0)</f>
        <v>0</v>
      </c>
      <c r="H67" s="31"/>
      <c r="I67" s="31"/>
      <c r="J67" s="26"/>
      <c r="K67" s="5"/>
      <c r="L67" s="5"/>
      <c r="M67" s="5"/>
      <c r="N67" s="5"/>
      <c r="O67" s="5"/>
      <c r="P67" s="5"/>
      <c r="Q67" s="5"/>
      <c r="R67" s="5"/>
      <c r="S67" s="5"/>
      <c r="T67" s="5"/>
      <c r="U67" s="5"/>
      <c r="V67" s="5"/>
      <c r="W67" s="5"/>
      <c r="X67" s="5"/>
      <c r="Y67" s="5"/>
      <c r="Z67" s="5"/>
    </row>
    <row r="68" ht="19.5" customHeight="1">
      <c r="A68" s="31"/>
      <c r="B68" s="30"/>
      <c r="C68" s="31"/>
      <c r="D68" s="31"/>
      <c r="E68" s="31"/>
      <c r="F68" s="32"/>
      <c r="G68" s="34">
        <f>IFERROR(SUMIFS(Transactions!$F$7:$F$989,Transactions!$G$7:$G$989,A68,Transactions!$D$7:$D$989,"Expense"),0)</f>
        <v>0</v>
      </c>
      <c r="H68" s="31"/>
      <c r="I68" s="31"/>
      <c r="J68" s="24"/>
      <c r="K68" s="5"/>
      <c r="L68" s="5"/>
      <c r="M68" s="5"/>
      <c r="N68" s="5"/>
      <c r="O68" s="5"/>
      <c r="P68" s="5"/>
      <c r="Q68" s="5"/>
      <c r="R68" s="5"/>
      <c r="S68" s="5"/>
      <c r="T68" s="5"/>
      <c r="U68" s="5"/>
      <c r="V68" s="5"/>
      <c r="W68" s="5"/>
      <c r="X68" s="5"/>
      <c r="Y68" s="5"/>
      <c r="Z68" s="5"/>
    </row>
    <row r="69" ht="19.5" customHeight="1">
      <c r="A69" s="31"/>
      <c r="B69" s="30"/>
      <c r="C69" s="31"/>
      <c r="D69" s="31"/>
      <c r="E69" s="31"/>
      <c r="F69" s="32"/>
      <c r="G69" s="34">
        <f>IFERROR(SUMIFS(Transactions!$F$7:$F$989,Transactions!$G$7:$G$989,A69,Transactions!$D$7:$D$989,"Expense"),0)</f>
        <v>0</v>
      </c>
      <c r="H69" s="31"/>
      <c r="I69" s="31"/>
      <c r="J69" s="26"/>
      <c r="K69" s="5"/>
      <c r="L69" s="5"/>
      <c r="M69" s="5"/>
      <c r="N69" s="5"/>
      <c r="O69" s="5"/>
      <c r="P69" s="5"/>
      <c r="Q69" s="5"/>
      <c r="R69" s="5"/>
      <c r="S69" s="5"/>
      <c r="T69" s="5"/>
      <c r="U69" s="5"/>
      <c r="V69" s="5"/>
      <c r="W69" s="5"/>
      <c r="X69" s="5"/>
      <c r="Y69" s="5"/>
      <c r="Z69" s="5"/>
    </row>
    <row r="70" ht="19.5" customHeight="1">
      <c r="A70" s="31"/>
      <c r="B70" s="30"/>
      <c r="C70" s="31"/>
      <c r="D70" s="31"/>
      <c r="E70" s="31"/>
      <c r="F70" s="32"/>
      <c r="G70" s="34">
        <f>IFERROR(SUMIFS(Transactions!$F$7:$F$989,Transactions!$G$7:$G$989,A70,Transactions!$D$7:$D$989,"Expense"),0)</f>
        <v>0</v>
      </c>
      <c r="H70" s="31"/>
      <c r="I70" s="31"/>
      <c r="J70" s="24"/>
      <c r="K70" s="5"/>
      <c r="L70" s="5"/>
      <c r="M70" s="5"/>
      <c r="N70" s="5"/>
      <c r="O70" s="5"/>
      <c r="P70" s="5"/>
      <c r="Q70" s="5"/>
      <c r="R70" s="5"/>
      <c r="S70" s="5"/>
      <c r="T70" s="5"/>
      <c r="U70" s="5"/>
      <c r="V70" s="5"/>
      <c r="W70" s="5"/>
      <c r="X70" s="5"/>
      <c r="Y70" s="5"/>
      <c r="Z70" s="5"/>
    </row>
    <row r="71" ht="19.5" customHeight="1">
      <c r="A71" s="31"/>
      <c r="B71" s="30"/>
      <c r="C71" s="31"/>
      <c r="D71" s="31"/>
      <c r="E71" s="31"/>
      <c r="F71" s="32"/>
      <c r="G71" s="34">
        <f>IFERROR(SUMIFS(Transactions!$F$7:$F$989,Transactions!$G$7:$G$989,A71,Transactions!$D$7:$D$989,"Expense"),0)</f>
        <v>0</v>
      </c>
      <c r="H71" s="31"/>
      <c r="I71" s="31"/>
      <c r="J71" s="26"/>
      <c r="K71" s="5"/>
      <c r="L71" s="5"/>
      <c r="M71" s="5"/>
      <c r="N71" s="5"/>
      <c r="O71" s="5"/>
      <c r="P71" s="5"/>
      <c r="Q71" s="5"/>
      <c r="R71" s="5"/>
      <c r="S71" s="5"/>
      <c r="T71" s="5"/>
      <c r="U71" s="5"/>
      <c r="V71" s="5"/>
      <c r="W71" s="5"/>
      <c r="X71" s="5"/>
      <c r="Y71" s="5"/>
      <c r="Z71" s="5"/>
    </row>
    <row r="72" ht="19.5" customHeight="1">
      <c r="A72" s="31"/>
      <c r="B72" s="30"/>
      <c r="C72" s="31"/>
      <c r="D72" s="31"/>
      <c r="E72" s="31"/>
      <c r="F72" s="32"/>
      <c r="G72" s="34">
        <f>IFERROR(SUMIFS(Transactions!$F$7:$F$989,Transactions!$G$7:$G$989,A72,Transactions!$D$7:$D$989,"Expense"),0)</f>
        <v>0</v>
      </c>
      <c r="H72" s="31"/>
      <c r="I72" s="31"/>
      <c r="J72" s="24"/>
      <c r="K72" s="5"/>
      <c r="L72" s="5"/>
      <c r="M72" s="5"/>
      <c r="N72" s="5"/>
      <c r="O72" s="5"/>
      <c r="P72" s="5"/>
      <c r="Q72" s="5"/>
      <c r="R72" s="5"/>
      <c r="S72" s="5"/>
      <c r="T72" s="5"/>
      <c r="U72" s="5"/>
      <c r="V72" s="5"/>
      <c r="W72" s="5"/>
      <c r="X72" s="5"/>
      <c r="Y72" s="5"/>
      <c r="Z72" s="5"/>
    </row>
    <row r="73" ht="19.5" customHeight="1">
      <c r="A73" s="31"/>
      <c r="B73" s="30"/>
      <c r="C73" s="31"/>
      <c r="D73" s="31"/>
      <c r="E73" s="31"/>
      <c r="F73" s="32"/>
      <c r="G73" s="34">
        <f>IFERROR(SUMIFS(Transactions!$F$7:$F$989,Transactions!$G$7:$G$989,A73,Transactions!$D$7:$D$989,"Expense"),0)</f>
        <v>0</v>
      </c>
      <c r="H73" s="31"/>
      <c r="I73" s="31"/>
      <c r="J73" s="26"/>
      <c r="K73" s="5"/>
      <c r="L73" s="5"/>
      <c r="M73" s="5"/>
      <c r="N73" s="5"/>
      <c r="O73" s="5"/>
      <c r="P73" s="5"/>
      <c r="Q73" s="5"/>
      <c r="R73" s="5"/>
      <c r="S73" s="5"/>
      <c r="T73" s="5"/>
      <c r="U73" s="5"/>
      <c r="V73" s="5"/>
      <c r="W73" s="5"/>
      <c r="X73" s="5"/>
      <c r="Y73" s="5"/>
      <c r="Z73" s="5"/>
    </row>
    <row r="74" ht="19.5" customHeight="1">
      <c r="A74" s="31"/>
      <c r="B74" s="30"/>
      <c r="C74" s="31"/>
      <c r="D74" s="31"/>
      <c r="E74" s="31"/>
      <c r="F74" s="32"/>
      <c r="G74" s="34">
        <f>IFERROR(SUMIFS(Transactions!$F$7:$F$989,Transactions!$G$7:$G$989,A74,Transactions!$D$7:$D$989,"Expense"),0)</f>
        <v>0</v>
      </c>
      <c r="H74" s="31"/>
      <c r="I74" s="31"/>
      <c r="J74" s="24"/>
      <c r="K74" s="5"/>
      <c r="L74" s="5"/>
      <c r="M74" s="5"/>
      <c r="N74" s="5"/>
      <c r="O74" s="5"/>
      <c r="P74" s="5"/>
      <c r="Q74" s="5"/>
      <c r="R74" s="5"/>
      <c r="S74" s="5"/>
      <c r="T74" s="5"/>
      <c r="U74" s="5"/>
      <c r="V74" s="5"/>
      <c r="W74" s="5"/>
      <c r="X74" s="5"/>
      <c r="Y74" s="5"/>
      <c r="Z74" s="5"/>
    </row>
    <row r="75" ht="19.5" customHeight="1">
      <c r="A75" s="31"/>
      <c r="B75" s="30"/>
      <c r="C75" s="31"/>
      <c r="D75" s="31"/>
      <c r="E75" s="31"/>
      <c r="F75" s="32"/>
      <c r="G75" s="34">
        <f>IFERROR(SUMIFS(Transactions!$F$7:$F$989,Transactions!$G$7:$G$989,A75,Transactions!$D$7:$D$989,"Expense"),0)</f>
        <v>0</v>
      </c>
      <c r="H75" s="31"/>
      <c r="I75" s="31"/>
      <c r="J75" s="26"/>
      <c r="K75" s="5"/>
      <c r="L75" s="5"/>
      <c r="M75" s="5"/>
      <c r="N75" s="5"/>
      <c r="O75" s="5"/>
      <c r="P75" s="5"/>
      <c r="Q75" s="5"/>
      <c r="R75" s="5"/>
      <c r="S75" s="5"/>
      <c r="T75" s="5"/>
      <c r="U75" s="5"/>
      <c r="V75" s="5"/>
      <c r="W75" s="5"/>
      <c r="X75" s="5"/>
      <c r="Y75" s="5"/>
      <c r="Z75" s="5"/>
    </row>
    <row r="76" ht="19.5" customHeight="1">
      <c r="A76" s="31"/>
      <c r="B76" s="30"/>
      <c r="C76" s="31"/>
      <c r="D76" s="31"/>
      <c r="E76" s="31"/>
      <c r="F76" s="32"/>
      <c r="G76" s="34">
        <f>IFERROR(SUMIFS(Transactions!$F$7:$F$989,Transactions!$G$7:$G$989,A76,Transactions!$D$7:$D$989,"Expense"),0)</f>
        <v>0</v>
      </c>
      <c r="H76" s="31"/>
      <c r="I76" s="31"/>
      <c r="J76" s="24"/>
      <c r="K76" s="5"/>
      <c r="L76" s="5"/>
      <c r="M76" s="5"/>
      <c r="N76" s="5"/>
      <c r="O76" s="5"/>
      <c r="P76" s="5"/>
      <c r="Q76" s="5"/>
      <c r="R76" s="5"/>
      <c r="S76" s="5"/>
      <c r="T76" s="5"/>
      <c r="U76" s="5"/>
      <c r="V76" s="5"/>
      <c r="W76" s="5"/>
      <c r="X76" s="5"/>
      <c r="Y76" s="5"/>
      <c r="Z76" s="5"/>
    </row>
    <row r="77" ht="19.5" customHeight="1">
      <c r="A77" s="31"/>
      <c r="B77" s="30"/>
      <c r="C77" s="31"/>
      <c r="D77" s="31"/>
      <c r="E77" s="31"/>
      <c r="F77" s="32"/>
      <c r="G77" s="34">
        <f>IFERROR(SUMIFS(Transactions!$F$7:$F$989,Transactions!$G$7:$G$989,A77,Transactions!$D$7:$D$989,"Expense"),0)</f>
        <v>0</v>
      </c>
      <c r="H77" s="31"/>
      <c r="I77" s="31"/>
      <c r="J77" s="26"/>
      <c r="K77" s="5"/>
      <c r="L77" s="5"/>
      <c r="M77" s="5"/>
      <c r="N77" s="5"/>
      <c r="O77" s="5"/>
      <c r="P77" s="5"/>
      <c r="Q77" s="5"/>
      <c r="R77" s="5"/>
      <c r="S77" s="5"/>
      <c r="T77" s="5"/>
      <c r="U77" s="5"/>
      <c r="V77" s="5"/>
      <c r="W77" s="5"/>
      <c r="X77" s="5"/>
      <c r="Y77" s="5"/>
      <c r="Z77" s="5"/>
    </row>
    <row r="78" ht="19.5" customHeight="1">
      <c r="A78" s="31"/>
      <c r="B78" s="30"/>
      <c r="C78" s="31"/>
      <c r="D78" s="31"/>
      <c r="E78" s="31"/>
      <c r="F78" s="32"/>
      <c r="G78" s="34">
        <f>IFERROR(SUMIFS(Transactions!$F$7:$F$989,Transactions!$G$7:$G$989,A78,Transactions!$D$7:$D$989,"Expense"),0)</f>
        <v>0</v>
      </c>
      <c r="H78" s="31"/>
      <c r="I78" s="31"/>
      <c r="J78" s="24"/>
      <c r="K78" s="5"/>
      <c r="L78" s="5"/>
      <c r="M78" s="5"/>
      <c r="N78" s="5"/>
      <c r="O78" s="5"/>
      <c r="P78" s="5"/>
      <c r="Q78" s="5"/>
      <c r="R78" s="5"/>
      <c r="S78" s="5"/>
      <c r="T78" s="5"/>
      <c r="U78" s="5"/>
      <c r="V78" s="5"/>
      <c r="W78" s="5"/>
      <c r="X78" s="5"/>
      <c r="Y78" s="5"/>
      <c r="Z78" s="5"/>
    </row>
    <row r="79" ht="19.5" customHeight="1">
      <c r="A79" s="31"/>
      <c r="B79" s="30"/>
      <c r="C79" s="31"/>
      <c r="D79" s="31"/>
      <c r="E79" s="31"/>
      <c r="F79" s="32"/>
      <c r="G79" s="34">
        <f>IFERROR(SUMIFS(Transactions!$F$7:$F$989,Transactions!$G$7:$G$989,A79,Transactions!$D$7:$D$989,"Expense"),0)</f>
        <v>0</v>
      </c>
      <c r="H79" s="31"/>
      <c r="I79" s="31"/>
      <c r="J79" s="26"/>
      <c r="K79" s="5"/>
      <c r="L79" s="5"/>
      <c r="M79" s="5"/>
      <c r="N79" s="5"/>
      <c r="O79" s="5"/>
      <c r="P79" s="5"/>
      <c r="Q79" s="5"/>
      <c r="R79" s="5"/>
      <c r="S79" s="5"/>
      <c r="T79" s="5"/>
      <c r="U79" s="5"/>
      <c r="V79" s="5"/>
      <c r="W79" s="5"/>
      <c r="X79" s="5"/>
      <c r="Y79" s="5"/>
      <c r="Z79" s="5"/>
    </row>
    <row r="80" ht="19.5" customHeight="1">
      <c r="A80" s="31"/>
      <c r="B80" s="30"/>
      <c r="C80" s="31"/>
      <c r="D80" s="31"/>
      <c r="E80" s="31"/>
      <c r="F80" s="32"/>
      <c r="G80" s="34">
        <f>IFERROR(SUMIFS(Transactions!$F$7:$F$989,Transactions!$G$7:$G$989,A80,Transactions!$D$7:$D$989,"Expense"),0)</f>
        <v>0</v>
      </c>
      <c r="H80" s="31"/>
      <c r="I80" s="31"/>
      <c r="J80" s="24"/>
      <c r="K80" s="5"/>
      <c r="L80" s="5"/>
      <c r="M80" s="5"/>
      <c r="N80" s="5"/>
      <c r="O80" s="5"/>
      <c r="P80" s="5"/>
      <c r="Q80" s="5"/>
      <c r="R80" s="5"/>
      <c r="S80" s="5"/>
      <c r="T80" s="5"/>
      <c r="U80" s="5"/>
      <c r="V80" s="5"/>
      <c r="W80" s="5"/>
      <c r="X80" s="5"/>
      <c r="Y80" s="5"/>
      <c r="Z80" s="5"/>
    </row>
    <row r="81" ht="19.5" customHeight="1">
      <c r="A81" s="31"/>
      <c r="B81" s="30"/>
      <c r="C81" s="31"/>
      <c r="D81" s="31"/>
      <c r="E81" s="31"/>
      <c r="F81" s="32"/>
      <c r="G81" s="34">
        <f>IFERROR(SUMIFS(Transactions!$F$7:$F$989,Transactions!$G$7:$G$989,A81,Transactions!$D$7:$D$989,"Expense"),0)</f>
        <v>0</v>
      </c>
      <c r="H81" s="31"/>
      <c r="I81" s="31"/>
      <c r="J81" s="26"/>
      <c r="K81" s="5"/>
      <c r="L81" s="5"/>
      <c r="M81" s="5"/>
      <c r="N81" s="5"/>
      <c r="O81" s="5"/>
      <c r="P81" s="5"/>
      <c r="Q81" s="5"/>
      <c r="R81" s="5"/>
      <c r="S81" s="5"/>
      <c r="T81" s="5"/>
      <c r="U81" s="5"/>
      <c r="V81" s="5"/>
      <c r="W81" s="5"/>
      <c r="X81" s="5"/>
      <c r="Y81" s="5"/>
      <c r="Z81" s="5"/>
    </row>
    <row r="82" ht="19.5" customHeight="1">
      <c r="A82" s="31"/>
      <c r="B82" s="30"/>
      <c r="C82" s="31"/>
      <c r="D82" s="31"/>
      <c r="E82" s="31"/>
      <c r="F82" s="32"/>
      <c r="G82" s="34">
        <f>IFERROR(SUMIFS(Transactions!$F$7:$F$989,Transactions!$G$7:$G$989,A82,Transactions!$D$7:$D$989,"Expense"),0)</f>
        <v>0</v>
      </c>
      <c r="H82" s="31"/>
      <c r="I82" s="31"/>
      <c r="J82" s="24"/>
      <c r="K82" s="5"/>
      <c r="L82" s="5"/>
      <c r="M82" s="5"/>
      <c r="N82" s="5"/>
      <c r="O82" s="5"/>
      <c r="P82" s="5"/>
      <c r="Q82" s="5"/>
      <c r="R82" s="5"/>
      <c r="S82" s="5"/>
      <c r="T82" s="5"/>
      <c r="U82" s="5"/>
      <c r="V82" s="5"/>
      <c r="W82" s="5"/>
      <c r="X82" s="5"/>
      <c r="Y82" s="5"/>
      <c r="Z82" s="5"/>
    </row>
    <row r="83" ht="19.5" customHeight="1">
      <c r="A83" s="31"/>
      <c r="B83" s="30"/>
      <c r="C83" s="31"/>
      <c r="D83" s="31"/>
      <c r="E83" s="31"/>
      <c r="F83" s="32"/>
      <c r="G83" s="34">
        <f>IFERROR(SUMIFS(Transactions!$F$7:$F$989,Transactions!$G$7:$G$989,A83,Transactions!$D$7:$D$989,"Expense"),0)</f>
        <v>0</v>
      </c>
      <c r="H83" s="31"/>
      <c r="I83" s="31"/>
      <c r="J83" s="26"/>
      <c r="K83" s="5"/>
      <c r="L83" s="5"/>
      <c r="M83" s="5"/>
      <c r="N83" s="5"/>
      <c r="O83" s="5"/>
      <c r="P83" s="5"/>
      <c r="Q83" s="5"/>
      <c r="R83" s="5"/>
      <c r="S83" s="5"/>
      <c r="T83" s="5"/>
      <c r="U83" s="5"/>
      <c r="V83" s="5"/>
      <c r="W83" s="5"/>
      <c r="X83" s="5"/>
      <c r="Y83" s="5"/>
      <c r="Z83" s="5"/>
    </row>
    <row r="84" ht="19.5" customHeight="1">
      <c r="A84" s="31"/>
      <c r="B84" s="30"/>
      <c r="C84" s="31"/>
      <c r="D84" s="31"/>
      <c r="E84" s="31"/>
      <c r="F84" s="32"/>
      <c r="G84" s="34">
        <f>IFERROR(SUMIFS(Transactions!$F$7:$F$989,Transactions!$G$7:$G$989,A84,Transactions!$D$7:$D$989,"Expense"),0)</f>
        <v>0</v>
      </c>
      <c r="H84" s="31"/>
      <c r="I84" s="31"/>
      <c r="J84" s="24"/>
      <c r="K84" s="5"/>
      <c r="L84" s="5"/>
      <c r="M84" s="5"/>
      <c r="N84" s="5"/>
      <c r="O84" s="5"/>
      <c r="P84" s="5"/>
      <c r="Q84" s="5"/>
      <c r="R84" s="5"/>
      <c r="S84" s="5"/>
      <c r="T84" s="5"/>
      <c r="U84" s="5"/>
      <c r="V84" s="5"/>
      <c r="W84" s="5"/>
      <c r="X84" s="5"/>
      <c r="Y84" s="5"/>
      <c r="Z84" s="5"/>
    </row>
    <row r="85" ht="19.5" customHeight="1">
      <c r="A85" s="31"/>
      <c r="B85" s="30"/>
      <c r="C85" s="31"/>
      <c r="D85" s="31"/>
      <c r="E85" s="31"/>
      <c r="F85" s="32"/>
      <c r="G85" s="34">
        <f>IFERROR(SUMIFS(Transactions!$F$7:$F$989,Transactions!$G$7:$G$989,A85,Transactions!$D$7:$D$989,"Expense"),0)</f>
        <v>0</v>
      </c>
      <c r="H85" s="31"/>
      <c r="I85" s="31"/>
      <c r="J85" s="26"/>
      <c r="K85" s="5"/>
      <c r="L85" s="5"/>
      <c r="M85" s="5"/>
      <c r="N85" s="5"/>
      <c r="O85" s="5"/>
      <c r="P85" s="5"/>
      <c r="Q85" s="5"/>
      <c r="R85" s="5"/>
      <c r="S85" s="5"/>
      <c r="T85" s="5"/>
      <c r="U85" s="5"/>
      <c r="V85" s="5"/>
      <c r="W85" s="5"/>
      <c r="X85" s="5"/>
      <c r="Y85" s="5"/>
      <c r="Z85" s="5"/>
    </row>
    <row r="86" ht="19.5" customHeight="1">
      <c r="A86" s="31"/>
      <c r="B86" s="30"/>
      <c r="C86" s="31"/>
      <c r="D86" s="31"/>
      <c r="E86" s="31"/>
      <c r="F86" s="32"/>
      <c r="G86" s="34">
        <f>IFERROR(SUMIFS(Transactions!$F$7:$F$989,Transactions!$G$7:$G$989,A86,Transactions!$D$7:$D$989,"Expense"),0)</f>
        <v>0</v>
      </c>
      <c r="H86" s="31"/>
      <c r="I86" s="31"/>
      <c r="J86" s="24"/>
      <c r="K86" s="5"/>
      <c r="L86" s="5"/>
      <c r="M86" s="5"/>
      <c r="N86" s="5"/>
      <c r="O86" s="5"/>
      <c r="P86" s="5"/>
      <c r="Q86" s="5"/>
      <c r="R86" s="5"/>
      <c r="S86" s="5"/>
      <c r="T86" s="5"/>
      <c r="U86" s="5"/>
      <c r="V86" s="5"/>
      <c r="W86" s="5"/>
      <c r="X86" s="5"/>
      <c r="Y86" s="5"/>
      <c r="Z86" s="5"/>
    </row>
    <row r="87" ht="19.5" customHeight="1">
      <c r="A87" s="31"/>
      <c r="B87" s="30"/>
      <c r="C87" s="31"/>
      <c r="D87" s="31"/>
      <c r="E87" s="31"/>
      <c r="F87" s="32"/>
      <c r="G87" s="34">
        <f>IFERROR(SUMIFS(Transactions!$F$7:$F$989,Transactions!$G$7:$G$989,A87,Transactions!$D$7:$D$989,"Expense"),0)</f>
        <v>0</v>
      </c>
      <c r="H87" s="31"/>
      <c r="I87" s="31"/>
      <c r="J87" s="26"/>
      <c r="K87" s="5"/>
      <c r="L87" s="5"/>
      <c r="M87" s="5"/>
      <c r="N87" s="5"/>
      <c r="O87" s="5"/>
      <c r="P87" s="5"/>
      <c r="Q87" s="5"/>
      <c r="R87" s="5"/>
      <c r="S87" s="5"/>
      <c r="T87" s="5"/>
      <c r="U87" s="5"/>
      <c r="V87" s="5"/>
      <c r="W87" s="5"/>
      <c r="X87" s="5"/>
      <c r="Y87" s="5"/>
      <c r="Z87" s="5"/>
    </row>
    <row r="88" ht="19.5" customHeight="1">
      <c r="A88" s="31"/>
      <c r="B88" s="30"/>
      <c r="C88" s="31"/>
      <c r="D88" s="31"/>
      <c r="E88" s="31"/>
      <c r="F88" s="32"/>
      <c r="G88" s="34">
        <f>IFERROR(SUMIFS(Transactions!$F$7:$F$989,Transactions!$G$7:$G$989,A88,Transactions!$D$7:$D$989,"Expense"),0)</f>
        <v>0</v>
      </c>
      <c r="H88" s="31"/>
      <c r="I88" s="31"/>
      <c r="J88" s="24"/>
      <c r="K88" s="5"/>
      <c r="L88" s="5"/>
      <c r="M88" s="5"/>
      <c r="N88" s="5"/>
      <c r="O88" s="5"/>
      <c r="P88" s="5"/>
      <c r="Q88" s="5"/>
      <c r="R88" s="5"/>
      <c r="S88" s="5"/>
      <c r="T88" s="5"/>
      <c r="U88" s="5"/>
      <c r="V88" s="5"/>
      <c r="W88" s="5"/>
      <c r="X88" s="5"/>
      <c r="Y88" s="5"/>
      <c r="Z88" s="5"/>
    </row>
    <row r="89" ht="19.5" customHeight="1">
      <c r="A89" s="31"/>
      <c r="B89" s="30"/>
      <c r="C89" s="31"/>
      <c r="D89" s="31"/>
      <c r="E89" s="31"/>
      <c r="F89" s="32"/>
      <c r="G89" s="34">
        <f>IFERROR(SUMIFS(Transactions!$F$7:$F$989,Transactions!$G$7:$G$989,A89,Transactions!$D$7:$D$989,"Expense"),0)</f>
        <v>0</v>
      </c>
      <c r="H89" s="31"/>
      <c r="I89" s="31"/>
      <c r="J89" s="26"/>
      <c r="K89" s="5"/>
      <c r="L89" s="5"/>
      <c r="M89" s="5"/>
      <c r="N89" s="5"/>
      <c r="O89" s="5"/>
      <c r="P89" s="5"/>
      <c r="Q89" s="5"/>
      <c r="R89" s="5"/>
      <c r="S89" s="5"/>
      <c r="T89" s="5"/>
      <c r="U89" s="5"/>
      <c r="V89" s="5"/>
      <c r="W89" s="5"/>
      <c r="X89" s="5"/>
      <c r="Y89" s="5"/>
      <c r="Z89" s="5"/>
    </row>
    <row r="90" ht="19.5" customHeight="1">
      <c r="A90" s="31"/>
      <c r="B90" s="30"/>
      <c r="C90" s="31"/>
      <c r="D90" s="31"/>
      <c r="E90" s="31"/>
      <c r="F90" s="32"/>
      <c r="G90" s="34">
        <f>IFERROR(SUMIFS(Transactions!$F$7:$F$989,Transactions!$G$7:$G$989,A90,Transactions!$D$7:$D$989,"Expense"),0)</f>
        <v>0</v>
      </c>
      <c r="H90" s="31"/>
      <c r="I90" s="31"/>
      <c r="J90" s="24"/>
      <c r="K90" s="5"/>
      <c r="L90" s="5"/>
      <c r="M90" s="5"/>
      <c r="N90" s="5"/>
      <c r="O90" s="5"/>
      <c r="P90" s="5"/>
      <c r="Q90" s="5"/>
      <c r="R90" s="5"/>
      <c r="S90" s="5"/>
      <c r="T90" s="5"/>
      <c r="U90" s="5"/>
      <c r="V90" s="5"/>
      <c r="W90" s="5"/>
      <c r="X90" s="5"/>
      <c r="Y90" s="5"/>
      <c r="Z90" s="5"/>
    </row>
    <row r="91" ht="19.5" customHeight="1">
      <c r="A91" s="31"/>
      <c r="B91" s="30"/>
      <c r="C91" s="31"/>
      <c r="D91" s="31"/>
      <c r="E91" s="31"/>
      <c r="F91" s="32"/>
      <c r="G91" s="34">
        <f>IFERROR(SUMIFS(Transactions!$F$7:$F$989,Transactions!$G$7:$G$989,A91,Transactions!$D$7:$D$989,"Expense"),0)</f>
        <v>0</v>
      </c>
      <c r="H91" s="31"/>
      <c r="I91" s="31"/>
      <c r="J91" s="26"/>
      <c r="K91" s="5"/>
      <c r="L91" s="5"/>
      <c r="M91" s="5"/>
      <c r="N91" s="5"/>
      <c r="O91" s="5"/>
      <c r="P91" s="5"/>
      <c r="Q91" s="5"/>
      <c r="R91" s="5"/>
      <c r="S91" s="5"/>
      <c r="T91" s="5"/>
      <c r="U91" s="5"/>
      <c r="V91" s="5"/>
      <c r="W91" s="5"/>
      <c r="X91" s="5"/>
      <c r="Y91" s="5"/>
      <c r="Z91" s="5"/>
    </row>
    <row r="92" ht="19.5" customHeight="1">
      <c r="A92" s="31"/>
      <c r="B92" s="30"/>
      <c r="C92" s="31"/>
      <c r="D92" s="31"/>
      <c r="E92" s="31"/>
      <c r="F92" s="32"/>
      <c r="G92" s="34">
        <f>IFERROR(SUMIFS(Transactions!$F$7:$F$989,Transactions!$G$7:$G$989,A92,Transactions!$D$7:$D$989,"Expense"),0)</f>
        <v>0</v>
      </c>
      <c r="H92" s="31"/>
      <c r="I92" s="31"/>
      <c r="J92" s="24"/>
      <c r="K92" s="5"/>
      <c r="L92" s="5"/>
      <c r="M92" s="5"/>
      <c r="N92" s="5"/>
      <c r="O92" s="5"/>
      <c r="P92" s="5"/>
      <c r="Q92" s="5"/>
      <c r="R92" s="5"/>
      <c r="S92" s="5"/>
      <c r="T92" s="5"/>
      <c r="U92" s="5"/>
      <c r="V92" s="5"/>
      <c r="W92" s="5"/>
      <c r="X92" s="5"/>
      <c r="Y92" s="5"/>
      <c r="Z92" s="5"/>
    </row>
    <row r="93" ht="19.5" customHeight="1">
      <c r="A93" s="31"/>
      <c r="B93" s="30"/>
      <c r="C93" s="31"/>
      <c r="D93" s="31"/>
      <c r="E93" s="31"/>
      <c r="F93" s="32"/>
      <c r="G93" s="34">
        <f>IFERROR(SUMIFS(Transactions!$F$7:$F$989,Transactions!$G$7:$G$989,A93,Transactions!$D$7:$D$989,"Expense"),0)</f>
        <v>0</v>
      </c>
      <c r="H93" s="31"/>
      <c r="I93" s="31"/>
      <c r="J93" s="26"/>
      <c r="K93" s="5"/>
      <c r="L93" s="5"/>
      <c r="M93" s="5"/>
      <c r="N93" s="5"/>
      <c r="O93" s="5"/>
      <c r="P93" s="5"/>
      <c r="Q93" s="5"/>
      <c r="R93" s="5"/>
      <c r="S93" s="5"/>
      <c r="T93" s="5"/>
      <c r="U93" s="5"/>
      <c r="V93" s="5"/>
      <c r="W93" s="5"/>
      <c r="X93" s="5"/>
      <c r="Y93" s="5"/>
      <c r="Z93" s="5"/>
    </row>
    <row r="94" ht="19.5" customHeight="1">
      <c r="A94" s="31"/>
      <c r="B94" s="30"/>
      <c r="C94" s="31"/>
      <c r="D94" s="31"/>
      <c r="E94" s="31"/>
      <c r="F94" s="32"/>
      <c r="G94" s="34">
        <f>IFERROR(SUMIFS(Transactions!$F$7:$F$989,Transactions!$G$7:$G$989,A94,Transactions!$D$7:$D$989,"Expense"),0)</f>
        <v>0</v>
      </c>
      <c r="H94" s="31"/>
      <c r="I94" s="31"/>
      <c r="J94" s="24"/>
      <c r="K94" s="5"/>
      <c r="L94" s="5"/>
      <c r="M94" s="5"/>
      <c r="N94" s="5"/>
      <c r="O94" s="5"/>
      <c r="P94" s="5"/>
      <c r="Q94" s="5"/>
      <c r="R94" s="5"/>
      <c r="S94" s="5"/>
      <c r="T94" s="5"/>
      <c r="U94" s="5"/>
      <c r="V94" s="5"/>
      <c r="W94" s="5"/>
      <c r="X94" s="5"/>
      <c r="Y94" s="5"/>
      <c r="Z94" s="5"/>
    </row>
    <row r="95" ht="19.5" customHeight="1">
      <c r="A95" s="31"/>
      <c r="B95" s="30"/>
      <c r="C95" s="31"/>
      <c r="D95" s="31"/>
      <c r="E95" s="31"/>
      <c r="F95" s="32"/>
      <c r="G95" s="34">
        <f>IFERROR(SUMIFS(Transactions!$F$7:$F$989,Transactions!$G$7:$G$989,A95,Transactions!$D$7:$D$989,"Expense"),0)</f>
        <v>0</v>
      </c>
      <c r="H95" s="31"/>
      <c r="I95" s="31"/>
      <c r="J95" s="26"/>
      <c r="K95" s="5"/>
      <c r="L95" s="5"/>
      <c r="M95" s="5"/>
      <c r="N95" s="5"/>
      <c r="O95" s="5"/>
      <c r="P95" s="5"/>
      <c r="Q95" s="5"/>
      <c r="R95" s="5"/>
      <c r="S95" s="5"/>
      <c r="T95" s="5"/>
      <c r="U95" s="5"/>
      <c r="V95" s="5"/>
      <c r="W95" s="5"/>
      <c r="X95" s="5"/>
      <c r="Y95" s="5"/>
      <c r="Z95" s="5"/>
    </row>
    <row r="96" ht="19.5" customHeight="1">
      <c r="A96" s="31"/>
      <c r="B96" s="30"/>
      <c r="C96" s="31"/>
      <c r="D96" s="31"/>
      <c r="E96" s="31"/>
      <c r="F96" s="32"/>
      <c r="G96" s="34">
        <f>IFERROR(SUMIFS(Transactions!$F$7:$F$989,Transactions!$G$7:$G$989,A96,Transactions!$D$7:$D$989,"Expense"),0)</f>
        <v>0</v>
      </c>
      <c r="H96" s="31"/>
      <c r="I96" s="31"/>
      <c r="J96" s="24"/>
      <c r="K96" s="5"/>
      <c r="L96" s="5"/>
      <c r="M96" s="5"/>
      <c r="N96" s="5"/>
      <c r="O96" s="5"/>
      <c r="P96" s="5"/>
      <c r="Q96" s="5"/>
      <c r="R96" s="5"/>
      <c r="S96" s="5"/>
      <c r="T96" s="5"/>
      <c r="U96" s="5"/>
      <c r="V96" s="5"/>
      <c r="W96" s="5"/>
      <c r="X96" s="5"/>
      <c r="Y96" s="5"/>
      <c r="Z96" s="5"/>
    </row>
    <row r="97" ht="19.5" customHeight="1">
      <c r="A97" s="31"/>
      <c r="B97" s="30"/>
      <c r="C97" s="31"/>
      <c r="D97" s="31"/>
      <c r="E97" s="31"/>
      <c r="F97" s="32"/>
      <c r="G97" s="34">
        <f>IFERROR(SUMIFS(Transactions!$F$7:$F$989,Transactions!$G$7:$G$989,A97,Transactions!$D$7:$D$989,"Expense"),0)</f>
        <v>0</v>
      </c>
      <c r="H97" s="31"/>
      <c r="I97" s="31"/>
      <c r="J97" s="26"/>
      <c r="K97" s="5"/>
      <c r="L97" s="5"/>
      <c r="M97" s="5"/>
      <c r="N97" s="5"/>
      <c r="O97" s="5"/>
      <c r="P97" s="5"/>
      <c r="Q97" s="5"/>
      <c r="R97" s="5"/>
      <c r="S97" s="5"/>
      <c r="T97" s="5"/>
      <c r="U97" s="5"/>
      <c r="V97" s="5"/>
      <c r="W97" s="5"/>
      <c r="X97" s="5"/>
      <c r="Y97" s="5"/>
      <c r="Z97" s="5"/>
    </row>
    <row r="98" ht="19.5" customHeight="1">
      <c r="A98" s="31"/>
      <c r="B98" s="30"/>
      <c r="C98" s="31"/>
      <c r="D98" s="31"/>
      <c r="E98" s="31"/>
      <c r="F98" s="32"/>
      <c r="G98" s="34">
        <f>IFERROR(SUMIFS(Transactions!$F$7:$F$989,Transactions!$G$7:$G$989,A98,Transactions!$D$7:$D$989,"Expense"),0)</f>
        <v>0</v>
      </c>
      <c r="H98" s="31"/>
      <c r="I98" s="31"/>
      <c r="J98" s="24"/>
      <c r="K98" s="5"/>
      <c r="L98" s="5"/>
      <c r="M98" s="5"/>
      <c r="N98" s="5"/>
      <c r="O98" s="5"/>
      <c r="P98" s="5"/>
      <c r="Q98" s="5"/>
      <c r="R98" s="5"/>
      <c r="S98" s="5"/>
      <c r="T98" s="5"/>
      <c r="U98" s="5"/>
      <c r="V98" s="5"/>
      <c r="W98" s="5"/>
      <c r="X98" s="5"/>
      <c r="Y98" s="5"/>
      <c r="Z98" s="5"/>
    </row>
    <row r="99" ht="19.5" customHeight="1">
      <c r="A99" s="31"/>
      <c r="B99" s="30"/>
      <c r="C99" s="31"/>
      <c r="D99" s="31"/>
      <c r="E99" s="31"/>
      <c r="F99" s="32"/>
      <c r="G99" s="34">
        <f>IFERROR(SUMIFS(Transactions!$F$7:$F$989,Transactions!$G$7:$G$989,A99,Transactions!$D$7:$D$989,"Expense"),0)</f>
        <v>0</v>
      </c>
      <c r="H99" s="31"/>
      <c r="I99" s="31"/>
      <c r="J99" s="26"/>
      <c r="K99" s="5"/>
      <c r="L99" s="5"/>
      <c r="M99" s="5"/>
      <c r="N99" s="5"/>
      <c r="O99" s="5"/>
      <c r="P99" s="5"/>
      <c r="Q99" s="5"/>
      <c r="R99" s="5"/>
      <c r="S99" s="5"/>
      <c r="T99" s="5"/>
      <c r="U99" s="5"/>
      <c r="V99" s="5"/>
      <c r="W99" s="5"/>
      <c r="X99" s="5"/>
      <c r="Y99" s="5"/>
      <c r="Z99" s="5"/>
    </row>
    <row r="100" ht="19.5" customHeight="1">
      <c r="A100" s="31"/>
      <c r="B100" s="30"/>
      <c r="C100" s="31"/>
      <c r="D100" s="31"/>
      <c r="E100" s="31"/>
      <c r="F100" s="32"/>
      <c r="G100" s="34">
        <f>IFERROR(SUMIFS(Transactions!$F$7:$F$989,Transactions!$G$7:$G$989,A100,Transactions!$D$7:$D$989,"Expense"),0)</f>
        <v>0</v>
      </c>
      <c r="H100" s="31"/>
      <c r="I100" s="31"/>
      <c r="J100" s="24"/>
      <c r="K100" s="5"/>
      <c r="L100" s="5"/>
      <c r="M100" s="5"/>
      <c r="N100" s="5"/>
      <c r="O100" s="5"/>
      <c r="P100" s="5"/>
      <c r="Q100" s="5"/>
      <c r="R100" s="5"/>
      <c r="S100" s="5"/>
      <c r="T100" s="5"/>
      <c r="U100" s="5"/>
      <c r="V100" s="5"/>
      <c r="W100" s="5"/>
      <c r="X100" s="5"/>
      <c r="Y100" s="5"/>
      <c r="Z100" s="5"/>
    </row>
    <row r="101" ht="19.5" customHeight="1">
      <c r="A101" s="31"/>
      <c r="B101" s="30"/>
      <c r="C101" s="31"/>
      <c r="D101" s="31"/>
      <c r="E101" s="31"/>
      <c r="F101" s="32"/>
      <c r="G101" s="34">
        <f>IFERROR(SUMIFS(Transactions!$F$7:$F$989,Transactions!$G$7:$G$989,A101,Transactions!$D$7:$D$989,"Expense"),0)</f>
        <v>0</v>
      </c>
      <c r="H101" s="31"/>
      <c r="I101" s="31"/>
      <c r="J101" s="26"/>
      <c r="K101" s="5"/>
      <c r="L101" s="5"/>
      <c r="M101" s="5"/>
      <c r="N101" s="5"/>
      <c r="O101" s="5"/>
      <c r="P101" s="5"/>
      <c r="Q101" s="5"/>
      <c r="R101" s="5"/>
      <c r="S101" s="5"/>
      <c r="T101" s="5"/>
      <c r="U101" s="5"/>
      <c r="V101" s="5"/>
      <c r="W101" s="5"/>
      <c r="X101" s="5"/>
      <c r="Y101" s="5"/>
      <c r="Z101" s="5"/>
    </row>
    <row r="102" ht="19.5" customHeight="1">
      <c r="A102" s="31"/>
      <c r="B102" s="30"/>
      <c r="C102" s="31"/>
      <c r="D102" s="31"/>
      <c r="E102" s="31"/>
      <c r="F102" s="32"/>
      <c r="G102" s="34">
        <f>IFERROR(SUMIFS(Transactions!$F$7:$F$989,Transactions!$G$7:$G$989,A102,Transactions!$D$7:$D$989,"Expense"),0)</f>
        <v>0</v>
      </c>
      <c r="H102" s="31"/>
      <c r="I102" s="31"/>
      <c r="J102" s="24"/>
      <c r="K102" s="5"/>
      <c r="L102" s="5"/>
      <c r="M102" s="5"/>
      <c r="N102" s="5"/>
      <c r="O102" s="5"/>
      <c r="P102" s="5"/>
      <c r="Q102" s="5"/>
      <c r="R102" s="5"/>
      <c r="S102" s="5"/>
      <c r="T102" s="5"/>
      <c r="U102" s="5"/>
      <c r="V102" s="5"/>
      <c r="W102" s="5"/>
      <c r="X102" s="5"/>
      <c r="Y102" s="5"/>
      <c r="Z102" s="5"/>
    </row>
    <row r="103" ht="19.5" customHeight="1">
      <c r="A103" s="31"/>
      <c r="B103" s="30"/>
      <c r="C103" s="31"/>
      <c r="D103" s="31"/>
      <c r="E103" s="31"/>
      <c r="F103" s="32"/>
      <c r="G103" s="34">
        <f>IFERROR(SUMIFS(Transactions!$F$7:$F$989,Transactions!$G$7:$G$989,A103,Transactions!$D$7:$D$989,"Expense"),0)</f>
        <v>0</v>
      </c>
      <c r="H103" s="31"/>
      <c r="I103" s="31"/>
      <c r="J103" s="26"/>
      <c r="K103" s="5"/>
      <c r="L103" s="5"/>
      <c r="M103" s="5"/>
      <c r="N103" s="5"/>
      <c r="O103" s="5"/>
      <c r="P103" s="5"/>
      <c r="Q103" s="5"/>
      <c r="R103" s="5"/>
      <c r="S103" s="5"/>
      <c r="T103" s="5"/>
      <c r="U103" s="5"/>
      <c r="V103" s="5"/>
      <c r="W103" s="5"/>
      <c r="X103" s="5"/>
      <c r="Y103" s="5"/>
      <c r="Z103" s="5"/>
    </row>
    <row r="104" ht="19.5" customHeight="1">
      <c r="A104" s="31"/>
      <c r="B104" s="30"/>
      <c r="C104" s="31"/>
      <c r="D104" s="31"/>
      <c r="E104" s="31"/>
      <c r="F104" s="32"/>
      <c r="G104" s="34">
        <f>IFERROR(SUMIFS(Transactions!$F$7:$F$989,Transactions!$G$7:$G$989,A104,Transactions!$D$7:$D$989,"Expense"),0)</f>
        <v>0</v>
      </c>
      <c r="H104" s="31"/>
      <c r="I104" s="31"/>
      <c r="J104" s="31"/>
      <c r="K104" s="5"/>
      <c r="L104" s="5"/>
      <c r="M104" s="5"/>
      <c r="N104" s="5"/>
      <c r="O104" s="5"/>
      <c r="P104" s="5"/>
      <c r="Q104" s="5"/>
      <c r="R104" s="5"/>
      <c r="S104" s="5"/>
      <c r="T104" s="5"/>
      <c r="U104" s="5"/>
      <c r="V104" s="5"/>
      <c r="W104" s="5"/>
      <c r="X104" s="5"/>
      <c r="Y104" s="5"/>
      <c r="Z104" s="5"/>
    </row>
    <row r="105" ht="19.5" customHeight="1">
      <c r="A105" s="31"/>
      <c r="B105" s="30"/>
      <c r="C105" s="31"/>
      <c r="D105" s="31"/>
      <c r="E105" s="31"/>
      <c r="F105" s="32"/>
      <c r="G105" s="34">
        <f>IFERROR(SUMIFS(Transactions!$F$7:$F$989,Transactions!$G$7:$G$989,A105,Transactions!$D$7:$D$989,"Expense"),0)</f>
        <v>0</v>
      </c>
      <c r="H105" s="31"/>
      <c r="I105" s="31"/>
      <c r="J105" s="31"/>
      <c r="K105" s="5"/>
      <c r="L105" s="5"/>
      <c r="M105" s="5"/>
      <c r="N105" s="5"/>
      <c r="O105" s="5"/>
      <c r="P105" s="5"/>
      <c r="Q105" s="5"/>
      <c r="R105" s="5"/>
      <c r="S105" s="5"/>
      <c r="T105" s="5"/>
      <c r="U105" s="5"/>
      <c r="V105" s="5"/>
      <c r="W105" s="5"/>
      <c r="X105" s="5"/>
      <c r="Y105" s="5"/>
      <c r="Z105" s="5"/>
    </row>
    <row r="106" ht="19.5" customHeight="1">
      <c r="A106" s="31"/>
      <c r="B106" s="30"/>
      <c r="C106" s="31"/>
      <c r="D106" s="31"/>
      <c r="E106" s="31"/>
      <c r="F106" s="32"/>
      <c r="G106" s="34">
        <f>IFERROR(SUMIFS(Transactions!$F$7:$F$989,Transactions!$G$7:$G$989,A106,Transactions!$D$7:$D$989,"Expense"),0)</f>
        <v>0</v>
      </c>
      <c r="H106" s="31"/>
      <c r="I106" s="31"/>
      <c r="J106" s="31"/>
      <c r="K106" s="5"/>
      <c r="L106" s="5"/>
      <c r="M106" s="5"/>
      <c r="N106" s="5"/>
      <c r="O106" s="5"/>
      <c r="P106" s="5"/>
      <c r="Q106" s="5"/>
      <c r="R106" s="5"/>
      <c r="S106" s="5"/>
      <c r="T106" s="5"/>
      <c r="U106" s="5"/>
      <c r="V106" s="5"/>
      <c r="W106" s="5"/>
      <c r="X106" s="5"/>
      <c r="Y106" s="5"/>
      <c r="Z106" s="5"/>
    </row>
    <row r="107" ht="19.5" customHeight="1">
      <c r="A107" s="31"/>
      <c r="B107" s="30"/>
      <c r="C107" s="31"/>
      <c r="D107" s="31"/>
      <c r="E107" s="31"/>
      <c r="F107" s="32"/>
      <c r="G107" s="34">
        <f>IFERROR(SUMIFS(Transactions!$F$7:$F$989,Transactions!$G$7:$G$989,A107,Transactions!$D$7:$D$989,"Expense"),0)</f>
        <v>0</v>
      </c>
      <c r="H107" s="31"/>
      <c r="I107" s="31"/>
      <c r="J107" s="31"/>
      <c r="K107" s="5"/>
      <c r="L107" s="5"/>
      <c r="M107" s="5"/>
      <c r="N107" s="5"/>
      <c r="O107" s="5"/>
      <c r="P107" s="5"/>
      <c r="Q107" s="5"/>
      <c r="R107" s="5"/>
      <c r="S107" s="5"/>
      <c r="T107" s="5"/>
      <c r="U107" s="5"/>
      <c r="V107" s="5"/>
      <c r="W107" s="5"/>
      <c r="X107" s="5"/>
      <c r="Y107" s="5"/>
      <c r="Z107" s="5"/>
    </row>
    <row r="108" ht="19.5" customHeight="1">
      <c r="A108" s="31"/>
      <c r="B108" s="30"/>
      <c r="C108" s="31"/>
      <c r="D108" s="31"/>
      <c r="E108" s="31"/>
      <c r="F108" s="32"/>
      <c r="G108" s="34">
        <f>IFERROR(SUMIFS(Transactions!$F$7:$F$989,Transactions!$G$7:$G$989,A108,Transactions!$D$7:$D$989,"Expense"),0)</f>
        <v>0</v>
      </c>
      <c r="H108" s="31"/>
      <c r="I108" s="31"/>
      <c r="J108" s="31"/>
      <c r="K108" s="5"/>
      <c r="L108" s="5"/>
      <c r="M108" s="5"/>
      <c r="N108" s="5"/>
      <c r="O108" s="5"/>
      <c r="P108" s="5"/>
      <c r="Q108" s="5"/>
      <c r="R108" s="5"/>
      <c r="S108" s="5"/>
      <c r="T108" s="5"/>
      <c r="U108" s="5"/>
      <c r="V108" s="5"/>
      <c r="W108" s="5"/>
      <c r="X108" s="5"/>
      <c r="Y108" s="5"/>
      <c r="Z108" s="5"/>
    </row>
    <row r="109" ht="19.5" customHeight="1">
      <c r="A109" s="31"/>
      <c r="B109" s="30"/>
      <c r="C109" s="31"/>
      <c r="D109" s="31"/>
      <c r="E109" s="31"/>
      <c r="F109" s="32"/>
      <c r="G109" s="34">
        <f>IFERROR(SUMIFS(Transactions!$F$7:$F$989,Transactions!$G$7:$G$989,A109,Transactions!$D$7:$D$989,"Expense"),0)</f>
        <v>0</v>
      </c>
      <c r="H109" s="31"/>
      <c r="I109" s="31"/>
      <c r="J109" s="31"/>
      <c r="K109" s="5"/>
      <c r="L109" s="5"/>
      <c r="M109" s="5"/>
      <c r="N109" s="5"/>
      <c r="O109" s="5"/>
      <c r="P109" s="5"/>
      <c r="Q109" s="5"/>
      <c r="R109" s="5"/>
      <c r="S109" s="5"/>
      <c r="T109" s="5"/>
      <c r="U109" s="5"/>
      <c r="V109" s="5"/>
      <c r="W109" s="5"/>
      <c r="X109" s="5"/>
      <c r="Y109" s="5"/>
      <c r="Z109" s="5"/>
    </row>
    <row r="110" ht="19.5" customHeight="1">
      <c r="A110" s="31"/>
      <c r="B110" s="30"/>
      <c r="C110" s="31"/>
      <c r="D110" s="31"/>
      <c r="E110" s="31"/>
      <c r="F110" s="32"/>
      <c r="G110" s="34">
        <f>IFERROR(SUMIFS(Transactions!$F$7:$F$989,Transactions!$G$7:$G$989,A110,Transactions!$D$7:$D$989,"Expense"),0)</f>
        <v>0</v>
      </c>
      <c r="H110" s="31"/>
      <c r="I110" s="31"/>
      <c r="J110" s="31"/>
      <c r="K110" s="5"/>
      <c r="L110" s="5"/>
      <c r="M110" s="5"/>
      <c r="N110" s="5"/>
      <c r="O110" s="5"/>
      <c r="P110" s="5"/>
      <c r="Q110" s="5"/>
      <c r="R110" s="5"/>
      <c r="S110" s="5"/>
      <c r="T110" s="5"/>
      <c r="U110" s="5"/>
      <c r="V110" s="5"/>
      <c r="W110" s="5"/>
      <c r="X110" s="5"/>
      <c r="Y110" s="5"/>
      <c r="Z110" s="5"/>
    </row>
    <row r="111" ht="19.5" customHeight="1">
      <c r="A111" s="31"/>
      <c r="B111" s="30"/>
      <c r="C111" s="31"/>
      <c r="D111" s="31"/>
      <c r="E111" s="31"/>
      <c r="F111" s="32"/>
      <c r="G111" s="34">
        <f>IFERROR(SUMIFS(Transactions!$F$7:$F$989,Transactions!$G$7:$G$989,A111,Transactions!$D$7:$D$989,"Expense"),0)</f>
        <v>0</v>
      </c>
      <c r="H111" s="31"/>
      <c r="I111" s="31"/>
      <c r="J111" s="31"/>
      <c r="K111" s="5"/>
      <c r="L111" s="5"/>
      <c r="M111" s="5"/>
      <c r="N111" s="5"/>
      <c r="O111" s="5"/>
      <c r="P111" s="5"/>
      <c r="Q111" s="5"/>
      <c r="R111" s="5"/>
      <c r="S111" s="5"/>
      <c r="T111" s="5"/>
      <c r="U111" s="5"/>
      <c r="V111" s="5"/>
      <c r="W111" s="5"/>
      <c r="X111" s="5"/>
      <c r="Y111" s="5"/>
      <c r="Z111" s="5"/>
    </row>
    <row r="112" ht="19.5" customHeight="1">
      <c r="A112" s="31"/>
      <c r="B112" s="30"/>
      <c r="C112" s="31"/>
      <c r="D112" s="31"/>
      <c r="E112" s="31"/>
      <c r="F112" s="32"/>
      <c r="G112" s="34">
        <f>IFERROR(SUMIFS(Transactions!$F$7:$F$989,Transactions!$G$7:$G$989,A112,Transactions!$D$7:$D$989,"Expense"),0)</f>
        <v>0</v>
      </c>
      <c r="H112" s="31"/>
      <c r="I112" s="31"/>
      <c r="J112" s="31"/>
      <c r="K112" s="5"/>
      <c r="L112" s="5"/>
      <c r="M112" s="5"/>
      <c r="N112" s="5"/>
      <c r="O112" s="5"/>
      <c r="P112" s="5"/>
      <c r="Q112" s="5"/>
      <c r="R112" s="5"/>
      <c r="S112" s="5"/>
      <c r="T112" s="5"/>
      <c r="U112" s="5"/>
      <c r="V112" s="5"/>
      <c r="W112" s="5"/>
      <c r="X112" s="5"/>
      <c r="Y112" s="5"/>
      <c r="Z112" s="5"/>
    </row>
    <row r="113" ht="19.5" customHeight="1">
      <c r="A113" s="31"/>
      <c r="B113" s="30"/>
      <c r="C113" s="31"/>
      <c r="D113" s="31"/>
      <c r="E113" s="31"/>
      <c r="F113" s="32"/>
      <c r="G113" s="34">
        <f>IFERROR(SUMIFS(Transactions!$F$7:$F$989,Transactions!$G$7:$G$989,A113,Transactions!$D$7:$D$989,"Expense"),0)</f>
        <v>0</v>
      </c>
      <c r="H113" s="31"/>
      <c r="I113" s="31"/>
      <c r="J113" s="31"/>
      <c r="K113" s="5"/>
      <c r="L113" s="5"/>
      <c r="M113" s="5"/>
      <c r="N113" s="5"/>
      <c r="O113" s="5"/>
      <c r="P113" s="5"/>
      <c r="Q113" s="5"/>
      <c r="R113" s="5"/>
      <c r="S113" s="5"/>
      <c r="T113" s="5"/>
      <c r="U113" s="5"/>
      <c r="V113" s="5"/>
      <c r="W113" s="5"/>
      <c r="X113" s="5"/>
      <c r="Y113" s="5"/>
      <c r="Z113" s="5"/>
    </row>
    <row r="114" ht="19.5" customHeight="1">
      <c r="A114" s="31"/>
      <c r="B114" s="30"/>
      <c r="C114" s="31"/>
      <c r="D114" s="31"/>
      <c r="E114" s="31"/>
      <c r="F114" s="32"/>
      <c r="G114" s="34">
        <f>IFERROR(SUMIFS(Transactions!$F$7:$F$989,Transactions!$G$7:$G$989,A114,Transactions!$D$7:$D$989,"Expense"),0)</f>
        <v>0</v>
      </c>
      <c r="H114" s="31"/>
      <c r="I114" s="31"/>
      <c r="J114" s="31"/>
      <c r="K114" s="5"/>
      <c r="L114" s="5"/>
      <c r="M114" s="5"/>
      <c r="N114" s="5"/>
      <c r="O114" s="5"/>
      <c r="P114" s="5"/>
      <c r="Q114" s="5"/>
      <c r="R114" s="5"/>
      <c r="S114" s="5"/>
      <c r="T114" s="5"/>
      <c r="U114" s="5"/>
      <c r="V114" s="5"/>
      <c r="W114" s="5"/>
      <c r="X114" s="5"/>
      <c r="Y114" s="5"/>
      <c r="Z114" s="5"/>
    </row>
    <row r="115" ht="19.5" customHeight="1">
      <c r="A115" s="31"/>
      <c r="B115" s="30"/>
      <c r="C115" s="31"/>
      <c r="D115" s="31"/>
      <c r="E115" s="31"/>
      <c r="F115" s="32"/>
      <c r="G115" s="34">
        <f>IFERROR(SUMIFS(Transactions!$F$7:$F$989,Transactions!$G$7:$G$989,A115,Transactions!$D$7:$D$989,"Expense"),0)</f>
        <v>0</v>
      </c>
      <c r="H115" s="31"/>
      <c r="I115" s="31"/>
      <c r="J115" s="31"/>
      <c r="K115" s="5"/>
      <c r="L115" s="5"/>
      <c r="M115" s="5"/>
      <c r="N115" s="5"/>
      <c r="O115" s="5"/>
      <c r="P115" s="5"/>
      <c r="Q115" s="5"/>
      <c r="R115" s="5"/>
      <c r="S115" s="5"/>
      <c r="T115" s="5"/>
      <c r="U115" s="5"/>
      <c r="V115" s="5"/>
      <c r="W115" s="5"/>
      <c r="X115" s="5"/>
      <c r="Y115" s="5"/>
      <c r="Z115" s="5"/>
    </row>
    <row r="116" ht="19.5" customHeight="1">
      <c r="A116" s="31"/>
      <c r="B116" s="30"/>
      <c r="C116" s="31"/>
      <c r="D116" s="31"/>
      <c r="E116" s="31"/>
      <c r="F116" s="32"/>
      <c r="G116" s="34">
        <f>IFERROR(SUMIFS(Transactions!$F$7:$F$989,Transactions!$G$7:$G$989,A116,Transactions!$D$7:$D$989,"Expense"),0)</f>
        <v>0</v>
      </c>
      <c r="H116" s="31"/>
      <c r="I116" s="31"/>
      <c r="J116" s="31"/>
      <c r="K116" s="5"/>
      <c r="L116" s="5"/>
      <c r="M116" s="5"/>
      <c r="N116" s="5"/>
      <c r="O116" s="5"/>
      <c r="P116" s="5"/>
      <c r="Q116" s="5"/>
      <c r="R116" s="5"/>
      <c r="S116" s="5"/>
      <c r="T116" s="5"/>
      <c r="U116" s="5"/>
      <c r="V116" s="5"/>
      <c r="W116" s="5"/>
      <c r="X116" s="5"/>
      <c r="Y116" s="5"/>
      <c r="Z116" s="5"/>
    </row>
    <row r="117" ht="19.5" customHeight="1">
      <c r="A117" s="31"/>
      <c r="B117" s="30"/>
      <c r="C117" s="31"/>
      <c r="D117" s="31"/>
      <c r="E117" s="31"/>
      <c r="F117" s="32"/>
      <c r="G117" s="34">
        <f>IFERROR(SUMIFS(Transactions!$F$7:$F$989,Transactions!$G$7:$G$989,A117,Transactions!$D$7:$D$989,"Expense"),0)</f>
        <v>0</v>
      </c>
      <c r="H117" s="31"/>
      <c r="I117" s="31"/>
      <c r="J117" s="31"/>
      <c r="K117" s="5"/>
      <c r="L117" s="5"/>
      <c r="M117" s="5"/>
      <c r="N117" s="5"/>
      <c r="O117" s="5"/>
      <c r="P117" s="5"/>
      <c r="Q117" s="5"/>
      <c r="R117" s="5"/>
      <c r="S117" s="5"/>
      <c r="T117" s="5"/>
      <c r="U117" s="5"/>
      <c r="V117" s="5"/>
      <c r="W117" s="5"/>
      <c r="X117" s="5"/>
      <c r="Y117" s="5"/>
      <c r="Z117" s="5"/>
    </row>
    <row r="118" ht="19.5" customHeight="1">
      <c r="A118" s="31"/>
      <c r="B118" s="30"/>
      <c r="C118" s="31"/>
      <c r="D118" s="31"/>
      <c r="E118" s="31"/>
      <c r="F118" s="32"/>
      <c r="G118" s="34">
        <f>IFERROR(SUMIFS(Transactions!$F$7:$F$989,Transactions!$G$7:$G$989,A118,Transactions!$D$7:$D$989,"Expense"),0)</f>
        <v>0</v>
      </c>
      <c r="H118" s="31"/>
      <c r="I118" s="31"/>
      <c r="J118" s="31"/>
      <c r="K118" s="5"/>
      <c r="L118" s="5"/>
      <c r="M118" s="5"/>
      <c r="N118" s="5"/>
      <c r="O118" s="5"/>
      <c r="P118" s="5"/>
      <c r="Q118" s="5"/>
      <c r="R118" s="5"/>
      <c r="S118" s="5"/>
      <c r="T118" s="5"/>
      <c r="U118" s="5"/>
      <c r="V118" s="5"/>
      <c r="W118" s="5"/>
      <c r="X118" s="5"/>
      <c r="Y118" s="5"/>
      <c r="Z118" s="5"/>
    </row>
    <row r="119" ht="19.5" customHeight="1">
      <c r="A119" s="31"/>
      <c r="B119" s="30"/>
      <c r="C119" s="31"/>
      <c r="D119" s="31"/>
      <c r="E119" s="31"/>
      <c r="F119" s="32"/>
      <c r="G119" s="34">
        <f>IFERROR(SUMIFS(Transactions!$F$7:$F$989,Transactions!$G$7:$G$989,A119,Transactions!$D$7:$D$989,"Expense"),0)</f>
        <v>0</v>
      </c>
      <c r="H119" s="31"/>
      <c r="I119" s="31"/>
      <c r="J119" s="31"/>
      <c r="K119" s="5"/>
      <c r="L119" s="5"/>
      <c r="M119" s="5"/>
      <c r="N119" s="5"/>
      <c r="O119" s="5"/>
      <c r="P119" s="5"/>
      <c r="Q119" s="5"/>
      <c r="R119" s="5"/>
      <c r="S119" s="5"/>
      <c r="T119" s="5"/>
      <c r="U119" s="5"/>
      <c r="V119" s="5"/>
      <c r="W119" s="5"/>
      <c r="X119" s="5"/>
      <c r="Y119" s="5"/>
      <c r="Z119" s="5"/>
    </row>
    <row r="120" ht="19.5" customHeight="1">
      <c r="A120" s="31"/>
      <c r="B120" s="30"/>
      <c r="C120" s="31"/>
      <c r="D120" s="31"/>
      <c r="E120" s="31"/>
      <c r="F120" s="32"/>
      <c r="G120" s="34">
        <f>IFERROR(SUMIFS(Transactions!$F$7:$F$989,Transactions!$G$7:$G$989,A120,Transactions!$D$7:$D$989,"Expense"),0)</f>
        <v>0</v>
      </c>
      <c r="H120" s="31"/>
      <c r="I120" s="31"/>
      <c r="J120" s="31"/>
      <c r="K120" s="5"/>
      <c r="L120" s="5"/>
      <c r="M120" s="5"/>
      <c r="N120" s="5"/>
      <c r="O120" s="5"/>
      <c r="P120" s="5"/>
      <c r="Q120" s="5"/>
      <c r="R120" s="5"/>
      <c r="S120" s="5"/>
      <c r="T120" s="5"/>
      <c r="U120" s="5"/>
      <c r="V120" s="5"/>
      <c r="W120" s="5"/>
      <c r="X120" s="5"/>
      <c r="Y120" s="5"/>
      <c r="Z120" s="5"/>
    </row>
    <row r="121" ht="19.5" customHeight="1">
      <c r="A121" s="31"/>
      <c r="B121" s="30"/>
      <c r="C121" s="31"/>
      <c r="D121" s="31"/>
      <c r="E121" s="31"/>
      <c r="F121" s="32"/>
      <c r="G121" s="34">
        <f>IFERROR(SUMIFS(Transactions!$F$7:$F$989,Transactions!$G$7:$G$989,A121,Transactions!$D$7:$D$989,"Expense"),0)</f>
        <v>0</v>
      </c>
      <c r="H121" s="31"/>
      <c r="I121" s="31"/>
      <c r="J121" s="31"/>
      <c r="K121" s="5"/>
      <c r="L121" s="5"/>
      <c r="M121" s="5"/>
      <c r="N121" s="5"/>
      <c r="O121" s="5"/>
      <c r="P121" s="5"/>
      <c r="Q121" s="5"/>
      <c r="R121" s="5"/>
      <c r="S121" s="5"/>
      <c r="T121" s="5"/>
      <c r="U121" s="5"/>
      <c r="V121" s="5"/>
      <c r="W121" s="5"/>
      <c r="X121" s="5"/>
      <c r="Y121" s="5"/>
      <c r="Z121" s="5"/>
    </row>
    <row r="122" ht="19.5" customHeight="1">
      <c r="A122" s="31"/>
      <c r="B122" s="30"/>
      <c r="C122" s="31"/>
      <c r="D122" s="31"/>
      <c r="E122" s="31"/>
      <c r="F122" s="32"/>
      <c r="G122" s="34">
        <f>IFERROR(SUMIFS(Transactions!$F$7:$F$989,Transactions!$G$7:$G$989,A122,Transactions!$D$7:$D$989,"Expense"),0)</f>
        <v>0</v>
      </c>
      <c r="H122" s="31"/>
      <c r="I122" s="31"/>
      <c r="J122" s="31"/>
      <c r="K122" s="5"/>
      <c r="L122" s="5"/>
      <c r="M122" s="5"/>
      <c r="N122" s="5"/>
      <c r="O122" s="5"/>
      <c r="P122" s="5"/>
      <c r="Q122" s="5"/>
      <c r="R122" s="5"/>
      <c r="S122" s="5"/>
      <c r="T122" s="5"/>
      <c r="U122" s="5"/>
      <c r="V122" s="5"/>
      <c r="W122" s="5"/>
      <c r="X122" s="5"/>
      <c r="Y122" s="5"/>
      <c r="Z122" s="5"/>
    </row>
    <row r="123" ht="19.5" customHeight="1">
      <c r="A123" s="31"/>
      <c r="B123" s="30"/>
      <c r="C123" s="31"/>
      <c r="D123" s="31"/>
      <c r="E123" s="31"/>
      <c r="F123" s="32"/>
      <c r="G123" s="34">
        <f>IFERROR(SUMIFS(Transactions!$F$7:$F$989,Transactions!$G$7:$G$989,A123,Transactions!$D$7:$D$989,"Expense"),0)</f>
        <v>0</v>
      </c>
      <c r="H123" s="31"/>
      <c r="I123" s="31"/>
      <c r="J123" s="31"/>
      <c r="K123" s="5"/>
      <c r="L123" s="5"/>
      <c r="M123" s="5"/>
      <c r="N123" s="5"/>
      <c r="O123" s="5"/>
      <c r="P123" s="5"/>
      <c r="Q123" s="5"/>
      <c r="R123" s="5"/>
      <c r="S123" s="5"/>
      <c r="T123" s="5"/>
      <c r="U123" s="5"/>
      <c r="V123" s="5"/>
      <c r="W123" s="5"/>
      <c r="X123" s="5"/>
      <c r="Y123" s="5"/>
      <c r="Z123" s="5"/>
    </row>
    <row r="124" ht="19.5" customHeight="1">
      <c r="A124" s="31"/>
      <c r="B124" s="30"/>
      <c r="C124" s="31"/>
      <c r="D124" s="31"/>
      <c r="E124" s="31"/>
      <c r="F124" s="32"/>
      <c r="G124" s="34">
        <f>IFERROR(SUMIFS(Transactions!$F$7:$F$989,Transactions!$G$7:$G$989,A124,Transactions!$D$7:$D$989,"Expense"),0)</f>
        <v>0</v>
      </c>
      <c r="H124" s="31"/>
      <c r="I124" s="31"/>
      <c r="J124" s="31"/>
      <c r="K124" s="5"/>
      <c r="L124" s="5"/>
      <c r="M124" s="5"/>
      <c r="N124" s="5"/>
      <c r="O124" s="5"/>
      <c r="P124" s="5"/>
      <c r="Q124" s="5"/>
      <c r="R124" s="5"/>
      <c r="S124" s="5"/>
      <c r="T124" s="5"/>
      <c r="U124" s="5"/>
      <c r="V124" s="5"/>
      <c r="W124" s="5"/>
      <c r="X124" s="5"/>
      <c r="Y124" s="5"/>
      <c r="Z124" s="5"/>
    </row>
    <row r="125" ht="19.5" customHeight="1">
      <c r="A125" s="31"/>
      <c r="B125" s="30"/>
      <c r="C125" s="31"/>
      <c r="D125" s="31"/>
      <c r="E125" s="31"/>
      <c r="F125" s="32"/>
      <c r="G125" s="34">
        <f>IFERROR(SUMIFS(Transactions!$F$7:$F$989,Transactions!$G$7:$G$989,A125,Transactions!$D$7:$D$989,"Expense"),0)</f>
        <v>0</v>
      </c>
      <c r="H125" s="31"/>
      <c r="I125" s="31"/>
      <c r="J125" s="31"/>
      <c r="K125" s="5"/>
      <c r="L125" s="5"/>
      <c r="M125" s="5"/>
      <c r="N125" s="5"/>
      <c r="O125" s="5"/>
      <c r="P125" s="5"/>
      <c r="Q125" s="5"/>
      <c r="R125" s="5"/>
      <c r="S125" s="5"/>
      <c r="T125" s="5"/>
      <c r="U125" s="5"/>
      <c r="V125" s="5"/>
      <c r="W125" s="5"/>
      <c r="X125" s="5"/>
      <c r="Y125" s="5"/>
      <c r="Z125" s="5"/>
    </row>
    <row r="126" ht="19.5" customHeight="1">
      <c r="A126" s="31"/>
      <c r="B126" s="30"/>
      <c r="C126" s="31"/>
      <c r="D126" s="31"/>
      <c r="E126" s="31"/>
      <c r="F126" s="32"/>
      <c r="G126" s="34">
        <f>IFERROR(SUMIFS(Transactions!$F$7:$F$989,Transactions!$G$7:$G$989,A126,Transactions!$D$7:$D$989,"Expense"),0)</f>
        <v>0</v>
      </c>
      <c r="H126" s="31"/>
      <c r="I126" s="31"/>
      <c r="J126" s="31"/>
      <c r="K126" s="5"/>
      <c r="L126" s="5"/>
      <c r="M126" s="5"/>
      <c r="N126" s="5"/>
      <c r="O126" s="5"/>
      <c r="P126" s="5"/>
      <c r="Q126" s="5"/>
      <c r="R126" s="5"/>
      <c r="S126" s="5"/>
      <c r="T126" s="5"/>
      <c r="U126" s="5"/>
      <c r="V126" s="5"/>
      <c r="W126" s="5"/>
      <c r="X126" s="5"/>
      <c r="Y126" s="5"/>
      <c r="Z126" s="5"/>
    </row>
    <row r="127" ht="19.5" customHeight="1">
      <c r="A127" s="31"/>
      <c r="B127" s="30"/>
      <c r="C127" s="31"/>
      <c r="D127" s="31"/>
      <c r="E127" s="31"/>
      <c r="F127" s="32"/>
      <c r="G127" s="34">
        <f>IFERROR(SUMIFS(Transactions!$F$7:$F$989,Transactions!$G$7:$G$989,A127,Transactions!$D$7:$D$989,"Expense"),0)</f>
        <v>0</v>
      </c>
      <c r="H127" s="31"/>
      <c r="I127" s="31"/>
      <c r="J127" s="31"/>
      <c r="K127" s="5"/>
      <c r="L127" s="5"/>
      <c r="M127" s="5"/>
      <c r="N127" s="5"/>
      <c r="O127" s="5"/>
      <c r="P127" s="5"/>
      <c r="Q127" s="5"/>
      <c r="R127" s="5"/>
      <c r="S127" s="5"/>
      <c r="T127" s="5"/>
      <c r="U127" s="5"/>
      <c r="V127" s="5"/>
      <c r="W127" s="5"/>
      <c r="X127" s="5"/>
      <c r="Y127" s="5"/>
      <c r="Z127" s="5"/>
    </row>
    <row r="128" ht="19.5" customHeight="1">
      <c r="A128" s="31"/>
      <c r="B128" s="30"/>
      <c r="C128" s="31"/>
      <c r="D128" s="31"/>
      <c r="E128" s="31"/>
      <c r="F128" s="32"/>
      <c r="G128" s="34">
        <f>IFERROR(SUMIFS(Transactions!$F$7:$F$989,Transactions!$G$7:$G$989,A128,Transactions!$D$7:$D$989,"Expense"),0)</f>
        <v>0</v>
      </c>
      <c r="H128" s="31"/>
      <c r="I128" s="31"/>
      <c r="J128" s="31"/>
      <c r="K128" s="5"/>
      <c r="L128" s="5"/>
      <c r="M128" s="5"/>
      <c r="N128" s="5"/>
      <c r="O128" s="5"/>
      <c r="P128" s="5"/>
      <c r="Q128" s="5"/>
      <c r="R128" s="5"/>
      <c r="S128" s="5"/>
      <c r="T128" s="5"/>
      <c r="U128" s="5"/>
      <c r="V128" s="5"/>
      <c r="W128" s="5"/>
      <c r="X128" s="5"/>
      <c r="Y128" s="5"/>
      <c r="Z128" s="5"/>
    </row>
    <row r="129" ht="19.5" customHeight="1">
      <c r="A129" s="31"/>
      <c r="B129" s="30"/>
      <c r="C129" s="31"/>
      <c r="D129" s="31"/>
      <c r="E129" s="31"/>
      <c r="F129" s="32"/>
      <c r="G129" s="34">
        <f>IFERROR(SUMIFS(Transactions!$F$7:$F$989,Transactions!$G$7:$G$989,A129,Transactions!$D$7:$D$989,"Expense"),0)</f>
        <v>0</v>
      </c>
      <c r="H129" s="31"/>
      <c r="I129" s="31"/>
      <c r="J129" s="31"/>
      <c r="K129" s="5"/>
      <c r="L129" s="5"/>
      <c r="M129" s="5"/>
      <c r="N129" s="5"/>
      <c r="O129" s="5"/>
      <c r="P129" s="5"/>
      <c r="Q129" s="5"/>
      <c r="R129" s="5"/>
      <c r="S129" s="5"/>
      <c r="T129" s="5"/>
      <c r="U129" s="5"/>
      <c r="V129" s="5"/>
      <c r="W129" s="5"/>
      <c r="X129" s="5"/>
      <c r="Y129" s="5"/>
      <c r="Z129" s="5"/>
    </row>
    <row r="130" ht="19.5" customHeight="1">
      <c r="A130" s="31"/>
      <c r="B130" s="30"/>
      <c r="C130" s="31"/>
      <c r="D130" s="31"/>
      <c r="E130" s="31"/>
      <c r="F130" s="32"/>
      <c r="G130" s="34">
        <f>IFERROR(SUMIFS(Transactions!$F$7:$F$989,Transactions!$G$7:$G$989,A130,Transactions!$D$7:$D$989,"Expense"),0)</f>
        <v>0</v>
      </c>
      <c r="H130" s="31"/>
      <c r="I130" s="31"/>
      <c r="J130" s="31"/>
      <c r="K130" s="5"/>
      <c r="L130" s="5"/>
      <c r="M130" s="5"/>
      <c r="N130" s="5"/>
      <c r="O130" s="5"/>
      <c r="P130" s="5"/>
      <c r="Q130" s="5"/>
      <c r="R130" s="5"/>
      <c r="S130" s="5"/>
      <c r="T130" s="5"/>
      <c r="U130" s="5"/>
      <c r="V130" s="5"/>
      <c r="W130" s="5"/>
      <c r="X130" s="5"/>
      <c r="Y130" s="5"/>
      <c r="Z130" s="5"/>
    </row>
    <row r="131" ht="19.5" customHeight="1">
      <c r="A131" s="31"/>
      <c r="B131" s="30"/>
      <c r="C131" s="31"/>
      <c r="D131" s="31"/>
      <c r="E131" s="31"/>
      <c r="F131" s="32"/>
      <c r="G131" s="34">
        <f>IFERROR(SUMIFS(Transactions!$F$7:$F$989,Transactions!$G$7:$G$989,A131,Transactions!$D$7:$D$989,"Expense"),0)</f>
        <v>0</v>
      </c>
      <c r="H131" s="31"/>
      <c r="I131" s="31"/>
      <c r="J131" s="31"/>
      <c r="K131" s="5"/>
      <c r="L131" s="5"/>
      <c r="M131" s="5"/>
      <c r="N131" s="5"/>
      <c r="O131" s="5"/>
      <c r="P131" s="5"/>
      <c r="Q131" s="5"/>
      <c r="R131" s="5"/>
      <c r="S131" s="5"/>
      <c r="T131" s="5"/>
      <c r="U131" s="5"/>
      <c r="V131" s="5"/>
      <c r="W131" s="5"/>
      <c r="X131" s="5"/>
      <c r="Y131" s="5"/>
      <c r="Z131" s="5"/>
    </row>
    <row r="132" ht="19.5" customHeight="1">
      <c r="A132" s="31"/>
      <c r="B132" s="30"/>
      <c r="C132" s="31"/>
      <c r="D132" s="31"/>
      <c r="E132" s="31"/>
      <c r="F132" s="32"/>
      <c r="G132" s="34">
        <f>IFERROR(SUMIFS(Transactions!$F$7:$F$989,Transactions!$G$7:$G$989,A132,Transactions!$D$7:$D$989,"Expense"),0)</f>
        <v>0</v>
      </c>
      <c r="H132" s="31"/>
      <c r="I132" s="31"/>
      <c r="J132" s="31"/>
      <c r="K132" s="5"/>
      <c r="L132" s="5"/>
      <c r="M132" s="5"/>
      <c r="N132" s="5"/>
      <c r="O132" s="5"/>
      <c r="P132" s="5"/>
      <c r="Q132" s="5"/>
      <c r="R132" s="5"/>
      <c r="S132" s="5"/>
      <c r="T132" s="5"/>
      <c r="U132" s="5"/>
      <c r="V132" s="5"/>
      <c r="W132" s="5"/>
      <c r="X132" s="5"/>
      <c r="Y132" s="5"/>
      <c r="Z132" s="5"/>
    </row>
    <row r="133" ht="19.5" customHeight="1">
      <c r="A133" s="31"/>
      <c r="B133" s="30"/>
      <c r="C133" s="31"/>
      <c r="D133" s="31"/>
      <c r="E133" s="31"/>
      <c r="F133" s="32"/>
      <c r="G133" s="34">
        <f>IFERROR(SUMIFS(Transactions!$F$7:$F$989,Transactions!$G$7:$G$989,A133,Transactions!$D$7:$D$989,"Expense"),0)</f>
        <v>0</v>
      </c>
      <c r="H133" s="31"/>
      <c r="I133" s="31"/>
      <c r="J133" s="31"/>
      <c r="K133" s="5"/>
      <c r="L133" s="5"/>
      <c r="M133" s="5"/>
      <c r="N133" s="5"/>
      <c r="O133" s="5"/>
      <c r="P133" s="5"/>
      <c r="Q133" s="5"/>
      <c r="R133" s="5"/>
      <c r="S133" s="5"/>
      <c r="T133" s="5"/>
      <c r="U133" s="5"/>
      <c r="V133" s="5"/>
      <c r="W133" s="5"/>
      <c r="X133" s="5"/>
      <c r="Y133" s="5"/>
      <c r="Z133" s="5"/>
    </row>
    <row r="134" ht="19.5" customHeight="1">
      <c r="A134" s="31"/>
      <c r="B134" s="30"/>
      <c r="C134" s="31"/>
      <c r="D134" s="31"/>
      <c r="E134" s="31"/>
      <c r="F134" s="32"/>
      <c r="G134" s="34">
        <f>IFERROR(SUMIFS(Transactions!$F$7:$F$989,Transactions!$G$7:$G$989,A134,Transactions!$D$7:$D$989,"Expense"),0)</f>
        <v>0</v>
      </c>
      <c r="H134" s="31"/>
      <c r="I134" s="31"/>
      <c r="J134" s="31"/>
      <c r="K134" s="5"/>
      <c r="L134" s="5"/>
      <c r="M134" s="5"/>
      <c r="N134" s="5"/>
      <c r="O134" s="5"/>
      <c r="P134" s="5"/>
      <c r="Q134" s="5"/>
      <c r="R134" s="5"/>
      <c r="S134" s="5"/>
      <c r="T134" s="5"/>
      <c r="U134" s="5"/>
      <c r="V134" s="5"/>
      <c r="W134" s="5"/>
      <c r="X134" s="5"/>
      <c r="Y134" s="5"/>
      <c r="Z134" s="5"/>
    </row>
    <row r="135" ht="19.5" customHeight="1">
      <c r="A135" s="31"/>
      <c r="B135" s="30"/>
      <c r="C135" s="31"/>
      <c r="D135" s="31"/>
      <c r="E135" s="31"/>
      <c r="F135" s="32"/>
      <c r="G135" s="34">
        <f>IFERROR(SUMIFS(Transactions!$F$7:$F$989,Transactions!$G$7:$G$989,A135,Transactions!$D$7:$D$989,"Expense"),0)</f>
        <v>0</v>
      </c>
      <c r="H135" s="31"/>
      <c r="I135" s="31"/>
      <c r="J135" s="31"/>
      <c r="K135" s="5"/>
      <c r="L135" s="5"/>
      <c r="M135" s="5"/>
      <c r="N135" s="5"/>
      <c r="O135" s="5"/>
      <c r="P135" s="5"/>
      <c r="Q135" s="5"/>
      <c r="R135" s="5"/>
      <c r="S135" s="5"/>
      <c r="T135" s="5"/>
      <c r="U135" s="5"/>
      <c r="V135" s="5"/>
      <c r="W135" s="5"/>
      <c r="X135" s="5"/>
      <c r="Y135" s="5"/>
      <c r="Z135" s="5"/>
    </row>
    <row r="136" ht="19.5" customHeight="1">
      <c r="A136" s="31"/>
      <c r="B136" s="30"/>
      <c r="C136" s="31"/>
      <c r="D136" s="31"/>
      <c r="E136" s="31"/>
      <c r="F136" s="32"/>
      <c r="G136" s="34">
        <f>IFERROR(SUMIFS(Transactions!$F$7:$F$989,Transactions!$G$7:$G$989,A136,Transactions!$D$7:$D$989,"Expense"),0)</f>
        <v>0</v>
      </c>
      <c r="H136" s="31"/>
      <c r="I136" s="31"/>
      <c r="J136" s="31"/>
      <c r="K136" s="5"/>
      <c r="L136" s="5"/>
      <c r="M136" s="5"/>
      <c r="N136" s="5"/>
      <c r="O136" s="5"/>
      <c r="P136" s="5"/>
      <c r="Q136" s="5"/>
      <c r="R136" s="5"/>
      <c r="S136" s="5"/>
      <c r="T136" s="5"/>
      <c r="U136" s="5"/>
      <c r="V136" s="5"/>
      <c r="W136" s="5"/>
      <c r="X136" s="5"/>
      <c r="Y136" s="5"/>
      <c r="Z136" s="5"/>
    </row>
    <row r="137" ht="19.5" customHeight="1">
      <c r="A137" s="31"/>
      <c r="B137" s="30"/>
      <c r="C137" s="31"/>
      <c r="D137" s="31"/>
      <c r="E137" s="31"/>
      <c r="F137" s="32"/>
      <c r="G137" s="34">
        <f>IFERROR(SUMIFS(Transactions!$F$7:$F$989,Transactions!$G$7:$G$989,A137,Transactions!$D$7:$D$989,"Expense"),0)</f>
        <v>0</v>
      </c>
      <c r="H137" s="31"/>
      <c r="I137" s="31"/>
      <c r="J137" s="31"/>
      <c r="K137" s="5"/>
      <c r="L137" s="5"/>
      <c r="M137" s="5"/>
      <c r="N137" s="5"/>
      <c r="O137" s="5"/>
      <c r="P137" s="5"/>
      <c r="Q137" s="5"/>
      <c r="R137" s="5"/>
      <c r="S137" s="5"/>
      <c r="T137" s="5"/>
      <c r="U137" s="5"/>
      <c r="V137" s="5"/>
      <c r="W137" s="5"/>
      <c r="X137" s="5"/>
      <c r="Y137" s="5"/>
      <c r="Z137" s="5"/>
    </row>
    <row r="138" ht="19.5" customHeight="1">
      <c r="A138" s="31"/>
      <c r="B138" s="30"/>
      <c r="C138" s="31"/>
      <c r="D138" s="31"/>
      <c r="E138" s="31"/>
      <c r="F138" s="32"/>
      <c r="G138" s="34">
        <f>IFERROR(SUMIFS(Transactions!$F$7:$F$989,Transactions!$G$7:$G$989,A138,Transactions!$D$7:$D$989,"Expense"),0)</f>
        <v>0</v>
      </c>
      <c r="H138" s="31"/>
      <c r="I138" s="31"/>
      <c r="J138" s="31"/>
      <c r="K138" s="5"/>
      <c r="L138" s="5"/>
      <c r="M138" s="5"/>
      <c r="N138" s="5"/>
      <c r="O138" s="5"/>
      <c r="P138" s="5"/>
      <c r="Q138" s="5"/>
      <c r="R138" s="5"/>
      <c r="S138" s="5"/>
      <c r="T138" s="5"/>
      <c r="U138" s="5"/>
      <c r="V138" s="5"/>
      <c r="W138" s="5"/>
      <c r="X138" s="5"/>
      <c r="Y138" s="5"/>
      <c r="Z138" s="5"/>
    </row>
    <row r="139" ht="19.5" customHeight="1">
      <c r="A139" s="31"/>
      <c r="B139" s="30"/>
      <c r="C139" s="31"/>
      <c r="D139" s="31"/>
      <c r="E139" s="31"/>
      <c r="F139" s="32"/>
      <c r="G139" s="34">
        <f>IFERROR(SUMIFS(Transactions!$F$7:$F$989,Transactions!$G$7:$G$989,A139,Transactions!$D$7:$D$989,"Expense"),0)</f>
        <v>0</v>
      </c>
      <c r="H139" s="31"/>
      <c r="I139" s="31"/>
      <c r="J139" s="31"/>
      <c r="K139" s="5"/>
      <c r="L139" s="5"/>
      <c r="M139" s="5"/>
      <c r="N139" s="5"/>
      <c r="O139" s="5"/>
      <c r="P139" s="5"/>
      <c r="Q139" s="5"/>
      <c r="R139" s="5"/>
      <c r="S139" s="5"/>
      <c r="T139" s="5"/>
      <c r="U139" s="5"/>
      <c r="V139" s="5"/>
      <c r="W139" s="5"/>
      <c r="X139" s="5"/>
      <c r="Y139" s="5"/>
      <c r="Z139" s="5"/>
    </row>
    <row r="140" ht="19.5" customHeight="1">
      <c r="A140" s="31"/>
      <c r="B140" s="30"/>
      <c r="C140" s="31"/>
      <c r="D140" s="31"/>
      <c r="E140" s="31"/>
      <c r="F140" s="32"/>
      <c r="G140" s="34">
        <f>IFERROR(SUMIFS(Transactions!$F$7:$F$989,Transactions!$G$7:$G$989,A140,Transactions!$D$7:$D$989,"Expense"),0)</f>
        <v>0</v>
      </c>
      <c r="H140" s="31"/>
      <c r="I140" s="31"/>
      <c r="J140" s="31"/>
      <c r="K140" s="5"/>
      <c r="L140" s="5"/>
      <c r="M140" s="5"/>
      <c r="N140" s="5"/>
      <c r="O140" s="5"/>
      <c r="P140" s="5"/>
      <c r="Q140" s="5"/>
      <c r="R140" s="5"/>
      <c r="S140" s="5"/>
      <c r="T140" s="5"/>
      <c r="U140" s="5"/>
      <c r="V140" s="5"/>
      <c r="W140" s="5"/>
      <c r="X140" s="5"/>
      <c r="Y140" s="5"/>
      <c r="Z140" s="5"/>
    </row>
    <row r="141" ht="19.5" customHeight="1">
      <c r="A141" s="31"/>
      <c r="B141" s="30"/>
      <c r="C141" s="31"/>
      <c r="D141" s="31"/>
      <c r="E141" s="31"/>
      <c r="F141" s="32"/>
      <c r="G141" s="34">
        <f>IFERROR(SUMIFS(Transactions!$F$7:$F$989,Transactions!$G$7:$G$989,A141,Transactions!$D$7:$D$989,"Expense"),0)</f>
        <v>0</v>
      </c>
      <c r="H141" s="31"/>
      <c r="I141" s="31"/>
      <c r="J141" s="31"/>
      <c r="K141" s="5"/>
      <c r="L141" s="5"/>
      <c r="M141" s="5"/>
      <c r="N141" s="5"/>
      <c r="O141" s="5"/>
      <c r="P141" s="5"/>
      <c r="Q141" s="5"/>
      <c r="R141" s="5"/>
      <c r="S141" s="5"/>
      <c r="T141" s="5"/>
      <c r="U141" s="5"/>
      <c r="V141" s="5"/>
      <c r="W141" s="5"/>
      <c r="X141" s="5"/>
      <c r="Y141" s="5"/>
      <c r="Z141" s="5"/>
    </row>
    <row r="142" ht="19.5" customHeight="1">
      <c r="A142" s="31"/>
      <c r="B142" s="30"/>
      <c r="C142" s="31"/>
      <c r="D142" s="31"/>
      <c r="E142" s="31"/>
      <c r="F142" s="32"/>
      <c r="G142" s="34">
        <f>IFERROR(SUMIFS(Transactions!$F$7:$F$989,Transactions!$G$7:$G$989,A142,Transactions!$D$7:$D$989,"Expense"),0)</f>
        <v>0</v>
      </c>
      <c r="H142" s="31"/>
      <c r="I142" s="31"/>
      <c r="J142" s="31"/>
      <c r="K142" s="5"/>
      <c r="L142" s="5"/>
      <c r="M142" s="5"/>
      <c r="N142" s="5"/>
      <c r="O142" s="5"/>
      <c r="P142" s="5"/>
      <c r="Q142" s="5"/>
      <c r="R142" s="5"/>
      <c r="S142" s="5"/>
      <c r="T142" s="5"/>
      <c r="U142" s="5"/>
      <c r="V142" s="5"/>
      <c r="W142" s="5"/>
      <c r="X142" s="5"/>
      <c r="Y142" s="5"/>
      <c r="Z142" s="5"/>
    </row>
    <row r="143" ht="19.5" customHeight="1">
      <c r="A143" s="31"/>
      <c r="B143" s="30"/>
      <c r="C143" s="31"/>
      <c r="D143" s="31"/>
      <c r="E143" s="31"/>
      <c r="F143" s="32"/>
      <c r="G143" s="34">
        <f>IFERROR(SUMIFS(Transactions!$F$7:$F$989,Transactions!$G$7:$G$989,A143,Transactions!$D$7:$D$989,"Expense"),0)</f>
        <v>0</v>
      </c>
      <c r="H143" s="31"/>
      <c r="I143" s="31"/>
      <c r="J143" s="31"/>
      <c r="K143" s="5"/>
      <c r="L143" s="5"/>
      <c r="M143" s="5"/>
      <c r="N143" s="5"/>
      <c r="O143" s="5"/>
      <c r="P143" s="5"/>
      <c r="Q143" s="5"/>
      <c r="R143" s="5"/>
      <c r="S143" s="5"/>
      <c r="T143" s="5"/>
      <c r="U143" s="5"/>
      <c r="V143" s="5"/>
      <c r="W143" s="5"/>
      <c r="X143" s="5"/>
      <c r="Y143" s="5"/>
      <c r="Z143" s="5"/>
    </row>
    <row r="144" ht="19.5" customHeight="1">
      <c r="A144" s="31"/>
      <c r="B144" s="30"/>
      <c r="C144" s="31"/>
      <c r="D144" s="31"/>
      <c r="E144" s="31"/>
      <c r="F144" s="32"/>
      <c r="G144" s="34">
        <f>IFERROR(SUMIFS(Transactions!$F$7:$F$989,Transactions!$G$7:$G$989,A144,Transactions!$D$7:$D$989,"Expense"),0)</f>
        <v>0</v>
      </c>
      <c r="H144" s="31"/>
      <c r="I144" s="31"/>
      <c r="J144" s="31"/>
      <c r="K144" s="5"/>
      <c r="L144" s="5"/>
      <c r="M144" s="5"/>
      <c r="N144" s="5"/>
      <c r="O144" s="5"/>
      <c r="P144" s="5"/>
      <c r="Q144" s="5"/>
      <c r="R144" s="5"/>
      <c r="S144" s="5"/>
      <c r="T144" s="5"/>
      <c r="U144" s="5"/>
      <c r="V144" s="5"/>
      <c r="W144" s="5"/>
      <c r="X144" s="5"/>
      <c r="Y144" s="5"/>
      <c r="Z144" s="5"/>
    </row>
    <row r="145" ht="19.5" customHeight="1">
      <c r="A145" s="31"/>
      <c r="B145" s="30"/>
      <c r="C145" s="31"/>
      <c r="D145" s="31"/>
      <c r="E145" s="31"/>
      <c r="F145" s="32"/>
      <c r="G145" s="34">
        <f>IFERROR(SUMIFS(Transactions!$F$7:$F$989,Transactions!$G$7:$G$989,A145,Transactions!$D$7:$D$989,"Expense"),0)</f>
        <v>0</v>
      </c>
      <c r="H145" s="31"/>
      <c r="I145" s="31"/>
      <c r="J145" s="31"/>
      <c r="K145" s="5"/>
      <c r="L145" s="5"/>
      <c r="M145" s="5"/>
      <c r="N145" s="5"/>
      <c r="O145" s="5"/>
      <c r="P145" s="5"/>
      <c r="Q145" s="5"/>
      <c r="R145" s="5"/>
      <c r="S145" s="5"/>
      <c r="T145" s="5"/>
      <c r="U145" s="5"/>
      <c r="V145" s="5"/>
      <c r="W145" s="5"/>
      <c r="X145" s="5"/>
      <c r="Y145" s="5"/>
      <c r="Z145" s="5"/>
    </row>
    <row r="146" ht="19.5" customHeight="1">
      <c r="A146" s="31"/>
      <c r="B146" s="30"/>
      <c r="C146" s="31"/>
      <c r="D146" s="31"/>
      <c r="E146" s="31"/>
      <c r="F146" s="32"/>
      <c r="G146" s="34">
        <f>IFERROR(SUMIFS(Transactions!$F$7:$F$989,Transactions!$G$7:$G$989,A146,Transactions!$D$7:$D$989,"Expense"),0)</f>
        <v>0</v>
      </c>
      <c r="H146" s="31"/>
      <c r="I146" s="31"/>
      <c r="J146" s="31"/>
      <c r="K146" s="5"/>
      <c r="L146" s="5"/>
      <c r="M146" s="5"/>
      <c r="N146" s="5"/>
      <c r="O146" s="5"/>
      <c r="P146" s="5"/>
      <c r="Q146" s="5"/>
      <c r="R146" s="5"/>
      <c r="S146" s="5"/>
      <c r="T146" s="5"/>
      <c r="U146" s="5"/>
      <c r="V146" s="5"/>
      <c r="W146" s="5"/>
      <c r="X146" s="5"/>
      <c r="Y146" s="5"/>
      <c r="Z146" s="5"/>
    </row>
    <row r="147" ht="19.5" customHeight="1">
      <c r="A147" s="31"/>
      <c r="B147" s="30"/>
      <c r="C147" s="31"/>
      <c r="D147" s="31"/>
      <c r="E147" s="31"/>
      <c r="F147" s="32"/>
      <c r="G147" s="34">
        <f>IFERROR(SUMIFS(Transactions!$F$7:$F$989,Transactions!$G$7:$G$989,A147,Transactions!$D$7:$D$989,"Expense"),0)</f>
        <v>0</v>
      </c>
      <c r="H147" s="31"/>
      <c r="I147" s="31"/>
      <c r="J147" s="31"/>
      <c r="K147" s="5"/>
      <c r="L147" s="5"/>
      <c r="M147" s="5"/>
      <c r="N147" s="5"/>
      <c r="O147" s="5"/>
      <c r="P147" s="5"/>
      <c r="Q147" s="5"/>
      <c r="R147" s="5"/>
      <c r="S147" s="5"/>
      <c r="T147" s="5"/>
      <c r="U147" s="5"/>
      <c r="V147" s="5"/>
      <c r="W147" s="5"/>
      <c r="X147" s="5"/>
      <c r="Y147" s="5"/>
      <c r="Z147" s="5"/>
    </row>
    <row r="148" ht="19.5" customHeight="1">
      <c r="A148" s="31"/>
      <c r="B148" s="30"/>
      <c r="C148" s="31"/>
      <c r="D148" s="31"/>
      <c r="E148" s="31"/>
      <c r="F148" s="32"/>
      <c r="G148" s="34">
        <f>IFERROR(SUMIFS(Transactions!$F$7:$F$989,Transactions!$G$7:$G$989,A148,Transactions!$D$7:$D$989,"Expense"),0)</f>
        <v>0</v>
      </c>
      <c r="H148" s="31"/>
      <c r="I148" s="31"/>
      <c r="J148" s="31"/>
      <c r="K148" s="5"/>
      <c r="L148" s="5"/>
      <c r="M148" s="5"/>
      <c r="N148" s="5"/>
      <c r="O148" s="5"/>
      <c r="P148" s="5"/>
      <c r="Q148" s="5"/>
      <c r="R148" s="5"/>
      <c r="S148" s="5"/>
      <c r="T148" s="5"/>
      <c r="U148" s="5"/>
      <c r="V148" s="5"/>
      <c r="W148" s="5"/>
      <c r="X148" s="5"/>
      <c r="Y148" s="5"/>
      <c r="Z148" s="5"/>
    </row>
    <row r="149" ht="19.5" customHeight="1">
      <c r="A149" s="31"/>
      <c r="B149" s="30"/>
      <c r="C149" s="31"/>
      <c r="D149" s="31"/>
      <c r="E149" s="31"/>
      <c r="F149" s="32"/>
      <c r="G149" s="34">
        <f>IFERROR(SUMIFS(Transactions!$F$7:$F$989,Transactions!$G$7:$G$989,A149,Transactions!$D$7:$D$989,"Expense"),0)</f>
        <v>0</v>
      </c>
      <c r="H149" s="31"/>
      <c r="I149" s="31"/>
      <c r="J149" s="31"/>
      <c r="K149" s="5"/>
      <c r="L149" s="5"/>
      <c r="M149" s="5"/>
      <c r="N149" s="5"/>
      <c r="O149" s="5"/>
      <c r="P149" s="5"/>
      <c r="Q149" s="5"/>
      <c r="R149" s="5"/>
      <c r="S149" s="5"/>
      <c r="T149" s="5"/>
      <c r="U149" s="5"/>
      <c r="V149" s="5"/>
      <c r="W149" s="5"/>
      <c r="X149" s="5"/>
      <c r="Y149" s="5"/>
      <c r="Z149" s="5"/>
    </row>
    <row r="150" ht="19.5" customHeight="1">
      <c r="A150" s="31"/>
      <c r="B150" s="30"/>
      <c r="C150" s="31"/>
      <c r="D150" s="31"/>
      <c r="E150" s="31"/>
      <c r="F150" s="32"/>
      <c r="G150" s="34">
        <f>IFERROR(SUMIFS(Transactions!$F$7:$F$989,Transactions!$G$7:$G$989,A150,Transactions!$D$7:$D$989,"Expense"),0)</f>
        <v>0</v>
      </c>
      <c r="H150" s="31"/>
      <c r="I150" s="31"/>
      <c r="J150" s="31"/>
      <c r="K150" s="5"/>
      <c r="L150" s="5"/>
      <c r="M150" s="5"/>
      <c r="N150" s="5"/>
      <c r="O150" s="5"/>
      <c r="P150" s="5"/>
      <c r="Q150" s="5"/>
      <c r="R150" s="5"/>
      <c r="S150" s="5"/>
      <c r="T150" s="5"/>
      <c r="U150" s="5"/>
      <c r="V150" s="5"/>
      <c r="W150" s="5"/>
      <c r="X150" s="5"/>
      <c r="Y150" s="5"/>
      <c r="Z150" s="5"/>
    </row>
    <row r="151" ht="19.5" customHeight="1">
      <c r="A151" s="31"/>
      <c r="B151" s="30"/>
      <c r="C151" s="31"/>
      <c r="D151" s="31"/>
      <c r="E151" s="31"/>
      <c r="F151" s="32"/>
      <c r="G151" s="34">
        <f>IFERROR(SUMIFS(Transactions!$F$7:$F$989,Transactions!$G$7:$G$989,A151,Transactions!$D$7:$D$989,"Expense"),0)</f>
        <v>0</v>
      </c>
      <c r="H151" s="31"/>
      <c r="I151" s="31"/>
      <c r="J151" s="31"/>
      <c r="K151" s="5"/>
      <c r="L151" s="5"/>
      <c r="M151" s="5"/>
      <c r="N151" s="5"/>
      <c r="O151" s="5"/>
      <c r="P151" s="5"/>
      <c r="Q151" s="5"/>
      <c r="R151" s="5"/>
      <c r="S151" s="5"/>
      <c r="T151" s="5"/>
      <c r="U151" s="5"/>
      <c r="V151" s="5"/>
      <c r="W151" s="5"/>
      <c r="X151" s="5"/>
      <c r="Y151" s="5"/>
      <c r="Z151" s="5"/>
    </row>
    <row r="152" ht="19.5" customHeight="1">
      <c r="A152" s="31"/>
      <c r="B152" s="30"/>
      <c r="C152" s="31"/>
      <c r="D152" s="31"/>
      <c r="E152" s="31"/>
      <c r="F152" s="32"/>
      <c r="G152" s="34">
        <f>IFERROR(SUMIFS(Transactions!$F$7:$F$989,Transactions!$G$7:$G$989,A152,Transactions!$D$7:$D$989,"Expense"),0)</f>
        <v>0</v>
      </c>
      <c r="H152" s="31"/>
      <c r="I152" s="31"/>
      <c r="J152" s="31"/>
      <c r="K152" s="5"/>
      <c r="L152" s="5"/>
      <c r="M152" s="5"/>
      <c r="N152" s="5"/>
      <c r="O152" s="5"/>
      <c r="P152" s="5"/>
      <c r="Q152" s="5"/>
      <c r="R152" s="5"/>
      <c r="S152" s="5"/>
      <c r="T152" s="5"/>
      <c r="U152" s="5"/>
      <c r="V152" s="5"/>
      <c r="W152" s="5"/>
      <c r="X152" s="5"/>
      <c r="Y152" s="5"/>
      <c r="Z152" s="5"/>
    </row>
    <row r="153" ht="19.5" customHeight="1">
      <c r="A153" s="31"/>
      <c r="B153" s="30"/>
      <c r="C153" s="31"/>
      <c r="D153" s="31"/>
      <c r="E153" s="31"/>
      <c r="F153" s="32"/>
      <c r="G153" s="34">
        <f>IFERROR(SUMIFS(Transactions!$F$7:$F$989,Transactions!$G$7:$G$989,A153,Transactions!$D$7:$D$989,"Expense"),0)</f>
        <v>0</v>
      </c>
      <c r="H153" s="31"/>
      <c r="I153" s="31"/>
      <c r="J153" s="31"/>
      <c r="K153" s="5"/>
      <c r="L153" s="5"/>
      <c r="M153" s="5"/>
      <c r="N153" s="5"/>
      <c r="O153" s="5"/>
      <c r="P153" s="5"/>
      <c r="Q153" s="5"/>
      <c r="R153" s="5"/>
      <c r="S153" s="5"/>
      <c r="T153" s="5"/>
      <c r="U153" s="5"/>
      <c r="V153" s="5"/>
      <c r="W153" s="5"/>
      <c r="X153" s="5"/>
      <c r="Y153" s="5"/>
      <c r="Z153" s="5"/>
    </row>
    <row r="154" ht="19.5" customHeight="1">
      <c r="A154" s="31"/>
      <c r="B154" s="30"/>
      <c r="C154" s="31"/>
      <c r="D154" s="31"/>
      <c r="E154" s="31"/>
      <c r="F154" s="32"/>
      <c r="G154" s="34">
        <f>IFERROR(SUMIFS(Transactions!$F$7:$F$989,Transactions!$G$7:$G$989,A154,Transactions!$D$7:$D$989,"Expense"),0)</f>
        <v>0</v>
      </c>
      <c r="H154" s="31"/>
      <c r="I154" s="31"/>
      <c r="J154" s="31"/>
      <c r="K154" s="5"/>
      <c r="L154" s="5"/>
      <c r="M154" s="5"/>
      <c r="N154" s="5"/>
      <c r="O154" s="5"/>
      <c r="P154" s="5"/>
      <c r="Q154" s="5"/>
      <c r="R154" s="5"/>
      <c r="S154" s="5"/>
      <c r="T154" s="5"/>
      <c r="U154" s="5"/>
      <c r="V154" s="5"/>
      <c r="W154" s="5"/>
      <c r="X154" s="5"/>
      <c r="Y154" s="5"/>
      <c r="Z154" s="5"/>
    </row>
    <row r="155" ht="19.5" customHeight="1">
      <c r="A155" s="31"/>
      <c r="B155" s="30"/>
      <c r="C155" s="31"/>
      <c r="D155" s="31"/>
      <c r="E155" s="31"/>
      <c r="F155" s="32"/>
      <c r="G155" s="34">
        <f>IFERROR(SUMIFS(Transactions!$F$7:$F$989,Transactions!$G$7:$G$989,A155,Transactions!$D$7:$D$989,"Expense"),0)</f>
        <v>0</v>
      </c>
      <c r="H155" s="31"/>
      <c r="I155" s="31"/>
      <c r="J155" s="31"/>
      <c r="K155" s="5"/>
      <c r="L155" s="5"/>
      <c r="M155" s="5"/>
      <c r="N155" s="5"/>
      <c r="O155" s="5"/>
      <c r="P155" s="5"/>
      <c r="Q155" s="5"/>
      <c r="R155" s="5"/>
      <c r="S155" s="5"/>
      <c r="T155" s="5"/>
      <c r="U155" s="5"/>
      <c r="V155" s="5"/>
      <c r="W155" s="5"/>
      <c r="X155" s="5"/>
      <c r="Y155" s="5"/>
      <c r="Z155" s="5"/>
    </row>
    <row r="156" ht="19.5" customHeight="1">
      <c r="A156" s="31"/>
      <c r="B156" s="30"/>
      <c r="C156" s="31"/>
      <c r="D156" s="31"/>
      <c r="E156" s="31"/>
      <c r="F156" s="32"/>
      <c r="G156" s="34">
        <f>IFERROR(SUMIFS(Transactions!$F$7:$F$989,Transactions!$G$7:$G$989,A156,Transactions!$D$7:$D$989,"Expense"),0)</f>
        <v>0</v>
      </c>
      <c r="H156" s="31"/>
      <c r="I156" s="31"/>
      <c r="J156" s="31"/>
      <c r="K156" s="5"/>
      <c r="L156" s="5"/>
      <c r="M156" s="5"/>
      <c r="N156" s="5"/>
      <c r="O156" s="5"/>
      <c r="P156" s="5"/>
      <c r="Q156" s="5"/>
      <c r="R156" s="5"/>
      <c r="S156" s="5"/>
      <c r="T156" s="5"/>
      <c r="U156" s="5"/>
      <c r="V156" s="5"/>
      <c r="W156" s="5"/>
      <c r="X156" s="5"/>
      <c r="Y156" s="5"/>
      <c r="Z156" s="5"/>
    </row>
    <row r="157" ht="19.5" customHeight="1">
      <c r="A157" s="31"/>
      <c r="B157" s="30"/>
      <c r="C157" s="31"/>
      <c r="D157" s="31"/>
      <c r="E157" s="31"/>
      <c r="F157" s="32"/>
      <c r="G157" s="34">
        <f>IFERROR(SUMIFS(Transactions!$F$7:$F$989,Transactions!$G$7:$G$989,A157,Transactions!$D$7:$D$989,"Expense"),0)</f>
        <v>0</v>
      </c>
      <c r="H157" s="31"/>
      <c r="I157" s="31"/>
      <c r="J157" s="31"/>
      <c r="K157" s="5"/>
      <c r="L157" s="5"/>
      <c r="M157" s="5"/>
      <c r="N157" s="5"/>
      <c r="O157" s="5"/>
      <c r="P157" s="5"/>
      <c r="Q157" s="5"/>
      <c r="R157" s="5"/>
      <c r="S157" s="5"/>
      <c r="T157" s="5"/>
      <c r="U157" s="5"/>
      <c r="V157" s="5"/>
      <c r="W157" s="5"/>
      <c r="X157" s="5"/>
      <c r="Y157" s="5"/>
      <c r="Z157" s="5"/>
    </row>
    <row r="158" ht="19.5" customHeight="1">
      <c r="A158" s="31"/>
      <c r="B158" s="30"/>
      <c r="C158" s="31"/>
      <c r="D158" s="31"/>
      <c r="E158" s="31"/>
      <c r="F158" s="32"/>
      <c r="G158" s="34">
        <f>IFERROR(SUMIFS(Transactions!$F$7:$F$989,Transactions!$G$7:$G$989,A158,Transactions!$D$7:$D$989,"Expense"),0)</f>
        <v>0</v>
      </c>
      <c r="H158" s="31"/>
      <c r="I158" s="31"/>
      <c r="J158" s="31"/>
      <c r="K158" s="5"/>
      <c r="L158" s="5"/>
      <c r="M158" s="5"/>
      <c r="N158" s="5"/>
      <c r="O158" s="5"/>
      <c r="P158" s="5"/>
      <c r="Q158" s="5"/>
      <c r="R158" s="5"/>
      <c r="S158" s="5"/>
      <c r="T158" s="5"/>
      <c r="U158" s="5"/>
      <c r="V158" s="5"/>
      <c r="W158" s="5"/>
      <c r="X158" s="5"/>
      <c r="Y158" s="5"/>
      <c r="Z158" s="5"/>
    </row>
    <row r="159" ht="19.5" customHeight="1">
      <c r="A159" s="31"/>
      <c r="B159" s="30"/>
      <c r="C159" s="31"/>
      <c r="D159" s="31"/>
      <c r="E159" s="31"/>
      <c r="F159" s="32"/>
      <c r="G159" s="34">
        <f>IFERROR(SUMIFS(Transactions!$F$7:$F$989,Transactions!$G$7:$G$989,A159,Transactions!$D$7:$D$989,"Expense"),0)</f>
        <v>0</v>
      </c>
      <c r="H159" s="31"/>
      <c r="I159" s="31"/>
      <c r="J159" s="31"/>
      <c r="K159" s="5"/>
      <c r="L159" s="5"/>
      <c r="M159" s="5"/>
      <c r="N159" s="5"/>
      <c r="O159" s="5"/>
      <c r="P159" s="5"/>
      <c r="Q159" s="5"/>
      <c r="R159" s="5"/>
      <c r="S159" s="5"/>
      <c r="T159" s="5"/>
      <c r="U159" s="5"/>
      <c r="V159" s="5"/>
      <c r="W159" s="5"/>
      <c r="X159" s="5"/>
      <c r="Y159" s="5"/>
      <c r="Z159" s="5"/>
    </row>
    <row r="160" ht="19.5" customHeight="1">
      <c r="A160" s="31"/>
      <c r="B160" s="30"/>
      <c r="C160" s="31"/>
      <c r="D160" s="31"/>
      <c r="E160" s="31"/>
      <c r="F160" s="32"/>
      <c r="G160" s="34">
        <f>IFERROR(SUMIFS(Transactions!$F$7:$F$989,Transactions!$G$7:$G$989,A160,Transactions!$D$7:$D$989,"Expense"),0)</f>
        <v>0</v>
      </c>
      <c r="H160" s="31"/>
      <c r="I160" s="31"/>
      <c r="J160" s="31"/>
      <c r="K160" s="5"/>
      <c r="L160" s="5"/>
      <c r="M160" s="5"/>
      <c r="N160" s="5"/>
      <c r="O160" s="5"/>
      <c r="P160" s="5"/>
      <c r="Q160" s="5"/>
      <c r="R160" s="5"/>
      <c r="S160" s="5"/>
      <c r="T160" s="5"/>
      <c r="U160" s="5"/>
      <c r="V160" s="5"/>
      <c r="W160" s="5"/>
      <c r="X160" s="5"/>
      <c r="Y160" s="5"/>
      <c r="Z160" s="5"/>
    </row>
    <row r="161" ht="19.5" customHeight="1">
      <c r="A161" s="31"/>
      <c r="B161" s="30"/>
      <c r="C161" s="31"/>
      <c r="D161" s="31"/>
      <c r="E161" s="31"/>
      <c r="F161" s="32"/>
      <c r="G161" s="34">
        <f>IFERROR(SUMIFS(Transactions!$F$7:$F$989,Transactions!$G$7:$G$989,A161,Transactions!$D$7:$D$989,"Expense"),0)</f>
        <v>0</v>
      </c>
      <c r="H161" s="31"/>
      <c r="I161" s="31"/>
      <c r="J161" s="31"/>
      <c r="K161" s="5"/>
      <c r="L161" s="5"/>
      <c r="M161" s="5"/>
      <c r="N161" s="5"/>
      <c r="O161" s="5"/>
      <c r="P161" s="5"/>
      <c r="Q161" s="5"/>
      <c r="R161" s="5"/>
      <c r="S161" s="5"/>
      <c r="T161" s="5"/>
      <c r="U161" s="5"/>
      <c r="V161" s="5"/>
      <c r="W161" s="5"/>
      <c r="X161" s="5"/>
      <c r="Y161" s="5"/>
      <c r="Z161" s="5"/>
    </row>
    <row r="162" ht="19.5" customHeight="1">
      <c r="A162" s="31"/>
      <c r="B162" s="30"/>
      <c r="C162" s="31"/>
      <c r="D162" s="31"/>
      <c r="E162" s="31"/>
      <c r="F162" s="32"/>
      <c r="G162" s="34">
        <f>IFERROR(SUMIFS(Transactions!$F$7:$F$989,Transactions!$G$7:$G$989,A162,Transactions!$D$7:$D$989,"Expense"),0)</f>
        <v>0</v>
      </c>
      <c r="H162" s="31"/>
      <c r="I162" s="31"/>
      <c r="J162" s="31"/>
      <c r="K162" s="5"/>
      <c r="L162" s="5"/>
      <c r="M162" s="5"/>
      <c r="N162" s="5"/>
      <c r="O162" s="5"/>
      <c r="P162" s="5"/>
      <c r="Q162" s="5"/>
      <c r="R162" s="5"/>
      <c r="S162" s="5"/>
      <c r="T162" s="5"/>
      <c r="U162" s="5"/>
      <c r="V162" s="5"/>
      <c r="W162" s="5"/>
      <c r="X162" s="5"/>
      <c r="Y162" s="5"/>
      <c r="Z162" s="5"/>
    </row>
    <row r="163" ht="19.5" customHeight="1">
      <c r="A163" s="31"/>
      <c r="B163" s="30"/>
      <c r="C163" s="31"/>
      <c r="D163" s="31"/>
      <c r="E163" s="31"/>
      <c r="F163" s="32"/>
      <c r="G163" s="34">
        <f>IFERROR(SUMIFS(Transactions!$F$7:$F$989,Transactions!$G$7:$G$989,A163,Transactions!$D$7:$D$989,"Expense"),0)</f>
        <v>0</v>
      </c>
      <c r="H163" s="31"/>
      <c r="I163" s="31"/>
      <c r="J163" s="31"/>
      <c r="K163" s="5"/>
      <c r="L163" s="5"/>
      <c r="M163" s="5"/>
      <c r="N163" s="5"/>
      <c r="O163" s="5"/>
      <c r="P163" s="5"/>
      <c r="Q163" s="5"/>
      <c r="R163" s="5"/>
      <c r="S163" s="5"/>
      <c r="T163" s="5"/>
      <c r="U163" s="5"/>
      <c r="V163" s="5"/>
      <c r="W163" s="5"/>
      <c r="X163" s="5"/>
      <c r="Y163" s="5"/>
      <c r="Z163" s="5"/>
    </row>
    <row r="164" ht="19.5" customHeight="1">
      <c r="A164" s="31"/>
      <c r="B164" s="30"/>
      <c r="C164" s="31"/>
      <c r="D164" s="31"/>
      <c r="E164" s="31"/>
      <c r="F164" s="32"/>
      <c r="G164" s="34">
        <f>IFERROR(SUMIFS(Transactions!$F$7:$F$989,Transactions!$G$7:$G$989,A164,Transactions!$D$7:$D$989,"Expense"),0)</f>
        <v>0</v>
      </c>
      <c r="H164" s="31"/>
      <c r="I164" s="31"/>
      <c r="J164" s="31"/>
      <c r="K164" s="5"/>
      <c r="L164" s="5"/>
      <c r="M164" s="5"/>
      <c r="N164" s="5"/>
      <c r="O164" s="5"/>
      <c r="P164" s="5"/>
      <c r="Q164" s="5"/>
      <c r="R164" s="5"/>
      <c r="S164" s="5"/>
      <c r="T164" s="5"/>
      <c r="U164" s="5"/>
      <c r="V164" s="5"/>
      <c r="W164" s="5"/>
      <c r="X164" s="5"/>
      <c r="Y164" s="5"/>
      <c r="Z164" s="5"/>
    </row>
    <row r="165" ht="19.5" customHeight="1">
      <c r="A165" s="31"/>
      <c r="B165" s="30"/>
      <c r="C165" s="31"/>
      <c r="D165" s="31"/>
      <c r="E165" s="31"/>
      <c r="F165" s="32"/>
      <c r="G165" s="34">
        <f>IFERROR(SUMIFS(Transactions!$F$7:$F$989,Transactions!$G$7:$G$989,A165,Transactions!$D$7:$D$989,"Expense"),0)</f>
        <v>0</v>
      </c>
      <c r="H165" s="31"/>
      <c r="I165" s="31"/>
      <c r="J165" s="31"/>
      <c r="K165" s="5"/>
      <c r="L165" s="5"/>
      <c r="M165" s="5"/>
      <c r="N165" s="5"/>
      <c r="O165" s="5"/>
      <c r="P165" s="5"/>
      <c r="Q165" s="5"/>
      <c r="R165" s="5"/>
      <c r="S165" s="5"/>
      <c r="T165" s="5"/>
      <c r="U165" s="5"/>
      <c r="V165" s="5"/>
      <c r="W165" s="5"/>
      <c r="X165" s="5"/>
      <c r="Y165" s="5"/>
      <c r="Z165" s="5"/>
    </row>
    <row r="166" ht="19.5" customHeight="1">
      <c r="A166" s="31"/>
      <c r="B166" s="30"/>
      <c r="C166" s="31"/>
      <c r="D166" s="31"/>
      <c r="E166" s="31"/>
      <c r="F166" s="32"/>
      <c r="G166" s="34">
        <f>IFERROR(SUMIFS(Transactions!$F$7:$F$989,Transactions!$G$7:$G$989,A166,Transactions!$D$7:$D$989,"Expense"),0)</f>
        <v>0</v>
      </c>
      <c r="H166" s="31"/>
      <c r="I166" s="31"/>
      <c r="J166" s="31"/>
      <c r="K166" s="5"/>
      <c r="L166" s="5"/>
      <c r="M166" s="5"/>
      <c r="N166" s="5"/>
      <c r="O166" s="5"/>
      <c r="P166" s="5"/>
      <c r="Q166" s="5"/>
      <c r="R166" s="5"/>
      <c r="S166" s="5"/>
      <c r="T166" s="5"/>
      <c r="U166" s="5"/>
      <c r="V166" s="5"/>
      <c r="W166" s="5"/>
      <c r="X166" s="5"/>
      <c r="Y166" s="5"/>
      <c r="Z166" s="5"/>
    </row>
    <row r="167" ht="19.5" customHeight="1">
      <c r="A167" s="31"/>
      <c r="B167" s="30"/>
      <c r="C167" s="31"/>
      <c r="D167" s="31"/>
      <c r="E167" s="31"/>
      <c r="F167" s="32"/>
      <c r="G167" s="34">
        <f>IFERROR(SUMIFS(Transactions!$F$7:$F$989,Transactions!$G$7:$G$989,A167,Transactions!$D$7:$D$989,"Expense"),0)</f>
        <v>0</v>
      </c>
      <c r="H167" s="31"/>
      <c r="I167" s="31"/>
      <c r="J167" s="31"/>
      <c r="K167" s="5"/>
      <c r="L167" s="5"/>
      <c r="M167" s="5"/>
      <c r="N167" s="5"/>
      <c r="O167" s="5"/>
      <c r="P167" s="5"/>
      <c r="Q167" s="5"/>
      <c r="R167" s="5"/>
      <c r="S167" s="5"/>
      <c r="T167" s="5"/>
      <c r="U167" s="5"/>
      <c r="V167" s="5"/>
      <c r="W167" s="5"/>
      <c r="X167" s="5"/>
      <c r="Y167" s="5"/>
      <c r="Z167" s="5"/>
    </row>
    <row r="168" ht="19.5" customHeight="1">
      <c r="A168" s="31"/>
      <c r="B168" s="30"/>
      <c r="C168" s="31"/>
      <c r="D168" s="31"/>
      <c r="E168" s="31"/>
      <c r="F168" s="32"/>
      <c r="G168" s="34">
        <f>IFERROR(SUMIFS(Transactions!$F$7:$F$989,Transactions!$G$7:$G$989,A168,Transactions!$D$7:$D$989,"Expense"),0)</f>
        <v>0</v>
      </c>
      <c r="H168" s="31"/>
      <c r="I168" s="31"/>
      <c r="J168" s="31"/>
      <c r="K168" s="5"/>
      <c r="L168" s="5"/>
      <c r="M168" s="5"/>
      <c r="N168" s="5"/>
      <c r="O168" s="5"/>
      <c r="P168" s="5"/>
      <c r="Q168" s="5"/>
      <c r="R168" s="5"/>
      <c r="S168" s="5"/>
      <c r="T168" s="5"/>
      <c r="U168" s="5"/>
      <c r="V168" s="5"/>
      <c r="W168" s="5"/>
      <c r="X168" s="5"/>
      <c r="Y168" s="5"/>
      <c r="Z168" s="5"/>
    </row>
    <row r="169" ht="19.5" customHeight="1">
      <c r="A169" s="31"/>
      <c r="B169" s="30"/>
      <c r="C169" s="31"/>
      <c r="D169" s="31"/>
      <c r="E169" s="31"/>
      <c r="F169" s="32"/>
      <c r="G169" s="34">
        <f>IFERROR(SUMIFS(Transactions!$F$7:$F$989,Transactions!$G$7:$G$989,A169,Transactions!$D$7:$D$989,"Expense"),0)</f>
        <v>0</v>
      </c>
      <c r="H169" s="31"/>
      <c r="I169" s="31"/>
      <c r="J169" s="31"/>
      <c r="K169" s="5"/>
      <c r="L169" s="5"/>
      <c r="M169" s="5"/>
      <c r="N169" s="5"/>
      <c r="O169" s="5"/>
      <c r="P169" s="5"/>
      <c r="Q169" s="5"/>
      <c r="R169" s="5"/>
      <c r="S169" s="5"/>
      <c r="T169" s="5"/>
      <c r="U169" s="5"/>
      <c r="V169" s="5"/>
      <c r="W169" s="5"/>
      <c r="X169" s="5"/>
      <c r="Y169" s="5"/>
      <c r="Z169" s="5"/>
    </row>
    <row r="170" ht="19.5" customHeight="1">
      <c r="A170" s="31"/>
      <c r="B170" s="30"/>
      <c r="C170" s="31"/>
      <c r="D170" s="31"/>
      <c r="E170" s="31"/>
      <c r="F170" s="32"/>
      <c r="G170" s="34">
        <f>IFERROR(SUMIFS(Transactions!$F$7:$F$989,Transactions!$G$7:$G$989,A170,Transactions!$D$7:$D$989,"Expense"),0)</f>
        <v>0</v>
      </c>
      <c r="H170" s="31"/>
      <c r="I170" s="31"/>
      <c r="J170" s="31"/>
      <c r="K170" s="5"/>
      <c r="L170" s="5"/>
      <c r="M170" s="5"/>
      <c r="N170" s="5"/>
      <c r="O170" s="5"/>
      <c r="P170" s="5"/>
      <c r="Q170" s="5"/>
      <c r="R170" s="5"/>
      <c r="S170" s="5"/>
      <c r="T170" s="5"/>
      <c r="U170" s="5"/>
      <c r="V170" s="5"/>
      <c r="W170" s="5"/>
      <c r="X170" s="5"/>
      <c r="Y170" s="5"/>
      <c r="Z170" s="5"/>
    </row>
    <row r="171" ht="19.5" customHeight="1">
      <c r="A171" s="31"/>
      <c r="B171" s="30"/>
      <c r="C171" s="31"/>
      <c r="D171" s="31"/>
      <c r="E171" s="31"/>
      <c r="F171" s="32"/>
      <c r="G171" s="34">
        <f>IFERROR(SUMIFS(Transactions!$F$7:$F$989,Transactions!$G$7:$G$989,A171,Transactions!$D$7:$D$989,"Expense"),0)</f>
        <v>0</v>
      </c>
      <c r="H171" s="31"/>
      <c r="I171" s="31"/>
      <c r="J171" s="31"/>
      <c r="K171" s="5"/>
      <c r="L171" s="5"/>
      <c r="M171" s="5"/>
      <c r="N171" s="5"/>
      <c r="O171" s="5"/>
      <c r="P171" s="5"/>
      <c r="Q171" s="5"/>
      <c r="R171" s="5"/>
      <c r="S171" s="5"/>
      <c r="T171" s="5"/>
      <c r="U171" s="5"/>
      <c r="V171" s="5"/>
      <c r="W171" s="5"/>
      <c r="X171" s="5"/>
      <c r="Y171" s="5"/>
      <c r="Z171" s="5"/>
    </row>
    <row r="172" ht="19.5" customHeight="1">
      <c r="A172" s="31"/>
      <c r="B172" s="30"/>
      <c r="C172" s="31"/>
      <c r="D172" s="31"/>
      <c r="E172" s="31"/>
      <c r="F172" s="32"/>
      <c r="G172" s="34">
        <f>IFERROR(SUMIFS(Transactions!$F$7:$F$989,Transactions!$G$7:$G$989,A172,Transactions!$D$7:$D$989,"Expense"),0)</f>
        <v>0</v>
      </c>
      <c r="H172" s="31"/>
      <c r="I172" s="31"/>
      <c r="J172" s="31"/>
      <c r="K172" s="5"/>
      <c r="L172" s="5"/>
      <c r="M172" s="5"/>
      <c r="N172" s="5"/>
      <c r="O172" s="5"/>
      <c r="P172" s="5"/>
      <c r="Q172" s="5"/>
      <c r="R172" s="5"/>
      <c r="S172" s="5"/>
      <c r="T172" s="5"/>
      <c r="U172" s="5"/>
      <c r="V172" s="5"/>
      <c r="W172" s="5"/>
      <c r="X172" s="5"/>
      <c r="Y172" s="5"/>
      <c r="Z172" s="5"/>
    </row>
    <row r="173" ht="19.5" customHeight="1">
      <c r="A173" s="31"/>
      <c r="B173" s="30"/>
      <c r="C173" s="31"/>
      <c r="D173" s="31"/>
      <c r="E173" s="31"/>
      <c r="F173" s="32"/>
      <c r="G173" s="34">
        <f>IFERROR(SUMIFS(Transactions!$F$7:$F$989,Transactions!$G$7:$G$989,A173,Transactions!$D$7:$D$989,"Expense"),0)</f>
        <v>0</v>
      </c>
      <c r="H173" s="31"/>
      <c r="I173" s="31"/>
      <c r="J173" s="31"/>
      <c r="K173" s="5"/>
      <c r="L173" s="5"/>
      <c r="M173" s="5"/>
      <c r="N173" s="5"/>
      <c r="O173" s="5"/>
      <c r="P173" s="5"/>
      <c r="Q173" s="5"/>
      <c r="R173" s="5"/>
      <c r="S173" s="5"/>
      <c r="T173" s="5"/>
      <c r="U173" s="5"/>
      <c r="V173" s="5"/>
      <c r="W173" s="5"/>
      <c r="X173" s="5"/>
      <c r="Y173" s="5"/>
      <c r="Z173" s="5"/>
    </row>
    <row r="174" ht="19.5" customHeight="1">
      <c r="A174" s="31"/>
      <c r="B174" s="30"/>
      <c r="C174" s="31"/>
      <c r="D174" s="31"/>
      <c r="E174" s="31"/>
      <c r="F174" s="32"/>
      <c r="G174" s="34">
        <f>IFERROR(SUMIFS(Transactions!$F$7:$F$989,Transactions!$G$7:$G$989,A174,Transactions!$D$7:$D$989,"Expense"),0)</f>
        <v>0</v>
      </c>
      <c r="H174" s="31"/>
      <c r="I174" s="31"/>
      <c r="J174" s="31"/>
      <c r="K174" s="5"/>
      <c r="L174" s="5"/>
      <c r="M174" s="5"/>
      <c r="N174" s="5"/>
      <c r="O174" s="5"/>
      <c r="P174" s="5"/>
      <c r="Q174" s="5"/>
      <c r="R174" s="5"/>
      <c r="S174" s="5"/>
      <c r="T174" s="5"/>
      <c r="U174" s="5"/>
      <c r="V174" s="5"/>
      <c r="W174" s="5"/>
      <c r="X174" s="5"/>
      <c r="Y174" s="5"/>
      <c r="Z174" s="5"/>
    </row>
    <row r="175" ht="19.5" customHeight="1">
      <c r="A175" s="31"/>
      <c r="B175" s="30"/>
      <c r="C175" s="31"/>
      <c r="D175" s="31"/>
      <c r="E175" s="31"/>
      <c r="F175" s="32"/>
      <c r="G175" s="34">
        <f>IFERROR(SUMIFS(Transactions!$F$7:$F$989,Transactions!$G$7:$G$989,A175,Transactions!$D$7:$D$989,"Expense"),0)</f>
        <v>0</v>
      </c>
      <c r="H175" s="31"/>
      <c r="I175" s="31"/>
      <c r="J175" s="31"/>
      <c r="K175" s="5"/>
      <c r="L175" s="5"/>
      <c r="M175" s="5"/>
      <c r="N175" s="5"/>
      <c r="O175" s="5"/>
      <c r="P175" s="5"/>
      <c r="Q175" s="5"/>
      <c r="R175" s="5"/>
      <c r="S175" s="5"/>
      <c r="T175" s="5"/>
      <c r="U175" s="5"/>
      <c r="V175" s="5"/>
      <c r="W175" s="5"/>
      <c r="X175" s="5"/>
      <c r="Y175" s="5"/>
      <c r="Z175" s="5"/>
    </row>
    <row r="176" ht="19.5" customHeight="1">
      <c r="A176" s="31"/>
      <c r="B176" s="30"/>
      <c r="C176" s="31"/>
      <c r="D176" s="31"/>
      <c r="E176" s="31"/>
      <c r="F176" s="32"/>
      <c r="G176" s="34">
        <f>IFERROR(SUMIFS(Transactions!$F$7:$F$989,Transactions!$G$7:$G$989,A176,Transactions!$D$7:$D$989,"Expense"),0)</f>
        <v>0</v>
      </c>
      <c r="H176" s="31"/>
      <c r="I176" s="31"/>
      <c r="J176" s="31"/>
      <c r="K176" s="5"/>
      <c r="L176" s="5"/>
      <c r="M176" s="5"/>
      <c r="N176" s="5"/>
      <c r="O176" s="5"/>
      <c r="P176" s="5"/>
      <c r="Q176" s="5"/>
      <c r="R176" s="5"/>
      <c r="S176" s="5"/>
      <c r="T176" s="5"/>
      <c r="U176" s="5"/>
      <c r="V176" s="5"/>
      <c r="W176" s="5"/>
      <c r="X176" s="5"/>
      <c r="Y176" s="5"/>
      <c r="Z176" s="5"/>
    </row>
    <row r="177" ht="19.5" customHeight="1">
      <c r="A177" s="31"/>
      <c r="B177" s="30"/>
      <c r="C177" s="31"/>
      <c r="D177" s="31"/>
      <c r="E177" s="31"/>
      <c r="F177" s="32"/>
      <c r="G177" s="34">
        <f>IFERROR(SUMIFS(Transactions!$F$7:$F$989,Transactions!$G$7:$G$989,A177,Transactions!$D$7:$D$989,"Expense"),0)</f>
        <v>0</v>
      </c>
      <c r="H177" s="31"/>
      <c r="I177" s="31"/>
      <c r="J177" s="31"/>
      <c r="K177" s="5"/>
      <c r="L177" s="5"/>
      <c r="M177" s="5"/>
      <c r="N177" s="5"/>
      <c r="O177" s="5"/>
      <c r="P177" s="5"/>
      <c r="Q177" s="5"/>
      <c r="R177" s="5"/>
      <c r="S177" s="5"/>
      <c r="T177" s="5"/>
      <c r="U177" s="5"/>
      <c r="V177" s="5"/>
      <c r="W177" s="5"/>
      <c r="X177" s="5"/>
      <c r="Y177" s="5"/>
      <c r="Z177" s="5"/>
    </row>
    <row r="178" ht="19.5" customHeight="1">
      <c r="A178" s="31"/>
      <c r="B178" s="30"/>
      <c r="C178" s="31"/>
      <c r="D178" s="31"/>
      <c r="E178" s="31"/>
      <c r="F178" s="32"/>
      <c r="G178" s="34">
        <f>IFERROR(SUMIFS(Transactions!$F$7:$F$989,Transactions!$G$7:$G$989,A178,Transactions!$D$7:$D$989,"Expense"),0)</f>
        <v>0</v>
      </c>
      <c r="H178" s="31"/>
      <c r="I178" s="31"/>
      <c r="J178" s="31"/>
      <c r="K178" s="5"/>
      <c r="L178" s="5"/>
      <c r="M178" s="5"/>
      <c r="N178" s="5"/>
      <c r="O178" s="5"/>
      <c r="P178" s="5"/>
      <c r="Q178" s="5"/>
      <c r="R178" s="5"/>
      <c r="S178" s="5"/>
      <c r="T178" s="5"/>
      <c r="U178" s="5"/>
      <c r="V178" s="5"/>
      <c r="W178" s="5"/>
      <c r="X178" s="5"/>
      <c r="Y178" s="5"/>
      <c r="Z178" s="5"/>
    </row>
    <row r="179" ht="19.5" customHeight="1">
      <c r="A179" s="31"/>
      <c r="B179" s="30"/>
      <c r="C179" s="31"/>
      <c r="D179" s="31"/>
      <c r="E179" s="31"/>
      <c r="F179" s="32"/>
      <c r="G179" s="34">
        <f>IFERROR(SUMIFS(Transactions!$F$7:$F$989,Transactions!$G$7:$G$989,A179,Transactions!$D$7:$D$989,"Expense"),0)</f>
        <v>0</v>
      </c>
      <c r="H179" s="31"/>
      <c r="I179" s="31"/>
      <c r="J179" s="31"/>
      <c r="K179" s="5"/>
      <c r="L179" s="5"/>
      <c r="M179" s="5"/>
      <c r="N179" s="5"/>
      <c r="O179" s="5"/>
      <c r="P179" s="5"/>
      <c r="Q179" s="5"/>
      <c r="R179" s="5"/>
      <c r="S179" s="5"/>
      <c r="T179" s="5"/>
      <c r="U179" s="5"/>
      <c r="V179" s="5"/>
      <c r="W179" s="5"/>
      <c r="X179" s="5"/>
      <c r="Y179" s="5"/>
      <c r="Z179" s="5"/>
    </row>
    <row r="180" ht="19.5" customHeight="1">
      <c r="A180" s="31"/>
      <c r="B180" s="30"/>
      <c r="C180" s="31"/>
      <c r="D180" s="31"/>
      <c r="E180" s="31"/>
      <c r="F180" s="32"/>
      <c r="G180" s="34">
        <f>IFERROR(SUMIFS(Transactions!$F$7:$F$989,Transactions!$G$7:$G$989,A180,Transactions!$D$7:$D$989,"Expense"),0)</f>
        <v>0</v>
      </c>
      <c r="H180" s="31"/>
      <c r="I180" s="31"/>
      <c r="J180" s="31"/>
      <c r="K180" s="5"/>
      <c r="L180" s="5"/>
      <c r="M180" s="5"/>
      <c r="N180" s="5"/>
      <c r="O180" s="5"/>
      <c r="P180" s="5"/>
      <c r="Q180" s="5"/>
      <c r="R180" s="5"/>
      <c r="S180" s="5"/>
      <c r="T180" s="5"/>
      <c r="U180" s="5"/>
      <c r="V180" s="5"/>
      <c r="W180" s="5"/>
      <c r="X180" s="5"/>
      <c r="Y180" s="5"/>
      <c r="Z180" s="5"/>
    </row>
    <row r="181" ht="19.5" customHeight="1">
      <c r="A181" s="31"/>
      <c r="B181" s="30"/>
      <c r="C181" s="31"/>
      <c r="D181" s="31"/>
      <c r="E181" s="31"/>
      <c r="F181" s="32"/>
      <c r="G181" s="34">
        <f>IFERROR(SUMIFS(Transactions!$F$7:$F$989,Transactions!$G$7:$G$989,A181,Transactions!$D$7:$D$989,"Expense"),0)</f>
        <v>0</v>
      </c>
      <c r="H181" s="31"/>
      <c r="I181" s="31"/>
      <c r="J181" s="31"/>
      <c r="K181" s="5"/>
      <c r="L181" s="5"/>
      <c r="M181" s="5"/>
      <c r="N181" s="5"/>
      <c r="O181" s="5"/>
      <c r="P181" s="5"/>
      <c r="Q181" s="5"/>
      <c r="R181" s="5"/>
      <c r="S181" s="5"/>
      <c r="T181" s="5"/>
      <c r="U181" s="5"/>
      <c r="V181" s="5"/>
      <c r="W181" s="5"/>
      <c r="X181" s="5"/>
      <c r="Y181" s="5"/>
      <c r="Z181" s="5"/>
    </row>
    <row r="182" ht="19.5" customHeight="1">
      <c r="A182" s="31"/>
      <c r="B182" s="30"/>
      <c r="C182" s="31"/>
      <c r="D182" s="31"/>
      <c r="E182" s="31"/>
      <c r="F182" s="32"/>
      <c r="G182" s="34">
        <f>IFERROR(SUMIFS(Transactions!$F$7:$F$989,Transactions!$G$7:$G$989,A182,Transactions!$D$7:$D$989,"Expense"),0)</f>
        <v>0</v>
      </c>
      <c r="H182" s="31"/>
      <c r="I182" s="31"/>
      <c r="J182" s="31"/>
      <c r="K182" s="5"/>
      <c r="L182" s="5"/>
      <c r="M182" s="5"/>
      <c r="N182" s="5"/>
      <c r="O182" s="5"/>
      <c r="P182" s="5"/>
      <c r="Q182" s="5"/>
      <c r="R182" s="5"/>
      <c r="S182" s="5"/>
      <c r="T182" s="5"/>
      <c r="U182" s="5"/>
      <c r="V182" s="5"/>
      <c r="W182" s="5"/>
      <c r="X182" s="5"/>
      <c r="Y182" s="5"/>
      <c r="Z182" s="5"/>
    </row>
    <row r="183" ht="19.5" customHeight="1">
      <c r="A183" s="31"/>
      <c r="B183" s="30"/>
      <c r="C183" s="31"/>
      <c r="D183" s="31"/>
      <c r="E183" s="31"/>
      <c r="F183" s="32"/>
      <c r="G183" s="34">
        <f>IFERROR(SUMIFS(Transactions!$F$7:$F$989,Transactions!$G$7:$G$989,A183,Transactions!$D$7:$D$989,"Expense"),0)</f>
        <v>0</v>
      </c>
      <c r="H183" s="31"/>
      <c r="I183" s="31"/>
      <c r="J183" s="31"/>
      <c r="K183" s="5"/>
      <c r="L183" s="5"/>
      <c r="M183" s="5"/>
      <c r="N183" s="5"/>
      <c r="O183" s="5"/>
      <c r="P183" s="5"/>
      <c r="Q183" s="5"/>
      <c r="R183" s="5"/>
      <c r="S183" s="5"/>
      <c r="T183" s="5"/>
      <c r="U183" s="5"/>
      <c r="V183" s="5"/>
      <c r="W183" s="5"/>
      <c r="X183" s="5"/>
      <c r="Y183" s="5"/>
      <c r="Z183" s="5"/>
    </row>
    <row r="184" ht="19.5" customHeight="1">
      <c r="A184" s="31"/>
      <c r="B184" s="30"/>
      <c r="C184" s="31"/>
      <c r="D184" s="31"/>
      <c r="E184" s="31"/>
      <c r="F184" s="32"/>
      <c r="G184" s="34">
        <f>IFERROR(SUMIFS(Transactions!$F$7:$F$989,Transactions!$G$7:$G$989,A184,Transactions!$D$7:$D$989,"Expense"),0)</f>
        <v>0</v>
      </c>
      <c r="H184" s="31"/>
      <c r="I184" s="31"/>
      <c r="J184" s="31"/>
      <c r="K184" s="5"/>
      <c r="L184" s="5"/>
      <c r="M184" s="5"/>
      <c r="N184" s="5"/>
      <c r="O184" s="5"/>
      <c r="P184" s="5"/>
      <c r="Q184" s="5"/>
      <c r="R184" s="5"/>
      <c r="S184" s="5"/>
      <c r="T184" s="5"/>
      <c r="U184" s="5"/>
      <c r="V184" s="5"/>
      <c r="W184" s="5"/>
      <c r="X184" s="5"/>
      <c r="Y184" s="5"/>
      <c r="Z184" s="5"/>
    </row>
    <row r="185" ht="19.5" customHeight="1">
      <c r="A185" s="31"/>
      <c r="B185" s="30"/>
      <c r="C185" s="31"/>
      <c r="D185" s="31"/>
      <c r="E185" s="31"/>
      <c r="F185" s="32"/>
      <c r="G185" s="34">
        <f>IFERROR(SUMIFS(Transactions!$F$7:$F$989,Transactions!$G$7:$G$989,A185,Transactions!$D$7:$D$989,"Expense"),0)</f>
        <v>0</v>
      </c>
      <c r="H185" s="31"/>
      <c r="I185" s="31"/>
      <c r="J185" s="31"/>
      <c r="K185" s="5"/>
      <c r="L185" s="5"/>
      <c r="M185" s="5"/>
      <c r="N185" s="5"/>
      <c r="O185" s="5"/>
      <c r="P185" s="5"/>
      <c r="Q185" s="5"/>
      <c r="R185" s="5"/>
      <c r="S185" s="5"/>
      <c r="T185" s="5"/>
      <c r="U185" s="5"/>
      <c r="V185" s="5"/>
      <c r="W185" s="5"/>
      <c r="X185" s="5"/>
      <c r="Y185" s="5"/>
      <c r="Z185" s="5"/>
    </row>
    <row r="186" ht="19.5" customHeight="1">
      <c r="A186" s="31"/>
      <c r="B186" s="30"/>
      <c r="C186" s="31"/>
      <c r="D186" s="31"/>
      <c r="E186" s="31"/>
      <c r="F186" s="32"/>
      <c r="G186" s="34">
        <f>IFERROR(SUMIFS(Transactions!$F$7:$F$989,Transactions!$G$7:$G$989,A186,Transactions!$D$7:$D$989,"Expense"),0)</f>
        <v>0</v>
      </c>
      <c r="H186" s="31"/>
      <c r="I186" s="31"/>
      <c r="J186" s="31"/>
      <c r="K186" s="5"/>
      <c r="L186" s="5"/>
      <c r="M186" s="5"/>
      <c r="N186" s="5"/>
      <c r="O186" s="5"/>
      <c r="P186" s="5"/>
      <c r="Q186" s="5"/>
      <c r="R186" s="5"/>
      <c r="S186" s="5"/>
      <c r="T186" s="5"/>
      <c r="U186" s="5"/>
      <c r="V186" s="5"/>
      <c r="W186" s="5"/>
      <c r="X186" s="5"/>
      <c r="Y186" s="5"/>
      <c r="Z186" s="5"/>
    </row>
    <row r="187" ht="19.5" customHeight="1">
      <c r="A187" s="31"/>
      <c r="B187" s="30"/>
      <c r="C187" s="31"/>
      <c r="D187" s="31"/>
      <c r="E187" s="31"/>
      <c r="F187" s="32"/>
      <c r="G187" s="34">
        <f>IFERROR(SUMIFS(Transactions!$F$7:$F$989,Transactions!$G$7:$G$989,A187,Transactions!$D$7:$D$989,"Expense"),0)</f>
        <v>0</v>
      </c>
      <c r="H187" s="31"/>
      <c r="I187" s="31"/>
      <c r="J187" s="31"/>
      <c r="K187" s="5"/>
      <c r="L187" s="5"/>
      <c r="M187" s="5"/>
      <c r="N187" s="5"/>
      <c r="O187" s="5"/>
      <c r="P187" s="5"/>
      <c r="Q187" s="5"/>
      <c r="R187" s="5"/>
      <c r="S187" s="5"/>
      <c r="T187" s="5"/>
      <c r="U187" s="5"/>
      <c r="V187" s="5"/>
      <c r="W187" s="5"/>
      <c r="X187" s="5"/>
      <c r="Y187" s="5"/>
      <c r="Z187" s="5"/>
    </row>
    <row r="188" ht="19.5" customHeight="1">
      <c r="A188" s="31"/>
      <c r="B188" s="30"/>
      <c r="C188" s="31"/>
      <c r="D188" s="31"/>
      <c r="E188" s="31"/>
      <c r="F188" s="32"/>
      <c r="G188" s="34">
        <f>IFERROR(SUMIFS(Transactions!$F$7:$F$989,Transactions!$G$7:$G$989,A188,Transactions!$D$7:$D$989,"Expense"),0)</f>
        <v>0</v>
      </c>
      <c r="H188" s="31"/>
      <c r="I188" s="31"/>
      <c r="J188" s="31"/>
      <c r="K188" s="5"/>
      <c r="L188" s="5"/>
      <c r="M188" s="5"/>
      <c r="N188" s="5"/>
      <c r="O188" s="5"/>
      <c r="P188" s="5"/>
      <c r="Q188" s="5"/>
      <c r="R188" s="5"/>
      <c r="S188" s="5"/>
      <c r="T188" s="5"/>
      <c r="U188" s="5"/>
      <c r="V188" s="5"/>
      <c r="W188" s="5"/>
      <c r="X188" s="5"/>
      <c r="Y188" s="5"/>
      <c r="Z188" s="5"/>
    </row>
    <row r="189" ht="19.5" customHeight="1">
      <c r="A189" s="31"/>
      <c r="B189" s="30"/>
      <c r="C189" s="31"/>
      <c r="D189" s="31"/>
      <c r="E189" s="31"/>
      <c r="F189" s="32"/>
      <c r="G189" s="34">
        <f>IFERROR(SUMIFS(Transactions!$F$7:$F$989,Transactions!$G$7:$G$989,A189,Transactions!$D$7:$D$989,"Expense"),0)</f>
        <v>0</v>
      </c>
      <c r="H189" s="31"/>
      <c r="I189" s="31"/>
      <c r="J189" s="31"/>
      <c r="K189" s="5"/>
      <c r="L189" s="5"/>
      <c r="M189" s="5"/>
      <c r="N189" s="5"/>
      <c r="O189" s="5"/>
      <c r="P189" s="5"/>
      <c r="Q189" s="5"/>
      <c r="R189" s="5"/>
      <c r="S189" s="5"/>
      <c r="T189" s="5"/>
      <c r="U189" s="5"/>
      <c r="V189" s="5"/>
      <c r="W189" s="5"/>
      <c r="X189" s="5"/>
      <c r="Y189" s="5"/>
      <c r="Z189" s="5"/>
    </row>
    <row r="190" ht="19.5" customHeight="1">
      <c r="A190" s="31"/>
      <c r="B190" s="30"/>
      <c r="C190" s="31"/>
      <c r="D190" s="31"/>
      <c r="E190" s="31"/>
      <c r="F190" s="32"/>
      <c r="G190" s="34">
        <f>IFERROR(SUMIFS(Transactions!$F$7:$F$989,Transactions!$G$7:$G$989,A190,Transactions!$D$7:$D$989,"Expense"),0)</f>
        <v>0</v>
      </c>
      <c r="H190" s="31"/>
      <c r="I190" s="31"/>
      <c r="J190" s="31"/>
      <c r="K190" s="5"/>
      <c r="L190" s="5"/>
      <c r="M190" s="5"/>
      <c r="N190" s="5"/>
      <c r="O190" s="5"/>
      <c r="P190" s="5"/>
      <c r="Q190" s="5"/>
      <c r="R190" s="5"/>
      <c r="S190" s="5"/>
      <c r="T190" s="5"/>
      <c r="U190" s="5"/>
      <c r="V190" s="5"/>
      <c r="W190" s="5"/>
      <c r="X190" s="5"/>
      <c r="Y190" s="5"/>
      <c r="Z190" s="5"/>
    </row>
    <row r="191" ht="19.5" customHeight="1">
      <c r="A191" s="31"/>
      <c r="B191" s="30"/>
      <c r="C191" s="31"/>
      <c r="D191" s="31"/>
      <c r="E191" s="31"/>
      <c r="F191" s="32"/>
      <c r="G191" s="34">
        <f>IFERROR(SUMIFS(Transactions!$F$7:$F$989,Transactions!$G$7:$G$989,A191,Transactions!$D$7:$D$989,"Expense"),0)</f>
        <v>0</v>
      </c>
      <c r="H191" s="31"/>
      <c r="I191" s="31"/>
      <c r="J191" s="31"/>
      <c r="K191" s="5"/>
      <c r="L191" s="5"/>
      <c r="M191" s="5"/>
      <c r="N191" s="5"/>
      <c r="O191" s="5"/>
      <c r="P191" s="5"/>
      <c r="Q191" s="5"/>
      <c r="R191" s="5"/>
      <c r="S191" s="5"/>
      <c r="T191" s="5"/>
      <c r="U191" s="5"/>
      <c r="V191" s="5"/>
      <c r="W191" s="5"/>
      <c r="X191" s="5"/>
      <c r="Y191" s="5"/>
      <c r="Z191" s="5"/>
    </row>
    <row r="192" ht="19.5" customHeight="1">
      <c r="A192" s="31"/>
      <c r="B192" s="30"/>
      <c r="C192" s="31"/>
      <c r="D192" s="31"/>
      <c r="E192" s="31"/>
      <c r="F192" s="32"/>
      <c r="G192" s="34">
        <f>IFERROR(SUMIFS(Transactions!$F$7:$F$989,Transactions!$G$7:$G$989,A192,Transactions!$D$7:$D$989,"Expense"),0)</f>
        <v>0</v>
      </c>
      <c r="H192" s="31"/>
      <c r="I192" s="31"/>
      <c r="J192" s="31"/>
      <c r="K192" s="5"/>
      <c r="L192" s="5"/>
      <c r="M192" s="5"/>
      <c r="N192" s="5"/>
      <c r="O192" s="5"/>
      <c r="P192" s="5"/>
      <c r="Q192" s="5"/>
      <c r="R192" s="5"/>
      <c r="S192" s="5"/>
      <c r="T192" s="5"/>
      <c r="U192" s="5"/>
      <c r="V192" s="5"/>
      <c r="W192" s="5"/>
      <c r="X192" s="5"/>
      <c r="Y192" s="5"/>
      <c r="Z192" s="5"/>
    </row>
    <row r="193" ht="19.5" customHeight="1">
      <c r="A193" s="31"/>
      <c r="B193" s="30"/>
      <c r="C193" s="31"/>
      <c r="D193" s="31"/>
      <c r="E193" s="31"/>
      <c r="F193" s="32"/>
      <c r="G193" s="34">
        <f>IFERROR(SUMIFS(Transactions!$F$7:$F$989,Transactions!$G$7:$G$989,A193,Transactions!$D$7:$D$989,"Expense"),0)</f>
        <v>0</v>
      </c>
      <c r="H193" s="31"/>
      <c r="I193" s="31"/>
      <c r="J193" s="31"/>
      <c r="K193" s="5"/>
      <c r="L193" s="5"/>
      <c r="M193" s="5"/>
      <c r="N193" s="5"/>
      <c r="O193" s="5"/>
      <c r="P193" s="5"/>
      <c r="Q193" s="5"/>
      <c r="R193" s="5"/>
      <c r="S193" s="5"/>
      <c r="T193" s="5"/>
      <c r="U193" s="5"/>
      <c r="V193" s="5"/>
      <c r="W193" s="5"/>
      <c r="X193" s="5"/>
      <c r="Y193" s="5"/>
      <c r="Z193" s="5"/>
    </row>
    <row r="194" ht="19.5" customHeight="1">
      <c r="A194" s="31"/>
      <c r="B194" s="30"/>
      <c r="C194" s="31"/>
      <c r="D194" s="31"/>
      <c r="E194" s="31"/>
      <c r="F194" s="32"/>
      <c r="G194" s="34">
        <f>IFERROR(SUMIFS(Transactions!$F$7:$F$989,Transactions!$G$7:$G$989,A194,Transactions!$D$7:$D$989,"Expense"),0)</f>
        <v>0</v>
      </c>
      <c r="H194" s="31"/>
      <c r="I194" s="31"/>
      <c r="J194" s="31"/>
      <c r="K194" s="5"/>
      <c r="L194" s="5"/>
      <c r="M194" s="5"/>
      <c r="N194" s="5"/>
      <c r="O194" s="5"/>
      <c r="P194" s="5"/>
      <c r="Q194" s="5"/>
      <c r="R194" s="5"/>
      <c r="S194" s="5"/>
      <c r="T194" s="5"/>
      <c r="U194" s="5"/>
      <c r="V194" s="5"/>
      <c r="W194" s="5"/>
      <c r="X194" s="5"/>
      <c r="Y194" s="5"/>
      <c r="Z194" s="5"/>
    </row>
    <row r="195" ht="19.5" customHeight="1">
      <c r="A195" s="31"/>
      <c r="B195" s="30"/>
      <c r="C195" s="31"/>
      <c r="D195" s="31"/>
      <c r="E195" s="31"/>
      <c r="F195" s="32"/>
      <c r="G195" s="34">
        <f>IFERROR(SUMIFS(Transactions!$F$7:$F$989,Transactions!$G$7:$G$989,A195,Transactions!$D$7:$D$989,"Expense"),0)</f>
        <v>0</v>
      </c>
      <c r="H195" s="31"/>
      <c r="I195" s="31"/>
      <c r="J195" s="31"/>
      <c r="K195" s="5"/>
      <c r="L195" s="5"/>
      <c r="M195" s="5"/>
      <c r="N195" s="5"/>
      <c r="O195" s="5"/>
      <c r="P195" s="5"/>
      <c r="Q195" s="5"/>
      <c r="R195" s="5"/>
      <c r="S195" s="5"/>
      <c r="T195" s="5"/>
      <c r="U195" s="5"/>
      <c r="V195" s="5"/>
      <c r="W195" s="5"/>
      <c r="X195" s="5"/>
      <c r="Y195" s="5"/>
      <c r="Z195" s="5"/>
    </row>
    <row r="196" ht="19.5" customHeight="1">
      <c r="A196" s="31"/>
      <c r="B196" s="30"/>
      <c r="C196" s="31"/>
      <c r="D196" s="31"/>
      <c r="E196" s="31"/>
      <c r="F196" s="32"/>
      <c r="G196" s="34">
        <f>IFERROR(SUMIFS(Transactions!$F$7:$F$989,Transactions!$G$7:$G$989,A196,Transactions!$D$7:$D$989,"Expense"),0)</f>
        <v>0</v>
      </c>
      <c r="H196" s="31"/>
      <c r="I196" s="31"/>
      <c r="J196" s="31"/>
      <c r="K196" s="5"/>
      <c r="L196" s="5"/>
      <c r="M196" s="5"/>
      <c r="N196" s="5"/>
      <c r="O196" s="5"/>
      <c r="P196" s="5"/>
      <c r="Q196" s="5"/>
      <c r="R196" s="5"/>
      <c r="S196" s="5"/>
      <c r="T196" s="5"/>
      <c r="U196" s="5"/>
      <c r="V196" s="5"/>
      <c r="W196" s="5"/>
      <c r="X196" s="5"/>
      <c r="Y196" s="5"/>
      <c r="Z196" s="5"/>
    </row>
    <row r="197" ht="19.5" customHeight="1">
      <c r="A197" s="31"/>
      <c r="B197" s="30"/>
      <c r="C197" s="31"/>
      <c r="D197" s="31"/>
      <c r="E197" s="31"/>
      <c r="F197" s="32"/>
      <c r="G197" s="34">
        <f>IFERROR(SUMIFS(Transactions!$F$7:$F$989,Transactions!$G$7:$G$989,A197,Transactions!$D$7:$D$989,"Expense"),0)</f>
        <v>0</v>
      </c>
      <c r="H197" s="31"/>
      <c r="I197" s="31"/>
      <c r="J197" s="31"/>
      <c r="K197" s="5"/>
      <c r="L197" s="5"/>
      <c r="M197" s="5"/>
      <c r="N197" s="5"/>
      <c r="O197" s="5"/>
      <c r="P197" s="5"/>
      <c r="Q197" s="5"/>
      <c r="R197" s="5"/>
      <c r="S197" s="5"/>
      <c r="T197" s="5"/>
      <c r="U197" s="5"/>
      <c r="V197" s="5"/>
      <c r="W197" s="5"/>
      <c r="X197" s="5"/>
      <c r="Y197" s="5"/>
      <c r="Z197" s="5"/>
    </row>
    <row r="198" ht="19.5" customHeight="1">
      <c r="A198" s="31"/>
      <c r="B198" s="30"/>
      <c r="C198" s="31"/>
      <c r="D198" s="31"/>
      <c r="E198" s="31"/>
      <c r="F198" s="32"/>
      <c r="G198" s="34">
        <f>IFERROR(SUMIFS(Transactions!$F$7:$F$989,Transactions!$G$7:$G$989,A198,Transactions!$D$7:$D$989,"Expense"),0)</f>
        <v>0</v>
      </c>
      <c r="H198" s="31"/>
      <c r="I198" s="31"/>
      <c r="J198" s="31"/>
      <c r="K198" s="5"/>
      <c r="L198" s="5"/>
      <c r="M198" s="5"/>
      <c r="N198" s="5"/>
      <c r="O198" s="5"/>
      <c r="P198" s="5"/>
      <c r="Q198" s="5"/>
      <c r="R198" s="5"/>
      <c r="S198" s="5"/>
      <c r="T198" s="5"/>
      <c r="U198" s="5"/>
      <c r="V198" s="5"/>
      <c r="W198" s="5"/>
      <c r="X198" s="5"/>
      <c r="Y198" s="5"/>
      <c r="Z198" s="5"/>
    </row>
    <row r="199" ht="19.5" customHeight="1">
      <c r="A199" s="31"/>
      <c r="B199" s="30"/>
      <c r="C199" s="31"/>
      <c r="D199" s="31"/>
      <c r="E199" s="31"/>
      <c r="F199" s="32"/>
      <c r="G199" s="34">
        <f>IFERROR(SUMIFS(Transactions!$F$7:$F$989,Transactions!$G$7:$G$989,A199,Transactions!$D$7:$D$989,"Expense"),0)</f>
        <v>0</v>
      </c>
      <c r="H199" s="31"/>
      <c r="I199" s="31"/>
      <c r="J199" s="31"/>
      <c r="K199" s="5"/>
      <c r="L199" s="5"/>
      <c r="M199" s="5"/>
      <c r="N199" s="5"/>
      <c r="O199" s="5"/>
      <c r="P199" s="5"/>
      <c r="Q199" s="5"/>
      <c r="R199" s="5"/>
      <c r="S199" s="5"/>
      <c r="T199" s="5"/>
      <c r="U199" s="5"/>
      <c r="V199" s="5"/>
      <c r="W199" s="5"/>
      <c r="X199" s="5"/>
      <c r="Y199" s="5"/>
      <c r="Z199" s="5"/>
    </row>
    <row r="200" ht="19.5" customHeight="1">
      <c r="A200" s="31"/>
      <c r="B200" s="30"/>
      <c r="C200" s="31"/>
      <c r="D200" s="31"/>
      <c r="E200" s="31"/>
      <c r="F200" s="32"/>
      <c r="G200" s="34">
        <f>IFERROR(SUMIFS(Transactions!$F$7:$F$989,Transactions!$G$7:$G$989,A200,Transactions!$D$7:$D$989,"Expense"),0)</f>
        <v>0</v>
      </c>
      <c r="H200" s="31"/>
      <c r="I200" s="31"/>
      <c r="J200" s="31"/>
      <c r="K200" s="5"/>
      <c r="L200" s="5"/>
      <c r="M200" s="5"/>
      <c r="N200" s="5"/>
      <c r="O200" s="5"/>
      <c r="P200" s="5"/>
      <c r="Q200" s="5"/>
      <c r="R200" s="5"/>
      <c r="S200" s="5"/>
      <c r="T200" s="5"/>
      <c r="U200" s="5"/>
      <c r="V200" s="5"/>
      <c r="W200" s="5"/>
      <c r="X200" s="5"/>
      <c r="Y200" s="5"/>
      <c r="Z200" s="5"/>
    </row>
    <row r="201" ht="19.5" customHeight="1">
      <c r="A201" s="31"/>
      <c r="B201" s="30"/>
      <c r="C201" s="31"/>
      <c r="D201" s="31"/>
      <c r="E201" s="31"/>
      <c r="F201" s="32"/>
      <c r="G201" s="34">
        <f>IFERROR(SUMIFS(Transactions!$F$7:$F$989,Transactions!$G$7:$G$989,A201,Transactions!$D$7:$D$989,"Expense"),0)</f>
        <v>0</v>
      </c>
      <c r="H201" s="31"/>
      <c r="I201" s="31"/>
      <c r="J201" s="31"/>
      <c r="K201" s="5"/>
      <c r="L201" s="5"/>
      <c r="M201" s="5"/>
      <c r="N201" s="5"/>
      <c r="O201" s="5"/>
      <c r="P201" s="5"/>
      <c r="Q201" s="5"/>
      <c r="R201" s="5"/>
      <c r="S201" s="5"/>
      <c r="T201" s="5"/>
      <c r="U201" s="5"/>
      <c r="V201" s="5"/>
      <c r="W201" s="5"/>
      <c r="X201" s="5"/>
      <c r="Y201" s="5"/>
      <c r="Z201" s="5"/>
    </row>
    <row r="202" ht="19.5" customHeight="1">
      <c r="A202" s="31"/>
      <c r="B202" s="30"/>
      <c r="C202" s="31"/>
      <c r="D202" s="31"/>
      <c r="E202" s="31"/>
      <c r="F202" s="32"/>
      <c r="G202" s="34">
        <f>IFERROR(SUMIFS(Transactions!$F$7:$F$989,Transactions!$G$7:$G$989,A202,Transactions!$D$7:$D$989,"Expense"),0)</f>
        <v>0</v>
      </c>
      <c r="H202" s="31"/>
      <c r="I202" s="31"/>
      <c r="J202" s="31"/>
      <c r="K202" s="5"/>
      <c r="L202" s="5"/>
      <c r="M202" s="5"/>
      <c r="N202" s="5"/>
      <c r="O202" s="5"/>
      <c r="P202" s="5"/>
      <c r="Q202" s="5"/>
      <c r="R202" s="5"/>
      <c r="S202" s="5"/>
      <c r="T202" s="5"/>
      <c r="U202" s="5"/>
      <c r="V202" s="5"/>
      <c r="W202" s="5"/>
      <c r="X202" s="5"/>
      <c r="Y202" s="5"/>
      <c r="Z202" s="5"/>
    </row>
    <row r="203" ht="19.5" customHeight="1">
      <c r="A203" s="31"/>
      <c r="B203" s="30"/>
      <c r="C203" s="31"/>
      <c r="D203" s="31"/>
      <c r="E203" s="31"/>
      <c r="F203" s="32"/>
      <c r="G203" s="34">
        <f>IFERROR(SUMIFS(Transactions!$F$7:$F$989,Transactions!$G$7:$G$989,A203,Transactions!$D$7:$D$989,"Expense"),0)</f>
        <v>0</v>
      </c>
      <c r="H203" s="31"/>
      <c r="I203" s="31"/>
      <c r="J203" s="31"/>
      <c r="K203" s="5"/>
      <c r="L203" s="5"/>
      <c r="M203" s="5"/>
      <c r="N203" s="5"/>
      <c r="O203" s="5"/>
      <c r="P203" s="5"/>
      <c r="Q203" s="5"/>
      <c r="R203" s="5"/>
      <c r="S203" s="5"/>
      <c r="T203" s="5"/>
      <c r="U203" s="5"/>
      <c r="V203" s="5"/>
      <c r="W203" s="5"/>
      <c r="X203" s="5"/>
      <c r="Y203" s="5"/>
      <c r="Z203" s="5"/>
    </row>
    <row r="204" ht="19.5" customHeight="1">
      <c r="A204" s="31"/>
      <c r="B204" s="30"/>
      <c r="C204" s="31"/>
      <c r="D204" s="31"/>
      <c r="E204" s="31"/>
      <c r="F204" s="32"/>
      <c r="G204" s="34">
        <f>IFERROR(SUMIFS(Transactions!$F$7:$F$989,Transactions!$G$7:$G$989,A204,Transactions!$D$7:$D$989,"Expense"),0)</f>
        <v>0</v>
      </c>
      <c r="H204" s="31"/>
      <c r="I204" s="31"/>
      <c r="J204" s="31"/>
      <c r="K204" s="5"/>
      <c r="L204" s="5"/>
      <c r="M204" s="5"/>
      <c r="N204" s="5"/>
      <c r="O204" s="5"/>
      <c r="P204" s="5"/>
      <c r="Q204" s="5"/>
      <c r="R204" s="5"/>
      <c r="S204" s="5"/>
      <c r="T204" s="5"/>
      <c r="U204" s="5"/>
      <c r="V204" s="5"/>
      <c r="W204" s="5"/>
      <c r="X204" s="5"/>
      <c r="Y204" s="5"/>
      <c r="Z204" s="5"/>
    </row>
    <row r="205" ht="19.5" customHeight="1">
      <c r="A205" s="31"/>
      <c r="B205" s="30"/>
      <c r="C205" s="31"/>
      <c r="D205" s="31"/>
      <c r="E205" s="31"/>
      <c r="F205" s="32"/>
      <c r="G205" s="34">
        <f>IFERROR(SUMIFS(Transactions!$F$7:$F$989,Transactions!$G$7:$G$989,A205,Transactions!$D$7:$D$989,"Expense"),0)</f>
        <v>0</v>
      </c>
      <c r="H205" s="31"/>
      <c r="I205" s="31"/>
      <c r="J205" s="31"/>
      <c r="K205" s="5"/>
      <c r="L205" s="5"/>
      <c r="M205" s="5"/>
      <c r="N205" s="5"/>
      <c r="O205" s="5"/>
      <c r="P205" s="5"/>
      <c r="Q205" s="5"/>
      <c r="R205" s="5"/>
      <c r="S205" s="5"/>
      <c r="T205" s="5"/>
      <c r="U205" s="5"/>
      <c r="V205" s="5"/>
      <c r="W205" s="5"/>
      <c r="X205" s="5"/>
      <c r="Y205" s="5"/>
      <c r="Z205" s="5"/>
    </row>
    <row r="206" ht="19.5" customHeight="1">
      <c r="A206" s="31"/>
      <c r="B206" s="30"/>
      <c r="C206" s="31"/>
      <c r="D206" s="31"/>
      <c r="E206" s="31"/>
      <c r="F206" s="32"/>
      <c r="G206" s="34">
        <f>IFERROR(SUMIFS(Transactions!$F$7:$F$989,Transactions!$G$7:$G$989,A206,Transactions!$D$7:$D$989,"Expense"),0)</f>
        <v>0</v>
      </c>
      <c r="H206" s="31"/>
      <c r="I206" s="31"/>
      <c r="J206" s="31"/>
      <c r="K206" s="5"/>
      <c r="L206" s="5"/>
      <c r="M206" s="5"/>
      <c r="N206" s="5"/>
      <c r="O206" s="5"/>
      <c r="P206" s="5"/>
      <c r="Q206" s="5"/>
      <c r="R206" s="5"/>
      <c r="S206" s="5"/>
      <c r="T206" s="5"/>
      <c r="U206" s="5"/>
      <c r="V206" s="5"/>
      <c r="W206" s="5"/>
      <c r="X206" s="5"/>
      <c r="Y206" s="5"/>
      <c r="Z206" s="5"/>
    </row>
    <row r="207" ht="19.5" customHeight="1">
      <c r="A207" s="31"/>
      <c r="B207" s="30"/>
      <c r="C207" s="31"/>
      <c r="D207" s="31"/>
      <c r="E207" s="31"/>
      <c r="F207" s="32"/>
      <c r="G207" s="34">
        <f>IFERROR(SUMIFS(Transactions!$F$7:$F$989,Transactions!$G$7:$G$989,A207,Transactions!$D$7:$D$989,"Expense"),0)</f>
        <v>0</v>
      </c>
      <c r="H207" s="31"/>
      <c r="I207" s="31"/>
      <c r="J207" s="31"/>
      <c r="K207" s="5"/>
      <c r="L207" s="5"/>
      <c r="M207" s="5"/>
      <c r="N207" s="5"/>
      <c r="O207" s="5"/>
      <c r="P207" s="5"/>
      <c r="Q207" s="5"/>
      <c r="R207" s="5"/>
      <c r="S207" s="5"/>
      <c r="T207" s="5"/>
      <c r="U207" s="5"/>
      <c r="V207" s="5"/>
      <c r="W207" s="5"/>
      <c r="X207" s="5"/>
      <c r="Y207" s="5"/>
      <c r="Z207" s="5"/>
    </row>
    <row r="208" ht="19.5" customHeight="1">
      <c r="A208" s="31"/>
      <c r="B208" s="30"/>
      <c r="C208" s="31"/>
      <c r="D208" s="31"/>
      <c r="E208" s="31"/>
      <c r="F208" s="32"/>
      <c r="G208" s="34">
        <f>IFERROR(SUMIFS(Transactions!$F$7:$F$989,Transactions!$G$7:$G$989,A208,Transactions!$D$7:$D$989,"Expense"),0)</f>
        <v>0</v>
      </c>
      <c r="H208" s="31"/>
      <c r="I208" s="31"/>
      <c r="J208" s="31"/>
      <c r="K208" s="5"/>
      <c r="L208" s="5"/>
      <c r="M208" s="5"/>
      <c r="N208" s="5"/>
      <c r="O208" s="5"/>
      <c r="P208" s="5"/>
      <c r="Q208" s="5"/>
      <c r="R208" s="5"/>
      <c r="S208" s="5"/>
      <c r="T208" s="5"/>
      <c r="U208" s="5"/>
      <c r="V208" s="5"/>
      <c r="W208" s="5"/>
      <c r="X208" s="5"/>
      <c r="Y208" s="5"/>
      <c r="Z208" s="5"/>
    </row>
    <row r="209" ht="19.5" customHeight="1">
      <c r="A209" s="31"/>
      <c r="B209" s="30"/>
      <c r="C209" s="31"/>
      <c r="D209" s="31"/>
      <c r="E209" s="31"/>
      <c r="F209" s="32"/>
      <c r="G209" s="34">
        <f>IFERROR(SUMIFS(Transactions!$F$7:$F$989,Transactions!$G$7:$G$989,A209,Transactions!$D$7:$D$989,"Expense"),0)</f>
        <v>0</v>
      </c>
      <c r="H209" s="31"/>
      <c r="I209" s="31"/>
      <c r="J209" s="31"/>
      <c r="K209" s="5"/>
      <c r="L209" s="5"/>
      <c r="M209" s="5"/>
      <c r="N209" s="5"/>
      <c r="O209" s="5"/>
      <c r="P209" s="5"/>
      <c r="Q209" s="5"/>
      <c r="R209" s="5"/>
      <c r="S209" s="5"/>
      <c r="T209" s="5"/>
      <c r="U209" s="5"/>
      <c r="V209" s="5"/>
      <c r="W209" s="5"/>
      <c r="X209" s="5"/>
      <c r="Y209" s="5"/>
      <c r="Z209" s="5"/>
    </row>
    <row r="210" ht="19.5" customHeight="1">
      <c r="A210" s="31"/>
      <c r="B210" s="30"/>
      <c r="C210" s="31"/>
      <c r="D210" s="31"/>
      <c r="E210" s="31"/>
      <c r="F210" s="32"/>
      <c r="G210" s="34">
        <f>IFERROR(SUMIFS(Transactions!$F$7:$F$989,Transactions!$G$7:$G$989,A210,Transactions!$D$7:$D$989,"Expense"),0)</f>
        <v>0</v>
      </c>
      <c r="H210" s="31"/>
      <c r="I210" s="31"/>
      <c r="J210" s="31"/>
      <c r="K210" s="5"/>
      <c r="L210" s="5"/>
      <c r="M210" s="5"/>
      <c r="N210" s="5"/>
      <c r="O210" s="5"/>
      <c r="P210" s="5"/>
      <c r="Q210" s="5"/>
      <c r="R210" s="5"/>
      <c r="S210" s="5"/>
      <c r="T210" s="5"/>
      <c r="U210" s="5"/>
      <c r="V210" s="5"/>
      <c r="W210" s="5"/>
      <c r="X210" s="5"/>
      <c r="Y210" s="5"/>
      <c r="Z210" s="5"/>
    </row>
    <row r="211" ht="19.5" customHeight="1">
      <c r="A211" s="31"/>
      <c r="B211" s="30"/>
      <c r="C211" s="31"/>
      <c r="D211" s="31"/>
      <c r="E211" s="31"/>
      <c r="F211" s="32"/>
      <c r="G211" s="34">
        <f>IFERROR(SUMIFS(Transactions!$F$7:$F$989,Transactions!$G$7:$G$989,A211,Transactions!$D$7:$D$989,"Expense"),0)</f>
        <v>0</v>
      </c>
      <c r="H211" s="31"/>
      <c r="I211" s="31"/>
      <c r="J211" s="31"/>
      <c r="K211" s="5"/>
      <c r="L211" s="5"/>
      <c r="M211" s="5"/>
      <c r="N211" s="5"/>
      <c r="O211" s="5"/>
      <c r="P211" s="5"/>
      <c r="Q211" s="5"/>
      <c r="R211" s="5"/>
      <c r="S211" s="5"/>
      <c r="T211" s="5"/>
      <c r="U211" s="5"/>
      <c r="V211" s="5"/>
      <c r="W211" s="5"/>
      <c r="X211" s="5"/>
      <c r="Y211" s="5"/>
      <c r="Z211" s="5"/>
    </row>
    <row r="212" ht="19.5" customHeight="1">
      <c r="A212" s="31"/>
      <c r="B212" s="30"/>
      <c r="C212" s="31"/>
      <c r="D212" s="31"/>
      <c r="E212" s="31"/>
      <c r="F212" s="32"/>
      <c r="G212" s="34">
        <f>IFERROR(SUMIFS(Transactions!$F$7:$F$989,Transactions!$G$7:$G$989,A212,Transactions!$D$7:$D$989,"Expense"),0)</f>
        <v>0</v>
      </c>
      <c r="H212" s="31"/>
      <c r="I212" s="31"/>
      <c r="J212" s="31"/>
      <c r="K212" s="5"/>
      <c r="L212" s="5"/>
      <c r="M212" s="5"/>
      <c r="N212" s="5"/>
      <c r="O212" s="5"/>
      <c r="P212" s="5"/>
      <c r="Q212" s="5"/>
      <c r="R212" s="5"/>
      <c r="S212" s="5"/>
      <c r="T212" s="5"/>
      <c r="U212" s="5"/>
      <c r="V212" s="5"/>
      <c r="W212" s="5"/>
      <c r="X212" s="5"/>
      <c r="Y212" s="5"/>
      <c r="Z212" s="5"/>
    </row>
    <row r="213" ht="19.5" customHeight="1">
      <c r="A213" s="31"/>
      <c r="B213" s="30"/>
      <c r="C213" s="31"/>
      <c r="D213" s="31"/>
      <c r="E213" s="31"/>
      <c r="F213" s="32"/>
      <c r="G213" s="34">
        <f>IFERROR(SUMIFS(Transactions!$F$7:$F$989,Transactions!$G$7:$G$989,A213,Transactions!$D$7:$D$989,"Expense"),0)</f>
        <v>0</v>
      </c>
      <c r="H213" s="31"/>
      <c r="I213" s="31"/>
      <c r="J213" s="31"/>
      <c r="K213" s="5"/>
      <c r="L213" s="5"/>
      <c r="M213" s="5"/>
      <c r="N213" s="5"/>
      <c r="O213" s="5"/>
      <c r="P213" s="5"/>
      <c r="Q213" s="5"/>
      <c r="R213" s="5"/>
      <c r="S213" s="5"/>
      <c r="T213" s="5"/>
      <c r="U213" s="5"/>
      <c r="V213" s="5"/>
      <c r="W213" s="5"/>
      <c r="X213" s="5"/>
      <c r="Y213" s="5"/>
      <c r="Z213" s="5"/>
    </row>
    <row r="214" ht="19.5" customHeight="1">
      <c r="A214" s="31"/>
      <c r="B214" s="30"/>
      <c r="C214" s="31"/>
      <c r="D214" s="31"/>
      <c r="E214" s="31"/>
      <c r="F214" s="32"/>
      <c r="G214" s="34">
        <f>IFERROR(SUMIFS(Transactions!$F$7:$F$989,Transactions!$G$7:$G$989,A214,Transactions!$D$7:$D$989,"Expense"),0)</f>
        <v>0</v>
      </c>
      <c r="H214" s="31"/>
      <c r="I214" s="31"/>
      <c r="J214" s="31"/>
      <c r="K214" s="5"/>
      <c r="L214" s="5"/>
      <c r="M214" s="5"/>
      <c r="N214" s="5"/>
      <c r="O214" s="5"/>
      <c r="P214" s="5"/>
      <c r="Q214" s="5"/>
      <c r="R214" s="5"/>
      <c r="S214" s="5"/>
      <c r="T214" s="5"/>
      <c r="U214" s="5"/>
      <c r="V214" s="5"/>
      <c r="W214" s="5"/>
      <c r="X214" s="5"/>
      <c r="Y214" s="5"/>
      <c r="Z214" s="5"/>
    </row>
    <row r="215" ht="19.5" customHeight="1">
      <c r="A215" s="31"/>
      <c r="B215" s="30"/>
      <c r="C215" s="31"/>
      <c r="D215" s="31"/>
      <c r="E215" s="31"/>
      <c r="F215" s="32"/>
      <c r="G215" s="34">
        <f>IFERROR(SUMIFS(Transactions!$F$7:$F$989,Transactions!$G$7:$G$989,A215,Transactions!$D$7:$D$989,"Expense"),0)</f>
        <v>0</v>
      </c>
      <c r="H215" s="31"/>
      <c r="I215" s="31"/>
      <c r="J215" s="31"/>
      <c r="K215" s="5"/>
      <c r="L215" s="5"/>
      <c r="M215" s="5"/>
      <c r="N215" s="5"/>
      <c r="O215" s="5"/>
      <c r="P215" s="5"/>
      <c r="Q215" s="5"/>
      <c r="R215" s="5"/>
      <c r="S215" s="5"/>
      <c r="T215" s="5"/>
      <c r="U215" s="5"/>
      <c r="V215" s="5"/>
      <c r="W215" s="5"/>
      <c r="X215" s="5"/>
      <c r="Y215" s="5"/>
      <c r="Z215" s="5"/>
    </row>
    <row r="216" ht="19.5" customHeight="1">
      <c r="A216" s="31"/>
      <c r="B216" s="30"/>
      <c r="C216" s="31"/>
      <c r="D216" s="31"/>
      <c r="E216" s="31"/>
      <c r="F216" s="32"/>
      <c r="G216" s="34">
        <f>IFERROR(SUMIFS(Transactions!$F$7:$F$989,Transactions!$G$7:$G$989,A216,Transactions!$D$7:$D$989,"Expense"),0)</f>
        <v>0</v>
      </c>
      <c r="H216" s="31"/>
      <c r="I216" s="31"/>
      <c r="J216" s="31"/>
      <c r="K216" s="5"/>
      <c r="L216" s="5"/>
      <c r="M216" s="5"/>
      <c r="N216" s="5"/>
      <c r="O216" s="5"/>
      <c r="P216" s="5"/>
      <c r="Q216" s="5"/>
      <c r="R216" s="5"/>
      <c r="S216" s="5"/>
      <c r="T216" s="5"/>
      <c r="U216" s="5"/>
      <c r="V216" s="5"/>
      <c r="W216" s="5"/>
      <c r="X216" s="5"/>
      <c r="Y216" s="5"/>
      <c r="Z216" s="5"/>
    </row>
    <row r="217" ht="19.5" customHeight="1">
      <c r="A217" s="31"/>
      <c r="B217" s="30"/>
      <c r="C217" s="31"/>
      <c r="D217" s="31"/>
      <c r="E217" s="31"/>
      <c r="F217" s="32"/>
      <c r="G217" s="34">
        <f>IFERROR(SUMIFS(Transactions!$F$7:$F$989,Transactions!$G$7:$G$989,A217,Transactions!$D$7:$D$989,"Expense"),0)</f>
        <v>0</v>
      </c>
      <c r="H217" s="31"/>
      <c r="I217" s="31"/>
      <c r="J217" s="31"/>
      <c r="K217" s="5"/>
      <c r="L217" s="5"/>
      <c r="M217" s="5"/>
      <c r="N217" s="5"/>
      <c r="O217" s="5"/>
      <c r="P217" s="5"/>
      <c r="Q217" s="5"/>
      <c r="R217" s="5"/>
      <c r="S217" s="5"/>
      <c r="T217" s="5"/>
      <c r="U217" s="5"/>
      <c r="V217" s="5"/>
      <c r="W217" s="5"/>
      <c r="X217" s="5"/>
      <c r="Y217" s="5"/>
      <c r="Z217" s="5"/>
    </row>
    <row r="218" ht="19.5" customHeight="1">
      <c r="A218" s="31"/>
      <c r="B218" s="30"/>
      <c r="C218" s="31"/>
      <c r="D218" s="31"/>
      <c r="E218" s="31"/>
      <c r="F218" s="32"/>
      <c r="G218" s="34">
        <f>IFERROR(SUMIFS(Transactions!$F$7:$F$989,Transactions!$G$7:$G$989,A218,Transactions!$D$7:$D$989,"Expense"),0)</f>
        <v>0</v>
      </c>
      <c r="H218" s="31"/>
      <c r="I218" s="31"/>
      <c r="J218" s="31"/>
      <c r="K218" s="5"/>
      <c r="L218" s="5"/>
      <c r="M218" s="5"/>
      <c r="N218" s="5"/>
      <c r="O218" s="5"/>
      <c r="P218" s="5"/>
      <c r="Q218" s="5"/>
      <c r="R218" s="5"/>
      <c r="S218" s="5"/>
      <c r="T218" s="5"/>
      <c r="U218" s="5"/>
      <c r="V218" s="5"/>
      <c r="W218" s="5"/>
      <c r="X218" s="5"/>
      <c r="Y218" s="5"/>
      <c r="Z218" s="5"/>
    </row>
    <row r="219" ht="19.5" customHeight="1">
      <c r="A219" s="31"/>
      <c r="B219" s="30"/>
      <c r="C219" s="31"/>
      <c r="D219" s="31"/>
      <c r="E219" s="31"/>
      <c r="F219" s="32"/>
      <c r="G219" s="34">
        <f>IFERROR(SUMIFS(Transactions!$F$7:$F$989,Transactions!$G$7:$G$989,A219,Transactions!$D$7:$D$989,"Expense"),0)</f>
        <v>0</v>
      </c>
      <c r="H219" s="31"/>
      <c r="I219" s="31"/>
      <c r="J219" s="31"/>
      <c r="K219" s="5"/>
      <c r="L219" s="5"/>
      <c r="M219" s="5"/>
      <c r="N219" s="5"/>
      <c r="O219" s="5"/>
      <c r="P219" s="5"/>
      <c r="Q219" s="5"/>
      <c r="R219" s="5"/>
      <c r="S219" s="5"/>
      <c r="T219" s="5"/>
      <c r="U219" s="5"/>
      <c r="V219" s="5"/>
      <c r="W219" s="5"/>
      <c r="X219" s="5"/>
      <c r="Y219" s="5"/>
      <c r="Z219" s="5"/>
    </row>
    <row r="220" ht="19.5" customHeight="1">
      <c r="A220" s="31"/>
      <c r="B220" s="30"/>
      <c r="C220" s="31"/>
      <c r="D220" s="31"/>
      <c r="E220" s="31"/>
      <c r="F220" s="32"/>
      <c r="G220" s="34">
        <f>IFERROR(SUMIFS(Transactions!$F$7:$F$989,Transactions!$G$7:$G$989,A220,Transactions!$D$7:$D$989,"Expense"),0)</f>
        <v>0</v>
      </c>
      <c r="H220" s="31"/>
      <c r="I220" s="31"/>
      <c r="J220" s="31"/>
      <c r="K220" s="5"/>
      <c r="L220" s="5"/>
      <c r="M220" s="5"/>
      <c r="N220" s="5"/>
      <c r="O220" s="5"/>
      <c r="P220" s="5"/>
      <c r="Q220" s="5"/>
      <c r="R220" s="5"/>
      <c r="S220" s="5"/>
      <c r="T220" s="5"/>
      <c r="U220" s="5"/>
      <c r="V220" s="5"/>
      <c r="W220" s="5"/>
      <c r="X220" s="5"/>
      <c r="Y220" s="5"/>
      <c r="Z220" s="5"/>
    </row>
    <row r="221" ht="19.5" customHeight="1">
      <c r="A221" s="31"/>
      <c r="B221" s="30"/>
      <c r="C221" s="31"/>
      <c r="D221" s="31"/>
      <c r="E221" s="31"/>
      <c r="F221" s="32"/>
      <c r="G221" s="34">
        <f>IFERROR(SUMIFS(Transactions!$F$7:$F$989,Transactions!$G$7:$G$989,A221,Transactions!$D$7:$D$989,"Expense"),0)</f>
        <v>0</v>
      </c>
      <c r="H221" s="31"/>
      <c r="I221" s="31"/>
      <c r="J221" s="31"/>
      <c r="K221" s="5"/>
      <c r="L221" s="5"/>
      <c r="M221" s="5"/>
      <c r="N221" s="5"/>
      <c r="O221" s="5"/>
      <c r="P221" s="5"/>
      <c r="Q221" s="5"/>
      <c r="R221" s="5"/>
      <c r="S221" s="5"/>
      <c r="T221" s="5"/>
      <c r="U221" s="5"/>
      <c r="V221" s="5"/>
      <c r="W221" s="5"/>
      <c r="X221" s="5"/>
      <c r="Y221" s="5"/>
      <c r="Z221" s="5"/>
    </row>
    <row r="222" ht="19.5" customHeight="1">
      <c r="A222" s="31"/>
      <c r="B222" s="30"/>
      <c r="C222" s="31"/>
      <c r="D222" s="31"/>
      <c r="E222" s="31"/>
      <c r="F222" s="32"/>
      <c r="G222" s="34">
        <f>IFERROR(SUMIFS(Transactions!$F$7:$F$989,Transactions!$G$7:$G$989,A222,Transactions!$D$7:$D$989,"Expense"),0)</f>
        <v>0</v>
      </c>
      <c r="H222" s="31"/>
      <c r="I222" s="31"/>
      <c r="J222" s="31"/>
      <c r="K222" s="5"/>
      <c r="L222" s="5"/>
      <c r="M222" s="5"/>
      <c r="N222" s="5"/>
      <c r="O222" s="5"/>
      <c r="P222" s="5"/>
      <c r="Q222" s="5"/>
      <c r="R222" s="5"/>
      <c r="S222" s="5"/>
      <c r="T222" s="5"/>
      <c r="U222" s="5"/>
      <c r="V222" s="5"/>
      <c r="W222" s="5"/>
      <c r="X222" s="5"/>
      <c r="Y222" s="5"/>
      <c r="Z222" s="5"/>
    </row>
    <row r="223" ht="19.5" customHeight="1">
      <c r="A223" s="31"/>
      <c r="B223" s="30"/>
      <c r="C223" s="31"/>
      <c r="D223" s="31"/>
      <c r="E223" s="31"/>
      <c r="F223" s="32"/>
      <c r="G223" s="34">
        <f>IFERROR(SUMIFS(Transactions!$F$7:$F$989,Transactions!$G$7:$G$989,A223,Transactions!$D$7:$D$989,"Expense"),0)</f>
        <v>0</v>
      </c>
      <c r="H223" s="31"/>
      <c r="I223" s="31"/>
      <c r="J223" s="31"/>
      <c r="K223" s="5"/>
      <c r="L223" s="5"/>
      <c r="M223" s="5"/>
      <c r="N223" s="5"/>
      <c r="O223" s="5"/>
      <c r="P223" s="5"/>
      <c r="Q223" s="5"/>
      <c r="R223" s="5"/>
      <c r="S223" s="5"/>
      <c r="T223" s="5"/>
      <c r="U223" s="5"/>
      <c r="V223" s="5"/>
      <c r="W223" s="5"/>
      <c r="X223" s="5"/>
      <c r="Y223" s="5"/>
      <c r="Z223" s="5"/>
    </row>
    <row r="224" ht="19.5" customHeight="1">
      <c r="A224" s="31"/>
      <c r="B224" s="30"/>
      <c r="C224" s="31"/>
      <c r="D224" s="31"/>
      <c r="E224" s="31"/>
      <c r="F224" s="32"/>
      <c r="G224" s="34">
        <f>IFERROR(SUMIFS(Transactions!$F$7:$F$989,Transactions!$G$7:$G$989,A224,Transactions!$D$7:$D$989,"Expense"),0)</f>
        <v>0</v>
      </c>
      <c r="H224" s="31"/>
      <c r="I224" s="31"/>
      <c r="J224" s="31"/>
      <c r="K224" s="5"/>
      <c r="L224" s="5"/>
      <c r="M224" s="5"/>
      <c r="N224" s="5"/>
      <c r="O224" s="5"/>
      <c r="P224" s="5"/>
      <c r="Q224" s="5"/>
      <c r="R224" s="5"/>
      <c r="S224" s="5"/>
      <c r="T224" s="5"/>
      <c r="U224" s="5"/>
      <c r="V224" s="5"/>
      <c r="W224" s="5"/>
      <c r="X224" s="5"/>
      <c r="Y224" s="5"/>
      <c r="Z224" s="5"/>
    </row>
    <row r="225" ht="19.5" customHeight="1">
      <c r="A225" s="31"/>
      <c r="B225" s="30"/>
      <c r="C225" s="31"/>
      <c r="D225" s="31"/>
      <c r="E225" s="31"/>
      <c r="F225" s="32"/>
      <c r="G225" s="34">
        <f>IFERROR(SUMIFS(Transactions!$F$7:$F$989,Transactions!$G$7:$G$989,A225,Transactions!$D$7:$D$989,"Expense"),0)</f>
        <v>0</v>
      </c>
      <c r="H225" s="31"/>
      <c r="I225" s="31"/>
      <c r="J225" s="31"/>
      <c r="K225" s="5"/>
      <c r="L225" s="5"/>
      <c r="M225" s="5"/>
      <c r="N225" s="5"/>
      <c r="O225" s="5"/>
      <c r="P225" s="5"/>
      <c r="Q225" s="5"/>
      <c r="R225" s="5"/>
      <c r="S225" s="5"/>
      <c r="T225" s="5"/>
      <c r="U225" s="5"/>
      <c r="V225" s="5"/>
      <c r="W225" s="5"/>
      <c r="X225" s="5"/>
      <c r="Y225" s="5"/>
      <c r="Z225" s="5"/>
    </row>
    <row r="226" ht="19.5" customHeight="1">
      <c r="A226" s="31"/>
      <c r="B226" s="30"/>
      <c r="C226" s="31"/>
      <c r="D226" s="31"/>
      <c r="E226" s="31"/>
      <c r="F226" s="32"/>
      <c r="G226" s="34">
        <f>IFERROR(SUMIFS(Transactions!$F$7:$F$989,Transactions!$G$7:$G$989,A226,Transactions!$D$7:$D$989,"Expense"),0)</f>
        <v>0</v>
      </c>
      <c r="H226" s="31"/>
      <c r="I226" s="31"/>
      <c r="J226" s="31"/>
      <c r="K226" s="5"/>
      <c r="L226" s="5"/>
      <c r="M226" s="5"/>
      <c r="N226" s="5"/>
      <c r="O226" s="5"/>
      <c r="P226" s="5"/>
      <c r="Q226" s="5"/>
      <c r="R226" s="5"/>
      <c r="S226" s="5"/>
      <c r="T226" s="5"/>
      <c r="U226" s="5"/>
      <c r="V226" s="5"/>
      <c r="W226" s="5"/>
      <c r="X226" s="5"/>
      <c r="Y226" s="5"/>
      <c r="Z226" s="5"/>
    </row>
    <row r="227" ht="19.5" customHeight="1">
      <c r="A227" s="31"/>
      <c r="B227" s="30"/>
      <c r="C227" s="31"/>
      <c r="D227" s="31"/>
      <c r="E227" s="31"/>
      <c r="F227" s="32"/>
      <c r="G227" s="34">
        <f>IFERROR(SUMIFS(Transactions!$F$7:$F$989,Transactions!$G$7:$G$989,A227,Transactions!$D$7:$D$989,"Expense"),0)</f>
        <v>0</v>
      </c>
      <c r="H227" s="31"/>
      <c r="I227" s="31"/>
      <c r="J227" s="31"/>
      <c r="K227" s="5"/>
      <c r="L227" s="5"/>
      <c r="M227" s="5"/>
      <c r="N227" s="5"/>
      <c r="O227" s="5"/>
      <c r="P227" s="5"/>
      <c r="Q227" s="5"/>
      <c r="R227" s="5"/>
      <c r="S227" s="5"/>
      <c r="T227" s="5"/>
      <c r="U227" s="5"/>
      <c r="V227" s="5"/>
      <c r="W227" s="5"/>
      <c r="X227" s="5"/>
      <c r="Y227" s="5"/>
      <c r="Z227" s="5"/>
    </row>
    <row r="228" ht="19.5" customHeight="1">
      <c r="A228" s="31"/>
      <c r="B228" s="30"/>
      <c r="C228" s="31"/>
      <c r="D228" s="31"/>
      <c r="E228" s="31"/>
      <c r="F228" s="32"/>
      <c r="G228" s="34">
        <f>IFERROR(SUMIFS(Transactions!$F$7:$F$989,Transactions!$G$7:$G$989,A228,Transactions!$D$7:$D$989,"Expense"),0)</f>
        <v>0</v>
      </c>
      <c r="H228" s="31"/>
      <c r="I228" s="31"/>
      <c r="J228" s="31"/>
      <c r="K228" s="5"/>
      <c r="L228" s="5"/>
      <c r="M228" s="5"/>
      <c r="N228" s="5"/>
      <c r="O228" s="5"/>
      <c r="P228" s="5"/>
      <c r="Q228" s="5"/>
      <c r="R228" s="5"/>
      <c r="S228" s="5"/>
      <c r="T228" s="5"/>
      <c r="U228" s="5"/>
      <c r="V228" s="5"/>
      <c r="W228" s="5"/>
      <c r="X228" s="5"/>
      <c r="Y228" s="5"/>
      <c r="Z228" s="5"/>
    </row>
    <row r="229" ht="19.5" customHeight="1">
      <c r="A229" s="31"/>
      <c r="B229" s="30"/>
      <c r="C229" s="31"/>
      <c r="D229" s="31"/>
      <c r="E229" s="31"/>
      <c r="F229" s="32"/>
      <c r="G229" s="34">
        <f>IFERROR(SUMIFS(Transactions!$F$7:$F$989,Transactions!$G$7:$G$989,A229,Transactions!$D$7:$D$989,"Expense"),0)</f>
        <v>0</v>
      </c>
      <c r="H229" s="31"/>
      <c r="I229" s="31"/>
      <c r="J229" s="31"/>
      <c r="K229" s="5"/>
      <c r="L229" s="5"/>
      <c r="M229" s="5"/>
      <c r="N229" s="5"/>
      <c r="O229" s="5"/>
      <c r="P229" s="5"/>
      <c r="Q229" s="5"/>
      <c r="R229" s="5"/>
      <c r="S229" s="5"/>
      <c r="T229" s="5"/>
      <c r="U229" s="5"/>
      <c r="V229" s="5"/>
      <c r="W229" s="5"/>
      <c r="X229" s="5"/>
      <c r="Y229" s="5"/>
      <c r="Z229" s="5"/>
    </row>
    <row r="230" ht="19.5" customHeight="1">
      <c r="A230" s="31"/>
      <c r="B230" s="30"/>
      <c r="C230" s="31"/>
      <c r="D230" s="31"/>
      <c r="E230" s="31"/>
      <c r="F230" s="32"/>
      <c r="G230" s="34">
        <f>IFERROR(SUMIFS(Transactions!$F$7:$F$989,Transactions!$G$7:$G$989,A230,Transactions!$D$7:$D$989,"Expense"),0)</f>
        <v>0</v>
      </c>
      <c r="H230" s="31"/>
      <c r="I230" s="31"/>
      <c r="J230" s="31"/>
      <c r="K230" s="5"/>
      <c r="L230" s="5"/>
      <c r="M230" s="5"/>
      <c r="N230" s="5"/>
      <c r="O230" s="5"/>
      <c r="P230" s="5"/>
      <c r="Q230" s="5"/>
      <c r="R230" s="5"/>
      <c r="S230" s="5"/>
      <c r="T230" s="5"/>
      <c r="U230" s="5"/>
      <c r="V230" s="5"/>
      <c r="W230" s="5"/>
      <c r="X230" s="5"/>
      <c r="Y230" s="5"/>
      <c r="Z230" s="5"/>
    </row>
    <row r="231" ht="19.5" customHeight="1">
      <c r="A231" s="31"/>
      <c r="B231" s="30"/>
      <c r="C231" s="31"/>
      <c r="D231" s="31"/>
      <c r="E231" s="31"/>
      <c r="F231" s="32"/>
      <c r="G231" s="34">
        <f>IFERROR(SUMIFS(Transactions!$F$7:$F$989,Transactions!$G$7:$G$989,A231,Transactions!$D$7:$D$989,"Expense"),0)</f>
        <v>0</v>
      </c>
      <c r="H231" s="31"/>
      <c r="I231" s="31"/>
      <c r="J231" s="31"/>
      <c r="K231" s="5"/>
      <c r="L231" s="5"/>
      <c r="M231" s="5"/>
      <c r="N231" s="5"/>
      <c r="O231" s="5"/>
      <c r="P231" s="5"/>
      <c r="Q231" s="5"/>
      <c r="R231" s="5"/>
      <c r="S231" s="5"/>
      <c r="T231" s="5"/>
      <c r="U231" s="5"/>
      <c r="V231" s="5"/>
      <c r="W231" s="5"/>
      <c r="X231" s="5"/>
      <c r="Y231" s="5"/>
      <c r="Z231" s="5"/>
    </row>
    <row r="232" ht="19.5" customHeight="1">
      <c r="A232" s="31"/>
      <c r="B232" s="30"/>
      <c r="C232" s="31"/>
      <c r="D232" s="31"/>
      <c r="E232" s="31"/>
      <c r="F232" s="32"/>
      <c r="G232" s="34">
        <f>IFERROR(SUMIFS(Transactions!$F$7:$F$989,Transactions!$G$7:$G$989,A232,Transactions!$D$7:$D$989,"Expense"),0)</f>
        <v>0</v>
      </c>
      <c r="H232" s="31"/>
      <c r="I232" s="31"/>
      <c r="J232" s="31"/>
      <c r="K232" s="5"/>
      <c r="L232" s="5"/>
      <c r="M232" s="5"/>
      <c r="N232" s="5"/>
      <c r="O232" s="5"/>
      <c r="P232" s="5"/>
      <c r="Q232" s="5"/>
      <c r="R232" s="5"/>
      <c r="S232" s="5"/>
      <c r="T232" s="5"/>
      <c r="U232" s="5"/>
      <c r="V232" s="5"/>
      <c r="W232" s="5"/>
      <c r="X232" s="5"/>
      <c r="Y232" s="5"/>
      <c r="Z232" s="5"/>
    </row>
    <row r="233" ht="19.5" customHeight="1">
      <c r="A233" s="31"/>
      <c r="B233" s="30"/>
      <c r="C233" s="31"/>
      <c r="D233" s="31"/>
      <c r="E233" s="31"/>
      <c r="F233" s="32"/>
      <c r="G233" s="34">
        <f>IFERROR(SUMIFS(Transactions!$F$7:$F$989,Transactions!$G$7:$G$989,A233,Transactions!$D$7:$D$989,"Expense"),0)</f>
        <v>0</v>
      </c>
      <c r="H233" s="31"/>
      <c r="I233" s="31"/>
      <c r="J233" s="31"/>
      <c r="K233" s="5"/>
      <c r="L233" s="5"/>
      <c r="M233" s="5"/>
      <c r="N233" s="5"/>
      <c r="O233" s="5"/>
      <c r="P233" s="5"/>
      <c r="Q233" s="5"/>
      <c r="R233" s="5"/>
      <c r="S233" s="5"/>
      <c r="T233" s="5"/>
      <c r="U233" s="5"/>
      <c r="V233" s="5"/>
      <c r="W233" s="5"/>
      <c r="X233" s="5"/>
      <c r="Y233" s="5"/>
      <c r="Z233" s="5"/>
    </row>
    <row r="234" ht="19.5" customHeight="1">
      <c r="A234" s="31"/>
      <c r="B234" s="30"/>
      <c r="C234" s="31"/>
      <c r="D234" s="31"/>
      <c r="E234" s="31"/>
      <c r="F234" s="32"/>
      <c r="G234" s="34">
        <f>IFERROR(SUMIFS(Transactions!$F$7:$F$989,Transactions!$G$7:$G$989,A234,Transactions!$D$7:$D$989,"Expense"),0)</f>
        <v>0</v>
      </c>
      <c r="H234" s="31"/>
      <c r="I234" s="31"/>
      <c r="J234" s="31"/>
      <c r="K234" s="5"/>
      <c r="L234" s="5"/>
      <c r="M234" s="5"/>
      <c r="N234" s="5"/>
      <c r="O234" s="5"/>
      <c r="P234" s="5"/>
      <c r="Q234" s="5"/>
      <c r="R234" s="5"/>
      <c r="S234" s="5"/>
      <c r="T234" s="5"/>
      <c r="U234" s="5"/>
      <c r="V234" s="5"/>
      <c r="W234" s="5"/>
      <c r="X234" s="5"/>
      <c r="Y234" s="5"/>
      <c r="Z234" s="5"/>
    </row>
    <row r="235" ht="19.5" customHeight="1">
      <c r="A235" s="31"/>
      <c r="B235" s="30"/>
      <c r="C235" s="31"/>
      <c r="D235" s="31"/>
      <c r="E235" s="31"/>
      <c r="F235" s="32"/>
      <c r="G235" s="34">
        <f>IFERROR(SUMIFS(Transactions!$F$7:$F$989,Transactions!$G$7:$G$989,A235,Transactions!$D$7:$D$989,"Expense"),0)</f>
        <v>0</v>
      </c>
      <c r="H235" s="31"/>
      <c r="I235" s="31"/>
      <c r="J235" s="31"/>
      <c r="K235" s="5"/>
      <c r="L235" s="5"/>
      <c r="M235" s="5"/>
      <c r="N235" s="5"/>
      <c r="O235" s="5"/>
      <c r="P235" s="5"/>
      <c r="Q235" s="5"/>
      <c r="R235" s="5"/>
      <c r="S235" s="5"/>
      <c r="T235" s="5"/>
      <c r="U235" s="5"/>
      <c r="V235" s="5"/>
      <c r="W235" s="5"/>
      <c r="X235" s="5"/>
      <c r="Y235" s="5"/>
      <c r="Z235" s="5"/>
    </row>
    <row r="236" ht="19.5" customHeight="1">
      <c r="A236" s="31"/>
      <c r="B236" s="30"/>
      <c r="C236" s="31"/>
      <c r="D236" s="31"/>
      <c r="E236" s="31"/>
      <c r="F236" s="32"/>
      <c r="G236" s="34">
        <f>IFERROR(SUMIFS(Transactions!$F$7:$F$989,Transactions!$G$7:$G$989,A236,Transactions!$D$7:$D$989,"Expense"),0)</f>
        <v>0</v>
      </c>
      <c r="H236" s="31"/>
      <c r="I236" s="31"/>
      <c r="J236" s="31"/>
      <c r="K236" s="5"/>
      <c r="L236" s="5"/>
      <c r="M236" s="5"/>
      <c r="N236" s="5"/>
      <c r="O236" s="5"/>
      <c r="P236" s="5"/>
      <c r="Q236" s="5"/>
      <c r="R236" s="5"/>
      <c r="S236" s="5"/>
      <c r="T236" s="5"/>
      <c r="U236" s="5"/>
      <c r="V236" s="5"/>
      <c r="W236" s="5"/>
      <c r="X236" s="5"/>
      <c r="Y236" s="5"/>
      <c r="Z236" s="5"/>
    </row>
    <row r="237" ht="19.5" customHeight="1">
      <c r="A237" s="31"/>
      <c r="B237" s="30"/>
      <c r="C237" s="31"/>
      <c r="D237" s="31"/>
      <c r="E237" s="31"/>
      <c r="F237" s="32"/>
      <c r="G237" s="34">
        <f>IFERROR(SUMIFS(Transactions!$F$7:$F$989,Transactions!$G$7:$G$989,A237,Transactions!$D$7:$D$989,"Expense"),0)</f>
        <v>0</v>
      </c>
      <c r="H237" s="31"/>
      <c r="I237" s="31"/>
      <c r="J237" s="31"/>
      <c r="K237" s="5"/>
      <c r="L237" s="5"/>
      <c r="M237" s="5"/>
      <c r="N237" s="5"/>
      <c r="O237" s="5"/>
      <c r="P237" s="5"/>
      <c r="Q237" s="5"/>
      <c r="R237" s="5"/>
      <c r="S237" s="5"/>
      <c r="T237" s="5"/>
      <c r="U237" s="5"/>
      <c r="V237" s="5"/>
      <c r="W237" s="5"/>
      <c r="X237" s="5"/>
      <c r="Y237" s="5"/>
      <c r="Z237" s="5"/>
    </row>
    <row r="238" ht="19.5" customHeight="1">
      <c r="A238" s="31"/>
      <c r="B238" s="30"/>
      <c r="C238" s="31"/>
      <c r="D238" s="31"/>
      <c r="E238" s="31"/>
      <c r="F238" s="32"/>
      <c r="G238" s="34">
        <f>IFERROR(SUMIFS(Transactions!$F$7:$F$989,Transactions!$G$7:$G$989,A238,Transactions!$D$7:$D$989,"Expense"),0)</f>
        <v>0</v>
      </c>
      <c r="H238" s="31"/>
      <c r="I238" s="31"/>
      <c r="J238" s="31"/>
      <c r="K238" s="5"/>
      <c r="L238" s="5"/>
      <c r="M238" s="5"/>
      <c r="N238" s="5"/>
      <c r="O238" s="5"/>
      <c r="P238" s="5"/>
      <c r="Q238" s="5"/>
      <c r="R238" s="5"/>
      <c r="S238" s="5"/>
      <c r="T238" s="5"/>
      <c r="U238" s="5"/>
      <c r="V238" s="5"/>
      <c r="W238" s="5"/>
      <c r="X238" s="5"/>
      <c r="Y238" s="5"/>
      <c r="Z238" s="5"/>
    </row>
    <row r="239" ht="19.5" customHeight="1">
      <c r="A239" s="31"/>
      <c r="B239" s="30"/>
      <c r="C239" s="31"/>
      <c r="D239" s="31"/>
      <c r="E239" s="31"/>
      <c r="F239" s="32"/>
      <c r="G239" s="34">
        <f>IFERROR(SUMIFS(Transactions!$F$7:$F$989,Transactions!$G$7:$G$989,A239,Transactions!$D$7:$D$989,"Expense"),0)</f>
        <v>0</v>
      </c>
      <c r="H239" s="31"/>
      <c r="I239" s="31"/>
      <c r="J239" s="31"/>
      <c r="K239" s="5"/>
      <c r="L239" s="5"/>
      <c r="M239" s="5"/>
      <c r="N239" s="5"/>
      <c r="O239" s="5"/>
      <c r="P239" s="5"/>
      <c r="Q239" s="5"/>
      <c r="R239" s="5"/>
      <c r="S239" s="5"/>
      <c r="T239" s="5"/>
      <c r="U239" s="5"/>
      <c r="V239" s="5"/>
      <c r="W239" s="5"/>
      <c r="X239" s="5"/>
      <c r="Y239" s="5"/>
      <c r="Z239" s="5"/>
    </row>
    <row r="240" ht="19.5" customHeight="1">
      <c r="A240" s="31"/>
      <c r="B240" s="30"/>
      <c r="C240" s="31"/>
      <c r="D240" s="31"/>
      <c r="E240" s="31"/>
      <c r="F240" s="32"/>
      <c r="G240" s="34">
        <f>IFERROR(SUMIFS(Transactions!$F$7:$F$989,Transactions!$G$7:$G$989,A240,Transactions!$D$7:$D$989,"Expense"),0)</f>
        <v>0</v>
      </c>
      <c r="H240" s="31"/>
      <c r="I240" s="31"/>
      <c r="J240" s="31"/>
      <c r="K240" s="5"/>
      <c r="L240" s="5"/>
      <c r="M240" s="5"/>
      <c r="N240" s="5"/>
      <c r="O240" s="5"/>
      <c r="P240" s="5"/>
      <c r="Q240" s="5"/>
      <c r="R240" s="5"/>
      <c r="S240" s="5"/>
      <c r="T240" s="5"/>
      <c r="U240" s="5"/>
      <c r="V240" s="5"/>
      <c r="W240" s="5"/>
      <c r="X240" s="5"/>
      <c r="Y240" s="5"/>
      <c r="Z240" s="5"/>
    </row>
    <row r="241" ht="19.5" customHeight="1">
      <c r="A241" s="31"/>
      <c r="B241" s="30"/>
      <c r="C241" s="31"/>
      <c r="D241" s="31"/>
      <c r="E241" s="31"/>
      <c r="F241" s="32"/>
      <c r="G241" s="34">
        <f>IFERROR(SUMIFS(Transactions!$F$7:$F$989,Transactions!$G$7:$G$989,A241,Transactions!$D$7:$D$989,"Expense"),0)</f>
        <v>0</v>
      </c>
      <c r="H241" s="31"/>
      <c r="I241" s="31"/>
      <c r="J241" s="31"/>
      <c r="K241" s="5"/>
      <c r="L241" s="5"/>
      <c r="M241" s="5"/>
      <c r="N241" s="5"/>
      <c r="O241" s="5"/>
      <c r="P241" s="5"/>
      <c r="Q241" s="5"/>
      <c r="R241" s="5"/>
      <c r="S241" s="5"/>
      <c r="T241" s="5"/>
      <c r="U241" s="5"/>
      <c r="V241" s="5"/>
      <c r="W241" s="5"/>
      <c r="X241" s="5"/>
      <c r="Y241" s="5"/>
      <c r="Z241" s="5"/>
    </row>
    <row r="242" ht="19.5" customHeight="1">
      <c r="A242" s="31"/>
      <c r="B242" s="30"/>
      <c r="C242" s="31"/>
      <c r="D242" s="31"/>
      <c r="E242" s="31"/>
      <c r="F242" s="32"/>
      <c r="G242" s="34">
        <f>IFERROR(SUMIFS(Transactions!$F$7:$F$989,Transactions!$G$7:$G$989,A242,Transactions!$D$7:$D$989,"Expense"),0)</f>
        <v>0</v>
      </c>
      <c r="H242" s="31"/>
      <c r="I242" s="31"/>
      <c r="J242" s="31"/>
      <c r="K242" s="5"/>
      <c r="L242" s="5"/>
      <c r="M242" s="5"/>
      <c r="N242" s="5"/>
      <c r="O242" s="5"/>
      <c r="P242" s="5"/>
      <c r="Q242" s="5"/>
      <c r="R242" s="5"/>
      <c r="S242" s="5"/>
      <c r="T242" s="5"/>
      <c r="U242" s="5"/>
      <c r="V242" s="5"/>
      <c r="W242" s="5"/>
      <c r="X242" s="5"/>
      <c r="Y242" s="5"/>
      <c r="Z242" s="5"/>
    </row>
    <row r="243" ht="19.5" customHeight="1">
      <c r="A243" s="31"/>
      <c r="B243" s="30"/>
      <c r="C243" s="31"/>
      <c r="D243" s="31"/>
      <c r="E243" s="31"/>
      <c r="F243" s="32"/>
      <c r="G243" s="34">
        <f>IFERROR(SUMIFS(Transactions!$F$7:$F$989,Transactions!$G$7:$G$989,A243,Transactions!$D$7:$D$989,"Expense"),0)</f>
        <v>0</v>
      </c>
      <c r="H243" s="31"/>
      <c r="I243" s="31"/>
      <c r="J243" s="31"/>
      <c r="K243" s="5"/>
      <c r="L243" s="5"/>
      <c r="M243" s="5"/>
      <c r="N243" s="5"/>
      <c r="O243" s="5"/>
      <c r="P243" s="5"/>
      <c r="Q243" s="5"/>
      <c r="R243" s="5"/>
      <c r="S243" s="5"/>
      <c r="T243" s="5"/>
      <c r="U243" s="5"/>
      <c r="V243" s="5"/>
      <c r="W243" s="5"/>
      <c r="X243" s="5"/>
      <c r="Y243" s="5"/>
      <c r="Z243" s="5"/>
    </row>
    <row r="244" ht="19.5" customHeight="1">
      <c r="A244" s="31"/>
      <c r="B244" s="30"/>
      <c r="C244" s="31"/>
      <c r="D244" s="31"/>
      <c r="E244" s="31"/>
      <c r="F244" s="32"/>
      <c r="G244" s="34">
        <f>IFERROR(SUMIFS(Transactions!$F$7:$F$989,Transactions!$G$7:$G$989,A244,Transactions!$D$7:$D$989,"Expense"),0)</f>
        <v>0</v>
      </c>
      <c r="H244" s="31"/>
      <c r="I244" s="31"/>
      <c r="J244" s="31"/>
      <c r="K244" s="5"/>
      <c r="L244" s="5"/>
      <c r="M244" s="5"/>
      <c r="N244" s="5"/>
      <c r="O244" s="5"/>
      <c r="P244" s="5"/>
      <c r="Q244" s="5"/>
      <c r="R244" s="5"/>
      <c r="S244" s="5"/>
      <c r="T244" s="5"/>
      <c r="U244" s="5"/>
      <c r="V244" s="5"/>
      <c r="W244" s="5"/>
      <c r="X244" s="5"/>
      <c r="Y244" s="5"/>
      <c r="Z244" s="5"/>
    </row>
    <row r="245" ht="19.5" customHeight="1">
      <c r="A245" s="31"/>
      <c r="B245" s="30"/>
      <c r="C245" s="31"/>
      <c r="D245" s="31"/>
      <c r="E245" s="31"/>
      <c r="F245" s="32"/>
      <c r="G245" s="34">
        <f>IFERROR(SUMIFS(Transactions!$F$7:$F$989,Transactions!$G$7:$G$989,A245,Transactions!$D$7:$D$989,"Expense"),0)</f>
        <v>0</v>
      </c>
      <c r="H245" s="31"/>
      <c r="I245" s="31"/>
      <c r="J245" s="31"/>
      <c r="K245" s="5"/>
      <c r="L245" s="5"/>
      <c r="M245" s="5"/>
      <c r="N245" s="5"/>
      <c r="O245" s="5"/>
      <c r="P245" s="5"/>
      <c r="Q245" s="5"/>
      <c r="R245" s="5"/>
      <c r="S245" s="5"/>
      <c r="T245" s="5"/>
      <c r="U245" s="5"/>
      <c r="V245" s="5"/>
      <c r="W245" s="5"/>
      <c r="X245" s="5"/>
      <c r="Y245" s="5"/>
      <c r="Z245" s="5"/>
    </row>
    <row r="246" ht="19.5" customHeight="1">
      <c r="A246" s="31"/>
      <c r="B246" s="30"/>
      <c r="C246" s="31"/>
      <c r="D246" s="31"/>
      <c r="E246" s="31"/>
      <c r="F246" s="32"/>
      <c r="G246" s="34">
        <f>IFERROR(SUMIFS(Transactions!$F$7:$F$989,Transactions!$G$7:$G$989,A246,Transactions!$D$7:$D$989,"Expense"),0)</f>
        <v>0</v>
      </c>
      <c r="H246" s="31"/>
      <c r="I246" s="31"/>
      <c r="J246" s="31"/>
      <c r="K246" s="5"/>
      <c r="L246" s="5"/>
      <c r="M246" s="5"/>
      <c r="N246" s="5"/>
      <c r="O246" s="5"/>
      <c r="P246" s="5"/>
      <c r="Q246" s="5"/>
      <c r="R246" s="5"/>
      <c r="S246" s="5"/>
      <c r="T246" s="5"/>
      <c r="U246" s="5"/>
      <c r="V246" s="5"/>
      <c r="W246" s="5"/>
      <c r="X246" s="5"/>
      <c r="Y246" s="5"/>
      <c r="Z246" s="5"/>
    </row>
    <row r="247" ht="19.5" customHeight="1">
      <c r="A247" s="31"/>
      <c r="B247" s="30"/>
      <c r="C247" s="31"/>
      <c r="D247" s="31"/>
      <c r="E247" s="31"/>
      <c r="F247" s="32"/>
      <c r="G247" s="34">
        <f>IFERROR(SUMIFS(Transactions!$F$7:$F$989,Transactions!$G$7:$G$989,A247,Transactions!$D$7:$D$989,"Expense"),0)</f>
        <v>0</v>
      </c>
      <c r="H247" s="31"/>
      <c r="I247" s="31"/>
      <c r="J247" s="31"/>
      <c r="K247" s="5"/>
      <c r="L247" s="5"/>
      <c r="M247" s="5"/>
      <c r="N247" s="5"/>
      <c r="O247" s="5"/>
      <c r="P247" s="5"/>
      <c r="Q247" s="5"/>
      <c r="R247" s="5"/>
      <c r="S247" s="5"/>
      <c r="T247" s="5"/>
      <c r="U247" s="5"/>
      <c r="V247" s="5"/>
      <c r="W247" s="5"/>
      <c r="X247" s="5"/>
      <c r="Y247" s="5"/>
      <c r="Z247" s="5"/>
    </row>
    <row r="248" ht="19.5" customHeight="1">
      <c r="A248" s="31"/>
      <c r="B248" s="30"/>
      <c r="C248" s="31"/>
      <c r="D248" s="31"/>
      <c r="E248" s="31"/>
      <c r="F248" s="32"/>
      <c r="G248" s="34">
        <f>IFERROR(SUMIFS(Transactions!$F$7:$F$989,Transactions!$G$7:$G$989,A248,Transactions!$D$7:$D$989,"Expense"),0)</f>
        <v>0</v>
      </c>
      <c r="H248" s="31"/>
      <c r="I248" s="31"/>
      <c r="J248" s="31"/>
      <c r="K248" s="5"/>
      <c r="L248" s="5"/>
      <c r="M248" s="5"/>
      <c r="N248" s="5"/>
      <c r="O248" s="5"/>
      <c r="P248" s="5"/>
      <c r="Q248" s="5"/>
      <c r="R248" s="5"/>
      <c r="S248" s="5"/>
      <c r="T248" s="5"/>
      <c r="U248" s="5"/>
      <c r="V248" s="5"/>
      <c r="W248" s="5"/>
      <c r="X248" s="5"/>
      <c r="Y248" s="5"/>
      <c r="Z248" s="5"/>
    </row>
    <row r="249" ht="19.5" customHeight="1">
      <c r="A249" s="31"/>
      <c r="B249" s="30"/>
      <c r="C249" s="31"/>
      <c r="D249" s="31"/>
      <c r="E249" s="31"/>
      <c r="F249" s="32"/>
      <c r="G249" s="34">
        <f>IFERROR(SUMIFS(Transactions!$F$7:$F$989,Transactions!$G$7:$G$989,A249,Transactions!$D$7:$D$989,"Expense"),0)</f>
        <v>0</v>
      </c>
      <c r="H249" s="31"/>
      <c r="I249" s="31"/>
      <c r="J249" s="31"/>
      <c r="K249" s="5"/>
      <c r="L249" s="5"/>
      <c r="M249" s="5"/>
      <c r="N249" s="5"/>
      <c r="O249" s="5"/>
      <c r="P249" s="5"/>
      <c r="Q249" s="5"/>
      <c r="R249" s="5"/>
      <c r="S249" s="5"/>
      <c r="T249" s="5"/>
      <c r="U249" s="5"/>
      <c r="V249" s="5"/>
      <c r="W249" s="5"/>
      <c r="X249" s="5"/>
      <c r="Y249" s="5"/>
      <c r="Z249" s="5"/>
    </row>
    <row r="250" ht="19.5" customHeight="1">
      <c r="A250" s="31"/>
      <c r="B250" s="30"/>
      <c r="C250" s="31"/>
      <c r="D250" s="31"/>
      <c r="E250" s="31"/>
      <c r="F250" s="32"/>
      <c r="G250" s="34">
        <f>IFERROR(SUMIFS(Transactions!$F$7:$F$989,Transactions!$G$7:$G$989,A250,Transactions!$D$7:$D$989,"Expense"),0)</f>
        <v>0</v>
      </c>
      <c r="H250" s="31"/>
      <c r="I250" s="31"/>
      <c r="J250" s="31"/>
      <c r="K250" s="5"/>
      <c r="L250" s="5"/>
      <c r="M250" s="5"/>
      <c r="N250" s="5"/>
      <c r="O250" s="5"/>
      <c r="P250" s="5"/>
      <c r="Q250" s="5"/>
      <c r="R250" s="5"/>
      <c r="S250" s="5"/>
      <c r="T250" s="5"/>
      <c r="U250" s="5"/>
      <c r="V250" s="5"/>
      <c r="W250" s="5"/>
      <c r="X250" s="5"/>
      <c r="Y250" s="5"/>
      <c r="Z250" s="5"/>
    </row>
    <row r="251" ht="19.5" customHeight="1">
      <c r="A251" s="31"/>
      <c r="B251" s="30"/>
      <c r="C251" s="31"/>
      <c r="D251" s="31"/>
      <c r="E251" s="31"/>
      <c r="F251" s="32"/>
      <c r="G251" s="34">
        <f>IFERROR(SUMIFS(Transactions!$F$7:$F$989,Transactions!$G$7:$G$989,A251,Transactions!$D$7:$D$989,"Expense"),0)</f>
        <v>0</v>
      </c>
      <c r="H251" s="31"/>
      <c r="I251" s="31"/>
      <c r="J251" s="31"/>
      <c r="K251" s="5"/>
      <c r="L251" s="5"/>
      <c r="M251" s="5"/>
      <c r="N251" s="5"/>
      <c r="O251" s="5"/>
      <c r="P251" s="5"/>
      <c r="Q251" s="5"/>
      <c r="R251" s="5"/>
      <c r="S251" s="5"/>
      <c r="T251" s="5"/>
      <c r="U251" s="5"/>
      <c r="V251" s="5"/>
      <c r="W251" s="5"/>
      <c r="X251" s="5"/>
      <c r="Y251" s="5"/>
      <c r="Z251" s="5"/>
    </row>
    <row r="252" ht="19.5" customHeight="1">
      <c r="A252" s="31"/>
      <c r="B252" s="30"/>
      <c r="C252" s="31"/>
      <c r="D252" s="31"/>
      <c r="E252" s="31"/>
      <c r="F252" s="32"/>
      <c r="G252" s="34">
        <f>IFERROR(SUMIFS(Transactions!$F$7:$F$989,Transactions!$G$7:$G$989,A252,Transactions!$D$7:$D$989,"Expense"),0)</f>
        <v>0</v>
      </c>
      <c r="H252" s="31"/>
      <c r="I252" s="31"/>
      <c r="J252" s="31"/>
      <c r="K252" s="5"/>
      <c r="L252" s="5"/>
      <c r="M252" s="5"/>
      <c r="N252" s="5"/>
      <c r="O252" s="5"/>
      <c r="P252" s="5"/>
      <c r="Q252" s="5"/>
      <c r="R252" s="5"/>
      <c r="S252" s="5"/>
      <c r="T252" s="5"/>
      <c r="U252" s="5"/>
      <c r="V252" s="5"/>
      <c r="W252" s="5"/>
      <c r="X252" s="5"/>
      <c r="Y252" s="5"/>
      <c r="Z252" s="5"/>
    </row>
    <row r="253" ht="19.5" customHeight="1">
      <c r="A253" s="31"/>
      <c r="B253" s="30"/>
      <c r="C253" s="31"/>
      <c r="D253" s="31"/>
      <c r="E253" s="31"/>
      <c r="F253" s="32"/>
      <c r="G253" s="34">
        <f>IFERROR(SUMIFS(Transactions!$F$7:$F$989,Transactions!$G$7:$G$989,A253,Transactions!$D$7:$D$989,"Expense"),0)</f>
        <v>0</v>
      </c>
      <c r="H253" s="31"/>
      <c r="I253" s="31"/>
      <c r="J253" s="31"/>
      <c r="K253" s="5"/>
      <c r="L253" s="5"/>
      <c r="M253" s="5"/>
      <c r="N253" s="5"/>
      <c r="O253" s="5"/>
      <c r="P253" s="5"/>
      <c r="Q253" s="5"/>
      <c r="R253" s="5"/>
      <c r="S253" s="5"/>
      <c r="T253" s="5"/>
      <c r="U253" s="5"/>
      <c r="V253" s="5"/>
      <c r="W253" s="5"/>
      <c r="X253" s="5"/>
      <c r="Y253" s="5"/>
      <c r="Z253" s="5"/>
    </row>
    <row r="254" ht="19.5" customHeight="1">
      <c r="A254" s="31"/>
      <c r="B254" s="30"/>
      <c r="C254" s="31"/>
      <c r="D254" s="31"/>
      <c r="E254" s="31"/>
      <c r="F254" s="32"/>
      <c r="G254" s="34">
        <f>IFERROR(SUMIFS(Transactions!$F$7:$F$989,Transactions!$G$7:$G$989,A254,Transactions!$D$7:$D$989,"Expense"),0)</f>
        <v>0</v>
      </c>
      <c r="H254" s="31"/>
      <c r="I254" s="31"/>
      <c r="J254" s="31"/>
      <c r="K254" s="5"/>
      <c r="L254" s="5"/>
      <c r="M254" s="5"/>
      <c r="N254" s="5"/>
      <c r="O254" s="5"/>
      <c r="P254" s="5"/>
      <c r="Q254" s="5"/>
      <c r="R254" s="5"/>
      <c r="S254" s="5"/>
      <c r="T254" s="5"/>
      <c r="U254" s="5"/>
      <c r="V254" s="5"/>
      <c r="W254" s="5"/>
      <c r="X254" s="5"/>
      <c r="Y254" s="5"/>
      <c r="Z254" s="5"/>
    </row>
    <row r="255" ht="19.5" customHeight="1">
      <c r="A255" s="31"/>
      <c r="B255" s="30"/>
      <c r="C255" s="31"/>
      <c r="D255" s="31"/>
      <c r="E255" s="31"/>
      <c r="F255" s="32"/>
      <c r="G255" s="34">
        <f>IFERROR(SUMIFS(Transactions!$F$7:$F$989,Transactions!$G$7:$G$989,A255,Transactions!$D$7:$D$989,"Expense"),0)</f>
        <v>0</v>
      </c>
      <c r="H255" s="31"/>
      <c r="I255" s="31"/>
      <c r="J255" s="31"/>
      <c r="K255" s="5"/>
      <c r="L255" s="5"/>
      <c r="M255" s="5"/>
      <c r="N255" s="5"/>
      <c r="O255" s="5"/>
      <c r="P255" s="5"/>
      <c r="Q255" s="5"/>
      <c r="R255" s="5"/>
      <c r="S255" s="5"/>
      <c r="T255" s="5"/>
      <c r="U255" s="5"/>
      <c r="V255" s="5"/>
      <c r="W255" s="5"/>
      <c r="X255" s="5"/>
      <c r="Y255" s="5"/>
      <c r="Z255" s="5"/>
    </row>
    <row r="256" ht="19.5" customHeight="1">
      <c r="A256" s="31"/>
      <c r="B256" s="30"/>
      <c r="C256" s="31"/>
      <c r="D256" s="31"/>
      <c r="E256" s="31"/>
      <c r="F256" s="32"/>
      <c r="G256" s="34">
        <f>IFERROR(SUMIFS(Transactions!$F$7:$F$989,Transactions!$G$7:$G$989,A256,Transactions!$D$7:$D$989,"Expense"),0)</f>
        <v>0</v>
      </c>
      <c r="H256" s="31"/>
      <c r="I256" s="31"/>
      <c r="J256" s="31"/>
      <c r="K256" s="5"/>
      <c r="L256" s="5"/>
      <c r="M256" s="5"/>
      <c r="N256" s="5"/>
      <c r="O256" s="5"/>
      <c r="P256" s="5"/>
      <c r="Q256" s="5"/>
      <c r="R256" s="5"/>
      <c r="S256" s="5"/>
      <c r="T256" s="5"/>
      <c r="U256" s="5"/>
      <c r="V256" s="5"/>
      <c r="W256" s="5"/>
      <c r="X256" s="5"/>
      <c r="Y256" s="5"/>
      <c r="Z256" s="5"/>
    </row>
    <row r="257" ht="19.5" customHeight="1">
      <c r="A257" s="31"/>
      <c r="B257" s="30"/>
      <c r="C257" s="31"/>
      <c r="D257" s="31"/>
      <c r="E257" s="31"/>
      <c r="F257" s="32"/>
      <c r="G257" s="34">
        <f>IFERROR(SUMIFS(Transactions!$F$7:$F$989,Transactions!$G$7:$G$989,A257,Transactions!$D$7:$D$989,"Expense"),0)</f>
        <v>0</v>
      </c>
      <c r="H257" s="31"/>
      <c r="I257" s="31"/>
      <c r="J257" s="31"/>
      <c r="K257" s="5"/>
      <c r="L257" s="5"/>
      <c r="M257" s="5"/>
      <c r="N257" s="5"/>
      <c r="O257" s="5"/>
      <c r="P257" s="5"/>
      <c r="Q257" s="5"/>
      <c r="R257" s="5"/>
      <c r="S257" s="5"/>
      <c r="T257" s="5"/>
      <c r="U257" s="5"/>
      <c r="V257" s="5"/>
      <c r="W257" s="5"/>
      <c r="X257" s="5"/>
      <c r="Y257" s="5"/>
      <c r="Z257" s="5"/>
    </row>
    <row r="258" ht="19.5" customHeight="1">
      <c r="A258" s="31"/>
      <c r="B258" s="30"/>
      <c r="C258" s="31"/>
      <c r="D258" s="31"/>
      <c r="E258" s="31"/>
      <c r="F258" s="32"/>
      <c r="G258" s="34">
        <f>IFERROR(SUMIFS(Transactions!$F$7:$F$989,Transactions!$G$7:$G$989,A258,Transactions!$D$7:$D$989,"Expense"),0)</f>
        <v>0</v>
      </c>
      <c r="H258" s="31"/>
      <c r="I258" s="31"/>
      <c r="J258" s="31"/>
      <c r="K258" s="5"/>
      <c r="L258" s="5"/>
      <c r="M258" s="5"/>
      <c r="N258" s="5"/>
      <c r="O258" s="5"/>
      <c r="P258" s="5"/>
      <c r="Q258" s="5"/>
      <c r="R258" s="5"/>
      <c r="S258" s="5"/>
      <c r="T258" s="5"/>
      <c r="U258" s="5"/>
      <c r="V258" s="5"/>
      <c r="W258" s="5"/>
      <c r="X258" s="5"/>
      <c r="Y258" s="5"/>
      <c r="Z258" s="5"/>
    </row>
    <row r="259" ht="19.5" customHeight="1">
      <c r="A259" s="31"/>
      <c r="B259" s="30"/>
      <c r="C259" s="31"/>
      <c r="D259" s="31"/>
      <c r="E259" s="31"/>
      <c r="F259" s="32"/>
      <c r="G259" s="34">
        <f>IFERROR(SUMIFS(Transactions!$F$7:$F$989,Transactions!$G$7:$G$989,A259,Transactions!$D$7:$D$989,"Expense"),0)</f>
        <v>0</v>
      </c>
      <c r="H259" s="31"/>
      <c r="I259" s="31"/>
      <c r="J259" s="31"/>
      <c r="K259" s="5"/>
      <c r="L259" s="5"/>
      <c r="M259" s="5"/>
      <c r="N259" s="5"/>
      <c r="O259" s="5"/>
      <c r="P259" s="5"/>
      <c r="Q259" s="5"/>
      <c r="R259" s="5"/>
      <c r="S259" s="5"/>
      <c r="T259" s="5"/>
      <c r="U259" s="5"/>
      <c r="V259" s="5"/>
      <c r="W259" s="5"/>
      <c r="X259" s="5"/>
      <c r="Y259" s="5"/>
      <c r="Z259" s="5"/>
    </row>
    <row r="260" ht="19.5" customHeight="1">
      <c r="A260" s="31"/>
      <c r="B260" s="30"/>
      <c r="C260" s="31"/>
      <c r="D260" s="31"/>
      <c r="E260" s="31"/>
      <c r="F260" s="32"/>
      <c r="G260" s="34">
        <f>IFERROR(SUMIFS(Transactions!$F$7:$F$989,Transactions!$G$7:$G$989,A260,Transactions!$D$7:$D$989,"Expense"),0)</f>
        <v>0</v>
      </c>
      <c r="H260" s="31"/>
      <c r="I260" s="31"/>
      <c r="J260" s="31"/>
      <c r="K260" s="5"/>
      <c r="L260" s="5"/>
      <c r="M260" s="5"/>
      <c r="N260" s="5"/>
      <c r="O260" s="5"/>
      <c r="P260" s="5"/>
      <c r="Q260" s="5"/>
      <c r="R260" s="5"/>
      <c r="S260" s="5"/>
      <c r="T260" s="5"/>
      <c r="U260" s="5"/>
      <c r="V260" s="5"/>
      <c r="W260" s="5"/>
      <c r="X260" s="5"/>
      <c r="Y260" s="5"/>
      <c r="Z260" s="5"/>
    </row>
    <row r="261" ht="19.5" customHeight="1">
      <c r="A261" s="31"/>
      <c r="B261" s="30"/>
      <c r="C261" s="31"/>
      <c r="D261" s="31"/>
      <c r="E261" s="31"/>
      <c r="F261" s="32"/>
      <c r="G261" s="34">
        <f>IFERROR(SUMIFS(Transactions!$F$7:$F$989,Transactions!$G$7:$G$989,A261,Transactions!$D$7:$D$989,"Expense"),0)</f>
        <v>0</v>
      </c>
      <c r="H261" s="31"/>
      <c r="I261" s="31"/>
      <c r="J261" s="31"/>
      <c r="K261" s="5"/>
      <c r="L261" s="5"/>
      <c r="M261" s="5"/>
      <c r="N261" s="5"/>
      <c r="O261" s="5"/>
      <c r="P261" s="5"/>
      <c r="Q261" s="5"/>
      <c r="R261" s="5"/>
      <c r="S261" s="5"/>
      <c r="T261" s="5"/>
      <c r="U261" s="5"/>
      <c r="V261" s="5"/>
      <c r="W261" s="5"/>
      <c r="X261" s="5"/>
      <c r="Y261" s="5"/>
      <c r="Z261" s="5"/>
    </row>
    <row r="262" ht="19.5" customHeight="1">
      <c r="A262" s="31"/>
      <c r="B262" s="30"/>
      <c r="C262" s="31"/>
      <c r="D262" s="31"/>
      <c r="E262" s="31"/>
      <c r="F262" s="32"/>
      <c r="G262" s="34">
        <f>IFERROR(SUMIFS(Transactions!$F$7:$F$989,Transactions!$G$7:$G$989,A262,Transactions!$D$7:$D$989,"Expense"),0)</f>
        <v>0</v>
      </c>
      <c r="H262" s="31"/>
      <c r="I262" s="31"/>
      <c r="J262" s="31"/>
      <c r="K262" s="5"/>
      <c r="L262" s="5"/>
      <c r="M262" s="5"/>
      <c r="N262" s="5"/>
      <c r="O262" s="5"/>
      <c r="P262" s="5"/>
      <c r="Q262" s="5"/>
      <c r="R262" s="5"/>
      <c r="S262" s="5"/>
      <c r="T262" s="5"/>
      <c r="U262" s="5"/>
      <c r="V262" s="5"/>
      <c r="W262" s="5"/>
      <c r="X262" s="5"/>
      <c r="Y262" s="5"/>
      <c r="Z262" s="5"/>
    </row>
    <row r="263" ht="19.5" customHeight="1">
      <c r="A263" s="31"/>
      <c r="B263" s="30"/>
      <c r="C263" s="31"/>
      <c r="D263" s="31"/>
      <c r="E263" s="31"/>
      <c r="F263" s="32"/>
      <c r="G263" s="34">
        <f>IFERROR(SUMIFS(Transactions!$F$7:$F$989,Transactions!$G$7:$G$989,A263,Transactions!$D$7:$D$989,"Expense"),0)</f>
        <v>0</v>
      </c>
      <c r="H263" s="31"/>
      <c r="I263" s="31"/>
      <c r="J263" s="31"/>
      <c r="K263" s="5"/>
      <c r="L263" s="5"/>
      <c r="M263" s="5"/>
      <c r="N263" s="5"/>
      <c r="O263" s="5"/>
      <c r="P263" s="5"/>
      <c r="Q263" s="5"/>
      <c r="R263" s="5"/>
      <c r="S263" s="5"/>
      <c r="T263" s="5"/>
      <c r="U263" s="5"/>
      <c r="V263" s="5"/>
      <c r="W263" s="5"/>
      <c r="X263" s="5"/>
      <c r="Y263" s="5"/>
      <c r="Z263" s="5"/>
    </row>
    <row r="264" ht="19.5" customHeight="1">
      <c r="A264" s="31"/>
      <c r="B264" s="30"/>
      <c r="C264" s="31"/>
      <c r="D264" s="31"/>
      <c r="E264" s="31"/>
      <c r="F264" s="32"/>
      <c r="G264" s="34">
        <f>IFERROR(SUMIFS(Transactions!$F$7:$F$989,Transactions!$G$7:$G$989,A264,Transactions!$D$7:$D$989,"Expense"),0)</f>
        <v>0</v>
      </c>
      <c r="H264" s="31"/>
      <c r="I264" s="31"/>
      <c r="J264" s="31"/>
      <c r="K264" s="5"/>
      <c r="L264" s="5"/>
      <c r="M264" s="5"/>
      <c r="N264" s="5"/>
      <c r="O264" s="5"/>
      <c r="P264" s="5"/>
      <c r="Q264" s="5"/>
      <c r="R264" s="5"/>
      <c r="S264" s="5"/>
      <c r="T264" s="5"/>
      <c r="U264" s="5"/>
      <c r="V264" s="5"/>
      <c r="W264" s="5"/>
      <c r="X264" s="5"/>
      <c r="Y264" s="5"/>
      <c r="Z264" s="5"/>
    </row>
    <row r="265" ht="19.5" customHeight="1">
      <c r="A265" s="31"/>
      <c r="B265" s="30"/>
      <c r="C265" s="31"/>
      <c r="D265" s="31"/>
      <c r="E265" s="31"/>
      <c r="F265" s="32"/>
      <c r="G265" s="34">
        <f>IFERROR(SUMIFS(Transactions!$F$7:$F$989,Transactions!$G$7:$G$989,A265,Transactions!$D$7:$D$989,"Expense"),0)</f>
        <v>0</v>
      </c>
      <c r="H265" s="31"/>
      <c r="I265" s="31"/>
      <c r="J265" s="31"/>
      <c r="K265" s="5"/>
      <c r="L265" s="5"/>
      <c r="M265" s="5"/>
      <c r="N265" s="5"/>
      <c r="O265" s="5"/>
      <c r="P265" s="5"/>
      <c r="Q265" s="5"/>
      <c r="R265" s="5"/>
      <c r="S265" s="5"/>
      <c r="T265" s="5"/>
      <c r="U265" s="5"/>
      <c r="V265" s="5"/>
      <c r="W265" s="5"/>
      <c r="X265" s="5"/>
      <c r="Y265" s="5"/>
      <c r="Z265" s="5"/>
    </row>
    <row r="266" ht="19.5" customHeight="1">
      <c r="A266" s="31"/>
      <c r="B266" s="30"/>
      <c r="C266" s="31"/>
      <c r="D266" s="31"/>
      <c r="E266" s="31"/>
      <c r="F266" s="32"/>
      <c r="G266" s="34">
        <f>IFERROR(SUMIFS(Transactions!$F$7:$F$989,Transactions!$G$7:$G$989,A266,Transactions!$D$7:$D$989,"Expense"),0)</f>
        <v>0</v>
      </c>
      <c r="H266" s="31"/>
      <c r="I266" s="31"/>
      <c r="J266" s="31"/>
      <c r="K266" s="5"/>
      <c r="L266" s="5"/>
      <c r="M266" s="5"/>
      <c r="N266" s="5"/>
      <c r="O266" s="5"/>
      <c r="P266" s="5"/>
      <c r="Q266" s="5"/>
      <c r="R266" s="5"/>
      <c r="S266" s="5"/>
      <c r="T266" s="5"/>
      <c r="U266" s="5"/>
      <c r="V266" s="5"/>
      <c r="W266" s="5"/>
      <c r="X266" s="5"/>
      <c r="Y266" s="5"/>
      <c r="Z266" s="5"/>
    </row>
    <row r="267" ht="19.5" customHeight="1">
      <c r="A267" s="31"/>
      <c r="B267" s="30"/>
      <c r="C267" s="31"/>
      <c r="D267" s="31"/>
      <c r="E267" s="31"/>
      <c r="F267" s="32"/>
      <c r="G267" s="34">
        <f>IFERROR(SUMIFS(Transactions!$F$7:$F$989,Transactions!$G$7:$G$989,A267,Transactions!$D$7:$D$989,"Expense"),0)</f>
        <v>0</v>
      </c>
      <c r="H267" s="31"/>
      <c r="I267" s="31"/>
      <c r="J267" s="31"/>
      <c r="K267" s="5"/>
      <c r="L267" s="5"/>
      <c r="M267" s="5"/>
      <c r="N267" s="5"/>
      <c r="O267" s="5"/>
      <c r="P267" s="5"/>
      <c r="Q267" s="5"/>
      <c r="R267" s="5"/>
      <c r="S267" s="5"/>
      <c r="T267" s="5"/>
      <c r="U267" s="5"/>
      <c r="V267" s="5"/>
      <c r="W267" s="5"/>
      <c r="X267" s="5"/>
      <c r="Y267" s="5"/>
      <c r="Z267" s="5"/>
    </row>
    <row r="268" ht="19.5" customHeight="1">
      <c r="A268" s="31"/>
      <c r="B268" s="30"/>
      <c r="C268" s="31"/>
      <c r="D268" s="31"/>
      <c r="E268" s="31"/>
      <c r="F268" s="32"/>
      <c r="G268" s="34">
        <f>IFERROR(SUMIFS(Transactions!$F$7:$F$989,Transactions!$G$7:$G$989,A268,Transactions!$D$7:$D$989,"Expense"),0)</f>
        <v>0</v>
      </c>
      <c r="H268" s="31"/>
      <c r="I268" s="31"/>
      <c r="J268" s="31"/>
      <c r="K268" s="5"/>
      <c r="L268" s="5"/>
      <c r="M268" s="5"/>
      <c r="N268" s="5"/>
      <c r="O268" s="5"/>
      <c r="P268" s="5"/>
      <c r="Q268" s="5"/>
      <c r="R268" s="5"/>
      <c r="S268" s="5"/>
      <c r="T268" s="5"/>
      <c r="U268" s="5"/>
      <c r="V268" s="5"/>
      <c r="W268" s="5"/>
      <c r="X268" s="5"/>
      <c r="Y268" s="5"/>
      <c r="Z268" s="5"/>
    </row>
    <row r="269" ht="19.5" customHeight="1">
      <c r="A269" s="31"/>
      <c r="B269" s="30"/>
      <c r="C269" s="31"/>
      <c r="D269" s="31"/>
      <c r="E269" s="31"/>
      <c r="F269" s="32"/>
      <c r="G269" s="34">
        <f>IFERROR(SUMIFS(Transactions!$F$7:$F$989,Transactions!$G$7:$G$989,A269,Transactions!$D$7:$D$989,"Expense"),0)</f>
        <v>0</v>
      </c>
      <c r="H269" s="31"/>
      <c r="I269" s="31"/>
      <c r="J269" s="31"/>
      <c r="K269" s="5"/>
      <c r="L269" s="5"/>
      <c r="M269" s="5"/>
      <c r="N269" s="5"/>
      <c r="O269" s="5"/>
      <c r="P269" s="5"/>
      <c r="Q269" s="5"/>
      <c r="R269" s="5"/>
      <c r="S269" s="5"/>
      <c r="T269" s="5"/>
      <c r="U269" s="5"/>
      <c r="V269" s="5"/>
      <c r="W269" s="5"/>
      <c r="X269" s="5"/>
      <c r="Y269" s="5"/>
      <c r="Z269" s="5"/>
    </row>
    <row r="270" ht="19.5" customHeight="1">
      <c r="A270" s="31"/>
      <c r="B270" s="30"/>
      <c r="C270" s="31"/>
      <c r="D270" s="31"/>
      <c r="E270" s="31"/>
      <c r="F270" s="32"/>
      <c r="G270" s="34">
        <f>IFERROR(SUMIFS(Transactions!$F$7:$F$989,Transactions!$G$7:$G$989,A270,Transactions!$D$7:$D$989,"Expense"),0)</f>
        <v>0</v>
      </c>
      <c r="H270" s="31"/>
      <c r="I270" s="31"/>
      <c r="J270" s="31"/>
      <c r="K270" s="5"/>
      <c r="L270" s="5"/>
      <c r="M270" s="5"/>
      <c r="N270" s="5"/>
      <c r="O270" s="5"/>
      <c r="P270" s="5"/>
      <c r="Q270" s="5"/>
      <c r="R270" s="5"/>
      <c r="S270" s="5"/>
      <c r="T270" s="5"/>
      <c r="U270" s="5"/>
      <c r="V270" s="5"/>
      <c r="W270" s="5"/>
      <c r="X270" s="5"/>
      <c r="Y270" s="5"/>
      <c r="Z270" s="5"/>
    </row>
    <row r="271" ht="19.5" customHeight="1">
      <c r="A271" s="31"/>
      <c r="B271" s="30"/>
      <c r="C271" s="31"/>
      <c r="D271" s="31"/>
      <c r="E271" s="31"/>
      <c r="F271" s="32"/>
      <c r="G271" s="34">
        <f>IFERROR(SUMIFS(Transactions!$F$7:$F$989,Transactions!$G$7:$G$989,A271,Transactions!$D$7:$D$989,"Expense"),0)</f>
        <v>0</v>
      </c>
      <c r="H271" s="31"/>
      <c r="I271" s="31"/>
      <c r="J271" s="31"/>
      <c r="K271" s="5"/>
      <c r="L271" s="5"/>
      <c r="M271" s="5"/>
      <c r="N271" s="5"/>
      <c r="O271" s="5"/>
      <c r="P271" s="5"/>
      <c r="Q271" s="5"/>
      <c r="R271" s="5"/>
      <c r="S271" s="5"/>
      <c r="T271" s="5"/>
      <c r="U271" s="5"/>
      <c r="V271" s="5"/>
      <c r="W271" s="5"/>
      <c r="X271" s="5"/>
      <c r="Y271" s="5"/>
      <c r="Z271" s="5"/>
    </row>
    <row r="272" ht="19.5" customHeight="1">
      <c r="A272" s="31"/>
      <c r="B272" s="30"/>
      <c r="C272" s="31"/>
      <c r="D272" s="31"/>
      <c r="E272" s="31"/>
      <c r="F272" s="32"/>
      <c r="G272" s="34">
        <f>IFERROR(SUMIFS(Transactions!$F$7:$F$989,Transactions!$G$7:$G$989,A272,Transactions!$D$7:$D$989,"Expense"),0)</f>
        <v>0</v>
      </c>
      <c r="H272" s="31"/>
      <c r="I272" s="31"/>
      <c r="J272" s="31"/>
      <c r="K272" s="5"/>
      <c r="L272" s="5"/>
      <c r="M272" s="5"/>
      <c r="N272" s="5"/>
      <c r="O272" s="5"/>
      <c r="P272" s="5"/>
      <c r="Q272" s="5"/>
      <c r="R272" s="5"/>
      <c r="S272" s="5"/>
      <c r="T272" s="5"/>
      <c r="U272" s="5"/>
      <c r="V272" s="5"/>
      <c r="W272" s="5"/>
      <c r="X272" s="5"/>
      <c r="Y272" s="5"/>
      <c r="Z272" s="5"/>
    </row>
    <row r="273" ht="19.5" customHeight="1">
      <c r="A273" s="31"/>
      <c r="B273" s="30"/>
      <c r="C273" s="31"/>
      <c r="D273" s="31"/>
      <c r="E273" s="31"/>
      <c r="F273" s="32"/>
      <c r="G273" s="34">
        <f>IFERROR(SUMIFS(Transactions!$F$7:$F$989,Transactions!$G$7:$G$989,A273,Transactions!$D$7:$D$989,"Expense"),0)</f>
        <v>0</v>
      </c>
      <c r="H273" s="31"/>
      <c r="I273" s="31"/>
      <c r="J273" s="31"/>
      <c r="K273" s="5"/>
      <c r="L273" s="5"/>
      <c r="M273" s="5"/>
      <c r="N273" s="5"/>
      <c r="O273" s="5"/>
      <c r="P273" s="5"/>
      <c r="Q273" s="5"/>
      <c r="R273" s="5"/>
      <c r="S273" s="5"/>
      <c r="T273" s="5"/>
      <c r="U273" s="5"/>
      <c r="V273" s="5"/>
      <c r="W273" s="5"/>
      <c r="X273" s="5"/>
      <c r="Y273" s="5"/>
      <c r="Z273" s="5"/>
    </row>
    <row r="274" ht="19.5" customHeight="1">
      <c r="A274" s="31"/>
      <c r="B274" s="30"/>
      <c r="C274" s="31"/>
      <c r="D274" s="31"/>
      <c r="E274" s="31"/>
      <c r="F274" s="32"/>
      <c r="G274" s="34">
        <f>IFERROR(SUMIFS(Transactions!$F$7:$F$989,Transactions!$G$7:$G$989,A274,Transactions!$D$7:$D$989,"Expense"),0)</f>
        <v>0</v>
      </c>
      <c r="H274" s="31"/>
      <c r="I274" s="31"/>
      <c r="J274" s="31"/>
      <c r="K274" s="5"/>
      <c r="L274" s="5"/>
      <c r="M274" s="5"/>
      <c r="N274" s="5"/>
      <c r="O274" s="5"/>
      <c r="P274" s="5"/>
      <c r="Q274" s="5"/>
      <c r="R274" s="5"/>
      <c r="S274" s="5"/>
      <c r="T274" s="5"/>
      <c r="U274" s="5"/>
      <c r="V274" s="5"/>
      <c r="W274" s="5"/>
      <c r="X274" s="5"/>
      <c r="Y274" s="5"/>
      <c r="Z274" s="5"/>
    </row>
    <row r="275" ht="19.5" customHeight="1">
      <c r="A275" s="31"/>
      <c r="B275" s="30"/>
      <c r="C275" s="31"/>
      <c r="D275" s="31"/>
      <c r="E275" s="31"/>
      <c r="F275" s="32"/>
      <c r="G275" s="34">
        <f>IFERROR(SUMIFS(Transactions!$F$7:$F$989,Transactions!$G$7:$G$989,A275,Transactions!$D$7:$D$989,"Expense"),0)</f>
        <v>0</v>
      </c>
      <c r="H275" s="31"/>
      <c r="I275" s="31"/>
      <c r="J275" s="31"/>
      <c r="K275" s="5"/>
      <c r="L275" s="5"/>
      <c r="M275" s="5"/>
      <c r="N275" s="5"/>
      <c r="O275" s="5"/>
      <c r="P275" s="5"/>
      <c r="Q275" s="5"/>
      <c r="R275" s="5"/>
      <c r="S275" s="5"/>
      <c r="T275" s="5"/>
      <c r="U275" s="5"/>
      <c r="V275" s="5"/>
      <c r="W275" s="5"/>
      <c r="X275" s="5"/>
      <c r="Y275" s="5"/>
      <c r="Z275" s="5"/>
    </row>
    <row r="276" ht="19.5" customHeight="1">
      <c r="A276" s="31"/>
      <c r="B276" s="30"/>
      <c r="C276" s="31"/>
      <c r="D276" s="31"/>
      <c r="E276" s="31"/>
      <c r="F276" s="32"/>
      <c r="G276" s="34">
        <f>IFERROR(SUMIFS(Transactions!$F$7:$F$989,Transactions!$G$7:$G$989,A276,Transactions!$D$7:$D$989,"Expense"),0)</f>
        <v>0</v>
      </c>
      <c r="H276" s="31"/>
      <c r="I276" s="31"/>
      <c r="J276" s="31"/>
      <c r="K276" s="5"/>
      <c r="L276" s="5"/>
      <c r="M276" s="5"/>
      <c r="N276" s="5"/>
      <c r="O276" s="5"/>
      <c r="P276" s="5"/>
      <c r="Q276" s="5"/>
      <c r="R276" s="5"/>
      <c r="S276" s="5"/>
      <c r="T276" s="5"/>
      <c r="U276" s="5"/>
      <c r="V276" s="5"/>
      <c r="W276" s="5"/>
      <c r="X276" s="5"/>
      <c r="Y276" s="5"/>
      <c r="Z276" s="5"/>
    </row>
    <row r="277" ht="19.5" customHeight="1">
      <c r="A277" s="31"/>
      <c r="B277" s="30"/>
      <c r="C277" s="31"/>
      <c r="D277" s="31"/>
      <c r="E277" s="31"/>
      <c r="F277" s="32"/>
      <c r="G277" s="34">
        <f>IFERROR(SUMIFS(Transactions!$F$7:$F$989,Transactions!$G$7:$G$989,A277,Transactions!$D$7:$D$989,"Expense"),0)</f>
        <v>0</v>
      </c>
      <c r="H277" s="31"/>
      <c r="I277" s="31"/>
      <c r="J277" s="31"/>
      <c r="K277" s="5"/>
      <c r="L277" s="5"/>
      <c r="M277" s="5"/>
      <c r="N277" s="5"/>
      <c r="O277" s="5"/>
      <c r="P277" s="5"/>
      <c r="Q277" s="5"/>
      <c r="R277" s="5"/>
      <c r="S277" s="5"/>
      <c r="T277" s="5"/>
      <c r="U277" s="5"/>
      <c r="V277" s="5"/>
      <c r="W277" s="5"/>
      <c r="X277" s="5"/>
      <c r="Y277" s="5"/>
      <c r="Z277" s="5"/>
    </row>
    <row r="278" ht="19.5" customHeight="1">
      <c r="A278" s="31"/>
      <c r="B278" s="30"/>
      <c r="C278" s="31"/>
      <c r="D278" s="31"/>
      <c r="E278" s="31"/>
      <c r="F278" s="32"/>
      <c r="G278" s="34">
        <f>IFERROR(SUMIFS(Transactions!$F$7:$F$989,Transactions!$G$7:$G$989,A278,Transactions!$D$7:$D$989,"Expense"),0)</f>
        <v>0</v>
      </c>
      <c r="H278" s="31"/>
      <c r="I278" s="31"/>
      <c r="J278" s="31"/>
      <c r="K278" s="5"/>
      <c r="L278" s="5"/>
      <c r="M278" s="5"/>
      <c r="N278" s="5"/>
      <c r="O278" s="5"/>
      <c r="P278" s="5"/>
      <c r="Q278" s="5"/>
      <c r="R278" s="5"/>
      <c r="S278" s="5"/>
      <c r="T278" s="5"/>
      <c r="U278" s="5"/>
      <c r="V278" s="5"/>
      <c r="W278" s="5"/>
      <c r="X278" s="5"/>
      <c r="Y278" s="5"/>
      <c r="Z278" s="5"/>
    </row>
    <row r="279" ht="19.5" customHeight="1">
      <c r="A279" s="31"/>
      <c r="B279" s="30"/>
      <c r="C279" s="31"/>
      <c r="D279" s="31"/>
      <c r="E279" s="31"/>
      <c r="F279" s="32"/>
      <c r="G279" s="34">
        <f>IFERROR(SUMIFS(Transactions!$F$7:$F$989,Transactions!$G$7:$G$989,A279,Transactions!$D$7:$D$989,"Expense"),0)</f>
        <v>0</v>
      </c>
      <c r="H279" s="31"/>
      <c r="I279" s="31"/>
      <c r="J279" s="31"/>
      <c r="K279" s="5"/>
      <c r="L279" s="5"/>
      <c r="M279" s="5"/>
      <c r="N279" s="5"/>
      <c r="O279" s="5"/>
      <c r="P279" s="5"/>
      <c r="Q279" s="5"/>
      <c r="R279" s="5"/>
      <c r="S279" s="5"/>
      <c r="T279" s="5"/>
      <c r="U279" s="5"/>
      <c r="V279" s="5"/>
      <c r="W279" s="5"/>
      <c r="X279" s="5"/>
      <c r="Y279" s="5"/>
      <c r="Z279" s="5"/>
    </row>
    <row r="280" ht="19.5" customHeight="1">
      <c r="A280" s="31"/>
      <c r="B280" s="30"/>
      <c r="C280" s="31"/>
      <c r="D280" s="31"/>
      <c r="E280" s="31"/>
      <c r="F280" s="32"/>
      <c r="G280" s="34">
        <f>IFERROR(SUMIFS(Transactions!$F$7:$F$989,Transactions!$G$7:$G$989,A280,Transactions!$D$7:$D$989,"Expense"),0)</f>
        <v>0</v>
      </c>
      <c r="H280" s="31"/>
      <c r="I280" s="31"/>
      <c r="J280" s="31"/>
      <c r="K280" s="5"/>
      <c r="L280" s="5"/>
      <c r="M280" s="5"/>
      <c r="N280" s="5"/>
      <c r="O280" s="5"/>
      <c r="P280" s="5"/>
      <c r="Q280" s="5"/>
      <c r="R280" s="5"/>
      <c r="S280" s="5"/>
      <c r="T280" s="5"/>
      <c r="U280" s="5"/>
      <c r="V280" s="5"/>
      <c r="W280" s="5"/>
      <c r="X280" s="5"/>
      <c r="Y280" s="5"/>
      <c r="Z280" s="5"/>
    </row>
    <row r="281" ht="19.5" customHeight="1">
      <c r="A281" s="31"/>
      <c r="B281" s="30"/>
      <c r="C281" s="31"/>
      <c r="D281" s="31"/>
      <c r="E281" s="31"/>
      <c r="F281" s="32"/>
      <c r="G281" s="34">
        <f>IFERROR(SUMIFS(Transactions!$F$7:$F$989,Transactions!$G$7:$G$989,A281,Transactions!$D$7:$D$989,"Expense"),0)</f>
        <v>0</v>
      </c>
      <c r="H281" s="31"/>
      <c r="I281" s="31"/>
      <c r="J281" s="31"/>
      <c r="K281" s="5"/>
      <c r="L281" s="5"/>
      <c r="M281" s="5"/>
      <c r="N281" s="5"/>
      <c r="O281" s="5"/>
      <c r="P281" s="5"/>
      <c r="Q281" s="5"/>
      <c r="R281" s="5"/>
      <c r="S281" s="5"/>
      <c r="T281" s="5"/>
      <c r="U281" s="5"/>
      <c r="V281" s="5"/>
      <c r="W281" s="5"/>
      <c r="X281" s="5"/>
      <c r="Y281" s="5"/>
      <c r="Z281" s="5"/>
    </row>
    <row r="282" ht="19.5" customHeight="1">
      <c r="A282" s="31"/>
      <c r="B282" s="30"/>
      <c r="C282" s="31"/>
      <c r="D282" s="31"/>
      <c r="E282" s="31"/>
      <c r="F282" s="32"/>
      <c r="G282" s="34">
        <f>IFERROR(SUMIFS(Transactions!$F$7:$F$989,Transactions!$G$7:$G$989,A282,Transactions!$D$7:$D$989,"Expense"),0)</f>
        <v>0</v>
      </c>
      <c r="H282" s="31"/>
      <c r="I282" s="31"/>
      <c r="J282" s="31"/>
      <c r="K282" s="5"/>
      <c r="L282" s="5"/>
      <c r="M282" s="5"/>
      <c r="N282" s="5"/>
      <c r="O282" s="5"/>
      <c r="P282" s="5"/>
      <c r="Q282" s="5"/>
      <c r="R282" s="5"/>
      <c r="S282" s="5"/>
      <c r="T282" s="5"/>
      <c r="U282" s="5"/>
      <c r="V282" s="5"/>
      <c r="W282" s="5"/>
      <c r="X282" s="5"/>
      <c r="Y282" s="5"/>
      <c r="Z282" s="5"/>
    </row>
    <row r="283" ht="19.5" customHeight="1">
      <c r="A283" s="31"/>
      <c r="B283" s="30"/>
      <c r="C283" s="31"/>
      <c r="D283" s="31"/>
      <c r="E283" s="31"/>
      <c r="F283" s="32"/>
      <c r="G283" s="34">
        <f>IFERROR(SUMIFS(Transactions!$F$7:$F$989,Transactions!$G$7:$G$989,A283,Transactions!$D$7:$D$989,"Expense"),0)</f>
        <v>0</v>
      </c>
      <c r="H283" s="31"/>
      <c r="I283" s="31"/>
      <c r="J283" s="31"/>
      <c r="K283" s="5"/>
      <c r="L283" s="5"/>
      <c r="M283" s="5"/>
      <c r="N283" s="5"/>
      <c r="O283" s="5"/>
      <c r="P283" s="5"/>
      <c r="Q283" s="5"/>
      <c r="R283" s="5"/>
      <c r="S283" s="5"/>
      <c r="T283" s="5"/>
      <c r="U283" s="5"/>
      <c r="V283" s="5"/>
      <c r="W283" s="5"/>
      <c r="X283" s="5"/>
      <c r="Y283" s="5"/>
      <c r="Z283" s="5"/>
    </row>
    <row r="284" ht="19.5" customHeight="1">
      <c r="A284" s="31"/>
      <c r="B284" s="30"/>
      <c r="C284" s="31"/>
      <c r="D284" s="31"/>
      <c r="E284" s="31"/>
      <c r="F284" s="32"/>
      <c r="G284" s="34">
        <f>IFERROR(SUMIFS(Transactions!$F$7:$F$989,Transactions!$G$7:$G$989,A284,Transactions!$D$7:$D$989,"Expense"),0)</f>
        <v>0</v>
      </c>
      <c r="H284" s="31"/>
      <c r="I284" s="31"/>
      <c r="J284" s="31"/>
      <c r="K284" s="5"/>
      <c r="L284" s="5"/>
      <c r="M284" s="5"/>
      <c r="N284" s="5"/>
      <c r="O284" s="5"/>
      <c r="P284" s="5"/>
      <c r="Q284" s="5"/>
      <c r="R284" s="5"/>
      <c r="S284" s="5"/>
      <c r="T284" s="5"/>
      <c r="U284" s="5"/>
      <c r="V284" s="5"/>
      <c r="W284" s="5"/>
      <c r="X284" s="5"/>
      <c r="Y284" s="5"/>
      <c r="Z284" s="5"/>
    </row>
    <row r="285" ht="19.5" customHeight="1">
      <c r="A285" s="31"/>
      <c r="B285" s="30"/>
      <c r="C285" s="31"/>
      <c r="D285" s="31"/>
      <c r="E285" s="31"/>
      <c r="F285" s="32"/>
      <c r="G285" s="34">
        <f>IFERROR(SUMIFS(Transactions!$F$7:$F$989,Transactions!$G$7:$G$989,A285,Transactions!$D$7:$D$989,"Expense"),0)</f>
        <v>0</v>
      </c>
      <c r="H285" s="31"/>
      <c r="I285" s="31"/>
      <c r="J285" s="31"/>
      <c r="K285" s="5"/>
      <c r="L285" s="5"/>
      <c r="M285" s="5"/>
      <c r="N285" s="5"/>
      <c r="O285" s="5"/>
      <c r="P285" s="5"/>
      <c r="Q285" s="5"/>
      <c r="R285" s="5"/>
      <c r="S285" s="5"/>
      <c r="T285" s="5"/>
      <c r="U285" s="5"/>
      <c r="V285" s="5"/>
      <c r="W285" s="5"/>
      <c r="X285" s="5"/>
      <c r="Y285" s="5"/>
      <c r="Z285" s="5"/>
    </row>
    <row r="286" ht="19.5" customHeight="1">
      <c r="A286" s="31"/>
      <c r="B286" s="30"/>
      <c r="C286" s="31"/>
      <c r="D286" s="31"/>
      <c r="E286" s="31"/>
      <c r="F286" s="32"/>
      <c r="G286" s="34">
        <f>IFERROR(SUMIFS(Transactions!$F$7:$F$989,Transactions!$G$7:$G$989,A286,Transactions!$D$7:$D$989,"Expense"),0)</f>
        <v>0</v>
      </c>
      <c r="H286" s="31"/>
      <c r="I286" s="31"/>
      <c r="J286" s="31"/>
      <c r="K286" s="5"/>
      <c r="L286" s="5"/>
      <c r="M286" s="5"/>
      <c r="N286" s="5"/>
      <c r="O286" s="5"/>
      <c r="P286" s="5"/>
      <c r="Q286" s="5"/>
      <c r="R286" s="5"/>
      <c r="S286" s="5"/>
      <c r="T286" s="5"/>
      <c r="U286" s="5"/>
      <c r="V286" s="5"/>
      <c r="W286" s="5"/>
      <c r="X286" s="5"/>
      <c r="Y286" s="5"/>
      <c r="Z286" s="5"/>
    </row>
    <row r="287" ht="19.5" customHeight="1">
      <c r="A287" s="31"/>
      <c r="B287" s="30"/>
      <c r="C287" s="31"/>
      <c r="D287" s="31"/>
      <c r="E287" s="31"/>
      <c r="F287" s="32"/>
      <c r="G287" s="34">
        <f>IFERROR(SUMIFS(Transactions!$F$7:$F$989,Transactions!$G$7:$G$989,A287,Transactions!$D$7:$D$989,"Expense"),0)</f>
        <v>0</v>
      </c>
      <c r="H287" s="31"/>
      <c r="I287" s="31"/>
      <c r="J287" s="31"/>
      <c r="K287" s="5"/>
      <c r="L287" s="5"/>
      <c r="M287" s="5"/>
      <c r="N287" s="5"/>
      <c r="O287" s="5"/>
      <c r="P287" s="5"/>
      <c r="Q287" s="5"/>
      <c r="R287" s="5"/>
      <c r="S287" s="5"/>
      <c r="T287" s="5"/>
      <c r="U287" s="5"/>
      <c r="V287" s="5"/>
      <c r="W287" s="5"/>
      <c r="X287" s="5"/>
      <c r="Y287" s="5"/>
      <c r="Z287" s="5"/>
    </row>
    <row r="288" ht="19.5" customHeight="1">
      <c r="A288" s="31"/>
      <c r="B288" s="30"/>
      <c r="C288" s="31"/>
      <c r="D288" s="31"/>
      <c r="E288" s="31"/>
      <c r="F288" s="32"/>
      <c r="G288" s="34">
        <f>IFERROR(SUMIFS(Transactions!$F$7:$F$989,Transactions!$G$7:$G$989,A288,Transactions!$D$7:$D$989,"Expense"),0)</f>
        <v>0</v>
      </c>
      <c r="H288" s="31"/>
      <c r="I288" s="31"/>
      <c r="J288" s="31"/>
      <c r="K288" s="5"/>
      <c r="L288" s="5"/>
      <c r="M288" s="5"/>
      <c r="N288" s="5"/>
      <c r="O288" s="5"/>
      <c r="P288" s="5"/>
      <c r="Q288" s="5"/>
      <c r="R288" s="5"/>
      <c r="S288" s="5"/>
      <c r="T288" s="5"/>
      <c r="U288" s="5"/>
      <c r="V288" s="5"/>
      <c r="W288" s="5"/>
      <c r="X288" s="5"/>
      <c r="Y288" s="5"/>
      <c r="Z288" s="5"/>
    </row>
    <row r="289" ht="19.5" customHeight="1">
      <c r="A289" s="31"/>
      <c r="B289" s="30"/>
      <c r="C289" s="31"/>
      <c r="D289" s="31"/>
      <c r="E289" s="31"/>
      <c r="F289" s="32"/>
      <c r="G289" s="34">
        <f>IFERROR(SUMIFS(Transactions!$F$7:$F$989,Transactions!$G$7:$G$989,A289,Transactions!$D$7:$D$989,"Expense"),0)</f>
        <v>0</v>
      </c>
      <c r="H289" s="31"/>
      <c r="I289" s="31"/>
      <c r="J289" s="31"/>
      <c r="K289" s="5"/>
      <c r="L289" s="5"/>
      <c r="M289" s="5"/>
      <c r="N289" s="5"/>
      <c r="O289" s="5"/>
      <c r="P289" s="5"/>
      <c r="Q289" s="5"/>
      <c r="R289" s="5"/>
      <c r="S289" s="5"/>
      <c r="T289" s="5"/>
      <c r="U289" s="5"/>
      <c r="V289" s="5"/>
      <c r="W289" s="5"/>
      <c r="X289" s="5"/>
      <c r="Y289" s="5"/>
      <c r="Z289" s="5"/>
    </row>
    <row r="290" ht="19.5" customHeight="1">
      <c r="A290" s="31"/>
      <c r="B290" s="30"/>
      <c r="C290" s="31"/>
      <c r="D290" s="31"/>
      <c r="E290" s="31"/>
      <c r="F290" s="32"/>
      <c r="G290" s="34">
        <f>IFERROR(SUMIFS(Transactions!$F$7:$F$989,Transactions!$G$7:$G$989,A290,Transactions!$D$7:$D$989,"Expense"),0)</f>
        <v>0</v>
      </c>
      <c r="H290" s="31"/>
      <c r="I290" s="31"/>
      <c r="J290" s="31"/>
      <c r="K290" s="5"/>
      <c r="L290" s="5"/>
      <c r="M290" s="5"/>
      <c r="N290" s="5"/>
      <c r="O290" s="5"/>
      <c r="P290" s="5"/>
      <c r="Q290" s="5"/>
      <c r="R290" s="5"/>
      <c r="S290" s="5"/>
      <c r="T290" s="5"/>
      <c r="U290" s="5"/>
      <c r="V290" s="5"/>
      <c r="W290" s="5"/>
      <c r="X290" s="5"/>
      <c r="Y290" s="5"/>
      <c r="Z290" s="5"/>
    </row>
    <row r="291" ht="19.5" customHeight="1">
      <c r="A291" s="31"/>
      <c r="B291" s="30"/>
      <c r="C291" s="31"/>
      <c r="D291" s="31"/>
      <c r="E291" s="31"/>
      <c r="F291" s="32"/>
      <c r="G291" s="34">
        <f>IFERROR(SUMIFS(Transactions!$F$7:$F$989,Transactions!$G$7:$G$989,A291,Transactions!$D$7:$D$989,"Expense"),0)</f>
        <v>0</v>
      </c>
      <c r="H291" s="31"/>
      <c r="I291" s="31"/>
      <c r="J291" s="31"/>
      <c r="K291" s="5"/>
      <c r="L291" s="5"/>
      <c r="M291" s="5"/>
      <c r="N291" s="5"/>
      <c r="O291" s="5"/>
      <c r="P291" s="5"/>
      <c r="Q291" s="5"/>
      <c r="R291" s="5"/>
      <c r="S291" s="5"/>
      <c r="T291" s="5"/>
      <c r="U291" s="5"/>
      <c r="V291" s="5"/>
      <c r="W291" s="5"/>
      <c r="X291" s="5"/>
      <c r="Y291" s="5"/>
      <c r="Z291" s="5"/>
    </row>
    <row r="292" ht="19.5" customHeight="1">
      <c r="A292" s="31"/>
      <c r="B292" s="30"/>
      <c r="C292" s="31"/>
      <c r="D292" s="31"/>
      <c r="E292" s="31"/>
      <c r="F292" s="32"/>
      <c r="G292" s="34">
        <f>IFERROR(SUMIFS(Transactions!$F$7:$F$989,Transactions!$G$7:$G$989,A292,Transactions!$D$7:$D$989,"Expense"),0)</f>
        <v>0</v>
      </c>
      <c r="H292" s="31"/>
      <c r="I292" s="31"/>
      <c r="J292" s="31"/>
      <c r="K292" s="5"/>
      <c r="L292" s="5"/>
      <c r="M292" s="5"/>
      <c r="N292" s="5"/>
      <c r="O292" s="5"/>
      <c r="P292" s="5"/>
      <c r="Q292" s="5"/>
      <c r="R292" s="5"/>
      <c r="S292" s="5"/>
      <c r="T292" s="5"/>
      <c r="U292" s="5"/>
      <c r="V292" s="5"/>
      <c r="W292" s="5"/>
      <c r="X292" s="5"/>
      <c r="Y292" s="5"/>
      <c r="Z292" s="5"/>
    </row>
    <row r="293" ht="19.5" customHeight="1">
      <c r="A293" s="31"/>
      <c r="B293" s="30"/>
      <c r="C293" s="31"/>
      <c r="D293" s="31"/>
      <c r="E293" s="31"/>
      <c r="F293" s="32"/>
      <c r="G293" s="34">
        <f>IFERROR(SUMIFS(Transactions!$F$7:$F$989,Transactions!$G$7:$G$989,A293,Transactions!$D$7:$D$989,"Expense"),0)</f>
        <v>0</v>
      </c>
      <c r="H293" s="31"/>
      <c r="I293" s="31"/>
      <c r="J293" s="31"/>
      <c r="K293" s="5"/>
      <c r="L293" s="5"/>
      <c r="M293" s="5"/>
      <c r="N293" s="5"/>
      <c r="O293" s="5"/>
      <c r="P293" s="5"/>
      <c r="Q293" s="5"/>
      <c r="R293" s="5"/>
      <c r="S293" s="5"/>
      <c r="T293" s="5"/>
      <c r="U293" s="5"/>
      <c r="V293" s="5"/>
      <c r="W293" s="5"/>
      <c r="X293" s="5"/>
      <c r="Y293" s="5"/>
      <c r="Z293" s="5"/>
    </row>
    <row r="294" ht="19.5" customHeight="1">
      <c r="A294" s="31"/>
      <c r="B294" s="30"/>
      <c r="C294" s="31"/>
      <c r="D294" s="31"/>
      <c r="E294" s="31"/>
      <c r="F294" s="32"/>
      <c r="G294" s="34">
        <f>IFERROR(SUMIFS(Transactions!$F$7:$F$989,Transactions!$G$7:$G$989,A294,Transactions!$D$7:$D$989,"Expense"),0)</f>
        <v>0</v>
      </c>
      <c r="H294" s="31"/>
      <c r="I294" s="31"/>
      <c r="J294" s="31"/>
      <c r="K294" s="5"/>
      <c r="L294" s="5"/>
      <c r="M294" s="5"/>
      <c r="N294" s="5"/>
      <c r="O294" s="5"/>
      <c r="P294" s="5"/>
      <c r="Q294" s="5"/>
      <c r="R294" s="5"/>
      <c r="S294" s="5"/>
      <c r="T294" s="5"/>
      <c r="U294" s="5"/>
      <c r="V294" s="5"/>
      <c r="W294" s="5"/>
      <c r="X294" s="5"/>
      <c r="Y294" s="5"/>
      <c r="Z294" s="5"/>
    </row>
    <row r="295" ht="19.5" customHeight="1">
      <c r="A295" s="31"/>
      <c r="B295" s="30"/>
      <c r="C295" s="31"/>
      <c r="D295" s="31"/>
      <c r="E295" s="31"/>
      <c r="F295" s="32"/>
      <c r="G295" s="34">
        <f>IFERROR(SUMIFS(Transactions!$F$7:$F$989,Transactions!$G$7:$G$989,A295,Transactions!$D$7:$D$989,"Expense"),0)</f>
        <v>0</v>
      </c>
      <c r="H295" s="31"/>
      <c r="I295" s="31"/>
      <c r="J295" s="31"/>
      <c r="K295" s="5"/>
      <c r="L295" s="5"/>
      <c r="M295" s="5"/>
      <c r="N295" s="5"/>
      <c r="O295" s="5"/>
      <c r="P295" s="5"/>
      <c r="Q295" s="5"/>
      <c r="R295" s="5"/>
      <c r="S295" s="5"/>
      <c r="T295" s="5"/>
      <c r="U295" s="5"/>
      <c r="V295" s="5"/>
      <c r="W295" s="5"/>
      <c r="X295" s="5"/>
      <c r="Y295" s="5"/>
      <c r="Z295" s="5"/>
    </row>
    <row r="296" ht="19.5" customHeight="1">
      <c r="A296" s="31"/>
      <c r="B296" s="30"/>
      <c r="C296" s="31"/>
      <c r="D296" s="31"/>
      <c r="E296" s="31"/>
      <c r="F296" s="32"/>
      <c r="G296" s="34">
        <f>IFERROR(SUMIFS(Transactions!$F$7:$F$989,Transactions!$G$7:$G$989,A296,Transactions!$D$7:$D$989,"Expense"),0)</f>
        <v>0</v>
      </c>
      <c r="H296" s="31"/>
      <c r="I296" s="31"/>
      <c r="J296" s="31"/>
      <c r="K296" s="5"/>
      <c r="L296" s="5"/>
      <c r="M296" s="5"/>
      <c r="N296" s="5"/>
      <c r="O296" s="5"/>
      <c r="P296" s="5"/>
      <c r="Q296" s="5"/>
      <c r="R296" s="5"/>
      <c r="S296" s="5"/>
      <c r="T296" s="5"/>
      <c r="U296" s="5"/>
      <c r="V296" s="5"/>
      <c r="W296" s="5"/>
      <c r="X296" s="5"/>
      <c r="Y296" s="5"/>
      <c r="Z296" s="5"/>
    </row>
    <row r="297" ht="19.5" customHeight="1">
      <c r="A297" s="31"/>
      <c r="B297" s="30"/>
      <c r="C297" s="31"/>
      <c r="D297" s="31"/>
      <c r="E297" s="31"/>
      <c r="F297" s="32"/>
      <c r="G297" s="34">
        <f>IFERROR(SUMIFS(Transactions!$F$7:$F$989,Transactions!$G$7:$G$989,A297,Transactions!$D$7:$D$989,"Expense"),0)</f>
        <v>0</v>
      </c>
      <c r="H297" s="31"/>
      <c r="I297" s="31"/>
      <c r="J297" s="31"/>
      <c r="K297" s="5"/>
      <c r="L297" s="5"/>
      <c r="M297" s="5"/>
      <c r="N297" s="5"/>
      <c r="O297" s="5"/>
      <c r="P297" s="5"/>
      <c r="Q297" s="5"/>
      <c r="R297" s="5"/>
      <c r="S297" s="5"/>
      <c r="T297" s="5"/>
      <c r="U297" s="5"/>
      <c r="V297" s="5"/>
      <c r="W297" s="5"/>
      <c r="X297" s="5"/>
      <c r="Y297" s="5"/>
      <c r="Z297" s="5"/>
    </row>
    <row r="298" ht="19.5" customHeight="1">
      <c r="A298" s="31"/>
      <c r="B298" s="30"/>
      <c r="C298" s="31"/>
      <c r="D298" s="31"/>
      <c r="E298" s="31"/>
      <c r="F298" s="32"/>
      <c r="G298" s="34">
        <f>IFERROR(SUMIFS(Transactions!$F$7:$F$989,Transactions!$G$7:$G$989,A298,Transactions!$D$7:$D$989,"Expense"),0)</f>
        <v>0</v>
      </c>
      <c r="H298" s="31"/>
      <c r="I298" s="31"/>
      <c r="J298" s="31"/>
      <c r="K298" s="5"/>
      <c r="L298" s="5"/>
      <c r="M298" s="5"/>
      <c r="N298" s="5"/>
      <c r="O298" s="5"/>
      <c r="P298" s="5"/>
      <c r="Q298" s="5"/>
      <c r="R298" s="5"/>
      <c r="S298" s="5"/>
      <c r="T298" s="5"/>
      <c r="U298" s="5"/>
      <c r="V298" s="5"/>
      <c r="W298" s="5"/>
      <c r="X298" s="5"/>
      <c r="Y298" s="5"/>
      <c r="Z298" s="5"/>
    </row>
    <row r="299" ht="19.5" customHeight="1">
      <c r="A299" s="31"/>
      <c r="B299" s="30"/>
      <c r="C299" s="31"/>
      <c r="D299" s="31"/>
      <c r="E299" s="31"/>
      <c r="F299" s="32"/>
      <c r="G299" s="34">
        <f>IFERROR(SUMIFS(Transactions!$F$7:$F$989,Transactions!$G$7:$G$989,A299,Transactions!$D$7:$D$989,"Expense"),0)</f>
        <v>0</v>
      </c>
      <c r="H299" s="31"/>
      <c r="I299" s="31"/>
      <c r="J299" s="31"/>
      <c r="K299" s="5"/>
      <c r="L299" s="5"/>
      <c r="M299" s="5"/>
      <c r="N299" s="5"/>
      <c r="O299" s="5"/>
      <c r="P299" s="5"/>
      <c r="Q299" s="5"/>
      <c r="R299" s="5"/>
      <c r="S299" s="5"/>
      <c r="T299" s="5"/>
      <c r="U299" s="5"/>
      <c r="V299" s="5"/>
      <c r="W299" s="5"/>
      <c r="X299" s="5"/>
      <c r="Y299" s="5"/>
      <c r="Z299" s="5"/>
    </row>
    <row r="300" ht="19.5" customHeight="1">
      <c r="A300" s="31"/>
      <c r="B300" s="30"/>
      <c r="C300" s="31"/>
      <c r="D300" s="31"/>
      <c r="E300" s="31"/>
      <c r="F300" s="32"/>
      <c r="G300" s="34">
        <f>IFERROR(SUMIFS(Transactions!$F$7:$F$989,Transactions!$G$7:$G$989,A300,Transactions!$D$7:$D$989,"Expense"),0)</f>
        <v>0</v>
      </c>
      <c r="H300" s="31"/>
      <c r="I300" s="31"/>
      <c r="J300" s="31"/>
      <c r="K300" s="5"/>
      <c r="L300" s="5"/>
      <c r="M300" s="5"/>
      <c r="N300" s="5"/>
      <c r="O300" s="5"/>
      <c r="P300" s="5"/>
      <c r="Q300" s="5"/>
      <c r="R300" s="5"/>
      <c r="S300" s="5"/>
      <c r="T300" s="5"/>
      <c r="U300" s="5"/>
      <c r="V300" s="5"/>
      <c r="W300" s="5"/>
      <c r="X300" s="5"/>
      <c r="Y300" s="5"/>
      <c r="Z300" s="5"/>
    </row>
    <row r="301" ht="19.5" customHeight="1">
      <c r="A301" s="31"/>
      <c r="B301" s="30"/>
      <c r="C301" s="31"/>
      <c r="D301" s="31"/>
      <c r="E301" s="31"/>
      <c r="F301" s="32"/>
      <c r="G301" s="34">
        <f>IFERROR(SUMIFS(Transactions!$F$7:$F$989,Transactions!$G$7:$G$989,A301,Transactions!$D$7:$D$989,"Expense"),0)</f>
        <v>0</v>
      </c>
      <c r="H301" s="31"/>
      <c r="I301" s="31"/>
      <c r="J301" s="31"/>
      <c r="K301" s="5"/>
      <c r="L301" s="5"/>
      <c r="M301" s="5"/>
      <c r="N301" s="5"/>
      <c r="O301" s="5"/>
      <c r="P301" s="5"/>
      <c r="Q301" s="5"/>
      <c r="R301" s="5"/>
      <c r="S301" s="5"/>
      <c r="T301" s="5"/>
      <c r="U301" s="5"/>
      <c r="V301" s="5"/>
      <c r="W301" s="5"/>
      <c r="X301" s="5"/>
      <c r="Y301" s="5"/>
      <c r="Z301" s="5"/>
    </row>
    <row r="302" ht="19.5" customHeight="1">
      <c r="A302" s="31"/>
      <c r="B302" s="30"/>
      <c r="C302" s="31"/>
      <c r="D302" s="31"/>
      <c r="E302" s="31"/>
      <c r="F302" s="32"/>
      <c r="G302" s="34">
        <f>IFERROR(SUMIFS(Transactions!$F$7:$F$989,Transactions!$G$7:$G$989,A302,Transactions!$D$7:$D$989,"Expense"),0)</f>
        <v>0</v>
      </c>
      <c r="H302" s="31"/>
      <c r="I302" s="31"/>
      <c r="J302" s="31"/>
      <c r="K302" s="5"/>
      <c r="L302" s="5"/>
      <c r="M302" s="5"/>
      <c r="N302" s="5"/>
      <c r="O302" s="5"/>
      <c r="P302" s="5"/>
      <c r="Q302" s="5"/>
      <c r="R302" s="5"/>
      <c r="S302" s="5"/>
      <c r="T302" s="5"/>
      <c r="U302" s="5"/>
      <c r="V302" s="5"/>
      <c r="W302" s="5"/>
      <c r="X302" s="5"/>
      <c r="Y302" s="5"/>
      <c r="Z302" s="5"/>
    </row>
    <row r="303" ht="19.5" customHeight="1">
      <c r="A303" s="31"/>
      <c r="B303" s="30"/>
      <c r="C303" s="31"/>
      <c r="D303" s="31"/>
      <c r="E303" s="31"/>
      <c r="F303" s="32"/>
      <c r="G303" s="34">
        <f>IFERROR(SUMIFS(Transactions!$F$7:$F$989,Transactions!$G$7:$G$989,A303,Transactions!$D$7:$D$989,"Expense"),0)</f>
        <v>0</v>
      </c>
      <c r="H303" s="31"/>
      <c r="I303" s="31"/>
      <c r="J303" s="31"/>
      <c r="K303" s="5"/>
      <c r="L303" s="5"/>
      <c r="M303" s="5"/>
      <c r="N303" s="5"/>
      <c r="O303" s="5"/>
      <c r="P303" s="5"/>
      <c r="Q303" s="5"/>
      <c r="R303" s="5"/>
      <c r="S303" s="5"/>
      <c r="T303" s="5"/>
      <c r="U303" s="5"/>
      <c r="V303" s="5"/>
      <c r="W303" s="5"/>
      <c r="X303" s="5"/>
      <c r="Y303" s="5"/>
      <c r="Z303" s="5"/>
    </row>
    <row r="304" ht="19.5" customHeight="1">
      <c r="A304" s="31"/>
      <c r="B304" s="30"/>
      <c r="C304" s="31"/>
      <c r="D304" s="31"/>
      <c r="E304" s="31"/>
      <c r="F304" s="32"/>
      <c r="G304" s="34">
        <f>IFERROR(SUMIFS(Transactions!$F$7:$F$989,Transactions!$G$7:$G$989,A304,Transactions!$D$7:$D$989,"Expense"),0)</f>
        <v>0</v>
      </c>
      <c r="H304" s="31"/>
      <c r="I304" s="31"/>
      <c r="J304" s="31"/>
      <c r="K304" s="5"/>
      <c r="L304" s="5"/>
      <c r="M304" s="5"/>
      <c r="N304" s="5"/>
      <c r="O304" s="5"/>
      <c r="P304" s="5"/>
      <c r="Q304" s="5"/>
      <c r="R304" s="5"/>
      <c r="S304" s="5"/>
      <c r="T304" s="5"/>
      <c r="U304" s="5"/>
      <c r="V304" s="5"/>
      <c r="W304" s="5"/>
      <c r="X304" s="5"/>
      <c r="Y304" s="5"/>
      <c r="Z304" s="5"/>
    </row>
    <row r="305" ht="19.5" customHeight="1">
      <c r="A305" s="31"/>
      <c r="B305" s="30"/>
      <c r="C305" s="31"/>
      <c r="D305" s="31"/>
      <c r="E305" s="31"/>
      <c r="F305" s="32"/>
      <c r="G305" s="34">
        <f>IFERROR(SUMIFS(Transactions!$F$7:$F$989,Transactions!$G$7:$G$989,A305,Transactions!$D$7:$D$989,"Expense"),0)</f>
        <v>0</v>
      </c>
      <c r="H305" s="31"/>
      <c r="I305" s="31"/>
      <c r="J305" s="31"/>
      <c r="K305" s="5"/>
      <c r="L305" s="5"/>
      <c r="M305" s="5"/>
      <c r="N305" s="5"/>
      <c r="O305" s="5"/>
      <c r="P305" s="5"/>
      <c r="Q305" s="5"/>
      <c r="R305" s="5"/>
      <c r="S305" s="5"/>
      <c r="T305" s="5"/>
      <c r="U305" s="5"/>
      <c r="V305" s="5"/>
      <c r="W305" s="5"/>
      <c r="X305" s="5"/>
      <c r="Y305" s="5"/>
      <c r="Z305" s="5"/>
    </row>
    <row r="306" ht="19.5" customHeight="1">
      <c r="A306" s="31"/>
      <c r="B306" s="30"/>
      <c r="C306" s="31"/>
      <c r="D306" s="31"/>
      <c r="E306" s="31"/>
      <c r="F306" s="32"/>
      <c r="G306" s="34">
        <f>IFERROR(SUMIFS(Transactions!$F$7:$F$989,Transactions!$G$7:$G$989,A306,Transactions!$D$7:$D$989,"Expense"),0)</f>
        <v>0</v>
      </c>
      <c r="H306" s="31"/>
      <c r="I306" s="31"/>
      <c r="J306" s="31"/>
      <c r="K306" s="5"/>
      <c r="L306" s="5"/>
      <c r="M306" s="5"/>
      <c r="N306" s="5"/>
      <c r="O306" s="5"/>
      <c r="P306" s="5"/>
      <c r="Q306" s="5"/>
      <c r="R306" s="5"/>
      <c r="S306" s="5"/>
      <c r="T306" s="5"/>
      <c r="U306" s="5"/>
      <c r="V306" s="5"/>
      <c r="W306" s="5"/>
      <c r="X306" s="5"/>
      <c r="Y306" s="5"/>
      <c r="Z306" s="5"/>
    </row>
    <row r="307" ht="19.5" customHeight="1">
      <c r="A307" s="31"/>
      <c r="B307" s="30"/>
      <c r="C307" s="31"/>
      <c r="D307" s="31"/>
      <c r="E307" s="31"/>
      <c r="F307" s="32"/>
      <c r="G307" s="34">
        <f>IFERROR(SUMIFS(Transactions!$F$7:$F$989,Transactions!$G$7:$G$989,A307,Transactions!$D$7:$D$989,"Expense"),0)</f>
        <v>0</v>
      </c>
      <c r="H307" s="31"/>
      <c r="I307" s="31"/>
      <c r="J307" s="31"/>
      <c r="K307" s="5"/>
      <c r="L307" s="5"/>
      <c r="M307" s="5"/>
      <c r="N307" s="5"/>
      <c r="O307" s="5"/>
      <c r="P307" s="5"/>
      <c r="Q307" s="5"/>
      <c r="R307" s="5"/>
      <c r="S307" s="5"/>
      <c r="T307" s="5"/>
      <c r="U307" s="5"/>
      <c r="V307" s="5"/>
      <c r="W307" s="5"/>
      <c r="X307" s="5"/>
      <c r="Y307" s="5"/>
      <c r="Z307" s="5"/>
    </row>
    <row r="308" ht="19.5" customHeight="1">
      <c r="A308" s="31"/>
      <c r="B308" s="30"/>
      <c r="C308" s="31"/>
      <c r="D308" s="31"/>
      <c r="E308" s="31"/>
      <c r="F308" s="32"/>
      <c r="G308" s="34">
        <f>IFERROR(SUMIFS(Transactions!$F$7:$F$989,Transactions!$G$7:$G$989,A308,Transactions!$D$7:$D$989,"Expense"),0)</f>
        <v>0</v>
      </c>
      <c r="H308" s="31"/>
      <c r="I308" s="31"/>
      <c r="J308" s="31"/>
      <c r="K308" s="5"/>
      <c r="L308" s="5"/>
      <c r="M308" s="5"/>
      <c r="N308" s="5"/>
      <c r="O308" s="5"/>
      <c r="P308" s="5"/>
      <c r="Q308" s="5"/>
      <c r="R308" s="5"/>
      <c r="S308" s="5"/>
      <c r="T308" s="5"/>
      <c r="U308" s="5"/>
      <c r="V308" s="5"/>
      <c r="W308" s="5"/>
      <c r="X308" s="5"/>
      <c r="Y308" s="5"/>
      <c r="Z308" s="5"/>
    </row>
    <row r="309" ht="19.5" customHeight="1">
      <c r="A309" s="31"/>
      <c r="B309" s="30"/>
      <c r="C309" s="31"/>
      <c r="D309" s="31"/>
      <c r="E309" s="31"/>
      <c r="F309" s="32"/>
      <c r="G309" s="34">
        <f>IFERROR(SUMIFS(Transactions!$F$7:$F$989,Transactions!$G$7:$G$989,A309,Transactions!$D$7:$D$989,"Expense"),0)</f>
        <v>0</v>
      </c>
      <c r="H309" s="31"/>
      <c r="I309" s="31"/>
      <c r="J309" s="31"/>
      <c r="K309" s="5"/>
      <c r="L309" s="5"/>
      <c r="M309" s="5"/>
      <c r="N309" s="5"/>
      <c r="O309" s="5"/>
      <c r="P309" s="5"/>
      <c r="Q309" s="5"/>
      <c r="R309" s="5"/>
      <c r="S309" s="5"/>
      <c r="T309" s="5"/>
      <c r="U309" s="5"/>
      <c r="V309" s="5"/>
      <c r="W309" s="5"/>
      <c r="X309" s="5"/>
      <c r="Y309" s="5"/>
      <c r="Z309" s="5"/>
    </row>
    <row r="310" ht="19.5" customHeight="1">
      <c r="A310" s="31"/>
      <c r="B310" s="30"/>
      <c r="C310" s="31"/>
      <c r="D310" s="31"/>
      <c r="E310" s="31"/>
      <c r="F310" s="32"/>
      <c r="G310" s="34">
        <f>IFERROR(SUMIFS(Transactions!$F$7:$F$989,Transactions!$G$7:$G$989,A310,Transactions!$D$7:$D$989,"Expense"),0)</f>
        <v>0</v>
      </c>
      <c r="H310" s="31"/>
      <c r="I310" s="31"/>
      <c r="J310" s="31"/>
      <c r="K310" s="5"/>
      <c r="L310" s="5"/>
      <c r="M310" s="5"/>
      <c r="N310" s="5"/>
      <c r="O310" s="5"/>
      <c r="P310" s="5"/>
      <c r="Q310" s="5"/>
      <c r="R310" s="5"/>
      <c r="S310" s="5"/>
      <c r="T310" s="5"/>
      <c r="U310" s="5"/>
      <c r="V310" s="5"/>
      <c r="W310" s="5"/>
      <c r="X310" s="5"/>
      <c r="Y310" s="5"/>
      <c r="Z310" s="5"/>
    </row>
    <row r="311" ht="19.5" customHeight="1">
      <c r="A311" s="31"/>
      <c r="B311" s="30"/>
      <c r="C311" s="31"/>
      <c r="D311" s="31"/>
      <c r="E311" s="31"/>
      <c r="F311" s="32"/>
      <c r="G311" s="34">
        <f>IFERROR(SUMIFS(Transactions!$F$7:$F$989,Transactions!$G$7:$G$989,A311,Transactions!$D$7:$D$989,"Expense"),0)</f>
        <v>0</v>
      </c>
      <c r="H311" s="31"/>
      <c r="I311" s="31"/>
      <c r="J311" s="31"/>
      <c r="K311" s="5"/>
      <c r="L311" s="5"/>
      <c r="M311" s="5"/>
      <c r="N311" s="5"/>
      <c r="O311" s="5"/>
      <c r="P311" s="5"/>
      <c r="Q311" s="5"/>
      <c r="R311" s="5"/>
      <c r="S311" s="5"/>
      <c r="T311" s="5"/>
      <c r="U311" s="5"/>
      <c r="V311" s="5"/>
      <c r="W311" s="5"/>
      <c r="X311" s="5"/>
      <c r="Y311" s="5"/>
      <c r="Z311" s="5"/>
    </row>
    <row r="312" ht="19.5" customHeight="1">
      <c r="A312" s="31"/>
      <c r="B312" s="30"/>
      <c r="C312" s="31"/>
      <c r="D312" s="31"/>
      <c r="E312" s="31"/>
      <c r="F312" s="32"/>
      <c r="G312" s="34">
        <f>IFERROR(SUMIFS(Transactions!$F$7:$F$989,Transactions!$G$7:$G$989,A312,Transactions!$D$7:$D$989,"Expense"),0)</f>
        <v>0</v>
      </c>
      <c r="H312" s="31"/>
      <c r="I312" s="31"/>
      <c r="J312" s="31"/>
      <c r="K312" s="5"/>
      <c r="L312" s="5"/>
      <c r="M312" s="5"/>
      <c r="N312" s="5"/>
      <c r="O312" s="5"/>
      <c r="P312" s="5"/>
      <c r="Q312" s="5"/>
      <c r="R312" s="5"/>
      <c r="S312" s="5"/>
      <c r="T312" s="5"/>
      <c r="U312" s="5"/>
      <c r="V312" s="5"/>
      <c r="W312" s="5"/>
      <c r="X312" s="5"/>
      <c r="Y312" s="5"/>
      <c r="Z312" s="5"/>
    </row>
    <row r="313" ht="19.5" customHeight="1">
      <c r="A313" s="31"/>
      <c r="B313" s="30"/>
      <c r="C313" s="31"/>
      <c r="D313" s="31"/>
      <c r="E313" s="31"/>
      <c r="F313" s="32"/>
      <c r="G313" s="34">
        <f>IFERROR(SUMIFS(Transactions!$F$7:$F$989,Transactions!$G$7:$G$989,A313,Transactions!$D$7:$D$989,"Expense"),0)</f>
        <v>0</v>
      </c>
      <c r="H313" s="31"/>
      <c r="I313" s="31"/>
      <c r="J313" s="31"/>
      <c r="K313" s="5"/>
      <c r="L313" s="5"/>
      <c r="M313" s="5"/>
      <c r="N313" s="5"/>
      <c r="O313" s="5"/>
      <c r="P313" s="5"/>
      <c r="Q313" s="5"/>
      <c r="R313" s="5"/>
      <c r="S313" s="5"/>
      <c r="T313" s="5"/>
      <c r="U313" s="5"/>
      <c r="V313" s="5"/>
      <c r="W313" s="5"/>
      <c r="X313" s="5"/>
      <c r="Y313" s="5"/>
      <c r="Z313" s="5"/>
    </row>
    <row r="314" ht="19.5" customHeight="1">
      <c r="A314" s="31"/>
      <c r="B314" s="30"/>
      <c r="C314" s="31"/>
      <c r="D314" s="31"/>
      <c r="E314" s="31"/>
      <c r="F314" s="32"/>
      <c r="G314" s="34">
        <f>IFERROR(SUMIFS(Transactions!$F$7:$F$989,Transactions!$G$7:$G$989,A314,Transactions!$D$7:$D$989,"Expense"),0)</f>
        <v>0</v>
      </c>
      <c r="H314" s="31"/>
      <c r="I314" s="31"/>
      <c r="J314" s="31"/>
      <c r="K314" s="5"/>
      <c r="L314" s="5"/>
      <c r="M314" s="5"/>
      <c r="N314" s="5"/>
      <c r="O314" s="5"/>
      <c r="P314" s="5"/>
      <c r="Q314" s="5"/>
      <c r="R314" s="5"/>
      <c r="S314" s="5"/>
      <c r="T314" s="5"/>
      <c r="U314" s="5"/>
      <c r="V314" s="5"/>
      <c r="W314" s="5"/>
      <c r="X314" s="5"/>
      <c r="Y314" s="5"/>
      <c r="Z314" s="5"/>
    </row>
    <row r="315" ht="19.5" customHeight="1">
      <c r="A315" s="31"/>
      <c r="B315" s="30"/>
      <c r="C315" s="31"/>
      <c r="D315" s="31"/>
      <c r="E315" s="31"/>
      <c r="F315" s="32"/>
      <c r="G315" s="34">
        <f>IFERROR(SUMIFS(Transactions!$F$7:$F$989,Transactions!$G$7:$G$989,A315,Transactions!$D$7:$D$989,"Expense"),0)</f>
        <v>0</v>
      </c>
      <c r="H315" s="31"/>
      <c r="I315" s="31"/>
      <c r="J315" s="31"/>
      <c r="K315" s="5"/>
      <c r="L315" s="5"/>
      <c r="M315" s="5"/>
      <c r="N315" s="5"/>
      <c r="O315" s="5"/>
      <c r="P315" s="5"/>
      <c r="Q315" s="5"/>
      <c r="R315" s="5"/>
      <c r="S315" s="5"/>
      <c r="T315" s="5"/>
      <c r="U315" s="5"/>
      <c r="V315" s="5"/>
      <c r="W315" s="5"/>
      <c r="X315" s="5"/>
      <c r="Y315" s="5"/>
      <c r="Z315" s="5"/>
    </row>
    <row r="316" ht="19.5" customHeight="1">
      <c r="A316" s="31"/>
      <c r="B316" s="30"/>
      <c r="C316" s="31"/>
      <c r="D316" s="31"/>
      <c r="E316" s="31"/>
      <c r="F316" s="32"/>
      <c r="G316" s="34">
        <f>IFERROR(SUMIFS(Transactions!$F$7:$F$989,Transactions!$G$7:$G$989,A316,Transactions!$D$7:$D$989,"Expense"),0)</f>
        <v>0</v>
      </c>
      <c r="H316" s="31"/>
      <c r="I316" s="31"/>
      <c r="J316" s="31"/>
      <c r="K316" s="5"/>
      <c r="L316" s="5"/>
      <c r="M316" s="5"/>
      <c r="N316" s="5"/>
      <c r="O316" s="5"/>
      <c r="P316" s="5"/>
      <c r="Q316" s="5"/>
      <c r="R316" s="5"/>
      <c r="S316" s="5"/>
      <c r="T316" s="5"/>
      <c r="U316" s="5"/>
      <c r="V316" s="5"/>
      <c r="W316" s="5"/>
      <c r="X316" s="5"/>
      <c r="Y316" s="5"/>
      <c r="Z316" s="5"/>
    </row>
    <row r="317" ht="19.5" customHeight="1">
      <c r="A317" s="31"/>
      <c r="B317" s="30"/>
      <c r="C317" s="31"/>
      <c r="D317" s="31"/>
      <c r="E317" s="31"/>
      <c r="F317" s="32"/>
      <c r="G317" s="34">
        <f>IFERROR(SUMIFS(Transactions!$F$7:$F$989,Transactions!$G$7:$G$989,A317,Transactions!$D$7:$D$989,"Expense"),0)</f>
        <v>0</v>
      </c>
      <c r="H317" s="31"/>
      <c r="I317" s="31"/>
      <c r="J317" s="31"/>
      <c r="K317" s="5"/>
      <c r="L317" s="5"/>
      <c r="M317" s="5"/>
      <c r="N317" s="5"/>
      <c r="O317" s="5"/>
      <c r="P317" s="5"/>
      <c r="Q317" s="5"/>
      <c r="R317" s="5"/>
      <c r="S317" s="5"/>
      <c r="T317" s="5"/>
      <c r="U317" s="5"/>
      <c r="V317" s="5"/>
      <c r="W317" s="5"/>
      <c r="X317" s="5"/>
      <c r="Y317" s="5"/>
      <c r="Z317" s="5"/>
    </row>
    <row r="318" ht="19.5" customHeight="1">
      <c r="A318" s="31"/>
      <c r="B318" s="30"/>
      <c r="C318" s="31"/>
      <c r="D318" s="31"/>
      <c r="E318" s="31"/>
      <c r="F318" s="32"/>
      <c r="G318" s="34">
        <f>IFERROR(SUMIFS(Transactions!$F$7:$F$989,Transactions!$G$7:$G$989,A318,Transactions!$D$7:$D$989,"Expense"),0)</f>
        <v>0</v>
      </c>
      <c r="H318" s="31"/>
      <c r="I318" s="31"/>
      <c r="J318" s="31"/>
      <c r="K318" s="5"/>
      <c r="L318" s="5"/>
      <c r="M318" s="5"/>
      <c r="N318" s="5"/>
      <c r="O318" s="5"/>
      <c r="P318" s="5"/>
      <c r="Q318" s="5"/>
      <c r="R318" s="5"/>
      <c r="S318" s="5"/>
      <c r="T318" s="5"/>
      <c r="U318" s="5"/>
      <c r="V318" s="5"/>
      <c r="W318" s="5"/>
      <c r="X318" s="5"/>
      <c r="Y318" s="5"/>
      <c r="Z318" s="5"/>
    </row>
    <row r="319" ht="19.5" customHeight="1">
      <c r="A319" s="31"/>
      <c r="B319" s="30"/>
      <c r="C319" s="31"/>
      <c r="D319" s="31"/>
      <c r="E319" s="31"/>
      <c r="F319" s="32"/>
      <c r="G319" s="34">
        <f>IFERROR(SUMIFS(Transactions!$F$7:$F$989,Transactions!$G$7:$G$989,A319,Transactions!$D$7:$D$989,"Expense"),0)</f>
        <v>0</v>
      </c>
      <c r="H319" s="31"/>
      <c r="I319" s="31"/>
      <c r="J319" s="31"/>
      <c r="K319" s="5"/>
      <c r="L319" s="5"/>
      <c r="M319" s="5"/>
      <c r="N319" s="5"/>
      <c r="O319" s="5"/>
      <c r="P319" s="5"/>
      <c r="Q319" s="5"/>
      <c r="R319" s="5"/>
      <c r="S319" s="5"/>
      <c r="T319" s="5"/>
      <c r="U319" s="5"/>
      <c r="V319" s="5"/>
      <c r="W319" s="5"/>
      <c r="X319" s="5"/>
      <c r="Y319" s="5"/>
      <c r="Z319" s="5"/>
    </row>
    <row r="320" ht="19.5" customHeight="1">
      <c r="A320" s="31"/>
      <c r="B320" s="30"/>
      <c r="C320" s="31"/>
      <c r="D320" s="31"/>
      <c r="E320" s="31"/>
      <c r="F320" s="32"/>
      <c r="G320" s="34">
        <f>IFERROR(SUMIFS(Transactions!$F$7:$F$989,Transactions!$G$7:$G$989,A320,Transactions!$D$7:$D$989,"Expense"),0)</f>
        <v>0</v>
      </c>
      <c r="H320" s="31"/>
      <c r="I320" s="31"/>
      <c r="J320" s="31"/>
      <c r="K320" s="5"/>
      <c r="L320" s="5"/>
      <c r="M320" s="5"/>
      <c r="N320" s="5"/>
      <c r="O320" s="5"/>
      <c r="P320" s="5"/>
      <c r="Q320" s="5"/>
      <c r="R320" s="5"/>
      <c r="S320" s="5"/>
      <c r="T320" s="5"/>
      <c r="U320" s="5"/>
      <c r="V320" s="5"/>
      <c r="W320" s="5"/>
      <c r="X320" s="5"/>
      <c r="Y320" s="5"/>
      <c r="Z320" s="5"/>
    </row>
    <row r="321" ht="19.5" customHeight="1">
      <c r="A321" s="31"/>
      <c r="B321" s="30"/>
      <c r="C321" s="31"/>
      <c r="D321" s="31"/>
      <c r="E321" s="31"/>
      <c r="F321" s="32"/>
      <c r="G321" s="34">
        <f>IFERROR(SUMIFS(Transactions!$F$7:$F$989,Transactions!$G$7:$G$989,A321,Transactions!$D$7:$D$989,"Expense"),0)</f>
        <v>0</v>
      </c>
      <c r="H321" s="31"/>
      <c r="I321" s="31"/>
      <c r="J321" s="31"/>
      <c r="K321" s="5"/>
      <c r="L321" s="5"/>
      <c r="M321" s="5"/>
      <c r="N321" s="5"/>
      <c r="O321" s="5"/>
      <c r="P321" s="5"/>
      <c r="Q321" s="5"/>
      <c r="R321" s="5"/>
      <c r="S321" s="5"/>
      <c r="T321" s="5"/>
      <c r="U321" s="5"/>
      <c r="V321" s="5"/>
      <c r="W321" s="5"/>
      <c r="X321" s="5"/>
      <c r="Y321" s="5"/>
      <c r="Z321" s="5"/>
    </row>
    <row r="322" ht="19.5" customHeight="1">
      <c r="A322" s="31"/>
      <c r="B322" s="30"/>
      <c r="C322" s="31"/>
      <c r="D322" s="31"/>
      <c r="E322" s="31"/>
      <c r="F322" s="32"/>
      <c r="G322" s="34">
        <f>IFERROR(SUMIFS(Transactions!$F$7:$F$989,Transactions!$G$7:$G$989,A322,Transactions!$D$7:$D$989,"Expense"),0)</f>
        <v>0</v>
      </c>
      <c r="H322" s="31"/>
      <c r="I322" s="31"/>
      <c r="J322" s="31"/>
      <c r="K322" s="5"/>
      <c r="L322" s="5"/>
      <c r="M322" s="5"/>
      <c r="N322" s="5"/>
      <c r="O322" s="5"/>
      <c r="P322" s="5"/>
      <c r="Q322" s="5"/>
      <c r="R322" s="5"/>
      <c r="S322" s="5"/>
      <c r="T322" s="5"/>
      <c r="U322" s="5"/>
      <c r="V322" s="5"/>
      <c r="W322" s="5"/>
      <c r="X322" s="5"/>
      <c r="Y322" s="5"/>
      <c r="Z322" s="5"/>
    </row>
    <row r="323" ht="19.5" customHeight="1">
      <c r="A323" s="31"/>
      <c r="B323" s="30"/>
      <c r="C323" s="31"/>
      <c r="D323" s="31"/>
      <c r="E323" s="31"/>
      <c r="F323" s="32"/>
      <c r="G323" s="34">
        <f>IFERROR(SUMIFS(Transactions!$F$7:$F$989,Transactions!$G$7:$G$989,A323,Transactions!$D$7:$D$989,"Expense"),0)</f>
        <v>0</v>
      </c>
      <c r="H323" s="31"/>
      <c r="I323" s="31"/>
      <c r="J323" s="31"/>
      <c r="K323" s="5"/>
      <c r="L323" s="5"/>
      <c r="M323" s="5"/>
      <c r="N323" s="5"/>
      <c r="O323" s="5"/>
      <c r="P323" s="5"/>
      <c r="Q323" s="5"/>
      <c r="R323" s="5"/>
      <c r="S323" s="5"/>
      <c r="T323" s="5"/>
      <c r="U323" s="5"/>
      <c r="V323" s="5"/>
      <c r="W323" s="5"/>
      <c r="X323" s="5"/>
      <c r="Y323" s="5"/>
      <c r="Z323" s="5"/>
    </row>
    <row r="324" ht="19.5" customHeight="1">
      <c r="A324" s="31"/>
      <c r="B324" s="30"/>
      <c r="C324" s="31"/>
      <c r="D324" s="31"/>
      <c r="E324" s="31"/>
      <c r="F324" s="32"/>
      <c r="G324" s="34">
        <f>IFERROR(SUMIFS(Transactions!$F$7:$F$989,Transactions!$G$7:$G$989,A324,Transactions!$D$7:$D$989,"Expense"),0)</f>
        <v>0</v>
      </c>
      <c r="H324" s="31"/>
      <c r="I324" s="31"/>
      <c r="J324" s="31"/>
      <c r="K324" s="5"/>
      <c r="L324" s="5"/>
      <c r="M324" s="5"/>
      <c r="N324" s="5"/>
      <c r="O324" s="5"/>
      <c r="P324" s="5"/>
      <c r="Q324" s="5"/>
      <c r="R324" s="5"/>
      <c r="S324" s="5"/>
      <c r="T324" s="5"/>
      <c r="U324" s="5"/>
      <c r="V324" s="5"/>
      <c r="W324" s="5"/>
      <c r="X324" s="5"/>
      <c r="Y324" s="5"/>
      <c r="Z324" s="5"/>
    </row>
    <row r="325" ht="19.5" customHeight="1">
      <c r="A325" s="31"/>
      <c r="B325" s="30"/>
      <c r="C325" s="31"/>
      <c r="D325" s="31"/>
      <c r="E325" s="31"/>
      <c r="F325" s="32"/>
      <c r="G325" s="34">
        <f>IFERROR(SUMIFS(Transactions!$F$7:$F$989,Transactions!$G$7:$G$989,A325,Transactions!$D$7:$D$989,"Expense"),0)</f>
        <v>0</v>
      </c>
      <c r="H325" s="31"/>
      <c r="I325" s="31"/>
      <c r="J325" s="31"/>
      <c r="K325" s="5"/>
      <c r="L325" s="5"/>
      <c r="M325" s="5"/>
      <c r="N325" s="5"/>
      <c r="O325" s="5"/>
      <c r="P325" s="5"/>
      <c r="Q325" s="5"/>
      <c r="R325" s="5"/>
      <c r="S325" s="5"/>
      <c r="T325" s="5"/>
      <c r="U325" s="5"/>
      <c r="V325" s="5"/>
      <c r="W325" s="5"/>
      <c r="X325" s="5"/>
      <c r="Y325" s="5"/>
      <c r="Z325" s="5"/>
    </row>
    <row r="326" ht="19.5" customHeight="1">
      <c r="A326" s="31"/>
      <c r="B326" s="30"/>
      <c r="C326" s="31"/>
      <c r="D326" s="31"/>
      <c r="E326" s="31"/>
      <c r="F326" s="32"/>
      <c r="G326" s="34">
        <f>IFERROR(SUMIFS(Transactions!$F$7:$F$989,Transactions!$G$7:$G$989,A326,Transactions!$D$7:$D$989,"Expense"),0)</f>
        <v>0</v>
      </c>
      <c r="H326" s="31"/>
      <c r="I326" s="31"/>
      <c r="J326" s="31"/>
      <c r="K326" s="5"/>
      <c r="L326" s="5"/>
      <c r="M326" s="5"/>
      <c r="N326" s="5"/>
      <c r="O326" s="5"/>
      <c r="P326" s="5"/>
      <c r="Q326" s="5"/>
      <c r="R326" s="5"/>
      <c r="S326" s="5"/>
      <c r="T326" s="5"/>
      <c r="U326" s="5"/>
      <c r="V326" s="5"/>
      <c r="W326" s="5"/>
      <c r="X326" s="5"/>
      <c r="Y326" s="5"/>
      <c r="Z326" s="5"/>
    </row>
    <row r="327" ht="19.5" customHeight="1">
      <c r="A327" s="31"/>
      <c r="B327" s="30"/>
      <c r="C327" s="31"/>
      <c r="D327" s="31"/>
      <c r="E327" s="31"/>
      <c r="F327" s="32"/>
      <c r="G327" s="34">
        <f>IFERROR(SUMIFS(Transactions!$F$7:$F$989,Transactions!$G$7:$G$989,A327,Transactions!$D$7:$D$989,"Expense"),0)</f>
        <v>0</v>
      </c>
      <c r="H327" s="31"/>
      <c r="I327" s="31"/>
      <c r="J327" s="31"/>
      <c r="K327" s="5"/>
      <c r="L327" s="5"/>
      <c r="M327" s="5"/>
      <c r="N327" s="5"/>
      <c r="O327" s="5"/>
      <c r="P327" s="5"/>
      <c r="Q327" s="5"/>
      <c r="R327" s="5"/>
      <c r="S327" s="5"/>
      <c r="T327" s="5"/>
      <c r="U327" s="5"/>
      <c r="V327" s="5"/>
      <c r="W327" s="5"/>
      <c r="X327" s="5"/>
      <c r="Y327" s="5"/>
      <c r="Z327" s="5"/>
    </row>
    <row r="328" ht="19.5" customHeight="1">
      <c r="A328" s="31"/>
      <c r="B328" s="30"/>
      <c r="C328" s="31"/>
      <c r="D328" s="31"/>
      <c r="E328" s="31"/>
      <c r="F328" s="32"/>
      <c r="G328" s="34">
        <f>IFERROR(SUMIFS(Transactions!$F$7:$F$989,Transactions!$G$7:$G$989,A328,Transactions!$D$7:$D$989,"Expense"),0)</f>
        <v>0</v>
      </c>
      <c r="H328" s="31"/>
      <c r="I328" s="31"/>
      <c r="J328" s="31"/>
      <c r="K328" s="5"/>
      <c r="L328" s="5"/>
      <c r="M328" s="5"/>
      <c r="N328" s="5"/>
      <c r="O328" s="5"/>
      <c r="P328" s="5"/>
      <c r="Q328" s="5"/>
      <c r="R328" s="5"/>
      <c r="S328" s="5"/>
      <c r="T328" s="5"/>
      <c r="U328" s="5"/>
      <c r="V328" s="5"/>
      <c r="W328" s="5"/>
      <c r="X328" s="5"/>
      <c r="Y328" s="5"/>
      <c r="Z328" s="5"/>
    </row>
    <row r="329" ht="19.5" customHeight="1">
      <c r="A329" s="31"/>
      <c r="B329" s="30"/>
      <c r="C329" s="31"/>
      <c r="D329" s="31"/>
      <c r="E329" s="31"/>
      <c r="F329" s="32"/>
      <c r="G329" s="34">
        <f>IFERROR(SUMIFS(Transactions!$F$7:$F$989,Transactions!$G$7:$G$989,A329,Transactions!$D$7:$D$989,"Expense"),0)</f>
        <v>0</v>
      </c>
      <c r="H329" s="31"/>
      <c r="I329" s="31"/>
      <c r="J329" s="31"/>
      <c r="K329" s="5"/>
      <c r="L329" s="5"/>
      <c r="M329" s="5"/>
      <c r="N329" s="5"/>
      <c r="O329" s="5"/>
      <c r="P329" s="5"/>
      <c r="Q329" s="5"/>
      <c r="R329" s="5"/>
      <c r="S329" s="5"/>
      <c r="T329" s="5"/>
      <c r="U329" s="5"/>
      <c r="V329" s="5"/>
      <c r="W329" s="5"/>
      <c r="X329" s="5"/>
      <c r="Y329" s="5"/>
      <c r="Z329" s="5"/>
    </row>
    <row r="330" ht="19.5" customHeight="1">
      <c r="A330" s="31"/>
      <c r="B330" s="30"/>
      <c r="C330" s="31"/>
      <c r="D330" s="31"/>
      <c r="E330" s="31"/>
      <c r="F330" s="32"/>
      <c r="G330" s="34">
        <f>IFERROR(SUMIFS(Transactions!$F$7:$F$989,Transactions!$G$7:$G$989,A330,Transactions!$D$7:$D$989,"Expense"),0)</f>
        <v>0</v>
      </c>
      <c r="H330" s="31"/>
      <c r="I330" s="31"/>
      <c r="J330" s="31"/>
      <c r="K330" s="5"/>
      <c r="L330" s="5"/>
      <c r="M330" s="5"/>
      <c r="N330" s="5"/>
      <c r="O330" s="5"/>
      <c r="P330" s="5"/>
      <c r="Q330" s="5"/>
      <c r="R330" s="5"/>
      <c r="S330" s="5"/>
      <c r="T330" s="5"/>
      <c r="U330" s="5"/>
      <c r="V330" s="5"/>
      <c r="W330" s="5"/>
      <c r="X330" s="5"/>
      <c r="Y330" s="5"/>
      <c r="Z330" s="5"/>
    </row>
    <row r="331" ht="19.5" customHeight="1">
      <c r="A331" s="31"/>
      <c r="B331" s="30"/>
      <c r="C331" s="31"/>
      <c r="D331" s="31"/>
      <c r="E331" s="31"/>
      <c r="F331" s="32"/>
      <c r="G331" s="34">
        <f>IFERROR(SUMIFS(Transactions!$F$7:$F$989,Transactions!$G$7:$G$989,A331,Transactions!$D$7:$D$989,"Expense"),0)</f>
        <v>0</v>
      </c>
      <c r="H331" s="31"/>
      <c r="I331" s="31"/>
      <c r="J331" s="31"/>
      <c r="K331" s="5"/>
      <c r="L331" s="5"/>
      <c r="M331" s="5"/>
      <c r="N331" s="5"/>
      <c r="O331" s="5"/>
      <c r="P331" s="5"/>
      <c r="Q331" s="5"/>
      <c r="R331" s="5"/>
      <c r="S331" s="5"/>
      <c r="T331" s="5"/>
      <c r="U331" s="5"/>
      <c r="V331" s="5"/>
      <c r="W331" s="5"/>
      <c r="X331" s="5"/>
      <c r="Y331" s="5"/>
      <c r="Z331" s="5"/>
    </row>
    <row r="332" ht="19.5" customHeight="1">
      <c r="A332" s="31"/>
      <c r="B332" s="30"/>
      <c r="C332" s="31"/>
      <c r="D332" s="31"/>
      <c r="E332" s="31"/>
      <c r="F332" s="32"/>
      <c r="G332" s="34">
        <f>IFERROR(SUMIFS(Transactions!$F$7:$F$989,Transactions!$G$7:$G$989,A332,Transactions!$D$7:$D$989,"Expense"),0)</f>
        <v>0</v>
      </c>
      <c r="H332" s="31"/>
      <c r="I332" s="31"/>
      <c r="J332" s="31"/>
      <c r="K332" s="5"/>
      <c r="L332" s="5"/>
      <c r="M332" s="5"/>
      <c r="N332" s="5"/>
      <c r="O332" s="5"/>
      <c r="P332" s="5"/>
      <c r="Q332" s="5"/>
      <c r="R332" s="5"/>
      <c r="S332" s="5"/>
      <c r="T332" s="5"/>
      <c r="U332" s="5"/>
      <c r="V332" s="5"/>
      <c r="W332" s="5"/>
      <c r="X332" s="5"/>
      <c r="Y332" s="5"/>
      <c r="Z332" s="5"/>
    </row>
    <row r="333" ht="19.5" customHeight="1">
      <c r="A333" s="31"/>
      <c r="B333" s="30"/>
      <c r="C333" s="31"/>
      <c r="D333" s="31"/>
      <c r="E333" s="31"/>
      <c r="F333" s="32"/>
      <c r="G333" s="34">
        <f>IFERROR(SUMIFS(Transactions!$F$7:$F$989,Transactions!$G$7:$G$989,A333,Transactions!$D$7:$D$989,"Expense"),0)</f>
        <v>0</v>
      </c>
      <c r="H333" s="31"/>
      <c r="I333" s="31"/>
      <c r="J333" s="31"/>
      <c r="K333" s="5"/>
      <c r="L333" s="5"/>
      <c r="M333" s="5"/>
      <c r="N333" s="5"/>
      <c r="O333" s="5"/>
      <c r="P333" s="5"/>
      <c r="Q333" s="5"/>
      <c r="R333" s="5"/>
      <c r="S333" s="5"/>
      <c r="T333" s="5"/>
      <c r="U333" s="5"/>
      <c r="V333" s="5"/>
      <c r="W333" s="5"/>
      <c r="X333" s="5"/>
      <c r="Y333" s="5"/>
      <c r="Z333" s="5"/>
    </row>
    <row r="334" ht="19.5" customHeight="1">
      <c r="A334" s="31"/>
      <c r="B334" s="30"/>
      <c r="C334" s="31"/>
      <c r="D334" s="31"/>
      <c r="E334" s="31"/>
      <c r="F334" s="32"/>
      <c r="G334" s="34">
        <f>IFERROR(SUMIFS(Transactions!$F$7:$F$989,Transactions!$G$7:$G$989,A334,Transactions!$D$7:$D$989,"Expense"),0)</f>
        <v>0</v>
      </c>
      <c r="H334" s="31"/>
      <c r="I334" s="31"/>
      <c r="J334" s="31"/>
      <c r="K334" s="5"/>
      <c r="L334" s="5"/>
      <c r="M334" s="5"/>
      <c r="N334" s="5"/>
      <c r="O334" s="5"/>
      <c r="P334" s="5"/>
      <c r="Q334" s="5"/>
      <c r="R334" s="5"/>
      <c r="S334" s="5"/>
      <c r="T334" s="5"/>
      <c r="U334" s="5"/>
      <c r="V334" s="5"/>
      <c r="W334" s="5"/>
      <c r="X334" s="5"/>
      <c r="Y334" s="5"/>
      <c r="Z334" s="5"/>
    </row>
    <row r="335" ht="19.5" customHeight="1">
      <c r="A335" s="31"/>
      <c r="B335" s="30"/>
      <c r="C335" s="31"/>
      <c r="D335" s="31"/>
      <c r="E335" s="31"/>
      <c r="F335" s="32"/>
      <c r="G335" s="34">
        <f>IFERROR(SUMIFS(Transactions!$F$7:$F$989,Transactions!$G$7:$G$989,A335,Transactions!$D$7:$D$989,"Expense"),0)</f>
        <v>0</v>
      </c>
      <c r="H335" s="31"/>
      <c r="I335" s="31"/>
      <c r="J335" s="31"/>
      <c r="K335" s="5"/>
      <c r="L335" s="5"/>
      <c r="M335" s="5"/>
      <c r="N335" s="5"/>
      <c r="O335" s="5"/>
      <c r="P335" s="5"/>
      <c r="Q335" s="5"/>
      <c r="R335" s="5"/>
      <c r="S335" s="5"/>
      <c r="T335" s="5"/>
      <c r="U335" s="5"/>
      <c r="V335" s="5"/>
      <c r="W335" s="5"/>
      <c r="X335" s="5"/>
      <c r="Y335" s="5"/>
      <c r="Z335" s="5"/>
    </row>
    <row r="336" ht="19.5" customHeight="1">
      <c r="A336" s="31"/>
      <c r="B336" s="30"/>
      <c r="C336" s="31"/>
      <c r="D336" s="31"/>
      <c r="E336" s="31"/>
      <c r="F336" s="32"/>
      <c r="G336" s="34">
        <f>IFERROR(SUMIFS(Transactions!$F$7:$F$989,Transactions!$G$7:$G$989,A336,Transactions!$D$7:$D$989,"Expense"),0)</f>
        <v>0</v>
      </c>
      <c r="H336" s="31"/>
      <c r="I336" s="31"/>
      <c r="J336" s="31"/>
      <c r="K336" s="5"/>
      <c r="L336" s="5"/>
      <c r="M336" s="5"/>
      <c r="N336" s="5"/>
      <c r="O336" s="5"/>
      <c r="P336" s="5"/>
      <c r="Q336" s="5"/>
      <c r="R336" s="5"/>
      <c r="S336" s="5"/>
      <c r="T336" s="5"/>
      <c r="U336" s="5"/>
      <c r="V336" s="5"/>
      <c r="W336" s="5"/>
      <c r="X336" s="5"/>
      <c r="Y336" s="5"/>
      <c r="Z336" s="5"/>
    </row>
    <row r="337" ht="19.5" customHeight="1">
      <c r="A337" s="31"/>
      <c r="B337" s="30"/>
      <c r="C337" s="31"/>
      <c r="D337" s="31"/>
      <c r="E337" s="31"/>
      <c r="F337" s="32"/>
      <c r="G337" s="34">
        <f>IFERROR(SUMIFS(Transactions!$F$7:$F$989,Transactions!$G$7:$G$989,A337,Transactions!$D$7:$D$989,"Expense"),0)</f>
        <v>0</v>
      </c>
      <c r="H337" s="31"/>
      <c r="I337" s="31"/>
      <c r="J337" s="31"/>
      <c r="K337" s="5"/>
      <c r="L337" s="5"/>
      <c r="M337" s="5"/>
      <c r="N337" s="5"/>
      <c r="O337" s="5"/>
      <c r="P337" s="5"/>
      <c r="Q337" s="5"/>
      <c r="R337" s="5"/>
      <c r="S337" s="5"/>
      <c r="T337" s="5"/>
      <c r="U337" s="5"/>
      <c r="V337" s="5"/>
      <c r="W337" s="5"/>
      <c r="X337" s="5"/>
      <c r="Y337" s="5"/>
      <c r="Z337" s="5"/>
    </row>
    <row r="338" ht="19.5" customHeight="1">
      <c r="A338" s="31"/>
      <c r="B338" s="30"/>
      <c r="C338" s="31"/>
      <c r="D338" s="31"/>
      <c r="E338" s="31"/>
      <c r="F338" s="32"/>
      <c r="G338" s="34">
        <f>IFERROR(SUMIFS(Transactions!$F$7:$F$989,Transactions!$G$7:$G$989,A338,Transactions!$D$7:$D$989,"Expense"),0)</f>
        <v>0</v>
      </c>
      <c r="H338" s="31"/>
      <c r="I338" s="31"/>
      <c r="J338" s="31"/>
      <c r="K338" s="5"/>
      <c r="L338" s="5"/>
      <c r="M338" s="5"/>
      <c r="N338" s="5"/>
      <c r="O338" s="5"/>
      <c r="P338" s="5"/>
      <c r="Q338" s="5"/>
      <c r="R338" s="5"/>
      <c r="S338" s="5"/>
      <c r="T338" s="5"/>
      <c r="U338" s="5"/>
      <c r="V338" s="5"/>
      <c r="W338" s="5"/>
      <c r="X338" s="5"/>
      <c r="Y338" s="5"/>
      <c r="Z338" s="5"/>
    </row>
    <row r="339" ht="19.5" customHeight="1">
      <c r="A339" s="31"/>
      <c r="B339" s="30"/>
      <c r="C339" s="31"/>
      <c r="D339" s="31"/>
      <c r="E339" s="31"/>
      <c r="F339" s="32"/>
      <c r="G339" s="34">
        <f>IFERROR(SUMIFS(Transactions!$F$7:$F$989,Transactions!$G$7:$G$989,A339,Transactions!$D$7:$D$989,"Expense"),0)</f>
        <v>0</v>
      </c>
      <c r="H339" s="31"/>
      <c r="I339" s="31"/>
      <c r="J339" s="31"/>
      <c r="K339" s="5"/>
      <c r="L339" s="5"/>
      <c r="M339" s="5"/>
      <c r="N339" s="5"/>
      <c r="O339" s="5"/>
      <c r="P339" s="5"/>
      <c r="Q339" s="5"/>
      <c r="R339" s="5"/>
      <c r="S339" s="5"/>
      <c r="T339" s="5"/>
      <c r="U339" s="5"/>
      <c r="V339" s="5"/>
      <c r="W339" s="5"/>
      <c r="X339" s="5"/>
      <c r="Y339" s="5"/>
      <c r="Z339" s="5"/>
    </row>
    <row r="340" ht="19.5" customHeight="1">
      <c r="A340" s="31"/>
      <c r="B340" s="30"/>
      <c r="C340" s="31"/>
      <c r="D340" s="31"/>
      <c r="E340" s="31"/>
      <c r="F340" s="32"/>
      <c r="G340" s="34">
        <f>IFERROR(SUMIFS(Transactions!$F$7:$F$989,Transactions!$G$7:$G$989,A340,Transactions!$D$7:$D$989,"Expense"),0)</f>
        <v>0</v>
      </c>
      <c r="H340" s="31"/>
      <c r="I340" s="31"/>
      <c r="J340" s="31"/>
      <c r="K340" s="5"/>
      <c r="L340" s="5"/>
      <c r="M340" s="5"/>
      <c r="N340" s="5"/>
      <c r="O340" s="5"/>
      <c r="P340" s="5"/>
      <c r="Q340" s="5"/>
      <c r="R340" s="5"/>
      <c r="S340" s="5"/>
      <c r="T340" s="5"/>
      <c r="U340" s="5"/>
      <c r="V340" s="5"/>
      <c r="W340" s="5"/>
      <c r="X340" s="5"/>
      <c r="Y340" s="5"/>
      <c r="Z340" s="5"/>
    </row>
    <row r="341" ht="19.5" customHeight="1">
      <c r="A341" s="31"/>
      <c r="B341" s="30"/>
      <c r="C341" s="31"/>
      <c r="D341" s="31"/>
      <c r="E341" s="31"/>
      <c r="F341" s="32"/>
      <c r="G341" s="34">
        <f>IFERROR(SUMIFS(Transactions!$F$7:$F$989,Transactions!$G$7:$G$989,A341,Transactions!$D$7:$D$989,"Expense"),0)</f>
        <v>0</v>
      </c>
      <c r="H341" s="31"/>
      <c r="I341" s="31"/>
      <c r="J341" s="31"/>
      <c r="K341" s="5"/>
      <c r="L341" s="5"/>
      <c r="M341" s="5"/>
      <c r="N341" s="5"/>
      <c r="O341" s="5"/>
      <c r="P341" s="5"/>
      <c r="Q341" s="5"/>
      <c r="R341" s="5"/>
      <c r="S341" s="5"/>
      <c r="T341" s="5"/>
      <c r="U341" s="5"/>
      <c r="V341" s="5"/>
      <c r="W341" s="5"/>
      <c r="X341" s="5"/>
      <c r="Y341" s="5"/>
      <c r="Z341" s="5"/>
    </row>
    <row r="342" ht="19.5" customHeight="1">
      <c r="A342" s="31"/>
      <c r="B342" s="30"/>
      <c r="C342" s="31"/>
      <c r="D342" s="31"/>
      <c r="E342" s="31"/>
      <c r="F342" s="32"/>
      <c r="G342" s="34">
        <f>IFERROR(SUMIFS(Transactions!$F$7:$F$989,Transactions!$G$7:$G$989,A342,Transactions!$D$7:$D$989,"Expense"),0)</f>
        <v>0</v>
      </c>
      <c r="H342" s="31"/>
      <c r="I342" s="31"/>
      <c r="J342" s="31"/>
      <c r="K342" s="5"/>
      <c r="L342" s="5"/>
      <c r="M342" s="5"/>
      <c r="N342" s="5"/>
      <c r="O342" s="5"/>
      <c r="P342" s="5"/>
      <c r="Q342" s="5"/>
      <c r="R342" s="5"/>
      <c r="S342" s="5"/>
      <c r="T342" s="5"/>
      <c r="U342" s="5"/>
      <c r="V342" s="5"/>
      <c r="W342" s="5"/>
      <c r="X342" s="5"/>
      <c r="Y342" s="5"/>
      <c r="Z342" s="5"/>
    </row>
    <row r="343" ht="19.5" customHeight="1">
      <c r="A343" s="31"/>
      <c r="B343" s="30"/>
      <c r="C343" s="31"/>
      <c r="D343" s="31"/>
      <c r="E343" s="31"/>
      <c r="F343" s="32"/>
      <c r="G343" s="34">
        <f>IFERROR(SUMIFS(Transactions!$F$7:$F$989,Transactions!$G$7:$G$989,A343,Transactions!$D$7:$D$989,"Expense"),0)</f>
        <v>0</v>
      </c>
      <c r="H343" s="31"/>
      <c r="I343" s="31"/>
      <c r="J343" s="31"/>
      <c r="K343" s="5"/>
      <c r="L343" s="5"/>
      <c r="M343" s="5"/>
      <c r="N343" s="5"/>
      <c r="O343" s="5"/>
      <c r="P343" s="5"/>
      <c r="Q343" s="5"/>
      <c r="R343" s="5"/>
      <c r="S343" s="5"/>
      <c r="T343" s="5"/>
      <c r="U343" s="5"/>
      <c r="V343" s="5"/>
      <c r="W343" s="5"/>
      <c r="X343" s="5"/>
      <c r="Y343" s="5"/>
      <c r="Z343" s="5"/>
    </row>
    <row r="344" ht="19.5" customHeight="1">
      <c r="A344" s="31"/>
      <c r="B344" s="30"/>
      <c r="C344" s="31"/>
      <c r="D344" s="31"/>
      <c r="E344" s="31"/>
      <c r="F344" s="32"/>
      <c r="G344" s="34">
        <f>IFERROR(SUMIFS(Transactions!$F$7:$F$989,Transactions!$G$7:$G$989,A344,Transactions!$D$7:$D$989,"Expense"),0)</f>
        <v>0</v>
      </c>
      <c r="H344" s="31"/>
      <c r="I344" s="31"/>
      <c r="J344" s="31"/>
      <c r="K344" s="5"/>
      <c r="L344" s="5"/>
      <c r="M344" s="5"/>
      <c r="N344" s="5"/>
      <c r="O344" s="5"/>
      <c r="P344" s="5"/>
      <c r="Q344" s="5"/>
      <c r="R344" s="5"/>
      <c r="S344" s="5"/>
      <c r="T344" s="5"/>
      <c r="U344" s="5"/>
      <c r="V344" s="5"/>
      <c r="W344" s="5"/>
      <c r="X344" s="5"/>
      <c r="Y344" s="5"/>
      <c r="Z344" s="5"/>
    </row>
    <row r="345" ht="19.5" customHeight="1">
      <c r="A345" s="31"/>
      <c r="B345" s="30"/>
      <c r="C345" s="31"/>
      <c r="D345" s="31"/>
      <c r="E345" s="31"/>
      <c r="F345" s="32"/>
      <c r="G345" s="34">
        <f>IFERROR(SUMIFS(Transactions!$F$7:$F$989,Transactions!$G$7:$G$989,A345,Transactions!$D$7:$D$989,"Expense"),0)</f>
        <v>0</v>
      </c>
      <c r="H345" s="31"/>
      <c r="I345" s="31"/>
      <c r="J345" s="31"/>
      <c r="K345" s="5"/>
      <c r="L345" s="5"/>
      <c r="M345" s="5"/>
      <c r="N345" s="5"/>
      <c r="O345" s="5"/>
      <c r="P345" s="5"/>
      <c r="Q345" s="5"/>
      <c r="R345" s="5"/>
      <c r="S345" s="5"/>
      <c r="T345" s="5"/>
      <c r="U345" s="5"/>
      <c r="V345" s="5"/>
      <c r="W345" s="5"/>
      <c r="X345" s="5"/>
      <c r="Y345" s="5"/>
      <c r="Z345" s="5"/>
    </row>
    <row r="346" ht="19.5" customHeight="1">
      <c r="A346" s="31"/>
      <c r="B346" s="30"/>
      <c r="C346" s="31"/>
      <c r="D346" s="31"/>
      <c r="E346" s="31"/>
      <c r="F346" s="32"/>
      <c r="G346" s="34">
        <f>IFERROR(SUMIFS(Transactions!$F$7:$F$989,Transactions!$G$7:$G$989,A346,Transactions!$D$7:$D$989,"Expense"),0)</f>
        <v>0</v>
      </c>
      <c r="H346" s="31"/>
      <c r="I346" s="31"/>
      <c r="J346" s="31"/>
      <c r="K346" s="5"/>
      <c r="L346" s="5"/>
      <c r="M346" s="5"/>
      <c r="N346" s="5"/>
      <c r="O346" s="5"/>
      <c r="P346" s="5"/>
      <c r="Q346" s="5"/>
      <c r="R346" s="5"/>
      <c r="S346" s="5"/>
      <c r="T346" s="5"/>
      <c r="U346" s="5"/>
      <c r="V346" s="5"/>
      <c r="W346" s="5"/>
      <c r="X346" s="5"/>
      <c r="Y346" s="5"/>
      <c r="Z346" s="5"/>
    </row>
    <row r="347" ht="19.5" customHeight="1">
      <c r="A347" s="31"/>
      <c r="B347" s="30"/>
      <c r="C347" s="31"/>
      <c r="D347" s="31"/>
      <c r="E347" s="31"/>
      <c r="F347" s="32"/>
      <c r="G347" s="34">
        <f>IFERROR(SUMIFS(Transactions!$F$7:$F$989,Transactions!$G$7:$G$989,A347,Transactions!$D$7:$D$989,"Expense"),0)</f>
        <v>0</v>
      </c>
      <c r="H347" s="31"/>
      <c r="I347" s="31"/>
      <c r="J347" s="31"/>
      <c r="K347" s="5"/>
      <c r="L347" s="5"/>
      <c r="M347" s="5"/>
      <c r="N347" s="5"/>
      <c r="O347" s="5"/>
      <c r="P347" s="5"/>
      <c r="Q347" s="5"/>
      <c r="R347" s="5"/>
      <c r="S347" s="5"/>
      <c r="T347" s="5"/>
      <c r="U347" s="5"/>
      <c r="V347" s="5"/>
      <c r="W347" s="5"/>
      <c r="X347" s="5"/>
      <c r="Y347" s="5"/>
      <c r="Z347" s="5"/>
    </row>
    <row r="348" ht="19.5" customHeight="1">
      <c r="A348" s="31"/>
      <c r="B348" s="30"/>
      <c r="C348" s="31"/>
      <c r="D348" s="31"/>
      <c r="E348" s="31"/>
      <c r="F348" s="32"/>
      <c r="G348" s="34">
        <f>IFERROR(SUMIFS(Transactions!$F$7:$F$989,Transactions!$G$7:$G$989,A348,Transactions!$D$7:$D$989,"Expense"),0)</f>
        <v>0</v>
      </c>
      <c r="H348" s="31"/>
      <c r="I348" s="31"/>
      <c r="J348" s="31"/>
      <c r="K348" s="5"/>
      <c r="L348" s="5"/>
      <c r="M348" s="5"/>
      <c r="N348" s="5"/>
      <c r="O348" s="5"/>
      <c r="P348" s="5"/>
      <c r="Q348" s="5"/>
      <c r="R348" s="5"/>
      <c r="S348" s="5"/>
      <c r="T348" s="5"/>
      <c r="U348" s="5"/>
      <c r="V348" s="5"/>
      <c r="W348" s="5"/>
      <c r="X348" s="5"/>
      <c r="Y348" s="5"/>
      <c r="Z348" s="5"/>
    </row>
    <row r="349" ht="19.5" customHeight="1">
      <c r="A349" s="31"/>
      <c r="B349" s="30"/>
      <c r="C349" s="31"/>
      <c r="D349" s="31"/>
      <c r="E349" s="31"/>
      <c r="F349" s="32"/>
      <c r="G349" s="34">
        <f>IFERROR(SUMIFS(Transactions!$F$7:$F$989,Transactions!$G$7:$G$989,A349,Transactions!$D$7:$D$989,"Expense"),0)</f>
        <v>0</v>
      </c>
      <c r="H349" s="31"/>
      <c r="I349" s="31"/>
      <c r="J349" s="31"/>
      <c r="K349" s="5"/>
      <c r="L349" s="5"/>
      <c r="M349" s="5"/>
      <c r="N349" s="5"/>
      <c r="O349" s="5"/>
      <c r="P349" s="5"/>
      <c r="Q349" s="5"/>
      <c r="R349" s="5"/>
      <c r="S349" s="5"/>
      <c r="T349" s="5"/>
      <c r="U349" s="5"/>
      <c r="V349" s="5"/>
      <c r="W349" s="5"/>
      <c r="X349" s="5"/>
      <c r="Y349" s="5"/>
      <c r="Z349" s="5"/>
    </row>
    <row r="350" ht="19.5" customHeight="1">
      <c r="A350" s="31"/>
      <c r="B350" s="30"/>
      <c r="C350" s="31"/>
      <c r="D350" s="31"/>
      <c r="E350" s="31"/>
      <c r="F350" s="32"/>
      <c r="G350" s="34">
        <f>IFERROR(SUMIFS(Transactions!$F$7:$F$989,Transactions!$G$7:$G$989,A350,Transactions!$D$7:$D$989,"Expense"),0)</f>
        <v>0</v>
      </c>
      <c r="H350" s="31"/>
      <c r="I350" s="31"/>
      <c r="J350" s="31"/>
      <c r="K350" s="5"/>
      <c r="L350" s="5"/>
      <c r="M350" s="5"/>
      <c r="N350" s="5"/>
      <c r="O350" s="5"/>
      <c r="P350" s="5"/>
      <c r="Q350" s="5"/>
      <c r="R350" s="5"/>
      <c r="S350" s="5"/>
      <c r="T350" s="5"/>
      <c r="U350" s="5"/>
      <c r="V350" s="5"/>
      <c r="W350" s="5"/>
      <c r="X350" s="5"/>
      <c r="Y350" s="5"/>
      <c r="Z350" s="5"/>
    </row>
    <row r="351" ht="19.5" customHeight="1">
      <c r="A351" s="31"/>
      <c r="B351" s="30"/>
      <c r="C351" s="31"/>
      <c r="D351" s="31"/>
      <c r="E351" s="31"/>
      <c r="F351" s="32"/>
      <c r="G351" s="34">
        <f>IFERROR(SUMIFS(Transactions!$F$7:$F$989,Transactions!$G$7:$G$989,A351,Transactions!$D$7:$D$989,"Expense"),0)</f>
        <v>0</v>
      </c>
      <c r="H351" s="31"/>
      <c r="I351" s="31"/>
      <c r="J351" s="31"/>
      <c r="K351" s="5"/>
      <c r="L351" s="5"/>
      <c r="M351" s="5"/>
      <c r="N351" s="5"/>
      <c r="O351" s="5"/>
      <c r="P351" s="5"/>
      <c r="Q351" s="5"/>
      <c r="R351" s="5"/>
      <c r="S351" s="5"/>
      <c r="T351" s="5"/>
      <c r="U351" s="5"/>
      <c r="V351" s="5"/>
      <c r="W351" s="5"/>
      <c r="X351" s="5"/>
      <c r="Y351" s="5"/>
      <c r="Z351" s="5"/>
    </row>
    <row r="352" ht="19.5" customHeight="1">
      <c r="A352" s="31"/>
      <c r="B352" s="30"/>
      <c r="C352" s="31"/>
      <c r="D352" s="31"/>
      <c r="E352" s="31"/>
      <c r="F352" s="32"/>
      <c r="G352" s="34">
        <f>IFERROR(SUMIFS(Transactions!$F$7:$F$989,Transactions!$G$7:$G$989,A352,Transactions!$D$7:$D$989,"Expense"),0)</f>
        <v>0</v>
      </c>
      <c r="H352" s="31"/>
      <c r="I352" s="31"/>
      <c r="J352" s="31"/>
      <c r="K352" s="5"/>
      <c r="L352" s="5"/>
      <c r="M352" s="5"/>
      <c r="N352" s="5"/>
      <c r="O352" s="5"/>
      <c r="P352" s="5"/>
      <c r="Q352" s="5"/>
      <c r="R352" s="5"/>
      <c r="S352" s="5"/>
      <c r="T352" s="5"/>
      <c r="U352" s="5"/>
      <c r="V352" s="5"/>
      <c r="W352" s="5"/>
      <c r="X352" s="5"/>
      <c r="Y352" s="5"/>
      <c r="Z352" s="5"/>
    </row>
    <row r="353" ht="19.5" customHeight="1">
      <c r="A353" s="31"/>
      <c r="B353" s="30"/>
      <c r="C353" s="31"/>
      <c r="D353" s="31"/>
      <c r="E353" s="31"/>
      <c r="F353" s="32"/>
      <c r="G353" s="34">
        <f>IFERROR(SUMIFS(Transactions!$F$7:$F$989,Transactions!$G$7:$G$989,A353,Transactions!$D$7:$D$989,"Expense"),0)</f>
        <v>0</v>
      </c>
      <c r="H353" s="31"/>
      <c r="I353" s="31"/>
      <c r="J353" s="31"/>
      <c r="K353" s="5"/>
      <c r="L353" s="5"/>
      <c r="M353" s="5"/>
      <c r="N353" s="5"/>
      <c r="O353" s="5"/>
      <c r="P353" s="5"/>
      <c r="Q353" s="5"/>
      <c r="R353" s="5"/>
      <c r="S353" s="5"/>
      <c r="T353" s="5"/>
      <c r="U353" s="5"/>
      <c r="V353" s="5"/>
      <c r="W353" s="5"/>
      <c r="X353" s="5"/>
      <c r="Y353" s="5"/>
      <c r="Z353" s="5"/>
    </row>
    <row r="354" ht="19.5" customHeight="1">
      <c r="A354" s="31"/>
      <c r="B354" s="30"/>
      <c r="C354" s="31"/>
      <c r="D354" s="31"/>
      <c r="E354" s="31"/>
      <c r="F354" s="32"/>
      <c r="G354" s="34">
        <f>IFERROR(SUMIFS(Transactions!$F$7:$F$989,Transactions!$G$7:$G$989,A354,Transactions!$D$7:$D$989,"Expense"),0)</f>
        <v>0</v>
      </c>
      <c r="H354" s="31"/>
      <c r="I354" s="31"/>
      <c r="J354" s="31"/>
      <c r="K354" s="5"/>
      <c r="L354" s="5"/>
      <c r="M354" s="5"/>
      <c r="N354" s="5"/>
      <c r="O354" s="5"/>
      <c r="P354" s="5"/>
      <c r="Q354" s="5"/>
      <c r="R354" s="5"/>
      <c r="S354" s="5"/>
      <c r="T354" s="5"/>
      <c r="U354" s="5"/>
      <c r="V354" s="5"/>
      <c r="W354" s="5"/>
      <c r="X354" s="5"/>
      <c r="Y354" s="5"/>
      <c r="Z354" s="5"/>
    </row>
    <row r="355" ht="19.5" customHeight="1">
      <c r="A355" s="31"/>
      <c r="B355" s="30"/>
      <c r="C355" s="31"/>
      <c r="D355" s="31"/>
      <c r="E355" s="31"/>
      <c r="F355" s="32"/>
      <c r="G355" s="34">
        <f>IFERROR(SUMIFS(Transactions!$F$7:$F$989,Transactions!$G$7:$G$989,A355,Transactions!$D$7:$D$989,"Expense"),0)</f>
        <v>0</v>
      </c>
      <c r="H355" s="31"/>
      <c r="I355" s="31"/>
      <c r="J355" s="31"/>
      <c r="K355" s="5"/>
      <c r="L355" s="5"/>
      <c r="M355" s="5"/>
      <c r="N355" s="5"/>
      <c r="O355" s="5"/>
      <c r="P355" s="5"/>
      <c r="Q355" s="5"/>
      <c r="R355" s="5"/>
      <c r="S355" s="5"/>
      <c r="T355" s="5"/>
      <c r="U355" s="5"/>
      <c r="V355" s="5"/>
      <c r="W355" s="5"/>
      <c r="X355" s="5"/>
      <c r="Y355" s="5"/>
      <c r="Z355" s="5"/>
    </row>
    <row r="356" ht="19.5" customHeight="1">
      <c r="A356" s="31"/>
      <c r="B356" s="30"/>
      <c r="C356" s="31"/>
      <c r="D356" s="31"/>
      <c r="E356" s="31"/>
      <c r="F356" s="32"/>
      <c r="G356" s="34">
        <f>IFERROR(SUMIFS(Transactions!$F$7:$F$989,Transactions!$G$7:$G$989,A356,Transactions!$D$7:$D$989,"Expense"),0)</f>
        <v>0</v>
      </c>
      <c r="H356" s="31"/>
      <c r="I356" s="31"/>
      <c r="J356" s="31"/>
      <c r="K356" s="5"/>
      <c r="L356" s="5"/>
      <c r="M356" s="5"/>
      <c r="N356" s="5"/>
      <c r="O356" s="5"/>
      <c r="P356" s="5"/>
      <c r="Q356" s="5"/>
      <c r="R356" s="5"/>
      <c r="S356" s="5"/>
      <c r="T356" s="5"/>
      <c r="U356" s="5"/>
      <c r="V356" s="5"/>
      <c r="W356" s="5"/>
      <c r="X356" s="5"/>
      <c r="Y356" s="5"/>
      <c r="Z356" s="5"/>
    </row>
    <row r="357" ht="19.5" customHeight="1">
      <c r="A357" s="31"/>
      <c r="B357" s="30"/>
      <c r="C357" s="31"/>
      <c r="D357" s="31"/>
      <c r="E357" s="31"/>
      <c r="F357" s="32"/>
      <c r="G357" s="34">
        <f>IFERROR(SUMIFS(Transactions!$F$7:$F$989,Transactions!$G$7:$G$989,A357,Transactions!$D$7:$D$989,"Expense"),0)</f>
        <v>0</v>
      </c>
      <c r="H357" s="31"/>
      <c r="I357" s="31"/>
      <c r="J357" s="31"/>
      <c r="K357" s="5"/>
      <c r="L357" s="5"/>
      <c r="M357" s="5"/>
      <c r="N357" s="5"/>
      <c r="O357" s="5"/>
      <c r="P357" s="5"/>
      <c r="Q357" s="5"/>
      <c r="R357" s="5"/>
      <c r="S357" s="5"/>
      <c r="T357" s="5"/>
      <c r="U357" s="5"/>
      <c r="V357" s="5"/>
      <c r="W357" s="5"/>
      <c r="X357" s="5"/>
      <c r="Y357" s="5"/>
      <c r="Z357" s="5"/>
    </row>
    <row r="358" ht="19.5" customHeight="1">
      <c r="A358" s="31"/>
      <c r="B358" s="30"/>
      <c r="C358" s="31"/>
      <c r="D358" s="31"/>
      <c r="E358" s="31"/>
      <c r="F358" s="32"/>
      <c r="G358" s="34">
        <f>IFERROR(SUMIFS(Transactions!$F$7:$F$989,Transactions!$G$7:$G$989,A358,Transactions!$D$7:$D$989,"Expense"),0)</f>
        <v>0</v>
      </c>
      <c r="H358" s="31"/>
      <c r="I358" s="31"/>
      <c r="J358" s="31"/>
      <c r="K358" s="5"/>
      <c r="L358" s="5"/>
      <c r="M358" s="5"/>
      <c r="N358" s="5"/>
      <c r="O358" s="5"/>
      <c r="P358" s="5"/>
      <c r="Q358" s="5"/>
      <c r="R358" s="5"/>
      <c r="S358" s="5"/>
      <c r="T358" s="5"/>
      <c r="U358" s="5"/>
      <c r="V358" s="5"/>
      <c r="W358" s="5"/>
      <c r="X358" s="5"/>
      <c r="Y358" s="5"/>
      <c r="Z358" s="5"/>
    </row>
    <row r="359" ht="19.5" customHeight="1">
      <c r="A359" s="31"/>
      <c r="B359" s="30"/>
      <c r="C359" s="31"/>
      <c r="D359" s="31"/>
      <c r="E359" s="31"/>
      <c r="F359" s="32"/>
      <c r="G359" s="34">
        <f>IFERROR(SUMIFS(Transactions!$F$7:$F$989,Transactions!$G$7:$G$989,A359,Transactions!$D$7:$D$989,"Expense"),0)</f>
        <v>0</v>
      </c>
      <c r="H359" s="31"/>
      <c r="I359" s="31"/>
      <c r="J359" s="31"/>
      <c r="K359" s="5"/>
      <c r="L359" s="5"/>
      <c r="M359" s="5"/>
      <c r="N359" s="5"/>
      <c r="O359" s="5"/>
      <c r="P359" s="5"/>
      <c r="Q359" s="5"/>
      <c r="R359" s="5"/>
      <c r="S359" s="5"/>
      <c r="T359" s="5"/>
      <c r="U359" s="5"/>
      <c r="V359" s="5"/>
      <c r="W359" s="5"/>
      <c r="X359" s="5"/>
      <c r="Y359" s="5"/>
      <c r="Z359" s="5"/>
    </row>
    <row r="360" ht="19.5" customHeight="1">
      <c r="A360" s="31"/>
      <c r="B360" s="30"/>
      <c r="C360" s="31"/>
      <c r="D360" s="31"/>
      <c r="E360" s="31"/>
      <c r="F360" s="32"/>
      <c r="G360" s="34">
        <f>IFERROR(SUMIFS(Transactions!$F$7:$F$989,Transactions!$G$7:$G$989,A360,Transactions!$D$7:$D$989,"Expense"),0)</f>
        <v>0</v>
      </c>
      <c r="H360" s="31"/>
      <c r="I360" s="31"/>
      <c r="J360" s="31"/>
      <c r="K360" s="5"/>
      <c r="L360" s="5"/>
      <c r="M360" s="5"/>
      <c r="N360" s="5"/>
      <c r="O360" s="5"/>
      <c r="P360" s="5"/>
      <c r="Q360" s="5"/>
      <c r="R360" s="5"/>
      <c r="S360" s="5"/>
      <c r="T360" s="5"/>
      <c r="U360" s="5"/>
      <c r="V360" s="5"/>
      <c r="W360" s="5"/>
      <c r="X360" s="5"/>
      <c r="Y360" s="5"/>
      <c r="Z360" s="5"/>
    </row>
    <row r="361" ht="19.5" customHeight="1">
      <c r="A361" s="31"/>
      <c r="B361" s="30"/>
      <c r="C361" s="31"/>
      <c r="D361" s="31"/>
      <c r="E361" s="31"/>
      <c r="F361" s="32"/>
      <c r="G361" s="34">
        <f>IFERROR(SUMIFS(Transactions!$F$7:$F$989,Transactions!$G$7:$G$989,A361,Transactions!$D$7:$D$989,"Expense"),0)</f>
        <v>0</v>
      </c>
      <c r="H361" s="31"/>
      <c r="I361" s="31"/>
      <c r="J361" s="31"/>
      <c r="K361" s="5"/>
      <c r="L361" s="5"/>
      <c r="M361" s="5"/>
      <c r="N361" s="5"/>
      <c r="O361" s="5"/>
      <c r="P361" s="5"/>
      <c r="Q361" s="5"/>
      <c r="R361" s="5"/>
      <c r="S361" s="5"/>
      <c r="T361" s="5"/>
      <c r="U361" s="5"/>
      <c r="V361" s="5"/>
      <c r="W361" s="5"/>
      <c r="X361" s="5"/>
      <c r="Y361" s="5"/>
      <c r="Z361" s="5"/>
    </row>
    <row r="362" ht="19.5" customHeight="1">
      <c r="A362" s="31"/>
      <c r="B362" s="30"/>
      <c r="C362" s="31"/>
      <c r="D362" s="31"/>
      <c r="E362" s="31"/>
      <c r="F362" s="32"/>
      <c r="G362" s="34">
        <f>IFERROR(SUMIFS(Transactions!$F$7:$F$989,Transactions!$G$7:$G$989,A362,Transactions!$D$7:$D$989,"Expense"),0)</f>
        <v>0</v>
      </c>
      <c r="H362" s="31"/>
      <c r="I362" s="31"/>
      <c r="J362" s="31"/>
      <c r="K362" s="5"/>
      <c r="L362" s="5"/>
      <c r="M362" s="5"/>
      <c r="N362" s="5"/>
      <c r="O362" s="5"/>
      <c r="P362" s="5"/>
      <c r="Q362" s="5"/>
      <c r="R362" s="5"/>
      <c r="S362" s="5"/>
      <c r="T362" s="5"/>
      <c r="U362" s="5"/>
      <c r="V362" s="5"/>
      <c r="W362" s="5"/>
      <c r="X362" s="5"/>
      <c r="Y362" s="5"/>
      <c r="Z362" s="5"/>
    </row>
    <row r="363" ht="19.5" customHeight="1">
      <c r="A363" s="31"/>
      <c r="B363" s="30"/>
      <c r="C363" s="31"/>
      <c r="D363" s="31"/>
      <c r="E363" s="31"/>
      <c r="F363" s="32"/>
      <c r="G363" s="34">
        <f>IFERROR(SUMIFS(Transactions!$F$7:$F$989,Transactions!$G$7:$G$989,A363,Transactions!$D$7:$D$989,"Expense"),0)</f>
        <v>0</v>
      </c>
      <c r="H363" s="31"/>
      <c r="I363" s="31"/>
      <c r="J363" s="31"/>
      <c r="K363" s="5"/>
      <c r="L363" s="5"/>
      <c r="M363" s="5"/>
      <c r="N363" s="5"/>
      <c r="O363" s="5"/>
      <c r="P363" s="5"/>
      <c r="Q363" s="5"/>
      <c r="R363" s="5"/>
      <c r="S363" s="5"/>
      <c r="T363" s="5"/>
      <c r="U363" s="5"/>
      <c r="V363" s="5"/>
      <c r="W363" s="5"/>
      <c r="X363" s="5"/>
      <c r="Y363" s="5"/>
      <c r="Z363" s="5"/>
    </row>
    <row r="364" ht="19.5" customHeight="1">
      <c r="A364" s="31"/>
      <c r="B364" s="30"/>
      <c r="C364" s="31"/>
      <c r="D364" s="31"/>
      <c r="E364" s="31"/>
      <c r="F364" s="32"/>
      <c r="G364" s="34">
        <f>IFERROR(SUMIFS(Transactions!$F$7:$F$989,Transactions!$G$7:$G$989,A364,Transactions!$D$7:$D$989,"Expense"),0)</f>
        <v>0</v>
      </c>
      <c r="H364" s="31"/>
      <c r="I364" s="31"/>
      <c r="J364" s="31"/>
      <c r="K364" s="5"/>
      <c r="L364" s="5"/>
      <c r="M364" s="5"/>
      <c r="N364" s="5"/>
      <c r="O364" s="5"/>
      <c r="P364" s="5"/>
      <c r="Q364" s="5"/>
      <c r="R364" s="5"/>
      <c r="S364" s="5"/>
      <c r="T364" s="5"/>
      <c r="U364" s="5"/>
      <c r="V364" s="5"/>
      <c r="W364" s="5"/>
      <c r="X364" s="5"/>
      <c r="Y364" s="5"/>
      <c r="Z364" s="5"/>
    </row>
    <row r="365" ht="19.5" customHeight="1">
      <c r="A365" s="31"/>
      <c r="B365" s="30"/>
      <c r="C365" s="31"/>
      <c r="D365" s="31"/>
      <c r="E365" s="31"/>
      <c r="F365" s="32"/>
      <c r="G365" s="34">
        <f>IFERROR(SUMIFS(Transactions!$F$7:$F$989,Transactions!$G$7:$G$989,A365,Transactions!$D$7:$D$989,"Expense"),0)</f>
        <v>0</v>
      </c>
      <c r="H365" s="31"/>
      <c r="I365" s="31"/>
      <c r="J365" s="31"/>
      <c r="K365" s="5"/>
      <c r="L365" s="5"/>
      <c r="M365" s="5"/>
      <c r="N365" s="5"/>
      <c r="O365" s="5"/>
      <c r="P365" s="5"/>
      <c r="Q365" s="5"/>
      <c r="R365" s="5"/>
      <c r="S365" s="5"/>
      <c r="T365" s="5"/>
      <c r="U365" s="5"/>
      <c r="V365" s="5"/>
      <c r="W365" s="5"/>
      <c r="X365" s="5"/>
      <c r="Y365" s="5"/>
      <c r="Z365" s="5"/>
    </row>
    <row r="366" ht="19.5" customHeight="1">
      <c r="A366" s="31"/>
      <c r="B366" s="30"/>
      <c r="C366" s="31"/>
      <c r="D366" s="31"/>
      <c r="E366" s="31"/>
      <c r="F366" s="32"/>
      <c r="G366" s="34">
        <f>IFERROR(SUMIFS(Transactions!$F$7:$F$989,Transactions!$G$7:$G$989,A366,Transactions!$D$7:$D$989,"Expense"),0)</f>
        <v>0</v>
      </c>
      <c r="H366" s="31"/>
      <c r="I366" s="31"/>
      <c r="J366" s="31"/>
      <c r="K366" s="5"/>
      <c r="L366" s="5"/>
      <c r="M366" s="5"/>
      <c r="N366" s="5"/>
      <c r="O366" s="5"/>
      <c r="P366" s="5"/>
      <c r="Q366" s="5"/>
      <c r="R366" s="5"/>
      <c r="S366" s="5"/>
      <c r="T366" s="5"/>
      <c r="U366" s="5"/>
      <c r="V366" s="5"/>
      <c r="W366" s="5"/>
      <c r="X366" s="5"/>
      <c r="Y366" s="5"/>
      <c r="Z366" s="5"/>
    </row>
    <row r="367" ht="19.5" customHeight="1">
      <c r="A367" s="31"/>
      <c r="B367" s="30"/>
      <c r="C367" s="31"/>
      <c r="D367" s="31"/>
      <c r="E367" s="31"/>
      <c r="F367" s="32"/>
      <c r="G367" s="34">
        <f>IFERROR(SUMIFS(Transactions!$F$7:$F$989,Transactions!$G$7:$G$989,A367,Transactions!$D$7:$D$989,"Expense"),0)</f>
        <v>0</v>
      </c>
      <c r="H367" s="31"/>
      <c r="I367" s="31"/>
      <c r="J367" s="31"/>
      <c r="K367" s="5"/>
      <c r="L367" s="5"/>
      <c r="M367" s="5"/>
      <c r="N367" s="5"/>
      <c r="O367" s="5"/>
      <c r="P367" s="5"/>
      <c r="Q367" s="5"/>
      <c r="R367" s="5"/>
      <c r="S367" s="5"/>
      <c r="T367" s="5"/>
      <c r="U367" s="5"/>
      <c r="V367" s="5"/>
      <c r="W367" s="5"/>
      <c r="X367" s="5"/>
      <c r="Y367" s="5"/>
      <c r="Z367" s="5"/>
    </row>
    <row r="368" ht="19.5" customHeight="1">
      <c r="A368" s="31"/>
      <c r="B368" s="30"/>
      <c r="C368" s="31"/>
      <c r="D368" s="31"/>
      <c r="E368" s="31"/>
      <c r="F368" s="32"/>
      <c r="G368" s="34">
        <f>IFERROR(SUMIFS(Transactions!$F$7:$F$989,Transactions!$G$7:$G$989,A368,Transactions!$D$7:$D$989,"Expense"),0)</f>
        <v>0</v>
      </c>
      <c r="H368" s="31"/>
      <c r="I368" s="31"/>
      <c r="J368" s="31"/>
      <c r="K368" s="5"/>
      <c r="L368" s="5"/>
      <c r="M368" s="5"/>
      <c r="N368" s="5"/>
      <c r="O368" s="5"/>
      <c r="P368" s="5"/>
      <c r="Q368" s="5"/>
      <c r="R368" s="5"/>
      <c r="S368" s="5"/>
      <c r="T368" s="5"/>
      <c r="U368" s="5"/>
      <c r="V368" s="5"/>
      <c r="W368" s="5"/>
      <c r="X368" s="5"/>
      <c r="Y368" s="5"/>
      <c r="Z368" s="5"/>
    </row>
    <row r="369" ht="19.5" customHeight="1">
      <c r="A369" s="31"/>
      <c r="B369" s="30"/>
      <c r="C369" s="31"/>
      <c r="D369" s="31"/>
      <c r="E369" s="31"/>
      <c r="F369" s="32"/>
      <c r="G369" s="34">
        <f>IFERROR(SUMIFS(Transactions!$F$7:$F$989,Transactions!$G$7:$G$989,A369,Transactions!$D$7:$D$989,"Expense"),0)</f>
        <v>0</v>
      </c>
      <c r="H369" s="31"/>
      <c r="I369" s="31"/>
      <c r="J369" s="31"/>
      <c r="K369" s="5"/>
      <c r="L369" s="5"/>
      <c r="M369" s="5"/>
      <c r="N369" s="5"/>
      <c r="O369" s="5"/>
      <c r="P369" s="5"/>
      <c r="Q369" s="5"/>
      <c r="R369" s="5"/>
      <c r="S369" s="5"/>
      <c r="T369" s="5"/>
      <c r="U369" s="5"/>
      <c r="V369" s="5"/>
      <c r="W369" s="5"/>
      <c r="X369" s="5"/>
      <c r="Y369" s="5"/>
      <c r="Z369" s="5"/>
    </row>
    <row r="370" ht="19.5" customHeight="1">
      <c r="A370" s="31"/>
      <c r="B370" s="30"/>
      <c r="C370" s="31"/>
      <c r="D370" s="31"/>
      <c r="E370" s="31"/>
      <c r="F370" s="32"/>
      <c r="G370" s="34">
        <f>IFERROR(SUMIFS(Transactions!$F$7:$F$989,Transactions!$G$7:$G$989,A370,Transactions!$D$7:$D$989,"Expense"),0)</f>
        <v>0</v>
      </c>
      <c r="H370" s="31"/>
      <c r="I370" s="31"/>
      <c r="J370" s="31"/>
      <c r="K370" s="5"/>
      <c r="L370" s="5"/>
      <c r="M370" s="5"/>
      <c r="N370" s="5"/>
      <c r="O370" s="5"/>
      <c r="P370" s="5"/>
      <c r="Q370" s="5"/>
      <c r="R370" s="5"/>
      <c r="S370" s="5"/>
      <c r="T370" s="5"/>
      <c r="U370" s="5"/>
      <c r="V370" s="5"/>
      <c r="W370" s="5"/>
      <c r="X370" s="5"/>
      <c r="Y370" s="5"/>
      <c r="Z370" s="5"/>
    </row>
    <row r="371" ht="19.5" customHeight="1">
      <c r="A371" s="31"/>
      <c r="B371" s="30"/>
      <c r="C371" s="31"/>
      <c r="D371" s="31"/>
      <c r="E371" s="31"/>
      <c r="F371" s="32"/>
      <c r="G371" s="34">
        <f>IFERROR(SUMIFS(Transactions!$F$7:$F$989,Transactions!$G$7:$G$989,A371,Transactions!$D$7:$D$989,"Expense"),0)</f>
        <v>0</v>
      </c>
      <c r="H371" s="31"/>
      <c r="I371" s="31"/>
      <c r="J371" s="31"/>
      <c r="K371" s="5"/>
      <c r="L371" s="5"/>
      <c r="M371" s="5"/>
      <c r="N371" s="5"/>
      <c r="O371" s="5"/>
      <c r="P371" s="5"/>
      <c r="Q371" s="5"/>
      <c r="R371" s="5"/>
      <c r="S371" s="5"/>
      <c r="T371" s="5"/>
      <c r="U371" s="5"/>
      <c r="V371" s="5"/>
      <c r="W371" s="5"/>
      <c r="X371" s="5"/>
      <c r="Y371" s="5"/>
      <c r="Z371" s="5"/>
    </row>
    <row r="372" ht="19.5" customHeight="1">
      <c r="A372" s="31"/>
      <c r="B372" s="30"/>
      <c r="C372" s="31"/>
      <c r="D372" s="31"/>
      <c r="E372" s="31"/>
      <c r="F372" s="32"/>
      <c r="G372" s="34">
        <f>IFERROR(SUMIFS(Transactions!$F$7:$F$989,Transactions!$G$7:$G$989,A372,Transactions!$D$7:$D$989,"Expense"),0)</f>
        <v>0</v>
      </c>
      <c r="H372" s="31"/>
      <c r="I372" s="31"/>
      <c r="J372" s="31"/>
      <c r="K372" s="5"/>
      <c r="L372" s="5"/>
      <c r="M372" s="5"/>
      <c r="N372" s="5"/>
      <c r="O372" s="5"/>
      <c r="P372" s="5"/>
      <c r="Q372" s="5"/>
      <c r="R372" s="5"/>
      <c r="S372" s="5"/>
      <c r="T372" s="5"/>
      <c r="U372" s="5"/>
      <c r="V372" s="5"/>
      <c r="W372" s="5"/>
      <c r="X372" s="5"/>
      <c r="Y372" s="5"/>
      <c r="Z372" s="5"/>
    </row>
    <row r="373" ht="19.5" customHeight="1">
      <c r="A373" s="31"/>
      <c r="B373" s="30"/>
      <c r="C373" s="31"/>
      <c r="D373" s="31"/>
      <c r="E373" s="31"/>
      <c r="F373" s="32"/>
      <c r="G373" s="34">
        <f>IFERROR(SUMIFS(Transactions!$F$7:$F$989,Transactions!$G$7:$G$989,A373,Transactions!$D$7:$D$989,"Expense"),0)</f>
        <v>0</v>
      </c>
      <c r="H373" s="31"/>
      <c r="I373" s="31"/>
      <c r="J373" s="31"/>
      <c r="K373" s="5"/>
      <c r="L373" s="5"/>
      <c r="M373" s="5"/>
      <c r="N373" s="5"/>
      <c r="O373" s="5"/>
      <c r="P373" s="5"/>
      <c r="Q373" s="5"/>
      <c r="R373" s="5"/>
      <c r="S373" s="5"/>
      <c r="T373" s="5"/>
      <c r="U373" s="5"/>
      <c r="V373" s="5"/>
      <c r="W373" s="5"/>
      <c r="X373" s="5"/>
      <c r="Y373" s="5"/>
      <c r="Z373" s="5"/>
    </row>
    <row r="374" ht="19.5" customHeight="1">
      <c r="A374" s="31"/>
      <c r="B374" s="30"/>
      <c r="C374" s="31"/>
      <c r="D374" s="31"/>
      <c r="E374" s="31"/>
      <c r="F374" s="32"/>
      <c r="G374" s="34">
        <f>IFERROR(SUMIFS(Transactions!$F$7:$F$989,Transactions!$G$7:$G$989,A374,Transactions!$D$7:$D$989,"Expense"),0)</f>
        <v>0</v>
      </c>
      <c r="H374" s="31"/>
      <c r="I374" s="31"/>
      <c r="J374" s="31"/>
      <c r="K374" s="5"/>
      <c r="L374" s="5"/>
      <c r="M374" s="5"/>
      <c r="N374" s="5"/>
      <c r="O374" s="5"/>
      <c r="P374" s="5"/>
      <c r="Q374" s="5"/>
      <c r="R374" s="5"/>
      <c r="S374" s="5"/>
      <c r="T374" s="5"/>
      <c r="U374" s="5"/>
      <c r="V374" s="5"/>
      <c r="W374" s="5"/>
      <c r="X374" s="5"/>
      <c r="Y374" s="5"/>
      <c r="Z374" s="5"/>
    </row>
    <row r="375" ht="19.5" customHeight="1">
      <c r="A375" s="31"/>
      <c r="B375" s="30"/>
      <c r="C375" s="31"/>
      <c r="D375" s="31"/>
      <c r="E375" s="31"/>
      <c r="F375" s="32"/>
      <c r="G375" s="34">
        <f>IFERROR(SUMIFS(Transactions!$F$7:$F$989,Transactions!$G$7:$G$989,A375,Transactions!$D$7:$D$989,"Expense"),0)</f>
        <v>0</v>
      </c>
      <c r="H375" s="31"/>
      <c r="I375" s="31"/>
      <c r="J375" s="31"/>
      <c r="K375" s="5"/>
      <c r="L375" s="5"/>
      <c r="M375" s="5"/>
      <c r="N375" s="5"/>
      <c r="O375" s="5"/>
      <c r="P375" s="5"/>
      <c r="Q375" s="5"/>
      <c r="R375" s="5"/>
      <c r="S375" s="5"/>
      <c r="T375" s="5"/>
      <c r="U375" s="5"/>
      <c r="V375" s="5"/>
      <c r="W375" s="5"/>
      <c r="X375" s="5"/>
      <c r="Y375" s="5"/>
      <c r="Z375" s="5"/>
    </row>
    <row r="376" ht="19.5" customHeight="1">
      <c r="A376" s="31"/>
      <c r="B376" s="30"/>
      <c r="C376" s="31"/>
      <c r="D376" s="31"/>
      <c r="E376" s="31"/>
      <c r="F376" s="32"/>
      <c r="G376" s="34">
        <f>IFERROR(SUMIFS(Transactions!$F$7:$F$989,Transactions!$G$7:$G$989,A376,Transactions!$D$7:$D$989,"Expense"),0)</f>
        <v>0</v>
      </c>
      <c r="H376" s="31"/>
      <c r="I376" s="31"/>
      <c r="J376" s="31"/>
      <c r="K376" s="5"/>
      <c r="L376" s="5"/>
      <c r="M376" s="5"/>
      <c r="N376" s="5"/>
      <c r="O376" s="5"/>
      <c r="P376" s="5"/>
      <c r="Q376" s="5"/>
      <c r="R376" s="5"/>
      <c r="S376" s="5"/>
      <c r="T376" s="5"/>
      <c r="U376" s="5"/>
      <c r="V376" s="5"/>
      <c r="W376" s="5"/>
      <c r="X376" s="5"/>
      <c r="Y376" s="5"/>
      <c r="Z376" s="5"/>
    </row>
    <row r="377" ht="19.5" customHeight="1">
      <c r="A377" s="31"/>
      <c r="B377" s="30"/>
      <c r="C377" s="31"/>
      <c r="D377" s="31"/>
      <c r="E377" s="31"/>
      <c r="F377" s="32"/>
      <c r="G377" s="34">
        <f>IFERROR(SUMIFS(Transactions!$F$7:$F$989,Transactions!$G$7:$G$989,A377,Transactions!$D$7:$D$989,"Expense"),0)</f>
        <v>0</v>
      </c>
      <c r="H377" s="31"/>
      <c r="I377" s="31"/>
      <c r="J377" s="31"/>
      <c r="K377" s="5"/>
      <c r="L377" s="5"/>
      <c r="M377" s="5"/>
      <c r="N377" s="5"/>
      <c r="O377" s="5"/>
      <c r="P377" s="5"/>
      <c r="Q377" s="5"/>
      <c r="R377" s="5"/>
      <c r="S377" s="5"/>
      <c r="T377" s="5"/>
      <c r="U377" s="5"/>
      <c r="V377" s="5"/>
      <c r="W377" s="5"/>
      <c r="X377" s="5"/>
      <c r="Y377" s="5"/>
      <c r="Z377" s="5"/>
    </row>
    <row r="378" ht="19.5" customHeight="1">
      <c r="A378" s="31"/>
      <c r="B378" s="30"/>
      <c r="C378" s="31"/>
      <c r="D378" s="31"/>
      <c r="E378" s="31"/>
      <c r="F378" s="32"/>
      <c r="G378" s="34">
        <f>IFERROR(SUMIFS(Transactions!$F$7:$F$989,Transactions!$G$7:$G$989,A378,Transactions!$D$7:$D$989,"Expense"),0)</f>
        <v>0</v>
      </c>
      <c r="H378" s="31"/>
      <c r="I378" s="31"/>
      <c r="J378" s="31"/>
      <c r="K378" s="5"/>
      <c r="L378" s="5"/>
      <c r="M378" s="5"/>
      <c r="N378" s="5"/>
      <c r="O378" s="5"/>
      <c r="P378" s="5"/>
      <c r="Q378" s="5"/>
      <c r="R378" s="5"/>
      <c r="S378" s="5"/>
      <c r="T378" s="5"/>
      <c r="U378" s="5"/>
      <c r="V378" s="5"/>
      <c r="W378" s="5"/>
      <c r="X378" s="5"/>
      <c r="Y378" s="5"/>
      <c r="Z378" s="5"/>
    </row>
    <row r="379" ht="19.5" customHeight="1">
      <c r="A379" s="31"/>
      <c r="B379" s="30"/>
      <c r="C379" s="31"/>
      <c r="D379" s="31"/>
      <c r="E379" s="31"/>
      <c r="F379" s="32"/>
      <c r="G379" s="34">
        <f>IFERROR(SUMIFS(Transactions!$F$7:$F$989,Transactions!$G$7:$G$989,A379,Transactions!$D$7:$D$989,"Expense"),0)</f>
        <v>0</v>
      </c>
      <c r="H379" s="31"/>
      <c r="I379" s="31"/>
      <c r="J379" s="31"/>
      <c r="K379" s="5"/>
      <c r="L379" s="5"/>
      <c r="M379" s="5"/>
      <c r="N379" s="5"/>
      <c r="O379" s="5"/>
      <c r="P379" s="5"/>
      <c r="Q379" s="5"/>
      <c r="R379" s="5"/>
      <c r="S379" s="5"/>
      <c r="T379" s="5"/>
      <c r="U379" s="5"/>
      <c r="V379" s="5"/>
      <c r="W379" s="5"/>
      <c r="X379" s="5"/>
      <c r="Y379" s="5"/>
      <c r="Z379" s="5"/>
    </row>
    <row r="380" ht="19.5" customHeight="1">
      <c r="A380" s="31"/>
      <c r="B380" s="30"/>
      <c r="C380" s="31"/>
      <c r="D380" s="31"/>
      <c r="E380" s="31"/>
      <c r="F380" s="32"/>
      <c r="G380" s="34">
        <f>IFERROR(SUMIFS(Transactions!$F$7:$F$989,Transactions!$G$7:$G$989,A380,Transactions!$D$7:$D$989,"Expense"),0)</f>
        <v>0</v>
      </c>
      <c r="H380" s="31"/>
      <c r="I380" s="31"/>
      <c r="J380" s="31"/>
      <c r="K380" s="5"/>
      <c r="L380" s="5"/>
      <c r="M380" s="5"/>
      <c r="N380" s="5"/>
      <c r="O380" s="5"/>
      <c r="P380" s="5"/>
      <c r="Q380" s="5"/>
      <c r="R380" s="5"/>
      <c r="S380" s="5"/>
      <c r="T380" s="5"/>
      <c r="U380" s="5"/>
      <c r="V380" s="5"/>
      <c r="W380" s="5"/>
      <c r="X380" s="5"/>
      <c r="Y380" s="5"/>
      <c r="Z380" s="5"/>
    </row>
    <row r="381" ht="19.5" customHeight="1">
      <c r="A381" s="31"/>
      <c r="B381" s="30"/>
      <c r="C381" s="31"/>
      <c r="D381" s="31"/>
      <c r="E381" s="31"/>
      <c r="F381" s="32"/>
      <c r="G381" s="34">
        <f>IFERROR(SUMIFS(Transactions!$F$7:$F$989,Transactions!$G$7:$G$989,A381,Transactions!$D$7:$D$989,"Expense"),0)</f>
        <v>0</v>
      </c>
      <c r="H381" s="31"/>
      <c r="I381" s="31"/>
      <c r="J381" s="31"/>
      <c r="K381" s="5"/>
      <c r="L381" s="5"/>
      <c r="M381" s="5"/>
      <c r="N381" s="5"/>
      <c r="O381" s="5"/>
      <c r="P381" s="5"/>
      <c r="Q381" s="5"/>
      <c r="R381" s="5"/>
      <c r="S381" s="5"/>
      <c r="T381" s="5"/>
      <c r="U381" s="5"/>
      <c r="V381" s="5"/>
      <c r="W381" s="5"/>
      <c r="X381" s="5"/>
      <c r="Y381" s="5"/>
      <c r="Z381" s="5"/>
    </row>
    <row r="382" ht="19.5" customHeight="1">
      <c r="A382" s="31"/>
      <c r="B382" s="30"/>
      <c r="C382" s="31"/>
      <c r="D382" s="31"/>
      <c r="E382" s="31"/>
      <c r="F382" s="32"/>
      <c r="G382" s="34">
        <f>IFERROR(SUMIFS(Transactions!$F$7:$F$989,Transactions!$G$7:$G$989,A382,Transactions!$D$7:$D$989,"Expense"),0)</f>
        <v>0</v>
      </c>
      <c r="H382" s="31"/>
      <c r="I382" s="31"/>
      <c r="J382" s="31"/>
      <c r="K382" s="5"/>
      <c r="L382" s="5"/>
      <c r="M382" s="5"/>
      <c r="N382" s="5"/>
      <c r="O382" s="5"/>
      <c r="P382" s="5"/>
      <c r="Q382" s="5"/>
      <c r="R382" s="5"/>
      <c r="S382" s="5"/>
      <c r="T382" s="5"/>
      <c r="U382" s="5"/>
      <c r="V382" s="5"/>
      <c r="W382" s="5"/>
      <c r="X382" s="5"/>
      <c r="Y382" s="5"/>
      <c r="Z382" s="5"/>
    </row>
    <row r="383" ht="19.5" customHeight="1">
      <c r="A383" s="31"/>
      <c r="B383" s="30"/>
      <c r="C383" s="31"/>
      <c r="D383" s="31"/>
      <c r="E383" s="31"/>
      <c r="F383" s="32"/>
      <c r="G383" s="34">
        <f>IFERROR(SUMIFS(Transactions!$F$7:$F$989,Transactions!$G$7:$G$989,A383,Transactions!$D$7:$D$989,"Expense"),0)</f>
        <v>0</v>
      </c>
      <c r="H383" s="31"/>
      <c r="I383" s="31"/>
      <c r="J383" s="31"/>
      <c r="K383" s="5"/>
      <c r="L383" s="5"/>
      <c r="M383" s="5"/>
      <c r="N383" s="5"/>
      <c r="O383" s="5"/>
      <c r="P383" s="5"/>
      <c r="Q383" s="5"/>
      <c r="R383" s="5"/>
      <c r="S383" s="5"/>
      <c r="T383" s="5"/>
      <c r="U383" s="5"/>
      <c r="V383" s="5"/>
      <c r="W383" s="5"/>
      <c r="X383" s="5"/>
      <c r="Y383" s="5"/>
      <c r="Z383" s="5"/>
    </row>
    <row r="384" ht="19.5" customHeight="1">
      <c r="A384" s="31"/>
      <c r="B384" s="30"/>
      <c r="C384" s="31"/>
      <c r="D384" s="31"/>
      <c r="E384" s="31"/>
      <c r="F384" s="32"/>
      <c r="G384" s="34">
        <f>IFERROR(SUMIFS(Transactions!$F$7:$F$989,Transactions!$G$7:$G$989,A384,Transactions!$D$7:$D$989,"Expense"),0)</f>
        <v>0</v>
      </c>
      <c r="H384" s="31"/>
      <c r="I384" s="31"/>
      <c r="J384" s="31"/>
      <c r="K384" s="5"/>
      <c r="L384" s="5"/>
      <c r="M384" s="5"/>
      <c r="N384" s="5"/>
      <c r="O384" s="5"/>
      <c r="P384" s="5"/>
      <c r="Q384" s="5"/>
      <c r="R384" s="5"/>
      <c r="S384" s="5"/>
      <c r="T384" s="5"/>
      <c r="U384" s="5"/>
      <c r="V384" s="5"/>
      <c r="W384" s="5"/>
      <c r="X384" s="5"/>
      <c r="Y384" s="5"/>
      <c r="Z384" s="5"/>
    </row>
    <row r="385" ht="19.5" customHeight="1">
      <c r="A385" s="31"/>
      <c r="B385" s="30"/>
      <c r="C385" s="31"/>
      <c r="D385" s="31"/>
      <c r="E385" s="31"/>
      <c r="F385" s="32"/>
      <c r="G385" s="34">
        <f>IFERROR(SUMIFS(Transactions!$F$7:$F$989,Transactions!$G$7:$G$989,A385,Transactions!$D$7:$D$989,"Expense"),0)</f>
        <v>0</v>
      </c>
      <c r="H385" s="31"/>
      <c r="I385" s="31"/>
      <c r="J385" s="31"/>
      <c r="K385" s="5"/>
      <c r="L385" s="5"/>
      <c r="M385" s="5"/>
      <c r="N385" s="5"/>
      <c r="O385" s="5"/>
      <c r="P385" s="5"/>
      <c r="Q385" s="5"/>
      <c r="R385" s="5"/>
      <c r="S385" s="5"/>
      <c r="T385" s="5"/>
      <c r="U385" s="5"/>
      <c r="V385" s="5"/>
      <c r="W385" s="5"/>
      <c r="X385" s="5"/>
      <c r="Y385" s="5"/>
      <c r="Z385" s="5"/>
    </row>
    <row r="386" ht="19.5" customHeight="1">
      <c r="A386" s="31"/>
      <c r="B386" s="30"/>
      <c r="C386" s="31"/>
      <c r="D386" s="31"/>
      <c r="E386" s="31"/>
      <c r="F386" s="32"/>
      <c r="G386" s="34">
        <f>IFERROR(SUMIFS(Transactions!$F$7:$F$989,Transactions!$G$7:$G$989,A386,Transactions!$D$7:$D$989,"Expense"),0)</f>
        <v>0</v>
      </c>
      <c r="H386" s="31"/>
      <c r="I386" s="31"/>
      <c r="J386" s="31"/>
      <c r="K386" s="5"/>
      <c r="L386" s="5"/>
      <c r="M386" s="5"/>
      <c r="N386" s="5"/>
      <c r="O386" s="5"/>
      <c r="P386" s="5"/>
      <c r="Q386" s="5"/>
      <c r="R386" s="5"/>
      <c r="S386" s="5"/>
      <c r="T386" s="5"/>
      <c r="U386" s="5"/>
      <c r="V386" s="5"/>
      <c r="W386" s="5"/>
      <c r="X386" s="5"/>
      <c r="Y386" s="5"/>
      <c r="Z386" s="5"/>
    </row>
    <row r="387" ht="19.5" customHeight="1">
      <c r="A387" s="31"/>
      <c r="B387" s="30"/>
      <c r="C387" s="31"/>
      <c r="D387" s="31"/>
      <c r="E387" s="31"/>
      <c r="F387" s="32"/>
      <c r="G387" s="34">
        <f>IFERROR(SUMIFS(Transactions!$F$7:$F$989,Transactions!$G$7:$G$989,A387,Transactions!$D$7:$D$989,"Expense"),0)</f>
        <v>0</v>
      </c>
      <c r="H387" s="31"/>
      <c r="I387" s="31"/>
      <c r="J387" s="31"/>
      <c r="K387" s="5"/>
      <c r="L387" s="5"/>
      <c r="M387" s="5"/>
      <c r="N387" s="5"/>
      <c r="O387" s="5"/>
      <c r="P387" s="5"/>
      <c r="Q387" s="5"/>
      <c r="R387" s="5"/>
      <c r="S387" s="5"/>
      <c r="T387" s="5"/>
      <c r="U387" s="5"/>
      <c r="V387" s="5"/>
      <c r="W387" s="5"/>
      <c r="X387" s="5"/>
      <c r="Y387" s="5"/>
      <c r="Z387" s="5"/>
    </row>
    <row r="388" ht="19.5" customHeight="1">
      <c r="A388" s="31"/>
      <c r="B388" s="30"/>
      <c r="C388" s="31"/>
      <c r="D388" s="31"/>
      <c r="E388" s="31"/>
      <c r="F388" s="32"/>
      <c r="G388" s="34">
        <f>IFERROR(SUMIFS(Transactions!$F$7:$F$989,Transactions!$G$7:$G$989,A388,Transactions!$D$7:$D$989,"Expense"),0)</f>
        <v>0</v>
      </c>
      <c r="H388" s="31"/>
      <c r="I388" s="31"/>
      <c r="J388" s="31"/>
      <c r="K388" s="5"/>
      <c r="L388" s="5"/>
      <c r="M388" s="5"/>
      <c r="N388" s="5"/>
      <c r="O388" s="5"/>
      <c r="P388" s="5"/>
      <c r="Q388" s="5"/>
      <c r="R388" s="5"/>
      <c r="S388" s="5"/>
      <c r="T388" s="5"/>
      <c r="U388" s="5"/>
      <c r="V388" s="5"/>
      <c r="W388" s="5"/>
      <c r="X388" s="5"/>
      <c r="Y388" s="5"/>
      <c r="Z388" s="5"/>
    </row>
    <row r="389" ht="19.5" customHeight="1">
      <c r="A389" s="31"/>
      <c r="B389" s="30"/>
      <c r="C389" s="31"/>
      <c r="D389" s="31"/>
      <c r="E389" s="31"/>
      <c r="F389" s="32"/>
      <c r="G389" s="34">
        <f>IFERROR(SUMIFS(Transactions!$F$7:$F$989,Transactions!$G$7:$G$989,A389,Transactions!$D$7:$D$989,"Expense"),0)</f>
        <v>0</v>
      </c>
      <c r="H389" s="31"/>
      <c r="I389" s="31"/>
      <c r="J389" s="31"/>
      <c r="K389" s="5"/>
      <c r="L389" s="5"/>
      <c r="M389" s="5"/>
      <c r="N389" s="5"/>
      <c r="O389" s="5"/>
      <c r="P389" s="5"/>
      <c r="Q389" s="5"/>
      <c r="R389" s="5"/>
      <c r="S389" s="5"/>
      <c r="T389" s="5"/>
      <c r="U389" s="5"/>
      <c r="V389" s="5"/>
      <c r="W389" s="5"/>
      <c r="X389" s="5"/>
      <c r="Y389" s="5"/>
      <c r="Z389" s="5"/>
    </row>
    <row r="390" ht="19.5" customHeight="1">
      <c r="A390" s="31"/>
      <c r="B390" s="30"/>
      <c r="C390" s="31"/>
      <c r="D390" s="31"/>
      <c r="E390" s="31"/>
      <c r="F390" s="32"/>
      <c r="G390" s="34">
        <f>IFERROR(SUMIFS(Transactions!$F$7:$F$989,Transactions!$G$7:$G$989,A390,Transactions!$D$7:$D$989,"Expense"),0)</f>
        <v>0</v>
      </c>
      <c r="H390" s="31"/>
      <c r="I390" s="31"/>
      <c r="J390" s="31"/>
      <c r="K390" s="5"/>
      <c r="L390" s="5"/>
      <c r="M390" s="5"/>
      <c r="N390" s="5"/>
      <c r="O390" s="5"/>
      <c r="P390" s="5"/>
      <c r="Q390" s="5"/>
      <c r="R390" s="5"/>
      <c r="S390" s="5"/>
      <c r="T390" s="5"/>
      <c r="U390" s="5"/>
      <c r="V390" s="5"/>
      <c r="W390" s="5"/>
      <c r="X390" s="5"/>
      <c r="Y390" s="5"/>
      <c r="Z390" s="5"/>
    </row>
    <row r="391" ht="19.5" customHeight="1">
      <c r="A391" s="31"/>
      <c r="B391" s="30"/>
      <c r="C391" s="31"/>
      <c r="D391" s="31"/>
      <c r="E391" s="31"/>
      <c r="F391" s="32"/>
      <c r="G391" s="34">
        <f>IFERROR(SUMIFS(Transactions!$F$7:$F$989,Transactions!$G$7:$G$989,A391,Transactions!$D$7:$D$989,"Expense"),0)</f>
        <v>0</v>
      </c>
      <c r="H391" s="31"/>
      <c r="I391" s="31"/>
      <c r="J391" s="31"/>
      <c r="K391" s="5"/>
      <c r="L391" s="5"/>
      <c r="M391" s="5"/>
      <c r="N391" s="5"/>
      <c r="O391" s="5"/>
      <c r="P391" s="5"/>
      <c r="Q391" s="5"/>
      <c r="R391" s="5"/>
      <c r="S391" s="5"/>
      <c r="T391" s="5"/>
      <c r="U391" s="5"/>
      <c r="V391" s="5"/>
      <c r="W391" s="5"/>
      <c r="X391" s="5"/>
      <c r="Y391" s="5"/>
      <c r="Z391" s="5"/>
    </row>
    <row r="392" ht="19.5" customHeight="1">
      <c r="A392" s="31"/>
      <c r="B392" s="30"/>
      <c r="C392" s="31"/>
      <c r="D392" s="31"/>
      <c r="E392" s="31"/>
      <c r="F392" s="32"/>
      <c r="G392" s="34">
        <f>IFERROR(SUMIFS(Transactions!$F$7:$F$989,Transactions!$G$7:$G$989,A392,Transactions!$D$7:$D$989,"Expense"),0)</f>
        <v>0</v>
      </c>
      <c r="H392" s="31"/>
      <c r="I392" s="31"/>
      <c r="J392" s="31"/>
      <c r="K392" s="5"/>
      <c r="L392" s="5"/>
      <c r="M392" s="5"/>
      <c r="N392" s="5"/>
      <c r="O392" s="5"/>
      <c r="P392" s="5"/>
      <c r="Q392" s="5"/>
      <c r="R392" s="5"/>
      <c r="S392" s="5"/>
      <c r="T392" s="5"/>
      <c r="U392" s="5"/>
      <c r="V392" s="5"/>
      <c r="W392" s="5"/>
      <c r="X392" s="5"/>
      <c r="Y392" s="5"/>
      <c r="Z392" s="5"/>
    </row>
    <row r="393" ht="19.5" customHeight="1">
      <c r="A393" s="31"/>
      <c r="B393" s="30"/>
      <c r="C393" s="31"/>
      <c r="D393" s="31"/>
      <c r="E393" s="31"/>
      <c r="F393" s="32"/>
      <c r="G393" s="34">
        <f>IFERROR(SUMIFS(Transactions!$F$7:$F$989,Transactions!$G$7:$G$989,A393,Transactions!$D$7:$D$989,"Expense"),0)</f>
        <v>0</v>
      </c>
      <c r="H393" s="31"/>
      <c r="I393" s="31"/>
      <c r="J393" s="31"/>
      <c r="K393" s="5"/>
      <c r="L393" s="5"/>
      <c r="M393" s="5"/>
      <c r="N393" s="5"/>
      <c r="O393" s="5"/>
      <c r="P393" s="5"/>
      <c r="Q393" s="5"/>
      <c r="R393" s="5"/>
      <c r="S393" s="5"/>
      <c r="T393" s="5"/>
      <c r="U393" s="5"/>
      <c r="V393" s="5"/>
      <c r="W393" s="5"/>
      <c r="X393" s="5"/>
      <c r="Y393" s="5"/>
      <c r="Z393" s="5"/>
    </row>
    <row r="394" ht="19.5" customHeight="1">
      <c r="A394" s="31"/>
      <c r="B394" s="30"/>
      <c r="C394" s="31"/>
      <c r="D394" s="31"/>
      <c r="E394" s="31"/>
      <c r="F394" s="32"/>
      <c r="G394" s="34">
        <f>IFERROR(SUMIFS(Transactions!$F$7:$F$989,Transactions!$G$7:$G$989,A394,Transactions!$D$7:$D$989,"Expense"),0)</f>
        <v>0</v>
      </c>
      <c r="H394" s="31"/>
      <c r="I394" s="31"/>
      <c r="J394" s="31"/>
      <c r="K394" s="5"/>
      <c r="L394" s="5"/>
      <c r="M394" s="5"/>
      <c r="N394" s="5"/>
      <c r="O394" s="5"/>
      <c r="P394" s="5"/>
      <c r="Q394" s="5"/>
      <c r="R394" s="5"/>
      <c r="S394" s="5"/>
      <c r="T394" s="5"/>
      <c r="U394" s="5"/>
      <c r="V394" s="5"/>
      <c r="W394" s="5"/>
      <c r="X394" s="5"/>
      <c r="Y394" s="5"/>
      <c r="Z394" s="5"/>
    </row>
    <row r="395" ht="19.5" customHeight="1">
      <c r="A395" s="31"/>
      <c r="B395" s="30"/>
      <c r="C395" s="31"/>
      <c r="D395" s="31"/>
      <c r="E395" s="31"/>
      <c r="F395" s="32"/>
      <c r="G395" s="34">
        <f>IFERROR(SUMIFS(Transactions!$F$7:$F$989,Transactions!$G$7:$G$989,A395,Transactions!$D$7:$D$989,"Expense"),0)</f>
        <v>0</v>
      </c>
      <c r="H395" s="31"/>
      <c r="I395" s="31"/>
      <c r="J395" s="31"/>
      <c r="K395" s="5"/>
      <c r="L395" s="5"/>
      <c r="M395" s="5"/>
      <c r="N395" s="5"/>
      <c r="O395" s="5"/>
      <c r="P395" s="5"/>
      <c r="Q395" s="5"/>
      <c r="R395" s="5"/>
      <c r="S395" s="5"/>
      <c r="T395" s="5"/>
      <c r="U395" s="5"/>
      <c r="V395" s="5"/>
      <c r="W395" s="5"/>
      <c r="X395" s="5"/>
      <c r="Y395" s="5"/>
      <c r="Z395" s="5"/>
    </row>
    <row r="396" ht="19.5" customHeight="1">
      <c r="A396" s="31"/>
      <c r="B396" s="30"/>
      <c r="C396" s="31"/>
      <c r="D396" s="31"/>
      <c r="E396" s="31"/>
      <c r="F396" s="32"/>
      <c r="G396" s="34">
        <f>IFERROR(SUMIFS(Transactions!$F$7:$F$989,Transactions!$G$7:$G$989,A396,Transactions!$D$7:$D$989,"Expense"),0)</f>
        <v>0</v>
      </c>
      <c r="H396" s="31"/>
      <c r="I396" s="31"/>
      <c r="J396" s="31"/>
      <c r="K396" s="5"/>
      <c r="L396" s="5"/>
      <c r="M396" s="5"/>
      <c r="N396" s="5"/>
      <c r="O396" s="5"/>
      <c r="P396" s="5"/>
      <c r="Q396" s="5"/>
      <c r="R396" s="5"/>
      <c r="S396" s="5"/>
      <c r="T396" s="5"/>
      <c r="U396" s="5"/>
      <c r="V396" s="5"/>
      <c r="W396" s="5"/>
      <c r="X396" s="5"/>
      <c r="Y396" s="5"/>
      <c r="Z396" s="5"/>
    </row>
    <row r="397" ht="19.5" customHeight="1">
      <c r="A397" s="31"/>
      <c r="B397" s="30"/>
      <c r="C397" s="31"/>
      <c r="D397" s="31"/>
      <c r="E397" s="31"/>
      <c r="F397" s="32"/>
      <c r="G397" s="34">
        <f>IFERROR(SUMIFS(Transactions!$F$7:$F$989,Transactions!$G$7:$G$989,A397,Transactions!$D$7:$D$989,"Expense"),0)</f>
        <v>0</v>
      </c>
      <c r="H397" s="31"/>
      <c r="I397" s="31"/>
      <c r="J397" s="31"/>
      <c r="K397" s="5"/>
      <c r="L397" s="5"/>
      <c r="M397" s="5"/>
      <c r="N397" s="5"/>
      <c r="O397" s="5"/>
      <c r="P397" s="5"/>
      <c r="Q397" s="5"/>
      <c r="R397" s="5"/>
      <c r="S397" s="5"/>
      <c r="T397" s="5"/>
      <c r="U397" s="5"/>
      <c r="V397" s="5"/>
      <c r="W397" s="5"/>
      <c r="X397" s="5"/>
      <c r="Y397" s="5"/>
      <c r="Z397" s="5"/>
    </row>
    <row r="398" ht="19.5" customHeight="1">
      <c r="A398" s="31"/>
      <c r="B398" s="30"/>
      <c r="C398" s="31"/>
      <c r="D398" s="31"/>
      <c r="E398" s="31"/>
      <c r="F398" s="32"/>
      <c r="G398" s="34">
        <f>IFERROR(SUMIFS(Transactions!$F$7:$F$989,Transactions!$G$7:$G$989,A398,Transactions!$D$7:$D$989,"Expense"),0)</f>
        <v>0</v>
      </c>
      <c r="H398" s="31"/>
      <c r="I398" s="31"/>
      <c r="J398" s="31"/>
      <c r="K398" s="5"/>
      <c r="L398" s="5"/>
      <c r="M398" s="5"/>
      <c r="N398" s="5"/>
      <c r="O398" s="5"/>
      <c r="P398" s="5"/>
      <c r="Q398" s="5"/>
      <c r="R398" s="5"/>
      <c r="S398" s="5"/>
      <c r="T398" s="5"/>
      <c r="U398" s="5"/>
      <c r="V398" s="5"/>
      <c r="W398" s="5"/>
      <c r="X398" s="5"/>
      <c r="Y398" s="5"/>
      <c r="Z398" s="5"/>
    </row>
    <row r="399" ht="19.5" customHeight="1">
      <c r="A399" s="31"/>
      <c r="B399" s="30"/>
      <c r="C399" s="31"/>
      <c r="D399" s="31"/>
      <c r="E399" s="31"/>
      <c r="F399" s="32"/>
      <c r="G399" s="34">
        <f>IFERROR(SUMIFS(Transactions!$F$7:$F$989,Transactions!$G$7:$G$989,A399,Transactions!$D$7:$D$989,"Expense"),0)</f>
        <v>0</v>
      </c>
      <c r="H399" s="31"/>
      <c r="I399" s="31"/>
      <c r="J399" s="31"/>
      <c r="K399" s="5"/>
      <c r="L399" s="5"/>
      <c r="M399" s="5"/>
      <c r="N399" s="5"/>
      <c r="O399" s="5"/>
      <c r="P399" s="5"/>
      <c r="Q399" s="5"/>
      <c r="R399" s="5"/>
      <c r="S399" s="5"/>
      <c r="T399" s="5"/>
      <c r="U399" s="5"/>
      <c r="V399" s="5"/>
      <c r="W399" s="5"/>
      <c r="X399" s="5"/>
      <c r="Y399" s="5"/>
      <c r="Z399" s="5"/>
    </row>
    <row r="400" ht="19.5" customHeight="1">
      <c r="A400" s="31"/>
      <c r="B400" s="30"/>
      <c r="C400" s="31"/>
      <c r="D400" s="31"/>
      <c r="E400" s="31"/>
      <c r="F400" s="32"/>
      <c r="G400" s="34">
        <f>IFERROR(SUMIFS(Transactions!$F$7:$F$989,Transactions!$G$7:$G$989,A400,Transactions!$D$7:$D$989,"Expense"),0)</f>
        <v>0</v>
      </c>
      <c r="H400" s="31"/>
      <c r="I400" s="31"/>
      <c r="J400" s="31"/>
      <c r="K400" s="5"/>
      <c r="L400" s="5"/>
      <c r="M400" s="5"/>
      <c r="N400" s="5"/>
      <c r="O400" s="5"/>
      <c r="P400" s="5"/>
      <c r="Q400" s="5"/>
      <c r="R400" s="5"/>
      <c r="S400" s="5"/>
      <c r="T400" s="5"/>
      <c r="U400" s="5"/>
      <c r="V400" s="5"/>
      <c r="W400" s="5"/>
      <c r="X400" s="5"/>
      <c r="Y400" s="5"/>
      <c r="Z400" s="5"/>
    </row>
    <row r="401" ht="19.5" customHeight="1">
      <c r="A401" s="31"/>
      <c r="B401" s="30"/>
      <c r="C401" s="31"/>
      <c r="D401" s="31"/>
      <c r="E401" s="31"/>
      <c r="F401" s="32"/>
      <c r="G401" s="34">
        <f>IFERROR(SUMIFS(Transactions!$F$7:$F$989,Transactions!$G$7:$G$989,A401,Transactions!$D$7:$D$989,"Expense"),0)</f>
        <v>0</v>
      </c>
      <c r="H401" s="31"/>
      <c r="I401" s="31"/>
      <c r="J401" s="31"/>
      <c r="K401" s="5"/>
      <c r="L401" s="5"/>
      <c r="M401" s="5"/>
      <c r="N401" s="5"/>
      <c r="O401" s="5"/>
      <c r="P401" s="5"/>
      <c r="Q401" s="5"/>
      <c r="R401" s="5"/>
      <c r="S401" s="5"/>
      <c r="T401" s="5"/>
      <c r="U401" s="5"/>
      <c r="V401" s="5"/>
      <c r="W401" s="5"/>
      <c r="X401" s="5"/>
      <c r="Y401" s="5"/>
      <c r="Z401" s="5"/>
    </row>
    <row r="402" ht="19.5" customHeight="1">
      <c r="A402" s="31"/>
      <c r="B402" s="30"/>
      <c r="C402" s="31"/>
      <c r="D402" s="31"/>
      <c r="E402" s="31"/>
      <c r="F402" s="32"/>
      <c r="G402" s="34">
        <f>IFERROR(SUMIFS(Transactions!$F$7:$F$989,Transactions!$G$7:$G$989,A402,Transactions!$D$7:$D$989,"Expense"),0)</f>
        <v>0</v>
      </c>
      <c r="H402" s="31"/>
      <c r="I402" s="31"/>
      <c r="J402" s="31"/>
      <c r="K402" s="5"/>
      <c r="L402" s="5"/>
      <c r="M402" s="5"/>
      <c r="N402" s="5"/>
      <c r="O402" s="5"/>
      <c r="P402" s="5"/>
      <c r="Q402" s="5"/>
      <c r="R402" s="5"/>
      <c r="S402" s="5"/>
      <c r="T402" s="5"/>
      <c r="U402" s="5"/>
      <c r="V402" s="5"/>
      <c r="W402" s="5"/>
      <c r="X402" s="5"/>
      <c r="Y402" s="5"/>
      <c r="Z402" s="5"/>
    </row>
    <row r="403" ht="19.5" customHeight="1">
      <c r="A403" s="31"/>
      <c r="B403" s="30"/>
      <c r="C403" s="31"/>
      <c r="D403" s="31"/>
      <c r="E403" s="31"/>
      <c r="F403" s="32"/>
      <c r="G403" s="34">
        <f>IFERROR(SUMIFS(Transactions!$F$7:$F$989,Transactions!$G$7:$G$989,A403,Transactions!$D$7:$D$989,"Expense"),0)</f>
        <v>0</v>
      </c>
      <c r="H403" s="31"/>
      <c r="I403" s="31"/>
      <c r="J403" s="31"/>
      <c r="K403" s="5"/>
      <c r="L403" s="5"/>
      <c r="M403" s="5"/>
      <c r="N403" s="5"/>
      <c r="O403" s="5"/>
      <c r="P403" s="5"/>
      <c r="Q403" s="5"/>
      <c r="R403" s="5"/>
      <c r="S403" s="5"/>
      <c r="T403" s="5"/>
      <c r="U403" s="5"/>
      <c r="V403" s="5"/>
      <c r="W403" s="5"/>
      <c r="X403" s="5"/>
      <c r="Y403" s="5"/>
      <c r="Z403" s="5"/>
    </row>
    <row r="404" ht="19.5" customHeight="1">
      <c r="A404" s="31"/>
      <c r="B404" s="30"/>
      <c r="C404" s="31"/>
      <c r="D404" s="31"/>
      <c r="E404" s="31"/>
      <c r="F404" s="32"/>
      <c r="G404" s="34">
        <f>IFERROR(SUMIFS(Transactions!$F$7:$F$989,Transactions!$G$7:$G$989,A404,Transactions!$D$7:$D$989,"Expense"),0)</f>
        <v>0</v>
      </c>
      <c r="H404" s="31"/>
      <c r="I404" s="31"/>
      <c r="J404" s="31"/>
      <c r="K404" s="5"/>
      <c r="L404" s="5"/>
      <c r="M404" s="5"/>
      <c r="N404" s="5"/>
      <c r="O404" s="5"/>
      <c r="P404" s="5"/>
      <c r="Q404" s="5"/>
      <c r="R404" s="5"/>
      <c r="S404" s="5"/>
      <c r="T404" s="5"/>
      <c r="U404" s="5"/>
      <c r="V404" s="5"/>
      <c r="W404" s="5"/>
      <c r="X404" s="5"/>
      <c r="Y404" s="5"/>
      <c r="Z404" s="5"/>
    </row>
    <row r="405" ht="19.5" customHeight="1">
      <c r="A405" s="31"/>
      <c r="B405" s="30"/>
      <c r="C405" s="31"/>
      <c r="D405" s="31"/>
      <c r="E405" s="31"/>
      <c r="F405" s="32"/>
      <c r="G405" s="34">
        <f>IFERROR(SUMIFS(Transactions!$F$7:$F$989,Transactions!$G$7:$G$989,A405,Transactions!$D$7:$D$989,"Expense"),0)</f>
        <v>0</v>
      </c>
      <c r="H405" s="31"/>
      <c r="I405" s="31"/>
      <c r="J405" s="31"/>
      <c r="K405" s="5"/>
      <c r="L405" s="5"/>
      <c r="M405" s="5"/>
      <c r="N405" s="5"/>
      <c r="O405" s="5"/>
      <c r="P405" s="5"/>
      <c r="Q405" s="5"/>
      <c r="R405" s="5"/>
      <c r="S405" s="5"/>
      <c r="T405" s="5"/>
      <c r="U405" s="5"/>
      <c r="V405" s="5"/>
      <c r="W405" s="5"/>
      <c r="X405" s="5"/>
      <c r="Y405" s="5"/>
      <c r="Z405" s="5"/>
    </row>
    <row r="406" ht="19.5" customHeight="1">
      <c r="A406" s="31"/>
      <c r="B406" s="30"/>
      <c r="C406" s="31"/>
      <c r="D406" s="31"/>
      <c r="E406" s="31"/>
      <c r="F406" s="32"/>
      <c r="G406" s="34">
        <f>IFERROR(SUMIFS(Transactions!$F$7:$F$989,Transactions!$G$7:$G$989,A406,Transactions!$D$7:$D$989,"Expense"),0)</f>
        <v>0</v>
      </c>
      <c r="H406" s="31"/>
      <c r="I406" s="31"/>
      <c r="J406" s="31"/>
      <c r="K406" s="5"/>
      <c r="L406" s="5"/>
      <c r="M406" s="5"/>
      <c r="N406" s="5"/>
      <c r="O406" s="5"/>
      <c r="P406" s="5"/>
      <c r="Q406" s="5"/>
      <c r="R406" s="5"/>
      <c r="S406" s="5"/>
      <c r="T406" s="5"/>
      <c r="U406" s="5"/>
      <c r="V406" s="5"/>
      <c r="W406" s="5"/>
      <c r="X406" s="5"/>
      <c r="Y406" s="5"/>
      <c r="Z406" s="5"/>
    </row>
    <row r="407" ht="19.5" customHeight="1">
      <c r="A407" s="31"/>
      <c r="B407" s="30"/>
      <c r="C407" s="31"/>
      <c r="D407" s="31"/>
      <c r="E407" s="31"/>
      <c r="F407" s="32"/>
      <c r="G407" s="34">
        <f>IFERROR(SUMIFS(Transactions!$F$7:$F$989,Transactions!$G$7:$G$989,A407,Transactions!$D$7:$D$989,"Expense"),0)</f>
        <v>0</v>
      </c>
      <c r="H407" s="31"/>
      <c r="I407" s="31"/>
      <c r="J407" s="31"/>
      <c r="K407" s="5"/>
      <c r="L407" s="5"/>
      <c r="M407" s="5"/>
      <c r="N407" s="5"/>
      <c r="O407" s="5"/>
      <c r="P407" s="5"/>
      <c r="Q407" s="5"/>
      <c r="R407" s="5"/>
      <c r="S407" s="5"/>
      <c r="T407" s="5"/>
      <c r="U407" s="5"/>
      <c r="V407" s="5"/>
      <c r="W407" s="5"/>
      <c r="X407" s="5"/>
      <c r="Y407" s="5"/>
      <c r="Z407" s="5"/>
    </row>
    <row r="408" ht="19.5" customHeight="1">
      <c r="A408" s="31"/>
      <c r="B408" s="30"/>
      <c r="C408" s="31"/>
      <c r="D408" s="31"/>
      <c r="E408" s="31"/>
      <c r="F408" s="32"/>
      <c r="G408" s="34">
        <f>IFERROR(SUMIFS(Transactions!$F$7:$F$989,Transactions!$G$7:$G$989,A408,Transactions!$D$7:$D$989,"Expense"),0)</f>
        <v>0</v>
      </c>
      <c r="H408" s="31"/>
      <c r="I408" s="31"/>
      <c r="J408" s="31"/>
      <c r="K408" s="5"/>
      <c r="L408" s="5"/>
      <c r="M408" s="5"/>
      <c r="N408" s="5"/>
      <c r="O408" s="5"/>
      <c r="P408" s="5"/>
      <c r="Q408" s="5"/>
      <c r="R408" s="5"/>
      <c r="S408" s="5"/>
      <c r="T408" s="5"/>
      <c r="U408" s="5"/>
      <c r="V408" s="5"/>
      <c r="W408" s="5"/>
      <c r="X408" s="5"/>
      <c r="Y408" s="5"/>
      <c r="Z408" s="5"/>
    </row>
    <row r="409" ht="19.5" customHeight="1">
      <c r="A409" s="31"/>
      <c r="B409" s="30"/>
      <c r="C409" s="31"/>
      <c r="D409" s="31"/>
      <c r="E409" s="31"/>
      <c r="F409" s="32"/>
      <c r="G409" s="34">
        <f>IFERROR(SUMIFS(Transactions!$F$7:$F$989,Transactions!$G$7:$G$989,A409,Transactions!$D$7:$D$989,"Expense"),0)</f>
        <v>0</v>
      </c>
      <c r="H409" s="31"/>
      <c r="I409" s="31"/>
      <c r="J409" s="31"/>
      <c r="K409" s="5"/>
      <c r="L409" s="5"/>
      <c r="M409" s="5"/>
      <c r="N409" s="5"/>
      <c r="O409" s="5"/>
      <c r="P409" s="5"/>
      <c r="Q409" s="5"/>
      <c r="R409" s="5"/>
      <c r="S409" s="5"/>
      <c r="T409" s="5"/>
      <c r="U409" s="5"/>
      <c r="V409" s="5"/>
      <c r="W409" s="5"/>
      <c r="X409" s="5"/>
      <c r="Y409" s="5"/>
      <c r="Z409" s="5"/>
    </row>
    <row r="410" ht="19.5" customHeight="1">
      <c r="A410" s="31"/>
      <c r="B410" s="30"/>
      <c r="C410" s="31"/>
      <c r="D410" s="31"/>
      <c r="E410" s="31"/>
      <c r="F410" s="32"/>
      <c r="G410" s="34">
        <f>IFERROR(SUMIFS(Transactions!$F$7:$F$989,Transactions!$G$7:$G$989,A410,Transactions!$D$7:$D$989,"Expense"),0)</f>
        <v>0</v>
      </c>
      <c r="H410" s="31"/>
      <c r="I410" s="31"/>
      <c r="J410" s="31"/>
      <c r="K410" s="5"/>
      <c r="L410" s="5"/>
      <c r="M410" s="5"/>
      <c r="N410" s="5"/>
      <c r="O410" s="5"/>
      <c r="P410" s="5"/>
      <c r="Q410" s="5"/>
      <c r="R410" s="5"/>
      <c r="S410" s="5"/>
      <c r="T410" s="5"/>
      <c r="U410" s="5"/>
      <c r="V410" s="5"/>
      <c r="W410" s="5"/>
      <c r="X410" s="5"/>
      <c r="Y410" s="5"/>
      <c r="Z410" s="5"/>
    </row>
    <row r="411" ht="19.5" customHeight="1">
      <c r="A411" s="31"/>
      <c r="B411" s="30"/>
      <c r="C411" s="31"/>
      <c r="D411" s="31"/>
      <c r="E411" s="31"/>
      <c r="F411" s="32"/>
      <c r="G411" s="34">
        <f>IFERROR(SUMIFS(Transactions!$F$7:$F$989,Transactions!$G$7:$G$989,A411,Transactions!$D$7:$D$989,"Expense"),0)</f>
        <v>0</v>
      </c>
      <c r="H411" s="31"/>
      <c r="I411" s="31"/>
      <c r="J411" s="31"/>
      <c r="K411" s="5"/>
      <c r="L411" s="5"/>
      <c r="M411" s="5"/>
      <c r="N411" s="5"/>
      <c r="O411" s="5"/>
      <c r="P411" s="5"/>
      <c r="Q411" s="5"/>
      <c r="R411" s="5"/>
      <c r="S411" s="5"/>
      <c r="T411" s="5"/>
      <c r="U411" s="5"/>
      <c r="V411" s="5"/>
      <c r="W411" s="5"/>
      <c r="X411" s="5"/>
      <c r="Y411" s="5"/>
      <c r="Z411" s="5"/>
    </row>
    <row r="412" ht="19.5" customHeight="1">
      <c r="A412" s="31"/>
      <c r="B412" s="30"/>
      <c r="C412" s="31"/>
      <c r="D412" s="31"/>
      <c r="E412" s="31"/>
      <c r="F412" s="32"/>
      <c r="G412" s="34">
        <f>IFERROR(SUMIFS(Transactions!$F$7:$F$989,Transactions!$G$7:$G$989,A412,Transactions!$D$7:$D$989,"Expense"),0)</f>
        <v>0</v>
      </c>
      <c r="H412" s="31"/>
      <c r="I412" s="31"/>
      <c r="J412" s="31"/>
      <c r="K412" s="5"/>
      <c r="L412" s="5"/>
      <c r="M412" s="5"/>
      <c r="N412" s="5"/>
      <c r="O412" s="5"/>
      <c r="P412" s="5"/>
      <c r="Q412" s="5"/>
      <c r="R412" s="5"/>
      <c r="S412" s="5"/>
      <c r="T412" s="5"/>
      <c r="U412" s="5"/>
      <c r="V412" s="5"/>
      <c r="W412" s="5"/>
      <c r="X412" s="5"/>
      <c r="Y412" s="5"/>
      <c r="Z412" s="5"/>
    </row>
    <row r="413" ht="19.5" customHeight="1">
      <c r="A413" s="31"/>
      <c r="B413" s="30"/>
      <c r="C413" s="31"/>
      <c r="D413" s="31"/>
      <c r="E413" s="31"/>
      <c r="F413" s="32"/>
      <c r="G413" s="34">
        <f>IFERROR(SUMIFS(Transactions!$F$7:$F$989,Transactions!$G$7:$G$989,A413,Transactions!$D$7:$D$989,"Expense"),0)</f>
        <v>0</v>
      </c>
      <c r="H413" s="31"/>
      <c r="I413" s="31"/>
      <c r="J413" s="31"/>
      <c r="K413" s="5"/>
      <c r="L413" s="5"/>
      <c r="M413" s="5"/>
      <c r="N413" s="5"/>
      <c r="O413" s="5"/>
      <c r="P413" s="5"/>
      <c r="Q413" s="5"/>
      <c r="R413" s="5"/>
      <c r="S413" s="5"/>
      <c r="T413" s="5"/>
      <c r="U413" s="5"/>
      <c r="V413" s="5"/>
      <c r="W413" s="5"/>
      <c r="X413" s="5"/>
      <c r="Y413" s="5"/>
      <c r="Z413" s="5"/>
    </row>
    <row r="414" ht="19.5" customHeight="1">
      <c r="A414" s="31"/>
      <c r="B414" s="30"/>
      <c r="C414" s="31"/>
      <c r="D414" s="31"/>
      <c r="E414" s="31"/>
      <c r="F414" s="32"/>
      <c r="G414" s="34">
        <f>IFERROR(SUMIFS(Transactions!$F$7:$F$989,Transactions!$G$7:$G$989,A414,Transactions!$D$7:$D$989,"Expense"),0)</f>
        <v>0</v>
      </c>
      <c r="H414" s="31"/>
      <c r="I414" s="31"/>
      <c r="J414" s="31"/>
      <c r="K414" s="5"/>
      <c r="L414" s="5"/>
      <c r="M414" s="5"/>
      <c r="N414" s="5"/>
      <c r="O414" s="5"/>
      <c r="P414" s="5"/>
      <c r="Q414" s="5"/>
      <c r="R414" s="5"/>
      <c r="S414" s="5"/>
      <c r="T414" s="5"/>
      <c r="U414" s="5"/>
      <c r="V414" s="5"/>
      <c r="W414" s="5"/>
      <c r="X414" s="5"/>
      <c r="Y414" s="5"/>
      <c r="Z414" s="5"/>
    </row>
    <row r="415" ht="19.5" customHeight="1">
      <c r="A415" s="31"/>
      <c r="B415" s="30"/>
      <c r="C415" s="31"/>
      <c r="D415" s="31"/>
      <c r="E415" s="31"/>
      <c r="F415" s="32"/>
      <c r="G415" s="34">
        <f>IFERROR(SUMIFS(Transactions!$F$7:$F$989,Transactions!$G$7:$G$989,A415,Transactions!$D$7:$D$989,"Expense"),0)</f>
        <v>0</v>
      </c>
      <c r="H415" s="31"/>
      <c r="I415" s="31"/>
      <c r="J415" s="31"/>
      <c r="K415" s="5"/>
      <c r="L415" s="5"/>
      <c r="M415" s="5"/>
      <c r="N415" s="5"/>
      <c r="O415" s="5"/>
      <c r="P415" s="5"/>
      <c r="Q415" s="5"/>
      <c r="R415" s="5"/>
      <c r="S415" s="5"/>
      <c r="T415" s="5"/>
      <c r="U415" s="5"/>
      <c r="V415" s="5"/>
      <c r="W415" s="5"/>
      <c r="X415" s="5"/>
      <c r="Y415" s="5"/>
      <c r="Z415" s="5"/>
    </row>
    <row r="416" ht="19.5" customHeight="1">
      <c r="A416" s="31"/>
      <c r="B416" s="30"/>
      <c r="C416" s="31"/>
      <c r="D416" s="31"/>
      <c r="E416" s="31"/>
      <c r="F416" s="32"/>
      <c r="G416" s="34">
        <f>IFERROR(SUMIFS(Transactions!$F$7:$F$989,Transactions!$G$7:$G$989,A416,Transactions!$D$7:$D$989,"Expense"),0)</f>
        <v>0</v>
      </c>
      <c r="H416" s="31"/>
      <c r="I416" s="31"/>
      <c r="J416" s="31"/>
      <c r="K416" s="5"/>
      <c r="L416" s="5"/>
      <c r="M416" s="5"/>
      <c r="N416" s="5"/>
      <c r="O416" s="5"/>
      <c r="P416" s="5"/>
      <c r="Q416" s="5"/>
      <c r="R416" s="5"/>
      <c r="S416" s="5"/>
      <c r="T416" s="5"/>
      <c r="U416" s="5"/>
      <c r="V416" s="5"/>
      <c r="W416" s="5"/>
      <c r="X416" s="5"/>
      <c r="Y416" s="5"/>
      <c r="Z416" s="5"/>
    </row>
    <row r="417" ht="19.5" customHeight="1">
      <c r="A417" s="31"/>
      <c r="B417" s="30"/>
      <c r="C417" s="31"/>
      <c r="D417" s="31"/>
      <c r="E417" s="31"/>
      <c r="F417" s="32"/>
      <c r="G417" s="34">
        <f>IFERROR(SUMIFS(Transactions!$F$7:$F$989,Transactions!$G$7:$G$989,A417,Transactions!$D$7:$D$989,"Expense"),0)</f>
        <v>0</v>
      </c>
      <c r="H417" s="31"/>
      <c r="I417" s="31"/>
      <c r="J417" s="31"/>
      <c r="K417" s="5"/>
      <c r="L417" s="5"/>
      <c r="M417" s="5"/>
      <c r="N417" s="5"/>
      <c r="O417" s="5"/>
      <c r="P417" s="5"/>
      <c r="Q417" s="5"/>
      <c r="R417" s="5"/>
      <c r="S417" s="5"/>
      <c r="T417" s="5"/>
      <c r="U417" s="5"/>
      <c r="V417" s="5"/>
      <c r="W417" s="5"/>
      <c r="X417" s="5"/>
      <c r="Y417" s="5"/>
      <c r="Z417" s="5"/>
    </row>
    <row r="418" ht="19.5" customHeight="1">
      <c r="A418" s="31"/>
      <c r="B418" s="30"/>
      <c r="C418" s="31"/>
      <c r="D418" s="31"/>
      <c r="E418" s="31"/>
      <c r="F418" s="32"/>
      <c r="G418" s="34">
        <f>IFERROR(SUMIFS(Transactions!$F$7:$F$989,Transactions!$G$7:$G$989,A418,Transactions!$D$7:$D$989,"Expense"),0)</f>
        <v>0</v>
      </c>
      <c r="H418" s="31"/>
      <c r="I418" s="31"/>
      <c r="J418" s="31"/>
      <c r="K418" s="5"/>
      <c r="L418" s="5"/>
      <c r="M418" s="5"/>
      <c r="N418" s="5"/>
      <c r="O418" s="5"/>
      <c r="P418" s="5"/>
      <c r="Q418" s="5"/>
      <c r="R418" s="5"/>
      <c r="S418" s="5"/>
      <c r="T418" s="5"/>
      <c r="U418" s="5"/>
      <c r="V418" s="5"/>
      <c r="W418" s="5"/>
      <c r="X418" s="5"/>
      <c r="Y418" s="5"/>
      <c r="Z418" s="5"/>
    </row>
    <row r="419" ht="19.5" customHeight="1">
      <c r="A419" s="31"/>
      <c r="B419" s="30"/>
      <c r="C419" s="31"/>
      <c r="D419" s="31"/>
      <c r="E419" s="31"/>
      <c r="F419" s="32"/>
      <c r="G419" s="34">
        <f>IFERROR(SUMIFS(Transactions!$F$7:$F$989,Transactions!$G$7:$G$989,A419,Transactions!$D$7:$D$989,"Expense"),0)</f>
        <v>0</v>
      </c>
      <c r="H419" s="31"/>
      <c r="I419" s="31"/>
      <c r="J419" s="31"/>
      <c r="K419" s="5"/>
      <c r="L419" s="5"/>
      <c r="M419" s="5"/>
      <c r="N419" s="5"/>
      <c r="O419" s="5"/>
      <c r="P419" s="5"/>
      <c r="Q419" s="5"/>
      <c r="R419" s="5"/>
      <c r="S419" s="5"/>
      <c r="T419" s="5"/>
      <c r="U419" s="5"/>
      <c r="V419" s="5"/>
      <c r="W419" s="5"/>
      <c r="X419" s="5"/>
      <c r="Y419" s="5"/>
      <c r="Z419" s="5"/>
    </row>
    <row r="420" ht="19.5" customHeight="1">
      <c r="A420" s="31"/>
      <c r="B420" s="30"/>
      <c r="C420" s="31"/>
      <c r="D420" s="31"/>
      <c r="E420" s="31"/>
      <c r="F420" s="32"/>
      <c r="G420" s="34">
        <f>IFERROR(SUMIFS(Transactions!$F$7:$F$989,Transactions!$G$7:$G$989,A420,Transactions!$D$7:$D$989,"Expense"),0)</f>
        <v>0</v>
      </c>
      <c r="H420" s="31"/>
      <c r="I420" s="31"/>
      <c r="J420" s="31"/>
      <c r="K420" s="5"/>
      <c r="L420" s="5"/>
      <c r="M420" s="5"/>
      <c r="N420" s="5"/>
      <c r="O420" s="5"/>
      <c r="P420" s="5"/>
      <c r="Q420" s="5"/>
      <c r="R420" s="5"/>
      <c r="S420" s="5"/>
      <c r="T420" s="5"/>
      <c r="U420" s="5"/>
      <c r="V420" s="5"/>
      <c r="W420" s="5"/>
      <c r="X420" s="5"/>
      <c r="Y420" s="5"/>
      <c r="Z420" s="5"/>
    </row>
    <row r="421" ht="19.5" customHeight="1">
      <c r="A421" s="31"/>
      <c r="B421" s="30"/>
      <c r="C421" s="31"/>
      <c r="D421" s="31"/>
      <c r="E421" s="31"/>
      <c r="F421" s="32"/>
      <c r="G421" s="34">
        <f>IFERROR(SUMIFS(Transactions!$F$7:$F$989,Transactions!$G$7:$G$989,A421,Transactions!$D$7:$D$989,"Expense"),0)</f>
        <v>0</v>
      </c>
      <c r="H421" s="31"/>
      <c r="I421" s="31"/>
      <c r="J421" s="31"/>
      <c r="K421" s="5"/>
      <c r="L421" s="5"/>
      <c r="M421" s="5"/>
      <c r="N421" s="5"/>
      <c r="O421" s="5"/>
      <c r="P421" s="5"/>
      <c r="Q421" s="5"/>
      <c r="R421" s="5"/>
      <c r="S421" s="5"/>
      <c r="T421" s="5"/>
      <c r="U421" s="5"/>
      <c r="V421" s="5"/>
      <c r="W421" s="5"/>
      <c r="X421" s="5"/>
      <c r="Y421" s="5"/>
      <c r="Z421" s="5"/>
    </row>
    <row r="422" ht="19.5" customHeight="1">
      <c r="A422" s="31"/>
      <c r="B422" s="30"/>
      <c r="C422" s="31"/>
      <c r="D422" s="31"/>
      <c r="E422" s="31"/>
      <c r="F422" s="32"/>
      <c r="G422" s="34">
        <f>IFERROR(SUMIFS(Transactions!$F$7:$F$989,Transactions!$G$7:$G$989,A422,Transactions!$D$7:$D$989,"Expense"),0)</f>
        <v>0</v>
      </c>
      <c r="H422" s="31"/>
      <c r="I422" s="31"/>
      <c r="J422" s="31"/>
      <c r="K422" s="5"/>
      <c r="L422" s="5"/>
      <c r="M422" s="5"/>
      <c r="N422" s="5"/>
      <c r="O422" s="5"/>
      <c r="P422" s="5"/>
      <c r="Q422" s="5"/>
      <c r="R422" s="5"/>
      <c r="S422" s="5"/>
      <c r="T422" s="5"/>
      <c r="U422" s="5"/>
      <c r="V422" s="5"/>
      <c r="W422" s="5"/>
      <c r="X422" s="5"/>
      <c r="Y422" s="5"/>
      <c r="Z422" s="5"/>
    </row>
    <row r="423" ht="19.5" customHeight="1">
      <c r="A423" s="31"/>
      <c r="B423" s="30"/>
      <c r="C423" s="31"/>
      <c r="D423" s="31"/>
      <c r="E423" s="31"/>
      <c r="F423" s="32"/>
      <c r="G423" s="34">
        <f>IFERROR(SUMIFS(Transactions!$F$7:$F$989,Transactions!$G$7:$G$989,A423,Transactions!$D$7:$D$989,"Expense"),0)</f>
        <v>0</v>
      </c>
      <c r="H423" s="31"/>
      <c r="I423" s="31"/>
      <c r="J423" s="31"/>
      <c r="K423" s="5"/>
      <c r="L423" s="5"/>
      <c r="M423" s="5"/>
      <c r="N423" s="5"/>
      <c r="O423" s="5"/>
      <c r="P423" s="5"/>
      <c r="Q423" s="5"/>
      <c r="R423" s="5"/>
      <c r="S423" s="5"/>
      <c r="T423" s="5"/>
      <c r="U423" s="5"/>
      <c r="V423" s="5"/>
      <c r="W423" s="5"/>
      <c r="X423" s="5"/>
      <c r="Y423" s="5"/>
      <c r="Z423" s="5"/>
    </row>
    <row r="424" ht="19.5" customHeight="1">
      <c r="A424" s="31"/>
      <c r="B424" s="30"/>
      <c r="C424" s="31"/>
      <c r="D424" s="31"/>
      <c r="E424" s="31"/>
      <c r="F424" s="32"/>
      <c r="G424" s="34">
        <f>IFERROR(SUMIFS(Transactions!$F$7:$F$989,Transactions!$G$7:$G$989,A424,Transactions!$D$7:$D$989,"Expense"),0)</f>
        <v>0</v>
      </c>
      <c r="H424" s="31"/>
      <c r="I424" s="31"/>
      <c r="J424" s="31"/>
      <c r="K424" s="5"/>
      <c r="L424" s="5"/>
      <c r="M424" s="5"/>
      <c r="N424" s="5"/>
      <c r="O424" s="5"/>
      <c r="P424" s="5"/>
      <c r="Q424" s="5"/>
      <c r="R424" s="5"/>
      <c r="S424" s="5"/>
      <c r="T424" s="5"/>
      <c r="U424" s="5"/>
      <c r="V424" s="5"/>
      <c r="W424" s="5"/>
      <c r="X424" s="5"/>
      <c r="Y424" s="5"/>
      <c r="Z424" s="5"/>
    </row>
    <row r="425" ht="19.5" customHeight="1">
      <c r="A425" s="31"/>
      <c r="B425" s="30"/>
      <c r="C425" s="31"/>
      <c r="D425" s="31"/>
      <c r="E425" s="31"/>
      <c r="F425" s="32"/>
      <c r="G425" s="34">
        <f>IFERROR(SUMIFS(Transactions!$F$7:$F$989,Transactions!$G$7:$G$989,A425,Transactions!$D$7:$D$989,"Expense"),0)</f>
        <v>0</v>
      </c>
      <c r="H425" s="31"/>
      <c r="I425" s="31"/>
      <c r="J425" s="31"/>
      <c r="K425" s="5"/>
      <c r="L425" s="5"/>
      <c r="M425" s="5"/>
      <c r="N425" s="5"/>
      <c r="O425" s="5"/>
      <c r="P425" s="5"/>
      <c r="Q425" s="5"/>
      <c r="R425" s="5"/>
      <c r="S425" s="5"/>
      <c r="T425" s="5"/>
      <c r="U425" s="5"/>
      <c r="V425" s="5"/>
      <c r="W425" s="5"/>
      <c r="X425" s="5"/>
      <c r="Y425" s="5"/>
      <c r="Z425" s="5"/>
    </row>
    <row r="426" ht="19.5" customHeight="1">
      <c r="A426" s="31"/>
      <c r="B426" s="30"/>
      <c r="C426" s="31"/>
      <c r="D426" s="31"/>
      <c r="E426" s="31"/>
      <c r="F426" s="32"/>
      <c r="G426" s="34">
        <f>IFERROR(SUMIFS(Transactions!$F$7:$F$989,Transactions!$G$7:$G$989,A426,Transactions!$D$7:$D$989,"Expense"),0)</f>
        <v>0</v>
      </c>
      <c r="H426" s="31"/>
      <c r="I426" s="31"/>
      <c r="J426" s="31"/>
      <c r="K426" s="5"/>
      <c r="L426" s="5"/>
      <c r="M426" s="5"/>
      <c r="N426" s="5"/>
      <c r="O426" s="5"/>
      <c r="P426" s="5"/>
      <c r="Q426" s="5"/>
      <c r="R426" s="5"/>
      <c r="S426" s="5"/>
      <c r="T426" s="5"/>
      <c r="U426" s="5"/>
      <c r="V426" s="5"/>
      <c r="W426" s="5"/>
      <c r="X426" s="5"/>
      <c r="Y426" s="5"/>
      <c r="Z426" s="5"/>
    </row>
    <row r="427" ht="19.5" customHeight="1">
      <c r="A427" s="31"/>
      <c r="B427" s="30"/>
      <c r="C427" s="31"/>
      <c r="D427" s="31"/>
      <c r="E427" s="31"/>
      <c r="F427" s="32"/>
      <c r="G427" s="34">
        <f>IFERROR(SUMIFS(Transactions!$F$7:$F$989,Transactions!$G$7:$G$989,A427,Transactions!$D$7:$D$989,"Expense"),0)</f>
        <v>0</v>
      </c>
      <c r="H427" s="31"/>
      <c r="I427" s="31"/>
      <c r="J427" s="31"/>
      <c r="K427" s="5"/>
      <c r="L427" s="5"/>
      <c r="M427" s="5"/>
      <c r="N427" s="5"/>
      <c r="O427" s="5"/>
      <c r="P427" s="5"/>
      <c r="Q427" s="5"/>
      <c r="R427" s="5"/>
      <c r="S427" s="5"/>
      <c r="T427" s="5"/>
      <c r="U427" s="5"/>
      <c r="V427" s="5"/>
      <c r="W427" s="5"/>
      <c r="X427" s="5"/>
      <c r="Y427" s="5"/>
      <c r="Z427" s="5"/>
    </row>
    <row r="428" ht="19.5" customHeight="1">
      <c r="A428" s="31"/>
      <c r="B428" s="30"/>
      <c r="C428" s="31"/>
      <c r="D428" s="31"/>
      <c r="E428" s="31"/>
      <c r="F428" s="32"/>
      <c r="G428" s="34">
        <f>IFERROR(SUMIFS(Transactions!$F$7:$F$989,Transactions!$G$7:$G$989,A428,Transactions!$D$7:$D$989,"Expense"),0)</f>
        <v>0</v>
      </c>
      <c r="H428" s="31"/>
      <c r="I428" s="31"/>
      <c r="J428" s="31"/>
      <c r="K428" s="5"/>
      <c r="L428" s="5"/>
      <c r="M428" s="5"/>
      <c r="N428" s="5"/>
      <c r="O428" s="5"/>
      <c r="P428" s="5"/>
      <c r="Q428" s="5"/>
      <c r="R428" s="5"/>
      <c r="S428" s="5"/>
      <c r="T428" s="5"/>
      <c r="U428" s="5"/>
      <c r="V428" s="5"/>
      <c r="W428" s="5"/>
      <c r="X428" s="5"/>
      <c r="Y428" s="5"/>
      <c r="Z428" s="5"/>
    </row>
    <row r="429" ht="19.5" customHeight="1">
      <c r="A429" s="31"/>
      <c r="B429" s="30"/>
      <c r="C429" s="31"/>
      <c r="D429" s="31"/>
      <c r="E429" s="31"/>
      <c r="F429" s="32"/>
      <c r="G429" s="34">
        <f>IFERROR(SUMIFS(Transactions!$F$7:$F$989,Transactions!$G$7:$G$989,A429,Transactions!$D$7:$D$989,"Expense"),0)</f>
        <v>0</v>
      </c>
      <c r="H429" s="31"/>
      <c r="I429" s="31"/>
      <c r="J429" s="31"/>
      <c r="K429" s="5"/>
      <c r="L429" s="5"/>
      <c r="M429" s="5"/>
      <c r="N429" s="5"/>
      <c r="O429" s="5"/>
      <c r="P429" s="5"/>
      <c r="Q429" s="5"/>
      <c r="R429" s="5"/>
      <c r="S429" s="5"/>
      <c r="T429" s="5"/>
      <c r="U429" s="5"/>
      <c r="V429" s="5"/>
      <c r="W429" s="5"/>
      <c r="X429" s="5"/>
      <c r="Y429" s="5"/>
      <c r="Z429" s="5"/>
    </row>
    <row r="430" ht="19.5" customHeight="1">
      <c r="A430" s="31"/>
      <c r="B430" s="30"/>
      <c r="C430" s="31"/>
      <c r="D430" s="31"/>
      <c r="E430" s="31"/>
      <c r="F430" s="32"/>
      <c r="G430" s="34">
        <f>IFERROR(SUMIFS(Transactions!$F$7:$F$989,Transactions!$G$7:$G$989,A430,Transactions!$D$7:$D$989,"Expense"),0)</f>
        <v>0</v>
      </c>
      <c r="H430" s="31"/>
      <c r="I430" s="31"/>
      <c r="J430" s="31"/>
      <c r="K430" s="5"/>
      <c r="L430" s="5"/>
      <c r="M430" s="5"/>
      <c r="N430" s="5"/>
      <c r="O430" s="5"/>
      <c r="P430" s="5"/>
      <c r="Q430" s="5"/>
      <c r="R430" s="5"/>
      <c r="S430" s="5"/>
      <c r="T430" s="5"/>
      <c r="U430" s="5"/>
      <c r="V430" s="5"/>
      <c r="W430" s="5"/>
      <c r="X430" s="5"/>
      <c r="Y430" s="5"/>
      <c r="Z430" s="5"/>
    </row>
    <row r="431" ht="19.5" customHeight="1">
      <c r="A431" s="31"/>
      <c r="B431" s="30"/>
      <c r="C431" s="31"/>
      <c r="D431" s="31"/>
      <c r="E431" s="31"/>
      <c r="F431" s="32"/>
      <c r="G431" s="34">
        <f>IFERROR(SUMIFS(Transactions!$F$7:$F$989,Transactions!$G$7:$G$989,A431,Transactions!$D$7:$D$989,"Expense"),0)</f>
        <v>0</v>
      </c>
      <c r="H431" s="31"/>
      <c r="I431" s="31"/>
      <c r="J431" s="31"/>
      <c r="K431" s="5"/>
      <c r="L431" s="5"/>
      <c r="M431" s="5"/>
      <c r="N431" s="5"/>
      <c r="O431" s="5"/>
      <c r="P431" s="5"/>
      <c r="Q431" s="5"/>
      <c r="R431" s="5"/>
      <c r="S431" s="5"/>
      <c r="T431" s="5"/>
      <c r="U431" s="5"/>
      <c r="V431" s="5"/>
      <c r="W431" s="5"/>
      <c r="X431" s="5"/>
      <c r="Y431" s="5"/>
      <c r="Z431" s="5"/>
    </row>
    <row r="432" ht="19.5" customHeight="1">
      <c r="A432" s="31"/>
      <c r="B432" s="30"/>
      <c r="C432" s="31"/>
      <c r="D432" s="31"/>
      <c r="E432" s="31"/>
      <c r="F432" s="32"/>
      <c r="G432" s="34">
        <f>IFERROR(SUMIFS(Transactions!$F$7:$F$989,Transactions!$G$7:$G$989,A432,Transactions!$D$7:$D$989,"Expense"),0)</f>
        <v>0</v>
      </c>
      <c r="H432" s="31"/>
      <c r="I432" s="31"/>
      <c r="J432" s="31"/>
      <c r="K432" s="5"/>
      <c r="L432" s="5"/>
      <c r="M432" s="5"/>
      <c r="N432" s="5"/>
      <c r="O432" s="5"/>
      <c r="P432" s="5"/>
      <c r="Q432" s="5"/>
      <c r="R432" s="5"/>
      <c r="S432" s="5"/>
      <c r="T432" s="5"/>
      <c r="U432" s="5"/>
      <c r="V432" s="5"/>
      <c r="W432" s="5"/>
      <c r="X432" s="5"/>
      <c r="Y432" s="5"/>
      <c r="Z432" s="5"/>
    </row>
    <row r="433" ht="19.5" customHeight="1">
      <c r="A433" s="31"/>
      <c r="B433" s="30"/>
      <c r="C433" s="31"/>
      <c r="D433" s="31"/>
      <c r="E433" s="31"/>
      <c r="F433" s="32"/>
      <c r="G433" s="34">
        <f>IFERROR(SUMIFS(Transactions!$F$7:$F$989,Transactions!$G$7:$G$989,A433,Transactions!$D$7:$D$989,"Expense"),0)</f>
        <v>0</v>
      </c>
      <c r="H433" s="31"/>
      <c r="I433" s="31"/>
      <c r="J433" s="31"/>
      <c r="K433" s="5"/>
      <c r="L433" s="5"/>
      <c r="M433" s="5"/>
      <c r="N433" s="5"/>
      <c r="O433" s="5"/>
      <c r="P433" s="5"/>
      <c r="Q433" s="5"/>
      <c r="R433" s="5"/>
      <c r="S433" s="5"/>
      <c r="T433" s="5"/>
      <c r="U433" s="5"/>
      <c r="V433" s="5"/>
      <c r="W433" s="5"/>
      <c r="X433" s="5"/>
      <c r="Y433" s="5"/>
      <c r="Z433" s="5"/>
    </row>
    <row r="434" ht="19.5" customHeight="1">
      <c r="A434" s="31"/>
      <c r="B434" s="30"/>
      <c r="C434" s="31"/>
      <c r="D434" s="31"/>
      <c r="E434" s="31"/>
      <c r="F434" s="32"/>
      <c r="G434" s="34">
        <f>IFERROR(SUMIFS(Transactions!$F$7:$F$989,Transactions!$G$7:$G$989,A434,Transactions!$D$7:$D$989,"Expense"),0)</f>
        <v>0</v>
      </c>
      <c r="H434" s="31"/>
      <c r="I434" s="31"/>
      <c r="J434" s="31"/>
      <c r="K434" s="5"/>
      <c r="L434" s="5"/>
      <c r="M434" s="5"/>
      <c r="N434" s="5"/>
      <c r="O434" s="5"/>
      <c r="P434" s="5"/>
      <c r="Q434" s="5"/>
      <c r="R434" s="5"/>
      <c r="S434" s="5"/>
      <c r="T434" s="5"/>
      <c r="U434" s="5"/>
      <c r="V434" s="5"/>
      <c r="W434" s="5"/>
      <c r="X434" s="5"/>
      <c r="Y434" s="5"/>
      <c r="Z434" s="5"/>
    </row>
    <row r="435" ht="19.5" customHeight="1">
      <c r="A435" s="31"/>
      <c r="B435" s="30"/>
      <c r="C435" s="31"/>
      <c r="D435" s="31"/>
      <c r="E435" s="31"/>
      <c r="F435" s="32"/>
      <c r="G435" s="34">
        <f>IFERROR(SUMIFS(Transactions!$F$7:$F$989,Transactions!$G$7:$G$989,A435,Transactions!$D$7:$D$989,"Expense"),0)</f>
        <v>0</v>
      </c>
      <c r="H435" s="31"/>
      <c r="I435" s="31"/>
      <c r="J435" s="31"/>
      <c r="K435" s="5"/>
      <c r="L435" s="5"/>
      <c r="M435" s="5"/>
      <c r="N435" s="5"/>
      <c r="O435" s="5"/>
      <c r="P435" s="5"/>
      <c r="Q435" s="5"/>
      <c r="R435" s="5"/>
      <c r="S435" s="5"/>
      <c r="T435" s="5"/>
      <c r="U435" s="5"/>
      <c r="V435" s="5"/>
      <c r="W435" s="5"/>
      <c r="X435" s="5"/>
      <c r="Y435" s="5"/>
      <c r="Z435" s="5"/>
    </row>
    <row r="436" ht="19.5" customHeight="1">
      <c r="A436" s="31"/>
      <c r="B436" s="30"/>
      <c r="C436" s="31"/>
      <c r="D436" s="31"/>
      <c r="E436" s="31"/>
      <c r="F436" s="32"/>
      <c r="G436" s="34">
        <f>IFERROR(SUMIFS(Transactions!$F$7:$F$989,Transactions!$G$7:$G$989,A436,Transactions!$D$7:$D$989,"Expense"),0)</f>
        <v>0</v>
      </c>
      <c r="H436" s="31"/>
      <c r="I436" s="31"/>
      <c r="J436" s="31"/>
      <c r="K436" s="5"/>
      <c r="L436" s="5"/>
      <c r="M436" s="5"/>
      <c r="N436" s="5"/>
      <c r="O436" s="5"/>
      <c r="P436" s="5"/>
      <c r="Q436" s="5"/>
      <c r="R436" s="5"/>
      <c r="S436" s="5"/>
      <c r="T436" s="5"/>
      <c r="U436" s="5"/>
      <c r="V436" s="5"/>
      <c r="W436" s="5"/>
      <c r="X436" s="5"/>
      <c r="Y436" s="5"/>
      <c r="Z436" s="5"/>
    </row>
    <row r="437" ht="19.5" customHeight="1">
      <c r="A437" s="31"/>
      <c r="B437" s="30"/>
      <c r="C437" s="31"/>
      <c r="D437" s="31"/>
      <c r="E437" s="31"/>
      <c r="F437" s="32"/>
      <c r="G437" s="34">
        <f>IFERROR(SUMIFS(Transactions!$F$7:$F$989,Transactions!$G$7:$G$989,A437,Transactions!$D$7:$D$989,"Expense"),0)</f>
        <v>0</v>
      </c>
      <c r="H437" s="31"/>
      <c r="I437" s="31"/>
      <c r="J437" s="31"/>
      <c r="K437" s="5"/>
      <c r="L437" s="5"/>
      <c r="M437" s="5"/>
      <c r="N437" s="5"/>
      <c r="O437" s="5"/>
      <c r="P437" s="5"/>
      <c r="Q437" s="5"/>
      <c r="R437" s="5"/>
      <c r="S437" s="5"/>
      <c r="T437" s="5"/>
      <c r="U437" s="5"/>
      <c r="V437" s="5"/>
      <c r="W437" s="5"/>
      <c r="X437" s="5"/>
      <c r="Y437" s="5"/>
      <c r="Z437" s="5"/>
    </row>
    <row r="438" ht="19.5" customHeight="1">
      <c r="A438" s="31"/>
      <c r="B438" s="30"/>
      <c r="C438" s="31"/>
      <c r="D438" s="31"/>
      <c r="E438" s="31"/>
      <c r="F438" s="32"/>
      <c r="G438" s="34">
        <f>IFERROR(SUMIFS(Transactions!$F$7:$F$989,Transactions!$G$7:$G$989,A438,Transactions!$D$7:$D$989,"Expense"),0)</f>
        <v>0</v>
      </c>
      <c r="H438" s="31"/>
      <c r="I438" s="31"/>
      <c r="J438" s="31"/>
      <c r="K438" s="5"/>
      <c r="L438" s="5"/>
      <c r="M438" s="5"/>
      <c r="N438" s="5"/>
      <c r="O438" s="5"/>
      <c r="P438" s="5"/>
      <c r="Q438" s="5"/>
      <c r="R438" s="5"/>
      <c r="S438" s="5"/>
      <c r="T438" s="5"/>
      <c r="U438" s="5"/>
      <c r="V438" s="5"/>
      <c r="W438" s="5"/>
      <c r="X438" s="5"/>
      <c r="Y438" s="5"/>
      <c r="Z438" s="5"/>
    </row>
    <row r="439" ht="19.5" customHeight="1">
      <c r="A439" s="31"/>
      <c r="B439" s="30"/>
      <c r="C439" s="31"/>
      <c r="D439" s="31"/>
      <c r="E439" s="31"/>
      <c r="F439" s="32"/>
      <c r="G439" s="34">
        <f>IFERROR(SUMIFS(Transactions!$F$7:$F$989,Transactions!$G$7:$G$989,A439,Transactions!$D$7:$D$989,"Expense"),0)</f>
        <v>0</v>
      </c>
      <c r="H439" s="31"/>
      <c r="I439" s="31"/>
      <c r="J439" s="31"/>
      <c r="K439" s="5"/>
      <c r="L439" s="5"/>
      <c r="M439" s="5"/>
      <c r="N439" s="5"/>
      <c r="O439" s="5"/>
      <c r="P439" s="5"/>
      <c r="Q439" s="5"/>
      <c r="R439" s="5"/>
      <c r="S439" s="5"/>
      <c r="T439" s="5"/>
      <c r="U439" s="5"/>
      <c r="V439" s="5"/>
      <c r="W439" s="5"/>
      <c r="X439" s="5"/>
      <c r="Y439" s="5"/>
      <c r="Z439" s="5"/>
    </row>
    <row r="440" ht="19.5" customHeight="1">
      <c r="A440" s="31"/>
      <c r="B440" s="30"/>
      <c r="C440" s="31"/>
      <c r="D440" s="31"/>
      <c r="E440" s="31"/>
      <c r="F440" s="32"/>
      <c r="G440" s="34">
        <f>IFERROR(SUMIFS(Transactions!$F$7:$F$989,Transactions!$G$7:$G$989,A440,Transactions!$D$7:$D$989,"Expense"),0)</f>
        <v>0</v>
      </c>
      <c r="H440" s="31"/>
      <c r="I440" s="31"/>
      <c r="J440" s="31"/>
      <c r="K440" s="5"/>
      <c r="L440" s="5"/>
      <c r="M440" s="5"/>
      <c r="N440" s="5"/>
      <c r="O440" s="5"/>
      <c r="P440" s="5"/>
      <c r="Q440" s="5"/>
      <c r="R440" s="5"/>
      <c r="S440" s="5"/>
      <c r="T440" s="5"/>
      <c r="U440" s="5"/>
      <c r="V440" s="5"/>
      <c r="W440" s="5"/>
      <c r="X440" s="5"/>
      <c r="Y440" s="5"/>
      <c r="Z440" s="5"/>
    </row>
    <row r="441" ht="19.5" customHeight="1">
      <c r="A441" s="31"/>
      <c r="B441" s="30"/>
      <c r="C441" s="31"/>
      <c r="D441" s="31"/>
      <c r="E441" s="31"/>
      <c r="F441" s="32"/>
      <c r="G441" s="34">
        <f>IFERROR(SUMIFS(Transactions!$F$7:$F$989,Transactions!$G$7:$G$989,A441,Transactions!$D$7:$D$989,"Expense"),0)</f>
        <v>0</v>
      </c>
      <c r="H441" s="31"/>
      <c r="I441" s="31"/>
      <c r="J441" s="31"/>
      <c r="K441" s="5"/>
      <c r="L441" s="5"/>
      <c r="M441" s="5"/>
      <c r="N441" s="5"/>
      <c r="O441" s="5"/>
      <c r="P441" s="5"/>
      <c r="Q441" s="5"/>
      <c r="R441" s="5"/>
      <c r="S441" s="5"/>
      <c r="T441" s="5"/>
      <c r="U441" s="5"/>
      <c r="V441" s="5"/>
      <c r="W441" s="5"/>
      <c r="X441" s="5"/>
      <c r="Y441" s="5"/>
      <c r="Z441" s="5"/>
    </row>
    <row r="442" ht="19.5" customHeight="1">
      <c r="A442" s="31"/>
      <c r="B442" s="30"/>
      <c r="C442" s="31"/>
      <c r="D442" s="31"/>
      <c r="E442" s="31"/>
      <c r="F442" s="32"/>
      <c r="G442" s="34">
        <f>IFERROR(SUMIFS(Transactions!$F$7:$F$989,Transactions!$G$7:$G$989,A442,Transactions!$D$7:$D$989,"Expense"),0)</f>
        <v>0</v>
      </c>
      <c r="H442" s="31"/>
      <c r="I442" s="31"/>
      <c r="J442" s="31"/>
      <c r="K442" s="5"/>
      <c r="L442" s="5"/>
      <c r="M442" s="5"/>
      <c r="N442" s="5"/>
      <c r="O442" s="5"/>
      <c r="P442" s="5"/>
      <c r="Q442" s="5"/>
      <c r="R442" s="5"/>
      <c r="S442" s="5"/>
      <c r="T442" s="5"/>
      <c r="U442" s="5"/>
      <c r="V442" s="5"/>
      <c r="W442" s="5"/>
      <c r="X442" s="5"/>
      <c r="Y442" s="5"/>
      <c r="Z442" s="5"/>
    </row>
    <row r="443" ht="19.5" customHeight="1">
      <c r="A443" s="31"/>
      <c r="B443" s="30"/>
      <c r="C443" s="31"/>
      <c r="D443" s="31"/>
      <c r="E443" s="31"/>
      <c r="F443" s="32"/>
      <c r="G443" s="34">
        <f>IFERROR(SUMIFS(Transactions!$F$7:$F$989,Transactions!$G$7:$G$989,A443,Transactions!$D$7:$D$989,"Expense"),0)</f>
        <v>0</v>
      </c>
      <c r="H443" s="31"/>
      <c r="I443" s="31"/>
      <c r="J443" s="31"/>
      <c r="K443" s="5"/>
      <c r="L443" s="5"/>
      <c r="M443" s="5"/>
      <c r="N443" s="5"/>
      <c r="O443" s="5"/>
      <c r="P443" s="5"/>
      <c r="Q443" s="5"/>
      <c r="R443" s="5"/>
      <c r="S443" s="5"/>
      <c r="T443" s="5"/>
      <c r="U443" s="5"/>
      <c r="V443" s="5"/>
      <c r="W443" s="5"/>
      <c r="X443" s="5"/>
      <c r="Y443" s="5"/>
      <c r="Z443" s="5"/>
    </row>
    <row r="444" ht="19.5" customHeight="1">
      <c r="A444" s="31"/>
      <c r="B444" s="30"/>
      <c r="C444" s="31"/>
      <c r="D444" s="31"/>
      <c r="E444" s="31"/>
      <c r="F444" s="32"/>
      <c r="G444" s="34">
        <f>IFERROR(SUMIFS(Transactions!$F$7:$F$989,Transactions!$G$7:$G$989,A444,Transactions!$D$7:$D$989,"Expense"),0)</f>
        <v>0</v>
      </c>
      <c r="H444" s="31"/>
      <c r="I444" s="31"/>
      <c r="J444" s="31"/>
      <c r="K444" s="5"/>
      <c r="L444" s="5"/>
      <c r="M444" s="5"/>
      <c r="N444" s="5"/>
      <c r="O444" s="5"/>
      <c r="P444" s="5"/>
      <c r="Q444" s="5"/>
      <c r="R444" s="5"/>
      <c r="S444" s="5"/>
      <c r="T444" s="5"/>
      <c r="U444" s="5"/>
      <c r="V444" s="5"/>
      <c r="W444" s="5"/>
      <c r="X444" s="5"/>
      <c r="Y444" s="5"/>
      <c r="Z444" s="5"/>
    </row>
    <row r="445" ht="19.5" customHeight="1">
      <c r="A445" s="31"/>
      <c r="B445" s="30"/>
      <c r="C445" s="31"/>
      <c r="D445" s="31"/>
      <c r="E445" s="31"/>
      <c r="F445" s="32"/>
      <c r="G445" s="34">
        <f>IFERROR(SUMIFS(Transactions!$F$7:$F$989,Transactions!$G$7:$G$989,A445,Transactions!$D$7:$D$989,"Expense"),0)</f>
        <v>0</v>
      </c>
      <c r="H445" s="31"/>
      <c r="I445" s="31"/>
      <c r="J445" s="31"/>
      <c r="K445" s="5"/>
      <c r="L445" s="5"/>
      <c r="M445" s="5"/>
      <c r="N445" s="5"/>
      <c r="O445" s="5"/>
      <c r="P445" s="5"/>
      <c r="Q445" s="5"/>
      <c r="R445" s="5"/>
      <c r="S445" s="5"/>
      <c r="T445" s="5"/>
      <c r="U445" s="5"/>
      <c r="V445" s="5"/>
      <c r="W445" s="5"/>
      <c r="X445" s="5"/>
      <c r="Y445" s="5"/>
      <c r="Z445" s="5"/>
    </row>
    <row r="446" ht="19.5" customHeight="1">
      <c r="A446" s="31"/>
      <c r="B446" s="30"/>
      <c r="C446" s="31"/>
      <c r="D446" s="31"/>
      <c r="E446" s="31"/>
      <c r="F446" s="32"/>
      <c r="G446" s="34">
        <f>IFERROR(SUMIFS(Transactions!$F$7:$F$989,Transactions!$G$7:$G$989,A446,Transactions!$D$7:$D$989,"Expense"),0)</f>
        <v>0</v>
      </c>
      <c r="H446" s="31"/>
      <c r="I446" s="31"/>
      <c r="J446" s="31"/>
      <c r="K446" s="5"/>
      <c r="L446" s="5"/>
      <c r="M446" s="5"/>
      <c r="N446" s="5"/>
      <c r="O446" s="5"/>
      <c r="P446" s="5"/>
      <c r="Q446" s="5"/>
      <c r="R446" s="5"/>
      <c r="S446" s="5"/>
      <c r="T446" s="5"/>
      <c r="U446" s="5"/>
      <c r="V446" s="5"/>
      <c r="W446" s="5"/>
      <c r="X446" s="5"/>
      <c r="Y446" s="5"/>
      <c r="Z446" s="5"/>
    </row>
    <row r="447" ht="19.5" customHeight="1">
      <c r="A447" s="31"/>
      <c r="B447" s="30"/>
      <c r="C447" s="31"/>
      <c r="D447" s="31"/>
      <c r="E447" s="31"/>
      <c r="F447" s="32"/>
      <c r="G447" s="34">
        <f>IFERROR(SUMIFS(Transactions!$F$7:$F$989,Transactions!$G$7:$G$989,A447,Transactions!$D$7:$D$989,"Expense"),0)</f>
        <v>0</v>
      </c>
      <c r="H447" s="31"/>
      <c r="I447" s="31"/>
      <c r="J447" s="31"/>
      <c r="K447" s="5"/>
      <c r="L447" s="5"/>
      <c r="M447" s="5"/>
      <c r="N447" s="5"/>
      <c r="O447" s="5"/>
      <c r="P447" s="5"/>
      <c r="Q447" s="5"/>
      <c r="R447" s="5"/>
      <c r="S447" s="5"/>
      <c r="T447" s="5"/>
      <c r="U447" s="5"/>
      <c r="V447" s="5"/>
      <c r="W447" s="5"/>
      <c r="X447" s="5"/>
      <c r="Y447" s="5"/>
      <c r="Z447" s="5"/>
    </row>
    <row r="448" ht="19.5" customHeight="1">
      <c r="A448" s="31"/>
      <c r="B448" s="30"/>
      <c r="C448" s="31"/>
      <c r="D448" s="31"/>
      <c r="E448" s="31"/>
      <c r="F448" s="32"/>
      <c r="G448" s="34">
        <f>IFERROR(SUMIFS(Transactions!$F$7:$F$989,Transactions!$G$7:$G$989,A448,Transactions!$D$7:$D$989,"Expense"),0)</f>
        <v>0</v>
      </c>
      <c r="H448" s="31"/>
      <c r="I448" s="31"/>
      <c r="J448" s="31"/>
      <c r="K448" s="5"/>
      <c r="L448" s="5"/>
      <c r="M448" s="5"/>
      <c r="N448" s="5"/>
      <c r="O448" s="5"/>
      <c r="P448" s="5"/>
      <c r="Q448" s="5"/>
      <c r="R448" s="5"/>
      <c r="S448" s="5"/>
      <c r="T448" s="5"/>
      <c r="U448" s="5"/>
      <c r="V448" s="5"/>
      <c r="W448" s="5"/>
      <c r="X448" s="5"/>
      <c r="Y448" s="5"/>
      <c r="Z448" s="5"/>
    </row>
    <row r="449" ht="19.5" customHeight="1">
      <c r="A449" s="31"/>
      <c r="B449" s="30"/>
      <c r="C449" s="31"/>
      <c r="D449" s="31"/>
      <c r="E449" s="31"/>
      <c r="F449" s="32"/>
      <c r="G449" s="34">
        <f>IFERROR(SUMIFS(Transactions!$F$7:$F$989,Transactions!$G$7:$G$989,A449,Transactions!$D$7:$D$989,"Expense"),0)</f>
        <v>0</v>
      </c>
      <c r="H449" s="31"/>
      <c r="I449" s="31"/>
      <c r="J449" s="31"/>
      <c r="K449" s="5"/>
      <c r="L449" s="5"/>
      <c r="M449" s="5"/>
      <c r="N449" s="5"/>
      <c r="O449" s="5"/>
      <c r="P449" s="5"/>
      <c r="Q449" s="5"/>
      <c r="R449" s="5"/>
      <c r="S449" s="5"/>
      <c r="T449" s="5"/>
      <c r="U449" s="5"/>
      <c r="V449" s="5"/>
      <c r="W449" s="5"/>
      <c r="X449" s="5"/>
      <c r="Y449" s="5"/>
      <c r="Z449" s="5"/>
    </row>
    <row r="450" ht="19.5" customHeight="1">
      <c r="A450" s="31"/>
      <c r="B450" s="30"/>
      <c r="C450" s="31"/>
      <c r="D450" s="31"/>
      <c r="E450" s="31"/>
      <c r="F450" s="32"/>
      <c r="G450" s="34">
        <f>IFERROR(SUMIFS(Transactions!$F$7:$F$989,Transactions!$G$7:$G$989,A450,Transactions!$D$7:$D$989,"Expense"),0)</f>
        <v>0</v>
      </c>
      <c r="H450" s="31"/>
      <c r="I450" s="31"/>
      <c r="J450" s="31"/>
      <c r="K450" s="5"/>
      <c r="L450" s="5"/>
      <c r="M450" s="5"/>
      <c r="N450" s="5"/>
      <c r="O450" s="5"/>
      <c r="P450" s="5"/>
      <c r="Q450" s="5"/>
      <c r="R450" s="5"/>
      <c r="S450" s="5"/>
      <c r="T450" s="5"/>
      <c r="U450" s="5"/>
      <c r="V450" s="5"/>
      <c r="W450" s="5"/>
      <c r="X450" s="5"/>
      <c r="Y450" s="5"/>
      <c r="Z450" s="5"/>
    </row>
    <row r="451" ht="19.5" customHeight="1">
      <c r="A451" s="31"/>
      <c r="B451" s="30"/>
      <c r="C451" s="31"/>
      <c r="D451" s="31"/>
      <c r="E451" s="31"/>
      <c r="F451" s="32"/>
      <c r="G451" s="34">
        <f>IFERROR(SUMIFS(Transactions!$F$7:$F$989,Transactions!$G$7:$G$989,A451,Transactions!$D$7:$D$989,"Expense"),0)</f>
        <v>0</v>
      </c>
      <c r="H451" s="31"/>
      <c r="I451" s="31"/>
      <c r="J451" s="31"/>
      <c r="K451" s="5"/>
      <c r="L451" s="5"/>
      <c r="M451" s="5"/>
      <c r="N451" s="5"/>
      <c r="O451" s="5"/>
      <c r="P451" s="5"/>
      <c r="Q451" s="5"/>
      <c r="R451" s="5"/>
      <c r="S451" s="5"/>
      <c r="T451" s="5"/>
      <c r="U451" s="5"/>
      <c r="V451" s="5"/>
      <c r="W451" s="5"/>
      <c r="X451" s="5"/>
      <c r="Y451" s="5"/>
      <c r="Z451" s="5"/>
    </row>
    <row r="452" ht="19.5" customHeight="1">
      <c r="A452" s="31"/>
      <c r="B452" s="30"/>
      <c r="C452" s="31"/>
      <c r="D452" s="31"/>
      <c r="E452" s="31"/>
      <c r="F452" s="32"/>
      <c r="G452" s="34">
        <f>IFERROR(SUMIFS(Transactions!$F$7:$F$989,Transactions!$G$7:$G$989,A452,Transactions!$D$7:$D$989,"Expense"),0)</f>
        <v>0</v>
      </c>
      <c r="H452" s="31"/>
      <c r="I452" s="31"/>
      <c r="J452" s="31"/>
      <c r="K452" s="5"/>
      <c r="L452" s="5"/>
      <c r="M452" s="5"/>
      <c r="N452" s="5"/>
      <c r="O452" s="5"/>
      <c r="P452" s="5"/>
      <c r="Q452" s="5"/>
      <c r="R452" s="5"/>
      <c r="S452" s="5"/>
      <c r="T452" s="5"/>
      <c r="U452" s="5"/>
      <c r="V452" s="5"/>
      <c r="W452" s="5"/>
      <c r="X452" s="5"/>
      <c r="Y452" s="5"/>
      <c r="Z452" s="5"/>
    </row>
    <row r="453" ht="19.5" customHeight="1">
      <c r="A453" s="31"/>
      <c r="B453" s="30"/>
      <c r="C453" s="31"/>
      <c r="D453" s="31"/>
      <c r="E453" s="31"/>
      <c r="F453" s="32"/>
      <c r="G453" s="34">
        <f>IFERROR(SUMIFS(Transactions!$F$7:$F$989,Transactions!$G$7:$G$989,A453,Transactions!$D$7:$D$989,"Expense"),0)</f>
        <v>0</v>
      </c>
      <c r="H453" s="31"/>
      <c r="I453" s="31"/>
      <c r="J453" s="31"/>
      <c r="K453" s="5"/>
      <c r="L453" s="5"/>
      <c r="M453" s="5"/>
      <c r="N453" s="5"/>
      <c r="O453" s="5"/>
      <c r="P453" s="5"/>
      <c r="Q453" s="5"/>
      <c r="R453" s="5"/>
      <c r="S453" s="5"/>
      <c r="T453" s="5"/>
      <c r="U453" s="5"/>
      <c r="V453" s="5"/>
      <c r="W453" s="5"/>
      <c r="X453" s="5"/>
      <c r="Y453" s="5"/>
      <c r="Z453" s="5"/>
    </row>
    <row r="454" ht="19.5" customHeight="1">
      <c r="A454" s="31"/>
      <c r="B454" s="30"/>
      <c r="C454" s="31"/>
      <c r="D454" s="31"/>
      <c r="E454" s="31"/>
      <c r="F454" s="32"/>
      <c r="G454" s="34">
        <f>IFERROR(SUMIFS(Transactions!$F$7:$F$989,Transactions!$G$7:$G$989,A454,Transactions!$D$7:$D$989,"Expense"),0)</f>
        <v>0</v>
      </c>
      <c r="H454" s="31"/>
      <c r="I454" s="31"/>
      <c r="J454" s="31"/>
      <c r="K454" s="5"/>
      <c r="L454" s="5"/>
      <c r="M454" s="5"/>
      <c r="N454" s="5"/>
      <c r="O454" s="5"/>
      <c r="P454" s="5"/>
      <c r="Q454" s="5"/>
      <c r="R454" s="5"/>
      <c r="S454" s="5"/>
      <c r="T454" s="5"/>
      <c r="U454" s="5"/>
      <c r="V454" s="5"/>
      <c r="W454" s="5"/>
      <c r="X454" s="5"/>
      <c r="Y454" s="5"/>
      <c r="Z454" s="5"/>
    </row>
    <row r="455" ht="19.5" customHeight="1">
      <c r="A455" s="31"/>
      <c r="B455" s="30"/>
      <c r="C455" s="31"/>
      <c r="D455" s="31"/>
      <c r="E455" s="31"/>
      <c r="F455" s="32"/>
      <c r="G455" s="34">
        <f>IFERROR(SUMIFS(Transactions!$F$7:$F$989,Transactions!$G$7:$G$989,A455,Transactions!$D$7:$D$989,"Expense"),0)</f>
        <v>0</v>
      </c>
      <c r="H455" s="31"/>
      <c r="I455" s="31"/>
      <c r="J455" s="31"/>
      <c r="K455" s="5"/>
      <c r="L455" s="5"/>
      <c r="M455" s="5"/>
      <c r="N455" s="5"/>
      <c r="O455" s="5"/>
      <c r="P455" s="5"/>
      <c r="Q455" s="5"/>
      <c r="R455" s="5"/>
      <c r="S455" s="5"/>
      <c r="T455" s="5"/>
      <c r="U455" s="5"/>
      <c r="V455" s="5"/>
      <c r="W455" s="5"/>
      <c r="X455" s="5"/>
      <c r="Y455" s="5"/>
      <c r="Z455" s="5"/>
    </row>
    <row r="456" ht="19.5" customHeight="1">
      <c r="A456" s="31"/>
      <c r="B456" s="30"/>
      <c r="C456" s="31"/>
      <c r="D456" s="31"/>
      <c r="E456" s="31"/>
      <c r="F456" s="32"/>
      <c r="G456" s="34">
        <f>IFERROR(SUMIFS(Transactions!$F$7:$F$989,Transactions!$G$7:$G$989,A456,Transactions!$D$7:$D$989,"Expense"),0)</f>
        <v>0</v>
      </c>
      <c r="H456" s="31"/>
      <c r="I456" s="31"/>
      <c r="J456" s="31"/>
      <c r="K456" s="5"/>
      <c r="L456" s="5"/>
      <c r="M456" s="5"/>
      <c r="N456" s="5"/>
      <c r="O456" s="5"/>
      <c r="P456" s="5"/>
      <c r="Q456" s="5"/>
      <c r="R456" s="5"/>
      <c r="S456" s="5"/>
      <c r="T456" s="5"/>
      <c r="U456" s="5"/>
      <c r="V456" s="5"/>
      <c r="W456" s="5"/>
      <c r="X456" s="5"/>
      <c r="Y456" s="5"/>
      <c r="Z456" s="5"/>
    </row>
    <row r="457" ht="19.5" customHeight="1">
      <c r="A457" s="31"/>
      <c r="B457" s="30"/>
      <c r="C457" s="31"/>
      <c r="D457" s="31"/>
      <c r="E457" s="31"/>
      <c r="F457" s="32"/>
      <c r="G457" s="34">
        <f>IFERROR(SUMIFS(Transactions!$F$7:$F$989,Transactions!$G$7:$G$989,A457,Transactions!$D$7:$D$989,"Expense"),0)</f>
        <v>0</v>
      </c>
      <c r="H457" s="31"/>
      <c r="I457" s="31"/>
      <c r="J457" s="31"/>
      <c r="K457" s="5"/>
      <c r="L457" s="5"/>
      <c r="M457" s="5"/>
      <c r="N457" s="5"/>
      <c r="O457" s="5"/>
      <c r="P457" s="5"/>
      <c r="Q457" s="5"/>
      <c r="R457" s="5"/>
      <c r="S457" s="5"/>
      <c r="T457" s="5"/>
      <c r="U457" s="5"/>
      <c r="V457" s="5"/>
      <c r="W457" s="5"/>
      <c r="X457" s="5"/>
      <c r="Y457" s="5"/>
      <c r="Z457" s="5"/>
    </row>
    <row r="458" ht="19.5" customHeight="1">
      <c r="A458" s="31"/>
      <c r="B458" s="30"/>
      <c r="C458" s="31"/>
      <c r="D458" s="31"/>
      <c r="E458" s="31"/>
      <c r="F458" s="32"/>
      <c r="G458" s="34">
        <f>IFERROR(SUMIFS(Transactions!$F$7:$F$989,Transactions!$G$7:$G$989,A458,Transactions!$D$7:$D$989,"Expense"),0)</f>
        <v>0</v>
      </c>
      <c r="H458" s="31"/>
      <c r="I458" s="31"/>
      <c r="J458" s="31"/>
      <c r="K458" s="5"/>
      <c r="L458" s="5"/>
      <c r="M458" s="5"/>
      <c r="N458" s="5"/>
      <c r="O458" s="5"/>
      <c r="P458" s="5"/>
      <c r="Q458" s="5"/>
      <c r="R458" s="5"/>
      <c r="S458" s="5"/>
      <c r="T458" s="5"/>
      <c r="U458" s="5"/>
      <c r="V458" s="5"/>
      <c r="W458" s="5"/>
      <c r="X458" s="5"/>
      <c r="Y458" s="5"/>
      <c r="Z458" s="5"/>
    </row>
    <row r="459" ht="19.5" customHeight="1">
      <c r="A459" s="31"/>
      <c r="B459" s="30"/>
      <c r="C459" s="31"/>
      <c r="D459" s="31"/>
      <c r="E459" s="31"/>
      <c r="F459" s="32"/>
      <c r="G459" s="34">
        <f>IFERROR(SUMIFS(Transactions!$F$7:$F$989,Transactions!$G$7:$G$989,A459,Transactions!$D$7:$D$989,"Expense"),0)</f>
        <v>0</v>
      </c>
      <c r="H459" s="31"/>
      <c r="I459" s="31"/>
      <c r="J459" s="31"/>
      <c r="K459" s="5"/>
      <c r="L459" s="5"/>
      <c r="M459" s="5"/>
      <c r="N459" s="5"/>
      <c r="O459" s="5"/>
      <c r="P459" s="5"/>
      <c r="Q459" s="5"/>
      <c r="R459" s="5"/>
      <c r="S459" s="5"/>
      <c r="T459" s="5"/>
      <c r="U459" s="5"/>
      <c r="V459" s="5"/>
      <c r="W459" s="5"/>
      <c r="X459" s="5"/>
      <c r="Y459" s="5"/>
      <c r="Z459" s="5"/>
    </row>
    <row r="460" ht="19.5" customHeight="1">
      <c r="A460" s="31"/>
      <c r="B460" s="30"/>
      <c r="C460" s="31"/>
      <c r="D460" s="31"/>
      <c r="E460" s="31"/>
      <c r="F460" s="32"/>
      <c r="G460" s="34">
        <f>IFERROR(SUMIFS(Transactions!$F$7:$F$989,Transactions!$G$7:$G$989,A460,Transactions!$D$7:$D$989,"Expense"),0)</f>
        <v>0</v>
      </c>
      <c r="H460" s="31"/>
      <c r="I460" s="31"/>
      <c r="J460" s="31"/>
      <c r="K460" s="5"/>
      <c r="L460" s="5"/>
      <c r="M460" s="5"/>
      <c r="N460" s="5"/>
      <c r="O460" s="5"/>
      <c r="P460" s="5"/>
      <c r="Q460" s="5"/>
      <c r="R460" s="5"/>
      <c r="S460" s="5"/>
      <c r="T460" s="5"/>
      <c r="U460" s="5"/>
      <c r="V460" s="5"/>
      <c r="W460" s="5"/>
      <c r="X460" s="5"/>
      <c r="Y460" s="5"/>
      <c r="Z460" s="5"/>
    </row>
    <row r="461" ht="19.5" customHeight="1">
      <c r="A461" s="31"/>
      <c r="B461" s="30"/>
      <c r="C461" s="31"/>
      <c r="D461" s="31"/>
      <c r="E461" s="31"/>
      <c r="F461" s="32"/>
      <c r="G461" s="34">
        <f>IFERROR(SUMIFS(Transactions!$F$7:$F$989,Transactions!$G$7:$G$989,A461,Transactions!$D$7:$D$989,"Expense"),0)</f>
        <v>0</v>
      </c>
      <c r="H461" s="31"/>
      <c r="I461" s="31"/>
      <c r="J461" s="31"/>
      <c r="K461" s="5"/>
      <c r="L461" s="5"/>
      <c r="M461" s="5"/>
      <c r="N461" s="5"/>
      <c r="O461" s="5"/>
      <c r="P461" s="5"/>
      <c r="Q461" s="5"/>
      <c r="R461" s="5"/>
      <c r="S461" s="5"/>
      <c r="T461" s="5"/>
      <c r="U461" s="5"/>
      <c r="V461" s="5"/>
      <c r="W461" s="5"/>
      <c r="X461" s="5"/>
      <c r="Y461" s="5"/>
      <c r="Z461" s="5"/>
    </row>
    <row r="462" ht="19.5" customHeight="1">
      <c r="A462" s="31"/>
      <c r="B462" s="30"/>
      <c r="C462" s="31"/>
      <c r="D462" s="31"/>
      <c r="E462" s="31"/>
      <c r="F462" s="32"/>
      <c r="G462" s="34">
        <f>IFERROR(SUMIFS(Transactions!$F$7:$F$989,Transactions!$G$7:$G$989,A462,Transactions!$D$7:$D$989,"Expense"),0)</f>
        <v>0</v>
      </c>
      <c r="H462" s="31"/>
      <c r="I462" s="31"/>
      <c r="J462" s="31"/>
      <c r="K462" s="5"/>
      <c r="L462" s="5"/>
      <c r="M462" s="5"/>
      <c r="N462" s="5"/>
      <c r="O462" s="5"/>
      <c r="P462" s="5"/>
      <c r="Q462" s="5"/>
      <c r="R462" s="5"/>
      <c r="S462" s="5"/>
      <c r="T462" s="5"/>
      <c r="U462" s="5"/>
      <c r="V462" s="5"/>
      <c r="W462" s="5"/>
      <c r="X462" s="5"/>
      <c r="Y462" s="5"/>
      <c r="Z462" s="5"/>
    </row>
    <row r="463" ht="19.5" customHeight="1">
      <c r="A463" s="31"/>
      <c r="B463" s="30"/>
      <c r="C463" s="31"/>
      <c r="D463" s="31"/>
      <c r="E463" s="31"/>
      <c r="F463" s="32"/>
      <c r="G463" s="34">
        <f>IFERROR(SUMIFS(Transactions!$F$7:$F$989,Transactions!$G$7:$G$989,A463,Transactions!$D$7:$D$989,"Expense"),0)</f>
        <v>0</v>
      </c>
      <c r="H463" s="31"/>
      <c r="I463" s="31"/>
      <c r="J463" s="31"/>
      <c r="K463" s="5"/>
      <c r="L463" s="5"/>
      <c r="M463" s="5"/>
      <c r="N463" s="5"/>
      <c r="O463" s="5"/>
      <c r="P463" s="5"/>
      <c r="Q463" s="5"/>
      <c r="R463" s="5"/>
      <c r="S463" s="5"/>
      <c r="T463" s="5"/>
      <c r="U463" s="5"/>
      <c r="V463" s="5"/>
      <c r="W463" s="5"/>
      <c r="X463" s="5"/>
      <c r="Y463" s="5"/>
      <c r="Z463" s="5"/>
    </row>
    <row r="464" ht="19.5" customHeight="1">
      <c r="A464" s="31"/>
      <c r="B464" s="30"/>
      <c r="C464" s="31"/>
      <c r="D464" s="31"/>
      <c r="E464" s="31"/>
      <c r="F464" s="32"/>
      <c r="G464" s="34">
        <f>IFERROR(SUMIFS(Transactions!$F$7:$F$989,Transactions!$G$7:$G$989,A464,Transactions!$D$7:$D$989,"Expense"),0)</f>
        <v>0</v>
      </c>
      <c r="H464" s="31"/>
      <c r="I464" s="31"/>
      <c r="J464" s="31"/>
      <c r="K464" s="5"/>
      <c r="L464" s="5"/>
      <c r="M464" s="5"/>
      <c r="N464" s="5"/>
      <c r="O464" s="5"/>
      <c r="P464" s="5"/>
      <c r="Q464" s="5"/>
      <c r="R464" s="5"/>
      <c r="S464" s="5"/>
      <c r="T464" s="5"/>
      <c r="U464" s="5"/>
      <c r="V464" s="5"/>
      <c r="W464" s="5"/>
      <c r="X464" s="5"/>
      <c r="Y464" s="5"/>
      <c r="Z464" s="5"/>
    </row>
    <row r="465" ht="19.5" customHeight="1">
      <c r="A465" s="31"/>
      <c r="B465" s="30"/>
      <c r="C465" s="31"/>
      <c r="D465" s="31"/>
      <c r="E465" s="31"/>
      <c r="F465" s="32"/>
      <c r="G465" s="34">
        <f>IFERROR(SUMIFS(Transactions!$F$7:$F$989,Transactions!$G$7:$G$989,A465,Transactions!$D$7:$D$989,"Expense"),0)</f>
        <v>0</v>
      </c>
      <c r="H465" s="31"/>
      <c r="I465" s="31"/>
      <c r="J465" s="31"/>
      <c r="K465" s="5"/>
      <c r="L465" s="5"/>
      <c r="M465" s="5"/>
      <c r="N465" s="5"/>
      <c r="O465" s="5"/>
      <c r="P465" s="5"/>
      <c r="Q465" s="5"/>
      <c r="R465" s="5"/>
      <c r="S465" s="5"/>
      <c r="T465" s="5"/>
      <c r="U465" s="5"/>
      <c r="V465" s="5"/>
      <c r="W465" s="5"/>
      <c r="X465" s="5"/>
      <c r="Y465" s="5"/>
      <c r="Z465" s="5"/>
    </row>
    <row r="466" ht="19.5" customHeight="1">
      <c r="A466" s="31"/>
      <c r="B466" s="30"/>
      <c r="C466" s="31"/>
      <c r="D466" s="31"/>
      <c r="E466" s="31"/>
      <c r="F466" s="32"/>
      <c r="G466" s="34">
        <f>IFERROR(SUMIFS(Transactions!$F$7:$F$989,Transactions!$G$7:$G$989,A466,Transactions!$D$7:$D$989,"Expense"),0)</f>
        <v>0</v>
      </c>
      <c r="H466" s="31"/>
      <c r="I466" s="31"/>
      <c r="J466" s="31"/>
      <c r="K466" s="5"/>
      <c r="L466" s="5"/>
      <c r="M466" s="5"/>
      <c r="N466" s="5"/>
      <c r="O466" s="5"/>
      <c r="P466" s="5"/>
      <c r="Q466" s="5"/>
      <c r="R466" s="5"/>
      <c r="S466" s="5"/>
      <c r="T466" s="5"/>
      <c r="U466" s="5"/>
      <c r="V466" s="5"/>
      <c r="W466" s="5"/>
      <c r="X466" s="5"/>
      <c r="Y466" s="5"/>
      <c r="Z466" s="5"/>
    </row>
    <row r="467" ht="19.5" customHeight="1">
      <c r="A467" s="31"/>
      <c r="B467" s="30"/>
      <c r="C467" s="31"/>
      <c r="D467" s="31"/>
      <c r="E467" s="31"/>
      <c r="F467" s="32"/>
      <c r="G467" s="34">
        <f>IFERROR(SUMIFS(Transactions!$F$7:$F$989,Transactions!$G$7:$G$989,A467,Transactions!$D$7:$D$989,"Expense"),0)</f>
        <v>0</v>
      </c>
      <c r="H467" s="31"/>
      <c r="I467" s="31"/>
      <c r="J467" s="31"/>
      <c r="K467" s="5"/>
      <c r="L467" s="5"/>
      <c r="M467" s="5"/>
      <c r="N467" s="5"/>
      <c r="O467" s="5"/>
      <c r="P467" s="5"/>
      <c r="Q467" s="5"/>
      <c r="R467" s="5"/>
      <c r="S467" s="5"/>
      <c r="T467" s="5"/>
      <c r="U467" s="5"/>
      <c r="V467" s="5"/>
      <c r="W467" s="5"/>
      <c r="X467" s="5"/>
      <c r="Y467" s="5"/>
      <c r="Z467" s="5"/>
    </row>
    <row r="468" ht="19.5" customHeight="1">
      <c r="A468" s="31"/>
      <c r="B468" s="30"/>
      <c r="C468" s="31"/>
      <c r="D468" s="31"/>
      <c r="E468" s="31"/>
      <c r="F468" s="32"/>
      <c r="G468" s="34">
        <f>IFERROR(SUMIFS(Transactions!$F$7:$F$989,Transactions!$G$7:$G$989,A468,Transactions!$D$7:$D$989,"Expense"),0)</f>
        <v>0</v>
      </c>
      <c r="H468" s="31"/>
      <c r="I468" s="31"/>
      <c r="J468" s="31"/>
      <c r="K468" s="5"/>
      <c r="L468" s="5"/>
      <c r="M468" s="5"/>
      <c r="N468" s="5"/>
      <c r="O468" s="5"/>
      <c r="P468" s="5"/>
      <c r="Q468" s="5"/>
      <c r="R468" s="5"/>
      <c r="S468" s="5"/>
      <c r="T468" s="5"/>
      <c r="U468" s="5"/>
      <c r="V468" s="5"/>
      <c r="W468" s="5"/>
      <c r="X468" s="5"/>
      <c r="Y468" s="5"/>
      <c r="Z468" s="5"/>
    </row>
    <row r="469" ht="19.5" customHeight="1">
      <c r="A469" s="31"/>
      <c r="B469" s="30"/>
      <c r="C469" s="31"/>
      <c r="D469" s="31"/>
      <c r="E469" s="31"/>
      <c r="F469" s="32"/>
      <c r="G469" s="34">
        <f>IFERROR(SUMIFS(Transactions!$F$7:$F$989,Transactions!$G$7:$G$989,A469,Transactions!$D$7:$D$989,"Expense"),0)</f>
        <v>0</v>
      </c>
      <c r="H469" s="31"/>
      <c r="I469" s="31"/>
      <c r="J469" s="31"/>
      <c r="K469" s="5"/>
      <c r="L469" s="5"/>
      <c r="M469" s="5"/>
      <c r="N469" s="5"/>
      <c r="O469" s="5"/>
      <c r="P469" s="5"/>
      <c r="Q469" s="5"/>
      <c r="R469" s="5"/>
      <c r="S469" s="5"/>
      <c r="T469" s="5"/>
      <c r="U469" s="5"/>
      <c r="V469" s="5"/>
      <c r="W469" s="5"/>
      <c r="X469" s="5"/>
      <c r="Y469" s="5"/>
      <c r="Z469" s="5"/>
    </row>
    <row r="470" ht="19.5" customHeight="1">
      <c r="A470" s="31"/>
      <c r="B470" s="30"/>
      <c r="C470" s="31"/>
      <c r="D470" s="31"/>
      <c r="E470" s="31"/>
      <c r="F470" s="32"/>
      <c r="G470" s="34">
        <f>IFERROR(SUMIFS(Transactions!$F$7:$F$989,Transactions!$G$7:$G$989,A470,Transactions!$D$7:$D$989,"Expense"),0)</f>
        <v>0</v>
      </c>
      <c r="H470" s="31"/>
      <c r="I470" s="31"/>
      <c r="J470" s="31"/>
      <c r="K470" s="5"/>
      <c r="L470" s="5"/>
      <c r="M470" s="5"/>
      <c r="N470" s="5"/>
      <c r="O470" s="5"/>
      <c r="P470" s="5"/>
      <c r="Q470" s="5"/>
      <c r="R470" s="5"/>
      <c r="S470" s="5"/>
      <c r="T470" s="5"/>
      <c r="U470" s="5"/>
      <c r="V470" s="5"/>
      <c r="W470" s="5"/>
      <c r="X470" s="5"/>
      <c r="Y470" s="5"/>
      <c r="Z470" s="5"/>
    </row>
    <row r="471" ht="19.5" customHeight="1">
      <c r="A471" s="31"/>
      <c r="B471" s="30"/>
      <c r="C471" s="31"/>
      <c r="D471" s="31"/>
      <c r="E471" s="31"/>
      <c r="F471" s="32"/>
      <c r="G471" s="34">
        <f>IFERROR(SUMIFS(Transactions!$F$7:$F$989,Transactions!$G$7:$G$989,A471,Transactions!$D$7:$D$989,"Expense"),0)</f>
        <v>0</v>
      </c>
      <c r="H471" s="31"/>
      <c r="I471" s="31"/>
      <c r="J471" s="31"/>
      <c r="K471" s="5"/>
      <c r="L471" s="5"/>
      <c r="M471" s="5"/>
      <c r="N471" s="5"/>
      <c r="O471" s="5"/>
      <c r="P471" s="5"/>
      <c r="Q471" s="5"/>
      <c r="R471" s="5"/>
      <c r="S471" s="5"/>
      <c r="T471" s="5"/>
      <c r="U471" s="5"/>
      <c r="V471" s="5"/>
      <c r="W471" s="5"/>
      <c r="X471" s="5"/>
      <c r="Y471" s="5"/>
      <c r="Z471" s="5"/>
    </row>
    <row r="472" ht="19.5" customHeight="1">
      <c r="A472" s="31"/>
      <c r="B472" s="30"/>
      <c r="C472" s="31"/>
      <c r="D472" s="31"/>
      <c r="E472" s="31"/>
      <c r="F472" s="32"/>
      <c r="G472" s="34">
        <f>IFERROR(SUMIFS(Transactions!$F$7:$F$989,Transactions!$G$7:$G$989,A472,Transactions!$D$7:$D$989,"Expense"),0)</f>
        <v>0</v>
      </c>
      <c r="H472" s="31"/>
      <c r="I472" s="31"/>
      <c r="J472" s="31"/>
      <c r="K472" s="5"/>
      <c r="L472" s="5"/>
      <c r="M472" s="5"/>
      <c r="N472" s="5"/>
      <c r="O472" s="5"/>
      <c r="P472" s="5"/>
      <c r="Q472" s="5"/>
      <c r="R472" s="5"/>
      <c r="S472" s="5"/>
      <c r="T472" s="5"/>
      <c r="U472" s="5"/>
      <c r="V472" s="5"/>
      <c r="W472" s="5"/>
      <c r="X472" s="5"/>
      <c r="Y472" s="5"/>
      <c r="Z472" s="5"/>
    </row>
    <row r="473" ht="19.5" customHeight="1">
      <c r="A473" s="31"/>
      <c r="B473" s="30"/>
      <c r="C473" s="31"/>
      <c r="D473" s="31"/>
      <c r="E473" s="31"/>
      <c r="F473" s="32"/>
      <c r="G473" s="34">
        <f>IFERROR(SUMIFS(Transactions!$F$7:$F$989,Transactions!$G$7:$G$989,A473,Transactions!$D$7:$D$989,"Expense"),0)</f>
        <v>0</v>
      </c>
      <c r="H473" s="31"/>
      <c r="I473" s="31"/>
      <c r="J473" s="31"/>
      <c r="K473" s="5"/>
      <c r="L473" s="5"/>
      <c r="M473" s="5"/>
      <c r="N473" s="5"/>
      <c r="O473" s="5"/>
      <c r="P473" s="5"/>
      <c r="Q473" s="5"/>
      <c r="R473" s="5"/>
      <c r="S473" s="5"/>
      <c r="T473" s="5"/>
      <c r="U473" s="5"/>
      <c r="V473" s="5"/>
      <c r="W473" s="5"/>
      <c r="X473" s="5"/>
      <c r="Y473" s="5"/>
      <c r="Z473" s="5"/>
    </row>
    <row r="474" ht="19.5" customHeight="1">
      <c r="A474" s="31"/>
      <c r="B474" s="30"/>
      <c r="C474" s="31"/>
      <c r="D474" s="31"/>
      <c r="E474" s="31"/>
      <c r="F474" s="32"/>
      <c r="G474" s="34">
        <f>IFERROR(SUMIFS(Transactions!$F$7:$F$989,Transactions!$G$7:$G$989,A474,Transactions!$D$7:$D$989,"Expense"),0)</f>
        <v>0</v>
      </c>
      <c r="H474" s="31"/>
      <c r="I474" s="31"/>
      <c r="J474" s="31"/>
      <c r="K474" s="5"/>
      <c r="L474" s="5"/>
      <c r="M474" s="5"/>
      <c r="N474" s="5"/>
      <c r="O474" s="5"/>
      <c r="P474" s="5"/>
      <c r="Q474" s="5"/>
      <c r="R474" s="5"/>
      <c r="S474" s="5"/>
      <c r="T474" s="5"/>
      <c r="U474" s="5"/>
      <c r="V474" s="5"/>
      <c r="W474" s="5"/>
      <c r="X474" s="5"/>
      <c r="Y474" s="5"/>
      <c r="Z474" s="5"/>
    </row>
    <row r="475" ht="19.5" customHeight="1">
      <c r="A475" s="31"/>
      <c r="B475" s="30"/>
      <c r="C475" s="31"/>
      <c r="D475" s="31"/>
      <c r="E475" s="31"/>
      <c r="F475" s="32"/>
      <c r="G475" s="34">
        <f>IFERROR(SUMIFS(Transactions!$F$7:$F$989,Transactions!$G$7:$G$989,A475,Transactions!$D$7:$D$989,"Expense"),0)</f>
        <v>0</v>
      </c>
      <c r="H475" s="31"/>
      <c r="I475" s="31"/>
      <c r="J475" s="31"/>
      <c r="K475" s="5"/>
      <c r="L475" s="5"/>
      <c r="M475" s="5"/>
      <c r="N475" s="5"/>
      <c r="O475" s="5"/>
      <c r="P475" s="5"/>
      <c r="Q475" s="5"/>
      <c r="R475" s="5"/>
      <c r="S475" s="5"/>
      <c r="T475" s="5"/>
      <c r="U475" s="5"/>
      <c r="V475" s="5"/>
      <c r="W475" s="5"/>
      <c r="X475" s="5"/>
      <c r="Y475" s="5"/>
      <c r="Z475" s="5"/>
    </row>
    <row r="476" ht="19.5" customHeight="1">
      <c r="A476" s="31"/>
      <c r="B476" s="30"/>
      <c r="C476" s="31"/>
      <c r="D476" s="31"/>
      <c r="E476" s="31"/>
      <c r="F476" s="32"/>
      <c r="G476" s="34">
        <f>IFERROR(SUMIFS(Transactions!$F$7:$F$989,Transactions!$G$7:$G$989,A476,Transactions!$D$7:$D$989,"Expense"),0)</f>
        <v>0</v>
      </c>
      <c r="H476" s="31"/>
      <c r="I476" s="31"/>
      <c r="J476" s="31"/>
      <c r="K476" s="5"/>
      <c r="L476" s="5"/>
      <c r="M476" s="5"/>
      <c r="N476" s="5"/>
      <c r="O476" s="5"/>
      <c r="P476" s="5"/>
      <c r="Q476" s="5"/>
      <c r="R476" s="5"/>
      <c r="S476" s="5"/>
      <c r="T476" s="5"/>
      <c r="U476" s="5"/>
      <c r="V476" s="5"/>
      <c r="W476" s="5"/>
      <c r="X476" s="5"/>
      <c r="Y476" s="5"/>
      <c r="Z476" s="5"/>
    </row>
    <row r="477" ht="19.5" customHeight="1">
      <c r="A477" s="31"/>
      <c r="B477" s="30"/>
      <c r="C477" s="31"/>
      <c r="D477" s="31"/>
      <c r="E477" s="31"/>
      <c r="F477" s="32"/>
      <c r="G477" s="34">
        <f>IFERROR(SUMIFS(Transactions!$F$7:$F$989,Transactions!$G$7:$G$989,A477,Transactions!$D$7:$D$989,"Expense"),0)</f>
        <v>0</v>
      </c>
      <c r="H477" s="31"/>
      <c r="I477" s="31"/>
      <c r="J477" s="31"/>
      <c r="K477" s="5"/>
      <c r="L477" s="5"/>
      <c r="M477" s="5"/>
      <c r="N477" s="5"/>
      <c r="O477" s="5"/>
      <c r="P477" s="5"/>
      <c r="Q477" s="5"/>
      <c r="R477" s="5"/>
      <c r="S477" s="5"/>
      <c r="T477" s="5"/>
      <c r="U477" s="5"/>
      <c r="V477" s="5"/>
      <c r="W477" s="5"/>
      <c r="X477" s="5"/>
      <c r="Y477" s="5"/>
      <c r="Z477" s="5"/>
    </row>
    <row r="478" ht="19.5" customHeight="1">
      <c r="A478" s="31"/>
      <c r="B478" s="30"/>
      <c r="C478" s="31"/>
      <c r="D478" s="31"/>
      <c r="E478" s="31"/>
      <c r="F478" s="32"/>
      <c r="G478" s="34">
        <f>IFERROR(SUMIFS(Transactions!$F$7:$F$989,Transactions!$G$7:$G$989,A478,Transactions!$D$7:$D$989,"Expense"),0)</f>
        <v>0</v>
      </c>
      <c r="H478" s="31"/>
      <c r="I478" s="31"/>
      <c r="J478" s="31"/>
      <c r="K478" s="5"/>
      <c r="L478" s="5"/>
      <c r="M478" s="5"/>
      <c r="N478" s="5"/>
      <c r="O478" s="5"/>
      <c r="P478" s="5"/>
      <c r="Q478" s="5"/>
      <c r="R478" s="5"/>
      <c r="S478" s="5"/>
      <c r="T478" s="5"/>
      <c r="U478" s="5"/>
      <c r="V478" s="5"/>
      <c r="W478" s="5"/>
      <c r="X478" s="5"/>
      <c r="Y478" s="5"/>
      <c r="Z478" s="5"/>
    </row>
    <row r="479" ht="19.5" customHeight="1">
      <c r="A479" s="31"/>
      <c r="B479" s="30"/>
      <c r="C479" s="31"/>
      <c r="D479" s="31"/>
      <c r="E479" s="31"/>
      <c r="F479" s="32"/>
      <c r="G479" s="34">
        <f>IFERROR(SUMIFS(Transactions!$F$7:$F$989,Transactions!$G$7:$G$989,A479,Transactions!$D$7:$D$989,"Expense"),0)</f>
        <v>0</v>
      </c>
      <c r="H479" s="31"/>
      <c r="I479" s="31"/>
      <c r="J479" s="31"/>
      <c r="K479" s="5"/>
      <c r="L479" s="5"/>
      <c r="M479" s="5"/>
      <c r="N479" s="5"/>
      <c r="O479" s="5"/>
      <c r="P479" s="5"/>
      <c r="Q479" s="5"/>
      <c r="R479" s="5"/>
      <c r="S479" s="5"/>
      <c r="T479" s="5"/>
      <c r="U479" s="5"/>
      <c r="V479" s="5"/>
      <c r="W479" s="5"/>
      <c r="X479" s="5"/>
      <c r="Y479" s="5"/>
      <c r="Z479" s="5"/>
    </row>
    <row r="480" ht="19.5" customHeight="1">
      <c r="A480" s="31"/>
      <c r="B480" s="30"/>
      <c r="C480" s="31"/>
      <c r="D480" s="31"/>
      <c r="E480" s="31"/>
      <c r="F480" s="32"/>
      <c r="G480" s="34">
        <f>IFERROR(SUMIFS(Transactions!$F$7:$F$989,Transactions!$G$7:$G$989,A480,Transactions!$D$7:$D$989,"Expense"),0)</f>
        <v>0</v>
      </c>
      <c r="H480" s="31"/>
      <c r="I480" s="31"/>
      <c r="J480" s="31"/>
      <c r="K480" s="5"/>
      <c r="L480" s="5"/>
      <c r="M480" s="5"/>
      <c r="N480" s="5"/>
      <c r="O480" s="5"/>
      <c r="P480" s="5"/>
      <c r="Q480" s="5"/>
      <c r="R480" s="5"/>
      <c r="S480" s="5"/>
      <c r="T480" s="5"/>
      <c r="U480" s="5"/>
      <c r="V480" s="5"/>
      <c r="W480" s="5"/>
      <c r="X480" s="5"/>
      <c r="Y480" s="5"/>
      <c r="Z480" s="5"/>
    </row>
    <row r="481" ht="19.5" customHeight="1">
      <c r="A481" s="31"/>
      <c r="B481" s="30"/>
      <c r="C481" s="31"/>
      <c r="D481" s="31"/>
      <c r="E481" s="31"/>
      <c r="F481" s="32"/>
      <c r="G481" s="34">
        <f>IFERROR(SUMIFS(Transactions!$F$7:$F$989,Transactions!$G$7:$G$989,A481,Transactions!$D$7:$D$989,"Expense"),0)</f>
        <v>0</v>
      </c>
      <c r="H481" s="31"/>
      <c r="I481" s="31"/>
      <c r="J481" s="31"/>
      <c r="K481" s="5"/>
      <c r="L481" s="5"/>
      <c r="M481" s="5"/>
      <c r="N481" s="5"/>
      <c r="O481" s="5"/>
      <c r="P481" s="5"/>
      <c r="Q481" s="5"/>
      <c r="R481" s="5"/>
      <c r="S481" s="5"/>
      <c r="T481" s="5"/>
      <c r="U481" s="5"/>
      <c r="V481" s="5"/>
      <c r="W481" s="5"/>
      <c r="X481" s="5"/>
      <c r="Y481" s="5"/>
      <c r="Z481" s="5"/>
    </row>
    <row r="482" ht="19.5" customHeight="1">
      <c r="A482" s="31"/>
      <c r="B482" s="30"/>
      <c r="C482" s="31"/>
      <c r="D482" s="31"/>
      <c r="E482" s="31"/>
      <c r="F482" s="32"/>
      <c r="G482" s="34">
        <f>IFERROR(SUMIFS(Transactions!$F$7:$F$989,Transactions!$G$7:$G$989,A482,Transactions!$D$7:$D$989,"Expense"),0)</f>
        <v>0</v>
      </c>
      <c r="H482" s="31"/>
      <c r="I482" s="31"/>
      <c r="J482" s="31"/>
      <c r="K482" s="5"/>
      <c r="L482" s="5"/>
      <c r="M482" s="5"/>
      <c r="N482" s="5"/>
      <c r="O482" s="5"/>
      <c r="P482" s="5"/>
      <c r="Q482" s="5"/>
      <c r="R482" s="5"/>
      <c r="S482" s="5"/>
      <c r="T482" s="5"/>
      <c r="U482" s="5"/>
      <c r="V482" s="5"/>
      <c r="W482" s="5"/>
      <c r="X482" s="5"/>
      <c r="Y482" s="5"/>
      <c r="Z482" s="5"/>
    </row>
    <row r="483" ht="19.5" customHeight="1">
      <c r="A483" s="31"/>
      <c r="B483" s="30"/>
      <c r="C483" s="31"/>
      <c r="D483" s="31"/>
      <c r="E483" s="31"/>
      <c r="F483" s="32"/>
      <c r="G483" s="34">
        <f>IFERROR(SUMIFS(Transactions!$F$7:$F$989,Transactions!$G$7:$G$989,A483,Transactions!$D$7:$D$989,"Expense"),0)</f>
        <v>0</v>
      </c>
      <c r="H483" s="31"/>
      <c r="I483" s="31"/>
      <c r="J483" s="31"/>
      <c r="K483" s="5"/>
      <c r="L483" s="5"/>
      <c r="M483" s="5"/>
      <c r="N483" s="5"/>
      <c r="O483" s="5"/>
      <c r="P483" s="5"/>
      <c r="Q483" s="5"/>
      <c r="R483" s="5"/>
      <c r="S483" s="5"/>
      <c r="T483" s="5"/>
      <c r="U483" s="5"/>
      <c r="V483" s="5"/>
      <c r="W483" s="5"/>
      <c r="X483" s="5"/>
      <c r="Y483" s="5"/>
      <c r="Z483" s="5"/>
    </row>
    <row r="484" ht="19.5" customHeight="1">
      <c r="A484" s="31"/>
      <c r="B484" s="30"/>
      <c r="C484" s="31"/>
      <c r="D484" s="31"/>
      <c r="E484" s="31"/>
      <c r="F484" s="32"/>
      <c r="G484" s="34">
        <f>IFERROR(SUMIFS(Transactions!$F$7:$F$989,Transactions!$G$7:$G$989,A484,Transactions!$D$7:$D$989,"Expense"),0)</f>
        <v>0</v>
      </c>
      <c r="H484" s="31"/>
      <c r="I484" s="31"/>
      <c r="J484" s="31"/>
      <c r="K484" s="5"/>
      <c r="L484" s="5"/>
      <c r="M484" s="5"/>
      <c r="N484" s="5"/>
      <c r="O484" s="5"/>
      <c r="P484" s="5"/>
      <c r="Q484" s="5"/>
      <c r="R484" s="5"/>
      <c r="S484" s="5"/>
      <c r="T484" s="5"/>
      <c r="U484" s="5"/>
      <c r="V484" s="5"/>
      <c r="W484" s="5"/>
      <c r="X484" s="5"/>
      <c r="Y484" s="5"/>
      <c r="Z484" s="5"/>
    </row>
    <row r="485" ht="19.5" customHeight="1">
      <c r="A485" s="31"/>
      <c r="B485" s="30"/>
      <c r="C485" s="31"/>
      <c r="D485" s="31"/>
      <c r="E485" s="31"/>
      <c r="F485" s="32"/>
      <c r="G485" s="34">
        <f>IFERROR(SUMIFS(Transactions!$F$7:$F$989,Transactions!$G$7:$G$989,A485,Transactions!$D$7:$D$989,"Expense"),0)</f>
        <v>0</v>
      </c>
      <c r="H485" s="31"/>
      <c r="I485" s="31"/>
      <c r="J485" s="31"/>
      <c r="K485" s="5"/>
      <c r="L485" s="5"/>
      <c r="M485" s="5"/>
      <c r="N485" s="5"/>
      <c r="O485" s="5"/>
      <c r="P485" s="5"/>
      <c r="Q485" s="5"/>
      <c r="R485" s="5"/>
      <c r="S485" s="5"/>
      <c r="T485" s="5"/>
      <c r="U485" s="5"/>
      <c r="V485" s="5"/>
      <c r="W485" s="5"/>
      <c r="X485" s="5"/>
      <c r="Y485" s="5"/>
      <c r="Z485" s="5"/>
    </row>
    <row r="486" ht="19.5" customHeight="1">
      <c r="A486" s="31"/>
      <c r="B486" s="30"/>
      <c r="C486" s="31"/>
      <c r="D486" s="31"/>
      <c r="E486" s="31"/>
      <c r="F486" s="32"/>
      <c r="G486" s="34">
        <f>IFERROR(SUMIFS(Transactions!$F$7:$F$989,Transactions!$G$7:$G$989,A486,Transactions!$D$7:$D$989,"Expense"),0)</f>
        <v>0</v>
      </c>
      <c r="H486" s="31"/>
      <c r="I486" s="31"/>
      <c r="J486" s="31"/>
      <c r="K486" s="5"/>
      <c r="L486" s="5"/>
      <c r="M486" s="5"/>
      <c r="N486" s="5"/>
      <c r="O486" s="5"/>
      <c r="P486" s="5"/>
      <c r="Q486" s="5"/>
      <c r="R486" s="5"/>
      <c r="S486" s="5"/>
      <c r="T486" s="5"/>
      <c r="U486" s="5"/>
      <c r="V486" s="5"/>
      <c r="W486" s="5"/>
      <c r="X486" s="5"/>
      <c r="Y486" s="5"/>
      <c r="Z486" s="5"/>
    </row>
    <row r="487" ht="19.5" customHeight="1">
      <c r="A487" s="31"/>
      <c r="B487" s="30"/>
      <c r="C487" s="31"/>
      <c r="D487" s="31"/>
      <c r="E487" s="31"/>
      <c r="F487" s="32"/>
      <c r="G487" s="34">
        <f>IFERROR(SUMIFS(Transactions!$F$7:$F$989,Transactions!$G$7:$G$989,A487,Transactions!$D$7:$D$989,"Expense"),0)</f>
        <v>0</v>
      </c>
      <c r="H487" s="31"/>
      <c r="I487" s="31"/>
      <c r="J487" s="31"/>
      <c r="K487" s="5"/>
      <c r="L487" s="5"/>
      <c r="M487" s="5"/>
      <c r="N487" s="5"/>
      <c r="O487" s="5"/>
      <c r="P487" s="5"/>
      <c r="Q487" s="5"/>
      <c r="R487" s="5"/>
      <c r="S487" s="5"/>
      <c r="T487" s="5"/>
      <c r="U487" s="5"/>
      <c r="V487" s="5"/>
      <c r="W487" s="5"/>
      <c r="X487" s="5"/>
      <c r="Y487" s="5"/>
      <c r="Z487" s="5"/>
    </row>
    <row r="488" ht="19.5" customHeight="1">
      <c r="A488" s="31"/>
      <c r="B488" s="30"/>
      <c r="C488" s="31"/>
      <c r="D488" s="31"/>
      <c r="E488" s="31"/>
      <c r="F488" s="32"/>
      <c r="G488" s="34">
        <f>IFERROR(SUMIFS(Transactions!$F$7:$F$989,Transactions!$G$7:$G$989,A488,Transactions!$D$7:$D$989,"Expense"),0)</f>
        <v>0</v>
      </c>
      <c r="H488" s="31"/>
      <c r="I488" s="31"/>
      <c r="J488" s="31"/>
      <c r="K488" s="5"/>
      <c r="L488" s="5"/>
      <c r="M488" s="5"/>
      <c r="N488" s="5"/>
      <c r="O488" s="5"/>
      <c r="P488" s="5"/>
      <c r="Q488" s="5"/>
      <c r="R488" s="5"/>
      <c r="S488" s="5"/>
      <c r="T488" s="5"/>
      <c r="U488" s="5"/>
      <c r="V488" s="5"/>
      <c r="W488" s="5"/>
      <c r="X488" s="5"/>
      <c r="Y488" s="5"/>
      <c r="Z488" s="5"/>
    </row>
    <row r="489" ht="19.5" customHeight="1">
      <c r="A489" s="31"/>
      <c r="B489" s="30"/>
      <c r="C489" s="31"/>
      <c r="D489" s="31"/>
      <c r="E489" s="31"/>
      <c r="F489" s="32"/>
      <c r="G489" s="34">
        <f>IFERROR(SUMIFS(Transactions!$F$7:$F$989,Transactions!$G$7:$G$989,A489,Transactions!$D$7:$D$989,"Expense"),0)</f>
        <v>0</v>
      </c>
      <c r="H489" s="31"/>
      <c r="I489" s="31"/>
      <c r="J489" s="31"/>
      <c r="K489" s="5"/>
      <c r="L489" s="5"/>
      <c r="M489" s="5"/>
      <c r="N489" s="5"/>
      <c r="O489" s="5"/>
      <c r="P489" s="5"/>
      <c r="Q489" s="5"/>
      <c r="R489" s="5"/>
      <c r="S489" s="5"/>
      <c r="T489" s="5"/>
      <c r="U489" s="5"/>
      <c r="V489" s="5"/>
      <c r="W489" s="5"/>
      <c r="X489" s="5"/>
      <c r="Y489" s="5"/>
      <c r="Z489" s="5"/>
    </row>
    <row r="490" ht="19.5" customHeight="1">
      <c r="A490" s="31"/>
      <c r="B490" s="30"/>
      <c r="C490" s="31"/>
      <c r="D490" s="31"/>
      <c r="E490" s="31"/>
      <c r="F490" s="32"/>
      <c r="G490" s="34">
        <f>IFERROR(SUMIFS(Transactions!$F$7:$F$989,Transactions!$G$7:$G$989,A490,Transactions!$D$7:$D$989,"Expense"),0)</f>
        <v>0</v>
      </c>
      <c r="H490" s="31"/>
      <c r="I490" s="31"/>
      <c r="J490" s="31"/>
      <c r="K490" s="5"/>
      <c r="L490" s="5"/>
      <c r="M490" s="5"/>
      <c r="N490" s="5"/>
      <c r="O490" s="5"/>
      <c r="P490" s="5"/>
      <c r="Q490" s="5"/>
      <c r="R490" s="5"/>
      <c r="S490" s="5"/>
      <c r="T490" s="5"/>
      <c r="U490" s="5"/>
      <c r="V490" s="5"/>
      <c r="W490" s="5"/>
      <c r="X490" s="5"/>
      <c r="Y490" s="5"/>
      <c r="Z490" s="5"/>
    </row>
    <row r="491" ht="19.5" customHeight="1">
      <c r="A491" s="31"/>
      <c r="B491" s="30"/>
      <c r="C491" s="31"/>
      <c r="D491" s="31"/>
      <c r="E491" s="31"/>
      <c r="F491" s="32"/>
      <c r="G491" s="34">
        <f>IFERROR(SUMIFS(Transactions!$F$7:$F$989,Transactions!$G$7:$G$989,A491,Transactions!$D$7:$D$989,"Expense"),0)</f>
        <v>0</v>
      </c>
      <c r="H491" s="31"/>
      <c r="I491" s="31"/>
      <c r="J491" s="31"/>
      <c r="K491" s="5"/>
      <c r="L491" s="5"/>
      <c r="M491" s="5"/>
      <c r="N491" s="5"/>
      <c r="O491" s="5"/>
      <c r="P491" s="5"/>
      <c r="Q491" s="5"/>
      <c r="R491" s="5"/>
      <c r="S491" s="5"/>
      <c r="T491" s="5"/>
      <c r="U491" s="5"/>
      <c r="V491" s="5"/>
      <c r="W491" s="5"/>
      <c r="X491" s="5"/>
      <c r="Y491" s="5"/>
      <c r="Z491" s="5"/>
    </row>
    <row r="492" ht="19.5" customHeight="1">
      <c r="A492" s="31"/>
      <c r="B492" s="30"/>
      <c r="C492" s="31"/>
      <c r="D492" s="31"/>
      <c r="E492" s="31"/>
      <c r="F492" s="32"/>
      <c r="G492" s="34">
        <f>IFERROR(SUMIFS(Transactions!$F$7:$F$989,Transactions!$G$7:$G$989,A492,Transactions!$D$7:$D$989,"Expense"),0)</f>
        <v>0</v>
      </c>
      <c r="H492" s="31"/>
      <c r="I492" s="31"/>
      <c r="J492" s="31"/>
      <c r="K492" s="5"/>
      <c r="L492" s="5"/>
      <c r="M492" s="5"/>
      <c r="N492" s="5"/>
      <c r="O492" s="5"/>
      <c r="P492" s="5"/>
      <c r="Q492" s="5"/>
      <c r="R492" s="5"/>
      <c r="S492" s="5"/>
      <c r="T492" s="5"/>
      <c r="U492" s="5"/>
      <c r="V492" s="5"/>
      <c r="W492" s="5"/>
      <c r="X492" s="5"/>
      <c r="Y492" s="5"/>
      <c r="Z492" s="5"/>
    </row>
    <row r="493" ht="19.5" customHeight="1">
      <c r="A493" s="31"/>
      <c r="B493" s="30"/>
      <c r="C493" s="31"/>
      <c r="D493" s="31"/>
      <c r="E493" s="31"/>
      <c r="F493" s="32"/>
      <c r="G493" s="34">
        <f>IFERROR(SUMIFS(Transactions!$F$7:$F$989,Transactions!$G$7:$G$989,A493,Transactions!$D$7:$D$989,"Expense"),0)</f>
        <v>0</v>
      </c>
      <c r="H493" s="31"/>
      <c r="I493" s="31"/>
      <c r="J493" s="31"/>
      <c r="K493" s="5"/>
      <c r="L493" s="5"/>
      <c r="M493" s="5"/>
      <c r="N493" s="5"/>
      <c r="O493" s="5"/>
      <c r="P493" s="5"/>
      <c r="Q493" s="5"/>
      <c r="R493" s="5"/>
      <c r="S493" s="5"/>
      <c r="T493" s="5"/>
      <c r="U493" s="5"/>
      <c r="V493" s="5"/>
      <c r="W493" s="5"/>
      <c r="X493" s="5"/>
      <c r="Y493" s="5"/>
      <c r="Z493" s="5"/>
    </row>
    <row r="494" ht="19.5" customHeight="1">
      <c r="A494" s="31"/>
      <c r="B494" s="30"/>
      <c r="C494" s="31"/>
      <c r="D494" s="31"/>
      <c r="E494" s="31"/>
      <c r="F494" s="32"/>
      <c r="G494" s="34">
        <f>IFERROR(SUMIFS(Transactions!$F$7:$F$989,Transactions!$G$7:$G$989,A494,Transactions!$D$7:$D$989,"Expense"),0)</f>
        <v>0</v>
      </c>
      <c r="H494" s="31"/>
      <c r="I494" s="31"/>
      <c r="J494" s="31"/>
      <c r="K494" s="5"/>
      <c r="L494" s="5"/>
      <c r="M494" s="5"/>
      <c r="N494" s="5"/>
      <c r="O494" s="5"/>
      <c r="P494" s="5"/>
      <c r="Q494" s="5"/>
      <c r="R494" s="5"/>
      <c r="S494" s="5"/>
      <c r="T494" s="5"/>
      <c r="U494" s="5"/>
      <c r="V494" s="5"/>
      <c r="W494" s="5"/>
      <c r="X494" s="5"/>
      <c r="Y494" s="5"/>
      <c r="Z494" s="5"/>
    </row>
    <row r="495" ht="19.5" customHeight="1">
      <c r="A495" s="31"/>
      <c r="B495" s="30"/>
      <c r="C495" s="31"/>
      <c r="D495" s="31"/>
      <c r="E495" s="31"/>
      <c r="F495" s="32"/>
      <c r="G495" s="34">
        <f>IFERROR(SUMIFS(Transactions!$F$7:$F$989,Transactions!$G$7:$G$989,A495,Transactions!$D$7:$D$989,"Expense"),0)</f>
        <v>0</v>
      </c>
      <c r="H495" s="31"/>
      <c r="I495" s="31"/>
      <c r="J495" s="31"/>
      <c r="K495" s="5"/>
      <c r="L495" s="5"/>
      <c r="M495" s="5"/>
      <c r="N495" s="5"/>
      <c r="O495" s="5"/>
      <c r="P495" s="5"/>
      <c r="Q495" s="5"/>
      <c r="R495" s="5"/>
      <c r="S495" s="5"/>
      <c r="T495" s="5"/>
      <c r="U495" s="5"/>
      <c r="V495" s="5"/>
      <c r="W495" s="5"/>
      <c r="X495" s="5"/>
      <c r="Y495" s="5"/>
      <c r="Z495" s="5"/>
    </row>
    <row r="496" ht="19.5" customHeight="1">
      <c r="A496" s="31"/>
      <c r="B496" s="30"/>
      <c r="C496" s="31"/>
      <c r="D496" s="31"/>
      <c r="E496" s="31"/>
      <c r="F496" s="32"/>
      <c r="G496" s="34">
        <f>IFERROR(SUMIFS(Transactions!$F$7:$F$989,Transactions!$G$7:$G$989,A496,Transactions!$D$7:$D$989,"Expense"),0)</f>
        <v>0</v>
      </c>
      <c r="H496" s="31"/>
      <c r="I496" s="31"/>
      <c r="J496" s="31"/>
      <c r="K496" s="5"/>
      <c r="L496" s="5"/>
      <c r="M496" s="5"/>
      <c r="N496" s="5"/>
      <c r="O496" s="5"/>
      <c r="P496" s="5"/>
      <c r="Q496" s="5"/>
      <c r="R496" s="5"/>
      <c r="S496" s="5"/>
      <c r="T496" s="5"/>
      <c r="U496" s="5"/>
      <c r="V496" s="5"/>
      <c r="W496" s="5"/>
      <c r="X496" s="5"/>
      <c r="Y496" s="5"/>
      <c r="Z496" s="5"/>
    </row>
    <row r="497" ht="19.5" customHeight="1">
      <c r="A497" s="31"/>
      <c r="B497" s="30"/>
      <c r="C497" s="31"/>
      <c r="D497" s="31"/>
      <c r="E497" s="31"/>
      <c r="F497" s="32"/>
      <c r="G497" s="34">
        <f>IFERROR(SUMIFS(Transactions!$F$7:$F$989,Transactions!$G$7:$G$989,A497,Transactions!$D$7:$D$989,"Expense"),0)</f>
        <v>0</v>
      </c>
      <c r="H497" s="31"/>
      <c r="I497" s="31"/>
      <c r="J497" s="31"/>
      <c r="K497" s="5"/>
      <c r="L497" s="5"/>
      <c r="M497" s="5"/>
      <c r="N497" s="5"/>
      <c r="O497" s="5"/>
      <c r="P497" s="5"/>
      <c r="Q497" s="5"/>
      <c r="R497" s="5"/>
      <c r="S497" s="5"/>
      <c r="T497" s="5"/>
      <c r="U497" s="5"/>
      <c r="V497" s="5"/>
      <c r="W497" s="5"/>
      <c r="X497" s="5"/>
      <c r="Y497" s="5"/>
      <c r="Z497" s="5"/>
    </row>
    <row r="498" ht="19.5" customHeight="1">
      <c r="A498" s="31"/>
      <c r="B498" s="30"/>
      <c r="C498" s="31"/>
      <c r="D498" s="31"/>
      <c r="E498" s="31"/>
      <c r="F498" s="32"/>
      <c r="G498" s="34">
        <f>IFERROR(SUMIFS(Transactions!$F$7:$F$989,Transactions!$G$7:$G$989,A498,Transactions!$D$7:$D$989,"Expense"),0)</f>
        <v>0</v>
      </c>
      <c r="H498" s="31"/>
      <c r="I498" s="31"/>
      <c r="J498" s="31"/>
      <c r="K498" s="5"/>
      <c r="L498" s="5"/>
      <c r="M498" s="5"/>
      <c r="N498" s="5"/>
      <c r="O498" s="5"/>
      <c r="P498" s="5"/>
      <c r="Q498" s="5"/>
      <c r="R498" s="5"/>
      <c r="S498" s="5"/>
      <c r="T498" s="5"/>
      <c r="U498" s="5"/>
      <c r="V498" s="5"/>
      <c r="W498" s="5"/>
      <c r="X498" s="5"/>
      <c r="Y498" s="5"/>
      <c r="Z498" s="5"/>
    </row>
    <row r="499" ht="19.5" customHeight="1">
      <c r="A499" s="31"/>
      <c r="B499" s="30"/>
      <c r="C499" s="31"/>
      <c r="D499" s="31"/>
      <c r="E499" s="31"/>
      <c r="F499" s="32"/>
      <c r="G499" s="34">
        <f>IFERROR(SUMIFS(Transactions!$F$7:$F$989,Transactions!$G$7:$G$989,A499,Transactions!$D$7:$D$989,"Expense"),0)</f>
        <v>0</v>
      </c>
      <c r="H499" s="31"/>
      <c r="I499" s="31"/>
      <c r="J499" s="31"/>
      <c r="K499" s="5"/>
      <c r="L499" s="5"/>
      <c r="M499" s="5"/>
      <c r="N499" s="5"/>
      <c r="O499" s="5"/>
      <c r="P499" s="5"/>
      <c r="Q499" s="5"/>
      <c r="R499" s="5"/>
      <c r="S499" s="5"/>
      <c r="T499" s="5"/>
      <c r="U499" s="5"/>
      <c r="V499" s="5"/>
      <c r="W499" s="5"/>
      <c r="X499" s="5"/>
      <c r="Y499" s="5"/>
      <c r="Z499" s="5"/>
    </row>
    <row r="500" ht="19.5" customHeight="1">
      <c r="A500" s="31"/>
      <c r="B500" s="30"/>
      <c r="C500" s="31"/>
      <c r="D500" s="31"/>
      <c r="E500" s="31"/>
      <c r="F500" s="32"/>
      <c r="G500" s="34">
        <f>IFERROR(SUMIFS(Transactions!$F$7:$F$989,Transactions!$G$7:$G$989,A500,Transactions!$D$7:$D$989,"Expense"),0)</f>
        <v>0</v>
      </c>
      <c r="H500" s="31"/>
      <c r="I500" s="31"/>
      <c r="J500" s="31"/>
      <c r="K500" s="5"/>
      <c r="L500" s="5"/>
      <c r="M500" s="5"/>
      <c r="N500" s="5"/>
      <c r="O500" s="5"/>
      <c r="P500" s="5"/>
      <c r="Q500" s="5"/>
      <c r="R500" s="5"/>
      <c r="S500" s="5"/>
      <c r="T500" s="5"/>
      <c r="U500" s="5"/>
      <c r="V500" s="5"/>
      <c r="W500" s="5"/>
      <c r="X500" s="5"/>
      <c r="Y500" s="5"/>
      <c r="Z500" s="5"/>
    </row>
    <row r="501" ht="19.5" customHeight="1">
      <c r="A501" s="31"/>
      <c r="B501" s="30"/>
      <c r="C501" s="31"/>
      <c r="D501" s="31"/>
      <c r="E501" s="31"/>
      <c r="F501" s="32"/>
      <c r="G501" s="34">
        <f>IFERROR(SUMIFS(Transactions!$F$7:$F$989,Transactions!$G$7:$G$989,A501,Transactions!$D$7:$D$989,"Expense"),0)</f>
        <v>0</v>
      </c>
      <c r="H501" s="31"/>
      <c r="I501" s="31"/>
      <c r="J501" s="31"/>
      <c r="K501" s="5"/>
      <c r="L501" s="5"/>
      <c r="M501" s="5"/>
      <c r="N501" s="5"/>
      <c r="O501" s="5"/>
      <c r="P501" s="5"/>
      <c r="Q501" s="5"/>
      <c r="R501" s="5"/>
      <c r="S501" s="5"/>
      <c r="T501" s="5"/>
      <c r="U501" s="5"/>
      <c r="V501" s="5"/>
      <c r="W501" s="5"/>
      <c r="X501" s="5"/>
      <c r="Y501" s="5"/>
      <c r="Z501" s="5"/>
    </row>
    <row r="502" ht="19.5" customHeight="1">
      <c r="A502" s="31"/>
      <c r="B502" s="30"/>
      <c r="C502" s="31"/>
      <c r="D502" s="31"/>
      <c r="E502" s="31"/>
      <c r="F502" s="32"/>
      <c r="G502" s="34">
        <f>IFERROR(SUMIFS(Transactions!$F$7:$F$989,Transactions!$G$7:$G$989,A502,Transactions!$D$7:$D$989,"Expense"),0)</f>
        <v>0</v>
      </c>
      <c r="H502" s="31"/>
      <c r="I502" s="31"/>
      <c r="J502" s="31"/>
      <c r="K502" s="5"/>
      <c r="L502" s="5"/>
      <c r="M502" s="5"/>
      <c r="N502" s="5"/>
      <c r="O502" s="5"/>
      <c r="P502" s="5"/>
      <c r="Q502" s="5"/>
      <c r="R502" s="5"/>
      <c r="S502" s="5"/>
      <c r="T502" s="5"/>
      <c r="U502" s="5"/>
      <c r="V502" s="5"/>
      <c r="W502" s="5"/>
      <c r="X502" s="5"/>
      <c r="Y502" s="5"/>
      <c r="Z502" s="5"/>
    </row>
    <row r="503" ht="19.5" customHeight="1">
      <c r="A503" s="31"/>
      <c r="B503" s="30"/>
      <c r="C503" s="31"/>
      <c r="D503" s="31"/>
      <c r="E503" s="31"/>
      <c r="F503" s="32"/>
      <c r="G503" s="34">
        <f>IFERROR(SUMIFS(Transactions!$F$7:$F$989,Transactions!$G$7:$G$989,A503,Transactions!$D$7:$D$989,"Expense"),0)</f>
        <v>0</v>
      </c>
      <c r="H503" s="31"/>
      <c r="I503" s="31"/>
      <c r="J503" s="31"/>
      <c r="K503" s="5"/>
      <c r="L503" s="5"/>
      <c r="M503" s="5"/>
      <c r="N503" s="5"/>
      <c r="O503" s="5"/>
      <c r="P503" s="5"/>
      <c r="Q503" s="5"/>
      <c r="R503" s="5"/>
      <c r="S503" s="5"/>
      <c r="T503" s="5"/>
      <c r="U503" s="5"/>
      <c r="V503" s="5"/>
      <c r="W503" s="5"/>
      <c r="X503" s="5"/>
      <c r="Y503" s="5"/>
      <c r="Z503" s="5"/>
    </row>
    <row r="504" ht="19.5" customHeight="1">
      <c r="A504" s="31"/>
      <c r="B504" s="30"/>
      <c r="C504" s="31"/>
      <c r="D504" s="31"/>
      <c r="E504" s="31"/>
      <c r="F504" s="32"/>
      <c r="G504" s="34">
        <f>IFERROR(SUMIFS(Transactions!$F$7:$F$989,Transactions!$G$7:$G$989,A504,Transactions!$D$7:$D$989,"Expense"),0)</f>
        <v>0</v>
      </c>
      <c r="H504" s="31"/>
      <c r="I504" s="31"/>
      <c r="J504" s="31"/>
      <c r="K504" s="5"/>
      <c r="L504" s="5"/>
      <c r="M504" s="5"/>
      <c r="N504" s="5"/>
      <c r="O504" s="5"/>
      <c r="P504" s="5"/>
      <c r="Q504" s="5"/>
      <c r="R504" s="5"/>
      <c r="S504" s="5"/>
      <c r="T504" s="5"/>
      <c r="U504" s="5"/>
      <c r="V504" s="5"/>
      <c r="W504" s="5"/>
      <c r="X504" s="5"/>
      <c r="Y504" s="5"/>
      <c r="Z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row>
    <row r="706" ht="15.75" customHeight="1">
      <c r="A706" s="5"/>
      <c r="B706" s="5"/>
      <c r="C706" s="5"/>
      <c r="D706" s="5"/>
      <c r="E706" s="5"/>
      <c r="F706" s="5"/>
      <c r="G706" s="5"/>
      <c r="H706" s="5"/>
      <c r="I706" s="5"/>
      <c r="J706" s="5"/>
    </row>
    <row r="707" ht="15.75" customHeight="1">
      <c r="A707" s="5"/>
      <c r="B707" s="5"/>
      <c r="C707" s="5"/>
      <c r="D707" s="5"/>
      <c r="E707" s="5"/>
      <c r="F707" s="5"/>
      <c r="G707" s="5"/>
      <c r="H707" s="5"/>
      <c r="I707" s="5"/>
      <c r="J707" s="5"/>
    </row>
    <row r="708" ht="15.75" customHeight="1">
      <c r="A708" s="5"/>
      <c r="B708" s="5"/>
      <c r="C708" s="5"/>
      <c r="D708" s="5"/>
      <c r="E708" s="5"/>
      <c r="F708" s="5"/>
      <c r="G708" s="5"/>
      <c r="H708" s="5"/>
      <c r="I708" s="5"/>
      <c r="J708" s="5"/>
    </row>
    <row r="709" ht="15.75" customHeight="1">
      <c r="A709" s="5"/>
      <c r="B709" s="5"/>
      <c r="C709" s="5"/>
      <c r="D709" s="5"/>
      <c r="E709" s="5"/>
      <c r="F709" s="5"/>
      <c r="G709" s="5"/>
      <c r="H709" s="5"/>
      <c r="I709" s="5"/>
      <c r="J709" s="5"/>
    </row>
    <row r="710" ht="15.75" customHeight="1">
      <c r="A710" s="5"/>
      <c r="B710" s="5"/>
      <c r="C710" s="5"/>
      <c r="D710" s="5"/>
      <c r="E710" s="5"/>
      <c r="F710" s="5"/>
      <c r="G710" s="5"/>
      <c r="H710" s="5"/>
      <c r="I710" s="5"/>
      <c r="J710" s="5"/>
    </row>
    <row r="711" ht="15.75" customHeight="1">
      <c r="A711" s="5"/>
      <c r="B711" s="5"/>
      <c r="C711" s="5"/>
      <c r="D711" s="5"/>
      <c r="E711" s="5"/>
      <c r="F711" s="5"/>
      <c r="G711" s="5"/>
      <c r="H711" s="5"/>
      <c r="I711" s="5"/>
      <c r="J711" s="5"/>
    </row>
    <row r="712" ht="15.75" customHeight="1">
      <c r="A712" s="5"/>
      <c r="B712" s="5"/>
      <c r="C712" s="5"/>
      <c r="D712" s="5"/>
      <c r="E712" s="5"/>
      <c r="F712" s="5"/>
      <c r="G712" s="5"/>
      <c r="H712" s="5"/>
      <c r="I712" s="5"/>
      <c r="J712" s="5"/>
    </row>
    <row r="713" ht="15.75" customHeight="1">
      <c r="A713" s="5"/>
      <c r="B713" s="5"/>
      <c r="C713" s="5"/>
      <c r="D713" s="5"/>
      <c r="E713" s="5"/>
      <c r="F713" s="5"/>
      <c r="G713" s="5"/>
      <c r="H713" s="5"/>
      <c r="I713" s="5"/>
      <c r="J713" s="5"/>
    </row>
    <row r="714" ht="15.75" customHeight="1">
      <c r="A714" s="5"/>
      <c r="B714" s="5"/>
      <c r="C714" s="5"/>
      <c r="D714" s="5"/>
      <c r="E714" s="5"/>
      <c r="F714" s="5"/>
      <c r="G714" s="5"/>
      <c r="H714" s="5"/>
      <c r="I714" s="5"/>
      <c r="J714" s="5"/>
    </row>
    <row r="715" ht="15.75" customHeight="1">
      <c r="A715" s="5"/>
      <c r="B715" s="5"/>
      <c r="C715" s="5"/>
      <c r="D715" s="5"/>
      <c r="E715" s="5"/>
      <c r="F715" s="5"/>
      <c r="G715" s="5"/>
      <c r="H715" s="5"/>
      <c r="I715" s="5"/>
      <c r="J715" s="5"/>
    </row>
    <row r="716" ht="15.75" customHeight="1">
      <c r="A716" s="5"/>
      <c r="B716" s="5"/>
      <c r="C716" s="5"/>
      <c r="D716" s="5"/>
      <c r="E716" s="5"/>
      <c r="F716" s="5"/>
      <c r="G716" s="5"/>
      <c r="H716" s="5"/>
      <c r="I716" s="5"/>
      <c r="J716" s="5"/>
    </row>
    <row r="717" ht="15.75" customHeight="1">
      <c r="A717" s="5"/>
      <c r="B717" s="5"/>
      <c r="C717" s="5"/>
      <c r="D717" s="5"/>
      <c r="E717" s="5"/>
      <c r="F717" s="5"/>
      <c r="G717" s="5"/>
      <c r="H717" s="5"/>
      <c r="I717" s="5"/>
      <c r="J717" s="5"/>
    </row>
    <row r="718" ht="15.75" customHeight="1">
      <c r="A718" s="5"/>
      <c r="B718" s="5"/>
      <c r="C718" s="5"/>
      <c r="D718" s="5"/>
      <c r="E718" s="5"/>
      <c r="F718" s="5"/>
      <c r="G718" s="5"/>
      <c r="H718" s="5"/>
      <c r="I718" s="5"/>
      <c r="J718" s="5"/>
    </row>
    <row r="719" ht="15.75" customHeight="1">
      <c r="A719" s="5"/>
      <c r="B719" s="5"/>
      <c r="C719" s="5"/>
      <c r="D719" s="5"/>
      <c r="E719" s="5"/>
      <c r="F719" s="5"/>
      <c r="G719" s="5"/>
      <c r="H719" s="5"/>
      <c r="I719" s="5"/>
      <c r="J719" s="5"/>
    </row>
    <row r="720" ht="15.75" customHeight="1">
      <c r="A720" s="5"/>
      <c r="B720" s="5"/>
      <c r="C720" s="5"/>
      <c r="D720" s="5"/>
      <c r="E720" s="5"/>
      <c r="F720" s="5"/>
      <c r="G720" s="5"/>
      <c r="H720" s="5"/>
      <c r="I720" s="5"/>
      <c r="J720" s="5"/>
    </row>
    <row r="721" ht="15.75" customHeight="1">
      <c r="A721" s="5"/>
      <c r="B721" s="5"/>
      <c r="C721" s="5"/>
      <c r="D721" s="5"/>
      <c r="E721" s="5"/>
      <c r="F721" s="5"/>
      <c r="G721" s="5"/>
      <c r="H721" s="5"/>
      <c r="I721" s="5"/>
      <c r="J721" s="5"/>
    </row>
    <row r="722" ht="15.75" customHeight="1">
      <c r="A722" s="5"/>
      <c r="B722" s="5"/>
      <c r="C722" s="5"/>
      <c r="D722" s="5"/>
      <c r="E722" s="5"/>
      <c r="F722" s="5"/>
      <c r="G722" s="5"/>
      <c r="H722" s="5"/>
      <c r="I722" s="5"/>
      <c r="J722" s="5"/>
    </row>
    <row r="723" ht="15.75" customHeight="1">
      <c r="A723" s="5"/>
      <c r="B723" s="5"/>
      <c r="C723" s="5"/>
      <c r="D723" s="5"/>
      <c r="E723" s="5"/>
      <c r="F723" s="5"/>
      <c r="G723" s="5"/>
      <c r="H723" s="5"/>
      <c r="I723" s="5"/>
      <c r="J723" s="5"/>
    </row>
    <row r="724" ht="15.75" customHeight="1">
      <c r="A724" s="5"/>
      <c r="B724" s="5"/>
      <c r="C724" s="5"/>
      <c r="D724" s="5"/>
      <c r="E724" s="5"/>
      <c r="F724" s="5"/>
      <c r="G724" s="5"/>
      <c r="H724" s="5"/>
      <c r="I724" s="5"/>
      <c r="J724" s="5"/>
    </row>
    <row r="725" ht="15.75" customHeight="1">
      <c r="A725" s="5"/>
      <c r="B725" s="5"/>
      <c r="C725" s="5"/>
      <c r="D725" s="5"/>
      <c r="E725" s="5"/>
      <c r="F725" s="5"/>
      <c r="G725" s="5"/>
      <c r="H725" s="5"/>
      <c r="I725" s="5"/>
      <c r="J725" s="5"/>
    </row>
    <row r="726" ht="15.75" customHeight="1">
      <c r="A726" s="5"/>
      <c r="B726" s="5"/>
      <c r="C726" s="5"/>
      <c r="D726" s="5"/>
      <c r="E726" s="5"/>
      <c r="F726" s="5"/>
      <c r="G726" s="5"/>
      <c r="H726" s="5"/>
      <c r="I726" s="5"/>
      <c r="J726" s="5"/>
    </row>
    <row r="727" ht="15.75" customHeight="1">
      <c r="A727" s="5"/>
      <c r="B727" s="5"/>
      <c r="C727" s="5"/>
      <c r="D727" s="5"/>
      <c r="E727" s="5"/>
      <c r="F727" s="5"/>
      <c r="G727" s="5"/>
      <c r="H727" s="5"/>
      <c r="I727" s="5"/>
      <c r="J727" s="5"/>
    </row>
    <row r="728" ht="15.75" customHeight="1">
      <c r="A728" s="5"/>
      <c r="B728" s="5"/>
      <c r="C728" s="5"/>
      <c r="D728" s="5"/>
      <c r="E728" s="5"/>
      <c r="F728" s="5"/>
      <c r="G728" s="5"/>
      <c r="H728" s="5"/>
      <c r="I728" s="5"/>
      <c r="J728" s="5"/>
    </row>
    <row r="729" ht="15.75" customHeight="1">
      <c r="A729" s="5"/>
      <c r="B729" s="5"/>
      <c r="C729" s="5"/>
      <c r="D729" s="5"/>
      <c r="E729" s="5"/>
      <c r="F729" s="5"/>
      <c r="G729" s="5"/>
      <c r="H729" s="5"/>
      <c r="I729" s="5"/>
      <c r="J729" s="5"/>
    </row>
    <row r="730" ht="15.75" customHeight="1">
      <c r="A730" s="5"/>
      <c r="B730" s="5"/>
      <c r="C730" s="5"/>
      <c r="D730" s="5"/>
      <c r="E730" s="5"/>
      <c r="F730" s="5"/>
      <c r="G730" s="5"/>
      <c r="H730" s="5"/>
      <c r="I730" s="5"/>
      <c r="J730" s="5"/>
    </row>
    <row r="731" ht="15.75" customHeight="1">
      <c r="A731" s="5"/>
      <c r="B731" s="5"/>
      <c r="C731" s="5"/>
      <c r="D731" s="5"/>
      <c r="E731" s="5"/>
      <c r="F731" s="5"/>
      <c r="G731" s="5"/>
      <c r="H731" s="5"/>
      <c r="I731" s="5"/>
      <c r="J731" s="5"/>
    </row>
    <row r="732" ht="15.75" customHeight="1">
      <c r="A732" s="5"/>
      <c r="B732" s="5"/>
      <c r="C732" s="5"/>
      <c r="D732" s="5"/>
      <c r="E732" s="5"/>
      <c r="F732" s="5"/>
      <c r="G732" s="5"/>
      <c r="H732" s="5"/>
      <c r="I732" s="5"/>
      <c r="J732" s="5"/>
    </row>
    <row r="733" ht="15.75" customHeight="1">
      <c r="A733" s="5"/>
      <c r="B733" s="5"/>
      <c r="C733" s="5"/>
      <c r="D733" s="5"/>
      <c r="E733" s="5"/>
      <c r="F733" s="5"/>
      <c r="G733" s="5"/>
      <c r="H733" s="5"/>
      <c r="I733" s="5"/>
      <c r="J733" s="5"/>
    </row>
    <row r="734" ht="15.75" customHeight="1">
      <c r="A734" s="5"/>
      <c r="B734" s="5"/>
      <c r="C734" s="5"/>
      <c r="D734" s="5"/>
      <c r="E734" s="5"/>
      <c r="F734" s="5"/>
      <c r="G734" s="5"/>
      <c r="H734" s="5"/>
      <c r="I734" s="5"/>
      <c r="J734" s="5"/>
    </row>
    <row r="735" ht="15.75" customHeight="1">
      <c r="A735" s="5"/>
      <c r="B735" s="5"/>
      <c r="C735" s="5"/>
      <c r="D735" s="5"/>
      <c r="E735" s="5"/>
      <c r="F735" s="5"/>
      <c r="G735" s="5"/>
      <c r="H735" s="5"/>
      <c r="I735" s="5"/>
      <c r="J735" s="5"/>
    </row>
    <row r="736" ht="15.75" customHeight="1">
      <c r="A736" s="5"/>
      <c r="B736" s="5"/>
      <c r="C736" s="5"/>
      <c r="D736" s="5"/>
      <c r="E736" s="5"/>
      <c r="F736" s="5"/>
      <c r="G736" s="5"/>
      <c r="H736" s="5"/>
      <c r="I736" s="5"/>
      <c r="J736" s="5"/>
    </row>
    <row r="737" ht="15.75" customHeight="1">
      <c r="A737" s="5"/>
      <c r="B737" s="5"/>
      <c r="C737" s="5"/>
      <c r="D737" s="5"/>
      <c r="E737" s="5"/>
      <c r="F737" s="5"/>
      <c r="G737" s="5"/>
      <c r="H737" s="5"/>
      <c r="I737" s="5"/>
      <c r="J737" s="5"/>
    </row>
    <row r="738" ht="15.75" customHeight="1">
      <c r="A738" s="5"/>
      <c r="B738" s="5"/>
      <c r="C738" s="5"/>
      <c r="D738" s="5"/>
      <c r="E738" s="5"/>
      <c r="F738" s="5"/>
      <c r="G738" s="5"/>
      <c r="H738" s="5"/>
      <c r="I738" s="5"/>
      <c r="J738" s="5"/>
    </row>
    <row r="739" ht="15.75" customHeight="1">
      <c r="A739" s="5"/>
      <c r="B739" s="5"/>
      <c r="C739" s="5"/>
      <c r="D739" s="5"/>
      <c r="E739" s="5"/>
      <c r="F739" s="5"/>
      <c r="G739" s="5"/>
      <c r="H739" s="5"/>
      <c r="I739" s="5"/>
      <c r="J739" s="5"/>
    </row>
    <row r="740" ht="15.75" customHeight="1">
      <c r="A740" s="5"/>
      <c r="B740" s="5"/>
      <c r="C740" s="5"/>
      <c r="D740" s="5"/>
      <c r="E740" s="5"/>
      <c r="F740" s="5"/>
      <c r="G740" s="5"/>
      <c r="H740" s="5"/>
      <c r="I740" s="5"/>
      <c r="J740" s="5"/>
    </row>
    <row r="741" ht="15.75" customHeight="1">
      <c r="A741" s="5"/>
      <c r="B741" s="5"/>
      <c r="C741" s="5"/>
      <c r="D741" s="5"/>
      <c r="E741" s="5"/>
      <c r="F741" s="5"/>
      <c r="G741" s="5"/>
      <c r="H741" s="5"/>
      <c r="I741" s="5"/>
      <c r="J741" s="5"/>
    </row>
    <row r="742" ht="15.75" customHeight="1">
      <c r="A742" s="5"/>
      <c r="B742" s="5"/>
      <c r="C742" s="5"/>
      <c r="D742" s="5"/>
      <c r="E742" s="5"/>
      <c r="F742" s="5"/>
      <c r="G742" s="5"/>
      <c r="H742" s="5"/>
      <c r="I742" s="5"/>
      <c r="J742" s="5"/>
    </row>
    <row r="743" ht="15.75" customHeight="1">
      <c r="A743" s="5"/>
      <c r="B743" s="5"/>
      <c r="C743" s="5"/>
      <c r="D743" s="5"/>
      <c r="E743" s="5"/>
      <c r="F743" s="5"/>
      <c r="G743" s="5"/>
      <c r="H743" s="5"/>
      <c r="I743" s="5"/>
      <c r="J743" s="5"/>
    </row>
    <row r="744" ht="15.75" customHeight="1">
      <c r="A744" s="5"/>
      <c r="B744" s="5"/>
      <c r="C744" s="5"/>
      <c r="D744" s="5"/>
      <c r="E744" s="5"/>
      <c r="F744" s="5"/>
      <c r="G744" s="5"/>
      <c r="H744" s="5"/>
      <c r="I744" s="5"/>
      <c r="J744" s="5"/>
    </row>
    <row r="745" ht="15.75" customHeight="1">
      <c r="A745" s="5"/>
      <c r="B745" s="5"/>
      <c r="C745" s="5"/>
      <c r="D745" s="5"/>
      <c r="E745" s="5"/>
      <c r="F745" s="5"/>
      <c r="G745" s="5"/>
      <c r="H745" s="5"/>
      <c r="I745" s="5"/>
      <c r="J745" s="5"/>
    </row>
    <row r="746" ht="15.75" customHeight="1">
      <c r="A746" s="5"/>
      <c r="B746" s="5"/>
      <c r="C746" s="5"/>
      <c r="D746" s="5"/>
      <c r="E746" s="5"/>
      <c r="F746" s="5"/>
      <c r="G746" s="5"/>
      <c r="H746" s="5"/>
      <c r="I746" s="5"/>
      <c r="J746" s="5"/>
    </row>
    <row r="747" ht="15.75" customHeight="1">
      <c r="A747" s="5"/>
      <c r="B747" s="5"/>
      <c r="C747" s="5"/>
      <c r="D747" s="5"/>
      <c r="E747" s="5"/>
      <c r="F747" s="5"/>
      <c r="G747" s="5"/>
      <c r="H747" s="5"/>
      <c r="I747" s="5"/>
      <c r="J747" s="5"/>
    </row>
    <row r="748" ht="15.75" customHeight="1">
      <c r="A748" s="5"/>
      <c r="B748" s="5"/>
      <c r="C748" s="5"/>
      <c r="D748" s="5"/>
      <c r="E748" s="5"/>
      <c r="F748" s="5"/>
      <c r="G748" s="5"/>
      <c r="H748" s="5"/>
      <c r="I748" s="5"/>
      <c r="J748" s="5"/>
    </row>
    <row r="749" ht="15.75" customHeight="1">
      <c r="A749" s="5"/>
      <c r="B749" s="5"/>
      <c r="C749" s="5"/>
      <c r="D749" s="5"/>
      <c r="E749" s="5"/>
      <c r="F749" s="5"/>
      <c r="G749" s="5"/>
      <c r="H749" s="5"/>
      <c r="I749" s="5"/>
      <c r="J749" s="5"/>
    </row>
    <row r="750" ht="15.75" customHeight="1">
      <c r="A750" s="5"/>
      <c r="B750" s="5"/>
      <c r="C750" s="5"/>
      <c r="D750" s="5"/>
      <c r="E750" s="5"/>
      <c r="F750" s="5"/>
      <c r="G750" s="5"/>
      <c r="H750" s="5"/>
      <c r="I750" s="5"/>
      <c r="J750" s="5"/>
    </row>
    <row r="751" ht="15.75" customHeight="1">
      <c r="A751" s="5"/>
      <c r="B751" s="5"/>
      <c r="C751" s="5"/>
      <c r="D751" s="5"/>
      <c r="E751" s="5"/>
      <c r="F751" s="5"/>
      <c r="G751" s="5"/>
      <c r="H751" s="5"/>
      <c r="I751" s="5"/>
      <c r="J751" s="5"/>
    </row>
    <row r="752" ht="15.75" customHeight="1">
      <c r="A752" s="5"/>
      <c r="B752" s="5"/>
      <c r="C752" s="5"/>
      <c r="D752" s="5"/>
      <c r="E752" s="5"/>
      <c r="F752" s="5"/>
      <c r="G752" s="5"/>
      <c r="H752" s="5"/>
      <c r="I752" s="5"/>
      <c r="J752" s="5"/>
    </row>
    <row r="753" ht="15.75" customHeight="1">
      <c r="A753" s="5"/>
      <c r="B753" s="5"/>
      <c r="C753" s="5"/>
      <c r="D753" s="5"/>
      <c r="E753" s="5"/>
      <c r="F753" s="5"/>
      <c r="G753" s="5"/>
      <c r="H753" s="5"/>
      <c r="I753" s="5"/>
      <c r="J753" s="5"/>
    </row>
    <row r="754" ht="15.75" customHeight="1">
      <c r="A754" s="5"/>
      <c r="B754" s="5"/>
      <c r="C754" s="5"/>
      <c r="D754" s="5"/>
      <c r="E754" s="5"/>
      <c r="F754" s="5"/>
      <c r="G754" s="5"/>
      <c r="H754" s="5"/>
      <c r="I754" s="5"/>
      <c r="J754" s="5"/>
    </row>
    <row r="755" ht="15.75" customHeight="1">
      <c r="A755" s="5"/>
      <c r="B755" s="5"/>
      <c r="C755" s="5"/>
      <c r="D755" s="5"/>
      <c r="E755" s="5"/>
      <c r="F755" s="5"/>
      <c r="G755" s="5"/>
      <c r="H755" s="5"/>
      <c r="I755" s="5"/>
      <c r="J755" s="5"/>
    </row>
    <row r="756" ht="15.75" customHeight="1">
      <c r="A756" s="5"/>
      <c r="B756" s="5"/>
      <c r="C756" s="5"/>
      <c r="D756" s="5"/>
      <c r="E756" s="5"/>
      <c r="F756" s="5"/>
      <c r="G756" s="5"/>
      <c r="H756" s="5"/>
      <c r="I756" s="5"/>
      <c r="J756" s="5"/>
    </row>
    <row r="757" ht="15.75" customHeight="1">
      <c r="A757" s="5"/>
      <c r="B757" s="5"/>
      <c r="C757" s="5"/>
      <c r="D757" s="5"/>
      <c r="E757" s="5"/>
      <c r="F757" s="5"/>
      <c r="G757" s="5"/>
      <c r="H757" s="5"/>
      <c r="I757" s="5"/>
      <c r="J757" s="5"/>
    </row>
    <row r="758" ht="15.75" customHeight="1">
      <c r="A758" s="5"/>
      <c r="B758" s="5"/>
      <c r="C758" s="5"/>
      <c r="D758" s="5"/>
      <c r="E758" s="5"/>
      <c r="F758" s="5"/>
      <c r="G758" s="5"/>
      <c r="H758" s="5"/>
      <c r="I758" s="5"/>
      <c r="J758" s="5"/>
    </row>
    <row r="759" ht="15.75" customHeight="1">
      <c r="A759" s="5"/>
      <c r="B759" s="5"/>
      <c r="C759" s="5"/>
      <c r="D759" s="5"/>
      <c r="E759" s="5"/>
      <c r="F759" s="5"/>
      <c r="G759" s="5"/>
      <c r="H759" s="5"/>
      <c r="I759" s="5"/>
      <c r="J759" s="5"/>
    </row>
    <row r="760" ht="15.75" customHeight="1">
      <c r="A760" s="5"/>
      <c r="B760" s="5"/>
      <c r="C760" s="5"/>
      <c r="D760" s="5"/>
      <c r="E760" s="5"/>
      <c r="F760" s="5"/>
      <c r="G760" s="5"/>
      <c r="H760" s="5"/>
      <c r="I760" s="5"/>
      <c r="J760" s="5"/>
    </row>
    <row r="761" ht="15.75" customHeight="1">
      <c r="A761" s="5"/>
      <c r="B761" s="5"/>
      <c r="C761" s="5"/>
      <c r="D761" s="5"/>
      <c r="E761" s="5"/>
      <c r="F761" s="5"/>
      <c r="G761" s="5"/>
      <c r="H761" s="5"/>
      <c r="I761" s="5"/>
      <c r="J761" s="5"/>
    </row>
    <row r="762" ht="15.75" customHeight="1">
      <c r="A762" s="5"/>
      <c r="B762" s="5"/>
      <c r="C762" s="5"/>
      <c r="D762" s="5"/>
      <c r="E762" s="5"/>
      <c r="F762" s="5"/>
      <c r="G762" s="5"/>
      <c r="H762" s="5"/>
      <c r="I762" s="5"/>
      <c r="J762" s="5"/>
    </row>
    <row r="763" ht="15.75" customHeight="1">
      <c r="A763" s="5"/>
      <c r="B763" s="5"/>
      <c r="C763" s="5"/>
      <c r="D763" s="5"/>
      <c r="E763" s="5"/>
      <c r="F763" s="5"/>
      <c r="G763" s="5"/>
      <c r="H763" s="5"/>
      <c r="I763" s="5"/>
      <c r="J763" s="5"/>
    </row>
    <row r="764" ht="15.75" customHeight="1">
      <c r="A764" s="5"/>
      <c r="B764" s="5"/>
      <c r="C764" s="5"/>
      <c r="D764" s="5"/>
      <c r="E764" s="5"/>
      <c r="F764" s="5"/>
      <c r="G764" s="5"/>
      <c r="H764" s="5"/>
      <c r="I764" s="5"/>
      <c r="J764" s="5"/>
    </row>
    <row r="765" ht="15.75" customHeight="1">
      <c r="A765" s="5"/>
      <c r="B765" s="5"/>
      <c r="C765" s="5"/>
      <c r="D765" s="5"/>
      <c r="E765" s="5"/>
      <c r="F765" s="5"/>
      <c r="G765" s="5"/>
      <c r="H765" s="5"/>
      <c r="I765" s="5"/>
      <c r="J765" s="5"/>
    </row>
    <row r="766" ht="15.75" customHeight="1">
      <c r="A766" s="5"/>
      <c r="B766" s="5"/>
      <c r="C766" s="5"/>
      <c r="D766" s="5"/>
      <c r="E766" s="5"/>
      <c r="F766" s="5"/>
      <c r="G766" s="5"/>
      <c r="H766" s="5"/>
      <c r="I766" s="5"/>
      <c r="J766" s="5"/>
    </row>
    <row r="767" ht="15.75" customHeight="1">
      <c r="A767" s="5"/>
      <c r="B767" s="5"/>
      <c r="C767" s="5"/>
      <c r="D767" s="5"/>
      <c r="E767" s="5"/>
      <c r="F767" s="5"/>
      <c r="G767" s="5"/>
      <c r="H767" s="5"/>
      <c r="I767" s="5"/>
      <c r="J767" s="5"/>
    </row>
    <row r="768" ht="15.75" customHeight="1">
      <c r="A768" s="5"/>
      <c r="B768" s="5"/>
      <c r="C768" s="5"/>
      <c r="D768" s="5"/>
      <c r="E768" s="5"/>
      <c r="F768" s="5"/>
      <c r="G768" s="5"/>
      <c r="H768" s="5"/>
      <c r="I768" s="5"/>
      <c r="J768" s="5"/>
    </row>
    <row r="769" ht="15.75" customHeight="1">
      <c r="A769" s="5"/>
      <c r="B769" s="5"/>
      <c r="C769" s="5"/>
      <c r="D769" s="5"/>
      <c r="E769" s="5"/>
      <c r="F769" s="5"/>
      <c r="G769" s="5"/>
      <c r="H769" s="5"/>
      <c r="I769" s="5"/>
      <c r="J769" s="5"/>
    </row>
    <row r="770" ht="15.75" customHeight="1">
      <c r="A770" s="5"/>
      <c r="B770" s="5"/>
      <c r="C770" s="5"/>
      <c r="D770" s="5"/>
      <c r="E770" s="5"/>
      <c r="F770" s="5"/>
      <c r="G770" s="5"/>
      <c r="H770" s="5"/>
      <c r="I770" s="5"/>
      <c r="J770" s="5"/>
    </row>
    <row r="771" ht="15.75" customHeight="1">
      <c r="A771" s="5"/>
      <c r="B771" s="5"/>
      <c r="C771" s="5"/>
      <c r="D771" s="5"/>
      <c r="E771" s="5"/>
      <c r="F771" s="5"/>
      <c r="G771" s="5"/>
      <c r="H771" s="5"/>
      <c r="I771" s="5"/>
      <c r="J771" s="5"/>
    </row>
    <row r="772" ht="15.75" customHeight="1">
      <c r="A772" s="5"/>
      <c r="B772" s="5"/>
      <c r="C772" s="5"/>
      <c r="D772" s="5"/>
      <c r="E772" s="5"/>
      <c r="F772" s="5"/>
      <c r="G772" s="5"/>
      <c r="H772" s="5"/>
      <c r="I772" s="5"/>
      <c r="J772" s="5"/>
    </row>
    <row r="773" ht="15.75" customHeight="1">
      <c r="A773" s="5"/>
      <c r="B773" s="5"/>
      <c r="C773" s="5"/>
      <c r="D773" s="5"/>
      <c r="E773" s="5"/>
      <c r="F773" s="5"/>
      <c r="G773" s="5"/>
      <c r="H773" s="5"/>
      <c r="I773" s="5"/>
      <c r="J773" s="5"/>
    </row>
    <row r="774" ht="15.75" customHeight="1">
      <c r="A774" s="5"/>
      <c r="B774" s="5"/>
      <c r="C774" s="5"/>
      <c r="D774" s="5"/>
      <c r="E774" s="5"/>
      <c r="F774" s="5"/>
      <c r="G774" s="5"/>
      <c r="H774" s="5"/>
      <c r="I774" s="5"/>
      <c r="J774" s="5"/>
    </row>
    <row r="775" ht="15.75" customHeight="1">
      <c r="A775" s="5"/>
      <c r="B775" s="5"/>
      <c r="C775" s="5"/>
      <c r="D775" s="5"/>
      <c r="E775" s="5"/>
      <c r="F775" s="5"/>
      <c r="G775" s="5"/>
      <c r="H775" s="5"/>
      <c r="I775" s="5"/>
      <c r="J775" s="5"/>
    </row>
    <row r="776" ht="15.75" customHeight="1">
      <c r="A776" s="5"/>
      <c r="B776" s="5"/>
      <c r="C776" s="5"/>
      <c r="D776" s="5"/>
      <c r="E776" s="5"/>
      <c r="F776" s="5"/>
      <c r="G776" s="5"/>
      <c r="H776" s="5"/>
      <c r="I776" s="5"/>
      <c r="J776" s="5"/>
    </row>
    <row r="777" ht="15.75" customHeight="1">
      <c r="A777" s="5"/>
      <c r="B777" s="5"/>
      <c r="C777" s="5"/>
      <c r="D777" s="5"/>
      <c r="E777" s="5"/>
      <c r="F777" s="5"/>
      <c r="G777" s="5"/>
      <c r="H777" s="5"/>
      <c r="I777" s="5"/>
      <c r="J777" s="5"/>
    </row>
    <row r="778" ht="15.75" customHeight="1">
      <c r="A778" s="5"/>
      <c r="B778" s="5"/>
      <c r="C778" s="5"/>
      <c r="D778" s="5"/>
      <c r="E778" s="5"/>
      <c r="F778" s="5"/>
      <c r="G778" s="5"/>
      <c r="H778" s="5"/>
      <c r="I778" s="5"/>
      <c r="J778" s="5"/>
    </row>
    <row r="779" ht="15.75" customHeight="1">
      <c r="A779" s="5"/>
      <c r="B779" s="5"/>
      <c r="C779" s="5"/>
      <c r="D779" s="5"/>
      <c r="E779" s="5"/>
      <c r="F779" s="5"/>
      <c r="G779" s="5"/>
      <c r="H779" s="5"/>
      <c r="I779" s="5"/>
      <c r="J779" s="5"/>
    </row>
    <row r="780" ht="15.75" customHeight="1">
      <c r="A780" s="5"/>
      <c r="B780" s="5"/>
      <c r="C780" s="5"/>
      <c r="D780" s="5"/>
      <c r="E780" s="5"/>
      <c r="F780" s="5"/>
      <c r="G780" s="5"/>
      <c r="H780" s="5"/>
      <c r="I780" s="5"/>
      <c r="J780" s="5"/>
    </row>
    <row r="781" ht="15.75" customHeight="1">
      <c r="A781" s="5"/>
      <c r="B781" s="5"/>
      <c r="C781" s="5"/>
      <c r="D781" s="5"/>
      <c r="E781" s="5"/>
      <c r="F781" s="5"/>
      <c r="G781" s="5"/>
      <c r="H781" s="5"/>
      <c r="I781" s="5"/>
      <c r="J781" s="5"/>
    </row>
    <row r="782" ht="15.75" customHeight="1">
      <c r="A782" s="5"/>
      <c r="B782" s="5"/>
      <c r="C782" s="5"/>
      <c r="D782" s="5"/>
      <c r="E782" s="5"/>
      <c r="F782" s="5"/>
      <c r="G782" s="5"/>
      <c r="H782" s="5"/>
      <c r="I782" s="5"/>
      <c r="J782" s="5"/>
    </row>
    <row r="783" ht="15.75" customHeight="1">
      <c r="A783" s="5"/>
      <c r="B783" s="5"/>
      <c r="C783" s="5"/>
      <c r="D783" s="5"/>
      <c r="E783" s="5"/>
      <c r="F783" s="5"/>
      <c r="G783" s="5"/>
      <c r="H783" s="5"/>
      <c r="I783" s="5"/>
      <c r="J783" s="5"/>
    </row>
    <row r="784" ht="15.75" customHeight="1">
      <c r="A784" s="5"/>
      <c r="B784" s="5"/>
      <c r="C784" s="5"/>
      <c r="D784" s="5"/>
      <c r="E784" s="5"/>
      <c r="F784" s="5"/>
      <c r="G784" s="5"/>
      <c r="H784" s="5"/>
      <c r="I784" s="5"/>
      <c r="J784" s="5"/>
    </row>
    <row r="785" ht="15.75" customHeight="1">
      <c r="A785" s="5"/>
      <c r="B785" s="5"/>
      <c r="C785" s="5"/>
      <c r="D785" s="5"/>
      <c r="E785" s="5"/>
      <c r="F785" s="5"/>
      <c r="G785" s="5"/>
      <c r="H785" s="5"/>
      <c r="I785" s="5"/>
      <c r="J785" s="5"/>
    </row>
    <row r="786" ht="15.75" customHeight="1">
      <c r="A786" s="5"/>
      <c r="B786" s="5"/>
      <c r="C786" s="5"/>
      <c r="D786" s="5"/>
      <c r="E786" s="5"/>
      <c r="F786" s="5"/>
      <c r="G786" s="5"/>
      <c r="H786" s="5"/>
      <c r="I786" s="5"/>
      <c r="J786" s="5"/>
    </row>
    <row r="787" ht="15.75" customHeight="1">
      <c r="A787" s="5"/>
      <c r="B787" s="5"/>
      <c r="C787" s="5"/>
      <c r="D787" s="5"/>
      <c r="E787" s="5"/>
      <c r="F787" s="5"/>
      <c r="G787" s="5"/>
      <c r="H787" s="5"/>
      <c r="I787" s="5"/>
      <c r="J787" s="5"/>
    </row>
    <row r="788" ht="15.75" customHeight="1">
      <c r="A788" s="5"/>
      <c r="B788" s="5"/>
      <c r="C788" s="5"/>
      <c r="D788" s="5"/>
      <c r="E788" s="5"/>
      <c r="F788" s="5"/>
      <c r="G788" s="5"/>
      <c r="H788" s="5"/>
      <c r="I788" s="5"/>
      <c r="J788" s="5"/>
    </row>
    <row r="789" ht="15.75" customHeight="1">
      <c r="A789" s="5"/>
      <c r="B789" s="5"/>
      <c r="C789" s="5"/>
      <c r="D789" s="5"/>
      <c r="E789" s="5"/>
      <c r="F789" s="5"/>
      <c r="G789" s="5"/>
      <c r="H789" s="5"/>
      <c r="I789" s="5"/>
      <c r="J789" s="5"/>
    </row>
    <row r="790" ht="15.75" customHeight="1">
      <c r="A790" s="5"/>
      <c r="B790" s="5"/>
      <c r="C790" s="5"/>
      <c r="D790" s="5"/>
      <c r="E790" s="5"/>
      <c r="F790" s="5"/>
      <c r="G790" s="5"/>
      <c r="H790" s="5"/>
      <c r="I790" s="5"/>
      <c r="J790" s="5"/>
    </row>
    <row r="791" ht="15.75" customHeight="1">
      <c r="A791" s="5"/>
      <c r="B791" s="5"/>
      <c r="C791" s="5"/>
      <c r="D791" s="5"/>
      <c r="E791" s="5"/>
      <c r="F791" s="5"/>
      <c r="G791" s="5"/>
      <c r="H791" s="5"/>
      <c r="I791" s="5"/>
      <c r="J791" s="5"/>
    </row>
    <row r="792" ht="15.75" customHeight="1">
      <c r="A792" s="5"/>
      <c r="B792" s="5"/>
      <c r="C792" s="5"/>
      <c r="D792" s="5"/>
      <c r="E792" s="5"/>
      <c r="F792" s="5"/>
      <c r="G792" s="5"/>
      <c r="H792" s="5"/>
      <c r="I792" s="5"/>
      <c r="J792" s="5"/>
    </row>
    <row r="793" ht="15.75" customHeight="1">
      <c r="A793" s="5"/>
      <c r="B793" s="5"/>
      <c r="C793" s="5"/>
      <c r="D793" s="5"/>
      <c r="E793" s="5"/>
      <c r="F793" s="5"/>
      <c r="G793" s="5"/>
      <c r="H793" s="5"/>
      <c r="I793" s="5"/>
      <c r="J793" s="5"/>
    </row>
    <row r="794" ht="15.75" customHeight="1">
      <c r="A794" s="5"/>
      <c r="B794" s="5"/>
      <c r="C794" s="5"/>
      <c r="D794" s="5"/>
      <c r="E794" s="5"/>
      <c r="F794" s="5"/>
      <c r="G794" s="5"/>
      <c r="H794" s="5"/>
      <c r="I794" s="5"/>
      <c r="J794" s="5"/>
    </row>
    <row r="795" ht="15.75" customHeight="1">
      <c r="A795" s="5"/>
      <c r="B795" s="5"/>
      <c r="C795" s="5"/>
      <c r="D795" s="5"/>
      <c r="E795" s="5"/>
      <c r="F795" s="5"/>
      <c r="G795" s="5"/>
      <c r="H795" s="5"/>
      <c r="I795" s="5"/>
      <c r="J795" s="5"/>
    </row>
    <row r="796" ht="15.75" customHeight="1">
      <c r="A796" s="5"/>
      <c r="B796" s="5"/>
      <c r="C796" s="5"/>
      <c r="D796" s="5"/>
      <c r="E796" s="5"/>
      <c r="F796" s="5"/>
      <c r="G796" s="5"/>
      <c r="H796" s="5"/>
      <c r="I796" s="5"/>
      <c r="J796" s="5"/>
    </row>
    <row r="797" ht="15.75" customHeight="1">
      <c r="A797" s="5"/>
      <c r="B797" s="5"/>
      <c r="C797" s="5"/>
      <c r="D797" s="5"/>
      <c r="E797" s="5"/>
      <c r="F797" s="5"/>
      <c r="G797" s="5"/>
      <c r="H797" s="5"/>
      <c r="I797" s="5"/>
      <c r="J797" s="5"/>
    </row>
    <row r="798" ht="15.75" customHeight="1">
      <c r="A798" s="5"/>
      <c r="B798" s="5"/>
      <c r="C798" s="5"/>
      <c r="D798" s="5"/>
      <c r="E798" s="5"/>
      <c r="F798" s="5"/>
      <c r="G798" s="5"/>
      <c r="H798" s="5"/>
      <c r="I798" s="5"/>
      <c r="J798" s="5"/>
    </row>
    <row r="799" ht="15.75" customHeight="1">
      <c r="A799" s="5"/>
      <c r="B799" s="5"/>
      <c r="C799" s="5"/>
      <c r="D799" s="5"/>
      <c r="E799" s="5"/>
      <c r="F799" s="5"/>
      <c r="G799" s="5"/>
      <c r="H799" s="5"/>
      <c r="I799" s="5"/>
      <c r="J799" s="5"/>
    </row>
    <row r="800" ht="15.75" customHeight="1">
      <c r="A800" s="5"/>
      <c r="B800" s="5"/>
      <c r="C800" s="5"/>
      <c r="D800" s="5"/>
      <c r="E800" s="5"/>
      <c r="F800" s="5"/>
      <c r="G800" s="5"/>
      <c r="H800" s="5"/>
      <c r="I800" s="5"/>
      <c r="J800" s="5"/>
    </row>
    <row r="801" ht="15.75" customHeight="1">
      <c r="A801" s="5"/>
      <c r="B801" s="5"/>
      <c r="C801" s="5"/>
      <c r="D801" s="5"/>
      <c r="E801" s="5"/>
      <c r="F801" s="5"/>
      <c r="G801" s="5"/>
      <c r="H801" s="5"/>
      <c r="I801" s="5"/>
      <c r="J801" s="5"/>
    </row>
    <row r="802" ht="15.75" customHeight="1">
      <c r="A802" s="5"/>
      <c r="B802" s="5"/>
      <c r="C802" s="5"/>
      <c r="D802" s="5"/>
      <c r="E802" s="5"/>
      <c r="F802" s="5"/>
      <c r="G802" s="5"/>
      <c r="H802" s="5"/>
      <c r="I802" s="5"/>
      <c r="J802" s="5"/>
    </row>
    <row r="803" ht="15.75" customHeight="1">
      <c r="A803" s="5"/>
      <c r="B803" s="5"/>
      <c r="C803" s="5"/>
      <c r="D803" s="5"/>
      <c r="E803" s="5"/>
      <c r="F803" s="5"/>
      <c r="G803" s="5"/>
      <c r="H803" s="5"/>
      <c r="I803" s="5"/>
      <c r="J803" s="5"/>
    </row>
    <row r="804" ht="15.75" customHeight="1">
      <c r="A804" s="5"/>
      <c r="B804" s="5"/>
      <c r="C804" s="5"/>
      <c r="D804" s="5"/>
      <c r="E804" s="5"/>
      <c r="F804" s="5"/>
      <c r="G804" s="5"/>
      <c r="H804" s="5"/>
      <c r="I804" s="5"/>
      <c r="J804" s="5"/>
    </row>
    <row r="805" ht="15.75" customHeight="1">
      <c r="A805" s="5"/>
      <c r="B805" s="5"/>
      <c r="C805" s="5"/>
      <c r="D805" s="5"/>
      <c r="E805" s="5"/>
      <c r="F805" s="5"/>
      <c r="G805" s="5"/>
      <c r="H805" s="5"/>
      <c r="I805" s="5"/>
      <c r="J805" s="5"/>
    </row>
    <row r="806" ht="15.75" customHeight="1">
      <c r="A806" s="5"/>
      <c r="B806" s="5"/>
      <c r="C806" s="5"/>
      <c r="D806" s="5"/>
      <c r="E806" s="5"/>
      <c r="F806" s="5"/>
      <c r="G806" s="5"/>
      <c r="H806" s="5"/>
      <c r="I806" s="5"/>
      <c r="J806" s="5"/>
    </row>
    <row r="807" ht="15.75" customHeight="1">
      <c r="A807" s="5"/>
      <c r="B807" s="5"/>
      <c r="C807" s="5"/>
      <c r="D807" s="5"/>
      <c r="E807" s="5"/>
      <c r="F807" s="5"/>
      <c r="G807" s="5"/>
      <c r="H807" s="5"/>
      <c r="I807" s="5"/>
      <c r="J807" s="5"/>
    </row>
    <row r="808" ht="15.75" customHeight="1">
      <c r="A808" s="5"/>
      <c r="B808" s="5"/>
      <c r="C808" s="5"/>
      <c r="D808" s="5"/>
      <c r="E808" s="5"/>
      <c r="F808" s="5"/>
      <c r="G808" s="5"/>
      <c r="H808" s="5"/>
      <c r="I808" s="5"/>
      <c r="J808" s="5"/>
    </row>
    <row r="809" ht="15.75" customHeight="1">
      <c r="A809" s="5"/>
      <c r="B809" s="5"/>
      <c r="C809" s="5"/>
      <c r="D809" s="5"/>
      <c r="E809" s="5"/>
      <c r="F809" s="5"/>
      <c r="G809" s="5"/>
      <c r="H809" s="5"/>
      <c r="I809" s="5"/>
      <c r="J809" s="5"/>
    </row>
    <row r="810" ht="15.75" customHeight="1">
      <c r="A810" s="5"/>
      <c r="B810" s="5"/>
      <c r="C810" s="5"/>
      <c r="D810" s="5"/>
      <c r="E810" s="5"/>
      <c r="F810" s="5"/>
      <c r="G810" s="5"/>
      <c r="H810" s="5"/>
      <c r="I810" s="5"/>
      <c r="J810" s="5"/>
    </row>
    <row r="811" ht="15.75" customHeight="1">
      <c r="A811" s="5"/>
      <c r="B811" s="5"/>
      <c r="C811" s="5"/>
      <c r="D811" s="5"/>
      <c r="E811" s="5"/>
      <c r="F811" s="5"/>
      <c r="G811" s="5"/>
      <c r="H811" s="5"/>
      <c r="I811" s="5"/>
      <c r="J811" s="5"/>
    </row>
    <row r="812" ht="15.75" customHeight="1">
      <c r="A812" s="5"/>
      <c r="B812" s="5"/>
      <c r="C812" s="5"/>
      <c r="D812" s="5"/>
      <c r="E812" s="5"/>
      <c r="F812" s="5"/>
      <c r="G812" s="5"/>
      <c r="H812" s="5"/>
      <c r="I812" s="5"/>
      <c r="J812" s="5"/>
    </row>
    <row r="813" ht="15.75" customHeight="1">
      <c r="A813" s="5"/>
      <c r="B813" s="5"/>
      <c r="C813" s="5"/>
      <c r="D813" s="5"/>
      <c r="E813" s="5"/>
      <c r="F813" s="5"/>
      <c r="G813" s="5"/>
      <c r="H813" s="5"/>
      <c r="I813" s="5"/>
      <c r="J813" s="5"/>
    </row>
    <row r="814" ht="15.75" customHeight="1">
      <c r="A814" s="5"/>
      <c r="B814" s="5"/>
      <c r="C814" s="5"/>
      <c r="D814" s="5"/>
      <c r="E814" s="5"/>
      <c r="F814" s="5"/>
      <c r="G814" s="5"/>
      <c r="H814" s="5"/>
      <c r="I814" s="5"/>
      <c r="J814" s="5"/>
    </row>
    <row r="815" ht="15.75" customHeight="1">
      <c r="A815" s="5"/>
      <c r="B815" s="5"/>
      <c r="C815" s="5"/>
      <c r="D815" s="5"/>
      <c r="E815" s="5"/>
      <c r="F815" s="5"/>
      <c r="G815" s="5"/>
      <c r="H815" s="5"/>
      <c r="I815" s="5"/>
      <c r="J815" s="5"/>
    </row>
    <row r="816" ht="15.75" customHeight="1">
      <c r="A816" s="5"/>
      <c r="B816" s="5"/>
      <c r="C816" s="5"/>
      <c r="D816" s="5"/>
      <c r="E816" s="5"/>
      <c r="F816" s="5"/>
      <c r="G816" s="5"/>
      <c r="H816" s="5"/>
      <c r="I816" s="5"/>
      <c r="J816" s="5"/>
    </row>
    <row r="817" ht="15.75" customHeight="1">
      <c r="A817" s="5"/>
      <c r="B817" s="5"/>
      <c r="C817" s="5"/>
      <c r="D817" s="5"/>
      <c r="E817" s="5"/>
      <c r="F817" s="5"/>
      <c r="G817" s="5"/>
      <c r="H817" s="5"/>
      <c r="I817" s="5"/>
      <c r="J817" s="5"/>
    </row>
    <row r="818" ht="15.75" customHeight="1">
      <c r="A818" s="5"/>
      <c r="B818" s="5"/>
      <c r="C818" s="5"/>
      <c r="D818" s="5"/>
      <c r="E818" s="5"/>
      <c r="F818" s="5"/>
      <c r="G818" s="5"/>
      <c r="H818" s="5"/>
      <c r="I818" s="5"/>
      <c r="J818" s="5"/>
    </row>
    <row r="819" ht="15.75" customHeight="1">
      <c r="A819" s="5"/>
      <c r="B819" s="5"/>
      <c r="C819" s="5"/>
      <c r="D819" s="5"/>
      <c r="E819" s="5"/>
      <c r="F819" s="5"/>
      <c r="G819" s="5"/>
      <c r="H819" s="5"/>
      <c r="I819" s="5"/>
      <c r="J819" s="5"/>
    </row>
    <row r="820" ht="15.75" customHeight="1">
      <c r="A820" s="5"/>
      <c r="B820" s="5"/>
      <c r="C820" s="5"/>
      <c r="D820" s="5"/>
      <c r="E820" s="5"/>
      <c r="F820" s="5"/>
      <c r="G820" s="5"/>
      <c r="H820" s="5"/>
      <c r="I820" s="5"/>
      <c r="J820" s="5"/>
    </row>
    <row r="821" ht="15.75" customHeight="1">
      <c r="A821" s="5"/>
      <c r="B821" s="5"/>
      <c r="C821" s="5"/>
      <c r="D821" s="5"/>
      <c r="E821" s="5"/>
      <c r="F821" s="5"/>
      <c r="G821" s="5"/>
      <c r="H821" s="5"/>
      <c r="I821" s="5"/>
      <c r="J821" s="5"/>
    </row>
    <row r="822" ht="15.75" customHeight="1">
      <c r="A822" s="5"/>
      <c r="B822" s="5"/>
      <c r="C822" s="5"/>
      <c r="D822" s="5"/>
      <c r="E822" s="5"/>
      <c r="F822" s="5"/>
      <c r="G822" s="5"/>
      <c r="H822" s="5"/>
      <c r="I822" s="5"/>
      <c r="J822" s="5"/>
    </row>
    <row r="823" ht="15.75" customHeight="1">
      <c r="A823" s="5"/>
      <c r="B823" s="5"/>
      <c r="C823" s="5"/>
      <c r="D823" s="5"/>
      <c r="E823" s="5"/>
      <c r="F823" s="5"/>
      <c r="G823" s="5"/>
      <c r="H823" s="5"/>
      <c r="I823" s="5"/>
      <c r="J823" s="5"/>
    </row>
    <row r="824" ht="15.75" customHeight="1">
      <c r="A824" s="5"/>
      <c r="B824" s="5"/>
      <c r="C824" s="5"/>
      <c r="D824" s="5"/>
      <c r="E824" s="5"/>
      <c r="F824" s="5"/>
      <c r="G824" s="5"/>
      <c r="H824" s="5"/>
      <c r="I824" s="5"/>
      <c r="J824" s="5"/>
    </row>
    <row r="825" ht="15.75" customHeight="1">
      <c r="A825" s="5"/>
      <c r="B825" s="5"/>
      <c r="C825" s="5"/>
      <c r="D825" s="5"/>
      <c r="E825" s="5"/>
      <c r="F825" s="5"/>
      <c r="G825" s="5"/>
      <c r="H825" s="5"/>
      <c r="I825" s="5"/>
      <c r="J825" s="5"/>
    </row>
    <row r="826" ht="15.75" customHeight="1">
      <c r="A826" s="5"/>
      <c r="B826" s="5"/>
      <c r="C826" s="5"/>
      <c r="D826" s="5"/>
      <c r="E826" s="5"/>
      <c r="F826" s="5"/>
      <c r="G826" s="5"/>
      <c r="H826" s="5"/>
      <c r="I826" s="5"/>
      <c r="J826" s="5"/>
    </row>
    <row r="827" ht="15.75" customHeight="1">
      <c r="A827" s="5"/>
      <c r="B827" s="5"/>
      <c r="C827" s="5"/>
      <c r="D827" s="5"/>
      <c r="E827" s="5"/>
      <c r="F827" s="5"/>
      <c r="G827" s="5"/>
      <c r="H827" s="5"/>
      <c r="I827" s="5"/>
      <c r="J827" s="5"/>
    </row>
    <row r="828" ht="15.75" customHeight="1">
      <c r="A828" s="5"/>
      <c r="B828" s="5"/>
      <c r="C828" s="5"/>
      <c r="D828" s="5"/>
      <c r="E828" s="5"/>
      <c r="F828" s="5"/>
      <c r="G828" s="5"/>
      <c r="H828" s="5"/>
      <c r="I828" s="5"/>
      <c r="J828" s="5"/>
    </row>
    <row r="829" ht="15.75" customHeight="1">
      <c r="A829" s="5"/>
      <c r="B829" s="5"/>
      <c r="C829" s="5"/>
      <c r="D829" s="5"/>
      <c r="E829" s="5"/>
      <c r="F829" s="5"/>
      <c r="G829" s="5"/>
      <c r="H829" s="5"/>
      <c r="I829" s="5"/>
      <c r="J829" s="5"/>
    </row>
    <row r="830" ht="15.75" customHeight="1">
      <c r="A830" s="5"/>
      <c r="B830" s="5"/>
      <c r="C830" s="5"/>
      <c r="D830" s="5"/>
      <c r="E830" s="5"/>
      <c r="F830" s="5"/>
      <c r="G830" s="5"/>
      <c r="H830" s="5"/>
      <c r="I830" s="5"/>
      <c r="J830" s="5"/>
    </row>
    <row r="831" ht="15.75" customHeight="1">
      <c r="A831" s="5"/>
      <c r="B831" s="5"/>
      <c r="C831" s="5"/>
      <c r="D831" s="5"/>
      <c r="E831" s="5"/>
      <c r="F831" s="5"/>
      <c r="G831" s="5"/>
      <c r="H831" s="5"/>
      <c r="I831" s="5"/>
      <c r="J831" s="5"/>
    </row>
    <row r="832" ht="15.75" customHeight="1">
      <c r="A832" s="5"/>
      <c r="B832" s="5"/>
      <c r="C832" s="5"/>
      <c r="D832" s="5"/>
      <c r="E832" s="5"/>
      <c r="F832" s="5"/>
      <c r="G832" s="5"/>
      <c r="H832" s="5"/>
      <c r="I832" s="5"/>
      <c r="J832" s="5"/>
    </row>
    <row r="833" ht="15.75" customHeight="1">
      <c r="A833" s="5"/>
      <c r="B833" s="5"/>
      <c r="C833" s="5"/>
      <c r="D833" s="5"/>
      <c r="E833" s="5"/>
      <c r="F833" s="5"/>
      <c r="G833" s="5"/>
      <c r="H833" s="5"/>
      <c r="I833" s="5"/>
      <c r="J833" s="5"/>
    </row>
    <row r="834" ht="15.75" customHeight="1">
      <c r="A834" s="5"/>
      <c r="B834" s="5"/>
      <c r="C834" s="5"/>
      <c r="D834" s="5"/>
      <c r="E834" s="5"/>
      <c r="F834" s="5"/>
      <c r="G834" s="5"/>
      <c r="H834" s="5"/>
      <c r="I834" s="5"/>
      <c r="J834" s="5"/>
    </row>
    <row r="835" ht="15.75" customHeight="1">
      <c r="A835" s="5"/>
      <c r="B835" s="5"/>
      <c r="C835" s="5"/>
      <c r="D835" s="5"/>
      <c r="E835" s="5"/>
      <c r="F835" s="5"/>
      <c r="G835" s="5"/>
      <c r="H835" s="5"/>
      <c r="I835" s="5"/>
      <c r="J835" s="5"/>
    </row>
    <row r="836" ht="15.75" customHeight="1">
      <c r="A836" s="5"/>
      <c r="B836" s="5"/>
      <c r="C836" s="5"/>
      <c r="D836" s="5"/>
      <c r="E836" s="5"/>
      <c r="F836" s="5"/>
      <c r="G836" s="5"/>
      <c r="H836" s="5"/>
      <c r="I836" s="5"/>
      <c r="J836" s="5"/>
    </row>
    <row r="837" ht="15.75" customHeight="1">
      <c r="A837" s="5"/>
      <c r="B837" s="5"/>
      <c r="C837" s="5"/>
      <c r="D837" s="5"/>
      <c r="E837" s="5"/>
      <c r="F837" s="5"/>
      <c r="G837" s="5"/>
      <c r="H837" s="5"/>
      <c r="I837" s="5"/>
      <c r="J837" s="5"/>
    </row>
    <row r="838" ht="15.75" customHeight="1">
      <c r="A838" s="5"/>
      <c r="B838" s="5"/>
      <c r="C838" s="5"/>
      <c r="D838" s="5"/>
      <c r="E838" s="5"/>
      <c r="F838" s="5"/>
      <c r="G838" s="5"/>
      <c r="H838" s="5"/>
      <c r="I838" s="5"/>
      <c r="J838" s="5"/>
    </row>
    <row r="839" ht="15.75" customHeight="1">
      <c r="A839" s="5"/>
      <c r="B839" s="5"/>
      <c r="C839" s="5"/>
      <c r="D839" s="5"/>
      <c r="E839" s="5"/>
      <c r="F839" s="5"/>
      <c r="G839" s="5"/>
      <c r="H839" s="5"/>
      <c r="I839" s="5"/>
      <c r="J839" s="5"/>
    </row>
    <row r="840" ht="15.75" customHeight="1">
      <c r="A840" s="5"/>
      <c r="B840" s="5"/>
      <c r="C840" s="5"/>
      <c r="D840" s="5"/>
      <c r="E840" s="5"/>
      <c r="F840" s="5"/>
      <c r="G840" s="5"/>
      <c r="H840" s="5"/>
      <c r="I840" s="5"/>
      <c r="J840" s="5"/>
    </row>
    <row r="841" ht="15.75" customHeight="1">
      <c r="A841" s="5"/>
      <c r="B841" s="5"/>
      <c r="C841" s="5"/>
      <c r="D841" s="5"/>
      <c r="E841" s="5"/>
      <c r="F841" s="5"/>
      <c r="G841" s="5"/>
      <c r="H841" s="5"/>
      <c r="I841" s="5"/>
      <c r="J841" s="5"/>
    </row>
    <row r="842" ht="15.75" customHeight="1">
      <c r="A842" s="5"/>
      <c r="B842" s="5"/>
      <c r="C842" s="5"/>
      <c r="D842" s="5"/>
      <c r="E842" s="5"/>
      <c r="F842" s="5"/>
      <c r="G842" s="5"/>
      <c r="H842" s="5"/>
      <c r="I842" s="5"/>
      <c r="J842" s="5"/>
    </row>
    <row r="843" ht="15.75" customHeight="1">
      <c r="A843" s="5"/>
      <c r="B843" s="5"/>
      <c r="C843" s="5"/>
      <c r="D843" s="5"/>
      <c r="E843" s="5"/>
      <c r="F843" s="5"/>
      <c r="G843" s="5"/>
      <c r="H843" s="5"/>
      <c r="I843" s="5"/>
      <c r="J843" s="5"/>
    </row>
    <row r="844" ht="15.75" customHeight="1">
      <c r="A844" s="5"/>
      <c r="B844" s="5"/>
      <c r="C844" s="5"/>
      <c r="D844" s="5"/>
      <c r="E844" s="5"/>
      <c r="F844" s="5"/>
      <c r="G844" s="5"/>
      <c r="H844" s="5"/>
      <c r="I844" s="5"/>
      <c r="J844" s="5"/>
    </row>
    <row r="845" ht="15.75" customHeight="1">
      <c r="A845" s="5"/>
      <c r="B845" s="5"/>
      <c r="C845" s="5"/>
      <c r="D845" s="5"/>
      <c r="E845" s="5"/>
      <c r="F845" s="5"/>
      <c r="G845" s="5"/>
      <c r="H845" s="5"/>
      <c r="I845" s="5"/>
      <c r="J845" s="5"/>
    </row>
    <row r="846" ht="15.75" customHeight="1">
      <c r="A846" s="5"/>
      <c r="B846" s="5"/>
      <c r="C846" s="5"/>
      <c r="D846" s="5"/>
      <c r="E846" s="5"/>
      <c r="F846" s="5"/>
      <c r="G846" s="5"/>
      <c r="H846" s="5"/>
      <c r="I846" s="5"/>
      <c r="J846" s="5"/>
    </row>
    <row r="847" ht="15.75" customHeight="1">
      <c r="A847" s="5"/>
      <c r="B847" s="5"/>
      <c r="C847" s="5"/>
      <c r="D847" s="5"/>
      <c r="E847" s="5"/>
      <c r="F847" s="5"/>
      <c r="G847" s="5"/>
      <c r="H847" s="5"/>
      <c r="I847" s="5"/>
      <c r="J847" s="5"/>
    </row>
    <row r="848" ht="15.75" customHeight="1">
      <c r="A848" s="5"/>
      <c r="B848" s="5"/>
      <c r="C848" s="5"/>
      <c r="D848" s="5"/>
      <c r="E848" s="5"/>
      <c r="F848" s="5"/>
      <c r="G848" s="5"/>
      <c r="H848" s="5"/>
      <c r="I848" s="5"/>
      <c r="J848" s="5"/>
    </row>
    <row r="849" ht="15.75" customHeight="1">
      <c r="A849" s="5"/>
      <c r="B849" s="5"/>
      <c r="C849" s="5"/>
      <c r="D849" s="5"/>
      <c r="E849" s="5"/>
      <c r="F849" s="5"/>
      <c r="G849" s="5"/>
      <c r="H849" s="5"/>
      <c r="I849" s="5"/>
      <c r="J849" s="5"/>
    </row>
    <row r="850" ht="15.75" customHeight="1">
      <c r="A850" s="5"/>
      <c r="B850" s="5"/>
      <c r="C850" s="5"/>
      <c r="D850" s="5"/>
      <c r="E850" s="5"/>
      <c r="F850" s="5"/>
      <c r="G850" s="5"/>
      <c r="H850" s="5"/>
      <c r="I850" s="5"/>
      <c r="J850" s="5"/>
    </row>
    <row r="851" ht="15.75" customHeight="1">
      <c r="A851" s="5"/>
      <c r="B851" s="5"/>
      <c r="C851" s="5"/>
      <c r="D851" s="5"/>
      <c r="E851" s="5"/>
      <c r="F851" s="5"/>
      <c r="G851" s="5"/>
      <c r="H851" s="5"/>
      <c r="I851" s="5"/>
      <c r="J851" s="5"/>
    </row>
    <row r="852" ht="15.75" customHeight="1">
      <c r="A852" s="5"/>
      <c r="B852" s="5"/>
      <c r="C852" s="5"/>
      <c r="D852" s="5"/>
      <c r="E852" s="5"/>
      <c r="F852" s="5"/>
      <c r="G852" s="5"/>
      <c r="H852" s="5"/>
      <c r="I852" s="5"/>
      <c r="J852" s="5"/>
    </row>
    <row r="853" ht="15.75" customHeight="1">
      <c r="A853" s="5"/>
      <c r="B853" s="5"/>
      <c r="C853" s="5"/>
      <c r="D853" s="5"/>
      <c r="E853" s="5"/>
      <c r="F853" s="5"/>
      <c r="G853" s="5"/>
      <c r="H853" s="5"/>
      <c r="I853" s="5"/>
      <c r="J853" s="5"/>
    </row>
    <row r="854" ht="15.75" customHeight="1">
      <c r="A854" s="5"/>
      <c r="B854" s="5"/>
      <c r="C854" s="5"/>
      <c r="D854" s="5"/>
      <c r="E854" s="5"/>
      <c r="F854" s="5"/>
      <c r="G854" s="5"/>
      <c r="H854" s="5"/>
      <c r="I854" s="5"/>
      <c r="J854" s="5"/>
    </row>
    <row r="855" ht="15.75" customHeight="1">
      <c r="A855" s="5"/>
      <c r="B855" s="5"/>
      <c r="C855" s="5"/>
      <c r="D855" s="5"/>
      <c r="E855" s="5"/>
      <c r="F855" s="5"/>
      <c r="G855" s="5"/>
      <c r="H855" s="5"/>
      <c r="I855" s="5"/>
      <c r="J855" s="5"/>
    </row>
    <row r="856" ht="15.75" customHeight="1">
      <c r="A856" s="5"/>
      <c r="B856" s="5"/>
      <c r="C856" s="5"/>
      <c r="D856" s="5"/>
      <c r="E856" s="5"/>
      <c r="F856" s="5"/>
      <c r="G856" s="5"/>
      <c r="H856" s="5"/>
      <c r="I856" s="5"/>
      <c r="J856" s="5"/>
    </row>
    <row r="857" ht="15.75" customHeight="1">
      <c r="A857" s="5"/>
      <c r="B857" s="5"/>
      <c r="C857" s="5"/>
      <c r="D857" s="5"/>
      <c r="E857" s="5"/>
      <c r="F857" s="5"/>
      <c r="G857" s="5"/>
      <c r="H857" s="5"/>
      <c r="I857" s="5"/>
      <c r="J857" s="5"/>
    </row>
    <row r="858" ht="15.75" customHeight="1">
      <c r="A858" s="5"/>
      <c r="B858" s="5"/>
      <c r="C858" s="5"/>
      <c r="D858" s="5"/>
      <c r="E858" s="5"/>
      <c r="F858" s="5"/>
      <c r="G858" s="5"/>
      <c r="H858" s="5"/>
      <c r="I858" s="5"/>
      <c r="J858" s="5"/>
    </row>
    <row r="859" ht="15.75" customHeight="1">
      <c r="A859" s="5"/>
      <c r="B859" s="5"/>
      <c r="C859" s="5"/>
      <c r="D859" s="5"/>
      <c r="E859" s="5"/>
      <c r="F859" s="5"/>
      <c r="G859" s="5"/>
      <c r="H859" s="5"/>
      <c r="I859" s="5"/>
      <c r="J859" s="5"/>
    </row>
    <row r="860" ht="15.75" customHeight="1">
      <c r="A860" s="5"/>
      <c r="B860" s="5"/>
      <c r="C860" s="5"/>
      <c r="D860" s="5"/>
      <c r="E860" s="5"/>
      <c r="F860" s="5"/>
      <c r="G860" s="5"/>
      <c r="H860" s="5"/>
      <c r="I860" s="5"/>
      <c r="J860" s="5"/>
    </row>
    <row r="861" ht="15.75" customHeight="1">
      <c r="A861" s="5"/>
      <c r="B861" s="5"/>
      <c r="C861" s="5"/>
      <c r="D861" s="5"/>
      <c r="E861" s="5"/>
      <c r="F861" s="5"/>
      <c r="G861" s="5"/>
      <c r="H861" s="5"/>
      <c r="I861" s="5"/>
      <c r="J861" s="5"/>
    </row>
    <row r="862" ht="15.75" customHeight="1">
      <c r="A862" s="5"/>
      <c r="B862" s="5"/>
      <c r="C862" s="5"/>
      <c r="D862" s="5"/>
      <c r="E862" s="5"/>
      <c r="F862" s="5"/>
      <c r="G862" s="5"/>
      <c r="H862" s="5"/>
      <c r="I862" s="5"/>
      <c r="J862" s="5"/>
    </row>
    <row r="863" ht="15.75" customHeight="1">
      <c r="A863" s="5"/>
      <c r="B863" s="5"/>
      <c r="C863" s="5"/>
      <c r="D863" s="5"/>
      <c r="E863" s="5"/>
      <c r="F863" s="5"/>
      <c r="G863" s="5"/>
      <c r="H863" s="5"/>
      <c r="I863" s="5"/>
      <c r="J863" s="5"/>
    </row>
    <row r="864" ht="15.75" customHeight="1">
      <c r="A864" s="5"/>
      <c r="B864" s="5"/>
      <c r="C864" s="5"/>
      <c r="D864" s="5"/>
      <c r="E864" s="5"/>
      <c r="F864" s="5"/>
      <c r="G864" s="5"/>
      <c r="H864" s="5"/>
      <c r="I864" s="5"/>
      <c r="J864" s="5"/>
    </row>
    <row r="865" ht="15.75" customHeight="1">
      <c r="A865" s="5"/>
      <c r="B865" s="5"/>
      <c r="C865" s="5"/>
      <c r="D865" s="5"/>
      <c r="E865" s="5"/>
      <c r="F865" s="5"/>
      <c r="G865" s="5"/>
      <c r="H865" s="5"/>
      <c r="I865" s="5"/>
      <c r="J865" s="5"/>
    </row>
    <row r="866" ht="15.75" customHeight="1">
      <c r="A866" s="5"/>
      <c r="B866" s="5"/>
      <c r="C866" s="5"/>
      <c r="D866" s="5"/>
      <c r="E866" s="5"/>
      <c r="F866" s="5"/>
      <c r="G866" s="5"/>
      <c r="H866" s="5"/>
      <c r="I866" s="5"/>
      <c r="J866" s="5"/>
    </row>
    <row r="867" ht="15.75" customHeight="1">
      <c r="A867" s="5"/>
      <c r="B867" s="5"/>
      <c r="C867" s="5"/>
      <c r="D867" s="5"/>
      <c r="E867" s="5"/>
      <c r="F867" s="5"/>
      <c r="G867" s="5"/>
      <c r="H867" s="5"/>
      <c r="I867" s="5"/>
      <c r="J867" s="5"/>
    </row>
    <row r="868" ht="15.75" customHeight="1">
      <c r="A868" s="5"/>
      <c r="B868" s="5"/>
      <c r="C868" s="5"/>
      <c r="D868" s="5"/>
      <c r="E868" s="5"/>
      <c r="F868" s="5"/>
      <c r="G868" s="5"/>
      <c r="H868" s="5"/>
      <c r="I868" s="5"/>
      <c r="J868" s="5"/>
    </row>
    <row r="869" ht="15.75" customHeight="1">
      <c r="A869" s="5"/>
      <c r="B869" s="5"/>
      <c r="C869" s="5"/>
      <c r="D869" s="5"/>
      <c r="E869" s="5"/>
      <c r="F869" s="5"/>
      <c r="G869" s="5"/>
      <c r="H869" s="5"/>
      <c r="I869" s="5"/>
      <c r="J869" s="5"/>
    </row>
    <row r="870" ht="15.75" customHeight="1">
      <c r="A870" s="5"/>
      <c r="B870" s="5"/>
      <c r="C870" s="5"/>
      <c r="D870" s="5"/>
      <c r="E870" s="5"/>
      <c r="F870" s="5"/>
      <c r="G870" s="5"/>
      <c r="H870" s="5"/>
      <c r="I870" s="5"/>
      <c r="J870" s="5"/>
    </row>
    <row r="871" ht="15.75" customHeight="1">
      <c r="A871" s="5"/>
      <c r="B871" s="5"/>
      <c r="C871" s="5"/>
      <c r="D871" s="5"/>
      <c r="E871" s="5"/>
      <c r="F871" s="5"/>
      <c r="G871" s="5"/>
      <c r="H871" s="5"/>
      <c r="I871" s="5"/>
      <c r="J871" s="5"/>
    </row>
    <row r="872" ht="15.75" customHeight="1">
      <c r="A872" s="5"/>
      <c r="B872" s="5"/>
      <c r="C872" s="5"/>
      <c r="D872" s="5"/>
      <c r="E872" s="5"/>
      <c r="F872" s="5"/>
      <c r="G872" s="5"/>
      <c r="H872" s="5"/>
      <c r="I872" s="5"/>
      <c r="J872" s="5"/>
    </row>
    <row r="873" ht="15.75" customHeight="1">
      <c r="A873" s="5"/>
      <c r="B873" s="5"/>
      <c r="C873" s="5"/>
      <c r="D873" s="5"/>
      <c r="E873" s="5"/>
      <c r="F873" s="5"/>
      <c r="G873" s="5"/>
      <c r="H873" s="5"/>
      <c r="I873" s="5"/>
      <c r="J873" s="5"/>
    </row>
    <row r="874" ht="15.75" customHeight="1">
      <c r="A874" s="5"/>
      <c r="B874" s="5"/>
      <c r="C874" s="5"/>
      <c r="D874" s="5"/>
      <c r="E874" s="5"/>
      <c r="F874" s="5"/>
      <c r="G874" s="5"/>
      <c r="H874" s="5"/>
      <c r="I874" s="5"/>
      <c r="J874" s="5"/>
    </row>
    <row r="875" ht="15.75" customHeight="1">
      <c r="A875" s="5"/>
      <c r="B875" s="5"/>
      <c r="C875" s="5"/>
      <c r="D875" s="5"/>
      <c r="E875" s="5"/>
      <c r="F875" s="5"/>
      <c r="G875" s="5"/>
      <c r="H875" s="5"/>
      <c r="I875" s="5"/>
      <c r="J875" s="5"/>
    </row>
    <row r="876" ht="15.75" customHeight="1">
      <c r="A876" s="5"/>
      <c r="B876" s="5"/>
      <c r="C876" s="5"/>
      <c r="D876" s="5"/>
      <c r="E876" s="5"/>
      <c r="F876" s="5"/>
      <c r="G876" s="5"/>
      <c r="H876" s="5"/>
      <c r="I876" s="5"/>
      <c r="J876" s="5"/>
    </row>
    <row r="877" ht="15.75" customHeight="1">
      <c r="A877" s="5"/>
      <c r="B877" s="5"/>
      <c r="C877" s="5"/>
      <c r="D877" s="5"/>
      <c r="E877" s="5"/>
      <c r="F877" s="5"/>
      <c r="G877" s="5"/>
      <c r="H877" s="5"/>
      <c r="I877" s="5"/>
      <c r="J877" s="5"/>
    </row>
    <row r="878" ht="15.75" customHeight="1">
      <c r="A878" s="5"/>
      <c r="B878" s="5"/>
      <c r="C878" s="5"/>
      <c r="D878" s="5"/>
      <c r="E878" s="5"/>
      <c r="F878" s="5"/>
      <c r="G878" s="5"/>
      <c r="H878" s="5"/>
      <c r="I878" s="5"/>
      <c r="J878" s="5"/>
    </row>
    <row r="879" ht="15.75" customHeight="1">
      <c r="A879" s="5"/>
      <c r="B879" s="5"/>
      <c r="C879" s="5"/>
      <c r="D879" s="5"/>
      <c r="E879" s="5"/>
      <c r="F879" s="5"/>
      <c r="G879" s="5"/>
      <c r="H879" s="5"/>
      <c r="I879" s="5"/>
      <c r="J879" s="5"/>
    </row>
    <row r="880" ht="15.75" customHeight="1">
      <c r="A880" s="5"/>
      <c r="B880" s="5"/>
      <c r="C880" s="5"/>
      <c r="D880" s="5"/>
      <c r="E880" s="5"/>
      <c r="F880" s="5"/>
      <c r="G880" s="5"/>
      <c r="H880" s="5"/>
      <c r="I880" s="5"/>
      <c r="J880" s="5"/>
    </row>
    <row r="881" ht="15.75" customHeight="1">
      <c r="A881" s="5"/>
      <c r="B881" s="5"/>
      <c r="C881" s="5"/>
      <c r="D881" s="5"/>
      <c r="E881" s="5"/>
      <c r="F881" s="5"/>
      <c r="G881" s="5"/>
      <c r="H881" s="5"/>
      <c r="I881" s="5"/>
      <c r="J881" s="5"/>
    </row>
    <row r="882" ht="15.75" customHeight="1">
      <c r="A882" s="5"/>
      <c r="B882" s="5"/>
      <c r="C882" s="5"/>
      <c r="D882" s="5"/>
      <c r="E882" s="5"/>
      <c r="F882" s="5"/>
      <c r="G882" s="5"/>
      <c r="H882" s="5"/>
      <c r="I882" s="5"/>
      <c r="J882" s="5"/>
    </row>
    <row r="883" ht="15.75" customHeight="1">
      <c r="A883" s="5"/>
      <c r="B883" s="5"/>
      <c r="C883" s="5"/>
      <c r="D883" s="5"/>
      <c r="E883" s="5"/>
      <c r="F883" s="5"/>
      <c r="G883" s="5"/>
      <c r="H883" s="5"/>
      <c r="I883" s="5"/>
      <c r="J883" s="5"/>
    </row>
    <row r="884" ht="15.75" customHeight="1">
      <c r="A884" s="5"/>
      <c r="B884" s="5"/>
      <c r="C884" s="5"/>
      <c r="D884" s="5"/>
      <c r="E884" s="5"/>
      <c r="F884" s="5"/>
      <c r="G884" s="5"/>
      <c r="H884" s="5"/>
      <c r="I884" s="5"/>
      <c r="J884" s="5"/>
    </row>
    <row r="885" ht="15.75" customHeight="1">
      <c r="A885" s="5"/>
      <c r="B885" s="5"/>
      <c r="C885" s="5"/>
      <c r="D885" s="5"/>
      <c r="E885" s="5"/>
      <c r="F885" s="5"/>
      <c r="G885" s="5"/>
      <c r="H885" s="5"/>
      <c r="I885" s="5"/>
      <c r="J885" s="5"/>
    </row>
    <row r="886" ht="15.75" customHeight="1">
      <c r="A886" s="5"/>
      <c r="B886" s="5"/>
      <c r="C886" s="5"/>
      <c r="D886" s="5"/>
      <c r="E886" s="5"/>
      <c r="F886" s="5"/>
      <c r="G886" s="5"/>
      <c r="H886" s="5"/>
      <c r="I886" s="5"/>
      <c r="J886" s="5"/>
    </row>
    <row r="887" ht="15.75" customHeight="1">
      <c r="A887" s="5"/>
      <c r="B887" s="5"/>
      <c r="C887" s="5"/>
      <c r="D887" s="5"/>
      <c r="E887" s="5"/>
      <c r="F887" s="5"/>
      <c r="G887" s="5"/>
      <c r="H887" s="5"/>
      <c r="I887" s="5"/>
      <c r="J887" s="5"/>
    </row>
    <row r="888" ht="15.75" customHeight="1">
      <c r="A888" s="5"/>
      <c r="B888" s="5"/>
      <c r="C888" s="5"/>
      <c r="D888" s="5"/>
      <c r="E888" s="5"/>
      <c r="F888" s="5"/>
      <c r="G888" s="5"/>
      <c r="H888" s="5"/>
      <c r="I888" s="5"/>
      <c r="J888" s="5"/>
    </row>
    <row r="889" ht="15.75" customHeight="1">
      <c r="A889" s="5"/>
      <c r="B889" s="5"/>
      <c r="C889" s="5"/>
      <c r="D889" s="5"/>
      <c r="E889" s="5"/>
      <c r="F889" s="5"/>
      <c r="G889" s="5"/>
      <c r="H889" s="5"/>
      <c r="I889" s="5"/>
      <c r="J889" s="5"/>
    </row>
    <row r="890" ht="15.75" customHeight="1">
      <c r="A890" s="5"/>
      <c r="B890" s="5"/>
      <c r="C890" s="5"/>
      <c r="D890" s="5"/>
      <c r="E890" s="5"/>
      <c r="F890" s="5"/>
      <c r="G890" s="5"/>
      <c r="H890" s="5"/>
      <c r="I890" s="5"/>
      <c r="J890" s="5"/>
    </row>
    <row r="891" ht="15.75" customHeight="1">
      <c r="A891" s="5"/>
      <c r="B891" s="5"/>
      <c r="C891" s="5"/>
      <c r="D891" s="5"/>
      <c r="E891" s="5"/>
      <c r="F891" s="5"/>
      <c r="G891" s="5"/>
      <c r="H891" s="5"/>
      <c r="I891" s="5"/>
      <c r="J891" s="5"/>
    </row>
    <row r="892" ht="15.75" customHeight="1">
      <c r="A892" s="5"/>
      <c r="B892" s="5"/>
      <c r="C892" s="5"/>
      <c r="D892" s="5"/>
      <c r="E892" s="5"/>
      <c r="F892" s="5"/>
      <c r="G892" s="5"/>
      <c r="H892" s="5"/>
      <c r="I892" s="5"/>
      <c r="J892" s="5"/>
    </row>
    <row r="893" ht="15.75" customHeight="1">
      <c r="A893" s="5"/>
      <c r="B893" s="5"/>
      <c r="C893" s="5"/>
      <c r="D893" s="5"/>
      <c r="E893" s="5"/>
      <c r="F893" s="5"/>
      <c r="G893" s="5"/>
      <c r="H893" s="5"/>
      <c r="I893" s="5"/>
      <c r="J893" s="5"/>
    </row>
    <row r="894" ht="15.75" customHeight="1">
      <c r="A894" s="5"/>
      <c r="B894" s="5"/>
      <c r="C894" s="5"/>
      <c r="D894" s="5"/>
      <c r="E894" s="5"/>
      <c r="F894" s="5"/>
      <c r="G894" s="5"/>
      <c r="H894" s="5"/>
      <c r="I894" s="5"/>
      <c r="J894" s="5"/>
    </row>
    <row r="895" ht="15.75" customHeight="1">
      <c r="A895" s="5"/>
      <c r="B895" s="5"/>
      <c r="C895" s="5"/>
      <c r="D895" s="5"/>
      <c r="E895" s="5"/>
      <c r="F895" s="5"/>
      <c r="G895" s="5"/>
      <c r="H895" s="5"/>
      <c r="I895" s="5"/>
      <c r="J895" s="5"/>
    </row>
    <row r="896" ht="15.75" customHeight="1">
      <c r="A896" s="5"/>
      <c r="B896" s="5"/>
      <c r="C896" s="5"/>
      <c r="D896" s="5"/>
      <c r="E896" s="5"/>
      <c r="F896" s="5"/>
      <c r="G896" s="5"/>
      <c r="H896" s="5"/>
      <c r="I896" s="5"/>
      <c r="J896" s="5"/>
    </row>
    <row r="897" ht="15.75" customHeight="1">
      <c r="A897" s="5"/>
      <c r="B897" s="5"/>
      <c r="C897" s="5"/>
      <c r="D897" s="5"/>
      <c r="E897" s="5"/>
      <c r="F897" s="5"/>
      <c r="G897" s="5"/>
      <c r="H897" s="5"/>
      <c r="I897" s="5"/>
      <c r="J897" s="5"/>
    </row>
    <row r="898" ht="15.75" customHeight="1">
      <c r="A898" s="5"/>
      <c r="B898" s="5"/>
      <c r="C898" s="5"/>
      <c r="D898" s="5"/>
      <c r="E898" s="5"/>
      <c r="F898" s="5"/>
      <c r="G898" s="5"/>
      <c r="H898" s="5"/>
      <c r="I898" s="5"/>
      <c r="J898" s="5"/>
    </row>
    <row r="899" ht="15.75" customHeight="1">
      <c r="A899" s="5"/>
      <c r="B899" s="5"/>
      <c r="C899" s="5"/>
      <c r="D899" s="5"/>
      <c r="E899" s="5"/>
      <c r="F899" s="5"/>
      <c r="G899" s="5"/>
      <c r="H899" s="5"/>
      <c r="I899" s="5"/>
      <c r="J899" s="5"/>
    </row>
    <row r="900" ht="15.75" customHeight="1">
      <c r="A900" s="5"/>
      <c r="B900" s="5"/>
      <c r="C900" s="5"/>
      <c r="D900" s="5"/>
      <c r="E900" s="5"/>
      <c r="F900" s="5"/>
      <c r="G900" s="5"/>
      <c r="H900" s="5"/>
      <c r="I900" s="5"/>
      <c r="J900" s="5"/>
    </row>
    <row r="901" ht="15.75" customHeight="1">
      <c r="A901" s="5"/>
      <c r="B901" s="5"/>
      <c r="C901" s="5"/>
      <c r="D901" s="5"/>
      <c r="E901" s="5"/>
      <c r="F901" s="5"/>
      <c r="G901" s="5"/>
      <c r="H901" s="5"/>
      <c r="I901" s="5"/>
      <c r="J901" s="5"/>
    </row>
    <row r="902" ht="15.75" customHeight="1">
      <c r="A902" s="5"/>
      <c r="B902" s="5"/>
      <c r="C902" s="5"/>
      <c r="D902" s="5"/>
      <c r="E902" s="5"/>
      <c r="F902" s="5"/>
      <c r="G902" s="5"/>
      <c r="H902" s="5"/>
      <c r="I902" s="5"/>
      <c r="J902" s="5"/>
    </row>
    <row r="903" ht="15.75" customHeight="1">
      <c r="A903" s="5"/>
      <c r="B903" s="5"/>
      <c r="C903" s="5"/>
      <c r="D903" s="5"/>
      <c r="E903" s="5"/>
      <c r="F903" s="5"/>
      <c r="G903" s="5"/>
      <c r="H903" s="5"/>
      <c r="I903" s="5"/>
      <c r="J903" s="5"/>
    </row>
    <row r="904" ht="15.75" customHeight="1">
      <c r="A904" s="5"/>
      <c r="B904" s="5"/>
      <c r="C904" s="5"/>
      <c r="D904" s="5"/>
      <c r="E904" s="5"/>
      <c r="F904" s="5"/>
      <c r="G904" s="5"/>
      <c r="H904" s="5"/>
      <c r="I904" s="5"/>
      <c r="J904" s="5"/>
    </row>
    <row r="905" ht="15.75" customHeight="1">
      <c r="A905" s="5"/>
      <c r="B905" s="5"/>
      <c r="C905" s="5"/>
      <c r="D905" s="5"/>
      <c r="E905" s="5"/>
      <c r="F905" s="5"/>
      <c r="G905" s="5"/>
      <c r="H905" s="5"/>
      <c r="I905" s="5"/>
      <c r="J905" s="5"/>
    </row>
    <row r="906" ht="15.75" customHeight="1">
      <c r="A906" s="5"/>
      <c r="B906" s="5"/>
      <c r="C906" s="5"/>
      <c r="D906" s="5"/>
      <c r="E906" s="5"/>
      <c r="F906" s="5"/>
      <c r="G906" s="5"/>
      <c r="H906" s="5"/>
      <c r="I906" s="5"/>
      <c r="J906" s="5"/>
    </row>
    <row r="907" ht="15.75" customHeight="1">
      <c r="A907" s="5"/>
      <c r="B907" s="5"/>
      <c r="C907" s="5"/>
      <c r="D907" s="5"/>
      <c r="E907" s="5"/>
      <c r="F907" s="5"/>
      <c r="G907" s="5"/>
      <c r="H907" s="5"/>
      <c r="I907" s="5"/>
      <c r="J907" s="5"/>
    </row>
    <row r="908" ht="15.75" customHeight="1">
      <c r="A908" s="5"/>
      <c r="B908" s="5"/>
      <c r="C908" s="5"/>
      <c r="D908" s="5"/>
      <c r="E908" s="5"/>
      <c r="F908" s="5"/>
      <c r="G908" s="5"/>
      <c r="H908" s="5"/>
      <c r="I908" s="5"/>
      <c r="J908" s="5"/>
    </row>
    <row r="909" ht="15.75" customHeight="1">
      <c r="A909" s="5"/>
      <c r="B909" s="5"/>
      <c r="C909" s="5"/>
      <c r="D909" s="5"/>
      <c r="E909" s="5"/>
      <c r="F909" s="5"/>
      <c r="G909" s="5"/>
      <c r="H909" s="5"/>
      <c r="I909" s="5"/>
      <c r="J909" s="5"/>
    </row>
    <row r="910" ht="15.75" customHeight="1">
      <c r="A910" s="5"/>
      <c r="B910" s="5"/>
      <c r="C910" s="5"/>
      <c r="D910" s="5"/>
      <c r="E910" s="5"/>
      <c r="F910" s="5"/>
      <c r="G910" s="5"/>
      <c r="H910" s="5"/>
      <c r="I910" s="5"/>
      <c r="J910" s="5"/>
    </row>
    <row r="911" ht="15.75" customHeight="1">
      <c r="A911" s="5"/>
      <c r="B911" s="5"/>
      <c r="C911" s="5"/>
      <c r="D911" s="5"/>
      <c r="E911" s="5"/>
      <c r="F911" s="5"/>
      <c r="G911" s="5"/>
      <c r="H911" s="5"/>
      <c r="I911" s="5"/>
      <c r="J911" s="5"/>
    </row>
    <row r="912" ht="15.75" customHeight="1">
      <c r="A912" s="5"/>
      <c r="B912" s="5"/>
      <c r="C912" s="5"/>
      <c r="D912" s="5"/>
      <c r="E912" s="5"/>
      <c r="F912" s="5"/>
      <c r="G912" s="5"/>
      <c r="H912" s="5"/>
      <c r="I912" s="5"/>
      <c r="J912" s="5"/>
    </row>
    <row r="913" ht="15.75" customHeight="1">
      <c r="A913" s="5"/>
      <c r="B913" s="5"/>
      <c r="C913" s="5"/>
      <c r="D913" s="5"/>
      <c r="E913" s="5"/>
      <c r="F913" s="5"/>
      <c r="G913" s="5"/>
      <c r="H913" s="5"/>
      <c r="I913" s="5"/>
      <c r="J913" s="5"/>
    </row>
    <row r="914" ht="15.75" customHeight="1">
      <c r="A914" s="5"/>
      <c r="B914" s="5"/>
      <c r="C914" s="5"/>
      <c r="D914" s="5"/>
      <c r="E914" s="5"/>
      <c r="F914" s="5"/>
      <c r="G914" s="5"/>
      <c r="H914" s="5"/>
      <c r="I914" s="5"/>
      <c r="J914" s="5"/>
    </row>
    <row r="915" ht="15.75" customHeight="1">
      <c r="A915" s="5"/>
      <c r="B915" s="5"/>
      <c r="C915" s="5"/>
      <c r="D915" s="5"/>
      <c r="E915" s="5"/>
      <c r="F915" s="5"/>
      <c r="G915" s="5"/>
      <c r="H915" s="5"/>
      <c r="I915" s="5"/>
      <c r="J915" s="5"/>
    </row>
    <row r="916" ht="15.75" customHeight="1">
      <c r="A916" s="5"/>
      <c r="B916" s="5"/>
      <c r="C916" s="5"/>
      <c r="D916" s="5"/>
      <c r="E916" s="5"/>
      <c r="F916" s="5"/>
      <c r="G916" s="5"/>
      <c r="H916" s="5"/>
      <c r="I916" s="5"/>
      <c r="J916" s="5"/>
    </row>
    <row r="917" ht="15.75" customHeight="1">
      <c r="A917" s="5"/>
      <c r="B917" s="5"/>
      <c r="C917" s="5"/>
      <c r="D917" s="5"/>
      <c r="E917" s="5"/>
      <c r="F917" s="5"/>
      <c r="G917" s="5"/>
      <c r="H917" s="5"/>
      <c r="I917" s="5"/>
      <c r="J917" s="5"/>
    </row>
    <row r="918" ht="15.75" customHeight="1">
      <c r="A918" s="5"/>
      <c r="B918" s="5"/>
      <c r="C918" s="5"/>
      <c r="D918" s="5"/>
      <c r="E918" s="5"/>
      <c r="F918" s="5"/>
      <c r="G918" s="5"/>
      <c r="H918" s="5"/>
      <c r="I918" s="5"/>
      <c r="J918" s="5"/>
    </row>
    <row r="919" ht="15.75" customHeight="1">
      <c r="A919" s="5"/>
      <c r="B919" s="5"/>
      <c r="C919" s="5"/>
      <c r="D919" s="5"/>
      <c r="E919" s="5"/>
      <c r="F919" s="5"/>
      <c r="G919" s="5"/>
      <c r="H919" s="5"/>
      <c r="I919" s="5"/>
      <c r="J919" s="5"/>
    </row>
    <row r="920" ht="15.75" customHeight="1">
      <c r="A920" s="5"/>
      <c r="B920" s="5"/>
      <c r="C920" s="5"/>
      <c r="D920" s="5"/>
      <c r="E920" s="5"/>
      <c r="F920" s="5"/>
      <c r="G920" s="5"/>
      <c r="H920" s="5"/>
      <c r="I920" s="5"/>
      <c r="J920" s="5"/>
    </row>
    <row r="921" ht="15.75" customHeight="1">
      <c r="A921" s="5"/>
      <c r="B921" s="5"/>
      <c r="C921" s="5"/>
      <c r="D921" s="5"/>
      <c r="E921" s="5"/>
      <c r="F921" s="5"/>
      <c r="G921" s="5"/>
      <c r="H921" s="5"/>
      <c r="I921" s="5"/>
      <c r="J921" s="5"/>
    </row>
    <row r="922" ht="15.75" customHeight="1">
      <c r="A922" s="5"/>
      <c r="B922" s="5"/>
      <c r="C922" s="5"/>
      <c r="D922" s="5"/>
      <c r="E922" s="5"/>
      <c r="F922" s="5"/>
      <c r="G922" s="5"/>
      <c r="H922" s="5"/>
      <c r="I922" s="5"/>
      <c r="J922" s="5"/>
    </row>
    <row r="923" ht="15.75" customHeight="1">
      <c r="A923" s="5"/>
      <c r="B923" s="5"/>
      <c r="C923" s="5"/>
      <c r="D923" s="5"/>
      <c r="E923" s="5"/>
      <c r="F923" s="5"/>
      <c r="G923" s="5"/>
      <c r="H923" s="5"/>
      <c r="I923" s="5"/>
      <c r="J923" s="5"/>
    </row>
    <row r="924" ht="15.75" customHeight="1">
      <c r="A924" s="5"/>
      <c r="B924" s="5"/>
      <c r="C924" s="5"/>
      <c r="D924" s="5"/>
      <c r="E924" s="5"/>
      <c r="F924" s="5"/>
      <c r="G924" s="5"/>
      <c r="H924" s="5"/>
      <c r="I924" s="5"/>
      <c r="J924" s="5"/>
    </row>
    <row r="925" ht="15.75" customHeight="1">
      <c r="A925" s="5"/>
      <c r="B925" s="5"/>
      <c r="C925" s="5"/>
      <c r="D925" s="5"/>
      <c r="E925" s="5"/>
      <c r="F925" s="5"/>
      <c r="G925" s="5"/>
      <c r="H925" s="5"/>
      <c r="I925" s="5"/>
      <c r="J925" s="5"/>
    </row>
    <row r="926" ht="15.75" customHeight="1">
      <c r="A926" s="5"/>
      <c r="B926" s="5"/>
      <c r="C926" s="5"/>
      <c r="D926" s="5"/>
      <c r="E926" s="5"/>
      <c r="F926" s="5"/>
      <c r="G926" s="5"/>
      <c r="H926" s="5"/>
      <c r="I926" s="5"/>
      <c r="J926" s="5"/>
    </row>
    <row r="927" ht="15.75" customHeight="1">
      <c r="A927" s="5"/>
      <c r="B927" s="5"/>
      <c r="C927" s="5"/>
      <c r="D927" s="5"/>
      <c r="E927" s="5"/>
      <c r="F927" s="5"/>
      <c r="G927" s="5"/>
      <c r="H927" s="5"/>
      <c r="I927" s="5"/>
      <c r="J927" s="5"/>
    </row>
    <row r="928" ht="15.75" customHeight="1">
      <c r="A928" s="5"/>
      <c r="B928" s="5"/>
      <c r="C928" s="5"/>
      <c r="D928" s="5"/>
      <c r="E928" s="5"/>
      <c r="F928" s="5"/>
      <c r="G928" s="5"/>
      <c r="H928" s="5"/>
      <c r="I928" s="5"/>
      <c r="J928" s="5"/>
    </row>
    <row r="929" ht="15.75" customHeight="1">
      <c r="A929" s="5"/>
      <c r="B929" s="5"/>
      <c r="C929" s="5"/>
      <c r="D929" s="5"/>
      <c r="E929" s="5"/>
      <c r="F929" s="5"/>
      <c r="G929" s="5"/>
      <c r="H929" s="5"/>
      <c r="I929" s="5"/>
      <c r="J929" s="5"/>
    </row>
    <row r="930" ht="15.75" customHeight="1">
      <c r="A930" s="5"/>
      <c r="B930" s="5"/>
      <c r="C930" s="5"/>
      <c r="D930" s="5"/>
      <c r="E930" s="5"/>
      <c r="F930" s="5"/>
      <c r="G930" s="5"/>
      <c r="H930" s="5"/>
      <c r="I930" s="5"/>
      <c r="J930" s="5"/>
    </row>
    <row r="931" ht="15.75" customHeight="1">
      <c r="A931" s="5"/>
      <c r="B931" s="5"/>
      <c r="C931" s="5"/>
      <c r="D931" s="5"/>
      <c r="E931" s="5"/>
      <c r="F931" s="5"/>
      <c r="G931" s="5"/>
      <c r="H931" s="5"/>
      <c r="I931" s="5"/>
      <c r="J931" s="5"/>
    </row>
    <row r="932" ht="15.75" customHeight="1">
      <c r="A932" s="5"/>
      <c r="B932" s="5"/>
      <c r="C932" s="5"/>
      <c r="D932" s="5"/>
      <c r="E932" s="5"/>
      <c r="F932" s="5"/>
      <c r="G932" s="5"/>
      <c r="H932" s="5"/>
      <c r="I932" s="5"/>
      <c r="J932" s="5"/>
    </row>
    <row r="933" ht="15.75" customHeight="1">
      <c r="A933" s="5"/>
      <c r="B933" s="5"/>
      <c r="C933" s="5"/>
      <c r="D933" s="5"/>
      <c r="E933" s="5"/>
      <c r="F933" s="5"/>
      <c r="G933" s="5"/>
      <c r="H933" s="5"/>
      <c r="I933" s="5"/>
      <c r="J933" s="5"/>
    </row>
    <row r="934" ht="15.75" customHeight="1">
      <c r="A934" s="5"/>
      <c r="B934" s="5"/>
      <c r="C934" s="5"/>
      <c r="D934" s="5"/>
      <c r="E934" s="5"/>
      <c r="F934" s="5"/>
      <c r="G934" s="5"/>
      <c r="H934" s="5"/>
      <c r="I934" s="5"/>
      <c r="J934" s="5"/>
    </row>
    <row r="935" ht="15.75" customHeight="1">
      <c r="A935" s="5"/>
      <c r="B935" s="5"/>
      <c r="C935" s="5"/>
      <c r="D935" s="5"/>
      <c r="E935" s="5"/>
      <c r="F935" s="5"/>
      <c r="G935" s="5"/>
      <c r="H935" s="5"/>
      <c r="I935" s="5"/>
      <c r="J935" s="5"/>
    </row>
    <row r="936" ht="15.75" customHeight="1">
      <c r="A936" s="5"/>
      <c r="B936" s="5"/>
      <c r="C936" s="5"/>
      <c r="D936" s="5"/>
      <c r="E936" s="5"/>
      <c r="F936" s="5"/>
      <c r="G936" s="5"/>
      <c r="H936" s="5"/>
      <c r="I936" s="5"/>
      <c r="J936" s="5"/>
    </row>
    <row r="937" ht="15.75" customHeight="1">
      <c r="A937" s="5"/>
      <c r="B937" s="5"/>
      <c r="C937" s="5"/>
      <c r="D937" s="5"/>
      <c r="E937" s="5"/>
      <c r="F937" s="5"/>
      <c r="G937" s="5"/>
      <c r="H937" s="5"/>
      <c r="I937" s="5"/>
      <c r="J937" s="5"/>
    </row>
    <row r="938" ht="15.75" customHeight="1">
      <c r="A938" s="5"/>
      <c r="B938" s="5"/>
      <c r="C938" s="5"/>
      <c r="D938" s="5"/>
      <c r="E938" s="5"/>
      <c r="F938" s="5"/>
      <c r="G938" s="5"/>
      <c r="H938" s="5"/>
      <c r="I938" s="5"/>
      <c r="J938" s="5"/>
    </row>
    <row r="939" ht="15.75" customHeight="1">
      <c r="A939" s="5"/>
      <c r="B939" s="5"/>
      <c r="C939" s="5"/>
      <c r="D939" s="5"/>
      <c r="E939" s="5"/>
      <c r="F939" s="5"/>
      <c r="G939" s="5"/>
      <c r="H939" s="5"/>
      <c r="I939" s="5"/>
      <c r="J939" s="5"/>
    </row>
    <row r="940" ht="15.75" customHeight="1">
      <c r="A940" s="5"/>
      <c r="B940" s="5"/>
      <c r="C940" s="5"/>
      <c r="D940" s="5"/>
      <c r="E940" s="5"/>
      <c r="F940" s="5"/>
      <c r="G940" s="5"/>
      <c r="H940" s="5"/>
      <c r="I940" s="5"/>
      <c r="J940" s="5"/>
    </row>
    <row r="941" ht="15.75" customHeight="1">
      <c r="A941" s="5"/>
      <c r="B941" s="5"/>
      <c r="C941" s="5"/>
      <c r="D941" s="5"/>
      <c r="E941" s="5"/>
      <c r="F941" s="5"/>
      <c r="G941" s="5"/>
      <c r="H941" s="5"/>
      <c r="I941" s="5"/>
      <c r="J941" s="5"/>
    </row>
    <row r="942" ht="15.75" customHeight="1">
      <c r="A942" s="5"/>
      <c r="B942" s="5"/>
      <c r="C942" s="5"/>
      <c r="D942" s="5"/>
      <c r="E942" s="5"/>
      <c r="F942" s="5"/>
      <c r="G942" s="5"/>
      <c r="H942" s="5"/>
      <c r="I942" s="5"/>
      <c r="J942" s="5"/>
    </row>
    <row r="943" ht="15.75" customHeight="1">
      <c r="A943" s="5"/>
      <c r="B943" s="5"/>
      <c r="C943" s="5"/>
      <c r="D943" s="5"/>
      <c r="E943" s="5"/>
      <c r="F943" s="5"/>
      <c r="G943" s="5"/>
      <c r="H943" s="5"/>
      <c r="I943" s="5"/>
      <c r="J943" s="5"/>
    </row>
    <row r="944" ht="15.75" customHeight="1">
      <c r="A944" s="5"/>
      <c r="B944" s="5"/>
      <c r="C944" s="5"/>
      <c r="D944" s="5"/>
      <c r="E944" s="5"/>
      <c r="F944" s="5"/>
      <c r="G944" s="5"/>
      <c r="H944" s="5"/>
      <c r="I944" s="5"/>
      <c r="J944" s="5"/>
    </row>
    <row r="945" ht="15.75" customHeight="1">
      <c r="A945" s="5"/>
      <c r="B945" s="5"/>
      <c r="C945" s="5"/>
      <c r="D945" s="5"/>
      <c r="E945" s="5"/>
      <c r="F945" s="5"/>
      <c r="G945" s="5"/>
      <c r="H945" s="5"/>
      <c r="I945" s="5"/>
      <c r="J945" s="5"/>
    </row>
    <row r="946" ht="15.75" customHeight="1">
      <c r="A946" s="5"/>
      <c r="B946" s="5"/>
      <c r="C946" s="5"/>
      <c r="D946" s="5"/>
      <c r="E946" s="5"/>
      <c r="F946" s="5"/>
      <c r="G946" s="5"/>
      <c r="H946" s="5"/>
      <c r="I946" s="5"/>
      <c r="J946" s="5"/>
    </row>
    <row r="947" ht="15.75" customHeight="1">
      <c r="A947" s="5"/>
      <c r="B947" s="5"/>
      <c r="C947" s="5"/>
      <c r="D947" s="5"/>
      <c r="E947" s="5"/>
      <c r="F947" s="5"/>
      <c r="G947" s="5"/>
      <c r="H947" s="5"/>
      <c r="I947" s="5"/>
      <c r="J947" s="5"/>
    </row>
    <row r="948" ht="15.75" customHeight="1">
      <c r="A948" s="5"/>
      <c r="B948" s="5"/>
      <c r="C948" s="5"/>
      <c r="D948" s="5"/>
      <c r="E948" s="5"/>
      <c r="F948" s="5"/>
      <c r="G948" s="5"/>
      <c r="H948" s="5"/>
      <c r="I948" s="5"/>
      <c r="J948" s="5"/>
    </row>
    <row r="949" ht="15.75" customHeight="1">
      <c r="A949" s="5"/>
      <c r="B949" s="5"/>
      <c r="C949" s="5"/>
      <c r="D949" s="5"/>
      <c r="E949" s="5"/>
      <c r="F949" s="5"/>
      <c r="G949" s="5"/>
      <c r="H949" s="5"/>
      <c r="I949" s="5"/>
      <c r="J949" s="5"/>
    </row>
    <row r="950" ht="15.75" customHeight="1">
      <c r="A950" s="5"/>
      <c r="B950" s="5"/>
      <c r="C950" s="5"/>
      <c r="D950" s="5"/>
      <c r="E950" s="5"/>
      <c r="F950" s="5"/>
      <c r="G950" s="5"/>
      <c r="H950" s="5"/>
      <c r="I950" s="5"/>
      <c r="J950" s="5"/>
    </row>
    <row r="951" ht="15.75" customHeight="1">
      <c r="A951" s="5"/>
      <c r="B951" s="5"/>
      <c r="C951" s="5"/>
      <c r="D951" s="5"/>
      <c r="E951" s="5"/>
      <c r="F951" s="5"/>
      <c r="G951" s="5"/>
      <c r="H951" s="5"/>
      <c r="I951" s="5"/>
      <c r="J951" s="5"/>
    </row>
    <row r="952" ht="15.75" customHeight="1">
      <c r="A952" s="5"/>
      <c r="B952" s="5"/>
      <c r="C952" s="5"/>
      <c r="D952" s="5"/>
      <c r="E952" s="5"/>
      <c r="F952" s="5"/>
      <c r="G952" s="5"/>
      <c r="H952" s="5"/>
      <c r="I952" s="5"/>
      <c r="J952" s="5"/>
    </row>
    <row r="953" ht="15.75" customHeight="1">
      <c r="A953" s="5"/>
      <c r="B953" s="5"/>
      <c r="C953" s="5"/>
      <c r="D953" s="5"/>
      <c r="E953" s="5"/>
      <c r="F953" s="5"/>
      <c r="G953" s="5"/>
      <c r="H953" s="5"/>
      <c r="I953" s="5"/>
      <c r="J953" s="5"/>
    </row>
    <row r="954" ht="15.75" customHeight="1">
      <c r="A954" s="5"/>
      <c r="B954" s="5"/>
      <c r="C954" s="5"/>
      <c r="D954" s="5"/>
      <c r="E954" s="5"/>
      <c r="F954" s="5"/>
      <c r="G954" s="5"/>
      <c r="H954" s="5"/>
      <c r="I954" s="5"/>
      <c r="J954" s="5"/>
    </row>
    <row r="955" ht="15.75" customHeight="1">
      <c r="A955" s="5"/>
      <c r="B955" s="5"/>
      <c r="C955" s="5"/>
      <c r="D955" s="5"/>
      <c r="E955" s="5"/>
      <c r="F955" s="5"/>
      <c r="G955" s="5"/>
      <c r="H955" s="5"/>
      <c r="I955" s="5"/>
      <c r="J955" s="5"/>
    </row>
    <row r="956" ht="15.75" customHeight="1">
      <c r="A956" s="5"/>
      <c r="B956" s="5"/>
      <c r="C956" s="5"/>
      <c r="D956" s="5"/>
      <c r="E956" s="5"/>
      <c r="F956" s="5"/>
      <c r="G956" s="5"/>
      <c r="H956" s="5"/>
      <c r="I956" s="5"/>
      <c r="J956" s="5"/>
    </row>
    <row r="957" ht="15.75" customHeight="1">
      <c r="A957" s="5"/>
      <c r="B957" s="5"/>
      <c r="C957" s="5"/>
      <c r="D957" s="5"/>
      <c r="E957" s="5"/>
      <c r="F957" s="5"/>
      <c r="G957" s="5"/>
      <c r="H957" s="5"/>
      <c r="I957" s="5"/>
      <c r="J957" s="5"/>
    </row>
    <row r="958" ht="15.75" customHeight="1">
      <c r="A958" s="5"/>
      <c r="B958" s="5"/>
      <c r="C958" s="5"/>
      <c r="D958" s="5"/>
      <c r="E958" s="5"/>
      <c r="F958" s="5"/>
      <c r="G958" s="5"/>
      <c r="H958" s="5"/>
      <c r="I958" s="5"/>
      <c r="J958" s="5"/>
    </row>
    <row r="959" ht="15.75" customHeight="1">
      <c r="A959" s="5"/>
      <c r="B959" s="5"/>
      <c r="C959" s="5"/>
      <c r="D959" s="5"/>
      <c r="E959" s="5"/>
      <c r="F959" s="5"/>
      <c r="G959" s="5"/>
      <c r="H959" s="5"/>
      <c r="I959" s="5"/>
      <c r="J959" s="5"/>
    </row>
    <row r="960" ht="15.75" customHeight="1">
      <c r="A960" s="5"/>
      <c r="B960" s="5"/>
      <c r="C960" s="5"/>
      <c r="D960" s="5"/>
      <c r="E960" s="5"/>
      <c r="F960" s="5"/>
      <c r="G960" s="5"/>
      <c r="H960" s="5"/>
      <c r="I960" s="5"/>
      <c r="J960" s="5"/>
    </row>
    <row r="961" ht="15.75" customHeight="1">
      <c r="A961" s="5"/>
      <c r="B961" s="5"/>
      <c r="C961" s="5"/>
      <c r="D961" s="5"/>
      <c r="E961" s="5"/>
      <c r="F961" s="5"/>
      <c r="G961" s="5"/>
      <c r="H961" s="5"/>
      <c r="I961" s="5"/>
      <c r="J961" s="5"/>
    </row>
    <row r="962" ht="15.75" customHeight="1">
      <c r="A962" s="5"/>
      <c r="B962" s="5"/>
      <c r="C962" s="5"/>
      <c r="D962" s="5"/>
      <c r="E962" s="5"/>
      <c r="F962" s="5"/>
      <c r="G962" s="5"/>
      <c r="H962" s="5"/>
      <c r="I962" s="5"/>
      <c r="J962" s="5"/>
    </row>
    <row r="963" ht="15.75" customHeight="1">
      <c r="A963" s="5"/>
      <c r="B963" s="5"/>
      <c r="C963" s="5"/>
      <c r="D963" s="5"/>
      <c r="E963" s="5"/>
      <c r="F963" s="5"/>
      <c r="G963" s="5"/>
      <c r="H963" s="5"/>
      <c r="I963" s="5"/>
      <c r="J963" s="5"/>
    </row>
    <row r="964" ht="15.75" customHeight="1">
      <c r="A964" s="5"/>
      <c r="B964" s="5"/>
      <c r="C964" s="5"/>
      <c r="D964" s="5"/>
      <c r="E964" s="5"/>
      <c r="F964" s="5"/>
      <c r="G964" s="5"/>
      <c r="H964" s="5"/>
      <c r="I964" s="5"/>
      <c r="J964" s="5"/>
    </row>
    <row r="965" ht="15.75" customHeight="1">
      <c r="A965" s="5"/>
      <c r="B965" s="5"/>
      <c r="C965" s="5"/>
      <c r="D965" s="5"/>
      <c r="E965" s="5"/>
      <c r="F965" s="5"/>
      <c r="G965" s="5"/>
      <c r="H965" s="5"/>
      <c r="I965" s="5"/>
      <c r="J965" s="5"/>
    </row>
    <row r="966" ht="15.75" customHeight="1">
      <c r="A966" s="5"/>
      <c r="B966" s="5"/>
      <c r="C966" s="5"/>
      <c r="D966" s="5"/>
      <c r="E966" s="5"/>
      <c r="F966" s="5"/>
      <c r="G966" s="5"/>
      <c r="H966" s="5"/>
      <c r="I966" s="5"/>
      <c r="J966" s="5"/>
    </row>
    <row r="967" ht="15.75" customHeight="1">
      <c r="A967" s="5"/>
      <c r="B967" s="5"/>
      <c r="C967" s="5"/>
      <c r="D967" s="5"/>
      <c r="E967" s="5"/>
      <c r="F967" s="5"/>
      <c r="G967" s="5"/>
      <c r="H967" s="5"/>
      <c r="I967" s="5"/>
      <c r="J967" s="5"/>
    </row>
    <row r="968" ht="15.75" customHeight="1">
      <c r="A968" s="5"/>
      <c r="B968" s="5"/>
      <c r="C968" s="5"/>
      <c r="D968" s="5"/>
      <c r="E968" s="5"/>
      <c r="F968" s="5"/>
      <c r="G968" s="5"/>
      <c r="H968" s="5"/>
      <c r="I968" s="5"/>
      <c r="J968" s="5"/>
    </row>
    <row r="969" ht="15.75" customHeight="1">
      <c r="A969" s="5"/>
      <c r="B969" s="5"/>
      <c r="C969" s="5"/>
      <c r="D969" s="5"/>
      <c r="E969" s="5"/>
      <c r="F969" s="5"/>
      <c r="G969" s="5"/>
      <c r="H969" s="5"/>
      <c r="I969" s="5"/>
      <c r="J969" s="5"/>
    </row>
    <row r="970" ht="15.75" customHeight="1">
      <c r="A970" s="5"/>
      <c r="B970" s="5"/>
      <c r="C970" s="5"/>
      <c r="D970" s="5"/>
      <c r="E970" s="5"/>
      <c r="F970" s="5"/>
      <c r="G970" s="5"/>
      <c r="H970" s="5"/>
      <c r="I970" s="5"/>
      <c r="J970" s="5"/>
    </row>
    <row r="971" ht="15.75" customHeight="1">
      <c r="A971" s="5"/>
      <c r="B971" s="5"/>
      <c r="C971" s="5"/>
      <c r="D971" s="5"/>
      <c r="E971" s="5"/>
      <c r="F971" s="5"/>
      <c r="G971" s="5"/>
      <c r="H971" s="5"/>
      <c r="I971" s="5"/>
      <c r="J971" s="5"/>
    </row>
    <row r="972" ht="15.75" customHeight="1">
      <c r="A972" s="5"/>
      <c r="B972" s="5"/>
      <c r="C972" s="5"/>
      <c r="D972" s="5"/>
      <c r="E972" s="5"/>
      <c r="F972" s="5"/>
      <c r="G972" s="5"/>
      <c r="H972" s="5"/>
      <c r="I972" s="5"/>
      <c r="J972" s="5"/>
    </row>
    <row r="973" ht="15.75" customHeight="1">
      <c r="A973" s="5"/>
      <c r="B973" s="5"/>
      <c r="C973" s="5"/>
      <c r="D973" s="5"/>
      <c r="E973" s="5"/>
      <c r="F973" s="5"/>
      <c r="G973" s="5"/>
      <c r="H973" s="5"/>
      <c r="I973" s="5"/>
      <c r="J973" s="5"/>
    </row>
    <row r="974" ht="15.75" customHeight="1">
      <c r="A974" s="5"/>
      <c r="B974" s="5"/>
      <c r="C974" s="5"/>
      <c r="D974" s="5"/>
      <c r="E974" s="5"/>
      <c r="F974" s="5"/>
      <c r="G974" s="5"/>
      <c r="H974" s="5"/>
      <c r="I974" s="5"/>
      <c r="J974" s="5"/>
    </row>
    <row r="975" ht="15.75" customHeight="1">
      <c r="A975" s="5"/>
      <c r="B975" s="5"/>
      <c r="C975" s="5"/>
      <c r="D975" s="5"/>
      <c r="E975" s="5"/>
      <c r="F975" s="5"/>
      <c r="G975" s="5"/>
      <c r="H975" s="5"/>
      <c r="I975" s="5"/>
      <c r="J975" s="5"/>
    </row>
    <row r="976" ht="15.75" customHeight="1">
      <c r="A976" s="5"/>
      <c r="B976" s="5"/>
      <c r="C976" s="5"/>
      <c r="D976" s="5"/>
      <c r="E976" s="5"/>
      <c r="F976" s="5"/>
      <c r="G976" s="5"/>
      <c r="H976" s="5"/>
      <c r="I976" s="5"/>
      <c r="J976" s="5"/>
    </row>
    <row r="977" ht="15.75" customHeight="1">
      <c r="A977" s="5"/>
      <c r="B977" s="5"/>
      <c r="C977" s="5"/>
      <c r="D977" s="5"/>
      <c r="E977" s="5"/>
      <c r="F977" s="5"/>
      <c r="G977" s="5"/>
      <c r="H977" s="5"/>
      <c r="I977" s="5"/>
      <c r="J977" s="5"/>
    </row>
    <row r="978" ht="15.75" customHeight="1">
      <c r="A978" s="5"/>
      <c r="B978" s="5"/>
      <c r="C978" s="5"/>
      <c r="D978" s="5"/>
      <c r="E978" s="5"/>
      <c r="F978" s="5"/>
      <c r="G978" s="5"/>
      <c r="H978" s="5"/>
      <c r="I978" s="5"/>
      <c r="J978" s="5"/>
    </row>
    <row r="979" ht="15.75" customHeight="1">
      <c r="A979" s="5"/>
      <c r="B979" s="5"/>
      <c r="C979" s="5"/>
      <c r="D979" s="5"/>
      <c r="E979" s="5"/>
      <c r="F979" s="5"/>
      <c r="G979" s="5"/>
      <c r="H979" s="5"/>
      <c r="I979" s="5"/>
      <c r="J979" s="5"/>
    </row>
    <row r="980" ht="15.75" customHeight="1">
      <c r="A980" s="5"/>
      <c r="B980" s="5"/>
      <c r="C980" s="5"/>
      <c r="D980" s="5"/>
      <c r="E980" s="5"/>
      <c r="F980" s="5"/>
      <c r="G980" s="5"/>
      <c r="H980" s="5"/>
      <c r="I980" s="5"/>
      <c r="J980" s="5"/>
    </row>
    <row r="981" ht="15.75" customHeight="1">
      <c r="A981" s="5"/>
      <c r="B981" s="5"/>
      <c r="C981" s="5"/>
      <c r="D981" s="5"/>
      <c r="E981" s="5"/>
      <c r="F981" s="5"/>
      <c r="G981" s="5"/>
      <c r="H981" s="5"/>
      <c r="I981" s="5"/>
      <c r="J981" s="5"/>
    </row>
    <row r="982" ht="15.75" customHeight="1">
      <c r="A982" s="5"/>
      <c r="B982" s="5"/>
      <c r="C982" s="5"/>
      <c r="D982" s="5"/>
      <c r="E982" s="5"/>
      <c r="F982" s="5"/>
      <c r="G982" s="5"/>
      <c r="H982" s="5"/>
      <c r="I982" s="5"/>
      <c r="J982" s="5"/>
    </row>
    <row r="983" ht="15.75" customHeight="1">
      <c r="A983" s="5"/>
      <c r="B983" s="5"/>
      <c r="C983" s="5"/>
      <c r="D983" s="5"/>
      <c r="E983" s="5"/>
      <c r="F983" s="5"/>
      <c r="G983" s="5"/>
      <c r="H983" s="5"/>
      <c r="I983" s="5"/>
      <c r="J983" s="5"/>
    </row>
    <row r="984" ht="15.75" customHeight="1">
      <c r="A984" s="5"/>
      <c r="B984" s="5"/>
      <c r="C984" s="5"/>
      <c r="D984" s="5"/>
      <c r="E984" s="5"/>
      <c r="F984" s="5"/>
      <c r="G984" s="5"/>
      <c r="H984" s="5"/>
      <c r="I984" s="5"/>
      <c r="J984" s="5"/>
    </row>
    <row r="985" ht="15.75" customHeight="1">
      <c r="A985" s="5"/>
      <c r="B985" s="5"/>
      <c r="C985" s="5"/>
      <c r="D985" s="5"/>
      <c r="E985" s="5"/>
      <c r="F985" s="5"/>
      <c r="G985" s="5"/>
      <c r="H985" s="5"/>
      <c r="I985" s="5"/>
      <c r="J985" s="5"/>
    </row>
    <row r="986" ht="15.75" customHeight="1">
      <c r="A986" s="5"/>
      <c r="B986" s="5"/>
      <c r="C986" s="5"/>
      <c r="D986" s="5"/>
      <c r="E986" s="5"/>
      <c r="F986" s="5"/>
      <c r="G986" s="5"/>
      <c r="H986" s="5"/>
      <c r="I986" s="5"/>
      <c r="J986" s="5"/>
    </row>
    <row r="987" ht="15.75" customHeight="1">
      <c r="A987" s="5"/>
      <c r="B987" s="5"/>
      <c r="C987" s="5"/>
      <c r="D987" s="5"/>
      <c r="E987" s="5"/>
      <c r="F987" s="5"/>
      <c r="G987" s="5"/>
      <c r="H987" s="5"/>
      <c r="I987" s="5"/>
      <c r="J987" s="5"/>
    </row>
    <row r="988" ht="15.75" customHeight="1">
      <c r="A988" s="5"/>
      <c r="B988" s="5"/>
      <c r="C988" s="5"/>
      <c r="D988" s="5"/>
      <c r="E988" s="5"/>
      <c r="F988" s="5"/>
      <c r="G988" s="5"/>
      <c r="H988" s="5"/>
      <c r="I988" s="5"/>
      <c r="J988" s="5"/>
    </row>
    <row r="989" ht="15.75" customHeight="1">
      <c r="A989" s="5"/>
      <c r="B989" s="5"/>
      <c r="C989" s="5"/>
      <c r="D989" s="5"/>
      <c r="E989" s="5"/>
      <c r="F989" s="5"/>
      <c r="G989" s="5"/>
      <c r="H989" s="5"/>
      <c r="I989" s="5"/>
      <c r="J989" s="5"/>
    </row>
    <row r="990" ht="15.75" customHeight="1">
      <c r="A990" s="5"/>
      <c r="B990" s="5"/>
      <c r="C990" s="5"/>
      <c r="D990" s="5"/>
      <c r="E990" s="5"/>
      <c r="F990" s="5"/>
      <c r="G990" s="5"/>
      <c r="H990" s="5"/>
      <c r="I990" s="5"/>
      <c r="J990" s="5"/>
    </row>
    <row r="991" ht="15.75" customHeight="1">
      <c r="A991" s="5"/>
      <c r="B991" s="5"/>
      <c r="C991" s="5"/>
      <c r="D991" s="5"/>
      <c r="E991" s="5"/>
      <c r="F991" s="5"/>
      <c r="G991" s="5"/>
      <c r="H991" s="5"/>
      <c r="I991" s="5"/>
      <c r="J991" s="5"/>
    </row>
    <row r="992" ht="15.75" customHeight="1">
      <c r="A992" s="5"/>
      <c r="B992" s="5"/>
      <c r="C992" s="5"/>
      <c r="D992" s="5"/>
      <c r="E992" s="5"/>
      <c r="F992" s="5"/>
      <c r="G992" s="5"/>
      <c r="H992" s="5"/>
      <c r="I992" s="5"/>
      <c r="J992" s="5"/>
    </row>
    <row r="993" ht="15.75" customHeight="1">
      <c r="A993" s="5"/>
      <c r="B993" s="5"/>
      <c r="C993" s="5"/>
      <c r="D993" s="5"/>
      <c r="E993" s="5"/>
      <c r="F993" s="5"/>
      <c r="G993" s="5"/>
      <c r="H993" s="5"/>
      <c r="I993" s="5"/>
      <c r="J993" s="5"/>
    </row>
    <row r="994" ht="15.75" customHeight="1">
      <c r="A994" s="5"/>
      <c r="B994" s="5"/>
      <c r="C994" s="5"/>
      <c r="D994" s="5"/>
      <c r="E994" s="5"/>
      <c r="F994" s="5"/>
      <c r="G994" s="5"/>
      <c r="H994" s="5"/>
      <c r="I994" s="5"/>
      <c r="J994" s="5"/>
    </row>
    <row r="995" ht="15.75" customHeight="1">
      <c r="A995" s="5"/>
      <c r="B995" s="5"/>
      <c r="C995" s="5"/>
      <c r="D995" s="5"/>
      <c r="E995" s="5"/>
      <c r="F995" s="5"/>
      <c r="G995" s="5"/>
      <c r="H995" s="5"/>
      <c r="I995" s="5"/>
      <c r="J995" s="5"/>
    </row>
    <row r="996" ht="15.75" customHeight="1">
      <c r="A996" s="5"/>
      <c r="B996" s="5"/>
      <c r="C996" s="5"/>
      <c r="D996" s="5"/>
      <c r="E996" s="5"/>
      <c r="F996" s="5"/>
      <c r="G996" s="5"/>
      <c r="H996" s="5"/>
      <c r="I996" s="5"/>
      <c r="J996" s="5"/>
    </row>
    <row r="997" ht="15.75" customHeight="1">
      <c r="A997" s="5"/>
      <c r="B997" s="5"/>
      <c r="C997" s="5"/>
      <c r="D997" s="5"/>
      <c r="E997" s="5"/>
      <c r="F997" s="5"/>
      <c r="G997" s="5"/>
      <c r="H997" s="5"/>
      <c r="I997" s="5"/>
      <c r="J997" s="5"/>
    </row>
    <row r="998" ht="15.75" customHeight="1">
      <c r="A998" s="5"/>
      <c r="B998" s="5"/>
      <c r="C998" s="5"/>
      <c r="D998" s="5"/>
      <c r="E998" s="5"/>
      <c r="F998" s="5"/>
      <c r="G998" s="5"/>
      <c r="H998" s="5"/>
      <c r="I998" s="5"/>
      <c r="J998" s="5"/>
    </row>
    <row r="999" ht="15.75" customHeight="1">
      <c r="A999" s="5"/>
      <c r="B999" s="5"/>
      <c r="C999" s="5"/>
      <c r="D999" s="5"/>
      <c r="E999" s="5"/>
      <c r="F999" s="5"/>
      <c r="G999" s="5"/>
      <c r="H999" s="5"/>
      <c r="I999" s="5"/>
      <c r="J999" s="5"/>
    </row>
    <row r="1000" ht="15.75" customHeight="1">
      <c r="A1000" s="5"/>
      <c r="B1000" s="5"/>
      <c r="C1000" s="5"/>
      <c r="D1000" s="5"/>
      <c r="E1000" s="5"/>
      <c r="F1000" s="5"/>
      <c r="G1000" s="5"/>
      <c r="H1000" s="5"/>
      <c r="I1000" s="5"/>
      <c r="J1000" s="5"/>
    </row>
  </sheetData>
  <mergeCells count="1">
    <mergeCell ref="A1:J1"/>
  </mergeCells>
  <dataValidations>
    <dataValidation type="list" allowBlank="1" sqref="I5:I200">
      <formula1>"Equal Split,Attendance,Custom,Team Pays,Individual Pays"</formula1>
    </dataValidation>
    <dataValidation type="list" allowBlank="1" showInputMessage="1" showErrorMessage="1" prompt="Invalid season group - Select a group from Settings, or leave blank." sqref="J5:J103">
      <formula1>Settings!$A$5:$A$14</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24.63"/>
    <col customWidth="1" min="2" max="3" width="12.25"/>
    <col customWidth="1" hidden="1" min="4" max="6" width="12.25"/>
    <col customWidth="1" min="7" max="9" width="12.25"/>
    <col customWidth="1" hidden="1" min="10" max="11" width="12.25"/>
    <col customWidth="1" min="12" max="13" width="12.25"/>
    <col customWidth="1" hidden="1" min="14" max="14" width="12.25"/>
    <col customWidth="1" min="15" max="16" width="12.25"/>
    <col customWidth="1" hidden="1" min="17" max="27" width="12.25"/>
    <col customWidth="1" min="28" max="28" width="12.25"/>
    <col customWidth="1" hidden="1" min="29" max="29" width="12.25"/>
    <col customWidth="1" min="30" max="30" width="12.25"/>
    <col customWidth="1" hidden="1" min="31" max="34" width="12.25"/>
    <col customWidth="1" min="35" max="38" width="12.25"/>
    <col customWidth="1" hidden="1" min="39" max="43" width="12.25"/>
    <col customWidth="1" min="44" max="45" width="12.25"/>
    <col customWidth="1" hidden="1" min="46" max="47" width="12.25"/>
    <col customWidth="1" min="48" max="48" width="12.25"/>
    <col customWidth="1" hidden="1" min="49" max="54" width="12.25"/>
    <col customWidth="1" min="55" max="57" width="12.25"/>
    <col customWidth="1" hidden="1" min="58" max="74" width="12.25"/>
    <col customWidth="1" min="75" max="79" width="12.25"/>
    <col customWidth="1" hidden="1" min="80" max="86" width="12.25"/>
    <col customWidth="1" min="87" max="90" width="12.25"/>
    <col customWidth="1" hidden="1" min="91" max="94" width="12.25"/>
    <col customWidth="1" min="95" max="95" width="12.25"/>
    <col customWidth="1" hidden="1" min="96" max="102" width="12.25"/>
    <col customWidth="1" min="103" max="135" width="12.25"/>
  </cols>
  <sheetData>
    <row r="1" ht="37.5" customHeight="1">
      <c r="A1" s="1"/>
      <c r="B1" s="1" t="s">
        <v>3</v>
      </c>
      <c r="C1" s="2"/>
      <c r="D1" s="2"/>
      <c r="E1" s="2"/>
      <c r="F1" s="2"/>
      <c r="G1" s="3"/>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1"/>
      <c r="AW1" s="13"/>
      <c r="AX1" s="13"/>
      <c r="AY1" s="13"/>
      <c r="AZ1" s="15">
        <v>57.0</v>
      </c>
      <c r="BA1" s="16">
        <v>58.0</v>
      </c>
      <c r="BB1" s="17">
        <v>59.0</v>
      </c>
      <c r="BC1" s="17">
        <v>60.0</v>
      </c>
      <c r="BD1" s="17">
        <v>61.0</v>
      </c>
      <c r="BE1" s="4"/>
      <c r="BF1" s="4"/>
      <c r="BG1" s="4"/>
      <c r="BH1" s="4"/>
      <c r="BI1" s="4"/>
      <c r="BJ1" s="4"/>
      <c r="BK1" s="4"/>
      <c r="BL1" s="4"/>
      <c r="BM1" s="4"/>
      <c r="BN1" s="4"/>
      <c r="BO1" s="4"/>
      <c r="BP1" s="4"/>
      <c r="BQ1" s="4"/>
      <c r="BR1" s="4"/>
      <c r="BS1" s="4"/>
      <c r="BT1" s="4"/>
      <c r="BU1" s="4"/>
      <c r="BV1" s="4"/>
      <c r="BW1" s="4"/>
      <c r="BX1" s="4"/>
      <c r="BY1" s="17">
        <v>62.0</v>
      </c>
      <c r="BZ1" s="17">
        <v>63.0</v>
      </c>
      <c r="CA1" s="17">
        <v>64.0</v>
      </c>
      <c r="CB1" s="17">
        <v>65.0</v>
      </c>
      <c r="CC1" s="17">
        <v>66.0</v>
      </c>
      <c r="CD1" s="17">
        <v>67.0</v>
      </c>
      <c r="CE1" s="17">
        <v>68.0</v>
      </c>
      <c r="CF1" s="17">
        <v>69.0</v>
      </c>
      <c r="CG1" s="17">
        <v>70.0</v>
      </c>
      <c r="CH1" s="17">
        <v>71.0</v>
      </c>
      <c r="CI1" s="17">
        <v>72.0</v>
      </c>
      <c r="CJ1" s="17">
        <v>73.0</v>
      </c>
      <c r="CK1" s="17">
        <v>74.0</v>
      </c>
      <c r="CL1" s="17">
        <v>75.0</v>
      </c>
      <c r="CM1" s="17">
        <v>76.0</v>
      </c>
      <c r="CN1" s="21">
        <v>77.0</v>
      </c>
      <c r="CO1" s="15">
        <v>78.0</v>
      </c>
      <c r="CP1" s="15">
        <v>79.0</v>
      </c>
      <c r="CQ1" s="15">
        <v>80.0</v>
      </c>
      <c r="CR1" s="15">
        <v>81.0</v>
      </c>
      <c r="CS1" s="15">
        <v>82.0</v>
      </c>
      <c r="CT1" s="15">
        <v>83.0</v>
      </c>
      <c r="CU1" s="15">
        <v>84.0</v>
      </c>
      <c r="CV1" s="15">
        <v>85.0</v>
      </c>
      <c r="CW1" s="15">
        <v>86.0</v>
      </c>
      <c r="CX1" s="15">
        <v>87.0</v>
      </c>
      <c r="CY1" s="15">
        <v>88.0</v>
      </c>
      <c r="CZ1" s="15">
        <v>89.0</v>
      </c>
      <c r="DA1" s="15">
        <v>90.0</v>
      </c>
      <c r="DB1" s="15">
        <v>91.0</v>
      </c>
      <c r="DC1" s="15">
        <v>92.0</v>
      </c>
      <c r="DD1" s="15">
        <v>93.0</v>
      </c>
      <c r="DE1" s="15">
        <v>94.0</v>
      </c>
      <c r="DF1" s="15">
        <v>95.0</v>
      </c>
      <c r="DG1" s="15">
        <v>96.0</v>
      </c>
      <c r="DH1" s="15">
        <v>97.0</v>
      </c>
      <c r="DI1" s="15">
        <v>98.0</v>
      </c>
      <c r="DJ1" s="15">
        <v>99.0</v>
      </c>
      <c r="DK1" s="4"/>
      <c r="DL1" s="4"/>
      <c r="DM1" s="4"/>
      <c r="DN1" s="4"/>
      <c r="DO1" s="4"/>
      <c r="DP1" s="4"/>
      <c r="DQ1" s="4"/>
      <c r="DR1" s="4"/>
      <c r="DS1" s="4"/>
      <c r="DT1" s="4"/>
      <c r="DU1" s="4"/>
      <c r="DV1" s="4"/>
      <c r="DW1" s="4"/>
      <c r="DX1" s="4"/>
      <c r="DY1" s="4"/>
      <c r="DZ1" s="4"/>
      <c r="EA1" s="4"/>
      <c r="EB1" s="4"/>
      <c r="EC1" s="4"/>
      <c r="ED1" s="4"/>
      <c r="EE1" s="4"/>
    </row>
    <row r="2" ht="33.0" customHeight="1">
      <c r="A2" s="5"/>
      <c r="B2" s="33" t="str">
        <f>IF(AND(Transactions!$D7="Expense",Transactions!$G7&lt;&gt;""),"-&gt; "&amp;Transactions!$G7,"")</f>
        <v>-&gt; PEC</v>
      </c>
      <c r="C2" s="33" t="str">
        <f>IF(AND(Transactions!$D8="Expense",Transactions!$G8&lt;&gt;""),"-&gt; "&amp;Transactions!$G8,"")</f>
        <v>-&gt; SFI</v>
      </c>
      <c r="D2" s="33" t="str">
        <f>IF(AND(Transactions!$D9="Expense",Transactions!$G9&lt;&gt;""),"-&gt; "&amp;Transactions!$G9,"")</f>
        <v/>
      </c>
      <c r="E2" s="33" t="str">
        <f>IF(AND(Transactions!$D10="Expense",Transactions!$G10&lt;&gt;""),"-&gt; "&amp;Transactions!$G10,"")</f>
        <v/>
      </c>
      <c r="F2" s="33" t="str">
        <f>IF(AND(Transactions!$D11="Expense",Transactions!$G11&lt;&gt;""),"-&gt; "&amp;Transactions!$G11,"")</f>
        <v/>
      </c>
      <c r="G2" s="33" t="str">
        <f>IF(AND(Transactions!$D12="Expense",Transactions!$G12&lt;&gt;""),"-&gt; "&amp;Transactions!$G12,"")</f>
        <v>-&gt; May-July Fields</v>
      </c>
      <c r="H2" s="33" t="str">
        <f>IF(AND(Transactions!$D13="Expense",Transactions!$G13&lt;&gt;""),"-&gt; "&amp;Transactions!$G13,"")</f>
        <v>-&gt; PEC</v>
      </c>
      <c r="I2" s="33" t="str">
        <f>IF(AND(Transactions!$D14="Expense",Transactions!$G14&lt;&gt;""),"-&gt; "&amp;Transactions!$G14,"")</f>
        <v>-&gt; PEC</v>
      </c>
      <c r="J2" s="33" t="str">
        <f>IF(AND(Transactions!$D15="Expense",Transactions!$G15&lt;&gt;""),"-&gt; "&amp;Transactions!$G15,"")</f>
        <v/>
      </c>
      <c r="K2" s="33" t="str">
        <f>IF(AND(Transactions!$D16="Expense",Transactions!$G16&lt;&gt;""),"-&gt; "&amp;Transactions!$G16,"")</f>
        <v/>
      </c>
      <c r="L2" s="33" t="str">
        <f>IF(AND(Transactions!$D17="Expense",Transactions!$G17&lt;&gt;""),"-&gt; "&amp;Transactions!$G17,"")</f>
        <v>-&gt; PEC</v>
      </c>
      <c r="M2" s="33" t="str">
        <f>IF(AND(Transactions!$D18="Expense",Transactions!$G18&lt;&gt;""),"-&gt; "&amp;Transactions!$G18,"")</f>
        <v>-&gt; PEC</v>
      </c>
      <c r="N2" s="33" t="str">
        <f>IF(AND(Transactions!$D19="Expense",Transactions!$G19&lt;&gt;""),"-&gt; "&amp;Transactions!$G19,"")</f>
        <v/>
      </c>
      <c r="O2" s="33" t="str">
        <f>IF(AND(Transactions!$D20="Expense",Transactions!$G20&lt;&gt;""),"-&gt; "&amp;Transactions!$G20,"")</f>
        <v>-&gt; PEC</v>
      </c>
      <c r="P2" s="33" t="str">
        <f>IF(AND(Transactions!$D21="Expense",Transactions!$G21&lt;&gt;""),"-&gt; "&amp;Transactions!$G21,"")</f>
        <v>-&gt; PEC</v>
      </c>
      <c r="Q2" s="33" t="str">
        <f>IF(AND(Transactions!$D22="Expense",Transactions!$G22&lt;&gt;""),"-&gt; "&amp;Transactions!$G22,"")</f>
        <v/>
      </c>
      <c r="R2" s="33" t="str">
        <f>IF(AND(Transactions!$D23="Expense",Transactions!$G23&lt;&gt;""),"-&gt; "&amp;Transactions!$G23,"")</f>
        <v/>
      </c>
      <c r="S2" s="33" t="str">
        <f>IF(AND(Transactions!$D24="Expense",Transactions!$G24&lt;&gt;""),"-&gt; "&amp;Transactions!$G24,"")</f>
        <v/>
      </c>
      <c r="T2" s="33" t="str">
        <f>IF(AND(Transactions!$D25="Expense",Transactions!$G25&lt;&gt;""),"-&gt; "&amp;Transactions!$G25,"")</f>
        <v/>
      </c>
      <c r="U2" s="33" t="str">
        <f>IF(AND(Transactions!$D26="Expense",Transactions!$G26&lt;&gt;""),"-&gt; "&amp;Transactions!$G26,"")</f>
        <v/>
      </c>
      <c r="V2" s="33" t="str">
        <f>IF(AND(Transactions!$D27="Expense",Transactions!$G27&lt;&gt;""),"-&gt; "&amp;Transactions!$G27,"")</f>
        <v/>
      </c>
      <c r="W2" s="33" t="str">
        <f>IF(AND(Transactions!$D28="Expense",Transactions!$G28&lt;&gt;""),"-&gt; "&amp;Transactions!$G28,"")</f>
        <v/>
      </c>
      <c r="X2" s="33" t="str">
        <f>IF(AND(Transactions!$D29="Expense",Transactions!$G29&lt;&gt;""),"-&gt; "&amp;Transactions!$G29,"")</f>
        <v/>
      </c>
      <c r="Y2" s="33" t="str">
        <f>IF(AND(Transactions!$D30="Expense",Transactions!$G30&lt;&gt;""),"-&gt; "&amp;Transactions!$G30,"")</f>
        <v/>
      </c>
      <c r="Z2" s="33" t="str">
        <f>IF(AND(Transactions!$D31="Expense",Transactions!$G31&lt;&gt;""),"-&gt; "&amp;Transactions!$G31,"")</f>
        <v/>
      </c>
      <c r="AA2" s="33" t="str">
        <f>IF(AND(Transactions!$D32="Expense",Transactions!$G32&lt;&gt;""),"-&gt; "&amp;Transactions!$G32,"")</f>
        <v/>
      </c>
      <c r="AB2" s="33" t="str">
        <f>IF(AND(Transactions!$D33="Expense",Transactions!$G33&lt;&gt;""),"-&gt; "&amp;Transactions!$G33,"")</f>
        <v>-&gt; PEC</v>
      </c>
      <c r="AC2" s="33" t="str">
        <f>IF(AND(Transactions!$D34="Expense",Transactions!$G34&lt;&gt;""),"-&gt; "&amp;Transactions!$G34,"")</f>
        <v/>
      </c>
      <c r="AD2" s="33" t="str">
        <f>IF(AND(Transactions!$D35="Expense",Transactions!$G35&lt;&gt;""),"-&gt; "&amp;Transactions!$G35,"")</f>
        <v>-&gt; ESC</v>
      </c>
      <c r="AE2" s="33" t="str">
        <f>IF(AND(Transactions!$D36="Expense",Transactions!$G36&lt;&gt;""),"-&gt; "&amp;Transactions!$G36,"")</f>
        <v/>
      </c>
      <c r="AF2" s="33" t="str">
        <f>IF(AND(Transactions!$D37="Expense",Transactions!$G37&lt;&gt;""),"-&gt; "&amp;Transactions!$G37,"")</f>
        <v/>
      </c>
      <c r="AG2" s="33" t="str">
        <f>IF(AND(Transactions!$D38="Expense",Transactions!$G38&lt;&gt;""),"-&gt; "&amp;Transactions!$G38,"")</f>
        <v/>
      </c>
      <c r="AH2" s="33" t="str">
        <f>IF(AND(Transactions!$D39="Expense",Transactions!$G39&lt;&gt;""),"-&gt; "&amp;Transactions!$G39,"")</f>
        <v/>
      </c>
      <c r="AI2" s="33" t="str">
        <f>IF(AND(Transactions!$D40="Expense",Transactions!$G40&lt;&gt;""),"-&gt; "&amp;Transactions!$G40,"")</f>
        <v>-&gt; SFI</v>
      </c>
      <c r="AJ2" s="33" t="str">
        <f>IF(AND(Transactions!$D41="Expense",Transactions!$G41&lt;&gt;""),"-&gt; "&amp;Transactions!$G41,"")</f>
        <v>-&gt; SFI</v>
      </c>
      <c r="AK2" s="33" t="str">
        <f>IF(AND(Transactions!$D42="Expense",Transactions!$G42&lt;&gt;""),"-&gt; "&amp;Transactions!$G42,"")</f>
        <v>-&gt; PEC</v>
      </c>
      <c r="AL2" s="33" t="str">
        <f>IF(AND(Transactions!$D43="Expense",Transactions!$G43&lt;&gt;""),"-&gt; "&amp;Transactions!$G43,"")</f>
        <v>-&gt; May-July Fields</v>
      </c>
      <c r="AM2" s="33" t="str">
        <f>IF(AND(Transactions!$D44="Expense",Transactions!$G44&lt;&gt;""),"-&gt; "&amp;Transactions!$G44,"")</f>
        <v/>
      </c>
      <c r="AN2" s="33" t="str">
        <f>IF(AND(Transactions!$D45="Expense",Transactions!$G45&lt;&gt;""),"-&gt; "&amp;Transactions!$G45,"")</f>
        <v/>
      </c>
      <c r="AO2" s="33" t="str">
        <f>IF(AND(Transactions!$D46="Expense",Transactions!$G46&lt;&gt;""),"-&gt; "&amp;Transactions!$G46,"")</f>
        <v/>
      </c>
      <c r="AP2" s="33" t="str">
        <f>IF(AND(Transactions!$D47="Expense",Transactions!$G47&lt;&gt;""),"-&gt; "&amp;Transactions!$G47,"")</f>
        <v/>
      </c>
      <c r="AQ2" s="33" t="str">
        <f>IF(AND(Transactions!$D48="Expense",Transactions!$G48&lt;&gt;""),"-&gt; "&amp;Transactions!$G48,"")</f>
        <v/>
      </c>
      <c r="AR2" s="33" t="str">
        <f>IF(AND(Transactions!$D49="Expense",Transactions!$G49&lt;&gt;""),"-&gt; "&amp;Transactions!$G49,"")</f>
        <v>-&gt; Sectionals</v>
      </c>
      <c r="AS2" s="33" t="str">
        <f>IF(AND(Transactions!$D50="Expense",Transactions!$G50&lt;&gt;""),"-&gt; "&amp;Transactions!$G50,"")</f>
        <v>-&gt; ESC</v>
      </c>
      <c r="AT2" s="33" t="str">
        <f>IF(AND(#REF!="Expense",#REF!&lt;&gt;""),"-&gt; "&amp;#REF!,"")</f>
        <v>#REF!</v>
      </c>
      <c r="AU2" s="33" t="str">
        <f>IF(AND(Transactions!$D51="Expense",Transactions!$G51&lt;&gt;""),"-&gt; "&amp;Transactions!$G51,"")</f>
        <v/>
      </c>
      <c r="AV2" s="33" t="str">
        <f>IF(AND(Transactions!$D53="Expense",Transactions!$G53&lt;&gt;""),"-&gt; "&amp;Transactions!$G53,"")</f>
        <v>-&gt; ESC</v>
      </c>
      <c r="AW2" s="33" t="str">
        <f t="array" ref="AW2">IF(AND(INDEX(Transactions!$D:$D, COLUMN()+5)="Expense", INDEX(Transactions!$G:$G, COLUMN()+5)&lt;&gt;""), "-&gt; "&amp;INDEX(Transactions!$G:$G, COLUMN()+5), "")</f>
        <v/>
      </c>
      <c r="AX2" s="33" t="str">
        <f t="array" ref="AX2">IF(AND(INDEX(Transactions!$D:$D, COLUMN()+5)="Expense", INDEX(Transactions!$G:$G, COLUMN()+5)&lt;&gt;""), "-&gt; "&amp;INDEX(Transactions!$G:$G, COLUMN()+5), "")</f>
        <v/>
      </c>
      <c r="AY2" s="33" t="str">
        <f t="array" ref="AY2">IF(AND(INDEX(Transactions!$D:$D, COLUMN()+5)="Expense", INDEX(Transactions!$G:$G, COLUMN()+5)&lt;&gt;""), "-&gt; "&amp;INDEX(Transactions!$G:$G, COLUMN()+5), "")</f>
        <v>-&gt; PEC</v>
      </c>
      <c r="AZ2" s="33" t="str">
        <f t="array" ref="AZ2">IF(AND(INDEX(Transactions!$D:$D, COLUMN()+5)="Expense", INDEX(Transactions!$G:$G, COLUMN()+5)&lt;&gt;""), "-&gt; "&amp;INDEX(Transactions!$G:$G, COLUMN()+5), "")</f>
        <v>-&gt; PEC</v>
      </c>
      <c r="BA2" s="33" t="str">
        <f t="array" ref="BA2">IF(AND(INDEX(Transactions!$D:$D, COLUMN()+5)="Expense", INDEX(Transactions!$G:$G, COLUMN()+5)&lt;&gt;""), "-&gt; "&amp;INDEX(Transactions!$G:$G, COLUMN()+5), "")</f>
        <v>-&gt; PEC</v>
      </c>
      <c r="BB2" s="33" t="str">
        <f t="array" ref="BB2">IF(AND(INDEX(Transactions!$D:$D, COLUMN()+5)="Expense", INDEX(Transactions!$G:$G, COLUMN()+5)&lt;&gt;""), "-&gt; "&amp;INDEX(Transactions!$G:$G, COLUMN()+5), "")</f>
        <v>-&gt; PEC</v>
      </c>
      <c r="BC2" s="33" t="str">
        <f t="array" ref="BC2">IF(AND(INDEX(Transactions!$D:$D, COLUMN()+5)="Expense", INDEX(Transactions!$G:$G, COLUMN()+5)&lt;&gt;""), "-&gt; "&amp;INDEX(Transactions!$G:$G, COLUMN()+5), "")</f>
        <v>-&gt; PEC</v>
      </c>
      <c r="BD2" s="33" t="str">
        <f t="array" ref="BD2">IF(AND(INDEX(Transactions!$D:$D, COLUMN()+5)="Expense", INDEX(Transactions!$G:$G, COLUMN()+5)&lt;&gt;""), "-&gt; "&amp;INDEX(Transactions!$G:$G, COLUMN()+5), "")</f>
        <v>-&gt; SFI</v>
      </c>
      <c r="BE2" s="33" t="str">
        <f t="array" ref="BE2">IF(AND(INDEX(Transactions!$D:$D, COLUMN()+5)="Expense", INDEX(Transactions!$G:$G, COLUMN()+5)&lt;&gt;""), "-&gt; "&amp;INDEX(Transactions!$G:$G, COLUMN()+5), "")</f>
        <v>-&gt; ESC</v>
      </c>
      <c r="BF2" s="33" t="str">
        <f t="array" ref="BF2">IF(AND(INDEX(Transactions!$D:$D, COLUMN()+5)="Expense", INDEX(Transactions!$G:$G, COLUMN()+5)&lt;&gt;""), "-&gt; "&amp;INDEX(Transactions!$G:$G, COLUMN()+5), "")</f>
        <v>-&gt; PEC</v>
      </c>
      <c r="BG2" s="33" t="str">
        <f t="array" ref="BG2">IF(AND(INDEX(Transactions!$D:$D, COLUMN()+5)="Expense", INDEX(Transactions!$G:$G, COLUMN()+5)&lt;&gt;""), "-&gt; "&amp;INDEX(Transactions!$G:$G, COLUMN()+5), "")</f>
        <v>-&gt; SFI</v>
      </c>
      <c r="BH2" s="33" t="str">
        <f t="array" ref="BH2">IF(AND(INDEX(Transactions!$D:$D, COLUMN()+5)="Expense", INDEX(Transactions!$G:$G, COLUMN()+5)&lt;&gt;""), "-&gt; "&amp;INDEX(Transactions!$G:$G, COLUMN()+5), "")</f>
        <v>-&gt; SFI</v>
      </c>
      <c r="BI2" s="33" t="str">
        <f t="array" ref="BI2">IF(AND(INDEX(Transactions!$D:$D, COLUMN()+5)="Expense", INDEX(Transactions!$G:$G, COLUMN()+5)&lt;&gt;""), "-&gt; "&amp;INDEX(Transactions!$G:$G, COLUMN()+5), "")</f>
        <v>-&gt; SFI</v>
      </c>
      <c r="BJ2" s="33" t="str">
        <f t="array" ref="BJ2">IF(AND(INDEX(Transactions!$D:$D, COLUMN()+5)="Expense", INDEX(Transactions!$G:$G, COLUMN()+5)&lt;&gt;""), "-&gt; "&amp;INDEX(Transactions!$G:$G, COLUMN()+5), "")</f>
        <v>-&gt; SFI</v>
      </c>
      <c r="BK2" s="33" t="str">
        <f t="array" ref="BK2">IF(AND(INDEX(Transactions!$D:$D, COLUMN()+5)="Expense", INDEX(Transactions!$G:$G, COLUMN()+5)&lt;&gt;""), "-&gt; "&amp;INDEX(Transactions!$G:$G, COLUMN()+5), "")</f>
        <v>-&gt; ESC</v>
      </c>
      <c r="BL2" s="33" t="str">
        <f t="array" ref="BL2">IF(AND(INDEX(Transactions!$D:$D, COLUMN()+5)="Expense", INDEX(Transactions!$G:$G, COLUMN()+5)&lt;&gt;""), "-&gt; "&amp;INDEX(Transactions!$G:$G, COLUMN()+5), "")</f>
        <v>-&gt; ESC</v>
      </c>
      <c r="BM2" s="33" t="str">
        <f t="array" ref="BM2">IF(AND(INDEX(Transactions!$D:$D, COLUMN()+5)="Expense", INDEX(Transactions!$G:$G, COLUMN()+5)&lt;&gt;""), "-&gt; "&amp;INDEX(Transactions!$G:$G, COLUMN()+5), "")</f>
        <v>-&gt; ESC</v>
      </c>
      <c r="BN2" s="33" t="str">
        <f t="array" ref="BN2">IF(AND(INDEX(Transactions!$D:$D, COLUMN()+5)="Expense", INDEX(Transactions!$G:$G, COLUMN()+5)&lt;&gt;""), "-&gt; "&amp;INDEX(Transactions!$G:$G, COLUMN()+5), "")</f>
        <v>-&gt; ESC</v>
      </c>
      <c r="BO2" s="33" t="str">
        <f t="array" ref="BO2">IF(AND(INDEX(Transactions!$D:$D, COLUMN()+5)="Expense", INDEX(Transactions!$G:$G, COLUMN()+5)&lt;&gt;""), "-&gt; "&amp;INDEX(Transactions!$G:$G, COLUMN()+5), "")</f>
        <v>-&gt; Retreat</v>
      </c>
      <c r="BP2" s="33" t="str">
        <f t="array" ref="BP2">IF(AND(INDEX(Transactions!$D:$D, COLUMN()+5)="Expense", INDEX(Transactions!$G:$G, COLUMN()+5)&lt;&gt;""), "-&gt; "&amp;INDEX(Transactions!$G:$G, COLUMN()+5), "")</f>
        <v>-&gt; Retreat</v>
      </c>
      <c r="BQ2" s="33" t="str">
        <f t="array" ref="BQ2">IF(AND(INDEX(Transactions!$D:$D, COLUMN()+5)="Expense", INDEX(Transactions!$G:$G, COLUMN()+5)&lt;&gt;""), "-&gt; "&amp;INDEX(Transactions!$G:$G, COLUMN()+5), "")</f>
        <v>-&gt; Retreat</v>
      </c>
      <c r="BR2" s="33" t="str">
        <f t="array" ref="BR2">IF(AND(INDEX(Transactions!$D:$D, COLUMN()+5)="Expense", INDEX(Transactions!$G:$G, COLUMN()+5)&lt;&gt;""), "-&gt; "&amp;INDEX(Transactions!$G:$G, COLUMN()+5), "")</f>
        <v>-&gt; Retreat</v>
      </c>
      <c r="BS2" s="33" t="str">
        <f t="array" ref="BS2">IF(AND(INDEX(Transactions!$D:$D, COLUMN()+5)="Expense", INDEX(Transactions!$G:$G, COLUMN()+5)&lt;&gt;""), "-&gt; "&amp;INDEX(Transactions!$G:$G, COLUMN()+5), "")</f>
        <v>-&gt; Retreat</v>
      </c>
      <c r="BT2" s="33" t="str">
        <f t="array" ref="BT2">IF(AND(INDEX(Transactions!$D:$D, COLUMN()+5)="Expense", INDEX(Transactions!$G:$G, COLUMN()+5)&lt;&gt;""), "-&gt; "&amp;INDEX(Transactions!$G:$G, COLUMN()+5), "")</f>
        <v>-&gt; Retreat</v>
      </c>
      <c r="BU2" s="33" t="str">
        <f t="array" ref="BU2">IF(AND(INDEX(Transactions!$D:$D, COLUMN()+5)="Expense", INDEX(Transactions!$G:$G, COLUMN()+5)&lt;&gt;""), "-&gt; "&amp;INDEX(Transactions!$G:$G, COLUMN()+5), "")</f>
        <v>-&gt; Retreat</v>
      </c>
      <c r="BV2" s="33" t="str">
        <f t="array" ref="BV2">IF(AND(INDEX(Transactions!$D:$D, COLUMN()+5)="Expense", INDEX(Transactions!$G:$G, COLUMN()+5)&lt;&gt;""), "-&gt; "&amp;INDEX(Transactions!$G:$G, COLUMN()+5), "")</f>
        <v>-&gt; Retreat</v>
      </c>
      <c r="BW2" s="33" t="str">
        <f t="array" ref="BW2">IF(AND(INDEX(Transactions!$D:$D, COLUMN()+5)="Expense", INDEX(Transactions!$G:$G, COLUMN()+5)&lt;&gt;""), "-&gt; "&amp;INDEX(Transactions!$G:$G, COLUMN()+5), "")</f>
        <v>-&gt; Retreat</v>
      </c>
      <c r="BX2" s="33" t="str">
        <f t="array" ref="BX2">IF(AND(INDEX(Transactions!$D:$D, COLUMN()+5)="Expense", INDEX(Transactions!$G:$G, COLUMN()+5)&lt;&gt;""), "-&gt; "&amp;INDEX(Transactions!$G:$G, COLUMN()+5), "")</f>
        <v>-&gt; Retreat</v>
      </c>
      <c r="BY2" s="33" t="str">
        <f t="array" ref="BY2">IF(AND(INDEX(Transactions!$D:$D, COLUMN()+5)="Expense", INDEX(Transactions!$G:$G, COLUMN()+5)&lt;&gt;""), "-&gt; "&amp;INDEX(Transactions!$G:$G, COLUMN()+5), "")</f>
        <v>-&gt; Retreat</v>
      </c>
      <c r="BZ2" s="33" t="str">
        <f t="array" ref="BZ2">IF(AND(INDEX(Transactions!$D:$D, COLUMN()+5)="Expense", INDEX(Transactions!$G:$G, COLUMN()+5)&lt;&gt;""), "-&gt; "&amp;INDEX(Transactions!$G:$G, COLUMN()+5), "")</f>
        <v>-&gt; Retreat</v>
      </c>
      <c r="CA2" s="33" t="str">
        <f t="array" ref="CA2">IF(AND(INDEX(Transactions!$D:$D, COLUMN()+5)="Expense", INDEX(Transactions!$G:$G, COLUMN()+5)&lt;&gt;""), "-&gt; "&amp;INDEX(Transactions!$G:$G, COLUMN()+5), "")</f>
        <v>-&gt; Retreat</v>
      </c>
      <c r="CB2" s="33" t="str">
        <f t="array" ref="CB2">IF(AND(INDEX(Transactions!$D:$D, COLUMN()+5)="Expense", INDEX(Transactions!$G:$G, COLUMN()+5)&lt;&gt;""), "-&gt; "&amp;INDEX(Transactions!$G:$G, COLUMN()+5), "")</f>
        <v/>
      </c>
      <c r="CC2" s="33" t="str">
        <f t="array" ref="CC2">IF(AND(INDEX(Transactions!$D:$D, COLUMN()+5)="Expense", INDEX(Transactions!$G:$G, COLUMN()+5)&lt;&gt;""), "-&gt; "&amp;INDEX(Transactions!$G:$G, COLUMN()+5), "")</f>
        <v/>
      </c>
      <c r="CD2" s="33" t="str">
        <f t="array" ref="CD2">IF(AND(INDEX(Transactions!$D:$D, COLUMN()+5)="Expense", INDEX(Transactions!$G:$G, COLUMN()+5)&lt;&gt;""), "-&gt; "&amp;INDEX(Transactions!$G:$G, COLUMN()+5), "")</f>
        <v>-&gt; PEC</v>
      </c>
      <c r="CE2" s="33" t="str">
        <f t="array" ref="CE2">IF(AND(INDEX(Transactions!$D:$D, COLUMN()+5)="Expense", INDEX(Transactions!$G:$G, COLUMN()+5)&lt;&gt;""), "-&gt; "&amp;INDEX(Transactions!$G:$G, COLUMN()+5), "")</f>
        <v>-&gt; SFI</v>
      </c>
      <c r="CF2" s="33" t="str">
        <f t="array" ref="CF2">IF(AND(INDEX(Transactions!$D:$D, COLUMN()+5)="Expense", INDEX(Transactions!$G:$G, COLUMN()+5)&lt;&gt;""), "-&gt; "&amp;INDEX(Transactions!$G:$G, COLUMN()+5), "")</f>
        <v>-&gt; SFI</v>
      </c>
      <c r="CG2" s="33" t="str">
        <f t="array" ref="CG2">IF(AND(INDEX(Transactions!$D:$D, COLUMN()+5)="Expense", INDEX(Transactions!$G:$G, COLUMN()+5)&lt;&gt;""), "-&gt; "&amp;INDEX(Transactions!$G:$G, COLUMN()+5), "")</f>
        <v>-&gt; ESC</v>
      </c>
      <c r="CH2" s="33" t="str">
        <f t="array" ref="CH2">IF(AND(INDEX(Transactions!$D:$D, COLUMN()+5)="Expense", INDEX(Transactions!$G:$G, COLUMN()+5)&lt;&gt;""), "-&gt; "&amp;INDEX(Transactions!$G:$G, COLUMN()+5), "")</f>
        <v/>
      </c>
      <c r="CI2" s="33" t="str">
        <f t="array" ref="CI2">IF(AND(INDEX(Transactions!$D:$D, COLUMN()+5)="Expense", INDEX(Transactions!$G:$G, COLUMN()+5)&lt;&gt;""), "-&gt; "&amp;INDEX(Transactions!$G:$G, COLUMN()+5), "")</f>
        <v>-&gt; Sectionals</v>
      </c>
      <c r="CJ2" s="33" t="str">
        <f t="array" ref="CJ2">IF(AND(INDEX(Transactions!$D:$D, COLUMN()+5)="Expense", INDEX(Transactions!$G:$G, COLUMN()+5)&lt;&gt;""), "-&gt; "&amp;INDEX(Transactions!$G:$G, COLUMN()+5), "")</f>
        <v>-&gt; Regionals</v>
      </c>
      <c r="CK2" s="33" t="str">
        <f t="array" ref="CK2">IF(AND(INDEX(Transactions!$D:$D, COLUMN()+5)="Expense", INDEX(Transactions!$G:$G, COLUMN()+5)&lt;&gt;""), "-&gt; "&amp;INDEX(Transactions!$G:$G, COLUMN()+5), "")</f>
        <v>-&gt; Regionals</v>
      </c>
      <c r="CL2" s="33" t="str">
        <f t="array" ref="CL2">IF(AND(INDEX(Transactions!$D:$D, COLUMN()+5)="Expense", INDEX(Transactions!$G:$G, COLUMN()+5)&lt;&gt;""), "-&gt; "&amp;INDEX(Transactions!$G:$G, COLUMN()+5), "")</f>
        <v>-&gt; Regionals</v>
      </c>
      <c r="CM2" s="33" t="str">
        <f t="array" ref="CM2">IF(AND(INDEX(Transactions!$D:$D, COLUMN()+5)="Expense", INDEX(Transactions!$G:$G, COLUMN()+5)&lt;&gt;""), "-&gt; "&amp;INDEX(Transactions!$G:$G, COLUMN()+5), "")</f>
        <v>-&gt; Regionals</v>
      </c>
      <c r="CN2" s="33" t="str">
        <f t="array" ref="CN2">IF(AND(INDEX(Transactions!$D:$D, COLUMN()+5)="Expense", INDEX(Transactions!$G:$G, COLUMN()+5)&lt;&gt;""), "-&gt; "&amp;INDEX(Transactions!$G:$G, COLUMN()+5), "")</f>
        <v>-&gt; Regionals</v>
      </c>
      <c r="CO2" s="33" t="str">
        <f t="array" ref="CO2">IF(AND(INDEX(Transactions!$D:$D, COLUMN()+5)="Expense", INDEX(Transactions!$G:$G, COLUMN()+5)&lt;&gt;""), "-&gt; "&amp;INDEX(Transactions!$G:$G, COLUMN()+5), "")</f>
        <v>-&gt; Regionals</v>
      </c>
      <c r="CP2" s="33" t="str">
        <f t="array" ref="CP2">IF(AND(INDEX(Transactions!$D:$D, COLUMN()+5)="Expense", INDEX(Transactions!$G:$G, COLUMN()+5)&lt;&gt;""), "-&gt; "&amp;INDEX(Transactions!$G:$G, COLUMN()+5), "")</f>
        <v/>
      </c>
      <c r="CQ2" s="33" t="str">
        <f t="array" ref="CQ2">IF(AND(INDEX(Transactions!$D:$D, COLUMN()+5)="Expense", INDEX(Transactions!$G:$G, COLUMN()+5)&lt;&gt;""), "-&gt; "&amp;INDEX(Transactions!$G:$G, COLUMN()+5), "")</f>
        <v>-&gt; Nationals</v>
      </c>
      <c r="CR2" s="33" t="str">
        <f t="array" ref="CR2">IF(AND(INDEX(Transactions!$D:$D, COLUMN()+5)="Expense", INDEX(Transactions!$G:$G, COLUMN()+5)&lt;&gt;""), "-&gt; "&amp;INDEX(Transactions!$G:$G, COLUMN()+5), "")</f>
        <v/>
      </c>
      <c r="CS2" s="33" t="str">
        <f t="array" ref="CS2">IF(AND(INDEX(Transactions!$D:$D, COLUMN()+5)="Expense", INDEX(Transactions!$G:$G, COLUMN()+5)&lt;&gt;""), "-&gt; "&amp;INDEX(Transactions!$G:$G, COLUMN()+5), "")</f>
        <v/>
      </c>
      <c r="CT2" s="33" t="str">
        <f t="array" ref="CT2">IF(AND(INDEX(Transactions!$D:$D, COLUMN()+5)="Expense", INDEX(Transactions!$G:$G, COLUMN()+5)&lt;&gt;""), "-&gt; "&amp;INDEX(Transactions!$G:$G, COLUMN()+5), "")</f>
        <v/>
      </c>
      <c r="CU2" s="33" t="str">
        <f t="array" ref="CU2">IF(AND(INDEX(Transactions!$D:$D, COLUMN()+5)="Expense", INDEX(Transactions!$G:$G, COLUMN()+5)&lt;&gt;""), "-&gt; "&amp;INDEX(Transactions!$G:$G, COLUMN()+5), "")</f>
        <v/>
      </c>
      <c r="CV2" s="33" t="str">
        <f t="array" ref="CV2">IF(AND(INDEX(Transactions!$D:$D, COLUMN()+5)="Expense", INDEX(Transactions!$G:$G, COLUMN()+5)&lt;&gt;""), "-&gt; "&amp;INDEX(Transactions!$G:$G, COLUMN()+5), "")</f>
        <v/>
      </c>
      <c r="CW2" s="33" t="str">
        <f t="array" ref="CW2">IF(AND(INDEX(Transactions!$D:$D, COLUMN()+5)="Expense", INDEX(Transactions!$G:$G, COLUMN()+5)&lt;&gt;""), "-&gt; "&amp;INDEX(Transactions!$G:$G, COLUMN()+5), "")</f>
        <v>-&gt; ESC</v>
      </c>
      <c r="CX2" s="33" t="str">
        <f t="array" ref="CX2">IF(AND(INDEX(Transactions!$D:$D, COLUMN()+5)="Expense", INDEX(Transactions!$G:$G, COLUMN()+5)&lt;&gt;""), "-&gt; "&amp;INDEX(Transactions!$G:$G, COLUMN()+5), "")</f>
        <v/>
      </c>
      <c r="CY2" s="33" t="str">
        <f t="array" ref="CY2">IF(AND(INDEX(Transactions!$D:$D, COLUMN()+5)="Expense", INDEX(Transactions!$G:$G, COLUMN()+5)&lt;&gt;""), "-&gt; "&amp;INDEX(Transactions!$G:$G, COLUMN()+5), "")</f>
        <v>-&gt; Regionals</v>
      </c>
      <c r="CZ2" s="33" t="str">
        <f t="array" ref="CZ2">IF(AND(INDEX(Transactions!$D:$D, COLUMN()+5)="Expense", INDEX(Transactions!$G:$G, COLUMN()+5)&lt;&gt;""), "-&gt; "&amp;INDEX(Transactions!$G:$G, COLUMN()+5), "")</f>
        <v/>
      </c>
      <c r="DA2" s="33" t="str">
        <f t="array" ref="DA2">IF(AND(INDEX(Transactions!$D:$D, COLUMN()+5)="Expense", INDEX(Transactions!$G:$G, COLUMN()+5)&lt;&gt;""), "-&gt; "&amp;INDEX(Transactions!$G:$G, COLUMN()+5), "")</f>
        <v/>
      </c>
      <c r="DB2" s="33" t="str">
        <f t="array" ref="DB2">IF(AND(INDEX(Transactions!$D:$D, COLUMN()+5)="Expense", INDEX(Transactions!$G:$G, COLUMN()+5)&lt;&gt;""), "-&gt; "&amp;INDEX(Transactions!$G:$G, COLUMN()+5), "")</f>
        <v/>
      </c>
      <c r="DC2" s="33" t="str">
        <f t="array" ref="DC2">IF(AND(INDEX(Transactions!$D:$D, COLUMN()+5)="Expense", INDEX(Transactions!$G:$G, COLUMN()+5)&lt;&gt;""), "-&gt; "&amp;INDEX(Transactions!$G:$G, COLUMN()+5), "")</f>
        <v/>
      </c>
      <c r="DD2" s="33" t="str">
        <f t="array" ref="DD2">IF(AND(INDEX(Transactions!$D:$D, COLUMN()+5)="Expense", INDEX(Transactions!$G:$G, COLUMN()+5)&lt;&gt;""), "-&gt; "&amp;INDEX(Transactions!$G:$G, COLUMN()+5), "")</f>
        <v/>
      </c>
      <c r="DE2" s="33" t="str">
        <f t="array" ref="DE2">IF(AND(INDEX(Transactions!$D:$D, COLUMN()+5)="Expense", INDEX(Transactions!$G:$G, COLUMN()+5)&lt;&gt;""), "-&gt; "&amp;INDEX(Transactions!$G:$G, COLUMN()+5), "")</f>
        <v/>
      </c>
      <c r="DF2" s="33" t="str">
        <f t="array" ref="DF2">IF(AND(INDEX(Transactions!$D:$D, COLUMN()+5)="Expense", INDEX(Transactions!$G:$G, COLUMN()+5)&lt;&gt;""), "-&gt; "&amp;INDEX(Transactions!$G:$G, COLUMN()+5), "")</f>
        <v/>
      </c>
      <c r="DG2" s="33" t="str">
        <f t="array" ref="DG2">IF(AND(INDEX(Transactions!$D:$D, COLUMN()+5)="Expense", INDEX(Transactions!$G:$G, COLUMN()+5)&lt;&gt;""), "-&gt; "&amp;INDEX(Transactions!$G:$G, COLUMN()+5), "")</f>
        <v/>
      </c>
      <c r="DH2" s="33" t="str">
        <f t="array" ref="DH2">IF(AND(INDEX(Transactions!$D:$D, COLUMN()+5)="Expense", INDEX(Transactions!$G:$G, COLUMN()+5)&lt;&gt;""), "-&gt; "&amp;INDEX(Transactions!$G:$G, COLUMN()+5), "")</f>
        <v/>
      </c>
      <c r="DI2" s="33" t="str">
        <f t="array" ref="DI2">IF(AND(INDEX(Transactions!$D:$D, COLUMN()+5)="Expense", INDEX(Transactions!$G:$G, COLUMN()+5)&lt;&gt;""), "-&gt; "&amp;INDEX(Transactions!$G:$G, COLUMN()+5), "")</f>
        <v/>
      </c>
      <c r="DJ2" s="33" t="str">
        <f t="array" ref="DJ2">IF(AND(INDEX(Transactions!$D:$D, COLUMN()+5)="Expense", INDEX(Transactions!$G:$G, COLUMN()+5)&lt;&gt;""), "-&gt; "&amp;INDEX(Transactions!$G:$G, COLUMN()+5), "")</f>
        <v/>
      </c>
      <c r="DK2" s="33" t="str">
        <f t="array" ref="DK2">IF(AND(INDEX(Transactions!$D:$D, COLUMN()+5)="Expense", INDEX(Transactions!$G:$G, COLUMN()+5)&lt;&gt;""), "-&gt; "&amp;INDEX(Transactions!$G:$G, COLUMN()+5), "")</f>
        <v/>
      </c>
      <c r="DL2" s="33" t="str">
        <f t="array" ref="DL2">IF(AND(INDEX(Transactions!$D:$D, COLUMN()+5)="Expense", INDEX(Transactions!$G:$G, COLUMN()+5)&lt;&gt;""), "-&gt; "&amp;INDEX(Transactions!$G:$G, COLUMN()+5), "")</f>
        <v/>
      </c>
      <c r="DM2" s="33" t="str">
        <f t="array" ref="DM2">IF(AND(INDEX(Transactions!$D:$D, COLUMN()+5)="Expense", INDEX(Transactions!$G:$G, COLUMN()+5)&lt;&gt;""), "-&gt; "&amp;INDEX(Transactions!$G:$G, COLUMN()+5), "")</f>
        <v/>
      </c>
      <c r="DN2" s="33" t="str">
        <f t="array" ref="DN2">IF(AND(INDEX(Transactions!$D:$D, COLUMN()+5)="Expense", INDEX(Transactions!$G:$G, COLUMN()+5)&lt;&gt;""), "-&gt; "&amp;INDEX(Transactions!$G:$G, COLUMN()+5), "")</f>
        <v/>
      </c>
      <c r="DO2" s="33" t="str">
        <f t="array" ref="DO2">IF(AND(INDEX(Transactions!$D:$D, COLUMN()+5)="Expense", INDEX(Transactions!$G:$G, COLUMN()+5)&lt;&gt;""), "-&gt; "&amp;INDEX(Transactions!$G:$G, COLUMN()+5), "")</f>
        <v/>
      </c>
      <c r="DP2" s="33" t="str">
        <f t="array" ref="DP2">IF(AND(INDEX(Transactions!$D:$D, COLUMN()+5)="Expense", INDEX(Transactions!$G:$G, COLUMN()+5)&lt;&gt;""), "-&gt; "&amp;INDEX(Transactions!$G:$G, COLUMN()+5), "")</f>
        <v/>
      </c>
      <c r="DQ2" s="33" t="str">
        <f t="array" ref="DQ2">IF(AND(INDEX(Transactions!$D:$D, COLUMN()+5)="Expense", INDEX(Transactions!$G:$G, COLUMN()+5)&lt;&gt;""), "-&gt; "&amp;INDEX(Transactions!$G:$G, COLUMN()+5), "")</f>
        <v/>
      </c>
      <c r="DR2" s="33" t="str">
        <f t="array" ref="DR2">IF(AND(INDEX(Transactions!$D:$D, COLUMN()+5)="Expense", INDEX(Transactions!$G:$G, COLUMN()+5)&lt;&gt;""), "-&gt; "&amp;INDEX(Transactions!$G:$G, COLUMN()+5), "")</f>
        <v/>
      </c>
      <c r="DS2" s="33" t="str">
        <f t="array" ref="DS2">IF(AND(INDEX(Transactions!$D:$D, COLUMN()+5)="Expense", INDEX(Transactions!$G:$G, COLUMN()+5)&lt;&gt;""), "-&gt; "&amp;INDEX(Transactions!$G:$G, COLUMN()+5), "")</f>
        <v/>
      </c>
      <c r="DT2" s="33" t="str">
        <f t="array" ref="DT2">IF(AND(INDEX(Transactions!$D:$D, COLUMN()+5)="Expense", INDEX(Transactions!$G:$G, COLUMN()+5)&lt;&gt;""), "-&gt; "&amp;INDEX(Transactions!$G:$G, COLUMN()+5), "")</f>
        <v/>
      </c>
      <c r="DU2" s="33" t="str">
        <f t="array" ref="DU2">IF(AND(INDEX(Transactions!$D:$D, COLUMN()+5)="Expense", INDEX(Transactions!$G:$G, COLUMN()+5)&lt;&gt;""), "-&gt; "&amp;INDEX(Transactions!$G:$G, COLUMN()+5), "")</f>
        <v/>
      </c>
      <c r="DV2" s="33" t="str">
        <f t="array" ref="DV2">IF(AND(INDEX(Transactions!$D:$D, COLUMN()+5)="Expense", INDEX(Transactions!$G:$G, COLUMN()+5)&lt;&gt;""), "-&gt; "&amp;INDEX(Transactions!$G:$G, COLUMN()+5), "")</f>
        <v/>
      </c>
      <c r="DW2" s="33" t="str">
        <f t="array" ref="DW2">IF(AND(INDEX(Transactions!$D:$D, COLUMN()+5)="Expense", INDEX(Transactions!$G:$G, COLUMN()+5)&lt;&gt;""), "-&gt; "&amp;INDEX(Transactions!$G:$G, COLUMN()+5), "")</f>
        <v/>
      </c>
      <c r="DX2" s="33" t="str">
        <f t="array" ref="DX2">IF(AND(INDEX(Transactions!$D:$D, COLUMN()+5)="Expense", INDEX(Transactions!$G:$G, COLUMN()+5)&lt;&gt;""), "-&gt; "&amp;INDEX(Transactions!$G:$G, COLUMN()+5), "")</f>
        <v/>
      </c>
      <c r="DY2" s="33" t="str">
        <f t="array" ref="DY2">IF(AND(INDEX(Transactions!$D:$D, COLUMN()+5)="Expense", INDEX(Transactions!$G:$G, COLUMN()+5)&lt;&gt;""), "-&gt; "&amp;INDEX(Transactions!$G:$G, COLUMN()+5), "")</f>
        <v/>
      </c>
      <c r="DZ2" s="33" t="str">
        <f t="array" ref="DZ2">IF(AND(INDEX(Transactions!$D:$D, COLUMN()+5)="Expense", INDEX(Transactions!$G:$G, COLUMN()+5)&lt;&gt;""), "-&gt; "&amp;INDEX(Transactions!$G:$G, COLUMN()+5), "")</f>
        <v/>
      </c>
      <c r="EA2" s="33" t="str">
        <f t="array" ref="EA2">IF(AND(INDEX(Transactions!$D:$D, COLUMN()+5)="Expense", INDEX(Transactions!$G:$G, COLUMN()+5)&lt;&gt;""), "-&gt; "&amp;INDEX(Transactions!$G:$G, COLUMN()+5), "")</f>
        <v/>
      </c>
      <c r="EB2" s="33" t="str">
        <f t="array" ref="EB2">IF(AND(INDEX(Transactions!$D:$D, COLUMN()+5)="Expense", INDEX(Transactions!$G:$G, COLUMN()+5)&lt;&gt;""), "-&gt; "&amp;INDEX(Transactions!$G:$G, COLUMN()+5), "")</f>
        <v/>
      </c>
      <c r="EC2" s="33" t="str">
        <f t="array" ref="EC2">IF(AND(INDEX(Transactions!$D:$D, COLUMN()+5)="Expense", INDEX(Transactions!$G:$G, COLUMN()+5)&lt;&gt;""), "-&gt; "&amp;INDEX(Transactions!$G:$G, COLUMN()+5), "")</f>
        <v/>
      </c>
      <c r="ED2" s="33" t="str">
        <f t="array" ref="ED2">IF(AND(INDEX(Transactions!$D:$D, COLUMN()+5)="Expense", INDEX(Transactions!$G:$G, COLUMN()+5)&lt;&gt;""), "-&gt; "&amp;INDEX(Transactions!$G:$G, COLUMN()+5), "")</f>
        <v/>
      </c>
      <c r="EE2" s="33" t="str">
        <f t="array" ref="EE2">IF(AND(INDEX(Transactions!$D:$D, COLUMN()+5)="Expense", INDEX(Transactions!$G:$G, COLUMN()+5)&lt;&gt;""), "-&gt; "&amp;INDEX(Transactions!$G:$G, COLUMN()+5), "")</f>
        <v/>
      </c>
    </row>
    <row r="3" ht="39.75" customHeight="1">
      <c r="A3" s="8" t="s">
        <v>95</v>
      </c>
      <c r="B3" s="66" t="str">
        <f>IF(AND(Transactions!$D7="Expense",Transactions!$G7&lt;&gt;""),Transactions!$B7,"")</f>
        <v>PEC Bid Fee</v>
      </c>
      <c r="C3" s="66" t="str">
        <f>IF(AND(Transactions!$D8="Expense",Transactions!$G8&lt;&gt;""),Transactions!$B8,"")</f>
        <v>SFI Bid Fee</v>
      </c>
      <c r="D3" s="66" t="str">
        <f>IF(AND(Transactions!$D9="Expense",Transactions!$G9&lt;&gt;""),Transactions!$B9,"")</f>
        <v/>
      </c>
      <c r="E3" s="66" t="str">
        <f>IF(AND(Transactions!$D10="Expense",Transactions!$G10&lt;&gt;""),Transactions!$B10,"")</f>
        <v/>
      </c>
      <c r="F3" s="66" t="str">
        <f>IF(AND(Transactions!$D11="Expense",Transactions!$G11&lt;&gt;""),Transactions!$B11,"")</f>
        <v/>
      </c>
      <c r="G3" s="66" t="str">
        <f>IF(AND(Transactions!$D12="Expense",Transactions!$G12&lt;&gt;""),Transactions!$B12,"")</f>
        <v>Wednesday Tryout Field</v>
      </c>
      <c r="H3" s="66" t="str">
        <f>IF(AND(Transactions!$D13="Expense",Transactions!$G13&lt;&gt;""),Transactions!$B13,"")</f>
        <v>tshirts and spray paint</v>
      </c>
      <c r="I3" s="66" t="str">
        <f>IF(AND(Transactions!$D14="Expense",Transactions!$G14&lt;&gt;""),Transactions!$B14,"")</f>
        <v>gso airport minivan</v>
      </c>
      <c r="J3" s="66" t="str">
        <f>IF(AND(Transactions!$D15="Expense",Transactions!$G15&lt;&gt;""),Transactions!$B15,"")</f>
        <v/>
      </c>
      <c r="K3" s="66" t="str">
        <f>IF(AND(Transactions!$D16="Expense",Transactions!$G16&lt;&gt;""),Transactions!$B16,"")</f>
        <v/>
      </c>
      <c r="L3" s="66" t="str">
        <f>IF(AND(Transactions!$D17="Expense",Transactions!$G17&lt;&gt;""),Transactions!$B17,"")</f>
        <v>pec megavan</v>
      </c>
      <c r="M3" s="66" t="str">
        <f>IF(AND(Transactions!$D18="Expense",Transactions!$G18&lt;&gt;""),Transactions!$B18,"")</f>
        <v>PEC Hotel</v>
      </c>
      <c r="N3" s="66" t="str">
        <f>IF(AND(Transactions!$D19="Expense",Transactions!$G19&lt;&gt;""),Transactions!$B19,"")</f>
        <v/>
      </c>
      <c r="O3" s="66" t="str">
        <f>IF(AND(Transactions!$D20="Expense",Transactions!$G20&lt;&gt;""),Transactions!$B20,"")</f>
        <v>gso minivan gas</v>
      </c>
      <c r="P3" s="66" t="str">
        <f>IF(AND(Transactions!$D21="Expense",Transactions!$G21&lt;&gt;""),Transactions!$B21,"")</f>
        <v>Jake's Car Airport Parking</v>
      </c>
      <c r="Q3" s="66" t="str">
        <f>IF(AND(Transactions!$D22="Expense",Transactions!$G22&lt;&gt;""),Transactions!$B22,"")</f>
        <v/>
      </c>
      <c r="R3" s="66" t="str">
        <f>IF(AND(Transactions!$D23="Expense",Transactions!$G23&lt;&gt;""),Transactions!$B23,"")</f>
        <v/>
      </c>
      <c r="S3" s="66" t="str">
        <f>IF(AND(Transactions!$D24="Expense",Transactions!$G24&lt;&gt;""),Transactions!$B24,"")</f>
        <v/>
      </c>
      <c r="T3" s="66" t="str">
        <f>IF(AND(Transactions!$D25="Expense",Transactions!$G25&lt;&gt;""),Transactions!$B25,"")</f>
        <v/>
      </c>
      <c r="U3" s="66" t="str">
        <f>IF(AND(Transactions!$D26="Expense",Transactions!$G26&lt;&gt;""),Transactions!$B26,"")</f>
        <v/>
      </c>
      <c r="V3" s="66" t="str">
        <f>IF(AND(Transactions!$D27="Expense",Transactions!$G27&lt;&gt;""),Transactions!$B27,"")</f>
        <v/>
      </c>
      <c r="W3" s="66" t="str">
        <f>IF(AND(Transactions!$D28="Expense",Transactions!$G28&lt;&gt;""),Transactions!$B28,"")</f>
        <v/>
      </c>
      <c r="X3" s="66" t="str">
        <f>IF(AND(Transactions!$D29="Expense",Transactions!$G29&lt;&gt;""),Transactions!$B29,"")</f>
        <v/>
      </c>
      <c r="Y3" s="66" t="str">
        <f>IF(AND(Transactions!$D30="Expense",Transactions!$G30&lt;&gt;""),Transactions!$B30,"")</f>
        <v/>
      </c>
      <c r="Z3" s="66" t="str">
        <f>IF(AND(Transactions!$D31="Expense",Transactions!$G31&lt;&gt;""),Transactions!$B31,"")</f>
        <v/>
      </c>
      <c r="AA3" s="66" t="str">
        <f>IF(AND(Transactions!$D32="Expense",Transactions!$G32&lt;&gt;""),Transactions!$B32,"")</f>
        <v/>
      </c>
      <c r="AB3" s="66" t="str">
        <f>IF(AND(Transactions!$D33="Expense",Transactions!$G33&lt;&gt;""),Transactions!$B33,"")</f>
        <v>PEC Team Snacks</v>
      </c>
      <c r="AC3" s="66" t="str">
        <f>IF(AND(Transactions!$D34="Expense",Transactions!$G34&lt;&gt;""),Transactions!$B34,"")</f>
        <v/>
      </c>
      <c r="AD3" s="66" t="str">
        <f>IF(AND(Transactions!$D35="Expense",Transactions!$G35&lt;&gt;""),Transactions!$B35,"")</f>
        <v>ESC Bid Fee</v>
      </c>
      <c r="AE3" s="66" t="str">
        <f>IF(AND(Transactions!$D36="Expense",Transactions!$G36&lt;&gt;""),Transactions!$B36,"")</f>
        <v/>
      </c>
      <c r="AF3" s="66" t="str">
        <f>IF(AND(Transactions!$D37="Expense",Transactions!$G37&lt;&gt;""),Transactions!$B37,"")</f>
        <v/>
      </c>
      <c r="AG3" s="66" t="str">
        <f>IF(AND(Transactions!$D38="Expense",Transactions!$G38&lt;&gt;""),Transactions!$B38,"")</f>
        <v/>
      </c>
      <c r="AH3" s="66" t="str">
        <f>IF(AND(Transactions!$D39="Expense",Transactions!$G39&lt;&gt;""),Transactions!$B39,"")</f>
        <v/>
      </c>
      <c r="AI3" s="66" t="str">
        <f>IF(AND(Transactions!$D40="Expense",Transactions!$G40&lt;&gt;""),Transactions!$B40,"")</f>
        <v>SFI Team snacks</v>
      </c>
      <c r="AJ3" s="66" t="str">
        <f>IF(AND(Transactions!$D41="Expense",Transactions!$G41&lt;&gt;""),Transactions!$B41,"")</f>
        <v>SFI Hotels</v>
      </c>
      <c r="AK3" s="66" t="str">
        <f>IF(AND(Transactions!$D42="Expense",Transactions!$G42&lt;&gt;""),Transactions!$B42,"")</f>
        <v>Mega Van Tolls</v>
      </c>
      <c r="AL3" s="66" t="str">
        <f>IF(AND(Transactions!$D43="Expense",Transactions!$G43&lt;&gt;""),Transactions!$B43,"")</f>
        <v>Practice Fields thru July</v>
      </c>
      <c r="AM3" s="66" t="str">
        <f>IF(AND(Transactions!$D44="Expense",Transactions!$G44&lt;&gt;""),Transactions!$B44,"")</f>
        <v/>
      </c>
      <c r="AN3" s="66" t="str">
        <f>IF(AND(Transactions!$D45="Expense",Transactions!$G45&lt;&gt;""),Transactions!$B45,"")</f>
        <v/>
      </c>
      <c r="AO3" s="66" t="str">
        <f>IF(AND(Transactions!$D46="Expense",Transactions!$G46&lt;&gt;""),Transactions!$B46,"")</f>
        <v/>
      </c>
      <c r="AP3" s="66" t="str">
        <f>IF(AND(Transactions!$D47="Expense",Transactions!$G47&lt;&gt;""),Transactions!$B47,"")</f>
        <v/>
      </c>
      <c r="AQ3" s="66" t="str">
        <f>IF(AND(Transactions!$D48="Expense",Transactions!$G48&lt;&gt;""),Transactions!$B48,"")</f>
        <v/>
      </c>
      <c r="AR3" s="66" t="str">
        <f>IF(AND(Transactions!$D49="Expense",Transactions!$G49&lt;&gt;""),Transactions!$B49,"")</f>
        <v>Sectionals Bid Fee</v>
      </c>
      <c r="AS3" s="66" t="str">
        <f>IF(AND(Transactions!$D50="Expense",Transactions!$G50&lt;&gt;""),Transactions!$B50,"")</f>
        <v>ESC Hotel</v>
      </c>
      <c r="AT3" s="66" t="str">
        <f>IF(AND(#REF!="Expense",#REF!&lt;&gt;""),#REF!,"")</f>
        <v>#REF!</v>
      </c>
      <c r="AU3" s="66" t="str">
        <f>IF(AND(Transactions!$D51="Expense",Transactions!$G51&lt;&gt;""),Transactions!$B51,"")</f>
        <v/>
      </c>
      <c r="AV3" s="66" t="str">
        <f>IF(AND(Transactions!$D53="Expense",Transactions!$G53&lt;&gt;""),Transactions!$B53,"")</f>
        <v>ESC Team Snacks</v>
      </c>
      <c r="AW3" s="66" t="str">
        <f t="array" ref="AW3">IF(AND(INDEX(Transactions!$D:$D, 5 + COLUMN())="Expense", INDEX(Transactions!$G:$G, 5 + COLUMN())&lt;&gt;""), INDEX(Transactions!$B:$B, 5 + COLUMN()), "")</f>
        <v/>
      </c>
      <c r="AX3" s="66" t="str">
        <f t="array" ref="AX3">IF(AND(INDEX(Transactions!$D:$D, 5 + COLUMN())="Expense", INDEX(Transactions!$G:$G, 5 + COLUMN())&lt;&gt;""), INDEX(Transactions!$B:$B, 5 + COLUMN()), "")</f>
        <v/>
      </c>
      <c r="AY3" s="66" t="str">
        <f t="array" ref="AY3">IF(AND(INDEX(Transactions!$D:$D, 5 + COLUMN())="Expense", INDEX(Transactions!$G:$G, 5 + COLUMN())&lt;&gt;""), INDEX(Transactions!$B:$B, 5 + COLUMN()), "")</f>
        <v>Sarah KH Car Credit</v>
      </c>
      <c r="AZ3" s="66" t="str">
        <f t="array" ref="AZ3">IF(AND(INDEX(Transactions!$D:$D, 5 + COLUMN())="Expense", INDEX(Transactions!$G:$G, 5 + COLUMN())&lt;&gt;""), INDEX(Transactions!$B:$B, 5 + COLUMN()), "")</f>
        <v>Sarah KH Car Credit</v>
      </c>
      <c r="BA3" s="66" t="str">
        <f t="array" ref="BA3">IF(AND(INDEX(Transactions!$D:$D, 5 + COLUMN())="Expense", INDEX(Transactions!$G:$G, 5 + COLUMN())&lt;&gt;""), INDEX(Transactions!$B:$B, 5 + COLUMN()), "")</f>
        <v>Sarah KH Car Credit</v>
      </c>
      <c r="BB3" s="66" t="str">
        <f t="array" ref="BB3">IF(AND(INDEX(Transactions!$D:$D, 5 + COLUMN())="Expense", INDEX(Transactions!$G:$G, 5 + COLUMN())&lt;&gt;""), INDEX(Transactions!$B:$B, 5 + COLUMN()), "")</f>
        <v>Sarah KH Car Credit</v>
      </c>
      <c r="BC3" s="66" t="str">
        <f t="array" ref="BC3">IF(AND(INDEX(Transactions!$D:$D, 5 + COLUMN())="Expense", INDEX(Transactions!$G:$G, 5 + COLUMN())&lt;&gt;""), INDEX(Transactions!$B:$B, 5 + COLUMN()), "")</f>
        <v>PEC Pooled Car Fees</v>
      </c>
      <c r="BD3" s="66" t="str">
        <f t="array" ref="BD3">IF(AND(INDEX(Transactions!$D:$D, 5 + COLUMN())="Expense", INDEX(Transactions!$G:$G, 5 + COLUMN())&lt;&gt;""), INDEX(Transactions!$B:$B, 5 + COLUMN()), "")</f>
        <v>SFI Pooled Car Fees</v>
      </c>
      <c r="BE3" s="66" t="str">
        <f t="array" ref="BE3">IF(AND(INDEX(Transactions!$D:$D, 5 + COLUMN())="Expense", INDEX(Transactions!$G:$G, 5 + COLUMN())&lt;&gt;""), INDEX(Transactions!$B:$B, 5 + COLUMN()), "")</f>
        <v>ESC Pooled Car Fees</v>
      </c>
      <c r="BF3" s="66" t="str">
        <f t="array" ref="BF3">IF(AND(INDEX(Transactions!$D:$D, 5 + COLUMN())="Expense", INDEX(Transactions!$G:$G, 5 + COLUMN())&lt;&gt;""), INDEX(Transactions!$B:$B, 5 + COLUMN()), "")</f>
        <v>Kindell gas + tolls</v>
      </c>
      <c r="BG3" s="66" t="str">
        <f t="array" ref="BG3">IF(AND(INDEX(Transactions!$D:$D, 5 + COLUMN())="Expense", INDEX(Transactions!$G:$G, 5 + COLUMN())&lt;&gt;""), INDEX(Transactions!$B:$B, 5 + COLUMN()), "")</f>
        <v>Jake's Car Gas &amp; Tolls</v>
      </c>
      <c r="BH3" s="66" t="str">
        <f t="array" ref="BH3">IF(AND(INDEX(Transactions!$D:$D, 5 + COLUMN())="Expense", INDEX(Transactions!$G:$G, 5 + COLUMN())&lt;&gt;""), INDEX(Transactions!$B:$B, 5 + COLUMN()), "")</f>
        <v>Haley Car Gas &amp; tolls</v>
      </c>
      <c r="BI3" s="66" t="str">
        <f t="array" ref="BI3">IF(AND(INDEX(Transactions!$D:$D, 5 + COLUMN())="Expense", INDEX(Transactions!$G:$G, 5 + COLUMN())&lt;&gt;""), INDEX(Transactions!$B:$B, 5 + COLUMN()), "")</f>
        <v>Kasey's car fri only gas &amp; tolls</v>
      </c>
      <c r="BJ3" s="66" t="str">
        <f t="array" ref="BJ3">IF(AND(INDEX(Transactions!$D:$D, 5 + COLUMN())="Expense", INDEX(Transactions!$G:$G, 5 + COLUMN())&lt;&gt;""), INDEX(Transactions!$B:$B, 5 + COLUMN()), "")</f>
        <v>Griffin Car SFI Gas</v>
      </c>
      <c r="BK3" s="66" t="str">
        <f t="array" ref="BK3">IF(AND(INDEX(Transactions!$D:$D, 5 + COLUMN())="Expense", INDEX(Transactions!$G:$G, 5 + COLUMN())&lt;&gt;""), INDEX(Transactions!$B:$B, 5 + COLUMN()), "")</f>
        <v>DB Car ESC Gas</v>
      </c>
      <c r="BL3" s="66" t="str">
        <f t="array" ref="BL3">IF(AND(INDEX(Transactions!$D:$D, 5 + COLUMN())="Expense", INDEX(Transactions!$G:$G, 5 + COLUMN())&lt;&gt;""), INDEX(Transactions!$B:$B, 5 + COLUMN()), "")</f>
        <v>Dick car ESC gas</v>
      </c>
      <c r="BM3" s="66" t="str">
        <f t="array" ref="BM3">IF(AND(INDEX(Transactions!$D:$D, 5 + COLUMN())="Expense", INDEX(Transactions!$G:$G, 5 + COLUMN())&lt;&gt;""), INDEX(Transactions!$B:$B, 5 + COLUMN()), "")</f>
        <v>Harry Gas</v>
      </c>
      <c r="BN3" s="66" t="str">
        <f t="array" ref="BN3">IF(AND(INDEX(Transactions!$D:$D, 5 + COLUMN())="Expense", INDEX(Transactions!$G:$G, 5 + COLUMN())&lt;&gt;""), INDEX(Transactions!$B:$B, 5 + COLUMN()), "")</f>
        <v>Annette car gas ESC</v>
      </c>
      <c r="BO3" s="66" t="str">
        <f t="array" ref="BO3">IF(AND(INDEX(Transactions!$D:$D, 5 + COLUMN())="Expense", INDEX(Transactions!$G:$G, 5 + COLUMN())&lt;&gt;""), INDEX(Transactions!$B:$B, 5 + COLUMN()), "")</f>
        <v>Retreat - AirBNB</v>
      </c>
      <c r="BP3" s="66" t="str">
        <f t="array" ref="BP3">IF(AND(INDEX(Transactions!$D:$D, 5 + COLUMN())="Expense", INDEX(Transactions!$G:$G, 5 + COLUMN())&lt;&gt;""), INDEX(Transactions!$B:$B, 5 + COLUMN()), "")</f>
        <v>Retreat - Duffy</v>
      </c>
      <c r="BQ3" s="66" t="str">
        <f t="array" ref="BQ3">IF(AND(INDEX(Transactions!$D:$D, 5 + COLUMN())="Expense", INDEX(Transactions!$G:$G, 5 + COLUMN())&lt;&gt;""), INDEX(Transactions!$B:$B, 5 + COLUMN()), "")</f>
        <v>Retreat - Slynch</v>
      </c>
      <c r="BR3" s="66" t="str">
        <f t="array" ref="BR3">IF(AND(INDEX(Transactions!$D:$D, 5 + COLUMN())="Expense", INDEX(Transactions!$G:$G, 5 + COLUMN())&lt;&gt;""), INDEX(Transactions!$B:$B, 5 + COLUMN()), "")</f>
        <v>Retreat - Annette</v>
      </c>
      <c r="BS3" s="66" t="str">
        <f t="array" ref="BS3">IF(AND(INDEX(Transactions!$D:$D, 5 + COLUMN())="Expense", INDEX(Transactions!$G:$G, 5 + COLUMN())&lt;&gt;""), INDEX(Transactions!$B:$B, 5 + COLUMN()), "")</f>
        <v>Retreat - Dudley</v>
      </c>
      <c r="BT3" s="66" t="str">
        <f t="array" ref="BT3">IF(AND(INDEX(Transactions!$D:$D, 5 + COLUMN())="Expense", INDEX(Transactions!$G:$G, 5 + COLUMN())&lt;&gt;""), INDEX(Transactions!$B:$B, 5 + COLUMN()), "")</f>
        <v>Retreat - Ian</v>
      </c>
      <c r="BU3" s="66" t="str">
        <f t="array" ref="BU3">IF(AND(INDEX(Transactions!$D:$D, 5 + COLUMN())="Expense", INDEX(Transactions!$G:$G, 5 + COLUMN())&lt;&gt;""), INDEX(Transactions!$B:$B, 5 + COLUMN()), "")</f>
        <v>Retreat - Tofu</v>
      </c>
      <c r="BV3" s="66" t="str">
        <f t="array" ref="BV3">IF(AND(INDEX(Transactions!$D:$D, 5 + COLUMN())="Expense", INDEX(Transactions!$G:$G, 5 + COLUMN())&lt;&gt;""), INDEX(Transactions!$B:$B, 5 + COLUMN()), "")</f>
        <v>Retreat - Griff</v>
      </c>
      <c r="BW3" s="66" t="str">
        <f t="array" ref="BW3">IF(AND(INDEX(Transactions!$D:$D, 5 + COLUMN())="Expense", INDEX(Transactions!$G:$G, 5 + COLUMN())&lt;&gt;""), INDEX(Transactions!$B:$B, 5 + COLUMN()), "")</f>
        <v>Retreat - Full Cost</v>
      </c>
      <c r="BX3" s="66" t="str">
        <f t="array" ref="BX3">IF(AND(INDEX(Transactions!$D:$D, 5 + COLUMN())="Expense", INDEX(Transactions!$G:$G, 5 + COLUMN())&lt;&gt;""), INDEX(Transactions!$B:$B, 5 + COLUMN()), "")</f>
        <v>Retreat - Air Mattress</v>
      </c>
      <c r="BY3" s="66" t="str">
        <f t="array" ref="BY3">IF(AND(INDEX(Transactions!$D:$D, 5 + COLUMN())="Expense", INDEX(Transactions!$G:$G, 5 + COLUMN())&lt;&gt;""), INDEX(Transactions!$B:$B, 5 + COLUMN()), "")</f>
        <v>Retreat - One Night</v>
      </c>
      <c r="BZ3" s="66" t="str">
        <f t="array" ref="BZ3">IF(AND(INDEX(Transactions!$D:$D, 5 + COLUMN())="Expense", INDEX(Transactions!$G:$G, 5 + COLUMN())&lt;&gt;""), INDEX(Transactions!$B:$B, 5 + COLUMN()), "")</f>
        <v>Retreat - Last Minute Drop</v>
      </c>
      <c r="CA3" s="66" t="str">
        <f t="array" ref="CA3">IF(AND(INDEX(Transactions!$D:$D, 5 + COLUMN())="Expense", INDEX(Transactions!$G:$G, 5 + COLUMN())&lt;&gt;""), INDEX(Transactions!$B:$B, 5 + COLUMN()), "")</f>
        <v>Retreat - Drop</v>
      </c>
      <c r="CB3" s="66" t="str">
        <f t="array" ref="CB3">IF(AND(INDEX(Transactions!$D:$D, 5 + COLUMN())="Expense", INDEX(Transactions!$G:$G, 5 + COLUMN())&lt;&gt;""), INDEX(Transactions!$B:$B, 5 + COLUMN()), "")</f>
        <v/>
      </c>
      <c r="CC3" s="66" t="str">
        <f t="array" ref="CC3">IF(AND(INDEX(Transactions!$D:$D, 5 + COLUMN())="Expense", INDEX(Transactions!$G:$G, 5 + COLUMN())&lt;&gt;""), INDEX(Transactions!$B:$B, 5 + COLUMN()), "")</f>
        <v/>
      </c>
      <c r="CD3" s="66" t="str">
        <f t="array" ref="CD3">IF(AND(INDEX(Transactions!$D:$D, 5 + COLUMN())="Expense", INDEX(Transactions!$G:$G, 5 + COLUMN())&lt;&gt;""), INDEX(Transactions!$B:$B, 5 + COLUMN()), "")</f>
        <v>Kevin car gas</v>
      </c>
      <c r="CE3" s="66" t="str">
        <f t="array" ref="CE3">IF(AND(INDEX(Transactions!$D:$D, 5 + COLUMN())="Expense", INDEX(Transactions!$G:$G, 5 + COLUMN())&lt;&gt;""), INDEX(Transactions!$B:$B, 5 + COLUMN()), "")</f>
        <v>Kevin car gas </v>
      </c>
      <c r="CF3" s="66" t="str">
        <f t="array" ref="CF3">IF(AND(INDEX(Transactions!$D:$D, 5 + COLUMN())="Expense", INDEX(Transactions!$G:$G, 5 + COLUMN())&lt;&gt;""), INDEX(Transactions!$B:$B, 5 + COLUMN()), "")</f>
        <v>Kindell car gas + tolls</v>
      </c>
      <c r="CG3" s="66" t="str">
        <f t="array" ref="CG3">IF(AND(INDEX(Transactions!$D:$D, 5 + COLUMN())="Expense", INDEX(Transactions!$G:$G, 5 + COLUMN())&lt;&gt;""), INDEX(Transactions!$B:$B, 5 + COLUMN()), "")</f>
        <v>Kindell car gas (return trip)</v>
      </c>
      <c r="CH3" s="66" t="str">
        <f t="array" ref="CH3">IF(AND(INDEX(Transactions!$D:$D, 5 + COLUMN())="Expense", INDEX(Transactions!$G:$G, 5 + COLUMN())&lt;&gt;""), INDEX(Transactions!$B:$B, 5 + COLUMN()), "")</f>
        <v/>
      </c>
      <c r="CI3" s="66" t="str">
        <f t="array" ref="CI3">IF(AND(INDEX(Transactions!$D:$D, 5 + COLUMN())="Expense", INDEX(Transactions!$G:$G, 5 + COLUMN())&lt;&gt;""), INDEX(Transactions!$B:$B, 5 + COLUMN()), "")</f>
        <v>Sectionals team snacks</v>
      </c>
      <c r="CJ3" s="66" t="str">
        <f t="array" ref="CJ3">IF(AND(INDEX(Transactions!$D:$D, 5 + COLUMN())="Expense", INDEX(Transactions!$G:$G, 5 + COLUMN())&lt;&gt;""), INDEX(Transactions!$B:$B, 5 + COLUMN()), "")</f>
        <v>Regionals team snacks</v>
      </c>
      <c r="CK3" s="66" t="str">
        <f t="array" ref="CK3">IF(AND(INDEX(Transactions!$D:$D, 5 + COLUMN())="Expense", INDEX(Transactions!$G:$G, 5 + COLUMN())&lt;&gt;""), INDEX(Transactions!$B:$B, 5 + COLUMN()), "")</f>
        <v>Regionals Hotels</v>
      </c>
      <c r="CL3" s="66" t="str">
        <f t="array" ref="CL3">IF(AND(INDEX(Transactions!$D:$D, 5 + COLUMN())="Expense", INDEX(Transactions!$G:$G, 5 + COLUMN())&lt;&gt;""), INDEX(Transactions!$B:$B, 5 + COLUMN()), "")</f>
        <v>Regionals laundry</v>
      </c>
      <c r="CM3" s="66" t="str">
        <f t="array" ref="CM3">IF(AND(INDEX(Transactions!$D:$D, 5 + COLUMN())="Expense", INDEX(Transactions!$G:$G, 5 + COLUMN())&lt;&gt;""), INDEX(Transactions!$B:$B, 5 + COLUMN()), "")</f>
        <v>Shani Car Gas</v>
      </c>
      <c r="CN3" s="66" t="str">
        <f t="array" ref="CN3">IF(AND(INDEX(Transactions!$D:$D, 5 + COLUMN())="Expense", INDEX(Transactions!$G:$G, 5 + COLUMN())&lt;&gt;""), INDEX(Transactions!$B:$B, 5 + COLUMN()), "")</f>
        <v>Shani Car Tolls</v>
      </c>
      <c r="CO3" s="66" t="str">
        <f t="array" ref="CO3">IF(AND(INDEX(Transactions!$D:$D, 5 + COLUMN())="Expense", INDEX(Transactions!$G:$G, 5 + COLUMN())&lt;&gt;""), INDEX(Transactions!$B:$B, 5 + COLUMN()), "")</f>
        <v>Shani Car Parking</v>
      </c>
      <c r="CP3" s="66" t="str">
        <f t="array" ref="CP3">IF(AND(INDEX(Transactions!$D:$D, 5 + COLUMN())="Expense", INDEX(Transactions!$G:$G, 5 + COLUMN())&lt;&gt;""), INDEX(Transactions!$B:$B, 5 + COLUMN()), "")</f>
        <v/>
      </c>
      <c r="CQ3" s="66" t="str">
        <f t="array" ref="CQ3">IF(AND(INDEX(Transactions!$D:$D, 5 + COLUMN())="Expense", INDEX(Transactions!$G:$G, 5 + COLUMN())&lt;&gt;""), INDEX(Transactions!$B:$B, 5 + COLUMN()), "")</f>
        <v>Nationals Bid Fee</v>
      </c>
      <c r="CR3" s="66" t="str">
        <f t="array" ref="CR3">IF(AND(INDEX(Transactions!$D:$D, 5 + COLUMN())="Expense", INDEX(Transactions!$G:$G, 5 + COLUMN())&lt;&gt;""), INDEX(Transactions!$B:$B, 5 + COLUMN()), "")</f>
        <v/>
      </c>
      <c r="CS3" s="66" t="str">
        <f t="array" ref="CS3">IF(AND(INDEX(Transactions!$D:$D, 5 + COLUMN())="Expense", INDEX(Transactions!$G:$G, 5 + COLUMN())&lt;&gt;""), INDEX(Transactions!$B:$B, 5 + COLUMN()), "")</f>
        <v/>
      </c>
      <c r="CT3" s="66" t="str">
        <f t="array" ref="CT3">IF(AND(INDEX(Transactions!$D:$D, 5 + COLUMN())="Expense", INDEX(Transactions!$G:$G, 5 + COLUMN())&lt;&gt;""), INDEX(Transactions!$B:$B, 5 + COLUMN()), "")</f>
        <v/>
      </c>
      <c r="CU3" s="66" t="str">
        <f t="array" ref="CU3">IF(AND(INDEX(Transactions!$D:$D, 5 + COLUMN())="Expense", INDEX(Transactions!$G:$G, 5 + COLUMN())&lt;&gt;""), INDEX(Transactions!$B:$B, 5 + COLUMN()), "")</f>
        <v/>
      </c>
      <c r="CV3" s="66" t="str">
        <f t="array" ref="CV3">IF(AND(INDEX(Transactions!$D:$D, 5 + COLUMN())="Expense", INDEX(Transactions!$G:$G, 5 + COLUMN())&lt;&gt;""), INDEX(Transactions!$B:$B, 5 + COLUMN()), "")</f>
        <v/>
      </c>
      <c r="CW3" s="66" t="str">
        <f t="array" ref="CW3">IF(AND(INDEX(Transactions!$D:$D, 5 + COLUMN())="Expense", INDEX(Transactions!$G:$G, 5 + COLUMN())&lt;&gt;""), INDEX(Transactions!$B:$B, 5 + COLUMN()), "")</f>
        <v>Slynch Car Gas</v>
      </c>
      <c r="CX3" s="66" t="str">
        <f t="array" ref="CX3">IF(AND(INDEX(Transactions!$D:$D, 5 + COLUMN())="Expense", INDEX(Transactions!$G:$G, 5 + COLUMN())&lt;&gt;""), INDEX(Transactions!$B:$B, 5 + COLUMN()), "")</f>
        <v/>
      </c>
      <c r="CY3" s="66" t="str">
        <f t="array" ref="CY3">IF(AND(INDEX(Transactions!$D:$D, 5 + COLUMN())="Expense", INDEX(Transactions!$G:$G, 5 + COLUMN())&lt;&gt;""), INDEX(Transactions!$B:$B, 5 + COLUMN()), "")</f>
        <v>Regionals Bid Fee</v>
      </c>
      <c r="CZ3" s="66" t="str">
        <f t="array" ref="CZ3">IF(AND(INDEX(Transactions!$D:$D, 5 + COLUMN())="Expense", INDEX(Transactions!$G:$G, 5 + COLUMN())&lt;&gt;""), INDEX(Transactions!$B:$B, 5 + COLUMN()), "")</f>
        <v/>
      </c>
      <c r="DA3" s="66" t="str">
        <f t="array" ref="DA3">IF(AND(INDEX(Transactions!$D:$D, 5 + COLUMN())="Expense", INDEX(Transactions!$G:$G, 5 + COLUMN())&lt;&gt;""), INDEX(Transactions!$B:$B, 5 + COLUMN()), "")</f>
        <v/>
      </c>
      <c r="DB3" s="66" t="str">
        <f t="array" ref="DB3">IF(AND(INDEX(Transactions!$D:$D, 5 + COLUMN())="Expense", INDEX(Transactions!$G:$G, 5 + COLUMN())&lt;&gt;""), INDEX(Transactions!$B:$B, 5 + COLUMN()), "")</f>
        <v/>
      </c>
      <c r="DC3" s="66" t="str">
        <f t="array" ref="DC3">IF(AND(INDEX(Transactions!$D:$D, 5 + COLUMN())="Expense", INDEX(Transactions!$G:$G, 5 + COLUMN())&lt;&gt;""), INDEX(Transactions!$B:$B, 5 + COLUMN()), "")</f>
        <v/>
      </c>
      <c r="DD3" s="66" t="str">
        <f t="array" ref="DD3">IF(AND(INDEX(Transactions!$D:$D, 5 + COLUMN())="Expense", INDEX(Transactions!$G:$G, 5 + COLUMN())&lt;&gt;""), INDEX(Transactions!$B:$B, 5 + COLUMN()), "")</f>
        <v/>
      </c>
      <c r="DE3" s="66" t="str">
        <f t="array" ref="DE3">IF(AND(INDEX(Transactions!$D:$D, 5 + COLUMN())="Expense", INDEX(Transactions!$G:$G, 5 + COLUMN())&lt;&gt;""), INDEX(Transactions!$B:$B, 5 + COLUMN()), "")</f>
        <v/>
      </c>
      <c r="DF3" s="66" t="str">
        <f t="array" ref="DF3">IF(AND(INDEX(Transactions!$D:$D, 5 + COLUMN())="Expense", INDEX(Transactions!$G:$G, 5 + COLUMN())&lt;&gt;""), INDEX(Transactions!$B:$B, 5 + COLUMN()), "")</f>
        <v/>
      </c>
      <c r="DG3" s="66" t="str">
        <f t="array" ref="DG3">IF(AND(INDEX(Transactions!$D:$D, 5 + COLUMN())="Expense", INDEX(Transactions!$G:$G, 5 + COLUMN())&lt;&gt;""), INDEX(Transactions!$B:$B, 5 + COLUMN()), "")</f>
        <v/>
      </c>
      <c r="DH3" s="66" t="str">
        <f t="array" ref="DH3">IF(AND(INDEX(Transactions!$D:$D, 5 + COLUMN())="Expense", INDEX(Transactions!$G:$G, 5 + COLUMN())&lt;&gt;""), INDEX(Transactions!$B:$B, 5 + COLUMN()), "")</f>
        <v/>
      </c>
      <c r="DI3" s="66" t="str">
        <f t="array" ref="DI3">IF(AND(INDEX(Transactions!$D:$D, 5 + COLUMN())="Expense", INDEX(Transactions!$G:$G, 5 + COLUMN())&lt;&gt;""), INDEX(Transactions!$B:$B, 5 + COLUMN()), "")</f>
        <v/>
      </c>
      <c r="DJ3" s="66" t="str">
        <f t="array" ref="DJ3">IF(AND(INDEX(Transactions!$D:$D, 5 + COLUMN())="Expense", INDEX(Transactions!$G:$G, 5 + COLUMN())&lt;&gt;""), INDEX(Transactions!$B:$B, 5 + COLUMN()), "")</f>
        <v/>
      </c>
      <c r="DK3" s="66" t="str">
        <f t="array" ref="DK3">IF(AND(INDEX(Transactions!$D:$D, 5 + COLUMN())="Expense", INDEX(Transactions!$G:$G, 5 + COLUMN())&lt;&gt;""), INDEX(Transactions!$B:$B, 5 + COLUMN()), "")</f>
        <v/>
      </c>
      <c r="DL3" s="66" t="str">
        <f t="array" ref="DL3">IF(AND(INDEX(Transactions!$D:$D, 5 + COLUMN())="Expense", INDEX(Transactions!$G:$G, 5 + COLUMN())&lt;&gt;""), INDEX(Transactions!$B:$B, 5 + COLUMN()), "")</f>
        <v/>
      </c>
      <c r="DM3" s="66" t="str">
        <f t="array" ref="DM3">IF(AND(INDEX(Transactions!$D:$D, 5 + COLUMN())="Expense", INDEX(Transactions!$G:$G, 5 + COLUMN())&lt;&gt;""), INDEX(Transactions!$B:$B, 5 + COLUMN()), "")</f>
        <v/>
      </c>
      <c r="DN3" s="66" t="str">
        <f t="array" ref="DN3">IF(AND(INDEX(Transactions!$D:$D, 5 + COLUMN())="Expense", INDEX(Transactions!$G:$G, 5 + COLUMN())&lt;&gt;""), INDEX(Transactions!$B:$B, 5 + COLUMN()), "")</f>
        <v/>
      </c>
      <c r="DO3" s="66" t="str">
        <f t="array" ref="DO3">IF(AND(INDEX(Transactions!$D:$D, 5 + COLUMN())="Expense", INDEX(Transactions!$G:$G, 5 + COLUMN())&lt;&gt;""), INDEX(Transactions!$B:$B, 5 + COLUMN()), "")</f>
        <v/>
      </c>
      <c r="DP3" s="66" t="str">
        <f t="array" ref="DP3">IF(AND(INDEX(Transactions!$D:$D, 5 + COLUMN())="Expense", INDEX(Transactions!$G:$G, 5 + COLUMN())&lt;&gt;""), INDEX(Transactions!$B:$B, 5 + COLUMN()), "")</f>
        <v/>
      </c>
      <c r="DQ3" s="66" t="str">
        <f t="array" ref="DQ3">IF(AND(INDEX(Transactions!$D:$D, 5 + COLUMN())="Expense", INDEX(Transactions!$G:$G, 5 + COLUMN())&lt;&gt;""), INDEX(Transactions!$B:$B, 5 + COLUMN()), "")</f>
        <v/>
      </c>
      <c r="DR3" s="66" t="str">
        <f t="array" ref="DR3">IF(AND(INDEX(Transactions!$D:$D, 5 + COLUMN())="Expense", INDEX(Transactions!$G:$G, 5 + COLUMN())&lt;&gt;""), INDEX(Transactions!$B:$B, 5 + COLUMN()), "")</f>
        <v/>
      </c>
      <c r="DS3" s="66" t="str">
        <f t="array" ref="DS3">IF(AND(INDEX(Transactions!$D:$D, 5 + COLUMN())="Expense", INDEX(Transactions!$G:$G, 5 + COLUMN())&lt;&gt;""), INDEX(Transactions!$B:$B, 5 + COLUMN()), "")</f>
        <v/>
      </c>
      <c r="DT3" s="66" t="str">
        <f t="array" ref="DT3">IF(AND(INDEX(Transactions!$D:$D, 5 + COLUMN())="Expense", INDEX(Transactions!$G:$G, 5 + COLUMN())&lt;&gt;""), INDEX(Transactions!$B:$B, 5 + COLUMN()), "")</f>
        <v/>
      </c>
      <c r="DU3" s="66" t="str">
        <f t="array" ref="DU3">IF(AND(INDEX(Transactions!$D:$D, 5 + COLUMN())="Expense", INDEX(Transactions!$G:$G, 5 + COLUMN())&lt;&gt;""), INDEX(Transactions!$B:$B, 5 + COLUMN()), "")</f>
        <v/>
      </c>
      <c r="DV3" s="66" t="str">
        <f t="array" ref="DV3">IF(AND(INDEX(Transactions!$D:$D, 5 + COLUMN())="Expense", INDEX(Transactions!$G:$G, 5 + COLUMN())&lt;&gt;""), INDEX(Transactions!$B:$B, 5 + COLUMN()), "")</f>
        <v/>
      </c>
      <c r="DW3" s="66" t="str">
        <f t="array" ref="DW3">IF(AND(INDEX(Transactions!$D:$D, 5 + COLUMN())="Expense", INDEX(Transactions!$G:$G, 5 + COLUMN())&lt;&gt;""), INDEX(Transactions!$B:$B, 5 + COLUMN()), "")</f>
        <v/>
      </c>
      <c r="DX3" s="66" t="str">
        <f t="array" ref="DX3">IF(AND(INDEX(Transactions!$D:$D, 5 + COLUMN())="Expense", INDEX(Transactions!$G:$G, 5 + COLUMN())&lt;&gt;""), INDEX(Transactions!$B:$B, 5 + COLUMN()), "")</f>
        <v/>
      </c>
      <c r="DY3" s="66" t="str">
        <f t="array" ref="DY3">IF(AND(INDEX(Transactions!$D:$D, 5 + COLUMN())="Expense", INDEX(Transactions!$G:$G, 5 + COLUMN())&lt;&gt;""), INDEX(Transactions!$B:$B, 5 + COLUMN()), "")</f>
        <v/>
      </c>
      <c r="DZ3" s="66" t="str">
        <f t="array" ref="DZ3">IF(AND(INDEX(Transactions!$D:$D, 5 + COLUMN())="Expense", INDEX(Transactions!$G:$G, 5 + COLUMN())&lt;&gt;""), INDEX(Transactions!$B:$B, 5 + COLUMN()), "")</f>
        <v/>
      </c>
      <c r="EA3" s="66" t="str">
        <f t="array" ref="EA3">IF(AND(INDEX(Transactions!$D:$D, 5 + COLUMN())="Expense", INDEX(Transactions!$G:$G, 5 + COLUMN())&lt;&gt;""), INDEX(Transactions!$B:$B, 5 + COLUMN()), "")</f>
        <v/>
      </c>
      <c r="EB3" s="66" t="str">
        <f t="array" ref="EB3">IF(AND(INDEX(Transactions!$D:$D, 5 + COLUMN())="Expense", INDEX(Transactions!$G:$G, 5 + COLUMN())&lt;&gt;""), INDEX(Transactions!$B:$B, 5 + COLUMN()), "")</f>
        <v/>
      </c>
      <c r="EC3" s="66" t="str">
        <f t="array" ref="EC3">IF(AND(INDEX(Transactions!$D:$D, 5 + COLUMN())="Expense", INDEX(Transactions!$G:$G, 5 + COLUMN())&lt;&gt;""), INDEX(Transactions!$B:$B, 5 + COLUMN()), "")</f>
        <v/>
      </c>
      <c r="ED3" s="66" t="str">
        <f t="array" ref="ED3">IF(AND(INDEX(Transactions!$D:$D, 5 + COLUMN())="Expense", INDEX(Transactions!$G:$G, 5 + COLUMN())&lt;&gt;""), INDEX(Transactions!$B:$B, 5 + COLUMN()), "")</f>
        <v/>
      </c>
      <c r="EE3" s="66" t="str">
        <f t="array" ref="EE3">IF(AND(INDEX(Transactions!$D:$D, 5 + COLUMN())="Expense", INDEX(Transactions!$G:$G, 5 + COLUMN())&lt;&gt;""), INDEX(Transactions!$B:$B, 5 + COLUMN()), "")</f>
        <v/>
      </c>
    </row>
    <row r="4" ht="18.0" customHeight="1">
      <c r="A4" s="71" t="s">
        <v>126</v>
      </c>
      <c r="B4" s="72">
        <f t="array" ref="B4">IF(B3="","",IFERROR(IF(INDEX(Events!$I$5:$I$204,MATCH(Transactions!$G7,Events!$A$5:$A$204,0))="Equal Split",Transactions!$F7/MAX(1,COUNTIFS('Access Codes'!$C$6:$C$105,"Player",'Access Codes'!$D$6:$D$105,"Active")),IF(INDEX(Events!$I$5:$I$204,MATCH(Transactions!$G7,Events!$A$5:$A$204,0))="Attendance",Transactions!$F7/MAX(1,COUNTIF(B$7:B$206,"1")),0)),0))</f>
        <v>36.8</v>
      </c>
      <c r="C4" s="72">
        <f t="array" ref="C4">IF(C3="","",IFERROR(IF(INDEX(Events!$I$5:$I$204,MATCH(Transactions!$G8,Events!$A$5:$A$204,0))="Equal Split",Transactions!$F8/MAX(1,COUNTIFS('Access Codes'!$C$6:$C$105,"Player",'Access Codes'!$D$6:$D$105,"Active")),IF(INDEX(Events!$I$5:$I$204,MATCH(Transactions!$G8,Events!$A$5:$A$204,0))="Attendance",Transactions!$F8/MAX(1,COUNTIF(C$7:C$206,"1")),0)),0))</f>
        <v>50</v>
      </c>
      <c r="D4" s="72" t="str">
        <f t="array" ref="D4">IF(D3="","",IFERROR(IF(INDEX(Events!$I$5:$I$204,MATCH(Transactions!$G9,Events!$A$5:$A$204,0))="Equal Split",Transactions!$F9/MAX(1,COUNTIFS('Access Codes'!$C$6:$C$105,"Player",'Access Codes'!$D$6:$D$105,"Active")),IF(INDEX(Events!$I$5:$I$204,MATCH(Transactions!$G9,Events!$A$5:$A$204,0))="Attendance",Transactions!$F9/MAX(1,COUNTIF(D$7:D$206,"1")),0)),0))</f>
        <v/>
      </c>
      <c r="E4" s="72" t="str">
        <f t="array" ref="E4">IF(E3="","",IFERROR(IF(INDEX(Events!$I$5:$I$204,MATCH(Transactions!$G10,Events!$A$5:$A$204,0))="Equal Split",Transactions!$F10/MAX(1,COUNTIFS('Access Codes'!$C$6:$C$105,"Player",'Access Codes'!$D$6:$D$105,"Active")),IF(INDEX(Events!$I$5:$I$204,MATCH(Transactions!$G10,Events!$A$5:$A$204,0))="Attendance",Transactions!$F10/MAX(1,COUNTIF(E$7:E$206,"1")),0)),0))</f>
        <v/>
      </c>
      <c r="F4" s="72" t="str">
        <f t="array" ref="F4">IF(F3="","",IFERROR(IF(INDEX(Events!$I$5:$I$204,MATCH(Transactions!$G11,Events!$A$5:$A$204,0))="Equal Split",Transactions!$F11/MAX(1,COUNTIFS('Access Codes'!$C$6:$C$105,"Player",'Access Codes'!$D$6:$D$105,"Active")),IF(INDEX(Events!$I$5:$I$204,MATCH(Transactions!$G11,Events!$A$5:$A$204,0))="Attendance",Transactions!$F11/MAX(1,COUNTIF(F$7:F$206,"1")),0)),0))</f>
        <v/>
      </c>
      <c r="G4" s="72">
        <f t="array" ref="G4">IF(G3="","",IFERROR(IF(INDEX(Events!$I$5:$I$204,MATCH(Transactions!$G12,Events!$A$5:$A$204,0))="Equal Split",Transactions!$F12/MAX(1,COUNTIFS('Access Codes'!$C$6:$C$105,"Player",'Access Codes'!$D$6:$D$105,"Active")),IF(INDEX(Events!$I$5:$I$204,MATCH(Transactions!$G12,Events!$A$5:$A$204,0))="Attendance",Transactions!$F12/MAX(1,COUNTIF(G$7:G$206,"1")),0)),0))</f>
        <v>2.3</v>
      </c>
      <c r="H4" s="72">
        <f t="array" ref="H4">IF(H3="","",IFERROR(IF(INDEX(Events!$I$5:$I$204,MATCH(Transactions!$G13,Events!$A$5:$A$204,0))="Equal Split",Transactions!$F13/MAX(1,COUNTIFS('Access Codes'!$C$6:$C$105,"Player",'Access Codes'!$D$6:$D$105,"Active")),IF(INDEX(Events!$I$5:$I$204,MATCH(Transactions!$G13,Events!$A$5:$A$204,0))="Attendance",Transactions!$F13/MAX(1,COUNTIF(H$7:H$206,"1")),0)),0))</f>
        <v>7.141923077</v>
      </c>
      <c r="I4" s="72">
        <f t="array" ref="I4">IF(I3="","",IFERROR(IF(INDEX(Events!$I$5:$I$204,MATCH(Transactions!$G14,Events!$A$5:$A$204,0))="Equal Split",Transactions!$F14/MAX(1,COUNTIFS('Access Codes'!$C$6:$C$105,"Player",'Access Codes'!$D$6:$D$105,"Active")),IF(INDEX(Events!$I$5:$I$204,MATCH(Transactions!$G14,Events!$A$5:$A$204,0))="Attendance",Transactions!$F14/MAX(1,COUNTIF(I$7:I$206,"1")),0)),0))</f>
        <v>38.07333333</v>
      </c>
      <c r="J4" s="72" t="str">
        <f t="array" ref="J4">IF(J3="","",IFERROR(IF(INDEX(Events!$I$5:$I$204,MATCH(Transactions!$G15,Events!$A$5:$A$204,0))="Equal Split",Transactions!$F15/MAX(1,COUNTIFS('Access Codes'!$C$6:$C$105,"Player",'Access Codes'!$D$6:$D$105,"Active")),IF(INDEX(Events!$I$5:$I$204,MATCH(Transactions!$G15,Events!$A$5:$A$204,0))="Attendance",Transactions!$F15/MAX(1,COUNTIF(J$7:J$206,"1")),0)),0))</f>
        <v/>
      </c>
      <c r="K4" s="72" t="str">
        <f t="array" ref="K4">IF(K3="","",IFERROR(IF(INDEX(Events!$I$5:$I$204,MATCH(Transactions!$G16,Events!$A$5:$A$204,0))="Equal Split",Transactions!$F16/MAX(1,COUNTIFS('Access Codes'!$C$6:$C$105,"Player",'Access Codes'!$D$6:$D$105,"Active")),IF(INDEX(Events!$I$5:$I$204,MATCH(Transactions!$G16,Events!$A$5:$A$204,0))="Attendance",Transactions!$F16/MAX(1,COUNTIF(K$7:K$206,"1")),0)),0))</f>
        <v/>
      </c>
      <c r="L4" s="72">
        <f t="array" ref="L4">IF(L3="","",IFERROR(IF(INDEX(Events!$I$5:$I$204,MATCH(Transactions!$G17,Events!$A$5:$A$204,0))="Equal Split",Transactions!$F17/MAX(1,COUNTIFS('Access Codes'!$C$6:$C$105,"Player",'Access Codes'!$D$6:$D$105,"Active")),IF(INDEX(Events!$I$5:$I$204,MATCH(Transactions!$G17,Events!$A$5:$A$204,0))="Attendance",Transactions!$F17/MAX(1,COUNTIF(L$7:L$206,"1")),0)),0))</f>
        <v>0</v>
      </c>
      <c r="M4" s="72">
        <f t="array" ref="M4">IF(M3="","",IFERROR(IF(INDEX(Events!$I$5:$I$204,MATCH(Transactions!$G18,Events!$A$5:$A$204,0))="Equal Split",Transactions!$F18/MAX(1,COUNTIFS('Access Codes'!$C$6:$C$105,"Player",'Access Codes'!$D$6:$D$105,"Active")),IF(INDEX(Events!$I$5:$I$204,MATCH(Transactions!$G18,Events!$A$5:$A$204,0))="Attendance",Transactions!$F18/MAX(1,COUNTIF(M$7:M$206,"1")),0)),0))</f>
        <v>129.17</v>
      </c>
      <c r="N4" s="72" t="str">
        <f t="array" ref="N4">IF(N3="","",IFERROR(IF(INDEX(Events!$I$5:$I$204,MATCH(Transactions!$G19,Events!$A$5:$A$204,0))="Equal Split",Transactions!$F19/MAX(1,COUNTIFS('Access Codes'!$C$6:$C$105,"Player",'Access Codes'!$D$6:$D$105,"Active")),IF(INDEX(Events!$I$5:$I$204,MATCH(Transactions!$G19,Events!$A$5:$A$204,0))="Attendance",Transactions!$F19/MAX(1,COUNTIF(N$7:N$206,"1")),0)),0))</f>
        <v/>
      </c>
      <c r="O4" s="72">
        <f t="array" ref="O4">IF(O3="","",IFERROR(IF(INDEX(Events!$I$5:$I$204,MATCH(Transactions!$G20,Events!$A$5:$A$204,0))="Equal Split",Transactions!$F20/MAX(1,COUNTIFS('Access Codes'!$C$6:$C$105,"Player",'Access Codes'!$D$6:$D$105,"Active")),IF(INDEX(Events!$I$5:$I$204,MATCH(Transactions!$G20,Events!$A$5:$A$204,0))="Attendance",Transactions!$F20/MAX(1,COUNTIF(O$7:O$206,"1")),0)),0))</f>
        <v>2.543333333</v>
      </c>
      <c r="P4" s="72">
        <f t="array" ref="P4">IF(P3="","",IFERROR(IF(INDEX(Events!$I$5:$I$204,MATCH(Transactions!$G21,Events!$A$5:$A$204,0))="Equal Split",Transactions!$F21/MAX(1,COUNTIFS('Access Codes'!$C$6:$C$105,"Player",'Access Codes'!$D$6:$D$105,"Active")),IF(INDEX(Events!$I$5:$I$204,MATCH(Transactions!$G21,Events!$A$5:$A$204,0))="Attendance",Transactions!$F21/MAX(1,COUNTIF(P$7:P$206,"1")),0)),0))</f>
        <v>20.91</v>
      </c>
      <c r="Q4" s="72" t="str">
        <f t="array" ref="Q4">IF(Q3="","",IFERROR(IF(INDEX(Events!$I$5:$I$204,MATCH(Transactions!$G22,Events!$A$5:$A$204,0))="Equal Split",Transactions!$F22/MAX(1,COUNTIFS('Access Codes'!$C$6:$C$105,"Player",'Access Codes'!$D$6:$D$105,"Active")),IF(INDEX(Events!$I$5:$I$204,MATCH(Transactions!$G22,Events!$A$5:$A$204,0))="Attendance",Transactions!$F22/MAX(1,COUNTIF(Q$7:Q$206,"1")),0)),0))</f>
        <v/>
      </c>
      <c r="R4" s="72" t="str">
        <f t="array" ref="R4">IF(R3="","",IFERROR(IF(INDEX(Events!$I$5:$I$204,MATCH(Transactions!$G23,Events!$A$5:$A$204,0))="Equal Split",Transactions!$F23/MAX(1,COUNTIFS('Access Codes'!$C$6:$C$105,"Player",'Access Codes'!$D$6:$D$105,"Active")),IF(INDEX(Events!$I$5:$I$204,MATCH(Transactions!$G23,Events!$A$5:$A$204,0))="Attendance",Transactions!$F23/MAX(1,COUNTIF(R$7:R$206,"1")),0)),0))</f>
        <v/>
      </c>
      <c r="S4" s="72" t="str">
        <f t="array" ref="S4">IF(S3="","",IFERROR(IF(INDEX(Events!$I$5:$I$204,MATCH(Transactions!$G24,Events!$A$5:$A$204,0))="Equal Split",Transactions!$F24/MAX(1,COUNTIFS('Access Codes'!$C$6:$C$105,"Player",'Access Codes'!$D$6:$D$105,"Active")),IF(INDEX(Events!$I$5:$I$204,MATCH(Transactions!$G24,Events!$A$5:$A$204,0))="Attendance",Transactions!$F24/MAX(1,COUNTIF(S$7:S$206,"1")),0)),0))</f>
        <v/>
      </c>
      <c r="T4" s="72" t="str">
        <f t="array" ref="T4">IF(T3="","",IFERROR(IF(INDEX(Events!$I$5:$I$204,MATCH(Transactions!$G25,Events!$A$5:$A$204,0))="Equal Split",Transactions!$F25/MAX(1,COUNTIFS('Access Codes'!$C$6:$C$105,"Player",'Access Codes'!$D$6:$D$105,"Active")),IF(INDEX(Events!$I$5:$I$204,MATCH(Transactions!$G25,Events!$A$5:$A$204,0))="Attendance",Transactions!$F25/MAX(1,COUNTIF(T$7:T$206,"1")),0)),0))</f>
        <v/>
      </c>
      <c r="U4" s="72" t="str">
        <f t="array" ref="U4">IF(U3="","",IFERROR(IF(INDEX(Events!$I$5:$I$204,MATCH(Transactions!$G26,Events!$A$5:$A$204,0))="Equal Split",Transactions!$F26/MAX(1,COUNTIFS('Access Codes'!$C$6:$C$105,"Player",'Access Codes'!$D$6:$D$105,"Active")),IF(INDEX(Events!$I$5:$I$204,MATCH(Transactions!$G26,Events!$A$5:$A$204,0))="Attendance",Transactions!$F26/MAX(1,COUNTIF(U$7:U$206,"1")),0)),0))</f>
        <v/>
      </c>
      <c r="V4" s="72" t="str">
        <f t="array" ref="V4">IF(V3="","",IFERROR(IF(INDEX(Events!$I$5:$I$204,MATCH(Transactions!$G27,Events!$A$5:$A$204,0))="Equal Split",Transactions!$F27/MAX(1,COUNTIFS('Access Codes'!$C$6:$C$105,"Player",'Access Codes'!$D$6:$D$105,"Active")),IF(INDEX(Events!$I$5:$I$204,MATCH(Transactions!$G27,Events!$A$5:$A$204,0))="Attendance",Transactions!$F27/MAX(1,COUNTIF(V$7:V$206,"1")),0)),0))</f>
        <v/>
      </c>
      <c r="W4" s="72" t="str">
        <f t="array" ref="W4">IF(W3="","",IFERROR(IF(INDEX(Events!$I$5:$I$204,MATCH(Transactions!$G28,Events!$A$5:$A$204,0))="Equal Split",Transactions!$F28/MAX(1,COUNTIFS('Access Codes'!$C$6:$C$105,"Player",'Access Codes'!$D$6:$D$105,"Active")),IF(INDEX(Events!$I$5:$I$204,MATCH(Transactions!$G28,Events!$A$5:$A$204,0))="Attendance",Transactions!$F28/MAX(1,COUNTIF(W$7:W$206,"1")),0)),0))</f>
        <v/>
      </c>
      <c r="X4" s="72" t="str">
        <f t="array" ref="X4">IF(X3="","",IFERROR(IF(INDEX(Events!$I$5:$I$204,MATCH(Transactions!$G29,Events!$A$5:$A$204,0))="Equal Split",Transactions!$F29/MAX(1,COUNTIFS('Access Codes'!$C$6:$C$105,"Player",'Access Codes'!$D$6:$D$105,"Active")),IF(INDEX(Events!$I$5:$I$204,MATCH(Transactions!$G29,Events!$A$5:$A$204,0))="Attendance",Transactions!$F29/MAX(1,COUNTIF(X$7:X$206,"1")),0)),0))</f>
        <v/>
      </c>
      <c r="Y4" s="72" t="str">
        <f t="array" ref="Y4">IF(Y3="","",IFERROR(IF(INDEX(Events!$I$5:$I$204,MATCH(Transactions!$G30,Events!$A$5:$A$204,0))="Equal Split",Transactions!$F30/MAX(1,COUNTIFS('Access Codes'!$C$6:$C$105,"Player",'Access Codes'!$D$6:$D$105,"Active")),IF(INDEX(Events!$I$5:$I$204,MATCH(Transactions!$G30,Events!$A$5:$A$204,0))="Attendance",Transactions!$F30/MAX(1,COUNTIF(Y$7:Y$206,"1")),0)),0))</f>
        <v/>
      </c>
      <c r="Z4" s="72" t="str">
        <f t="array" ref="Z4">IF(Z3="","",IFERROR(IF(INDEX(Events!$I$5:$I$204,MATCH(Transactions!$G31,Events!$A$5:$A$204,0))="Equal Split",Transactions!$F31/MAX(1,COUNTIFS('Access Codes'!$C$6:$C$105,"Player",'Access Codes'!$D$6:$D$105,"Active")),IF(INDEX(Events!$I$5:$I$204,MATCH(Transactions!$G31,Events!$A$5:$A$204,0))="Attendance",Transactions!$F31/MAX(1,COUNTIF(Z$7:Z$206,"1")),0)),0))</f>
        <v/>
      </c>
      <c r="AA4" s="72" t="str">
        <f t="array" ref="AA4">IF(AA3="","",IFERROR(IF(INDEX(Events!$I$5:$I$204,MATCH(Transactions!$G32,Events!$A$5:$A$204,0))="Equal Split",Transactions!$F32/MAX(1,COUNTIFS('Access Codes'!$C$6:$C$105,"Player",'Access Codes'!$D$6:$D$105,"Active")),IF(INDEX(Events!$I$5:$I$204,MATCH(Transactions!$G32,Events!$A$5:$A$204,0))="Attendance",Transactions!$F32/MAX(1,COUNTIF(AA$7:AA$206,"1")),0)),0))</f>
        <v/>
      </c>
      <c r="AB4" s="72">
        <f t="array" ref="AB4">IF(AB3="","",IFERROR(IF(INDEX(Events!$I$5:$I$204,MATCH(Transactions!$G33,Events!$A$5:$A$204,0))="Equal Split",Transactions!$F33/MAX(1,COUNTIFS('Access Codes'!$C$6:$C$105,"Player",'Access Codes'!$D$6:$D$105,"Active")),IF(INDEX(Events!$I$5:$I$204,MATCH(Transactions!$G33,Events!$A$5:$A$204,0))="Attendance",Transactions!$F33/MAX(1,COUNTIF(AB$7:AB$206,"1")),0)),0))</f>
        <v>7.244285714</v>
      </c>
      <c r="AC4" s="72" t="str">
        <f t="array" ref="AC4">IF(AC3="","",IFERROR(IF(INDEX(Events!$I$5:$I$204,MATCH(Transactions!$G34,Events!$A$5:$A$204,0))="Equal Split",Transactions!$F34/MAX(1,COUNTIFS('Access Codes'!$C$6:$C$105,"Player",'Access Codes'!$D$6:$D$105,"Active")),IF(INDEX(Events!$I$5:$I$204,MATCH(Transactions!$G34,Events!$A$5:$A$204,0))="Attendance",Transactions!$F34/MAX(1,COUNTIF(AC$7:AC$206,"1")),0)),0))</f>
        <v/>
      </c>
      <c r="AD4" s="72">
        <f t="array" ref="AD4">IF(AD3="","",IFERROR(IF(INDEX(Events!$I$5:$I$204,MATCH(Transactions!$G35,Events!$A$5:$A$204,0))="Equal Split",Transactions!$F35/MAX(1,COUNTIFS('Access Codes'!$C$6:$C$105,"Player",'Access Codes'!$D$6:$D$105,"Active")),IF(INDEX(Events!$I$5:$I$204,MATCH(Transactions!$G35,Events!$A$5:$A$204,0))="Attendance",Transactions!$F35/MAX(1,COUNTIF(AD$7:AD$206,"1")),0)),0))</f>
        <v>41.66666667</v>
      </c>
      <c r="AE4" s="72" t="str">
        <f t="array" ref="AE4">IF(AE3="","",IFERROR(IF(INDEX(Events!$I$5:$I$204,MATCH(Transactions!$G36,Events!$A$5:$A$204,0))="Equal Split",Transactions!$F36/MAX(1,COUNTIFS('Access Codes'!$C$6:$C$105,"Player",'Access Codes'!$D$6:$D$105,"Active")),IF(INDEX(Events!$I$5:$I$204,MATCH(Transactions!$G36,Events!$A$5:$A$204,0))="Attendance",Transactions!$F36/MAX(1,COUNTIF(AE$7:AE$206,"1")),0)),0))</f>
        <v/>
      </c>
      <c r="AF4" s="72" t="str">
        <f t="array" ref="AF4">IF(AF3="","",IFERROR(IF(INDEX(Events!$I$5:$I$204,MATCH(Transactions!$G37,Events!$A$5:$A$204,0))="Equal Split",Transactions!$F37/MAX(1,COUNTIFS('Access Codes'!$C$6:$C$105,"Player",'Access Codes'!$D$6:$D$105,"Active")),IF(INDEX(Events!$I$5:$I$204,MATCH(Transactions!$G37,Events!$A$5:$A$204,0))="Attendance",Transactions!$F37/MAX(1,COUNTIF(AF$7:AF$206,"1")),0)),0))</f>
        <v/>
      </c>
      <c r="AG4" s="72" t="str">
        <f t="array" ref="AG4">IF(AG3="","",IFERROR(IF(INDEX(Events!$I$5:$I$204,MATCH(Transactions!$G38,Events!$A$5:$A$204,0))="Equal Split",Transactions!$F38/MAX(1,COUNTIFS('Access Codes'!$C$6:$C$105,"Player",'Access Codes'!$D$6:$D$105,"Active")),IF(INDEX(Events!$I$5:$I$204,MATCH(Transactions!$G38,Events!$A$5:$A$204,0))="Attendance",Transactions!$F38/MAX(1,COUNTIF(AG$7:AG$206,"1")),0)),0))</f>
        <v/>
      </c>
      <c r="AH4" s="72" t="str">
        <f t="array" ref="AH4">IF(AH3="","",IFERROR(IF(INDEX(Events!$I$5:$I$204,MATCH(Transactions!$G39,Events!$A$5:$A$204,0))="Equal Split",Transactions!$F39/MAX(1,COUNTIFS('Access Codes'!$C$6:$C$105,"Player",'Access Codes'!$D$6:$D$105,"Active")),IF(INDEX(Events!$I$5:$I$204,MATCH(Transactions!$G39,Events!$A$5:$A$204,0))="Attendance",Transactions!$F39/MAX(1,COUNTIF(AH$7:AH$206,"1")),0)),0))</f>
        <v/>
      </c>
      <c r="AI4" s="72">
        <f t="array" ref="AI4">IF(AI3="","",IFERROR(IF(INDEX(Events!$I$5:$I$204,MATCH(Transactions!$G40,Events!$A$5:$A$204,0))="Equal Split",Transactions!$F40/MAX(1,COUNTIFS('Access Codes'!$C$6:$C$105,"Player",'Access Codes'!$D$6:$D$105,"Active")),IF(INDEX(Events!$I$5:$I$204,MATCH(Transactions!$G40,Events!$A$5:$A$204,0))="Attendance",Transactions!$F40/MAX(1,COUNTIF(AI$7:AI$206,"1")),0)),0))</f>
        <v>12.64125</v>
      </c>
      <c r="AJ4" s="72">
        <f t="array" ref="AJ4">IF(AJ3="","",IFERROR(IF(INDEX(Events!$I$5:$I$204,MATCH(Transactions!$G41,Events!$A$5:$A$204,0))="Equal Split",Transactions!$F41/MAX(1,COUNTIFS('Access Codes'!$C$6:$C$105,"Player",'Access Codes'!$D$6:$D$105,"Active")),IF(INDEX(Events!$I$5:$I$204,MATCH(Transactions!$G41,Events!$A$5:$A$204,0))="Attendance",Transactions!$F41/MAX(1,COUNTIF(AJ$7:AJ$206,"1")),0)),0))</f>
        <v>99.55</v>
      </c>
      <c r="AK4" s="72">
        <f t="array" ref="AK4">IF(AK3="","",IFERROR(IF(INDEX(Events!$I$5:$I$204,MATCH(Transactions!$G42,Events!$A$5:$A$204,0))="Equal Split",Transactions!$F42/MAX(1,COUNTIFS('Access Codes'!$C$6:$C$105,"Player",'Access Codes'!$D$6:$D$105,"Active")),IF(INDEX(Events!$I$5:$I$204,MATCH(Transactions!$G42,Events!$A$5:$A$204,0))="Attendance",Transactions!$F42/MAX(1,COUNTIF(AK$7:AK$206,"1")),0)),0))</f>
        <v>2.492727273</v>
      </c>
      <c r="AL4" s="72">
        <f t="array" ref="AL4">IF(AL3="","",IFERROR(IF(INDEX(Events!$I$5:$I$204,MATCH(INDEX(Transactions!$G:$G,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75.23333333</v>
      </c>
      <c r="AM4" s="72" t="str">
        <f t="array" ref="AM4">IF(AM3="","",IFERROR(IF(INDEX(Events!$I$5:$I$204,MATCH(INDEX(Transactions!$G:$G,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N4" s="72" t="str">
        <f t="array" ref="AN4">IF(AN3="","",IFERROR(IF(INDEX(Events!$I$5:$I$204,MATCH(INDEX(Transactions!$G:$G,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O4" s="72" t="str">
        <f t="array" ref="AO4">IF(AO3="","",IFERROR(IF(INDEX(Events!$I$5:$I$204,MATCH(INDEX(Transactions!$G:$G,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P4" s="72" t="str">
        <f t="array" ref="AP4">IF(AP3="","",IFERROR(IF(INDEX(Events!$I$5:$I$204,MATCH(INDEX(Transactions!$G:$G,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Q4" s="72" t="str">
        <f t="array" ref="AQ4">IF(AQ3="","",IFERROR(IF(INDEX(Events!$I$5:$I$204,MATCH(INDEX(Transactions!$G:$G,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R4" s="72">
        <f t="array" ref="AR4">IF(AR3="","",IFERROR(IF(INDEX(Events!$I$5:$I$204,MATCH(INDEX(Transactions!$G:$G,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22</v>
      </c>
      <c r="AS4" s="72">
        <f t="array" ref="AS4">IF(AS3="","",IFERROR(IF(INDEX(Events!$I$5:$I$204,MATCH(INDEX(Transactions!$G:$G,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121.0848</v>
      </c>
      <c r="AT4" s="72" t="str">
        <f t="array" ref="AT4">IF(AT3="","",IFERROR(IF(INDEX(Events!$I$5:$I$204,MATCH(INDEX(Transactions!$G:$G,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#REF!</v>
      </c>
      <c r="AU4" s="72" t="str">
        <f t="array" ref="AU4">IF(AU3="","",IFERROR(IF(INDEX(Events!$I$5:$I$204,MATCH(INDEX(Transactions!$G:$G,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V4" s="72">
        <f t="array" ref="AV4">IF(AV3="","",IFERROR(IF(INDEX(Events!$I$5:$I$204,MATCH(INDEX(Transactions!$G:$G,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8.962105263</v>
      </c>
      <c r="AW4" s="72" t="str">
        <f t="array" ref="AW4">IF(AW3="","",IFERROR(IF(INDEX(Events!$I$5:$I$204,MATCH(INDEX(Transactions!$G:$G,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X4" s="72" t="str">
        <f t="array" ref="AX4">IF(AX3="","",IFERROR(IF(INDEX(Events!$I$5:$I$204,MATCH(INDEX(Transactions!$G:$G,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AY4" s="72">
        <f t="array" ref="AY4">IF(AY3="","",IFERROR(IF(INDEX(Events!$I$5:$I$204,MATCH(INDEX(Transactions!$G:$G,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21</v>
      </c>
      <c r="AZ4" s="72">
        <f t="array" ref="AZ4">IF(AZ3="","",IFERROR(IF(INDEX(Events!$I$5:$I$204,MATCH(INDEX(Transactions!$G:$G,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21</v>
      </c>
      <c r="BA4" s="72">
        <f t="array" ref="BA4">IF(BA3="","",IFERROR(IF(INDEX(Events!$I$5:$I$204,MATCH(INDEX(Transactions!$G:$G,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21</v>
      </c>
      <c r="BB4" s="72">
        <f t="array" ref="BB4">IF(BB3="","",IFERROR(IF(INDEX(Events!$I$5:$I$204,MATCH(INDEX(Transactions!$G:$G,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21</v>
      </c>
      <c r="BC4" s="72">
        <f t="array" ref="BC4">IF(BC3="","",IFERROR(IF(INDEX(Events!$I$5:$I$204,MATCH(INDEX(Transactions!$G:$G,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41.86</v>
      </c>
      <c r="BD4" s="72">
        <f t="array" ref="BD4">IF(BD3="","",IFERROR(IF(INDEX(Events!$I$5:$I$204,MATCH(INDEX(Transactions!$G:$G,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23.78181818</v>
      </c>
      <c r="BE4" s="72">
        <f t="array" ref="BE4">IF(BE3="","",IFERROR(IF(INDEX(Events!$I$5:$I$204,MATCH(INDEX(Transactions!$G:$G,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24.96652174</v>
      </c>
      <c r="BF4" s="72">
        <f t="array" ref="BF4">IF(BF3="","",IFERROR(IF(INDEX(Events!$I$5:$I$204,MATCH(INDEX(Transactions!$G:$G,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100.8</v>
      </c>
      <c r="BG4" s="72">
        <f t="array" ref="BG4">IF(BG3="","",IFERROR(IF(INDEX(Events!$I$5:$I$204,MATCH(INDEX(Transactions!$G:$G,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116.63</v>
      </c>
      <c r="BH4" s="72">
        <f t="array" ref="BH4">IF(BH3="","",IFERROR(IF(INDEX(Events!$I$5:$I$204,MATCH(INDEX(Transactions!$G:$G,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106.02</v>
      </c>
      <c r="BI4" s="72">
        <f t="array" ref="BI4">IF(BI3="","",IFERROR(IF(INDEX(Events!$I$5:$I$204,MATCH(INDEX(Transactions!$G:$G,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55.5</v>
      </c>
      <c r="BJ4" s="72">
        <f t="array" ref="BJ4">IF(BJ3="","",IFERROR(IF(INDEX(Events!$I$5:$I$204,MATCH(INDEX(Transactions!$G:$G,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80</v>
      </c>
      <c r="BK4" s="72">
        <f t="array" ref="BK4">IF(BK3="","",IFERROR(IF(INDEX(Events!$I$5:$I$204,MATCH(INDEX(Transactions!$G:$G,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90</v>
      </c>
      <c r="BL4" s="72">
        <f t="array" ref="BL4">IF(BL3="","",IFERROR(IF(INDEX(Events!$I$5:$I$204,MATCH(INDEX(Transactions!$G:$G,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95.83</v>
      </c>
      <c r="BM4" s="72">
        <f t="array" ref="BM4">IF(BM3="","",IFERROR(IF(INDEX(Events!$I$5:$I$204,MATCH(INDEX(Transactions!$G:$G,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133.19</v>
      </c>
      <c r="BN4" s="72">
        <f t="array" ref="BN4">IF(BN3="","",IFERROR(IF(INDEX(Events!$I$5:$I$204,MATCH(INDEX(Transactions!$G:$G,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96.57</v>
      </c>
      <c r="BO4" s="72">
        <f t="array" ref="BO4">IF(BO3="","",IFERROR(IF(INDEX(Events!$I$5:$I$204,MATCH(INDEX(Transactions!$G:$G,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3780</v>
      </c>
      <c r="BP4" s="72">
        <f t="array" ref="BP4">IF(BP3="","",IFERROR(IF(INDEX(Events!$I$5:$I$204,MATCH(INDEX(Transactions!$G:$G,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51</v>
      </c>
      <c r="BQ4" s="72">
        <f t="array" ref="BQ4">IF(BQ3="","",IFERROR(IF(INDEX(Events!$I$5:$I$204,MATCH(INDEX(Transactions!$G:$G,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92.39</v>
      </c>
      <c r="BR4" s="72">
        <f t="array" ref="BR4">IF(BR3="","",IFERROR(IF(INDEX(Events!$I$5:$I$204,MATCH(INDEX(Transactions!$G:$G,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43.75</v>
      </c>
      <c r="BS4" s="72">
        <f t="array" ref="BS4">IF(BS3="","",IFERROR(IF(INDEX(Events!$I$5:$I$204,MATCH(INDEX(Transactions!$G:$G,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236.95</v>
      </c>
      <c r="BT4" s="72">
        <f t="array" ref="BT4">IF(BT3="","",IFERROR(IF(INDEX(Events!$I$5:$I$204,MATCH(INDEX(Transactions!$G:$G,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23.87</v>
      </c>
      <c r="BU4" s="72">
        <f t="array" ref="BU4">IF(BU3="","",IFERROR(IF(INDEX(Events!$I$5:$I$204,MATCH(INDEX(Transactions!$G:$G,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180</v>
      </c>
      <c r="BV4" s="72">
        <f t="array" ref="BV4">IF(BV3="","",IFERROR(IF(INDEX(Events!$I$5:$I$204,MATCH(INDEX(Transactions!$G:$G,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121.45</v>
      </c>
      <c r="BW4" s="72">
        <f t="array" ref="BW4">IF(BW3="","",IFERROR(IF(INDEX(Events!$I$5:$I$204,MATCH(INDEX(Transactions!$G:$G,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179.8852632</v>
      </c>
      <c r="BX4" s="72">
        <f t="array" ref="BX4">IF(BX3="","",IFERROR(IF(INDEX(Events!$I$5:$I$204,MATCH(INDEX(Transactions!$G:$G,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166.884</v>
      </c>
      <c r="BY4" s="72">
        <f t="array" ref="BY4">IF(BY3="","",IFERROR(IF(INDEX(Events!$I$5:$I$204,MATCH(INDEX(Transactions!$G:$G,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107.94</v>
      </c>
      <c r="BZ4" s="72">
        <f t="array" ref="BZ4">IF(BZ3="","",IFERROR(IF(INDEX(Events!$I$5:$I$204,MATCH(INDEX(Transactions!$G:$G,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70</v>
      </c>
      <c r="CA4" s="72">
        <f t="array" ref="CA4">IF(CA3="","",IFERROR(IF(INDEX(Events!$I$5:$I$204,MATCH(INDEX(Transactions!$G:$G,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25</v>
      </c>
      <c r="CB4" s="72" t="str">
        <f t="array" ref="CB4">IF(CB3="","",IFERROR(IF(INDEX(Events!$I$5:$I$204,MATCH(INDEX(Transactions!$G:$G,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C4" s="72" t="str">
        <f t="array" ref="CC4">IF(CC3="","",IFERROR(IF(INDEX(Events!$I$5:$I$204,MATCH(INDEX(Transactions!$G:$G,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D4" s="72">
        <f t="array" ref="CD4">IF(CD3="","",IFERROR(IF(INDEX(Events!$I$5:$I$204,MATCH(INDEX(Transactions!$G:$G,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108.22</v>
      </c>
      <c r="CE4" s="72">
        <f t="array" ref="CE4">IF(CE3="","",IFERROR(IF(INDEX(Events!$I$5:$I$204,MATCH(INDEX(Transactions!$G:$G,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37.22</v>
      </c>
      <c r="CF4" s="72">
        <f t="array" ref="CF4">IF(CF3="","",IFERROR(IF(INDEX(Events!$I$5:$I$204,MATCH(INDEX(Transactions!$G:$G,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127.83</v>
      </c>
      <c r="CG4" s="72">
        <f t="array" ref="CG4">IF(CG3="","",IFERROR(IF(INDEX(Events!$I$5:$I$204,MATCH(INDEX(Transactions!$G:$G,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43.52</v>
      </c>
      <c r="CH4" s="72" t="str">
        <f t="array" ref="CH4">IF(CH3="","",IFERROR(IF(INDEX(Events!$I$5:$I$204,MATCH(INDEX(Transactions!$G:$G,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I4" s="72">
        <f t="array" ref="CI4">IF(CI3="","",IFERROR(IF(INDEX(Events!$I$5:$I$204,MATCH(INDEX(Transactions!$G:$G,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0.434</v>
      </c>
      <c r="CJ4" s="72">
        <f t="array" ref="CJ4">IF(CJ3="","",IFERROR(IF(INDEX(Events!$I$5:$I$204,MATCH(INDEX(Transactions!$G:$G,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4.44</v>
      </c>
      <c r="CK4" s="72">
        <f t="array" ref="CK4">IF(CK3="","",IFERROR(IF(INDEX(Events!$I$5:$I$204,MATCH(INDEX(Transactions!$G:$G,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175.5948148</v>
      </c>
      <c r="CL4" s="72">
        <f t="array" ref="CL4">IF(CL3="","",IFERROR(IF(INDEX(Events!$I$5:$I$204,MATCH(INDEX(Transactions!$G:$G,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0.9444444444</v>
      </c>
      <c r="CM4" s="72">
        <f t="array" ref="CM4">IF(CM3="","",IFERROR(IF(INDEX(Events!$I$5:$I$204,MATCH(INDEX(Transactions!$G:$G,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117.91</v>
      </c>
      <c r="CN4" s="72">
        <f t="array" ref="CN4">IF(CN3="","",IFERROR(IF(INDEX(Events!$I$5:$I$204,MATCH(INDEX(Transactions!$G:$G,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32.78</v>
      </c>
      <c r="CO4" s="72">
        <f t="array" ref="CO4">IF(CO3="","",IFERROR(IF(INDEX(Events!$I$5:$I$204,MATCH(INDEX(Transactions!$G:$G,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30.55</v>
      </c>
      <c r="CP4" s="72" t="str">
        <f t="array" ref="CP4">IF(CP3="","",IFERROR(IF(INDEX(Events!$I$5:$I$204,MATCH(INDEX(Transactions!$G:$G,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Q4" s="72">
        <f t="array" ref="CQ4">IF(CQ3="","",IFERROR(IF(INDEX(Events!$I$5:$I$204,MATCH(INDEX(Transactions!$G:$G,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275</v>
      </c>
      <c r="CR4" s="72" t="str">
        <f t="array" ref="CR4">IF(CR3="","",IFERROR(IF(INDEX(Events!$I$5:$I$204,MATCH(INDEX(Transactions!$G:$G,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S4" s="72" t="str">
        <f t="array" ref="CS4">IF(CS3="","",IFERROR(IF(INDEX(Events!$I$5:$I$204,MATCH(INDEX(Transactions!$G:$G,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T4" s="72" t="str">
        <f t="array" ref="CT4">IF(CT3="","",IFERROR(IF(INDEX(Events!$I$5:$I$204,MATCH(INDEX(Transactions!$G:$G,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U4" s="72" t="str">
        <f t="array" ref="CU4">IF(CU3="","",IFERROR(IF(INDEX(Events!$I$5:$I$204,MATCH(INDEX(Transactions!$G:$G,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V4" s="72" t="str">
        <f t="array" ref="CV4">IF(CV3="","",IFERROR(IF(INDEX(Events!$I$5:$I$204,MATCH(INDEX(Transactions!$G:$G,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W4" s="72">
        <f t="array" ref="CW4">IF(CW3="","",IFERROR(IF(INDEX(Events!$I$5:$I$204,MATCH(INDEX(Transactions!$G:$G,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115.12</v>
      </c>
      <c r="CX4" s="72" t="str">
        <f t="array" ref="CX4">IF(CX3="","",IFERROR(IF(INDEX(Events!$I$5:$I$204,MATCH(INDEX(Transactions!$G:$G,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CY4" s="72">
        <f t="array" ref="CY4">IF(CY3="","",IFERROR(IF(INDEX(Events!$I$5:$I$204,MATCH(INDEX(Transactions!$G:$G,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36.53846154</v>
      </c>
      <c r="CZ4" s="72" t="str">
        <f t="array" ref="CZ4">IF(CZ3="","",IFERROR(IF(INDEX(Events!$I$5:$I$204,MATCH(INDEX(Transactions!$G:$G,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A4" s="72" t="str">
        <f t="array" ref="DA4">IF(DA3="","",IFERROR(IF(INDEX(Events!$I$5:$I$204,MATCH(INDEX(Transactions!$G:$G,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B4" s="72" t="str">
        <f t="array" ref="DB4">IF(DB3="","",IFERROR(IF(INDEX(Events!$I$5:$I$204,MATCH(INDEX(Transactions!$G:$G,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C4" s="72" t="str">
        <f t="array" ref="DC4">IF(DC3="","",IFERROR(IF(INDEX(Events!$I$5:$I$204,MATCH(INDEX(Transactions!$G:$G,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D4" s="72" t="str">
        <f t="array" ref="DD4">IF(DD3="","",IFERROR(IF(INDEX(Events!$I$5:$I$204,MATCH(INDEX(Transactions!$G:$G,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E4" s="72" t="str">
        <f t="array" ref="DE4">IF(DE3="","",IFERROR(IF(INDEX(Events!$I$5:$I$204,MATCH(INDEX(Transactions!$G:$G,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F4" s="72" t="str">
        <f t="array" ref="DF4">IF(DF3="","",IFERROR(IF(INDEX(Events!$I$5:$I$204,MATCH(INDEX(Transactions!$G:$G,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G4" s="72" t="str">
        <f t="array" ref="DG4">IF(DG3="","",IFERROR(IF(INDEX(Events!$I$5:$I$204,MATCH(INDEX(Transactions!$G:$G,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H4" s="72" t="str">
        <f t="array" ref="DH4">IF(DH3="","",IFERROR(IF(INDEX(Events!$I$5:$I$204,MATCH(INDEX(Transactions!$G:$G,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I4" s="72" t="str">
        <f t="array" ref="DI4">IF(DI3="","",IFERROR(IF(INDEX(Events!$I$5:$I$204,MATCH(INDEX(Transactions!$G:$G,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J4" s="72" t="str">
        <f t="array" ref="DJ4">IF(DJ3="","",IFERROR(IF(INDEX(Events!$I$5:$I$204,MATCH(INDEX(Transactions!$G:$G,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K4" s="72" t="str">
        <f t="array" ref="DK4">IF(DK3="","",IFERROR(IF(INDEX(Events!$I$5:$I$204,MATCH(INDEX(Transactions!$G:$G,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L4" s="72" t="str">
        <f t="array" ref="DL4">IF(DL3="","",IFERROR(IF(INDEX(Events!$I$5:$I$204,MATCH(INDEX(Transactions!$G:$G,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M4" s="72" t="str">
        <f t="array" ref="DM4">IF(DM3="","",IFERROR(IF(INDEX(Events!$I$5:$I$204,MATCH(INDEX(Transactions!$G:$G,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N4" s="72" t="str">
        <f t="array" ref="DN4">IF(DN3="","",IFERROR(IF(INDEX(Events!$I$5:$I$204,MATCH(INDEX(Transactions!$G:$G,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O4" s="72" t="str">
        <f t="array" ref="DO4">IF(DO3="","",IFERROR(IF(INDEX(Events!$I$5:$I$204,MATCH(INDEX(Transactions!$G:$G,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P4" s="72" t="str">
        <f t="array" ref="DP4">IF(DP3="","",IFERROR(IF(INDEX(Events!$I$5:$I$204,MATCH(INDEX(Transactions!$G:$G,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Q4" s="72" t="str">
        <f t="array" ref="DQ4">IF(DQ3="","",IFERROR(IF(INDEX(Events!$I$5:$I$204,MATCH(INDEX(Transactions!$G:$G,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R4" s="72" t="str">
        <f t="array" ref="DR4">IF(DR3="","",IFERROR(IF(INDEX(Events!$I$5:$I$204,MATCH(INDEX(Transactions!$G:$G,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S4" s="72" t="str">
        <f t="array" ref="DS4">IF(DS3="","",IFERROR(IF(INDEX(Events!$I$5:$I$204,MATCH(INDEX(Transactions!$G:$G,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T4" s="72" t="str">
        <f t="array" ref="DT4">IF(DT3="","",IFERROR(IF(INDEX(Events!$I$5:$I$204,MATCH(INDEX(Transactions!$G:$G,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U4" s="72" t="str">
        <f t="array" ref="DU4">IF(DU3="","",IFERROR(IF(INDEX(Events!$I$5:$I$204,MATCH(INDEX(Transactions!$G:$G,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V4" s="72" t="str">
        <f t="array" ref="DV4">IF(DV3="","",IFERROR(IF(INDEX(Events!$I$5:$I$204,MATCH(INDEX(Transactions!$G:$G,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W4" s="72" t="str">
        <f t="array" ref="DW4">IF(DW3="","",IFERROR(IF(INDEX(Events!$I$5:$I$204,MATCH(INDEX(Transactions!$G:$G,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X4" s="72" t="str">
        <f t="array" ref="DX4">IF(DX3="","",IFERROR(IF(INDEX(Events!$I$5:$I$204,MATCH(INDEX(Transactions!$G:$G,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Y4" s="72" t="str">
        <f t="array" ref="DY4">IF(DY3="","",IFERROR(IF(INDEX(Events!$I$5:$I$204,MATCH(INDEX(Transactions!$G:$G,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DZ4" s="72" t="str">
        <f t="array" ref="DZ4">IF(DZ3="","",IFERROR(IF(INDEX(Events!$I$5:$I$204,MATCH(INDEX(Transactions!$G:$G,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EA4" s="72" t="str">
        <f t="array" ref="EA4">IF(EA3="","",IFERROR(IF(INDEX(Events!$I$5:$I$204,MATCH(INDEX(Transactions!$G:$G,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EB4" s="72" t="str">
        <f t="array" ref="EB4">IF(EB3="","",IFERROR(IF(INDEX(Events!$I$5:$I$204,MATCH(INDEX(Transactions!$G:$G,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EC4" s="72" t="str">
        <f t="array" ref="EC4">IF(EC3="","",IFERROR(IF(INDEX(Events!$I$5:$I$204,MATCH(INDEX(Transactions!$G:$G,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ED4" s="72" t="str">
        <f t="array" ref="ED4">IF(ED3="","",IFERROR(IF(INDEX(Events!$I$5:$I$204,MATCH(INDEX(Transactions!$G:$G,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c r="EE4" s="72" t="str">
        <f t="array" ref="EE4">IF(EE3="","",IFERROR(IF(INDEX(Events!$I$5:$I$204,MATCH(INDEX(Transactions!$G:$G, COLUMN()+5),Events!$A$5:$A$204,0))="Equal Split",INDEX(Transactions!$F:$F, COLUMN()+5)/MAX(1,COUNTIFS('Access Codes'!$C$6:$C$105,"Player",'Access Codes'!$D$6:$D$105,"Active")),IF(INDEX(Events!$I$5:$I$204,MATCH(INDEX(Transactions!$G:$G, COLUMN()+5),Events!$A$5:$A$204,0))="Attendance",INDEX(Transactions!$F:$F, COLUMN()+5)/MAX(1,COUNTIF(INDIRECT(SUBSTITUTE(ADDRESS(1, COLUMN(), 4), "1", "") &amp; "7:" &amp; SUBSTITUTE(ADDRESS(1, COLUMN(), 4), "1", "") &amp; "206"),"1")),0)),0))</f>
        <v/>
      </c>
    </row>
    <row r="5" ht="18.0" customHeight="1">
      <c r="A5" s="71" t="s">
        <v>341</v>
      </c>
      <c r="B5" s="112">
        <f t="shared" ref="B5:EE5" si="1">COUNTIF(B7:B206,"1")</f>
        <v>25</v>
      </c>
      <c r="C5" s="112">
        <f t="shared" si="1"/>
        <v>23</v>
      </c>
      <c r="D5" s="112">
        <f t="shared" si="1"/>
        <v>0</v>
      </c>
      <c r="E5" s="112">
        <f t="shared" si="1"/>
        <v>0</v>
      </c>
      <c r="F5" s="112">
        <f t="shared" si="1"/>
        <v>0</v>
      </c>
      <c r="G5" s="112">
        <f t="shared" si="1"/>
        <v>30</v>
      </c>
      <c r="H5" s="112">
        <f t="shared" si="1"/>
        <v>26</v>
      </c>
      <c r="I5" s="112">
        <f t="shared" si="1"/>
        <v>6</v>
      </c>
      <c r="J5" s="112">
        <f t="shared" si="1"/>
        <v>33</v>
      </c>
      <c r="K5" s="112">
        <f t="shared" si="1"/>
        <v>0</v>
      </c>
      <c r="L5" s="112">
        <f t="shared" si="1"/>
        <v>9</v>
      </c>
      <c r="M5" s="112">
        <f t="shared" si="1"/>
        <v>27</v>
      </c>
      <c r="N5" s="112">
        <f t="shared" si="1"/>
        <v>0</v>
      </c>
      <c r="O5" s="112">
        <f t="shared" si="1"/>
        <v>6</v>
      </c>
      <c r="P5" s="112">
        <f t="shared" si="1"/>
        <v>4</v>
      </c>
      <c r="Q5" s="112">
        <f t="shared" si="1"/>
        <v>0</v>
      </c>
      <c r="R5" s="112">
        <f t="shared" si="1"/>
        <v>0</v>
      </c>
      <c r="S5" s="112">
        <f t="shared" si="1"/>
        <v>0</v>
      </c>
      <c r="T5" s="112">
        <f t="shared" si="1"/>
        <v>0</v>
      </c>
      <c r="U5" s="112">
        <f t="shared" si="1"/>
        <v>0</v>
      </c>
      <c r="V5" s="112">
        <f t="shared" si="1"/>
        <v>0</v>
      </c>
      <c r="W5" s="112">
        <f t="shared" si="1"/>
        <v>0</v>
      </c>
      <c r="X5" s="112">
        <f t="shared" si="1"/>
        <v>0</v>
      </c>
      <c r="Y5" s="112">
        <f t="shared" si="1"/>
        <v>0</v>
      </c>
      <c r="Z5" s="112">
        <f t="shared" si="1"/>
        <v>0</v>
      </c>
      <c r="AA5" s="112">
        <f t="shared" si="1"/>
        <v>0</v>
      </c>
      <c r="AB5" s="112">
        <f t="shared" si="1"/>
        <v>21</v>
      </c>
      <c r="AC5" s="112">
        <f t="shared" si="1"/>
        <v>0</v>
      </c>
      <c r="AD5" s="112">
        <f t="shared" si="1"/>
        <v>24</v>
      </c>
      <c r="AE5" s="112">
        <f t="shared" si="1"/>
        <v>0</v>
      </c>
      <c r="AF5" s="112">
        <f t="shared" si="1"/>
        <v>0</v>
      </c>
      <c r="AG5" s="112">
        <f t="shared" si="1"/>
        <v>0</v>
      </c>
      <c r="AH5" s="112">
        <f t="shared" si="1"/>
        <v>0</v>
      </c>
      <c r="AI5" s="112">
        <f t="shared" si="1"/>
        <v>16</v>
      </c>
      <c r="AJ5" s="112">
        <f t="shared" si="1"/>
        <v>24</v>
      </c>
      <c r="AK5" s="112">
        <f t="shared" si="1"/>
        <v>11</v>
      </c>
      <c r="AL5" s="112">
        <f t="shared" si="1"/>
        <v>30</v>
      </c>
      <c r="AM5" s="112">
        <f t="shared" si="1"/>
        <v>0</v>
      </c>
      <c r="AN5" s="112">
        <f t="shared" si="1"/>
        <v>0</v>
      </c>
      <c r="AO5" s="112">
        <f t="shared" si="1"/>
        <v>0</v>
      </c>
      <c r="AP5" s="112">
        <f t="shared" si="1"/>
        <v>0</v>
      </c>
      <c r="AQ5" s="112">
        <f t="shared" si="1"/>
        <v>0</v>
      </c>
      <c r="AR5" s="112">
        <f t="shared" si="1"/>
        <v>25</v>
      </c>
      <c r="AS5" s="112">
        <f t="shared" si="1"/>
        <v>25</v>
      </c>
      <c r="AT5" s="112">
        <f t="shared" si="1"/>
        <v>0</v>
      </c>
      <c r="AU5" s="112">
        <f t="shared" si="1"/>
        <v>0</v>
      </c>
      <c r="AV5" s="112">
        <f t="shared" si="1"/>
        <v>19</v>
      </c>
      <c r="AW5" s="112">
        <f t="shared" si="1"/>
        <v>0</v>
      </c>
      <c r="AX5" s="112">
        <f t="shared" si="1"/>
        <v>0</v>
      </c>
      <c r="AY5" s="112">
        <f t="shared" si="1"/>
        <v>0</v>
      </c>
      <c r="AZ5" s="112">
        <f t="shared" si="1"/>
        <v>0</v>
      </c>
      <c r="BA5" s="112">
        <f t="shared" si="1"/>
        <v>0</v>
      </c>
      <c r="BB5" s="112">
        <f t="shared" si="1"/>
        <v>0</v>
      </c>
      <c r="BC5" s="112">
        <f t="shared" si="1"/>
        <v>7</v>
      </c>
      <c r="BD5" s="112">
        <f t="shared" si="1"/>
        <v>22</v>
      </c>
      <c r="BE5" s="112">
        <f t="shared" si="1"/>
        <v>23</v>
      </c>
      <c r="BF5" s="112">
        <f t="shared" si="1"/>
        <v>0</v>
      </c>
      <c r="BG5" s="112">
        <f t="shared" si="1"/>
        <v>0</v>
      </c>
      <c r="BH5" s="112">
        <f t="shared" si="1"/>
        <v>0</v>
      </c>
      <c r="BI5" s="112">
        <f t="shared" si="1"/>
        <v>0</v>
      </c>
      <c r="BJ5" s="112">
        <f t="shared" si="1"/>
        <v>0</v>
      </c>
      <c r="BK5" s="112">
        <f t="shared" si="1"/>
        <v>0</v>
      </c>
      <c r="BL5" s="112">
        <f t="shared" si="1"/>
        <v>0</v>
      </c>
      <c r="BM5" s="112">
        <f t="shared" si="1"/>
        <v>0</v>
      </c>
      <c r="BN5" s="112">
        <f t="shared" si="1"/>
        <v>0</v>
      </c>
      <c r="BO5" s="112">
        <f t="shared" si="1"/>
        <v>0</v>
      </c>
      <c r="BP5" s="112">
        <f t="shared" si="1"/>
        <v>0</v>
      </c>
      <c r="BQ5" s="112">
        <f t="shared" si="1"/>
        <v>0</v>
      </c>
      <c r="BR5" s="112">
        <f t="shared" si="1"/>
        <v>0</v>
      </c>
      <c r="BS5" s="112">
        <f t="shared" si="1"/>
        <v>0</v>
      </c>
      <c r="BT5" s="112">
        <f t="shared" si="1"/>
        <v>0</v>
      </c>
      <c r="BU5" s="112">
        <f t="shared" si="1"/>
        <v>0</v>
      </c>
      <c r="BV5" s="112">
        <f t="shared" si="1"/>
        <v>0</v>
      </c>
      <c r="BW5" s="112">
        <f t="shared" si="1"/>
        <v>19</v>
      </c>
      <c r="BX5" s="112">
        <f t="shared" si="1"/>
        <v>5</v>
      </c>
      <c r="BY5" s="112">
        <f t="shared" si="1"/>
        <v>1</v>
      </c>
      <c r="BZ5" s="112">
        <f t="shared" si="1"/>
        <v>2</v>
      </c>
      <c r="CA5" s="112">
        <f t="shared" si="1"/>
        <v>1</v>
      </c>
      <c r="CB5" s="112">
        <f t="shared" si="1"/>
        <v>0</v>
      </c>
      <c r="CC5" s="112">
        <f t="shared" si="1"/>
        <v>0</v>
      </c>
      <c r="CD5" s="112">
        <f t="shared" si="1"/>
        <v>0</v>
      </c>
      <c r="CE5" s="112">
        <f t="shared" si="1"/>
        <v>0</v>
      </c>
      <c r="CF5" s="112">
        <f t="shared" si="1"/>
        <v>0</v>
      </c>
      <c r="CG5" s="112">
        <f t="shared" si="1"/>
        <v>0</v>
      </c>
      <c r="CH5" s="112">
        <f t="shared" si="1"/>
        <v>0</v>
      </c>
      <c r="CI5" s="112">
        <f t="shared" si="1"/>
        <v>25</v>
      </c>
      <c r="CJ5" s="112">
        <f t="shared" si="1"/>
        <v>19</v>
      </c>
      <c r="CK5" s="112">
        <f t="shared" si="1"/>
        <v>27</v>
      </c>
      <c r="CL5" s="112">
        <f t="shared" si="1"/>
        <v>9</v>
      </c>
      <c r="CM5" s="112">
        <f t="shared" si="1"/>
        <v>0</v>
      </c>
      <c r="CN5" s="112">
        <f t="shared" si="1"/>
        <v>0</v>
      </c>
      <c r="CO5" s="112">
        <f t="shared" si="1"/>
        <v>0</v>
      </c>
      <c r="CP5" s="112">
        <f t="shared" si="1"/>
        <v>0</v>
      </c>
      <c r="CQ5" s="112">
        <f t="shared" si="1"/>
        <v>26</v>
      </c>
      <c r="CR5" s="112">
        <f t="shared" si="1"/>
        <v>0</v>
      </c>
      <c r="CS5" s="112">
        <f t="shared" si="1"/>
        <v>0</v>
      </c>
      <c r="CT5" s="112">
        <f t="shared" si="1"/>
        <v>0</v>
      </c>
      <c r="CU5" s="112">
        <f t="shared" si="1"/>
        <v>0</v>
      </c>
      <c r="CV5" s="112">
        <f t="shared" si="1"/>
        <v>0</v>
      </c>
      <c r="CW5" s="112">
        <f t="shared" si="1"/>
        <v>0</v>
      </c>
      <c r="CX5" s="112">
        <f t="shared" si="1"/>
        <v>0</v>
      </c>
      <c r="CY5" s="112">
        <f t="shared" si="1"/>
        <v>26</v>
      </c>
      <c r="CZ5" s="112">
        <f t="shared" si="1"/>
        <v>0</v>
      </c>
      <c r="DA5" s="112">
        <f t="shared" si="1"/>
        <v>0</v>
      </c>
      <c r="DB5" s="112">
        <f t="shared" si="1"/>
        <v>0</v>
      </c>
      <c r="DC5" s="112">
        <f t="shared" si="1"/>
        <v>0</v>
      </c>
      <c r="DD5" s="112">
        <f t="shared" si="1"/>
        <v>0</v>
      </c>
      <c r="DE5" s="112">
        <f t="shared" si="1"/>
        <v>0</v>
      </c>
      <c r="DF5" s="112">
        <f t="shared" si="1"/>
        <v>0</v>
      </c>
      <c r="DG5" s="112">
        <f t="shared" si="1"/>
        <v>0</v>
      </c>
      <c r="DH5" s="112">
        <f t="shared" si="1"/>
        <v>0</v>
      </c>
      <c r="DI5" s="112">
        <f t="shared" si="1"/>
        <v>0</v>
      </c>
      <c r="DJ5" s="112">
        <f t="shared" si="1"/>
        <v>0</v>
      </c>
      <c r="DK5" s="112">
        <f t="shared" si="1"/>
        <v>0</v>
      </c>
      <c r="DL5" s="112">
        <f t="shared" si="1"/>
        <v>0</v>
      </c>
      <c r="DM5" s="112">
        <f t="shared" si="1"/>
        <v>0</v>
      </c>
      <c r="DN5" s="112">
        <f t="shared" si="1"/>
        <v>0</v>
      </c>
      <c r="DO5" s="112">
        <f t="shared" si="1"/>
        <v>0</v>
      </c>
      <c r="DP5" s="112">
        <f t="shared" si="1"/>
        <v>0</v>
      </c>
      <c r="DQ5" s="112">
        <f t="shared" si="1"/>
        <v>0</v>
      </c>
      <c r="DR5" s="112">
        <f t="shared" si="1"/>
        <v>0</v>
      </c>
      <c r="DS5" s="112">
        <f t="shared" si="1"/>
        <v>0</v>
      </c>
      <c r="DT5" s="112">
        <f t="shared" si="1"/>
        <v>0</v>
      </c>
      <c r="DU5" s="112">
        <f t="shared" si="1"/>
        <v>0</v>
      </c>
      <c r="DV5" s="112">
        <f t="shared" si="1"/>
        <v>0</v>
      </c>
      <c r="DW5" s="112">
        <f t="shared" si="1"/>
        <v>0</v>
      </c>
      <c r="DX5" s="112">
        <f t="shared" si="1"/>
        <v>0</v>
      </c>
      <c r="DY5" s="112">
        <f t="shared" si="1"/>
        <v>0</v>
      </c>
      <c r="DZ5" s="112">
        <f t="shared" si="1"/>
        <v>0</v>
      </c>
      <c r="EA5" s="112">
        <f t="shared" si="1"/>
        <v>0</v>
      </c>
      <c r="EB5" s="112">
        <f t="shared" si="1"/>
        <v>0</v>
      </c>
      <c r="EC5" s="112">
        <f t="shared" si="1"/>
        <v>0</v>
      </c>
      <c r="ED5" s="112">
        <f t="shared" si="1"/>
        <v>0</v>
      </c>
      <c r="EE5" s="112">
        <f t="shared" si="1"/>
        <v>0</v>
      </c>
    </row>
    <row r="6" ht="18.0" customHeight="1">
      <c r="A6" s="71" t="s">
        <v>342</v>
      </c>
      <c r="B6" s="112">
        <f t="shared" ref="B6:EE6" si="2">B4*B5</f>
        <v>920</v>
      </c>
      <c r="C6" s="112">
        <f t="shared" si="2"/>
        <v>1150</v>
      </c>
      <c r="D6" s="112">
        <f t="shared" si="2"/>
        <v>0</v>
      </c>
      <c r="E6" s="112">
        <f t="shared" si="2"/>
        <v>0</v>
      </c>
      <c r="F6" s="112">
        <f t="shared" si="2"/>
        <v>0</v>
      </c>
      <c r="G6" s="112">
        <f t="shared" si="2"/>
        <v>69</v>
      </c>
      <c r="H6" s="112">
        <f t="shared" si="2"/>
        <v>185.69</v>
      </c>
      <c r="I6" s="112">
        <f t="shared" si="2"/>
        <v>228.44</v>
      </c>
      <c r="J6" s="112">
        <f t="shared" si="2"/>
        <v>0</v>
      </c>
      <c r="K6" s="112">
        <f t="shared" si="2"/>
        <v>0</v>
      </c>
      <c r="L6" s="112">
        <f t="shared" si="2"/>
        <v>0</v>
      </c>
      <c r="M6" s="112">
        <f t="shared" si="2"/>
        <v>3487.59</v>
      </c>
      <c r="N6" s="112">
        <f t="shared" si="2"/>
        <v>0</v>
      </c>
      <c r="O6" s="112">
        <f t="shared" si="2"/>
        <v>15.26</v>
      </c>
      <c r="P6" s="112">
        <f t="shared" si="2"/>
        <v>83.64</v>
      </c>
      <c r="Q6" s="112">
        <f t="shared" si="2"/>
        <v>0</v>
      </c>
      <c r="R6" s="112">
        <f t="shared" si="2"/>
        <v>0</v>
      </c>
      <c r="S6" s="112">
        <f t="shared" si="2"/>
        <v>0</v>
      </c>
      <c r="T6" s="112">
        <f t="shared" si="2"/>
        <v>0</v>
      </c>
      <c r="U6" s="112">
        <f t="shared" si="2"/>
        <v>0</v>
      </c>
      <c r="V6" s="112">
        <f t="shared" si="2"/>
        <v>0</v>
      </c>
      <c r="W6" s="112">
        <f t="shared" si="2"/>
        <v>0</v>
      </c>
      <c r="X6" s="112">
        <f t="shared" si="2"/>
        <v>0</v>
      </c>
      <c r="Y6" s="112">
        <f t="shared" si="2"/>
        <v>0</v>
      </c>
      <c r="Z6" s="112">
        <f t="shared" si="2"/>
        <v>0</v>
      </c>
      <c r="AA6" s="112">
        <f t="shared" si="2"/>
        <v>0</v>
      </c>
      <c r="AB6" s="112">
        <f t="shared" si="2"/>
        <v>152.13</v>
      </c>
      <c r="AC6" s="112">
        <f t="shared" si="2"/>
        <v>0</v>
      </c>
      <c r="AD6" s="112">
        <f t="shared" si="2"/>
        <v>1000</v>
      </c>
      <c r="AE6" s="112">
        <f t="shared" si="2"/>
        <v>0</v>
      </c>
      <c r="AF6" s="112">
        <f t="shared" si="2"/>
        <v>0</v>
      </c>
      <c r="AG6" s="112">
        <f t="shared" si="2"/>
        <v>0</v>
      </c>
      <c r="AH6" s="112">
        <f t="shared" si="2"/>
        <v>0</v>
      </c>
      <c r="AI6" s="112">
        <f t="shared" si="2"/>
        <v>202.26</v>
      </c>
      <c r="AJ6" s="112">
        <f t="shared" si="2"/>
        <v>2389.2</v>
      </c>
      <c r="AK6" s="112">
        <f t="shared" si="2"/>
        <v>27.42</v>
      </c>
      <c r="AL6" s="112">
        <f t="shared" si="2"/>
        <v>2257</v>
      </c>
      <c r="AM6" s="112">
        <f t="shared" si="2"/>
        <v>0</v>
      </c>
      <c r="AN6" s="112">
        <f t="shared" si="2"/>
        <v>0</v>
      </c>
      <c r="AO6" s="112">
        <f t="shared" si="2"/>
        <v>0</v>
      </c>
      <c r="AP6" s="112">
        <f t="shared" si="2"/>
        <v>0</v>
      </c>
      <c r="AQ6" s="112">
        <f t="shared" si="2"/>
        <v>0</v>
      </c>
      <c r="AR6" s="112">
        <f t="shared" si="2"/>
        <v>550</v>
      </c>
      <c r="AS6" s="112">
        <f t="shared" si="2"/>
        <v>3027.12</v>
      </c>
      <c r="AT6" s="112" t="str">
        <f t="shared" si="2"/>
        <v>#REF!</v>
      </c>
      <c r="AU6" s="112">
        <f t="shared" si="2"/>
        <v>0</v>
      </c>
      <c r="AV6" s="112">
        <f t="shared" si="2"/>
        <v>170.28</v>
      </c>
      <c r="AW6" s="112">
        <f t="shared" si="2"/>
        <v>0</v>
      </c>
      <c r="AX6" s="112">
        <f t="shared" si="2"/>
        <v>0</v>
      </c>
      <c r="AY6" s="112">
        <f t="shared" si="2"/>
        <v>0</v>
      </c>
      <c r="AZ6" s="112">
        <f t="shared" si="2"/>
        <v>0</v>
      </c>
      <c r="BA6" s="112">
        <f t="shared" si="2"/>
        <v>0</v>
      </c>
      <c r="BB6" s="112">
        <f t="shared" si="2"/>
        <v>0</v>
      </c>
      <c r="BC6" s="112">
        <f t="shared" si="2"/>
        <v>293.02</v>
      </c>
      <c r="BD6" s="112">
        <f t="shared" si="2"/>
        <v>523.2</v>
      </c>
      <c r="BE6" s="112">
        <f t="shared" si="2"/>
        <v>574.23</v>
      </c>
      <c r="BF6" s="112">
        <f t="shared" si="2"/>
        <v>0</v>
      </c>
      <c r="BG6" s="112">
        <f t="shared" si="2"/>
        <v>0</v>
      </c>
      <c r="BH6" s="112">
        <f t="shared" si="2"/>
        <v>0</v>
      </c>
      <c r="BI6" s="112">
        <f t="shared" si="2"/>
        <v>0</v>
      </c>
      <c r="BJ6" s="112">
        <f t="shared" si="2"/>
        <v>0</v>
      </c>
      <c r="BK6" s="112">
        <f t="shared" si="2"/>
        <v>0</v>
      </c>
      <c r="BL6" s="112">
        <f t="shared" si="2"/>
        <v>0</v>
      </c>
      <c r="BM6" s="112">
        <f t="shared" si="2"/>
        <v>0</v>
      </c>
      <c r="BN6" s="112">
        <f t="shared" si="2"/>
        <v>0</v>
      </c>
      <c r="BO6" s="112">
        <f t="shared" si="2"/>
        <v>0</v>
      </c>
      <c r="BP6" s="112">
        <f t="shared" si="2"/>
        <v>0</v>
      </c>
      <c r="BQ6" s="112">
        <f t="shared" si="2"/>
        <v>0</v>
      </c>
      <c r="BR6" s="112">
        <f t="shared" si="2"/>
        <v>0</v>
      </c>
      <c r="BS6" s="112">
        <f t="shared" si="2"/>
        <v>0</v>
      </c>
      <c r="BT6" s="112">
        <f t="shared" si="2"/>
        <v>0</v>
      </c>
      <c r="BU6" s="112">
        <f t="shared" si="2"/>
        <v>0</v>
      </c>
      <c r="BV6" s="112">
        <f t="shared" si="2"/>
        <v>0</v>
      </c>
      <c r="BW6" s="112">
        <f t="shared" si="2"/>
        <v>3417.82</v>
      </c>
      <c r="BX6" s="112">
        <f t="shared" si="2"/>
        <v>834.42</v>
      </c>
      <c r="BY6" s="112">
        <f t="shared" si="2"/>
        <v>107.94</v>
      </c>
      <c r="BZ6" s="112">
        <f t="shared" si="2"/>
        <v>140</v>
      </c>
      <c r="CA6" s="112">
        <f t="shared" si="2"/>
        <v>25</v>
      </c>
      <c r="CB6" s="112">
        <f t="shared" si="2"/>
        <v>0</v>
      </c>
      <c r="CC6" s="112">
        <f t="shared" si="2"/>
        <v>0</v>
      </c>
      <c r="CD6" s="112">
        <f t="shared" si="2"/>
        <v>0</v>
      </c>
      <c r="CE6" s="112">
        <f t="shared" si="2"/>
        <v>0</v>
      </c>
      <c r="CF6" s="112">
        <f t="shared" si="2"/>
        <v>0</v>
      </c>
      <c r="CG6" s="112">
        <f t="shared" si="2"/>
        <v>0</v>
      </c>
      <c r="CH6" s="112">
        <f t="shared" si="2"/>
        <v>0</v>
      </c>
      <c r="CI6" s="112">
        <f t="shared" si="2"/>
        <v>10.85</v>
      </c>
      <c r="CJ6" s="112">
        <f t="shared" si="2"/>
        <v>84.36</v>
      </c>
      <c r="CK6" s="112">
        <f t="shared" si="2"/>
        <v>4741.06</v>
      </c>
      <c r="CL6" s="112">
        <f t="shared" si="2"/>
        <v>8.5</v>
      </c>
      <c r="CM6" s="112">
        <f t="shared" si="2"/>
        <v>0</v>
      </c>
      <c r="CN6" s="112">
        <f t="shared" si="2"/>
        <v>0</v>
      </c>
      <c r="CO6" s="112">
        <f t="shared" si="2"/>
        <v>0</v>
      </c>
      <c r="CP6" s="112">
        <f t="shared" si="2"/>
        <v>0</v>
      </c>
      <c r="CQ6" s="112">
        <f t="shared" si="2"/>
        <v>7150</v>
      </c>
      <c r="CR6" s="112">
        <f t="shared" si="2"/>
        <v>0</v>
      </c>
      <c r="CS6" s="112">
        <f t="shared" si="2"/>
        <v>0</v>
      </c>
      <c r="CT6" s="112">
        <f t="shared" si="2"/>
        <v>0</v>
      </c>
      <c r="CU6" s="112">
        <f t="shared" si="2"/>
        <v>0</v>
      </c>
      <c r="CV6" s="112">
        <f t="shared" si="2"/>
        <v>0</v>
      </c>
      <c r="CW6" s="112">
        <f t="shared" si="2"/>
        <v>0</v>
      </c>
      <c r="CX6" s="112">
        <f t="shared" si="2"/>
        <v>0</v>
      </c>
      <c r="CY6" s="112">
        <f t="shared" si="2"/>
        <v>950</v>
      </c>
      <c r="CZ6" s="112">
        <f t="shared" si="2"/>
        <v>0</v>
      </c>
      <c r="DA6" s="112">
        <f t="shared" si="2"/>
        <v>0</v>
      </c>
      <c r="DB6" s="112">
        <f t="shared" si="2"/>
        <v>0</v>
      </c>
      <c r="DC6" s="112">
        <f t="shared" si="2"/>
        <v>0</v>
      </c>
      <c r="DD6" s="112">
        <f t="shared" si="2"/>
        <v>0</v>
      </c>
      <c r="DE6" s="112">
        <f t="shared" si="2"/>
        <v>0</v>
      </c>
      <c r="DF6" s="112">
        <f t="shared" si="2"/>
        <v>0</v>
      </c>
      <c r="DG6" s="112">
        <f t="shared" si="2"/>
        <v>0</v>
      </c>
      <c r="DH6" s="112">
        <f t="shared" si="2"/>
        <v>0</v>
      </c>
      <c r="DI6" s="112">
        <f t="shared" si="2"/>
        <v>0</v>
      </c>
      <c r="DJ6" s="112">
        <f t="shared" si="2"/>
        <v>0</v>
      </c>
      <c r="DK6" s="112">
        <f t="shared" si="2"/>
        <v>0</v>
      </c>
      <c r="DL6" s="112">
        <f t="shared" si="2"/>
        <v>0</v>
      </c>
      <c r="DM6" s="112">
        <f t="shared" si="2"/>
        <v>0</v>
      </c>
      <c r="DN6" s="112">
        <f t="shared" si="2"/>
        <v>0</v>
      </c>
      <c r="DO6" s="112">
        <f t="shared" si="2"/>
        <v>0</v>
      </c>
      <c r="DP6" s="112">
        <f t="shared" si="2"/>
        <v>0</v>
      </c>
      <c r="DQ6" s="112">
        <f t="shared" si="2"/>
        <v>0</v>
      </c>
      <c r="DR6" s="112">
        <f t="shared" si="2"/>
        <v>0</v>
      </c>
      <c r="DS6" s="112">
        <f t="shared" si="2"/>
        <v>0</v>
      </c>
      <c r="DT6" s="112">
        <f t="shared" si="2"/>
        <v>0</v>
      </c>
      <c r="DU6" s="112">
        <f t="shared" si="2"/>
        <v>0</v>
      </c>
      <c r="DV6" s="112">
        <f t="shared" si="2"/>
        <v>0</v>
      </c>
      <c r="DW6" s="112">
        <f t="shared" si="2"/>
        <v>0</v>
      </c>
      <c r="DX6" s="112">
        <f t="shared" si="2"/>
        <v>0</v>
      </c>
      <c r="DY6" s="112">
        <f t="shared" si="2"/>
        <v>0</v>
      </c>
      <c r="DZ6" s="112">
        <f t="shared" si="2"/>
        <v>0</v>
      </c>
      <c r="EA6" s="112">
        <f t="shared" si="2"/>
        <v>0</v>
      </c>
      <c r="EB6" s="112">
        <f t="shared" si="2"/>
        <v>0</v>
      </c>
      <c r="EC6" s="112">
        <f t="shared" si="2"/>
        <v>0</v>
      </c>
      <c r="ED6" s="112">
        <f t="shared" si="2"/>
        <v>0</v>
      </c>
      <c r="EE6" s="112">
        <f t="shared" si="2"/>
        <v>0</v>
      </c>
    </row>
    <row r="7" ht="18.0" customHeight="1">
      <c r="A7" s="84" t="str">
        <f>IF(Roster!$A$5&lt;&gt;"",Roster!$A$5,"")</f>
        <v>At</v>
      </c>
      <c r="B7" s="113">
        <v>1.0</v>
      </c>
      <c r="C7" s="114">
        <v>1.0</v>
      </c>
      <c r="D7" s="113"/>
      <c r="E7" s="113"/>
      <c r="F7" s="113"/>
      <c r="G7" s="113">
        <v>1.0</v>
      </c>
      <c r="H7" s="113">
        <v>1.0</v>
      </c>
      <c r="I7" s="113">
        <v>1.0</v>
      </c>
      <c r="J7" s="113">
        <v>1.0</v>
      </c>
      <c r="K7" s="113"/>
      <c r="L7" s="113">
        <v>0.0</v>
      </c>
      <c r="M7" s="113">
        <v>1.0</v>
      </c>
      <c r="N7" s="113"/>
      <c r="O7" s="113">
        <v>1.0</v>
      </c>
      <c r="P7" s="113">
        <v>1.0</v>
      </c>
      <c r="Q7" s="113"/>
      <c r="R7" s="113"/>
      <c r="S7" s="113"/>
      <c r="T7" s="113"/>
      <c r="U7" s="113"/>
      <c r="V7" s="113"/>
      <c r="W7" s="113"/>
      <c r="X7" s="113"/>
      <c r="Y7" s="113"/>
      <c r="Z7" s="113"/>
      <c r="AA7" s="113"/>
      <c r="AB7" s="113">
        <v>1.0</v>
      </c>
      <c r="AC7" s="113"/>
      <c r="AD7" s="114">
        <v>1.0</v>
      </c>
      <c r="AE7" s="113"/>
      <c r="AF7" s="113"/>
      <c r="AG7" s="113"/>
      <c r="AH7" s="113"/>
      <c r="AI7" s="114">
        <v>1.0</v>
      </c>
      <c r="AJ7" s="114">
        <v>1.0</v>
      </c>
      <c r="AK7" s="113">
        <v>0.0</v>
      </c>
      <c r="AL7" s="114">
        <v>1.0</v>
      </c>
      <c r="AM7" s="113"/>
      <c r="AN7" s="113"/>
      <c r="AO7" s="113"/>
      <c r="AP7" s="113"/>
      <c r="AQ7" s="113"/>
      <c r="AR7" s="114">
        <v>1.0</v>
      </c>
      <c r="AS7" s="115">
        <v>1.0</v>
      </c>
      <c r="AT7" s="113"/>
      <c r="AU7" s="113"/>
      <c r="AV7" s="113">
        <v>1.0</v>
      </c>
      <c r="AW7" s="113"/>
      <c r="AX7" s="113"/>
      <c r="AY7" s="113"/>
      <c r="AZ7" s="113"/>
      <c r="BA7" s="113"/>
      <c r="BB7" s="113"/>
      <c r="BC7" s="113">
        <v>0.0</v>
      </c>
      <c r="BD7" s="114">
        <v>1.0</v>
      </c>
      <c r="BE7" s="116">
        <v>1.0</v>
      </c>
      <c r="BF7" s="113"/>
      <c r="BG7" s="113"/>
      <c r="BH7" s="113"/>
      <c r="BI7" s="113"/>
      <c r="BJ7" s="113"/>
      <c r="BK7" s="113"/>
      <c r="BL7" s="113"/>
      <c r="BM7" s="113"/>
      <c r="BN7" s="113"/>
      <c r="BO7" s="113"/>
      <c r="BP7" s="113"/>
      <c r="BQ7" s="113"/>
      <c r="BR7" s="113"/>
      <c r="BS7" s="113"/>
      <c r="BT7" s="113"/>
      <c r="BU7" s="113"/>
      <c r="BV7" s="113"/>
      <c r="BW7" s="114">
        <v>1.0</v>
      </c>
      <c r="BX7" s="114">
        <v>0.0</v>
      </c>
      <c r="BY7" s="114">
        <v>0.0</v>
      </c>
      <c r="BZ7" s="114">
        <v>0.0</v>
      </c>
      <c r="CA7" s="114">
        <v>0.0</v>
      </c>
      <c r="CB7" s="113"/>
      <c r="CC7" s="113"/>
      <c r="CD7" s="113"/>
      <c r="CE7" s="113"/>
      <c r="CF7" s="113"/>
      <c r="CG7" s="113"/>
      <c r="CH7" s="113"/>
      <c r="CI7" s="114">
        <v>1.0</v>
      </c>
      <c r="CJ7" s="114">
        <v>1.0</v>
      </c>
      <c r="CK7" s="114">
        <v>1.0</v>
      </c>
      <c r="CL7" s="114">
        <v>0.0</v>
      </c>
      <c r="CM7" s="113"/>
      <c r="CN7" s="113"/>
      <c r="CO7" s="113"/>
      <c r="CP7" s="113"/>
      <c r="CQ7" s="114">
        <v>1.0</v>
      </c>
      <c r="CR7" s="113"/>
      <c r="CS7" s="113"/>
      <c r="CT7" s="113"/>
      <c r="CU7" s="113"/>
      <c r="CV7" s="113"/>
      <c r="CW7" s="113"/>
      <c r="CX7" s="113"/>
      <c r="CY7" s="114">
        <v>1.0</v>
      </c>
      <c r="CZ7" s="113"/>
      <c r="DA7" s="113"/>
      <c r="DB7" s="113"/>
      <c r="DC7" s="113"/>
      <c r="DD7" s="113"/>
      <c r="DE7" s="113"/>
      <c r="DF7" s="113"/>
      <c r="DG7" s="113"/>
      <c r="DH7" s="113"/>
      <c r="DI7" s="113"/>
      <c r="DJ7" s="113"/>
      <c r="DK7" s="113"/>
      <c r="DL7" s="113"/>
      <c r="DM7" s="113"/>
      <c r="DN7" s="113"/>
      <c r="DO7" s="113"/>
      <c r="DP7" s="113"/>
      <c r="DQ7" s="113"/>
      <c r="DR7" s="113"/>
      <c r="DS7" s="113"/>
      <c r="DT7" s="113"/>
      <c r="DU7" s="113"/>
      <c r="DV7" s="113"/>
      <c r="DW7" s="113"/>
      <c r="DX7" s="113"/>
      <c r="DY7" s="113"/>
      <c r="DZ7" s="113"/>
      <c r="EA7" s="113"/>
      <c r="EB7" s="113"/>
      <c r="EC7" s="113"/>
      <c r="ED7" s="113"/>
      <c r="EE7" s="113"/>
    </row>
    <row r="8" ht="18.0" customHeight="1">
      <c r="A8" s="84" t="str">
        <f>IF(Roster!$A$6&lt;&gt;"",Roster!$A$6,"")</f>
        <v>Alex Warrington</v>
      </c>
      <c r="B8" s="113">
        <v>1.0</v>
      </c>
      <c r="C8" s="114">
        <v>1.0</v>
      </c>
      <c r="D8" s="113"/>
      <c r="E8" s="113"/>
      <c r="F8" s="113"/>
      <c r="G8" s="113">
        <v>1.0</v>
      </c>
      <c r="H8" s="113">
        <v>1.0</v>
      </c>
      <c r="I8" s="113">
        <v>0.0</v>
      </c>
      <c r="J8" s="113">
        <v>1.0</v>
      </c>
      <c r="K8" s="113"/>
      <c r="L8" s="113">
        <v>0.0</v>
      </c>
      <c r="M8" s="113">
        <v>1.0</v>
      </c>
      <c r="N8" s="113"/>
      <c r="O8" s="113">
        <v>0.0</v>
      </c>
      <c r="P8" s="113">
        <v>0.0</v>
      </c>
      <c r="Q8" s="113"/>
      <c r="R8" s="113"/>
      <c r="S8" s="113"/>
      <c r="T8" s="113"/>
      <c r="U8" s="113"/>
      <c r="V8" s="113"/>
      <c r="W8" s="113"/>
      <c r="X8" s="113"/>
      <c r="Y8" s="113"/>
      <c r="Z8" s="113"/>
      <c r="AA8" s="113"/>
      <c r="AB8" s="114">
        <v>0.0</v>
      </c>
      <c r="AC8" s="113"/>
      <c r="AD8" s="114">
        <v>1.0</v>
      </c>
      <c r="AE8" s="113"/>
      <c r="AF8" s="113"/>
      <c r="AG8" s="113"/>
      <c r="AH8" s="113"/>
      <c r="AI8" s="114">
        <v>0.0</v>
      </c>
      <c r="AJ8" s="114">
        <v>1.0</v>
      </c>
      <c r="AK8" s="113">
        <v>0.0</v>
      </c>
      <c r="AL8" s="113">
        <v>1.0</v>
      </c>
      <c r="AM8" s="113"/>
      <c r="AN8" s="113"/>
      <c r="AO8" s="113"/>
      <c r="AP8" s="113"/>
      <c r="AQ8" s="113"/>
      <c r="AR8" s="114">
        <v>1.0</v>
      </c>
      <c r="AS8" s="116">
        <v>1.0</v>
      </c>
      <c r="AT8" s="113"/>
      <c r="AU8" s="113"/>
      <c r="AV8" s="113">
        <v>0.0</v>
      </c>
      <c r="AW8" s="113"/>
      <c r="AX8" s="113"/>
      <c r="AY8" s="113"/>
      <c r="AZ8" s="113"/>
      <c r="BA8" s="113"/>
      <c r="BB8" s="113"/>
      <c r="BC8" s="113">
        <v>1.0</v>
      </c>
      <c r="BD8" s="114">
        <v>1.0</v>
      </c>
      <c r="BE8" s="116">
        <v>1.0</v>
      </c>
      <c r="BF8" s="113"/>
      <c r="BG8" s="113"/>
      <c r="BH8" s="113"/>
      <c r="BI8" s="113"/>
      <c r="BJ8" s="113"/>
      <c r="BK8" s="113"/>
      <c r="BL8" s="113"/>
      <c r="BM8" s="113"/>
      <c r="BN8" s="113"/>
      <c r="BO8" s="113"/>
      <c r="BP8" s="113"/>
      <c r="BQ8" s="113"/>
      <c r="BR8" s="113"/>
      <c r="BS8" s="113"/>
      <c r="BT8" s="113"/>
      <c r="BU8" s="113"/>
      <c r="BV8" s="114"/>
      <c r="BW8" s="114">
        <v>1.0</v>
      </c>
      <c r="BX8" s="114">
        <v>0.0</v>
      </c>
      <c r="BY8" s="114">
        <v>0.0</v>
      </c>
      <c r="BZ8" s="114">
        <v>0.0</v>
      </c>
      <c r="CA8" s="114">
        <v>0.0</v>
      </c>
      <c r="CB8" s="113"/>
      <c r="CC8" s="113"/>
      <c r="CD8" s="113"/>
      <c r="CE8" s="113"/>
      <c r="CF8" s="113"/>
      <c r="CG8" s="113"/>
      <c r="CH8" s="113"/>
      <c r="CI8" s="114">
        <v>1.0</v>
      </c>
      <c r="CJ8" s="114">
        <v>0.0</v>
      </c>
      <c r="CK8" s="114">
        <v>1.0</v>
      </c>
      <c r="CL8" s="114">
        <v>0.0</v>
      </c>
      <c r="CM8" s="113"/>
      <c r="CN8" s="113"/>
      <c r="CO8" s="113"/>
      <c r="CP8" s="113"/>
      <c r="CQ8" s="114">
        <v>1.0</v>
      </c>
      <c r="CR8" s="113"/>
      <c r="CS8" s="113"/>
      <c r="CT8" s="113"/>
      <c r="CU8" s="113"/>
      <c r="CV8" s="113"/>
      <c r="CW8" s="113"/>
      <c r="CX8" s="113"/>
      <c r="CY8" s="114">
        <v>1.0</v>
      </c>
      <c r="CZ8" s="113"/>
      <c r="DA8" s="113"/>
      <c r="DB8" s="113"/>
      <c r="DC8" s="113"/>
      <c r="DD8" s="113"/>
      <c r="DE8" s="113"/>
      <c r="DF8" s="113"/>
      <c r="DG8" s="113"/>
      <c r="DH8" s="113"/>
      <c r="DI8" s="113"/>
      <c r="DJ8" s="113"/>
      <c r="DK8" s="113"/>
      <c r="DL8" s="113"/>
      <c r="DM8" s="113"/>
      <c r="DN8" s="113"/>
      <c r="DO8" s="113"/>
      <c r="DP8" s="113"/>
      <c r="DQ8" s="113"/>
      <c r="DR8" s="113"/>
      <c r="DS8" s="113"/>
      <c r="DT8" s="113"/>
      <c r="DU8" s="113"/>
      <c r="DV8" s="113"/>
      <c r="DW8" s="113"/>
      <c r="DX8" s="113"/>
      <c r="DY8" s="113"/>
      <c r="DZ8" s="113"/>
      <c r="EA8" s="113"/>
      <c r="EB8" s="113"/>
      <c r="EC8" s="113"/>
      <c r="ED8" s="113"/>
      <c r="EE8" s="113"/>
    </row>
    <row r="9" ht="21.75" customHeight="1">
      <c r="A9" s="84" t="str">
        <f>IF(Roster!$A$7&lt;&gt;"",Roster!$A$7,"")</f>
        <v>Chris Wohl</v>
      </c>
      <c r="B9" s="113">
        <v>1.0</v>
      </c>
      <c r="C9" s="114">
        <v>1.0</v>
      </c>
      <c r="D9" s="113"/>
      <c r="E9" s="113"/>
      <c r="F9" s="113"/>
      <c r="G9" s="113">
        <v>1.0</v>
      </c>
      <c r="H9" s="113">
        <v>1.0</v>
      </c>
      <c r="I9" s="113">
        <v>0.0</v>
      </c>
      <c r="J9" s="113">
        <v>1.0</v>
      </c>
      <c r="K9" s="113"/>
      <c r="L9" s="113">
        <v>1.0</v>
      </c>
      <c r="M9" s="113">
        <v>1.0</v>
      </c>
      <c r="N9" s="113"/>
      <c r="O9" s="113">
        <v>0.0</v>
      </c>
      <c r="P9" s="113">
        <v>0.0</v>
      </c>
      <c r="Q9" s="113"/>
      <c r="R9" s="113"/>
      <c r="S9" s="113"/>
      <c r="T9" s="113"/>
      <c r="U9" s="113"/>
      <c r="V9" s="113"/>
      <c r="W9" s="113"/>
      <c r="X9" s="113"/>
      <c r="Y9" s="113"/>
      <c r="Z9" s="113"/>
      <c r="AA9" s="113"/>
      <c r="AB9" s="113">
        <v>1.0</v>
      </c>
      <c r="AC9" s="113"/>
      <c r="AD9" s="114">
        <v>1.0</v>
      </c>
      <c r="AE9" s="113"/>
      <c r="AF9" s="113"/>
      <c r="AG9" s="113"/>
      <c r="AH9" s="113"/>
      <c r="AI9" s="114">
        <v>1.0</v>
      </c>
      <c r="AJ9" s="114">
        <v>1.0</v>
      </c>
      <c r="AK9" s="113">
        <v>1.0</v>
      </c>
      <c r="AL9" s="113">
        <v>1.0</v>
      </c>
      <c r="AM9" s="113"/>
      <c r="AN9" s="113"/>
      <c r="AO9" s="113"/>
      <c r="AP9" s="113"/>
      <c r="AQ9" s="113"/>
      <c r="AR9" s="114">
        <v>1.0</v>
      </c>
      <c r="AS9" s="116">
        <v>1.0</v>
      </c>
      <c r="AT9" s="113"/>
      <c r="AU9" s="113"/>
      <c r="AV9" s="113">
        <v>1.0</v>
      </c>
      <c r="AW9" s="113"/>
      <c r="AX9" s="113"/>
      <c r="AY9" s="113"/>
      <c r="AZ9" s="113"/>
      <c r="BA9" s="113"/>
      <c r="BB9" s="113"/>
      <c r="BC9" s="113">
        <v>0.0</v>
      </c>
      <c r="BD9" s="114">
        <v>1.0</v>
      </c>
      <c r="BE9" s="116">
        <v>1.0</v>
      </c>
      <c r="BF9" s="113"/>
      <c r="BG9" s="113"/>
      <c r="BH9" s="113"/>
      <c r="BI9" s="113"/>
      <c r="BJ9" s="113"/>
      <c r="BK9" s="113"/>
      <c r="BL9" s="113"/>
      <c r="BM9" s="113"/>
      <c r="BN9" s="113"/>
      <c r="BO9" s="113"/>
      <c r="BP9" s="113"/>
      <c r="BQ9" s="113"/>
      <c r="BR9" s="113"/>
      <c r="BS9" s="113"/>
      <c r="BT9" s="113"/>
      <c r="BU9" s="113"/>
      <c r="BV9" s="113"/>
      <c r="BW9" s="114">
        <v>1.0</v>
      </c>
      <c r="BX9" s="114">
        <v>0.0</v>
      </c>
      <c r="BY9" s="114">
        <v>0.0</v>
      </c>
      <c r="BZ9" s="114">
        <v>0.0</v>
      </c>
      <c r="CA9" s="114">
        <v>0.0</v>
      </c>
      <c r="CB9" s="113"/>
      <c r="CC9" s="113"/>
      <c r="CD9" s="113"/>
      <c r="CE9" s="113"/>
      <c r="CF9" s="113"/>
      <c r="CG9" s="113"/>
      <c r="CH9" s="113"/>
      <c r="CI9" s="114">
        <v>1.0</v>
      </c>
      <c r="CJ9" s="114">
        <v>1.0</v>
      </c>
      <c r="CK9" s="114">
        <v>1.0</v>
      </c>
      <c r="CL9" s="114">
        <v>1.0</v>
      </c>
      <c r="CM9" s="113"/>
      <c r="CN9" s="113"/>
      <c r="CO9" s="113"/>
      <c r="CP9" s="113"/>
      <c r="CQ9" s="114">
        <v>1.0</v>
      </c>
      <c r="CR9" s="113"/>
      <c r="CS9" s="113"/>
      <c r="CT9" s="113"/>
      <c r="CU9" s="113"/>
      <c r="CV9" s="113"/>
      <c r="CW9" s="113"/>
      <c r="CX9" s="113"/>
      <c r="CY9" s="114">
        <v>1.0</v>
      </c>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c r="ED9" s="113"/>
      <c r="EE9" s="113"/>
    </row>
    <row r="10" ht="19.5" customHeight="1">
      <c r="A10" s="84" t="str">
        <f>IF(Roster!$A$8&lt;&gt;"",Roster!$A$8,"")</f>
        <v>Darra Reppermund</v>
      </c>
      <c r="B10" s="113">
        <v>1.0</v>
      </c>
      <c r="C10" s="114">
        <v>1.0</v>
      </c>
      <c r="D10" s="113"/>
      <c r="E10" s="113"/>
      <c r="F10" s="113"/>
      <c r="G10" s="113">
        <v>1.0</v>
      </c>
      <c r="H10" s="113">
        <v>1.0</v>
      </c>
      <c r="I10" s="113">
        <v>0.0</v>
      </c>
      <c r="J10" s="113">
        <v>1.0</v>
      </c>
      <c r="K10" s="113"/>
      <c r="L10" s="113">
        <v>0.0</v>
      </c>
      <c r="M10" s="113">
        <v>1.0</v>
      </c>
      <c r="N10" s="113"/>
      <c r="O10" s="113">
        <v>0.0</v>
      </c>
      <c r="P10" s="113">
        <v>0.0</v>
      </c>
      <c r="Q10" s="113"/>
      <c r="R10" s="113"/>
      <c r="S10" s="113"/>
      <c r="T10" s="113"/>
      <c r="U10" s="113"/>
      <c r="V10" s="113"/>
      <c r="W10" s="113"/>
      <c r="X10" s="113"/>
      <c r="Y10" s="113"/>
      <c r="Z10" s="113"/>
      <c r="AA10" s="113"/>
      <c r="AB10" s="113">
        <v>1.0</v>
      </c>
      <c r="AC10" s="113"/>
      <c r="AD10" s="114">
        <v>1.0</v>
      </c>
      <c r="AE10" s="113"/>
      <c r="AF10" s="113"/>
      <c r="AG10" s="113"/>
      <c r="AH10" s="113"/>
      <c r="AI10" s="114">
        <v>1.0</v>
      </c>
      <c r="AJ10" s="114">
        <v>0.0</v>
      </c>
      <c r="AK10" s="113">
        <v>0.0</v>
      </c>
      <c r="AL10" s="113">
        <v>1.0</v>
      </c>
      <c r="AM10" s="113"/>
      <c r="AN10" s="113"/>
      <c r="AO10" s="113"/>
      <c r="AP10" s="113"/>
      <c r="AQ10" s="113"/>
      <c r="AR10" s="114">
        <v>1.0</v>
      </c>
      <c r="AS10" s="116">
        <v>1.0</v>
      </c>
      <c r="AT10" s="113"/>
      <c r="AU10" s="113"/>
      <c r="AV10" s="113">
        <v>1.0</v>
      </c>
      <c r="AW10" s="113"/>
      <c r="AX10" s="113"/>
      <c r="AY10" s="113"/>
      <c r="AZ10" s="113"/>
      <c r="BA10" s="113"/>
      <c r="BB10" s="113"/>
      <c r="BC10" s="113">
        <v>1.0</v>
      </c>
      <c r="BD10" s="114">
        <v>0.0</v>
      </c>
      <c r="BE10" s="116">
        <v>1.0</v>
      </c>
      <c r="BF10" s="113"/>
      <c r="BG10" s="113"/>
      <c r="BH10" s="113"/>
      <c r="BI10" s="113"/>
      <c r="BJ10" s="113"/>
      <c r="BK10" s="113"/>
      <c r="BL10" s="113"/>
      <c r="BM10" s="113"/>
      <c r="BN10" s="113"/>
      <c r="BO10" s="113"/>
      <c r="BP10" s="113"/>
      <c r="BQ10" s="113"/>
      <c r="BR10" s="113"/>
      <c r="BS10" s="113"/>
      <c r="BT10" s="113"/>
      <c r="BU10" s="113"/>
      <c r="BV10" s="113"/>
      <c r="BW10" s="114">
        <v>1.0</v>
      </c>
      <c r="BX10" s="114">
        <v>0.0</v>
      </c>
      <c r="BY10" s="114">
        <v>0.0</v>
      </c>
      <c r="BZ10" s="114">
        <v>0.0</v>
      </c>
      <c r="CA10" s="114">
        <v>0.0</v>
      </c>
      <c r="CB10" s="113"/>
      <c r="CC10" s="113"/>
      <c r="CD10" s="113"/>
      <c r="CE10" s="113"/>
      <c r="CF10" s="113"/>
      <c r="CG10" s="113"/>
      <c r="CH10" s="113"/>
      <c r="CI10" s="114">
        <v>1.0</v>
      </c>
      <c r="CJ10" s="114">
        <v>1.0</v>
      </c>
      <c r="CK10" s="114">
        <v>1.0</v>
      </c>
      <c r="CL10" s="114">
        <v>0.0</v>
      </c>
      <c r="CM10" s="113"/>
      <c r="CN10" s="113"/>
      <c r="CO10" s="113"/>
      <c r="CP10" s="113"/>
      <c r="CQ10" s="114">
        <v>1.0</v>
      </c>
      <c r="CR10" s="113"/>
      <c r="CS10" s="113"/>
      <c r="CT10" s="113"/>
      <c r="CU10" s="113"/>
      <c r="CV10" s="113"/>
      <c r="CW10" s="113"/>
      <c r="CX10" s="113"/>
      <c r="CY10" s="114">
        <v>1.0</v>
      </c>
      <c r="CZ10" s="113"/>
      <c r="DA10" s="113"/>
      <c r="DB10" s="113"/>
      <c r="DC10" s="113"/>
      <c r="DD10" s="113"/>
      <c r="DE10" s="113"/>
      <c r="DF10" s="113"/>
      <c r="DG10" s="113"/>
      <c r="DH10" s="113"/>
      <c r="DI10" s="113"/>
      <c r="DJ10" s="113"/>
      <c r="DK10" s="113"/>
      <c r="DL10" s="113"/>
      <c r="DM10" s="113"/>
      <c r="DN10" s="113"/>
      <c r="DO10" s="113"/>
      <c r="DP10" s="113"/>
      <c r="DQ10" s="113"/>
      <c r="DR10" s="113"/>
      <c r="DS10" s="113"/>
      <c r="DT10" s="113"/>
      <c r="DU10" s="113"/>
      <c r="DV10" s="113"/>
      <c r="DW10" s="113"/>
      <c r="DX10" s="113"/>
      <c r="DY10" s="113"/>
      <c r="DZ10" s="113"/>
      <c r="EA10" s="113"/>
      <c r="EB10" s="113"/>
      <c r="EC10" s="113"/>
      <c r="ED10" s="113"/>
      <c r="EE10" s="113"/>
    </row>
    <row r="11" ht="19.5" customHeight="1">
      <c r="A11" s="84" t="str">
        <f>IF(Roster!$A$9&lt;&gt;"",Roster!$A$9,"")</f>
        <v>Dylan Best</v>
      </c>
      <c r="B11" s="113">
        <v>1.0</v>
      </c>
      <c r="C11" s="114">
        <v>1.0</v>
      </c>
      <c r="D11" s="113"/>
      <c r="E11" s="113"/>
      <c r="F11" s="113"/>
      <c r="G11" s="113">
        <v>1.0</v>
      </c>
      <c r="H11" s="113">
        <v>1.0</v>
      </c>
      <c r="I11" s="113">
        <v>1.0</v>
      </c>
      <c r="J11" s="113">
        <v>1.0</v>
      </c>
      <c r="K11" s="113"/>
      <c r="L11" s="113">
        <v>0.0</v>
      </c>
      <c r="M11" s="113">
        <v>1.0</v>
      </c>
      <c r="N11" s="113"/>
      <c r="O11" s="113">
        <v>1.0</v>
      </c>
      <c r="P11" s="113">
        <v>1.0</v>
      </c>
      <c r="Q11" s="113"/>
      <c r="R11" s="113"/>
      <c r="S11" s="113"/>
      <c r="T11" s="113"/>
      <c r="U11" s="113"/>
      <c r="V11" s="113"/>
      <c r="W11" s="113"/>
      <c r="X11" s="113"/>
      <c r="Y11" s="113"/>
      <c r="Z11" s="113"/>
      <c r="AA11" s="113"/>
      <c r="AB11" s="113">
        <v>1.0</v>
      </c>
      <c r="AC11" s="113"/>
      <c r="AD11" s="114">
        <v>1.0</v>
      </c>
      <c r="AE11" s="113"/>
      <c r="AF11" s="113"/>
      <c r="AG11" s="113"/>
      <c r="AH11" s="113"/>
      <c r="AI11" s="114">
        <v>1.0</v>
      </c>
      <c r="AJ11" s="114">
        <v>1.0</v>
      </c>
      <c r="AK11" s="113">
        <v>0.0</v>
      </c>
      <c r="AL11" s="113">
        <v>1.0</v>
      </c>
      <c r="AM11" s="113"/>
      <c r="AN11" s="113"/>
      <c r="AO11" s="113"/>
      <c r="AP11" s="113"/>
      <c r="AQ11" s="113"/>
      <c r="AR11" s="114">
        <v>1.0</v>
      </c>
      <c r="AS11" s="116">
        <v>1.0</v>
      </c>
      <c r="AT11" s="113"/>
      <c r="AU11" s="113"/>
      <c r="AV11" s="113">
        <v>1.0</v>
      </c>
      <c r="AW11" s="113"/>
      <c r="AX11" s="113"/>
      <c r="AY11" s="113"/>
      <c r="AZ11" s="113"/>
      <c r="BA11" s="113"/>
      <c r="BB11" s="113"/>
      <c r="BC11" s="113">
        <v>0.0</v>
      </c>
      <c r="BD11" s="114">
        <v>1.0</v>
      </c>
      <c r="BE11" s="115" t="s">
        <v>343</v>
      </c>
      <c r="BF11" s="113"/>
      <c r="BG11" s="113"/>
      <c r="BH11" s="113"/>
      <c r="BI11" s="113"/>
      <c r="BJ11" s="113"/>
      <c r="BK11" s="113"/>
      <c r="BL11" s="113"/>
      <c r="BM11" s="113"/>
      <c r="BN11" s="113"/>
      <c r="BO11" s="113"/>
      <c r="BP11" s="113"/>
      <c r="BQ11" s="113"/>
      <c r="BR11" s="113"/>
      <c r="BS11" s="113"/>
      <c r="BT11" s="113"/>
      <c r="BU11" s="113"/>
      <c r="BV11" s="113"/>
      <c r="BW11" s="114">
        <v>1.0</v>
      </c>
      <c r="BX11" s="114">
        <v>0.0</v>
      </c>
      <c r="BY11" s="114">
        <v>0.0</v>
      </c>
      <c r="BZ11" s="114">
        <v>0.0</v>
      </c>
      <c r="CA11" s="114">
        <v>0.0</v>
      </c>
      <c r="CB11" s="113"/>
      <c r="CC11" s="113"/>
      <c r="CD11" s="113"/>
      <c r="CE11" s="113"/>
      <c r="CF11" s="113"/>
      <c r="CG11" s="113"/>
      <c r="CH11" s="113"/>
      <c r="CI11" s="114">
        <v>1.0</v>
      </c>
      <c r="CJ11" s="114">
        <v>1.0</v>
      </c>
      <c r="CK11" s="114">
        <v>1.0</v>
      </c>
      <c r="CL11" s="114">
        <v>0.0</v>
      </c>
      <c r="CM11" s="113"/>
      <c r="CN11" s="113"/>
      <c r="CO11" s="113"/>
      <c r="CP11" s="113"/>
      <c r="CQ11" s="114">
        <v>1.0</v>
      </c>
      <c r="CR11" s="113"/>
      <c r="CS11" s="113"/>
      <c r="CT11" s="113"/>
      <c r="CU11" s="113"/>
      <c r="CV11" s="113"/>
      <c r="CW11" s="113"/>
      <c r="CX11" s="113"/>
      <c r="CY11" s="114">
        <v>1.0</v>
      </c>
      <c r="CZ11" s="113"/>
      <c r="DA11" s="113"/>
      <c r="DB11" s="113"/>
      <c r="DC11" s="113"/>
      <c r="DD11" s="113"/>
      <c r="DE11" s="113"/>
      <c r="DF11" s="113"/>
      <c r="DG11" s="113"/>
      <c r="DH11" s="113"/>
      <c r="DI11" s="113"/>
      <c r="DJ11" s="113"/>
      <c r="DK11" s="113"/>
      <c r="DL11" s="113"/>
      <c r="DM11" s="113"/>
      <c r="DN11" s="113"/>
      <c r="DO11" s="113"/>
      <c r="DP11" s="113"/>
      <c r="DQ11" s="113"/>
      <c r="DR11" s="113"/>
      <c r="DS11" s="113"/>
      <c r="DT11" s="113"/>
      <c r="DU11" s="113"/>
      <c r="DV11" s="113"/>
      <c r="DW11" s="113"/>
      <c r="DX11" s="113"/>
      <c r="DY11" s="113"/>
      <c r="DZ11" s="113"/>
      <c r="EA11" s="113"/>
      <c r="EB11" s="113"/>
      <c r="EC11" s="113"/>
      <c r="ED11" s="113"/>
      <c r="EE11" s="113"/>
    </row>
    <row r="12" ht="19.5" customHeight="1">
      <c r="A12" s="84" t="str">
        <f>IF(Roster!$A$10&lt;&gt;"",Roster!$A$10,"")</f>
        <v>Griffin O'Neal-Freeman</v>
      </c>
      <c r="B12" s="113">
        <v>1.0</v>
      </c>
      <c r="C12" s="114">
        <v>1.0</v>
      </c>
      <c r="D12" s="113"/>
      <c r="E12" s="113"/>
      <c r="F12" s="113"/>
      <c r="G12" s="113">
        <v>1.0</v>
      </c>
      <c r="H12" s="113">
        <v>1.0</v>
      </c>
      <c r="I12" s="113">
        <v>0.0</v>
      </c>
      <c r="J12" s="113">
        <v>1.0</v>
      </c>
      <c r="K12" s="113"/>
      <c r="L12" s="113">
        <v>1.0</v>
      </c>
      <c r="M12" s="113">
        <v>1.0</v>
      </c>
      <c r="N12" s="113"/>
      <c r="O12" s="113">
        <v>0.0</v>
      </c>
      <c r="P12" s="113">
        <v>0.0</v>
      </c>
      <c r="Q12" s="113"/>
      <c r="R12" s="113"/>
      <c r="S12" s="113"/>
      <c r="T12" s="113"/>
      <c r="U12" s="113"/>
      <c r="V12" s="113"/>
      <c r="W12" s="113"/>
      <c r="X12" s="113"/>
      <c r="Y12" s="113"/>
      <c r="Z12" s="113"/>
      <c r="AA12" s="113"/>
      <c r="AB12" s="113">
        <v>1.0</v>
      </c>
      <c r="AC12" s="113"/>
      <c r="AD12" s="114">
        <v>1.0</v>
      </c>
      <c r="AE12" s="113"/>
      <c r="AF12" s="113"/>
      <c r="AG12" s="113"/>
      <c r="AH12" s="113"/>
      <c r="AI12" s="114">
        <v>1.0</v>
      </c>
      <c r="AJ12" s="114">
        <v>1.0</v>
      </c>
      <c r="AK12" s="113">
        <v>1.0</v>
      </c>
      <c r="AL12" s="113">
        <v>1.0</v>
      </c>
      <c r="AM12" s="113"/>
      <c r="AN12" s="113"/>
      <c r="AO12" s="113"/>
      <c r="AP12" s="113"/>
      <c r="AQ12" s="113"/>
      <c r="AR12" s="114">
        <v>1.0</v>
      </c>
      <c r="AS12" s="116">
        <v>1.0</v>
      </c>
      <c r="AT12" s="113"/>
      <c r="AU12" s="113"/>
      <c r="AV12" s="113">
        <v>1.0</v>
      </c>
      <c r="AW12" s="113"/>
      <c r="AX12" s="113"/>
      <c r="AY12" s="113"/>
      <c r="AZ12" s="113"/>
      <c r="BA12" s="113"/>
      <c r="BB12" s="113"/>
      <c r="BC12" s="113">
        <v>0.0</v>
      </c>
      <c r="BD12" s="114" t="s">
        <v>343</v>
      </c>
      <c r="BE12" s="116">
        <v>1.0</v>
      </c>
      <c r="BF12" s="113"/>
      <c r="BG12" s="113"/>
      <c r="BH12" s="113"/>
      <c r="BI12" s="113"/>
      <c r="BJ12" s="113"/>
      <c r="BK12" s="113"/>
      <c r="BL12" s="113"/>
      <c r="BM12" s="113"/>
      <c r="BN12" s="113"/>
      <c r="BO12" s="113"/>
      <c r="BP12" s="113"/>
      <c r="BQ12" s="113"/>
      <c r="BR12" s="113"/>
      <c r="BS12" s="113"/>
      <c r="BT12" s="113"/>
      <c r="BU12" s="113"/>
      <c r="BV12" s="113"/>
      <c r="BW12" s="114">
        <v>0.0</v>
      </c>
      <c r="BX12" s="114">
        <v>1.0</v>
      </c>
      <c r="BY12" s="114">
        <v>0.0</v>
      </c>
      <c r="BZ12" s="114">
        <v>0.0</v>
      </c>
      <c r="CA12" s="114">
        <v>0.0</v>
      </c>
      <c r="CB12" s="113"/>
      <c r="CC12" s="113"/>
      <c r="CD12" s="113"/>
      <c r="CE12" s="113"/>
      <c r="CF12" s="113"/>
      <c r="CG12" s="113"/>
      <c r="CH12" s="113"/>
      <c r="CI12" s="114">
        <v>1.0</v>
      </c>
      <c r="CJ12" s="114">
        <v>1.0</v>
      </c>
      <c r="CK12" s="114">
        <v>1.0</v>
      </c>
      <c r="CL12" s="114">
        <v>1.0</v>
      </c>
      <c r="CM12" s="113"/>
      <c r="CN12" s="113"/>
      <c r="CO12" s="113"/>
      <c r="CP12" s="113"/>
      <c r="CQ12" s="114">
        <v>1.0</v>
      </c>
      <c r="CR12" s="113"/>
      <c r="CS12" s="113"/>
      <c r="CT12" s="113"/>
      <c r="CU12" s="113"/>
      <c r="CV12" s="113"/>
      <c r="CW12" s="113"/>
      <c r="CX12" s="113"/>
      <c r="CY12" s="114">
        <v>1.0</v>
      </c>
      <c r="CZ12" s="113"/>
      <c r="DA12" s="113"/>
      <c r="DB12" s="113"/>
      <c r="DC12" s="113"/>
      <c r="DD12" s="113"/>
      <c r="DE12" s="113"/>
      <c r="DF12" s="113"/>
      <c r="DG12" s="113"/>
      <c r="DH12" s="113"/>
      <c r="DI12" s="113"/>
      <c r="DJ12" s="113"/>
      <c r="DK12" s="113"/>
      <c r="DL12" s="113"/>
      <c r="DM12" s="113"/>
      <c r="DN12" s="113"/>
      <c r="DO12" s="113"/>
      <c r="DP12" s="113"/>
      <c r="DQ12" s="113"/>
      <c r="DR12" s="113"/>
      <c r="DS12" s="113"/>
      <c r="DT12" s="113"/>
      <c r="DU12" s="113"/>
      <c r="DV12" s="113"/>
      <c r="DW12" s="113"/>
      <c r="DX12" s="113"/>
      <c r="DY12" s="113"/>
      <c r="DZ12" s="113"/>
      <c r="EA12" s="113"/>
      <c r="EB12" s="113"/>
      <c r="EC12" s="113"/>
      <c r="ED12" s="113"/>
      <c r="EE12" s="113"/>
    </row>
    <row r="13" ht="19.5" customHeight="1">
      <c r="A13" s="84" t="str">
        <f>IF(Roster!$A$11&lt;&gt;"",Roster!$A$11,"")</f>
        <v>Haley Young</v>
      </c>
      <c r="B13" s="113">
        <v>1.0</v>
      </c>
      <c r="C13" s="114">
        <v>1.0</v>
      </c>
      <c r="D13" s="113"/>
      <c r="E13" s="113"/>
      <c r="F13" s="113"/>
      <c r="G13" s="113">
        <v>1.0</v>
      </c>
      <c r="H13" s="113">
        <v>1.0</v>
      </c>
      <c r="I13" s="113">
        <v>0.0</v>
      </c>
      <c r="J13" s="113">
        <v>1.0</v>
      </c>
      <c r="K13" s="113"/>
      <c r="L13" s="113">
        <v>0.0</v>
      </c>
      <c r="M13" s="113">
        <v>1.0</v>
      </c>
      <c r="N13" s="113"/>
      <c r="O13" s="113">
        <v>0.0</v>
      </c>
      <c r="P13" s="113">
        <v>0.0</v>
      </c>
      <c r="Q13" s="113"/>
      <c r="R13" s="113"/>
      <c r="S13" s="113"/>
      <c r="T13" s="113"/>
      <c r="U13" s="113"/>
      <c r="V13" s="113"/>
      <c r="W13" s="113"/>
      <c r="X13" s="113"/>
      <c r="Y13" s="113"/>
      <c r="Z13" s="113"/>
      <c r="AA13" s="113"/>
      <c r="AB13" s="114">
        <v>0.0</v>
      </c>
      <c r="AC13" s="113"/>
      <c r="AD13" s="114">
        <v>1.0</v>
      </c>
      <c r="AE13" s="113"/>
      <c r="AF13" s="113"/>
      <c r="AG13" s="113"/>
      <c r="AH13" s="113"/>
      <c r="AI13" s="114">
        <v>0.0</v>
      </c>
      <c r="AJ13" s="114">
        <v>1.0</v>
      </c>
      <c r="AK13" s="113">
        <v>0.0</v>
      </c>
      <c r="AL13" s="113">
        <v>1.0</v>
      </c>
      <c r="AM13" s="113"/>
      <c r="AN13" s="113"/>
      <c r="AO13" s="113"/>
      <c r="AP13" s="113"/>
      <c r="AQ13" s="113"/>
      <c r="AR13" s="114">
        <v>1.0</v>
      </c>
      <c r="AS13" s="116">
        <v>1.0</v>
      </c>
      <c r="AT13" s="113"/>
      <c r="AU13" s="113"/>
      <c r="AV13" s="113">
        <v>1.0</v>
      </c>
      <c r="AW13" s="113"/>
      <c r="AX13" s="113"/>
      <c r="AY13" s="113"/>
      <c r="AZ13" s="113"/>
      <c r="BA13" s="113"/>
      <c r="BB13" s="113"/>
      <c r="BC13" s="113">
        <v>1.0</v>
      </c>
      <c r="BD13" s="114" t="s">
        <v>343</v>
      </c>
      <c r="BE13" s="116">
        <v>1.0</v>
      </c>
      <c r="BF13" s="113"/>
      <c r="BG13" s="113"/>
      <c r="BH13" s="113"/>
      <c r="BI13" s="113"/>
      <c r="BJ13" s="113"/>
      <c r="BK13" s="113"/>
      <c r="BL13" s="113"/>
      <c r="BM13" s="113"/>
      <c r="BN13" s="113"/>
      <c r="BO13" s="113"/>
      <c r="BP13" s="113"/>
      <c r="BQ13" s="113"/>
      <c r="BR13" s="113"/>
      <c r="BS13" s="113"/>
      <c r="BT13" s="113"/>
      <c r="BU13" s="113"/>
      <c r="BV13" s="114"/>
      <c r="BW13" s="114">
        <v>0.0</v>
      </c>
      <c r="BX13" s="114">
        <v>1.0</v>
      </c>
      <c r="BY13" s="114">
        <v>0.0</v>
      </c>
      <c r="BZ13" s="114">
        <v>0.0</v>
      </c>
      <c r="CA13" s="114">
        <v>0.0</v>
      </c>
      <c r="CB13" s="113"/>
      <c r="CC13" s="113"/>
      <c r="CD13" s="113"/>
      <c r="CE13" s="113"/>
      <c r="CF13" s="113"/>
      <c r="CG13" s="113"/>
      <c r="CH13" s="113"/>
      <c r="CI13" s="114">
        <v>1.0</v>
      </c>
      <c r="CJ13" s="114">
        <v>0.0</v>
      </c>
      <c r="CK13" s="114">
        <v>1.0</v>
      </c>
      <c r="CL13" s="114">
        <v>0.0</v>
      </c>
      <c r="CM13" s="113"/>
      <c r="CN13" s="113"/>
      <c r="CO13" s="113"/>
      <c r="CP13" s="113"/>
      <c r="CQ13" s="114">
        <v>1.0</v>
      </c>
      <c r="CR13" s="113"/>
      <c r="CS13" s="113"/>
      <c r="CT13" s="113"/>
      <c r="CU13" s="113"/>
      <c r="CV13" s="113"/>
      <c r="CW13" s="113"/>
      <c r="CX13" s="113"/>
      <c r="CY13" s="114">
        <v>1.0</v>
      </c>
      <c r="CZ13" s="113"/>
      <c r="DA13" s="113"/>
      <c r="DB13" s="113"/>
      <c r="DC13" s="113"/>
      <c r="DD13" s="113"/>
      <c r="DE13" s="113"/>
      <c r="DF13" s="113"/>
      <c r="DG13" s="113"/>
      <c r="DH13" s="113"/>
      <c r="DI13" s="113"/>
      <c r="DJ13" s="113"/>
      <c r="DK13" s="113"/>
      <c r="DL13" s="113"/>
      <c r="DM13" s="113"/>
      <c r="DN13" s="113"/>
      <c r="DO13" s="113"/>
      <c r="DP13" s="113"/>
      <c r="DQ13" s="113"/>
      <c r="DR13" s="113"/>
      <c r="DS13" s="113"/>
      <c r="DT13" s="113"/>
      <c r="DU13" s="113"/>
      <c r="DV13" s="113"/>
      <c r="DW13" s="113"/>
      <c r="DX13" s="113"/>
      <c r="DY13" s="113"/>
      <c r="DZ13" s="113"/>
      <c r="EA13" s="113"/>
      <c r="EB13" s="113"/>
      <c r="EC13" s="113"/>
      <c r="ED13" s="113"/>
      <c r="EE13" s="113"/>
    </row>
    <row r="14" ht="19.5" customHeight="1">
      <c r="A14" s="84" t="str">
        <f>IF(Roster!$A$12&lt;&gt;"",Roster!$A$12,"")</f>
        <v>Harry Park</v>
      </c>
      <c r="B14" s="113">
        <v>1.0</v>
      </c>
      <c r="C14" s="114">
        <v>1.0</v>
      </c>
      <c r="D14" s="113"/>
      <c r="E14" s="113"/>
      <c r="F14" s="113"/>
      <c r="G14" s="113">
        <v>1.0</v>
      </c>
      <c r="H14" s="113">
        <v>1.0</v>
      </c>
      <c r="I14" s="113">
        <v>0.0</v>
      </c>
      <c r="J14" s="113">
        <v>1.0</v>
      </c>
      <c r="K14" s="113"/>
      <c r="L14" s="113">
        <v>1.0</v>
      </c>
      <c r="M14" s="113">
        <v>1.0</v>
      </c>
      <c r="N14" s="113"/>
      <c r="O14" s="113">
        <v>0.0</v>
      </c>
      <c r="P14" s="113">
        <v>0.0</v>
      </c>
      <c r="Q14" s="113"/>
      <c r="R14" s="113"/>
      <c r="S14" s="113"/>
      <c r="T14" s="113"/>
      <c r="U14" s="113"/>
      <c r="V14" s="113"/>
      <c r="W14" s="113"/>
      <c r="X14" s="113"/>
      <c r="Y14" s="113"/>
      <c r="Z14" s="113"/>
      <c r="AA14" s="113"/>
      <c r="AB14" s="113">
        <v>1.0</v>
      </c>
      <c r="AC14" s="113"/>
      <c r="AD14" s="114">
        <v>1.0</v>
      </c>
      <c r="AE14" s="113"/>
      <c r="AF14" s="113"/>
      <c r="AG14" s="113"/>
      <c r="AH14" s="113"/>
      <c r="AI14" s="114">
        <v>1.0</v>
      </c>
      <c r="AJ14" s="114">
        <v>1.0</v>
      </c>
      <c r="AK14" s="113">
        <v>1.0</v>
      </c>
      <c r="AL14" s="113">
        <v>1.0</v>
      </c>
      <c r="AM14" s="113"/>
      <c r="AN14" s="113"/>
      <c r="AO14" s="113"/>
      <c r="AP14" s="113"/>
      <c r="AQ14" s="113"/>
      <c r="AR14" s="114">
        <v>1.0</v>
      </c>
      <c r="AS14" s="116">
        <v>1.0</v>
      </c>
      <c r="AT14" s="113"/>
      <c r="AU14" s="113"/>
      <c r="AV14" s="113">
        <v>1.0</v>
      </c>
      <c r="AW14" s="113"/>
      <c r="AX14" s="113"/>
      <c r="AY14" s="113"/>
      <c r="AZ14" s="113"/>
      <c r="BA14" s="113"/>
      <c r="BB14" s="113"/>
      <c r="BC14" s="113">
        <v>0.0</v>
      </c>
      <c r="BD14" s="114">
        <v>1.0</v>
      </c>
      <c r="BE14" s="115" t="s">
        <v>343</v>
      </c>
      <c r="BF14" s="113"/>
      <c r="BG14" s="113"/>
      <c r="BH14" s="113"/>
      <c r="BI14" s="113"/>
      <c r="BJ14" s="113"/>
      <c r="BK14" s="113"/>
      <c r="BL14" s="113"/>
      <c r="BM14" s="113"/>
      <c r="BN14" s="113"/>
      <c r="BO14" s="113"/>
      <c r="BP14" s="113"/>
      <c r="BQ14" s="113"/>
      <c r="BR14" s="113"/>
      <c r="BS14" s="113"/>
      <c r="BT14" s="113"/>
      <c r="BU14" s="113"/>
      <c r="BV14" s="113"/>
      <c r="BW14" s="114">
        <v>0.0</v>
      </c>
      <c r="BX14" s="114">
        <v>0.0</v>
      </c>
      <c r="BY14" s="114">
        <v>0.0</v>
      </c>
      <c r="BZ14" s="114">
        <v>0.0</v>
      </c>
      <c r="CA14" s="114">
        <v>0.0</v>
      </c>
      <c r="CB14" s="113"/>
      <c r="CC14" s="113"/>
      <c r="CD14" s="113"/>
      <c r="CE14" s="113"/>
      <c r="CF14" s="113"/>
      <c r="CG14" s="113"/>
      <c r="CH14" s="113"/>
      <c r="CI14" s="114">
        <v>1.0</v>
      </c>
      <c r="CJ14" s="114">
        <v>1.0</v>
      </c>
      <c r="CK14" s="114">
        <v>1.0</v>
      </c>
      <c r="CL14" s="114">
        <v>1.0</v>
      </c>
      <c r="CM14" s="113"/>
      <c r="CN14" s="113"/>
      <c r="CO14" s="113"/>
      <c r="CP14" s="113"/>
      <c r="CQ14" s="114">
        <v>1.0</v>
      </c>
      <c r="CR14" s="113"/>
      <c r="CS14" s="113"/>
      <c r="CT14" s="113"/>
      <c r="CU14" s="113"/>
      <c r="CV14" s="113"/>
      <c r="CW14" s="113"/>
      <c r="CX14" s="113"/>
      <c r="CY14" s="114">
        <v>1.0</v>
      </c>
      <c r="CZ14" s="113"/>
      <c r="DA14" s="113"/>
      <c r="DB14" s="113"/>
      <c r="DC14" s="113"/>
      <c r="DD14" s="113"/>
      <c r="DE14" s="113"/>
      <c r="DF14" s="113"/>
      <c r="DG14" s="113"/>
      <c r="DH14" s="113"/>
      <c r="DI14" s="113"/>
      <c r="DJ14" s="113"/>
      <c r="DK14" s="113"/>
      <c r="DL14" s="113"/>
      <c r="DM14" s="113"/>
      <c r="DN14" s="113"/>
      <c r="DO14" s="113"/>
      <c r="DP14" s="113"/>
      <c r="DQ14" s="113"/>
      <c r="DR14" s="113"/>
      <c r="DS14" s="113"/>
      <c r="DT14" s="113"/>
      <c r="DU14" s="113"/>
      <c r="DV14" s="113"/>
      <c r="DW14" s="113"/>
      <c r="DX14" s="113"/>
      <c r="DY14" s="113"/>
      <c r="DZ14" s="113"/>
      <c r="EA14" s="113"/>
      <c r="EB14" s="113"/>
      <c r="EC14" s="113"/>
      <c r="ED14" s="113"/>
      <c r="EE14" s="113"/>
    </row>
    <row r="15" ht="19.5" customHeight="1">
      <c r="A15" s="84" t="str">
        <f>IF(Roster!$A$13&lt;&gt;"",Roster!$A$13,"")</f>
        <v>Ian Piper</v>
      </c>
      <c r="B15" s="113" t="s">
        <v>343</v>
      </c>
      <c r="C15" s="114">
        <v>1.0</v>
      </c>
      <c r="D15" s="113"/>
      <c r="E15" s="113"/>
      <c r="F15" s="113"/>
      <c r="G15" s="113">
        <v>1.0</v>
      </c>
      <c r="H15" s="113">
        <v>1.0</v>
      </c>
      <c r="I15" s="113">
        <v>0.0</v>
      </c>
      <c r="J15" s="113">
        <v>1.0</v>
      </c>
      <c r="K15" s="113"/>
      <c r="L15" s="113">
        <v>1.0</v>
      </c>
      <c r="M15" s="113">
        <v>1.0</v>
      </c>
      <c r="N15" s="113"/>
      <c r="O15" s="113">
        <v>0.0</v>
      </c>
      <c r="P15" s="113">
        <v>0.0</v>
      </c>
      <c r="Q15" s="113"/>
      <c r="R15" s="113"/>
      <c r="S15" s="113"/>
      <c r="T15" s="113"/>
      <c r="U15" s="113"/>
      <c r="V15" s="113"/>
      <c r="W15" s="113"/>
      <c r="X15" s="113"/>
      <c r="Y15" s="113"/>
      <c r="Z15" s="113"/>
      <c r="AA15" s="113"/>
      <c r="AB15" s="113">
        <v>1.0</v>
      </c>
      <c r="AC15" s="113"/>
      <c r="AD15" s="114">
        <v>1.0</v>
      </c>
      <c r="AE15" s="113"/>
      <c r="AF15" s="113"/>
      <c r="AG15" s="113"/>
      <c r="AH15" s="113"/>
      <c r="AI15" s="114">
        <v>1.0</v>
      </c>
      <c r="AJ15" s="114">
        <v>1.0</v>
      </c>
      <c r="AK15" s="113">
        <v>1.0</v>
      </c>
      <c r="AL15" s="113">
        <v>1.0</v>
      </c>
      <c r="AM15" s="113"/>
      <c r="AN15" s="113"/>
      <c r="AO15" s="113"/>
      <c r="AP15" s="113"/>
      <c r="AQ15" s="113"/>
      <c r="AR15" s="114">
        <v>1.0</v>
      </c>
      <c r="AS15" s="116">
        <v>1.0</v>
      </c>
      <c r="AT15" s="113"/>
      <c r="AU15" s="113"/>
      <c r="AV15" s="113">
        <v>1.0</v>
      </c>
      <c r="AW15" s="113"/>
      <c r="AX15" s="113"/>
      <c r="AY15" s="113"/>
      <c r="AZ15" s="113"/>
      <c r="BA15" s="113"/>
      <c r="BB15" s="113"/>
      <c r="BC15" s="113">
        <v>0.0</v>
      </c>
      <c r="BD15" s="114">
        <v>1.0</v>
      </c>
      <c r="BE15" s="116">
        <v>1.0</v>
      </c>
      <c r="BF15" s="113"/>
      <c r="BG15" s="113"/>
      <c r="BH15" s="113"/>
      <c r="BI15" s="113"/>
      <c r="BJ15" s="113"/>
      <c r="BK15" s="113"/>
      <c r="BL15" s="113"/>
      <c r="BM15" s="113"/>
      <c r="BN15" s="113"/>
      <c r="BO15" s="113"/>
      <c r="BP15" s="113"/>
      <c r="BQ15" s="113"/>
      <c r="BR15" s="113"/>
      <c r="BS15" s="113"/>
      <c r="BT15" s="113"/>
      <c r="BU15" s="113"/>
      <c r="BV15" s="113"/>
      <c r="BW15" s="114">
        <v>0.0</v>
      </c>
      <c r="BX15" s="114">
        <v>1.0</v>
      </c>
      <c r="BY15" s="114">
        <v>0.0</v>
      </c>
      <c r="BZ15" s="114">
        <v>0.0</v>
      </c>
      <c r="CA15" s="114">
        <v>0.0</v>
      </c>
      <c r="CB15" s="113"/>
      <c r="CC15" s="113"/>
      <c r="CD15" s="113"/>
      <c r="CE15" s="113"/>
      <c r="CF15" s="113"/>
      <c r="CG15" s="113"/>
      <c r="CH15" s="113"/>
      <c r="CI15" s="114">
        <v>1.0</v>
      </c>
      <c r="CJ15" s="114">
        <v>1.0</v>
      </c>
      <c r="CK15" s="114">
        <v>1.0</v>
      </c>
      <c r="CL15" s="114">
        <v>1.0</v>
      </c>
      <c r="CM15" s="113"/>
      <c r="CN15" s="113"/>
      <c r="CO15" s="113"/>
      <c r="CP15" s="113"/>
      <c r="CQ15" s="114">
        <v>1.0</v>
      </c>
      <c r="CR15" s="113"/>
      <c r="CS15" s="113"/>
      <c r="CT15" s="113"/>
      <c r="CU15" s="113"/>
      <c r="CV15" s="113"/>
      <c r="CW15" s="113"/>
      <c r="CX15" s="113"/>
      <c r="CY15" s="114">
        <v>1.0</v>
      </c>
      <c r="CZ15" s="113"/>
      <c r="DA15" s="113"/>
      <c r="DB15" s="113"/>
      <c r="DC15" s="113"/>
      <c r="DD15" s="113"/>
      <c r="DE15" s="113"/>
      <c r="DF15" s="113"/>
      <c r="DG15" s="113"/>
      <c r="DH15" s="113"/>
      <c r="DI15" s="113"/>
      <c r="DJ15" s="113"/>
      <c r="DK15" s="113"/>
      <c r="DL15" s="113"/>
      <c r="DM15" s="113"/>
      <c r="DN15" s="113"/>
      <c r="DO15" s="113"/>
      <c r="DP15" s="113"/>
      <c r="DQ15" s="113"/>
      <c r="DR15" s="113"/>
      <c r="DS15" s="113"/>
      <c r="DT15" s="113"/>
      <c r="DU15" s="113"/>
      <c r="DV15" s="113"/>
      <c r="DW15" s="113"/>
      <c r="DX15" s="113"/>
      <c r="DY15" s="113"/>
      <c r="DZ15" s="113"/>
      <c r="EA15" s="113"/>
      <c r="EB15" s="113"/>
      <c r="EC15" s="113"/>
      <c r="ED15" s="113"/>
      <c r="EE15" s="113"/>
    </row>
    <row r="16" ht="19.5" customHeight="1">
      <c r="A16" s="84" t="str">
        <f>IF(Roster!$A$14&lt;&gt;"",Roster!$A$14,"")</f>
        <v>Jake Murray</v>
      </c>
      <c r="B16" s="113">
        <v>1.0</v>
      </c>
      <c r="C16" s="114">
        <v>1.0</v>
      </c>
      <c r="D16" s="113"/>
      <c r="E16" s="113"/>
      <c r="F16" s="113"/>
      <c r="G16" s="113">
        <v>1.0</v>
      </c>
      <c r="H16" s="113">
        <v>1.0</v>
      </c>
      <c r="I16" s="113">
        <v>1.0</v>
      </c>
      <c r="J16" s="113">
        <v>1.0</v>
      </c>
      <c r="K16" s="113"/>
      <c r="L16" s="113">
        <v>0.0</v>
      </c>
      <c r="M16" s="113">
        <v>1.0</v>
      </c>
      <c r="N16" s="113"/>
      <c r="O16" s="113">
        <v>1.0</v>
      </c>
      <c r="P16" s="113">
        <v>1.0</v>
      </c>
      <c r="Q16" s="113"/>
      <c r="R16" s="113"/>
      <c r="S16" s="113"/>
      <c r="T16" s="113"/>
      <c r="U16" s="113"/>
      <c r="V16" s="113"/>
      <c r="W16" s="113"/>
      <c r="X16" s="113"/>
      <c r="Y16" s="113"/>
      <c r="Z16" s="113"/>
      <c r="AA16" s="113"/>
      <c r="AB16" s="113">
        <v>1.0</v>
      </c>
      <c r="AC16" s="113"/>
      <c r="AD16" s="114">
        <v>1.0</v>
      </c>
      <c r="AE16" s="113"/>
      <c r="AF16" s="113"/>
      <c r="AG16" s="113"/>
      <c r="AH16" s="113"/>
      <c r="AI16" s="114">
        <v>1.0</v>
      </c>
      <c r="AJ16" s="114">
        <v>1.0</v>
      </c>
      <c r="AK16" s="113">
        <v>0.0</v>
      </c>
      <c r="AL16" s="113">
        <v>1.0</v>
      </c>
      <c r="AM16" s="113"/>
      <c r="AN16" s="113"/>
      <c r="AO16" s="113"/>
      <c r="AP16" s="113"/>
      <c r="AQ16" s="113"/>
      <c r="AR16" s="114">
        <v>1.0</v>
      </c>
      <c r="AS16" s="116">
        <v>1.0</v>
      </c>
      <c r="AT16" s="113"/>
      <c r="AU16" s="113"/>
      <c r="AV16" s="113">
        <v>1.0</v>
      </c>
      <c r="AW16" s="113"/>
      <c r="AX16" s="113"/>
      <c r="AY16" s="113"/>
      <c r="AZ16" s="113"/>
      <c r="BA16" s="113"/>
      <c r="BB16" s="113"/>
      <c r="BC16" s="113">
        <v>0.0</v>
      </c>
      <c r="BD16" s="114" t="s">
        <v>343</v>
      </c>
      <c r="BE16" s="116">
        <v>1.0</v>
      </c>
      <c r="BF16" s="113"/>
      <c r="BG16" s="113"/>
      <c r="BH16" s="113"/>
      <c r="BI16" s="113"/>
      <c r="BJ16" s="113"/>
      <c r="BK16" s="113"/>
      <c r="BL16" s="113"/>
      <c r="BM16" s="113"/>
      <c r="BN16" s="113"/>
      <c r="BO16" s="113"/>
      <c r="BP16" s="113"/>
      <c r="BQ16" s="113"/>
      <c r="BR16" s="113"/>
      <c r="BS16" s="113"/>
      <c r="BT16" s="113"/>
      <c r="BU16" s="113"/>
      <c r="BV16" s="113"/>
      <c r="BW16" s="114">
        <v>1.0</v>
      </c>
      <c r="BX16" s="114">
        <v>0.0</v>
      </c>
      <c r="BY16" s="114">
        <v>0.0</v>
      </c>
      <c r="BZ16" s="114">
        <v>0.0</v>
      </c>
      <c r="CA16" s="114">
        <v>0.0</v>
      </c>
      <c r="CB16" s="113"/>
      <c r="CC16" s="113"/>
      <c r="CD16" s="113"/>
      <c r="CE16" s="113"/>
      <c r="CF16" s="113"/>
      <c r="CG16" s="113"/>
      <c r="CH16" s="113"/>
      <c r="CI16" s="114">
        <v>1.0</v>
      </c>
      <c r="CJ16" s="114">
        <v>1.0</v>
      </c>
      <c r="CK16" s="114">
        <v>1.0</v>
      </c>
      <c r="CL16" s="114">
        <v>1.0</v>
      </c>
      <c r="CM16" s="113"/>
      <c r="CN16" s="113"/>
      <c r="CO16" s="113"/>
      <c r="CP16" s="113"/>
      <c r="CQ16" s="114">
        <v>1.0</v>
      </c>
      <c r="CR16" s="113"/>
      <c r="CS16" s="113"/>
      <c r="CT16" s="113"/>
      <c r="CU16" s="113"/>
      <c r="CV16" s="113"/>
      <c r="CW16" s="113"/>
      <c r="CX16" s="113"/>
      <c r="CY16" s="114">
        <v>1.0</v>
      </c>
      <c r="CZ16" s="113"/>
      <c r="DA16" s="113"/>
      <c r="DB16" s="113"/>
      <c r="DC16" s="113"/>
      <c r="DD16" s="113"/>
      <c r="DE16" s="113"/>
      <c r="DF16" s="113"/>
      <c r="DG16" s="113"/>
      <c r="DH16" s="113"/>
      <c r="DI16" s="113"/>
      <c r="DJ16" s="113"/>
      <c r="DK16" s="113"/>
      <c r="DL16" s="113"/>
      <c r="DM16" s="113"/>
      <c r="DN16" s="113"/>
      <c r="DO16" s="113"/>
      <c r="DP16" s="113"/>
      <c r="DQ16" s="113"/>
      <c r="DR16" s="113"/>
      <c r="DS16" s="113"/>
      <c r="DT16" s="113"/>
      <c r="DU16" s="113"/>
      <c r="DV16" s="113"/>
      <c r="DW16" s="113"/>
      <c r="DX16" s="113"/>
      <c r="DY16" s="113"/>
      <c r="DZ16" s="113"/>
      <c r="EA16" s="113"/>
      <c r="EB16" s="113"/>
      <c r="EC16" s="113"/>
      <c r="ED16" s="113"/>
      <c r="EE16" s="113"/>
    </row>
    <row r="17" ht="19.5" customHeight="1">
      <c r="A17" s="84" t="str">
        <f>IF(Roster!$A$15&lt;&gt;"",Roster!$A$15,"")</f>
        <v>Jenna Nold</v>
      </c>
      <c r="B17" s="113">
        <v>1.0</v>
      </c>
      <c r="C17" s="114">
        <v>1.0</v>
      </c>
      <c r="D17" s="113"/>
      <c r="E17" s="113"/>
      <c r="F17" s="113"/>
      <c r="G17" s="113">
        <v>1.0</v>
      </c>
      <c r="H17" s="113">
        <v>1.0</v>
      </c>
      <c r="I17" s="113">
        <v>0.0</v>
      </c>
      <c r="J17" s="113">
        <v>1.0</v>
      </c>
      <c r="K17" s="113"/>
      <c r="L17" s="113">
        <v>1.0</v>
      </c>
      <c r="M17" s="113">
        <v>1.0</v>
      </c>
      <c r="N17" s="113"/>
      <c r="O17" s="113">
        <v>0.0</v>
      </c>
      <c r="P17" s="113">
        <v>0.0</v>
      </c>
      <c r="Q17" s="113"/>
      <c r="R17" s="113"/>
      <c r="S17" s="113"/>
      <c r="T17" s="113"/>
      <c r="U17" s="113"/>
      <c r="V17" s="113"/>
      <c r="W17" s="113"/>
      <c r="X17" s="113"/>
      <c r="Y17" s="113"/>
      <c r="Z17" s="113"/>
      <c r="AA17" s="113"/>
      <c r="AB17" s="113">
        <v>1.0</v>
      </c>
      <c r="AC17" s="113"/>
      <c r="AD17" s="114">
        <v>1.0</v>
      </c>
      <c r="AE17" s="113"/>
      <c r="AF17" s="113"/>
      <c r="AG17" s="113"/>
      <c r="AH17" s="113"/>
      <c r="AI17" s="114">
        <v>1.0</v>
      </c>
      <c r="AJ17" s="114">
        <v>1.0</v>
      </c>
      <c r="AK17" s="113">
        <v>1.0</v>
      </c>
      <c r="AL17" s="113">
        <v>1.0</v>
      </c>
      <c r="AM17" s="113"/>
      <c r="AN17" s="113"/>
      <c r="AO17" s="113"/>
      <c r="AP17" s="113"/>
      <c r="AQ17" s="113"/>
      <c r="AR17" s="114">
        <v>1.0</v>
      </c>
      <c r="AS17" s="116">
        <v>1.0</v>
      </c>
      <c r="AT17" s="113"/>
      <c r="AU17" s="113"/>
      <c r="AV17" s="113">
        <v>1.0</v>
      </c>
      <c r="AW17" s="113"/>
      <c r="AX17" s="113"/>
      <c r="AY17" s="113"/>
      <c r="AZ17" s="113"/>
      <c r="BA17" s="113"/>
      <c r="BB17" s="113"/>
      <c r="BC17" s="113">
        <v>0.0</v>
      </c>
      <c r="BD17" s="114">
        <v>1.0</v>
      </c>
      <c r="BE17" s="116">
        <v>1.0</v>
      </c>
      <c r="BF17" s="113"/>
      <c r="BG17" s="113"/>
      <c r="BH17" s="113"/>
      <c r="BI17" s="113"/>
      <c r="BJ17" s="113"/>
      <c r="BK17" s="113"/>
      <c r="BL17" s="113"/>
      <c r="BM17" s="113"/>
      <c r="BN17" s="113"/>
      <c r="BO17" s="113"/>
      <c r="BP17" s="113"/>
      <c r="BQ17" s="113"/>
      <c r="BR17" s="113"/>
      <c r="BS17" s="113"/>
      <c r="BT17" s="113"/>
      <c r="BU17" s="113"/>
      <c r="BV17" s="113"/>
      <c r="BW17" s="114">
        <v>0.0</v>
      </c>
      <c r="BX17" s="114">
        <v>0.0</v>
      </c>
      <c r="BY17" s="114">
        <v>0.0</v>
      </c>
      <c r="BZ17" s="114">
        <v>0.0</v>
      </c>
      <c r="CA17" s="114">
        <v>0.0</v>
      </c>
      <c r="CB17" s="113"/>
      <c r="CC17" s="113"/>
      <c r="CD17" s="113"/>
      <c r="CE17" s="113"/>
      <c r="CF17" s="113"/>
      <c r="CG17" s="113"/>
      <c r="CH17" s="113"/>
      <c r="CI17" s="114">
        <v>1.0</v>
      </c>
      <c r="CJ17" s="114">
        <v>1.0</v>
      </c>
      <c r="CK17" s="114">
        <v>1.0</v>
      </c>
      <c r="CL17" s="114">
        <v>1.0</v>
      </c>
      <c r="CM17" s="113"/>
      <c r="CN17" s="113"/>
      <c r="CO17" s="113"/>
      <c r="CP17" s="113"/>
      <c r="CQ17" s="114">
        <v>1.0</v>
      </c>
      <c r="CR17" s="113"/>
      <c r="CS17" s="113"/>
      <c r="CT17" s="113"/>
      <c r="CU17" s="113"/>
      <c r="CV17" s="113"/>
      <c r="CW17" s="113"/>
      <c r="CX17" s="113"/>
      <c r="CY17" s="114">
        <v>1.0</v>
      </c>
      <c r="CZ17" s="113"/>
      <c r="DA17" s="113"/>
      <c r="DB17" s="113"/>
      <c r="DC17" s="113"/>
      <c r="DD17" s="113"/>
      <c r="DE17" s="113"/>
      <c r="DF17" s="113"/>
      <c r="DG17" s="113"/>
      <c r="DH17" s="113"/>
      <c r="DI17" s="113"/>
      <c r="DJ17" s="113"/>
      <c r="DK17" s="113"/>
      <c r="DL17" s="113"/>
      <c r="DM17" s="113"/>
      <c r="DN17" s="113"/>
      <c r="DO17" s="113"/>
      <c r="DP17" s="113"/>
      <c r="DQ17" s="113"/>
      <c r="DR17" s="113"/>
      <c r="DS17" s="113"/>
      <c r="DT17" s="113"/>
      <c r="DU17" s="113"/>
      <c r="DV17" s="113"/>
      <c r="DW17" s="113"/>
      <c r="DX17" s="113"/>
      <c r="DY17" s="113"/>
      <c r="DZ17" s="113"/>
      <c r="EA17" s="113"/>
      <c r="EB17" s="113"/>
      <c r="EC17" s="113"/>
      <c r="ED17" s="113"/>
      <c r="EE17" s="113"/>
    </row>
    <row r="18" ht="19.5" customHeight="1">
      <c r="A18" s="84" t="str">
        <f>IF(Roster!$A$16&lt;&gt;"",Roster!$A$16,"")</f>
        <v>Jimmy Towle</v>
      </c>
      <c r="B18" s="113">
        <v>0.0</v>
      </c>
      <c r="C18" s="114">
        <v>0.0</v>
      </c>
      <c r="D18" s="113"/>
      <c r="E18" s="113"/>
      <c r="F18" s="113"/>
      <c r="G18" s="113">
        <v>1.0</v>
      </c>
      <c r="H18" s="113">
        <v>0.0</v>
      </c>
      <c r="I18" s="113">
        <v>0.0</v>
      </c>
      <c r="J18" s="113">
        <v>1.0</v>
      </c>
      <c r="K18" s="113"/>
      <c r="L18" s="113">
        <v>0.0</v>
      </c>
      <c r="M18" s="113">
        <v>0.0</v>
      </c>
      <c r="N18" s="113"/>
      <c r="O18" s="113">
        <v>0.0</v>
      </c>
      <c r="P18" s="113">
        <v>0.0</v>
      </c>
      <c r="Q18" s="113"/>
      <c r="R18" s="113"/>
      <c r="S18" s="113"/>
      <c r="T18" s="113"/>
      <c r="U18" s="113"/>
      <c r="V18" s="113"/>
      <c r="W18" s="113"/>
      <c r="X18" s="113"/>
      <c r="Y18" s="113"/>
      <c r="Z18" s="113"/>
      <c r="AA18" s="113"/>
      <c r="AB18" s="113">
        <v>0.0</v>
      </c>
      <c r="AC18" s="113"/>
      <c r="AD18" s="114">
        <v>1.0</v>
      </c>
      <c r="AE18" s="113"/>
      <c r="AF18" s="113"/>
      <c r="AG18" s="113"/>
      <c r="AH18" s="113"/>
      <c r="AI18" s="114">
        <v>0.0</v>
      </c>
      <c r="AJ18" s="114">
        <v>0.0</v>
      </c>
      <c r="AK18" s="113">
        <v>0.0</v>
      </c>
      <c r="AL18" s="113">
        <v>1.0</v>
      </c>
      <c r="AM18" s="113"/>
      <c r="AN18" s="113"/>
      <c r="AO18" s="113"/>
      <c r="AP18" s="113"/>
      <c r="AQ18" s="113"/>
      <c r="AR18" s="114">
        <v>1.0</v>
      </c>
      <c r="AS18" s="116">
        <v>1.0</v>
      </c>
      <c r="AT18" s="113"/>
      <c r="AU18" s="113"/>
      <c r="AV18" s="113">
        <v>1.0</v>
      </c>
      <c r="AW18" s="113"/>
      <c r="AX18" s="113"/>
      <c r="AY18" s="113"/>
      <c r="AZ18" s="113"/>
      <c r="BA18" s="113"/>
      <c r="BB18" s="113"/>
      <c r="BC18" s="113">
        <v>0.0</v>
      </c>
      <c r="BD18" s="114">
        <v>0.0</v>
      </c>
      <c r="BE18" s="116">
        <v>1.0</v>
      </c>
      <c r="BF18" s="113"/>
      <c r="BG18" s="113"/>
      <c r="BH18" s="113"/>
      <c r="BI18" s="113"/>
      <c r="BJ18" s="113"/>
      <c r="BK18" s="113"/>
      <c r="BL18" s="113"/>
      <c r="BM18" s="113"/>
      <c r="BN18" s="113"/>
      <c r="BO18" s="113"/>
      <c r="BP18" s="113"/>
      <c r="BQ18" s="113"/>
      <c r="BR18" s="113"/>
      <c r="BS18" s="113"/>
      <c r="BT18" s="113"/>
      <c r="BU18" s="113"/>
      <c r="BV18" s="113"/>
      <c r="BW18" s="114">
        <v>1.0</v>
      </c>
      <c r="BX18" s="114">
        <v>0.0</v>
      </c>
      <c r="BY18" s="114">
        <v>0.0</v>
      </c>
      <c r="BZ18" s="114">
        <v>0.0</v>
      </c>
      <c r="CA18" s="114">
        <v>0.0</v>
      </c>
      <c r="CB18" s="113"/>
      <c r="CC18" s="113"/>
      <c r="CD18" s="113"/>
      <c r="CE18" s="113"/>
      <c r="CF18" s="113"/>
      <c r="CG18" s="113"/>
      <c r="CH18" s="113"/>
      <c r="CI18" s="114">
        <v>1.0</v>
      </c>
      <c r="CJ18" s="114">
        <v>1.0</v>
      </c>
      <c r="CK18" s="114">
        <v>1.0</v>
      </c>
      <c r="CL18" s="114">
        <v>0.0</v>
      </c>
      <c r="CM18" s="113"/>
      <c r="CN18" s="113"/>
      <c r="CO18" s="113"/>
      <c r="CP18" s="113"/>
      <c r="CQ18" s="114">
        <v>1.0</v>
      </c>
      <c r="CR18" s="113"/>
      <c r="CS18" s="113"/>
      <c r="CT18" s="113"/>
      <c r="CU18" s="113"/>
      <c r="CV18" s="113"/>
      <c r="CW18" s="113"/>
      <c r="CX18" s="113"/>
      <c r="CY18" s="114">
        <v>1.0</v>
      </c>
      <c r="CZ18" s="113"/>
      <c r="DA18" s="113"/>
      <c r="DB18" s="113"/>
      <c r="DC18" s="113"/>
      <c r="DD18" s="113"/>
      <c r="DE18" s="113"/>
      <c r="DF18" s="113"/>
      <c r="DG18" s="113"/>
      <c r="DH18" s="113"/>
      <c r="DI18" s="113"/>
      <c r="DJ18" s="113"/>
      <c r="DK18" s="113"/>
      <c r="DL18" s="113"/>
      <c r="DM18" s="113"/>
      <c r="DN18" s="113"/>
      <c r="DO18" s="113"/>
      <c r="DP18" s="113"/>
      <c r="DQ18" s="113"/>
      <c r="DR18" s="113"/>
      <c r="DS18" s="113"/>
      <c r="DT18" s="113"/>
      <c r="DU18" s="113"/>
      <c r="DV18" s="113"/>
      <c r="DW18" s="113"/>
      <c r="DX18" s="113"/>
      <c r="DY18" s="113"/>
      <c r="DZ18" s="113"/>
      <c r="EA18" s="113"/>
      <c r="EB18" s="113"/>
      <c r="EC18" s="113"/>
      <c r="ED18" s="113"/>
      <c r="EE18" s="113"/>
    </row>
    <row r="19" ht="19.5" customHeight="1">
      <c r="A19" s="84" t="str">
        <f>IF(Roster!$A$17&lt;&gt;"",Roster!$A$17,"")</f>
        <v>Kailey Rugani</v>
      </c>
      <c r="B19" s="113">
        <v>1.0</v>
      </c>
      <c r="C19" s="114">
        <v>1.0</v>
      </c>
      <c r="D19" s="113"/>
      <c r="E19" s="113"/>
      <c r="F19" s="113"/>
      <c r="G19" s="113">
        <v>1.0</v>
      </c>
      <c r="H19" s="113">
        <v>1.0</v>
      </c>
      <c r="I19" s="113">
        <v>0.0</v>
      </c>
      <c r="J19" s="113">
        <v>1.0</v>
      </c>
      <c r="K19" s="113"/>
      <c r="L19" s="113">
        <v>1.0</v>
      </c>
      <c r="M19" s="113">
        <v>1.0</v>
      </c>
      <c r="N19" s="113"/>
      <c r="O19" s="113">
        <v>0.0</v>
      </c>
      <c r="P19" s="113">
        <v>0.0</v>
      </c>
      <c r="Q19" s="113"/>
      <c r="R19" s="113"/>
      <c r="S19" s="113"/>
      <c r="T19" s="113"/>
      <c r="U19" s="113"/>
      <c r="V19" s="113"/>
      <c r="W19" s="113"/>
      <c r="X19" s="113"/>
      <c r="Y19" s="113"/>
      <c r="Z19" s="113"/>
      <c r="AA19" s="113"/>
      <c r="AB19" s="113">
        <v>1.0</v>
      </c>
      <c r="AC19" s="113"/>
      <c r="AD19" s="114">
        <v>1.0</v>
      </c>
      <c r="AE19" s="113"/>
      <c r="AF19" s="113"/>
      <c r="AG19" s="113"/>
      <c r="AH19" s="113"/>
      <c r="AI19" s="114">
        <v>1.0</v>
      </c>
      <c r="AJ19" s="114">
        <v>1.0</v>
      </c>
      <c r="AK19" s="113">
        <v>1.0</v>
      </c>
      <c r="AL19" s="113">
        <v>1.0</v>
      </c>
      <c r="AM19" s="113"/>
      <c r="AN19" s="113"/>
      <c r="AO19" s="113"/>
      <c r="AP19" s="113"/>
      <c r="AQ19" s="113"/>
      <c r="AR19" s="114">
        <v>1.0</v>
      </c>
      <c r="AS19" s="116">
        <v>1.0</v>
      </c>
      <c r="AT19" s="113"/>
      <c r="AU19" s="113"/>
      <c r="AV19" s="113">
        <v>1.0</v>
      </c>
      <c r="AW19" s="113"/>
      <c r="AX19" s="113"/>
      <c r="AY19" s="113"/>
      <c r="AZ19" s="113"/>
      <c r="BA19" s="113"/>
      <c r="BB19" s="113"/>
      <c r="BC19" s="113">
        <v>0.0</v>
      </c>
      <c r="BD19" s="114">
        <v>1.0</v>
      </c>
      <c r="BE19" s="116">
        <v>1.0</v>
      </c>
      <c r="BF19" s="113"/>
      <c r="BG19" s="113"/>
      <c r="BH19" s="113"/>
      <c r="BI19" s="113"/>
      <c r="BJ19" s="113"/>
      <c r="BK19" s="113"/>
      <c r="BL19" s="113"/>
      <c r="BM19" s="113"/>
      <c r="BN19" s="113"/>
      <c r="BO19" s="113"/>
      <c r="BP19" s="113"/>
      <c r="BQ19" s="113"/>
      <c r="BR19" s="113"/>
      <c r="BS19" s="113"/>
      <c r="BT19" s="113"/>
      <c r="BU19" s="113"/>
      <c r="BV19" s="113"/>
      <c r="BW19" s="114">
        <v>0.0</v>
      </c>
      <c r="BX19" s="114">
        <v>0.0</v>
      </c>
      <c r="BY19" s="114">
        <v>0.0</v>
      </c>
      <c r="BZ19" s="114">
        <v>1.0</v>
      </c>
      <c r="CA19" s="114">
        <v>0.0</v>
      </c>
      <c r="CB19" s="113"/>
      <c r="CC19" s="113"/>
      <c r="CD19" s="113"/>
      <c r="CE19" s="113"/>
      <c r="CF19" s="113"/>
      <c r="CG19" s="113"/>
      <c r="CH19" s="113"/>
      <c r="CI19" s="114">
        <v>1.0</v>
      </c>
      <c r="CJ19" s="114">
        <v>1.0</v>
      </c>
      <c r="CK19" s="114">
        <v>1.0</v>
      </c>
      <c r="CL19" s="114">
        <v>0.0</v>
      </c>
      <c r="CM19" s="113"/>
      <c r="CN19" s="113"/>
      <c r="CO19" s="113"/>
      <c r="CP19" s="113"/>
      <c r="CQ19" s="114">
        <v>1.0</v>
      </c>
      <c r="CR19" s="113"/>
      <c r="CS19" s="113"/>
      <c r="CT19" s="113"/>
      <c r="CU19" s="113"/>
      <c r="CV19" s="113"/>
      <c r="CW19" s="113"/>
      <c r="CX19" s="113"/>
      <c r="CY19" s="114">
        <v>1.0</v>
      </c>
      <c r="CZ19" s="113"/>
      <c r="DA19" s="113"/>
      <c r="DB19" s="113"/>
      <c r="DC19" s="113"/>
      <c r="DD19" s="113"/>
      <c r="DE19" s="113"/>
      <c r="DF19" s="113"/>
      <c r="DG19" s="113"/>
      <c r="DH19" s="113"/>
      <c r="DI19" s="113"/>
      <c r="DJ19" s="113"/>
      <c r="DK19" s="113"/>
      <c r="DL19" s="113"/>
      <c r="DM19" s="113"/>
      <c r="DN19" s="113"/>
      <c r="DO19" s="113"/>
      <c r="DP19" s="113"/>
      <c r="DQ19" s="113"/>
      <c r="DR19" s="113"/>
      <c r="DS19" s="113"/>
      <c r="DT19" s="113"/>
      <c r="DU19" s="113"/>
      <c r="DV19" s="113"/>
      <c r="DW19" s="113"/>
      <c r="DX19" s="113"/>
      <c r="DY19" s="113"/>
      <c r="DZ19" s="113"/>
      <c r="EA19" s="113"/>
      <c r="EB19" s="113"/>
      <c r="EC19" s="113"/>
      <c r="ED19" s="113"/>
      <c r="EE19" s="113"/>
    </row>
    <row r="20" ht="19.5" customHeight="1">
      <c r="A20" s="84" t="str">
        <f>IF(Roster!$A$18&lt;&gt;"",Roster!$A$18,"")</f>
        <v>Kasey Schock</v>
      </c>
      <c r="B20" s="113">
        <v>1.0</v>
      </c>
      <c r="C20" s="114">
        <v>1.0</v>
      </c>
      <c r="D20" s="113"/>
      <c r="E20" s="113"/>
      <c r="F20" s="113"/>
      <c r="G20" s="113">
        <v>1.0</v>
      </c>
      <c r="H20" s="113">
        <v>1.0</v>
      </c>
      <c r="I20" s="113">
        <v>0.0</v>
      </c>
      <c r="J20" s="113">
        <v>1.0</v>
      </c>
      <c r="K20" s="113"/>
      <c r="L20" s="113">
        <v>1.0</v>
      </c>
      <c r="M20" s="113">
        <v>1.0</v>
      </c>
      <c r="N20" s="113"/>
      <c r="O20" s="113">
        <v>0.0</v>
      </c>
      <c r="P20" s="113">
        <v>0.0</v>
      </c>
      <c r="Q20" s="113"/>
      <c r="R20" s="113"/>
      <c r="S20" s="113"/>
      <c r="T20" s="113"/>
      <c r="U20" s="113"/>
      <c r="V20" s="113"/>
      <c r="W20" s="113"/>
      <c r="X20" s="113"/>
      <c r="Y20" s="113"/>
      <c r="Z20" s="113"/>
      <c r="AA20" s="113"/>
      <c r="AB20" s="113">
        <v>1.0</v>
      </c>
      <c r="AC20" s="113"/>
      <c r="AD20" s="114">
        <v>1.0</v>
      </c>
      <c r="AE20" s="113"/>
      <c r="AF20" s="113"/>
      <c r="AG20" s="113"/>
      <c r="AH20" s="113"/>
      <c r="AI20" s="114">
        <v>0.0</v>
      </c>
      <c r="AJ20" s="114">
        <v>1.0</v>
      </c>
      <c r="AK20" s="113">
        <v>1.0</v>
      </c>
      <c r="AL20" s="113">
        <v>1.0</v>
      </c>
      <c r="AM20" s="113"/>
      <c r="AN20" s="113"/>
      <c r="AO20" s="113"/>
      <c r="AP20" s="113"/>
      <c r="AQ20" s="113"/>
      <c r="AR20" s="114">
        <v>1.0</v>
      </c>
      <c r="AS20" s="116">
        <v>1.0</v>
      </c>
      <c r="AT20" s="113"/>
      <c r="AU20" s="113"/>
      <c r="AV20" s="113">
        <v>1.0</v>
      </c>
      <c r="AW20" s="113"/>
      <c r="AX20" s="113"/>
      <c r="AY20" s="113"/>
      <c r="AZ20" s="113"/>
      <c r="BA20" s="113"/>
      <c r="BB20" s="113"/>
      <c r="BC20" s="113">
        <v>0.0</v>
      </c>
      <c r="BD20" s="114" t="s">
        <v>343</v>
      </c>
      <c r="BE20" s="116">
        <v>1.0</v>
      </c>
      <c r="BF20" s="113"/>
      <c r="BG20" s="113"/>
      <c r="BH20" s="113"/>
      <c r="BI20" s="113"/>
      <c r="BJ20" s="113"/>
      <c r="BK20" s="113"/>
      <c r="BL20" s="113"/>
      <c r="BM20" s="113"/>
      <c r="BN20" s="113"/>
      <c r="BO20" s="113"/>
      <c r="BP20" s="113"/>
      <c r="BQ20" s="113"/>
      <c r="BR20" s="113"/>
      <c r="BS20" s="113"/>
      <c r="BT20" s="113"/>
      <c r="BU20" s="113"/>
      <c r="BV20" s="113"/>
      <c r="BW20" s="114">
        <v>0.0</v>
      </c>
      <c r="BX20" s="114">
        <v>0.0</v>
      </c>
      <c r="BY20" s="114">
        <v>0.0</v>
      </c>
      <c r="BZ20" s="114">
        <v>0.0</v>
      </c>
      <c r="CA20" s="114">
        <v>0.0</v>
      </c>
      <c r="CB20" s="113"/>
      <c r="CC20" s="113"/>
      <c r="CD20" s="113"/>
      <c r="CE20" s="113"/>
      <c r="CF20" s="113"/>
      <c r="CG20" s="113"/>
      <c r="CH20" s="113"/>
      <c r="CI20" s="114">
        <v>1.0</v>
      </c>
      <c r="CJ20" s="114">
        <v>1.0</v>
      </c>
      <c r="CK20" s="114">
        <v>1.0</v>
      </c>
      <c r="CL20" s="114">
        <v>0.0</v>
      </c>
      <c r="CM20" s="113"/>
      <c r="CN20" s="113"/>
      <c r="CO20" s="113"/>
      <c r="CP20" s="113"/>
      <c r="CQ20" s="114">
        <v>1.0</v>
      </c>
      <c r="CR20" s="113"/>
      <c r="CS20" s="113"/>
      <c r="CT20" s="113"/>
      <c r="CU20" s="113"/>
      <c r="CV20" s="113"/>
      <c r="CW20" s="113"/>
      <c r="CX20" s="113"/>
      <c r="CY20" s="114">
        <v>1.0</v>
      </c>
      <c r="CZ20" s="113"/>
      <c r="DA20" s="113"/>
      <c r="DB20" s="113"/>
      <c r="DC20" s="113"/>
      <c r="DD20" s="113"/>
      <c r="DE20" s="113"/>
      <c r="DF20" s="113"/>
      <c r="DG20" s="113"/>
      <c r="DH20" s="113"/>
      <c r="DI20" s="113"/>
      <c r="DJ20" s="113"/>
      <c r="DK20" s="113"/>
      <c r="DL20" s="113"/>
      <c r="DM20" s="113"/>
      <c r="DN20" s="113"/>
      <c r="DO20" s="113"/>
      <c r="DP20" s="113"/>
      <c r="DQ20" s="113"/>
      <c r="DR20" s="113"/>
      <c r="DS20" s="113"/>
      <c r="DT20" s="113"/>
      <c r="DU20" s="113"/>
      <c r="DV20" s="113"/>
      <c r="DW20" s="113"/>
      <c r="DX20" s="113"/>
      <c r="DY20" s="113"/>
      <c r="DZ20" s="113"/>
      <c r="EA20" s="113"/>
      <c r="EB20" s="113"/>
      <c r="EC20" s="113"/>
      <c r="ED20" s="113"/>
      <c r="EE20" s="113"/>
    </row>
    <row r="21" ht="19.5" customHeight="1">
      <c r="A21" s="84" t="str">
        <f>IF(Roster!$A$19&lt;&gt;"",Roster!$A$19,"")</f>
        <v>Kevin Nicholl</v>
      </c>
      <c r="B21" s="113">
        <v>1.0</v>
      </c>
      <c r="C21" s="114">
        <v>1.0</v>
      </c>
      <c r="D21" s="113"/>
      <c r="E21" s="113"/>
      <c r="F21" s="113"/>
      <c r="G21" s="113">
        <v>1.0</v>
      </c>
      <c r="H21" s="113">
        <v>1.0</v>
      </c>
      <c r="I21" s="113">
        <v>0.0</v>
      </c>
      <c r="J21" s="113">
        <v>1.0</v>
      </c>
      <c r="K21" s="113"/>
      <c r="L21" s="113">
        <v>0.0</v>
      </c>
      <c r="M21" s="113">
        <v>1.0</v>
      </c>
      <c r="N21" s="113"/>
      <c r="O21" s="113">
        <v>0.0</v>
      </c>
      <c r="P21" s="113">
        <v>0.0</v>
      </c>
      <c r="Q21" s="113"/>
      <c r="R21" s="113"/>
      <c r="S21" s="113"/>
      <c r="T21" s="113"/>
      <c r="U21" s="113"/>
      <c r="V21" s="113"/>
      <c r="W21" s="113"/>
      <c r="X21" s="113"/>
      <c r="Y21" s="113"/>
      <c r="Z21" s="113"/>
      <c r="AA21" s="113"/>
      <c r="AB21" s="113">
        <v>1.0</v>
      </c>
      <c r="AC21" s="113"/>
      <c r="AD21" s="114">
        <v>1.0</v>
      </c>
      <c r="AE21" s="113"/>
      <c r="AF21" s="113"/>
      <c r="AG21" s="113"/>
      <c r="AH21" s="113"/>
      <c r="AI21" s="114">
        <v>1.0</v>
      </c>
      <c r="AJ21" s="114">
        <v>1.0</v>
      </c>
      <c r="AK21" s="113">
        <v>0.0</v>
      </c>
      <c r="AL21" s="113">
        <v>1.0</v>
      </c>
      <c r="AM21" s="113"/>
      <c r="AN21" s="113"/>
      <c r="AO21" s="113"/>
      <c r="AP21" s="113"/>
      <c r="AQ21" s="113"/>
      <c r="AR21" s="114">
        <v>1.0</v>
      </c>
      <c r="AS21" s="116">
        <v>1.0</v>
      </c>
      <c r="AT21" s="113"/>
      <c r="AU21" s="113"/>
      <c r="AV21" s="113">
        <v>1.0</v>
      </c>
      <c r="AW21" s="113"/>
      <c r="AX21" s="113"/>
      <c r="AY21" s="113"/>
      <c r="AZ21" s="113"/>
      <c r="BA21" s="113"/>
      <c r="BB21" s="113"/>
      <c r="BC21" s="114" t="s">
        <v>343</v>
      </c>
      <c r="BD21" s="114" t="s">
        <v>343</v>
      </c>
      <c r="BE21" s="116">
        <v>1.0</v>
      </c>
      <c r="BF21" s="113"/>
      <c r="BG21" s="113"/>
      <c r="BH21" s="113"/>
      <c r="BI21" s="113"/>
      <c r="BJ21" s="113"/>
      <c r="BK21" s="113"/>
      <c r="BL21" s="113"/>
      <c r="BM21" s="113"/>
      <c r="BN21" s="113"/>
      <c r="BO21" s="113"/>
      <c r="BP21" s="113"/>
      <c r="BQ21" s="113"/>
      <c r="BR21" s="113"/>
      <c r="BS21" s="113"/>
      <c r="BT21" s="113"/>
      <c r="BU21" s="113"/>
      <c r="BV21" s="113"/>
      <c r="BW21" s="114">
        <v>0.0</v>
      </c>
      <c r="BX21" s="114">
        <v>0.0</v>
      </c>
      <c r="BY21" s="114">
        <v>0.0</v>
      </c>
      <c r="BZ21" s="114">
        <v>0.0</v>
      </c>
      <c r="CA21" s="114">
        <v>0.0</v>
      </c>
      <c r="CB21" s="113"/>
      <c r="CC21" s="113"/>
      <c r="CD21" s="113"/>
      <c r="CE21" s="113"/>
      <c r="CF21" s="113"/>
      <c r="CG21" s="113"/>
      <c r="CH21" s="113"/>
      <c r="CI21" s="114">
        <v>1.0</v>
      </c>
      <c r="CJ21" s="114">
        <v>1.0</v>
      </c>
      <c r="CK21" s="114">
        <v>1.0</v>
      </c>
      <c r="CL21" s="114">
        <v>0.0</v>
      </c>
      <c r="CM21" s="113"/>
      <c r="CN21" s="113"/>
      <c r="CO21" s="113"/>
      <c r="CP21" s="113"/>
      <c r="CQ21" s="114">
        <v>1.0</v>
      </c>
      <c r="CR21" s="113"/>
      <c r="CS21" s="113"/>
      <c r="CT21" s="113"/>
      <c r="CU21" s="113"/>
      <c r="CV21" s="113"/>
      <c r="CW21" s="113"/>
      <c r="CX21" s="113"/>
      <c r="CY21" s="114">
        <v>1.0</v>
      </c>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c r="ED21" s="113"/>
      <c r="EE21" s="113"/>
    </row>
    <row r="22" ht="19.5" customHeight="1">
      <c r="A22" s="84" t="str">
        <f>IF(Roster!$A$20&lt;&gt;"",Roster!$A$20,"")</f>
        <v>Kit Asterin</v>
      </c>
      <c r="B22" s="113">
        <v>1.0</v>
      </c>
      <c r="C22" s="114">
        <v>1.0</v>
      </c>
      <c r="D22" s="113"/>
      <c r="E22" s="113"/>
      <c r="F22" s="113"/>
      <c r="G22" s="113">
        <v>1.0</v>
      </c>
      <c r="H22" s="113">
        <v>1.0</v>
      </c>
      <c r="I22" s="113">
        <v>0.0</v>
      </c>
      <c r="J22" s="113">
        <v>1.0</v>
      </c>
      <c r="K22" s="113"/>
      <c r="L22" s="113">
        <v>1.0</v>
      </c>
      <c r="M22" s="113">
        <v>1.0</v>
      </c>
      <c r="N22" s="113"/>
      <c r="O22" s="113">
        <v>0.0</v>
      </c>
      <c r="P22" s="113">
        <v>0.0</v>
      </c>
      <c r="Q22" s="113"/>
      <c r="R22" s="113"/>
      <c r="S22" s="113"/>
      <c r="T22" s="113"/>
      <c r="U22" s="113"/>
      <c r="V22" s="113"/>
      <c r="W22" s="113"/>
      <c r="X22" s="113"/>
      <c r="Y22" s="113"/>
      <c r="Z22" s="113"/>
      <c r="AA22" s="113"/>
      <c r="AB22" s="114">
        <v>0.0</v>
      </c>
      <c r="AC22" s="113"/>
      <c r="AD22" s="114">
        <v>1.0</v>
      </c>
      <c r="AE22" s="113"/>
      <c r="AF22" s="113"/>
      <c r="AG22" s="113"/>
      <c r="AH22" s="113"/>
      <c r="AI22" s="114">
        <v>0.0</v>
      </c>
      <c r="AJ22" s="114">
        <v>1.0</v>
      </c>
      <c r="AK22" s="113">
        <v>1.0</v>
      </c>
      <c r="AL22" s="113">
        <v>1.0</v>
      </c>
      <c r="AM22" s="113"/>
      <c r="AN22" s="113"/>
      <c r="AO22" s="113"/>
      <c r="AP22" s="113"/>
      <c r="AQ22" s="113"/>
      <c r="AR22" s="114">
        <v>1.0</v>
      </c>
      <c r="AS22" s="116">
        <v>1.0</v>
      </c>
      <c r="AT22" s="113"/>
      <c r="AU22" s="113"/>
      <c r="AV22" s="113">
        <v>0.0</v>
      </c>
      <c r="AW22" s="113"/>
      <c r="AX22" s="113"/>
      <c r="AY22" s="113"/>
      <c r="AZ22" s="113"/>
      <c r="BA22" s="113"/>
      <c r="BB22" s="113"/>
      <c r="BC22" s="113">
        <v>0.0</v>
      </c>
      <c r="BD22" s="114">
        <v>1.0</v>
      </c>
      <c r="BE22" s="116">
        <v>1.0</v>
      </c>
      <c r="BF22" s="113"/>
      <c r="BG22" s="113"/>
      <c r="BH22" s="113"/>
      <c r="BI22" s="113"/>
      <c r="BJ22" s="113"/>
      <c r="BK22" s="113"/>
      <c r="BL22" s="113"/>
      <c r="BM22" s="113"/>
      <c r="BN22" s="113"/>
      <c r="BO22" s="113"/>
      <c r="BP22" s="113"/>
      <c r="BQ22" s="113"/>
      <c r="BR22" s="113"/>
      <c r="BS22" s="113"/>
      <c r="BT22" s="113"/>
      <c r="BU22" s="113"/>
      <c r="BV22" s="114"/>
      <c r="BW22" s="114">
        <v>1.0</v>
      </c>
      <c r="BX22" s="114">
        <v>0.0</v>
      </c>
      <c r="BY22" s="114">
        <v>0.0</v>
      </c>
      <c r="BZ22" s="114">
        <v>0.0</v>
      </c>
      <c r="CA22" s="114">
        <v>0.0</v>
      </c>
      <c r="CB22" s="113"/>
      <c r="CC22" s="113"/>
      <c r="CD22" s="113"/>
      <c r="CE22" s="113"/>
      <c r="CF22" s="113"/>
      <c r="CG22" s="113"/>
      <c r="CH22" s="113"/>
      <c r="CI22" s="114">
        <v>1.0</v>
      </c>
      <c r="CJ22" s="114">
        <v>0.0</v>
      </c>
      <c r="CK22" s="114">
        <v>1.0</v>
      </c>
      <c r="CL22" s="114">
        <v>1.0</v>
      </c>
      <c r="CM22" s="113"/>
      <c r="CN22" s="113"/>
      <c r="CO22" s="113"/>
      <c r="CP22" s="113"/>
      <c r="CQ22" s="114">
        <v>1.0</v>
      </c>
      <c r="CR22" s="113"/>
      <c r="CS22" s="113"/>
      <c r="CT22" s="113"/>
      <c r="CU22" s="113"/>
      <c r="CV22" s="113"/>
      <c r="CW22" s="113"/>
      <c r="CX22" s="113"/>
      <c r="CY22" s="114">
        <v>1.0</v>
      </c>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3"/>
    </row>
    <row r="23" ht="19.5" customHeight="1">
      <c r="A23" s="84" t="str">
        <f>IF(Roster!$A$21&lt;&gt;"",Roster!$A$21,"")</f>
        <v>Kristin Dudley</v>
      </c>
      <c r="B23" s="113">
        <v>1.0</v>
      </c>
      <c r="C23" s="114">
        <v>1.0</v>
      </c>
      <c r="D23" s="113"/>
      <c r="E23" s="113"/>
      <c r="F23" s="113"/>
      <c r="G23" s="113">
        <v>1.0</v>
      </c>
      <c r="H23" s="113">
        <v>1.0</v>
      </c>
      <c r="I23" s="113">
        <v>1.0</v>
      </c>
      <c r="J23" s="113">
        <v>1.0</v>
      </c>
      <c r="K23" s="113"/>
      <c r="L23" s="113">
        <v>0.0</v>
      </c>
      <c r="M23" s="113">
        <v>1.0</v>
      </c>
      <c r="N23" s="113"/>
      <c r="O23" s="113">
        <v>1.0</v>
      </c>
      <c r="P23" s="113">
        <v>0.0</v>
      </c>
      <c r="Q23" s="113"/>
      <c r="R23" s="113"/>
      <c r="S23" s="113"/>
      <c r="T23" s="113"/>
      <c r="U23" s="113"/>
      <c r="V23" s="113"/>
      <c r="W23" s="113"/>
      <c r="X23" s="113"/>
      <c r="Y23" s="113"/>
      <c r="Z23" s="113"/>
      <c r="AA23" s="113"/>
      <c r="AB23" s="114">
        <v>0.0</v>
      </c>
      <c r="AC23" s="113"/>
      <c r="AD23" s="114">
        <v>1.0</v>
      </c>
      <c r="AE23" s="113"/>
      <c r="AF23" s="113"/>
      <c r="AG23" s="113"/>
      <c r="AH23" s="113"/>
      <c r="AI23" s="114">
        <v>0.0</v>
      </c>
      <c r="AJ23" s="114">
        <v>1.0</v>
      </c>
      <c r="AK23" s="113">
        <v>0.0</v>
      </c>
      <c r="AL23" s="113">
        <v>1.0</v>
      </c>
      <c r="AM23" s="113"/>
      <c r="AN23" s="113"/>
      <c r="AO23" s="113"/>
      <c r="AP23" s="113"/>
      <c r="AQ23" s="113"/>
      <c r="AR23" s="114">
        <v>1.0</v>
      </c>
      <c r="AS23" s="116">
        <v>1.0</v>
      </c>
      <c r="AT23" s="113"/>
      <c r="AU23" s="113"/>
      <c r="AV23" s="113">
        <v>0.0</v>
      </c>
      <c r="AW23" s="113"/>
      <c r="AX23" s="113"/>
      <c r="AY23" s="113"/>
      <c r="AZ23" s="113"/>
      <c r="BA23" s="113"/>
      <c r="BB23" s="113"/>
      <c r="BC23" s="113">
        <v>0.0</v>
      </c>
      <c r="BD23" s="114">
        <v>1.0</v>
      </c>
      <c r="BE23" s="115">
        <v>0.0</v>
      </c>
      <c r="BF23" s="113"/>
      <c r="BG23" s="113"/>
      <c r="BH23" s="113"/>
      <c r="BI23" s="113"/>
      <c r="BJ23" s="113"/>
      <c r="BK23" s="113"/>
      <c r="BL23" s="113"/>
      <c r="BM23" s="113"/>
      <c r="BN23" s="113"/>
      <c r="BO23" s="113"/>
      <c r="BP23" s="113"/>
      <c r="BQ23" s="113"/>
      <c r="BR23" s="113"/>
      <c r="BS23" s="113"/>
      <c r="BT23" s="113"/>
      <c r="BU23" s="113"/>
      <c r="BV23" s="114"/>
      <c r="BW23" s="114">
        <v>1.0</v>
      </c>
      <c r="BX23" s="114">
        <v>0.0</v>
      </c>
      <c r="BY23" s="114">
        <v>0.0</v>
      </c>
      <c r="BZ23" s="114">
        <v>0.0</v>
      </c>
      <c r="CA23" s="114">
        <v>0.0</v>
      </c>
      <c r="CB23" s="113"/>
      <c r="CC23" s="113"/>
      <c r="CD23" s="113"/>
      <c r="CE23" s="113"/>
      <c r="CF23" s="113"/>
      <c r="CG23" s="113"/>
      <c r="CH23" s="113"/>
      <c r="CI23" s="114">
        <v>1.0</v>
      </c>
      <c r="CJ23" s="114">
        <v>0.0</v>
      </c>
      <c r="CK23" s="114">
        <v>1.0</v>
      </c>
      <c r="CL23" s="114">
        <v>0.0</v>
      </c>
      <c r="CM23" s="113"/>
      <c r="CN23" s="113"/>
      <c r="CO23" s="113"/>
      <c r="CP23" s="113"/>
      <c r="CQ23" s="114">
        <v>1.0</v>
      </c>
      <c r="CR23" s="113"/>
      <c r="CS23" s="113"/>
      <c r="CT23" s="113"/>
      <c r="CU23" s="113"/>
      <c r="CV23" s="113"/>
      <c r="CW23" s="113"/>
      <c r="CX23" s="113"/>
      <c r="CY23" s="114">
        <v>1.0</v>
      </c>
      <c r="CZ23" s="113"/>
      <c r="DA23" s="113"/>
      <c r="DB23" s="113"/>
      <c r="DC23" s="113"/>
      <c r="DD23" s="113"/>
      <c r="DE23" s="113"/>
      <c r="DF23" s="113"/>
      <c r="DG23" s="113"/>
      <c r="DH23" s="113"/>
      <c r="DI23" s="113"/>
      <c r="DJ23" s="113"/>
      <c r="DK23" s="113"/>
      <c r="DL23" s="113"/>
      <c r="DM23" s="113"/>
      <c r="DN23" s="113"/>
      <c r="DO23" s="113"/>
      <c r="DP23" s="113"/>
      <c r="DQ23" s="113"/>
      <c r="DR23" s="113"/>
      <c r="DS23" s="113"/>
      <c r="DT23" s="113"/>
      <c r="DU23" s="113"/>
      <c r="DV23" s="113"/>
      <c r="DW23" s="113"/>
      <c r="DX23" s="113"/>
      <c r="DY23" s="113"/>
      <c r="DZ23" s="113"/>
      <c r="EA23" s="113"/>
      <c r="EB23" s="113"/>
      <c r="EC23" s="113"/>
      <c r="ED23" s="113"/>
      <c r="EE23" s="113"/>
    </row>
    <row r="24" ht="19.5" customHeight="1">
      <c r="A24" s="84" t="str">
        <f>IF(Roster!$A$22&lt;&gt;"",Roster!$A$22,"")</f>
        <v>Lexie Thomas</v>
      </c>
      <c r="B24" s="113">
        <v>1.0</v>
      </c>
      <c r="C24" s="114">
        <v>1.0</v>
      </c>
      <c r="D24" s="113"/>
      <c r="E24" s="113"/>
      <c r="F24" s="113"/>
      <c r="G24" s="113">
        <v>1.0</v>
      </c>
      <c r="H24" s="113">
        <v>1.0</v>
      </c>
      <c r="I24" s="113">
        <v>0.0</v>
      </c>
      <c r="J24" s="113">
        <v>1.0</v>
      </c>
      <c r="K24" s="113"/>
      <c r="L24" s="113">
        <v>0.0</v>
      </c>
      <c r="M24" s="113">
        <v>1.0</v>
      </c>
      <c r="N24" s="113"/>
      <c r="O24" s="113">
        <v>0.0</v>
      </c>
      <c r="P24" s="113">
        <v>0.0</v>
      </c>
      <c r="Q24" s="113"/>
      <c r="R24" s="113"/>
      <c r="S24" s="113"/>
      <c r="T24" s="113"/>
      <c r="U24" s="113"/>
      <c r="V24" s="113"/>
      <c r="W24" s="113"/>
      <c r="X24" s="113"/>
      <c r="Y24" s="113"/>
      <c r="Z24" s="113"/>
      <c r="AA24" s="113"/>
      <c r="AB24" s="113">
        <v>1.0</v>
      </c>
      <c r="AC24" s="113"/>
      <c r="AD24" s="114">
        <v>1.0</v>
      </c>
      <c r="AE24" s="113"/>
      <c r="AF24" s="113"/>
      <c r="AG24" s="113"/>
      <c r="AH24" s="113"/>
      <c r="AI24" s="114">
        <v>0.0</v>
      </c>
      <c r="AJ24" s="114">
        <v>1.0</v>
      </c>
      <c r="AK24" s="113">
        <v>0.0</v>
      </c>
      <c r="AL24" s="113">
        <v>1.0</v>
      </c>
      <c r="AM24" s="113"/>
      <c r="AN24" s="113"/>
      <c r="AO24" s="113"/>
      <c r="AP24" s="113"/>
      <c r="AQ24" s="113"/>
      <c r="AR24" s="114">
        <v>1.0</v>
      </c>
      <c r="AS24" s="116">
        <v>1.0</v>
      </c>
      <c r="AT24" s="113"/>
      <c r="AU24" s="113"/>
      <c r="AV24" s="113">
        <v>0.0</v>
      </c>
      <c r="AW24" s="113"/>
      <c r="AX24" s="113"/>
      <c r="AY24" s="113"/>
      <c r="AZ24" s="113"/>
      <c r="BA24" s="113"/>
      <c r="BB24" s="113"/>
      <c r="BC24" s="113">
        <v>1.0</v>
      </c>
      <c r="BD24" s="114">
        <v>1.0</v>
      </c>
      <c r="BE24" s="116">
        <v>1.0</v>
      </c>
      <c r="BF24" s="113"/>
      <c r="BG24" s="113"/>
      <c r="BH24" s="113"/>
      <c r="BI24" s="113"/>
      <c r="BJ24" s="113"/>
      <c r="BK24" s="113"/>
      <c r="BL24" s="113"/>
      <c r="BM24" s="113"/>
      <c r="BN24" s="113"/>
      <c r="BO24" s="113"/>
      <c r="BP24" s="113"/>
      <c r="BQ24" s="113"/>
      <c r="BR24" s="113"/>
      <c r="BS24" s="113"/>
      <c r="BT24" s="113"/>
      <c r="BU24" s="113"/>
      <c r="BV24" s="113"/>
      <c r="BW24" s="114">
        <v>1.0</v>
      </c>
      <c r="BX24" s="114">
        <v>0.0</v>
      </c>
      <c r="BY24" s="114">
        <v>0.0</v>
      </c>
      <c r="BZ24" s="114">
        <v>0.0</v>
      </c>
      <c r="CA24" s="114">
        <v>0.0</v>
      </c>
      <c r="CB24" s="113"/>
      <c r="CC24" s="113"/>
      <c r="CD24" s="113"/>
      <c r="CE24" s="113"/>
      <c r="CF24" s="113"/>
      <c r="CG24" s="113"/>
      <c r="CH24" s="113"/>
      <c r="CI24" s="114">
        <v>1.0</v>
      </c>
      <c r="CJ24" s="114">
        <v>0.0</v>
      </c>
      <c r="CK24" s="114">
        <v>1.0</v>
      </c>
      <c r="CL24" s="114">
        <v>0.0</v>
      </c>
      <c r="CM24" s="113"/>
      <c r="CN24" s="113"/>
      <c r="CO24" s="113"/>
      <c r="CP24" s="113"/>
      <c r="CQ24" s="114">
        <v>1.0</v>
      </c>
      <c r="CR24" s="113"/>
      <c r="CS24" s="113"/>
      <c r="CT24" s="113"/>
      <c r="CU24" s="113"/>
      <c r="CV24" s="113"/>
      <c r="CW24" s="113"/>
      <c r="CX24" s="113"/>
      <c r="CY24" s="114">
        <v>1.0</v>
      </c>
      <c r="CZ24" s="113"/>
      <c r="DA24" s="113"/>
      <c r="DB24" s="113"/>
      <c r="DC24" s="113"/>
      <c r="DD24" s="113"/>
      <c r="DE24" s="113"/>
      <c r="DF24" s="113"/>
      <c r="DG24" s="113"/>
      <c r="DH24" s="113"/>
      <c r="DI24" s="113"/>
      <c r="DJ24" s="113"/>
      <c r="DK24" s="113"/>
      <c r="DL24" s="113"/>
      <c r="DM24" s="113"/>
      <c r="DN24" s="113"/>
      <c r="DO24" s="113"/>
      <c r="DP24" s="113"/>
      <c r="DQ24" s="113"/>
      <c r="DR24" s="113"/>
      <c r="DS24" s="113"/>
      <c r="DT24" s="113"/>
      <c r="DU24" s="113"/>
      <c r="DV24" s="113"/>
      <c r="DW24" s="113"/>
      <c r="DX24" s="113"/>
      <c r="DY24" s="113"/>
      <c r="DZ24" s="113"/>
      <c r="EA24" s="113"/>
      <c r="EB24" s="113"/>
      <c r="EC24" s="113"/>
      <c r="ED24" s="113"/>
      <c r="EE24" s="113"/>
    </row>
    <row r="25" ht="19.5" customHeight="1">
      <c r="A25" s="84" t="str">
        <f>IF(Roster!$A$23&lt;&gt;"",Roster!$A$23,"")</f>
        <v>Lucas Jones</v>
      </c>
      <c r="B25" s="113">
        <v>0.0</v>
      </c>
      <c r="C25" s="114">
        <v>0.0</v>
      </c>
      <c r="D25" s="113"/>
      <c r="E25" s="113"/>
      <c r="F25" s="113"/>
      <c r="G25" s="113">
        <v>1.0</v>
      </c>
      <c r="H25" s="113">
        <v>0.0</v>
      </c>
      <c r="I25" s="113">
        <v>0.0</v>
      </c>
      <c r="J25" s="113">
        <v>1.0</v>
      </c>
      <c r="K25" s="113"/>
      <c r="L25" s="113">
        <v>0.0</v>
      </c>
      <c r="M25" s="113">
        <v>0.0</v>
      </c>
      <c r="N25" s="113"/>
      <c r="O25" s="113">
        <v>0.0</v>
      </c>
      <c r="P25" s="113">
        <v>0.0</v>
      </c>
      <c r="Q25" s="113"/>
      <c r="R25" s="113"/>
      <c r="S25" s="113"/>
      <c r="T25" s="113"/>
      <c r="U25" s="113"/>
      <c r="V25" s="113"/>
      <c r="W25" s="113"/>
      <c r="X25" s="113"/>
      <c r="Y25" s="113"/>
      <c r="Z25" s="113"/>
      <c r="AA25" s="113"/>
      <c r="AB25" s="113">
        <v>0.0</v>
      </c>
      <c r="AC25" s="113"/>
      <c r="AD25" s="114">
        <v>0.0</v>
      </c>
      <c r="AE25" s="113"/>
      <c r="AF25" s="113"/>
      <c r="AG25" s="113"/>
      <c r="AH25" s="113"/>
      <c r="AI25" s="114">
        <v>0.0</v>
      </c>
      <c r="AJ25" s="114">
        <v>0.0</v>
      </c>
      <c r="AK25" s="113">
        <v>0.0</v>
      </c>
      <c r="AL25" s="113">
        <v>1.0</v>
      </c>
      <c r="AM25" s="113"/>
      <c r="AN25" s="113"/>
      <c r="AO25" s="113"/>
      <c r="AP25" s="113"/>
      <c r="AQ25" s="113"/>
      <c r="AR25" s="114" t="s">
        <v>343</v>
      </c>
      <c r="AS25" s="116">
        <v>0.0</v>
      </c>
      <c r="AT25" s="113"/>
      <c r="AU25" s="113"/>
      <c r="AV25" s="113">
        <v>0.0</v>
      </c>
      <c r="AW25" s="113"/>
      <c r="AX25" s="113"/>
      <c r="AY25" s="113"/>
      <c r="AZ25" s="113"/>
      <c r="BA25" s="113"/>
      <c r="BB25" s="113"/>
      <c r="BC25" s="113">
        <v>0.0</v>
      </c>
      <c r="BD25" s="114">
        <v>0.0</v>
      </c>
      <c r="BE25" s="116">
        <v>0.0</v>
      </c>
      <c r="BF25" s="113"/>
      <c r="BG25" s="113"/>
      <c r="BH25" s="113"/>
      <c r="BI25" s="113"/>
      <c r="BJ25" s="113"/>
      <c r="BK25" s="113"/>
      <c r="BL25" s="113"/>
      <c r="BM25" s="113"/>
      <c r="BN25" s="113"/>
      <c r="BO25" s="113"/>
      <c r="BP25" s="113"/>
      <c r="BQ25" s="113"/>
      <c r="BR25" s="113"/>
      <c r="BS25" s="113"/>
      <c r="BT25" s="113"/>
      <c r="BU25" s="113"/>
      <c r="BV25" s="113"/>
      <c r="BW25" s="114">
        <v>1.0</v>
      </c>
      <c r="BX25" s="114">
        <v>0.0</v>
      </c>
      <c r="BY25" s="114">
        <v>0.0</v>
      </c>
      <c r="BZ25" s="114">
        <v>0.0</v>
      </c>
      <c r="CA25" s="114">
        <v>0.0</v>
      </c>
      <c r="CB25" s="113"/>
      <c r="CC25" s="113"/>
      <c r="CD25" s="113"/>
      <c r="CE25" s="113"/>
      <c r="CF25" s="113"/>
      <c r="CG25" s="113"/>
      <c r="CH25" s="113"/>
      <c r="CI25" s="114" t="s">
        <v>343</v>
      </c>
      <c r="CJ25" s="114" t="s">
        <v>343</v>
      </c>
      <c r="CK25" s="114" t="s">
        <v>343</v>
      </c>
      <c r="CL25" s="114">
        <v>0.0</v>
      </c>
      <c r="CM25" s="113"/>
      <c r="CN25" s="113"/>
      <c r="CO25" s="113"/>
      <c r="CP25" s="113"/>
      <c r="CQ25" s="114" t="s">
        <v>343</v>
      </c>
      <c r="CR25" s="113"/>
      <c r="CS25" s="113"/>
      <c r="CT25" s="113"/>
      <c r="CU25" s="113"/>
      <c r="CV25" s="113"/>
      <c r="CW25" s="113"/>
      <c r="CX25" s="113"/>
      <c r="CY25" s="114" t="s">
        <v>343</v>
      </c>
      <c r="CZ25" s="113"/>
      <c r="DA25" s="113"/>
      <c r="DB25" s="113"/>
      <c r="DC25" s="113"/>
      <c r="DD25" s="113"/>
      <c r="DE25" s="113"/>
      <c r="DF25" s="113"/>
      <c r="DG25" s="113"/>
      <c r="DH25" s="113"/>
      <c r="DI25" s="113"/>
      <c r="DJ25" s="113"/>
      <c r="DK25" s="113"/>
      <c r="DL25" s="113"/>
      <c r="DM25" s="113"/>
      <c r="DN25" s="113"/>
      <c r="DO25" s="113"/>
      <c r="DP25" s="113"/>
      <c r="DQ25" s="113"/>
      <c r="DR25" s="113"/>
      <c r="DS25" s="113"/>
      <c r="DT25" s="113"/>
      <c r="DU25" s="113"/>
      <c r="DV25" s="113"/>
      <c r="DW25" s="113"/>
      <c r="DX25" s="113"/>
      <c r="DY25" s="113"/>
      <c r="DZ25" s="113"/>
      <c r="EA25" s="113"/>
      <c r="EB25" s="113"/>
      <c r="EC25" s="113"/>
      <c r="ED25" s="113"/>
      <c r="EE25" s="113"/>
    </row>
    <row r="26" ht="19.5" customHeight="1">
      <c r="A26" s="84" t="str">
        <f>IF(Roster!$A$24&lt;&gt;"",Roster!$A$24,"")</f>
        <v>Max Sheppard</v>
      </c>
      <c r="B26" s="113">
        <v>1.0</v>
      </c>
      <c r="C26" s="114">
        <v>0.0</v>
      </c>
      <c r="D26" s="113"/>
      <c r="E26" s="113"/>
      <c r="F26" s="113"/>
      <c r="G26" s="113" t="s">
        <v>343</v>
      </c>
      <c r="H26" s="113">
        <v>1.0</v>
      </c>
      <c r="I26" s="113">
        <v>0.0</v>
      </c>
      <c r="J26" s="113" t="s">
        <v>343</v>
      </c>
      <c r="K26" s="113"/>
      <c r="L26" s="113">
        <v>0.0</v>
      </c>
      <c r="M26" s="113">
        <v>1.0</v>
      </c>
      <c r="N26" s="113"/>
      <c r="O26" s="113">
        <v>0.0</v>
      </c>
      <c r="P26" s="113">
        <v>0.0</v>
      </c>
      <c r="Q26" s="113"/>
      <c r="R26" s="113"/>
      <c r="S26" s="113"/>
      <c r="T26" s="113"/>
      <c r="U26" s="113"/>
      <c r="V26" s="113"/>
      <c r="W26" s="113"/>
      <c r="X26" s="113"/>
      <c r="Y26" s="113"/>
      <c r="Z26" s="113"/>
      <c r="AA26" s="113"/>
      <c r="AB26" s="113">
        <v>1.0</v>
      </c>
      <c r="AC26" s="113"/>
      <c r="AD26" s="114">
        <v>0.0</v>
      </c>
      <c r="AE26" s="113"/>
      <c r="AF26" s="113"/>
      <c r="AG26" s="113"/>
      <c r="AH26" s="113"/>
      <c r="AI26" s="114">
        <v>0.0</v>
      </c>
      <c r="AJ26" s="114">
        <v>0.0</v>
      </c>
      <c r="AK26" s="113">
        <v>0.0</v>
      </c>
      <c r="AL26" s="113" t="s">
        <v>343</v>
      </c>
      <c r="AM26" s="113"/>
      <c r="AN26" s="113"/>
      <c r="AO26" s="113"/>
      <c r="AP26" s="113"/>
      <c r="AQ26" s="113"/>
      <c r="AR26" s="114">
        <v>0.0</v>
      </c>
      <c r="AS26" s="116">
        <v>0.0</v>
      </c>
      <c r="AT26" s="113"/>
      <c r="AU26" s="113"/>
      <c r="AV26" s="113">
        <v>0.0</v>
      </c>
      <c r="AW26" s="113"/>
      <c r="AX26" s="113"/>
      <c r="AY26" s="113"/>
      <c r="AZ26" s="113"/>
      <c r="BA26" s="113"/>
      <c r="BB26" s="113"/>
      <c r="BC26" s="114" t="s">
        <v>343</v>
      </c>
      <c r="BD26" s="114">
        <v>0.0</v>
      </c>
      <c r="BE26" s="116">
        <v>0.0</v>
      </c>
      <c r="BF26" s="113"/>
      <c r="BG26" s="113"/>
      <c r="BH26" s="113"/>
      <c r="BI26" s="113"/>
      <c r="BJ26" s="113"/>
      <c r="BK26" s="113"/>
      <c r="BL26" s="113"/>
      <c r="BM26" s="113"/>
      <c r="BN26" s="113"/>
      <c r="BO26" s="113"/>
      <c r="BP26" s="113"/>
      <c r="BQ26" s="113"/>
      <c r="BR26" s="113"/>
      <c r="BS26" s="113"/>
      <c r="BT26" s="113"/>
      <c r="BU26" s="113"/>
      <c r="BV26" s="113"/>
      <c r="BW26" s="114">
        <v>0.0</v>
      </c>
      <c r="BX26" s="114">
        <v>0.0</v>
      </c>
      <c r="BY26" s="114">
        <v>0.0</v>
      </c>
      <c r="BZ26" s="114">
        <v>0.0</v>
      </c>
      <c r="CA26" s="114">
        <v>0.0</v>
      </c>
      <c r="CB26" s="113"/>
      <c r="CC26" s="113"/>
      <c r="CD26" s="113"/>
      <c r="CE26" s="113"/>
      <c r="CF26" s="113"/>
      <c r="CG26" s="113"/>
      <c r="CH26" s="113"/>
      <c r="CI26" s="114">
        <v>0.0</v>
      </c>
      <c r="CJ26" s="114">
        <v>0.0</v>
      </c>
      <c r="CK26" s="114">
        <v>1.0</v>
      </c>
      <c r="CL26" s="114">
        <v>1.0</v>
      </c>
      <c r="CM26" s="113"/>
      <c r="CN26" s="113"/>
      <c r="CO26" s="113"/>
      <c r="CP26" s="113"/>
      <c r="CQ26" s="114">
        <v>1.0</v>
      </c>
      <c r="CR26" s="113"/>
      <c r="CS26" s="113"/>
      <c r="CT26" s="113"/>
      <c r="CU26" s="113"/>
      <c r="CV26" s="113"/>
      <c r="CW26" s="113"/>
      <c r="CX26" s="113"/>
      <c r="CY26" s="114">
        <v>1.0</v>
      </c>
      <c r="CZ26" s="113"/>
      <c r="DA26" s="113"/>
      <c r="DB26" s="113"/>
      <c r="DC26" s="113"/>
      <c r="DD26" s="113"/>
      <c r="DE26" s="113"/>
      <c r="DF26" s="113"/>
      <c r="DG26" s="113"/>
      <c r="DH26" s="113"/>
      <c r="DI26" s="113"/>
      <c r="DJ26" s="113"/>
      <c r="DK26" s="113"/>
      <c r="DL26" s="113"/>
      <c r="DM26" s="113"/>
      <c r="DN26" s="113"/>
      <c r="DO26" s="113"/>
      <c r="DP26" s="113"/>
      <c r="DQ26" s="113"/>
      <c r="DR26" s="113"/>
      <c r="DS26" s="113"/>
      <c r="DT26" s="113"/>
      <c r="DU26" s="113"/>
      <c r="DV26" s="113"/>
      <c r="DW26" s="113"/>
      <c r="DX26" s="113"/>
      <c r="DY26" s="113"/>
      <c r="DZ26" s="113"/>
      <c r="EA26" s="113"/>
      <c r="EB26" s="113"/>
      <c r="EC26" s="113"/>
      <c r="ED26" s="113"/>
      <c r="EE26" s="113"/>
    </row>
    <row r="27" ht="19.5" customHeight="1">
      <c r="A27" s="84" t="str">
        <f>IF(Roster!$A$25&lt;&gt;"",Roster!$A$25,"")</f>
        <v>Lucius Christie</v>
      </c>
      <c r="B27" s="113">
        <v>1.0</v>
      </c>
      <c r="C27" s="114">
        <v>1.0</v>
      </c>
      <c r="D27" s="113"/>
      <c r="E27" s="113"/>
      <c r="F27" s="113"/>
      <c r="G27" s="113">
        <v>1.0</v>
      </c>
      <c r="H27" s="113">
        <v>1.0</v>
      </c>
      <c r="I27" s="113">
        <v>0.0</v>
      </c>
      <c r="J27" s="113">
        <v>1.0</v>
      </c>
      <c r="K27" s="113"/>
      <c r="L27" s="113">
        <v>0.0</v>
      </c>
      <c r="M27" s="113">
        <v>1.0</v>
      </c>
      <c r="N27" s="113"/>
      <c r="O27" s="113">
        <v>0.0</v>
      </c>
      <c r="P27" s="113">
        <v>0.0</v>
      </c>
      <c r="Q27" s="113"/>
      <c r="R27" s="113"/>
      <c r="S27" s="113"/>
      <c r="T27" s="113"/>
      <c r="U27" s="113"/>
      <c r="V27" s="113"/>
      <c r="W27" s="113"/>
      <c r="X27" s="113"/>
      <c r="Y27" s="113"/>
      <c r="Z27" s="113"/>
      <c r="AA27" s="113"/>
      <c r="AB27" s="113">
        <v>1.0</v>
      </c>
      <c r="AC27" s="113"/>
      <c r="AD27" s="114">
        <v>1.0</v>
      </c>
      <c r="AE27" s="113"/>
      <c r="AF27" s="113"/>
      <c r="AG27" s="113"/>
      <c r="AH27" s="113"/>
      <c r="AI27" s="114">
        <v>1.0</v>
      </c>
      <c r="AJ27" s="114">
        <v>1.0</v>
      </c>
      <c r="AK27" s="113">
        <v>0.0</v>
      </c>
      <c r="AL27" s="113">
        <v>1.0</v>
      </c>
      <c r="AM27" s="113"/>
      <c r="AN27" s="113"/>
      <c r="AO27" s="113"/>
      <c r="AP27" s="113"/>
      <c r="AQ27" s="113"/>
      <c r="AR27" s="114">
        <v>1.0</v>
      </c>
      <c r="AS27" s="116">
        <v>1.0</v>
      </c>
      <c r="AT27" s="113"/>
      <c r="AU27" s="113"/>
      <c r="AV27" s="113">
        <v>1.0</v>
      </c>
      <c r="AW27" s="113"/>
      <c r="AX27" s="113"/>
      <c r="AY27" s="113"/>
      <c r="AZ27" s="113"/>
      <c r="BA27" s="113"/>
      <c r="BB27" s="113"/>
      <c r="BC27" s="113">
        <v>1.0</v>
      </c>
      <c r="BD27" s="114">
        <v>1.0</v>
      </c>
      <c r="BE27" s="116">
        <v>1.0</v>
      </c>
      <c r="BF27" s="113"/>
      <c r="BG27" s="113"/>
      <c r="BH27" s="113"/>
      <c r="BI27" s="113"/>
      <c r="BJ27" s="113"/>
      <c r="BK27" s="113"/>
      <c r="BL27" s="113"/>
      <c r="BM27" s="113"/>
      <c r="BN27" s="113"/>
      <c r="BO27" s="113"/>
      <c r="BP27" s="113"/>
      <c r="BQ27" s="113"/>
      <c r="BR27" s="113"/>
      <c r="BS27" s="113"/>
      <c r="BT27" s="113"/>
      <c r="BU27" s="113"/>
      <c r="BV27" s="113"/>
      <c r="BW27" s="114">
        <v>1.0</v>
      </c>
      <c r="BX27" s="114">
        <v>0.0</v>
      </c>
      <c r="BY27" s="114">
        <v>0.0</v>
      </c>
      <c r="BZ27" s="114">
        <v>0.0</v>
      </c>
      <c r="CA27" s="114">
        <v>0.0</v>
      </c>
      <c r="CB27" s="113"/>
      <c r="CC27" s="113"/>
      <c r="CD27" s="113"/>
      <c r="CE27" s="113"/>
      <c r="CF27" s="113"/>
      <c r="CG27" s="113"/>
      <c r="CH27" s="113"/>
      <c r="CI27" s="114">
        <v>1.0</v>
      </c>
      <c r="CJ27" s="114">
        <v>1.0</v>
      </c>
      <c r="CK27" s="114">
        <v>1.0</v>
      </c>
      <c r="CL27" s="114">
        <v>1.0</v>
      </c>
      <c r="CM27" s="113"/>
      <c r="CN27" s="113"/>
      <c r="CO27" s="113"/>
      <c r="CP27" s="113"/>
      <c r="CQ27" s="114">
        <v>1.0</v>
      </c>
      <c r="CR27" s="113"/>
      <c r="CS27" s="113"/>
      <c r="CT27" s="113"/>
      <c r="CU27" s="113"/>
      <c r="CV27" s="113"/>
      <c r="CW27" s="113"/>
      <c r="CX27" s="113"/>
      <c r="CY27" s="114">
        <v>1.0</v>
      </c>
      <c r="CZ27" s="113"/>
      <c r="DA27" s="113"/>
      <c r="DB27" s="113"/>
      <c r="DC27" s="113"/>
      <c r="DD27" s="113"/>
      <c r="DE27" s="113"/>
      <c r="DF27" s="113"/>
      <c r="DG27" s="113"/>
      <c r="DH27" s="113"/>
      <c r="DI27" s="113"/>
      <c r="DJ27" s="113"/>
      <c r="DK27" s="113"/>
      <c r="DL27" s="113"/>
      <c r="DM27" s="113"/>
      <c r="DN27" s="113"/>
      <c r="DO27" s="113"/>
      <c r="DP27" s="113"/>
      <c r="DQ27" s="113"/>
      <c r="DR27" s="113"/>
      <c r="DS27" s="113"/>
      <c r="DT27" s="113"/>
      <c r="DU27" s="113"/>
      <c r="DV27" s="113"/>
      <c r="DW27" s="113"/>
      <c r="DX27" s="113"/>
      <c r="DY27" s="113"/>
      <c r="DZ27" s="113"/>
      <c r="EA27" s="113"/>
      <c r="EB27" s="113"/>
      <c r="EC27" s="113"/>
      <c r="ED27" s="113"/>
      <c r="EE27" s="113"/>
    </row>
    <row r="28" ht="19.5" customHeight="1">
      <c r="A28" s="84" t="str">
        <f>IF(Roster!$A$26&lt;&gt;"",Roster!$A$26,"")</f>
        <v>Patrick McMullen</v>
      </c>
      <c r="B28" s="113">
        <v>1.0</v>
      </c>
      <c r="C28" s="114">
        <v>1.0</v>
      </c>
      <c r="D28" s="113"/>
      <c r="E28" s="113"/>
      <c r="F28" s="113"/>
      <c r="G28" s="113">
        <v>1.0</v>
      </c>
      <c r="H28" s="113">
        <v>1.0</v>
      </c>
      <c r="I28" s="113">
        <v>0.0</v>
      </c>
      <c r="J28" s="113">
        <v>1.0</v>
      </c>
      <c r="K28" s="113"/>
      <c r="L28" s="113">
        <v>1.0</v>
      </c>
      <c r="M28" s="113">
        <v>1.0</v>
      </c>
      <c r="N28" s="113"/>
      <c r="O28" s="113">
        <v>0.0</v>
      </c>
      <c r="P28" s="113">
        <v>0.0</v>
      </c>
      <c r="Q28" s="113"/>
      <c r="R28" s="113"/>
      <c r="S28" s="113"/>
      <c r="T28" s="113"/>
      <c r="U28" s="113"/>
      <c r="V28" s="113"/>
      <c r="W28" s="113"/>
      <c r="X28" s="113"/>
      <c r="Y28" s="113"/>
      <c r="Z28" s="113"/>
      <c r="AA28" s="113"/>
      <c r="AB28" s="113">
        <v>1.0</v>
      </c>
      <c r="AC28" s="113"/>
      <c r="AD28" s="114">
        <v>1.0</v>
      </c>
      <c r="AE28" s="113"/>
      <c r="AF28" s="113"/>
      <c r="AG28" s="113"/>
      <c r="AH28" s="113"/>
      <c r="AI28" s="114">
        <v>1.0</v>
      </c>
      <c r="AJ28" s="114">
        <v>1.0</v>
      </c>
      <c r="AK28" s="113">
        <v>1.0</v>
      </c>
      <c r="AL28" s="113">
        <v>1.0</v>
      </c>
      <c r="AM28" s="113"/>
      <c r="AN28" s="113"/>
      <c r="AO28" s="113"/>
      <c r="AP28" s="113"/>
      <c r="AQ28" s="113"/>
      <c r="AR28" s="114">
        <v>1.0</v>
      </c>
      <c r="AS28" s="116">
        <v>1.0</v>
      </c>
      <c r="AT28" s="113"/>
      <c r="AU28" s="113"/>
      <c r="AV28" s="113">
        <v>1.0</v>
      </c>
      <c r="AW28" s="113"/>
      <c r="AX28" s="113"/>
      <c r="AY28" s="113"/>
      <c r="AZ28" s="113"/>
      <c r="BA28" s="113"/>
      <c r="BB28" s="113"/>
      <c r="BC28" s="113">
        <v>0.0</v>
      </c>
      <c r="BD28" s="114">
        <v>1.0</v>
      </c>
      <c r="BE28" s="116">
        <v>1.0</v>
      </c>
      <c r="BF28" s="113"/>
      <c r="BG28" s="113"/>
      <c r="BH28" s="113"/>
      <c r="BI28" s="113"/>
      <c r="BJ28" s="113"/>
      <c r="BK28" s="113"/>
      <c r="BL28" s="113"/>
      <c r="BM28" s="113"/>
      <c r="BN28" s="113"/>
      <c r="BO28" s="113"/>
      <c r="BP28" s="113"/>
      <c r="BQ28" s="113"/>
      <c r="BR28" s="113"/>
      <c r="BS28" s="113"/>
      <c r="BT28" s="113"/>
      <c r="BU28" s="113"/>
      <c r="BV28" s="113"/>
      <c r="BW28" s="114">
        <v>1.0</v>
      </c>
      <c r="BX28" s="114">
        <v>0.0</v>
      </c>
      <c r="BY28" s="114">
        <v>0.0</v>
      </c>
      <c r="BZ28" s="114">
        <v>0.0</v>
      </c>
      <c r="CA28" s="114">
        <v>0.0</v>
      </c>
      <c r="CB28" s="113"/>
      <c r="CC28" s="113"/>
      <c r="CD28" s="113"/>
      <c r="CE28" s="113"/>
      <c r="CF28" s="113"/>
      <c r="CG28" s="113"/>
      <c r="CH28" s="113"/>
      <c r="CI28" s="114">
        <v>1.0</v>
      </c>
      <c r="CJ28" s="114">
        <v>1.0</v>
      </c>
      <c r="CK28" s="114">
        <v>1.0</v>
      </c>
      <c r="CL28" s="114">
        <v>0.0</v>
      </c>
      <c r="CM28" s="113"/>
      <c r="CN28" s="113"/>
      <c r="CO28" s="113"/>
      <c r="CP28" s="113"/>
      <c r="CQ28" s="114">
        <v>1.0</v>
      </c>
      <c r="CR28" s="113"/>
      <c r="CS28" s="113"/>
      <c r="CT28" s="113"/>
      <c r="CU28" s="113"/>
      <c r="CV28" s="113"/>
      <c r="CW28" s="113"/>
      <c r="CX28" s="113"/>
      <c r="CY28" s="114">
        <v>1.0</v>
      </c>
      <c r="CZ28" s="113"/>
      <c r="DA28" s="113"/>
      <c r="DB28" s="113"/>
      <c r="DC28" s="113"/>
      <c r="DD28" s="113"/>
      <c r="DE28" s="113"/>
      <c r="DF28" s="113"/>
      <c r="DG28" s="113"/>
      <c r="DH28" s="113"/>
      <c r="DI28" s="113"/>
      <c r="DJ28" s="113"/>
      <c r="DK28" s="113"/>
      <c r="DL28" s="113"/>
      <c r="DM28" s="113"/>
      <c r="DN28" s="113"/>
      <c r="DO28" s="113"/>
      <c r="DP28" s="113"/>
      <c r="DQ28" s="113"/>
      <c r="DR28" s="113"/>
      <c r="DS28" s="113"/>
      <c r="DT28" s="113"/>
      <c r="DU28" s="113"/>
      <c r="DV28" s="113"/>
      <c r="DW28" s="113"/>
      <c r="DX28" s="113"/>
      <c r="DY28" s="113"/>
      <c r="DZ28" s="113"/>
      <c r="EA28" s="113"/>
      <c r="EB28" s="113"/>
      <c r="EC28" s="113"/>
      <c r="ED28" s="113"/>
      <c r="EE28" s="113"/>
    </row>
    <row r="29" ht="19.5" customHeight="1">
      <c r="A29" s="84" t="str">
        <f>IF(Roster!$A$27&lt;&gt;"",Roster!$A$27,"")</f>
        <v>Rachel Graber</v>
      </c>
      <c r="B29" s="113">
        <v>1.0</v>
      </c>
      <c r="C29" s="114">
        <v>1.0</v>
      </c>
      <c r="D29" s="113"/>
      <c r="E29" s="113"/>
      <c r="F29" s="113"/>
      <c r="G29" s="113">
        <v>1.0</v>
      </c>
      <c r="H29" s="113">
        <v>1.0</v>
      </c>
      <c r="I29" s="113">
        <v>0.0</v>
      </c>
      <c r="J29" s="113">
        <v>1.0</v>
      </c>
      <c r="K29" s="113"/>
      <c r="L29" s="113">
        <v>0.0</v>
      </c>
      <c r="M29" s="113">
        <v>1.0</v>
      </c>
      <c r="N29" s="113"/>
      <c r="O29" s="113">
        <v>0.0</v>
      </c>
      <c r="P29" s="113">
        <v>0.0</v>
      </c>
      <c r="Q29" s="113"/>
      <c r="R29" s="113"/>
      <c r="S29" s="113"/>
      <c r="T29" s="113"/>
      <c r="U29" s="113"/>
      <c r="V29" s="113"/>
      <c r="W29" s="113"/>
      <c r="X29" s="113"/>
      <c r="Y29" s="113"/>
      <c r="Z29" s="113"/>
      <c r="AA29" s="113"/>
      <c r="AB29" s="114">
        <v>0.0</v>
      </c>
      <c r="AC29" s="113"/>
      <c r="AD29" s="114">
        <v>1.0</v>
      </c>
      <c r="AE29" s="113"/>
      <c r="AF29" s="113"/>
      <c r="AG29" s="113"/>
      <c r="AH29" s="113"/>
      <c r="AI29" s="114">
        <v>0.0</v>
      </c>
      <c r="AJ29" s="114">
        <v>1.0</v>
      </c>
      <c r="AK29" s="113">
        <v>0.0</v>
      </c>
      <c r="AL29" s="113">
        <v>1.0</v>
      </c>
      <c r="AM29" s="113"/>
      <c r="AN29" s="113"/>
      <c r="AO29" s="113"/>
      <c r="AP29" s="113"/>
      <c r="AQ29" s="113"/>
      <c r="AR29" s="114">
        <v>1.0</v>
      </c>
      <c r="AS29" s="116">
        <v>1.0</v>
      </c>
      <c r="AT29" s="113"/>
      <c r="AU29" s="113"/>
      <c r="AV29" s="113">
        <v>0.0</v>
      </c>
      <c r="AW29" s="113"/>
      <c r="AX29" s="113"/>
      <c r="AY29" s="113"/>
      <c r="AZ29" s="113"/>
      <c r="BA29" s="113"/>
      <c r="BB29" s="113"/>
      <c r="BC29" s="113">
        <v>1.0</v>
      </c>
      <c r="BD29" s="114">
        <v>1.0</v>
      </c>
      <c r="BE29" s="116">
        <v>1.0</v>
      </c>
      <c r="BF29" s="113"/>
      <c r="BG29" s="113"/>
      <c r="BH29" s="113"/>
      <c r="BI29" s="113"/>
      <c r="BJ29" s="113"/>
      <c r="BK29" s="113"/>
      <c r="BL29" s="113"/>
      <c r="BM29" s="113"/>
      <c r="BN29" s="113"/>
      <c r="BO29" s="113"/>
      <c r="BP29" s="113"/>
      <c r="BQ29" s="113"/>
      <c r="BR29" s="113"/>
      <c r="BS29" s="113"/>
      <c r="BT29" s="113"/>
      <c r="BU29" s="113"/>
      <c r="BV29" s="114"/>
      <c r="BW29" s="114">
        <v>0.0</v>
      </c>
      <c r="BX29" s="114">
        <v>0.0</v>
      </c>
      <c r="BY29" s="114">
        <v>1.0</v>
      </c>
      <c r="BZ29" s="114">
        <v>0.0</v>
      </c>
      <c r="CA29" s="114">
        <v>0.0</v>
      </c>
      <c r="CB29" s="113"/>
      <c r="CC29" s="113"/>
      <c r="CD29" s="113"/>
      <c r="CE29" s="113"/>
      <c r="CF29" s="113"/>
      <c r="CG29" s="113"/>
      <c r="CH29" s="113"/>
      <c r="CI29" s="114">
        <v>1.0</v>
      </c>
      <c r="CJ29" s="114">
        <v>1.0</v>
      </c>
      <c r="CK29" s="114">
        <v>1.0</v>
      </c>
      <c r="CL29" s="114">
        <v>0.0</v>
      </c>
      <c r="CM29" s="113"/>
      <c r="CN29" s="113"/>
      <c r="CO29" s="113"/>
      <c r="CP29" s="113"/>
      <c r="CQ29" s="114">
        <v>1.0</v>
      </c>
      <c r="CR29" s="113"/>
      <c r="CS29" s="113"/>
      <c r="CT29" s="113"/>
      <c r="CU29" s="113"/>
      <c r="CV29" s="113"/>
      <c r="CW29" s="113"/>
      <c r="CX29" s="113"/>
      <c r="CY29" s="114">
        <v>1.0</v>
      </c>
      <c r="CZ29" s="113"/>
      <c r="DA29" s="113"/>
      <c r="DB29" s="113"/>
      <c r="DC29" s="113"/>
      <c r="DD29" s="113"/>
      <c r="DE29" s="113"/>
      <c r="DF29" s="113"/>
      <c r="DG29" s="113"/>
      <c r="DH29" s="113"/>
      <c r="DI29" s="113"/>
      <c r="DJ29" s="113"/>
      <c r="DK29" s="113"/>
      <c r="DL29" s="113"/>
      <c r="DM29" s="113"/>
      <c r="DN29" s="113"/>
      <c r="DO29" s="113"/>
      <c r="DP29" s="113"/>
      <c r="DQ29" s="113"/>
      <c r="DR29" s="113"/>
      <c r="DS29" s="113"/>
      <c r="DT29" s="113"/>
      <c r="DU29" s="113"/>
      <c r="DV29" s="113"/>
      <c r="DW29" s="113"/>
      <c r="DX29" s="113"/>
      <c r="DY29" s="113"/>
      <c r="DZ29" s="113"/>
      <c r="EA29" s="113"/>
      <c r="EB29" s="113"/>
      <c r="EC29" s="113"/>
      <c r="ED29" s="113"/>
      <c r="EE29" s="113"/>
    </row>
    <row r="30" ht="19.5" customHeight="1">
      <c r="A30" s="84" t="str">
        <f>IF(Roster!$A$28&lt;&gt;"",Roster!$A$28,"")</f>
        <v>Ryan Kindell</v>
      </c>
      <c r="B30" s="113">
        <v>1.0</v>
      </c>
      <c r="C30" s="114">
        <v>1.0</v>
      </c>
      <c r="D30" s="113"/>
      <c r="E30" s="113"/>
      <c r="F30" s="113"/>
      <c r="G30" s="113">
        <v>1.0</v>
      </c>
      <c r="H30" s="113">
        <v>1.0</v>
      </c>
      <c r="I30" s="113">
        <v>0.0</v>
      </c>
      <c r="J30" s="113">
        <v>1.0</v>
      </c>
      <c r="K30" s="113"/>
      <c r="L30" s="113">
        <v>0.0</v>
      </c>
      <c r="M30" s="113">
        <v>1.0</v>
      </c>
      <c r="N30" s="113"/>
      <c r="O30" s="113">
        <v>0.0</v>
      </c>
      <c r="P30" s="113">
        <v>0.0</v>
      </c>
      <c r="Q30" s="113"/>
      <c r="R30" s="113"/>
      <c r="S30" s="113"/>
      <c r="T30" s="113"/>
      <c r="U30" s="113"/>
      <c r="V30" s="113"/>
      <c r="W30" s="113"/>
      <c r="X30" s="113"/>
      <c r="Y30" s="113"/>
      <c r="Z30" s="113"/>
      <c r="AA30" s="113"/>
      <c r="AB30" s="113">
        <v>1.0</v>
      </c>
      <c r="AC30" s="113"/>
      <c r="AD30" s="114">
        <v>1.0</v>
      </c>
      <c r="AE30" s="113"/>
      <c r="AF30" s="113"/>
      <c r="AG30" s="113"/>
      <c r="AH30" s="113"/>
      <c r="AI30" s="114">
        <v>1.0</v>
      </c>
      <c r="AJ30" s="114">
        <v>1.0</v>
      </c>
      <c r="AK30" s="113">
        <v>0.0</v>
      </c>
      <c r="AL30" s="113">
        <v>1.0</v>
      </c>
      <c r="AM30" s="113"/>
      <c r="AN30" s="113"/>
      <c r="AO30" s="113"/>
      <c r="AP30" s="113"/>
      <c r="AQ30" s="113"/>
      <c r="AR30" s="114">
        <v>1.0</v>
      </c>
      <c r="AS30" s="116">
        <v>1.0</v>
      </c>
      <c r="AT30" s="113"/>
      <c r="AU30" s="113"/>
      <c r="AV30" s="113">
        <v>1.0</v>
      </c>
      <c r="AW30" s="113"/>
      <c r="AX30" s="113"/>
      <c r="AY30" s="113"/>
      <c r="AZ30" s="113"/>
      <c r="BA30" s="113"/>
      <c r="BB30" s="113"/>
      <c r="BC30" s="113" t="s">
        <v>343</v>
      </c>
      <c r="BD30" s="114">
        <v>1.0</v>
      </c>
      <c r="BE30" s="116">
        <v>1.0</v>
      </c>
      <c r="BF30" s="113"/>
      <c r="BG30" s="113"/>
      <c r="BH30" s="113"/>
      <c r="BI30" s="113"/>
      <c r="BJ30" s="113"/>
      <c r="BK30" s="113"/>
      <c r="BL30" s="113"/>
      <c r="BM30" s="113"/>
      <c r="BN30" s="113"/>
      <c r="BO30" s="113"/>
      <c r="BP30" s="113"/>
      <c r="BQ30" s="113"/>
      <c r="BR30" s="113"/>
      <c r="BS30" s="113"/>
      <c r="BT30" s="113"/>
      <c r="BU30" s="113"/>
      <c r="BV30" s="113"/>
      <c r="BW30" s="114">
        <v>0.0</v>
      </c>
      <c r="BX30" s="114">
        <v>0.0</v>
      </c>
      <c r="BY30" s="114">
        <v>0.0</v>
      </c>
      <c r="BZ30" s="114">
        <v>0.0</v>
      </c>
      <c r="CA30" s="114">
        <v>0.0</v>
      </c>
      <c r="CB30" s="113"/>
      <c r="CC30" s="113"/>
      <c r="CD30" s="113"/>
      <c r="CE30" s="113"/>
      <c r="CF30" s="113"/>
      <c r="CG30" s="113"/>
      <c r="CH30" s="113"/>
      <c r="CI30" s="114">
        <v>1.0</v>
      </c>
      <c r="CJ30" s="114">
        <v>1.0</v>
      </c>
      <c r="CK30" s="114">
        <v>1.0</v>
      </c>
      <c r="CL30" s="114">
        <v>0.0</v>
      </c>
      <c r="CM30" s="113"/>
      <c r="CN30" s="113"/>
      <c r="CO30" s="113"/>
      <c r="CP30" s="113"/>
      <c r="CQ30" s="114">
        <v>1.0</v>
      </c>
      <c r="CR30" s="113"/>
      <c r="CS30" s="113"/>
      <c r="CT30" s="113"/>
      <c r="CU30" s="113"/>
      <c r="CV30" s="113"/>
      <c r="CW30" s="113"/>
      <c r="CX30" s="113"/>
      <c r="CY30" s="114">
        <v>1.0</v>
      </c>
      <c r="CZ30" s="113"/>
      <c r="DA30" s="113"/>
      <c r="DB30" s="113"/>
      <c r="DC30" s="113"/>
      <c r="DD30" s="113"/>
      <c r="DE30" s="113"/>
      <c r="DF30" s="113"/>
      <c r="DG30" s="113"/>
      <c r="DH30" s="113"/>
      <c r="DI30" s="113"/>
      <c r="DJ30" s="113"/>
      <c r="DK30" s="113"/>
      <c r="DL30" s="113"/>
      <c r="DM30" s="113"/>
      <c r="DN30" s="113"/>
      <c r="DO30" s="113"/>
      <c r="DP30" s="113"/>
      <c r="DQ30" s="113"/>
      <c r="DR30" s="113"/>
      <c r="DS30" s="113"/>
      <c r="DT30" s="113"/>
      <c r="DU30" s="113"/>
      <c r="DV30" s="113"/>
      <c r="DW30" s="113"/>
      <c r="DX30" s="113"/>
      <c r="DY30" s="113"/>
      <c r="DZ30" s="113"/>
      <c r="EA30" s="113"/>
      <c r="EB30" s="113"/>
      <c r="EC30" s="113"/>
      <c r="ED30" s="113"/>
      <c r="EE30" s="113"/>
    </row>
    <row r="31" ht="19.5" customHeight="1">
      <c r="A31" s="84" t="str">
        <f>IF(Roster!$A$29&lt;&gt;"",Roster!$A$29,"")</f>
        <v>Ryan Ward</v>
      </c>
      <c r="B31" s="113">
        <v>1.0</v>
      </c>
      <c r="C31" s="114">
        <v>1.0</v>
      </c>
      <c r="D31" s="113"/>
      <c r="E31" s="113"/>
      <c r="F31" s="113"/>
      <c r="G31" s="113">
        <v>1.0</v>
      </c>
      <c r="H31" s="113">
        <v>1.0</v>
      </c>
      <c r="I31" s="113">
        <v>0.0</v>
      </c>
      <c r="J31" s="113">
        <v>1.0</v>
      </c>
      <c r="K31" s="113"/>
      <c r="L31" s="113">
        <v>0.0</v>
      </c>
      <c r="M31" s="113">
        <v>1.0</v>
      </c>
      <c r="N31" s="113"/>
      <c r="O31" s="113">
        <v>0.0</v>
      </c>
      <c r="P31" s="113">
        <v>0.0</v>
      </c>
      <c r="Q31" s="113"/>
      <c r="R31" s="113"/>
      <c r="S31" s="113"/>
      <c r="T31" s="113"/>
      <c r="U31" s="113"/>
      <c r="V31" s="113"/>
      <c r="W31" s="113"/>
      <c r="X31" s="113"/>
      <c r="Y31" s="113"/>
      <c r="Z31" s="113"/>
      <c r="AA31" s="113"/>
      <c r="AB31" s="113">
        <v>1.0</v>
      </c>
      <c r="AC31" s="113"/>
      <c r="AD31" s="114">
        <v>0.0</v>
      </c>
      <c r="AE31" s="113"/>
      <c r="AF31" s="113"/>
      <c r="AG31" s="113"/>
      <c r="AH31" s="113"/>
      <c r="AI31" s="114">
        <v>1.0</v>
      </c>
      <c r="AJ31" s="114">
        <v>1.0</v>
      </c>
      <c r="AK31" s="113">
        <v>0.0</v>
      </c>
      <c r="AL31" s="113">
        <v>1.0</v>
      </c>
      <c r="AM31" s="113"/>
      <c r="AN31" s="113"/>
      <c r="AO31" s="113"/>
      <c r="AP31" s="113"/>
      <c r="AQ31" s="113"/>
      <c r="AR31" s="114">
        <v>1.0</v>
      </c>
      <c r="AS31" s="116">
        <v>0.0</v>
      </c>
      <c r="AT31" s="113"/>
      <c r="AU31" s="113"/>
      <c r="AV31" s="113">
        <v>0.0</v>
      </c>
      <c r="AW31" s="113"/>
      <c r="AX31" s="113"/>
      <c r="AY31" s="113"/>
      <c r="AZ31" s="113"/>
      <c r="BA31" s="113"/>
      <c r="BB31" s="113"/>
      <c r="BC31" s="113">
        <v>1.0</v>
      </c>
      <c r="BD31" s="114">
        <v>1.0</v>
      </c>
      <c r="BE31" s="116">
        <v>0.0</v>
      </c>
      <c r="BF31" s="113"/>
      <c r="BG31" s="113"/>
      <c r="BH31" s="113"/>
      <c r="BI31" s="113"/>
      <c r="BJ31" s="113"/>
      <c r="BK31" s="113"/>
      <c r="BL31" s="113"/>
      <c r="BM31" s="113"/>
      <c r="BN31" s="113"/>
      <c r="BO31" s="113"/>
      <c r="BP31" s="113"/>
      <c r="BQ31" s="113"/>
      <c r="BR31" s="113"/>
      <c r="BS31" s="113"/>
      <c r="BT31" s="113"/>
      <c r="BU31" s="113"/>
      <c r="BV31" s="113"/>
      <c r="BW31" s="114">
        <v>0.0</v>
      </c>
      <c r="BX31" s="114">
        <v>0.0</v>
      </c>
      <c r="BY31" s="114">
        <v>0.0</v>
      </c>
      <c r="BZ31" s="114">
        <v>0.0</v>
      </c>
      <c r="CA31" s="114">
        <v>0.0</v>
      </c>
      <c r="CB31" s="113"/>
      <c r="CC31" s="113"/>
      <c r="CD31" s="113"/>
      <c r="CE31" s="113"/>
      <c r="CF31" s="113"/>
      <c r="CG31" s="113"/>
      <c r="CH31" s="113"/>
      <c r="CI31" s="114">
        <v>1.0</v>
      </c>
      <c r="CJ31" s="114">
        <v>1.0</v>
      </c>
      <c r="CK31" s="114">
        <v>1.0</v>
      </c>
      <c r="CL31" s="114">
        <v>0.0</v>
      </c>
      <c r="CM31" s="113"/>
      <c r="CN31" s="113"/>
      <c r="CO31" s="113"/>
      <c r="CP31" s="113"/>
      <c r="CQ31" s="114">
        <v>1.0</v>
      </c>
      <c r="CR31" s="113"/>
      <c r="CS31" s="113"/>
      <c r="CT31" s="113"/>
      <c r="CU31" s="113"/>
      <c r="CV31" s="113"/>
      <c r="CW31" s="113"/>
      <c r="CX31" s="113"/>
      <c r="CY31" s="114">
        <v>1.0</v>
      </c>
      <c r="CZ31" s="113"/>
      <c r="DA31" s="113"/>
      <c r="DB31" s="113"/>
      <c r="DC31" s="113"/>
      <c r="DD31" s="113"/>
      <c r="DE31" s="113"/>
      <c r="DF31" s="113"/>
      <c r="DG31" s="113"/>
      <c r="DH31" s="113"/>
      <c r="DI31" s="113"/>
      <c r="DJ31" s="113"/>
      <c r="DK31" s="113"/>
      <c r="DL31" s="113"/>
      <c r="DM31" s="113"/>
      <c r="DN31" s="113"/>
      <c r="DO31" s="113"/>
      <c r="DP31" s="113"/>
      <c r="DQ31" s="113"/>
      <c r="DR31" s="113"/>
      <c r="DS31" s="113"/>
      <c r="DT31" s="113"/>
      <c r="DU31" s="113"/>
      <c r="DV31" s="113"/>
      <c r="DW31" s="113"/>
      <c r="DX31" s="113"/>
      <c r="DY31" s="113"/>
      <c r="DZ31" s="113"/>
      <c r="EA31" s="113"/>
      <c r="EB31" s="113"/>
      <c r="EC31" s="113"/>
      <c r="ED31" s="113"/>
      <c r="EE31" s="113"/>
    </row>
    <row r="32" ht="19.5" customHeight="1">
      <c r="A32" s="84" t="str">
        <f>IF(Roster!$A$30&lt;&gt;"",Roster!$A$30,"")</f>
        <v>Sam Gombiner</v>
      </c>
      <c r="B32" s="113">
        <v>0.0</v>
      </c>
      <c r="C32" s="114">
        <v>0.0</v>
      </c>
      <c r="D32" s="113"/>
      <c r="E32" s="113"/>
      <c r="F32" s="113"/>
      <c r="G32" s="113">
        <v>1.0</v>
      </c>
      <c r="H32" s="113">
        <v>0.0</v>
      </c>
      <c r="I32" s="113">
        <v>0.0</v>
      </c>
      <c r="J32" s="113">
        <v>1.0</v>
      </c>
      <c r="K32" s="113"/>
      <c r="L32" s="113">
        <v>0.0</v>
      </c>
      <c r="M32" s="113">
        <v>0.0</v>
      </c>
      <c r="N32" s="113"/>
      <c r="O32" s="113">
        <v>0.0</v>
      </c>
      <c r="P32" s="113">
        <v>0.0</v>
      </c>
      <c r="Q32" s="113"/>
      <c r="R32" s="113"/>
      <c r="S32" s="113"/>
      <c r="T32" s="113"/>
      <c r="U32" s="113"/>
      <c r="V32" s="113"/>
      <c r="W32" s="113"/>
      <c r="X32" s="113"/>
      <c r="Y32" s="113"/>
      <c r="Z32" s="113"/>
      <c r="AA32" s="113"/>
      <c r="AB32" s="113">
        <v>0.0</v>
      </c>
      <c r="AC32" s="113"/>
      <c r="AD32" s="114">
        <v>0.0</v>
      </c>
      <c r="AE32" s="113"/>
      <c r="AF32" s="113"/>
      <c r="AG32" s="113"/>
      <c r="AH32" s="113"/>
      <c r="AI32" s="114">
        <v>0.0</v>
      </c>
      <c r="AJ32" s="114">
        <v>0.0</v>
      </c>
      <c r="AK32" s="113">
        <v>0.0</v>
      </c>
      <c r="AL32" s="113">
        <v>1.0</v>
      </c>
      <c r="AM32" s="113"/>
      <c r="AN32" s="113"/>
      <c r="AO32" s="113"/>
      <c r="AP32" s="113"/>
      <c r="AQ32" s="113"/>
      <c r="AR32" s="114" t="s">
        <v>343</v>
      </c>
      <c r="AS32" s="116">
        <v>0.0</v>
      </c>
      <c r="AT32" s="113"/>
      <c r="AU32" s="113"/>
      <c r="AV32" s="113">
        <v>0.0</v>
      </c>
      <c r="AW32" s="113"/>
      <c r="AX32" s="113"/>
      <c r="AY32" s="113"/>
      <c r="AZ32" s="113"/>
      <c r="BA32" s="113"/>
      <c r="BB32" s="113"/>
      <c r="BC32" s="113">
        <v>0.0</v>
      </c>
      <c r="BD32" s="114">
        <v>0.0</v>
      </c>
      <c r="BE32" s="116">
        <v>0.0</v>
      </c>
      <c r="BF32" s="113"/>
      <c r="BG32" s="113"/>
      <c r="BH32" s="113"/>
      <c r="BI32" s="113"/>
      <c r="BJ32" s="113"/>
      <c r="BK32" s="113"/>
      <c r="BL32" s="113"/>
      <c r="BM32" s="113"/>
      <c r="BN32" s="113"/>
      <c r="BO32" s="113"/>
      <c r="BP32" s="113"/>
      <c r="BQ32" s="113"/>
      <c r="BR32" s="113"/>
      <c r="BS32" s="113"/>
      <c r="BT32" s="113"/>
      <c r="BU32" s="113"/>
      <c r="BV32" s="113"/>
      <c r="BW32" s="114">
        <v>0.0</v>
      </c>
      <c r="BX32" s="114">
        <v>0.0</v>
      </c>
      <c r="BY32" s="114">
        <v>0.0</v>
      </c>
      <c r="BZ32" s="114">
        <v>0.0</v>
      </c>
      <c r="CA32" s="114">
        <v>0.0</v>
      </c>
      <c r="CB32" s="113"/>
      <c r="CC32" s="113"/>
      <c r="CD32" s="113"/>
      <c r="CE32" s="113"/>
      <c r="CF32" s="113"/>
      <c r="CG32" s="113"/>
      <c r="CH32" s="113"/>
      <c r="CI32" s="114" t="s">
        <v>343</v>
      </c>
      <c r="CJ32" s="114" t="s">
        <v>343</v>
      </c>
      <c r="CK32" s="114" t="s">
        <v>343</v>
      </c>
      <c r="CL32" s="114">
        <v>0.0</v>
      </c>
      <c r="CM32" s="113"/>
      <c r="CN32" s="113"/>
      <c r="CO32" s="113"/>
      <c r="CP32" s="113"/>
      <c r="CQ32" s="114" t="s">
        <v>343</v>
      </c>
      <c r="CR32" s="113"/>
      <c r="CS32" s="113"/>
      <c r="CT32" s="113"/>
      <c r="CU32" s="113"/>
      <c r="CV32" s="113"/>
      <c r="CW32" s="113"/>
      <c r="CX32" s="113"/>
      <c r="CY32" s="114" t="s">
        <v>343</v>
      </c>
      <c r="CZ32" s="113"/>
      <c r="DA32" s="113"/>
      <c r="DB32" s="113"/>
      <c r="DC32" s="113"/>
      <c r="DD32" s="113"/>
      <c r="DE32" s="113"/>
      <c r="DF32" s="113"/>
      <c r="DG32" s="113"/>
      <c r="DH32" s="113"/>
      <c r="DI32" s="113"/>
      <c r="DJ32" s="113"/>
      <c r="DK32" s="113"/>
      <c r="DL32" s="113"/>
      <c r="DM32" s="113"/>
      <c r="DN32" s="113"/>
      <c r="DO32" s="113"/>
      <c r="DP32" s="113"/>
      <c r="DQ32" s="113"/>
      <c r="DR32" s="113"/>
      <c r="DS32" s="113"/>
      <c r="DT32" s="113"/>
      <c r="DU32" s="113"/>
      <c r="DV32" s="113"/>
      <c r="DW32" s="113"/>
      <c r="DX32" s="113"/>
      <c r="DY32" s="113"/>
      <c r="DZ32" s="113"/>
      <c r="EA32" s="113"/>
      <c r="EB32" s="113"/>
      <c r="EC32" s="113"/>
      <c r="ED32" s="113"/>
      <c r="EE32" s="113"/>
    </row>
    <row r="33" ht="19.5" customHeight="1">
      <c r="A33" s="84" t="str">
        <f>IF(Roster!$A$31&lt;&gt;"",Roster!$A$31,"")</f>
        <v>Sarah Kingsley-Hart</v>
      </c>
      <c r="B33" s="113">
        <v>1.0</v>
      </c>
      <c r="C33" s="114">
        <v>0.0</v>
      </c>
      <c r="D33" s="113"/>
      <c r="E33" s="113"/>
      <c r="F33" s="113"/>
      <c r="G33" s="113">
        <v>1.0</v>
      </c>
      <c r="H33" s="113">
        <v>1.0</v>
      </c>
      <c r="I33" s="113">
        <v>0.0</v>
      </c>
      <c r="J33" s="113">
        <v>1.0</v>
      </c>
      <c r="K33" s="113"/>
      <c r="L33" s="113">
        <v>0.0</v>
      </c>
      <c r="M33" s="113">
        <v>1.0</v>
      </c>
      <c r="N33" s="113"/>
      <c r="O33" s="113">
        <v>0.0</v>
      </c>
      <c r="P33" s="113">
        <v>0.0</v>
      </c>
      <c r="Q33" s="113"/>
      <c r="R33" s="113"/>
      <c r="S33" s="113"/>
      <c r="T33" s="113"/>
      <c r="U33" s="113"/>
      <c r="V33" s="113"/>
      <c r="W33" s="113"/>
      <c r="X33" s="113"/>
      <c r="Y33" s="113"/>
      <c r="Z33" s="113"/>
      <c r="AA33" s="113"/>
      <c r="AB33" s="113">
        <v>1.0</v>
      </c>
      <c r="AC33" s="113"/>
      <c r="AD33" s="114">
        <v>0.0</v>
      </c>
      <c r="AE33" s="113"/>
      <c r="AF33" s="113"/>
      <c r="AG33" s="113"/>
      <c r="AH33" s="113"/>
      <c r="AI33" s="114">
        <v>0.0</v>
      </c>
      <c r="AJ33" s="114">
        <v>0.0</v>
      </c>
      <c r="AK33" s="113">
        <v>0.0</v>
      </c>
      <c r="AL33" s="113">
        <v>1.0</v>
      </c>
      <c r="AM33" s="113"/>
      <c r="AN33" s="113"/>
      <c r="AO33" s="113"/>
      <c r="AP33" s="113"/>
      <c r="AQ33" s="113"/>
      <c r="AR33" s="114" t="s">
        <v>343</v>
      </c>
      <c r="AS33" s="116">
        <v>0.0</v>
      </c>
      <c r="AT33" s="113"/>
      <c r="AU33" s="113"/>
      <c r="AV33" s="113">
        <v>0.0</v>
      </c>
      <c r="AW33" s="113"/>
      <c r="AX33" s="113"/>
      <c r="AY33" s="113"/>
      <c r="AZ33" s="113"/>
      <c r="BA33" s="113"/>
      <c r="BB33" s="113"/>
      <c r="BC33" s="113" t="s">
        <v>343</v>
      </c>
      <c r="BD33" s="114">
        <v>0.0</v>
      </c>
      <c r="BE33" s="116">
        <v>0.0</v>
      </c>
      <c r="BF33" s="113"/>
      <c r="BG33" s="113"/>
      <c r="BH33" s="113"/>
      <c r="BI33" s="113"/>
      <c r="BJ33" s="113"/>
      <c r="BK33" s="113"/>
      <c r="BL33" s="113"/>
      <c r="BM33" s="113"/>
      <c r="BN33" s="113"/>
      <c r="BO33" s="113"/>
      <c r="BP33" s="113"/>
      <c r="BQ33" s="113"/>
      <c r="BR33" s="113"/>
      <c r="BS33" s="113"/>
      <c r="BT33" s="113"/>
      <c r="BU33" s="113"/>
      <c r="BV33" s="113"/>
      <c r="BW33" s="114">
        <v>0.0</v>
      </c>
      <c r="BX33" s="114">
        <v>0.0</v>
      </c>
      <c r="BY33" s="114">
        <v>0.0</v>
      </c>
      <c r="BZ33" s="114">
        <v>0.0</v>
      </c>
      <c r="CA33" s="114">
        <v>1.0</v>
      </c>
      <c r="CB33" s="113"/>
      <c r="CC33" s="113"/>
      <c r="CD33" s="113"/>
      <c r="CE33" s="113"/>
      <c r="CF33" s="113"/>
      <c r="CG33" s="113"/>
      <c r="CH33" s="113"/>
      <c r="CI33" s="114" t="s">
        <v>343</v>
      </c>
      <c r="CJ33" s="114" t="s">
        <v>343</v>
      </c>
      <c r="CK33" s="114" t="s">
        <v>343</v>
      </c>
      <c r="CL33" s="114">
        <v>0.0</v>
      </c>
      <c r="CM33" s="113"/>
      <c r="CN33" s="113"/>
      <c r="CO33" s="113"/>
      <c r="CP33" s="113"/>
      <c r="CQ33" s="114" t="s">
        <v>343</v>
      </c>
      <c r="CR33" s="113"/>
      <c r="CS33" s="113"/>
      <c r="CT33" s="113"/>
      <c r="CU33" s="113"/>
      <c r="CV33" s="113"/>
      <c r="CW33" s="113"/>
      <c r="CX33" s="113"/>
      <c r="CY33" s="114" t="s">
        <v>343</v>
      </c>
      <c r="CZ33" s="113"/>
      <c r="DA33" s="113"/>
      <c r="DB33" s="113"/>
      <c r="DC33" s="113"/>
      <c r="DD33" s="113"/>
      <c r="DE33" s="113"/>
      <c r="DF33" s="113"/>
      <c r="DG33" s="113"/>
      <c r="DH33" s="113"/>
      <c r="DI33" s="113"/>
      <c r="DJ33" s="113"/>
      <c r="DK33" s="113"/>
      <c r="DL33" s="113"/>
      <c r="DM33" s="113"/>
      <c r="DN33" s="113"/>
      <c r="DO33" s="113"/>
      <c r="DP33" s="113"/>
      <c r="DQ33" s="113"/>
      <c r="DR33" s="113"/>
      <c r="DS33" s="113"/>
      <c r="DT33" s="113"/>
      <c r="DU33" s="113"/>
      <c r="DV33" s="113"/>
      <c r="DW33" s="113"/>
      <c r="DX33" s="113"/>
      <c r="DY33" s="113"/>
      <c r="DZ33" s="113"/>
      <c r="EA33" s="113"/>
      <c r="EB33" s="113"/>
      <c r="EC33" s="113"/>
      <c r="ED33" s="113"/>
      <c r="EE33" s="113"/>
    </row>
    <row r="34" ht="19.5" customHeight="1">
      <c r="A34" s="84" t="str">
        <f>IF(Roster!$A$32&lt;&gt;"",Roster!$A$32,"")</f>
        <v>Sarah Lynch</v>
      </c>
      <c r="B34" s="113">
        <v>0.0</v>
      </c>
      <c r="C34" s="114">
        <v>0.0</v>
      </c>
      <c r="D34" s="113"/>
      <c r="E34" s="113"/>
      <c r="F34" s="113"/>
      <c r="G34" s="113">
        <v>1.0</v>
      </c>
      <c r="H34" s="113">
        <v>0.0</v>
      </c>
      <c r="I34" s="113">
        <v>0.0</v>
      </c>
      <c r="J34" s="113">
        <v>1.0</v>
      </c>
      <c r="K34" s="113"/>
      <c r="L34" s="113">
        <v>0.0</v>
      </c>
      <c r="M34" s="113">
        <v>0.0</v>
      </c>
      <c r="N34" s="113"/>
      <c r="O34" s="113">
        <v>0.0</v>
      </c>
      <c r="P34" s="113">
        <v>0.0</v>
      </c>
      <c r="Q34" s="113"/>
      <c r="R34" s="113"/>
      <c r="S34" s="113"/>
      <c r="T34" s="113"/>
      <c r="U34" s="113"/>
      <c r="V34" s="113"/>
      <c r="W34" s="113"/>
      <c r="X34" s="113"/>
      <c r="Y34" s="113"/>
      <c r="Z34" s="113"/>
      <c r="AA34" s="113"/>
      <c r="AB34" s="113">
        <v>0.0</v>
      </c>
      <c r="AC34" s="113"/>
      <c r="AD34" s="114">
        <v>1.0</v>
      </c>
      <c r="AE34" s="113"/>
      <c r="AF34" s="113"/>
      <c r="AG34" s="113"/>
      <c r="AH34" s="113"/>
      <c r="AI34" s="114">
        <v>0.0</v>
      </c>
      <c r="AJ34" s="114">
        <v>0.0</v>
      </c>
      <c r="AK34" s="113">
        <v>0.0</v>
      </c>
      <c r="AL34" s="113">
        <v>1.0</v>
      </c>
      <c r="AM34" s="113"/>
      <c r="AN34" s="113"/>
      <c r="AO34" s="113"/>
      <c r="AP34" s="113"/>
      <c r="AQ34" s="113"/>
      <c r="AR34" s="114" t="s">
        <v>343</v>
      </c>
      <c r="AS34" s="116">
        <v>1.0</v>
      </c>
      <c r="AT34" s="113"/>
      <c r="AU34" s="113"/>
      <c r="AV34" s="113">
        <v>1.0</v>
      </c>
      <c r="AW34" s="113"/>
      <c r="AX34" s="113"/>
      <c r="AY34" s="113"/>
      <c r="AZ34" s="113"/>
      <c r="BA34" s="113"/>
      <c r="BB34" s="113"/>
      <c r="BC34" s="113">
        <v>0.0</v>
      </c>
      <c r="BD34" s="114">
        <v>0.0</v>
      </c>
      <c r="BE34" s="115" t="s">
        <v>343</v>
      </c>
      <c r="BF34" s="113"/>
      <c r="BG34" s="113"/>
      <c r="BH34" s="113"/>
      <c r="BI34" s="113"/>
      <c r="BJ34" s="113"/>
      <c r="BK34" s="113"/>
      <c r="BL34" s="113"/>
      <c r="BM34" s="113"/>
      <c r="BN34" s="113"/>
      <c r="BO34" s="113"/>
      <c r="BP34" s="113"/>
      <c r="BQ34" s="113"/>
      <c r="BR34" s="113"/>
      <c r="BS34" s="113"/>
      <c r="BT34" s="113"/>
      <c r="BU34" s="113"/>
      <c r="BV34" s="113"/>
      <c r="BW34" s="114">
        <v>1.0</v>
      </c>
      <c r="BX34" s="114">
        <v>0.0</v>
      </c>
      <c r="BY34" s="114">
        <v>0.0</v>
      </c>
      <c r="BZ34" s="114">
        <v>0.0</v>
      </c>
      <c r="CA34" s="114">
        <v>0.0</v>
      </c>
      <c r="CB34" s="113"/>
      <c r="CC34" s="113"/>
      <c r="CD34" s="113"/>
      <c r="CE34" s="113"/>
      <c r="CF34" s="113"/>
      <c r="CG34" s="113"/>
      <c r="CH34" s="113"/>
      <c r="CI34" s="114" t="s">
        <v>343</v>
      </c>
      <c r="CJ34" s="114" t="s">
        <v>343</v>
      </c>
      <c r="CK34" s="114" t="s">
        <v>343</v>
      </c>
      <c r="CL34" s="114">
        <v>0.0</v>
      </c>
      <c r="CM34" s="113"/>
      <c r="CN34" s="113"/>
      <c r="CO34" s="113"/>
      <c r="CP34" s="113"/>
      <c r="CQ34" s="114" t="s">
        <v>343</v>
      </c>
      <c r="CR34" s="113"/>
      <c r="CS34" s="113"/>
      <c r="CT34" s="113"/>
      <c r="CU34" s="113"/>
      <c r="CV34" s="113"/>
      <c r="CW34" s="113"/>
      <c r="CX34" s="113"/>
      <c r="CY34" s="114" t="s">
        <v>343</v>
      </c>
      <c r="CZ34" s="113"/>
      <c r="DA34" s="113"/>
      <c r="DB34" s="113"/>
      <c r="DC34" s="113"/>
      <c r="DD34" s="113"/>
      <c r="DE34" s="113"/>
      <c r="DF34" s="113"/>
      <c r="DG34" s="113"/>
      <c r="DH34" s="113"/>
      <c r="DI34" s="113"/>
      <c r="DJ34" s="113"/>
      <c r="DK34" s="113"/>
      <c r="DL34" s="113"/>
      <c r="DM34" s="113"/>
      <c r="DN34" s="113"/>
      <c r="DO34" s="113"/>
      <c r="DP34" s="113"/>
      <c r="DQ34" s="113"/>
      <c r="DR34" s="113"/>
      <c r="DS34" s="113"/>
      <c r="DT34" s="113"/>
      <c r="DU34" s="113"/>
      <c r="DV34" s="113"/>
      <c r="DW34" s="113"/>
      <c r="DX34" s="113"/>
      <c r="DY34" s="113"/>
      <c r="DZ34" s="113"/>
      <c r="EA34" s="113"/>
      <c r="EB34" s="113"/>
      <c r="EC34" s="113"/>
      <c r="ED34" s="113"/>
      <c r="EE34" s="113"/>
    </row>
    <row r="35" ht="19.5" customHeight="1">
      <c r="A35" s="84" t="str">
        <f>IF(Roster!$A$33&lt;&gt;"",Roster!$A$33,"")</f>
        <v>Shani Rosenthal</v>
      </c>
      <c r="B35" s="113">
        <v>1.0</v>
      </c>
      <c r="C35" s="114">
        <v>1.0</v>
      </c>
      <c r="D35" s="113"/>
      <c r="E35" s="113"/>
      <c r="F35" s="113"/>
      <c r="G35" s="113">
        <v>1.0</v>
      </c>
      <c r="H35" s="113">
        <v>1.0</v>
      </c>
      <c r="I35" s="113">
        <v>1.0</v>
      </c>
      <c r="J35" s="113">
        <v>1.0</v>
      </c>
      <c r="K35" s="113"/>
      <c r="L35" s="113">
        <v>0.0</v>
      </c>
      <c r="M35" s="113">
        <v>1.0</v>
      </c>
      <c r="N35" s="113"/>
      <c r="O35" s="113">
        <v>1.0</v>
      </c>
      <c r="P35" s="113">
        <v>0.0</v>
      </c>
      <c r="Q35" s="113"/>
      <c r="R35" s="113"/>
      <c r="S35" s="113"/>
      <c r="T35" s="113"/>
      <c r="U35" s="113"/>
      <c r="V35" s="113"/>
      <c r="W35" s="113"/>
      <c r="X35" s="113"/>
      <c r="Y35" s="113"/>
      <c r="Z35" s="113"/>
      <c r="AA35" s="113"/>
      <c r="AB35" s="114">
        <v>0.0</v>
      </c>
      <c r="AC35" s="113"/>
      <c r="AD35" s="114">
        <v>1.0</v>
      </c>
      <c r="AE35" s="113"/>
      <c r="AF35" s="113"/>
      <c r="AG35" s="113"/>
      <c r="AH35" s="113"/>
      <c r="AI35" s="114">
        <v>0.0</v>
      </c>
      <c r="AJ35" s="114">
        <v>1.0</v>
      </c>
      <c r="AK35" s="113">
        <v>0.0</v>
      </c>
      <c r="AL35" s="113">
        <v>1.0</v>
      </c>
      <c r="AM35" s="113"/>
      <c r="AN35" s="113"/>
      <c r="AO35" s="113"/>
      <c r="AP35" s="113"/>
      <c r="AQ35" s="113"/>
      <c r="AR35" s="114">
        <v>1.0</v>
      </c>
      <c r="AS35" s="116">
        <v>1.0</v>
      </c>
      <c r="AT35" s="113"/>
      <c r="AU35" s="113"/>
      <c r="AV35" s="113">
        <v>0.0</v>
      </c>
      <c r="AW35" s="113"/>
      <c r="AX35" s="113"/>
      <c r="AY35" s="113"/>
      <c r="AZ35" s="113"/>
      <c r="BA35" s="113"/>
      <c r="BB35" s="113"/>
      <c r="BC35" s="113">
        <v>0.0</v>
      </c>
      <c r="BD35" s="114">
        <v>1.0</v>
      </c>
      <c r="BE35" s="116">
        <v>1.0</v>
      </c>
      <c r="BF35" s="113"/>
      <c r="BG35" s="113"/>
      <c r="BH35" s="113"/>
      <c r="BI35" s="113"/>
      <c r="BJ35" s="113"/>
      <c r="BK35" s="113"/>
      <c r="BL35" s="113"/>
      <c r="BM35" s="113"/>
      <c r="BN35" s="113"/>
      <c r="BO35" s="113"/>
      <c r="BP35" s="113"/>
      <c r="BQ35" s="113"/>
      <c r="BR35" s="113"/>
      <c r="BS35" s="113"/>
      <c r="BT35" s="113"/>
      <c r="BU35" s="113"/>
      <c r="BV35" s="114"/>
      <c r="BW35" s="114">
        <v>0.0</v>
      </c>
      <c r="BX35" s="114">
        <v>0.0</v>
      </c>
      <c r="BY35" s="114">
        <v>0.0</v>
      </c>
      <c r="BZ35" s="114">
        <v>1.0</v>
      </c>
      <c r="CA35" s="114">
        <v>0.0</v>
      </c>
      <c r="CB35" s="113"/>
      <c r="CC35" s="113"/>
      <c r="CD35" s="113"/>
      <c r="CE35" s="113"/>
      <c r="CF35" s="113"/>
      <c r="CG35" s="113"/>
      <c r="CH35" s="113"/>
      <c r="CI35" s="114">
        <v>1.0</v>
      </c>
      <c r="CJ35" s="114">
        <v>0.0</v>
      </c>
      <c r="CK35" s="114">
        <v>1.0</v>
      </c>
      <c r="CL35" s="114">
        <v>0.0</v>
      </c>
      <c r="CM35" s="113"/>
      <c r="CN35" s="113"/>
      <c r="CO35" s="113"/>
      <c r="CP35" s="113"/>
      <c r="CQ35" s="114">
        <v>1.0</v>
      </c>
      <c r="CR35" s="113"/>
      <c r="CS35" s="113"/>
      <c r="CT35" s="113"/>
      <c r="CU35" s="113"/>
      <c r="CV35" s="113"/>
      <c r="CW35" s="113"/>
      <c r="CX35" s="113"/>
      <c r="CY35" s="114">
        <v>1.0</v>
      </c>
      <c r="CZ35" s="113"/>
      <c r="DA35" s="113"/>
      <c r="DB35" s="113"/>
      <c r="DC35" s="113"/>
      <c r="DD35" s="113"/>
      <c r="DE35" s="113"/>
      <c r="DF35" s="113"/>
      <c r="DG35" s="113"/>
      <c r="DH35" s="113"/>
      <c r="DI35" s="113"/>
      <c r="DJ35" s="113"/>
      <c r="DK35" s="113"/>
      <c r="DL35" s="113"/>
      <c r="DM35" s="113"/>
      <c r="DN35" s="113"/>
      <c r="DO35" s="113"/>
      <c r="DP35" s="113"/>
      <c r="DQ35" s="113"/>
      <c r="DR35" s="113"/>
      <c r="DS35" s="113"/>
      <c r="DT35" s="113"/>
      <c r="DU35" s="113"/>
      <c r="DV35" s="113"/>
      <c r="DW35" s="113"/>
      <c r="DX35" s="113"/>
      <c r="DY35" s="113"/>
      <c r="DZ35" s="113"/>
      <c r="EA35" s="113"/>
      <c r="EB35" s="113"/>
      <c r="EC35" s="113"/>
      <c r="ED35" s="113"/>
      <c r="EE35" s="113"/>
    </row>
    <row r="36" ht="19.5" customHeight="1">
      <c r="A36" s="84" t="str">
        <f>IF(Roster!$A$34&lt;&gt;"",Roster!$A$34,"")</f>
        <v>Vivian Shen</v>
      </c>
      <c r="B36" s="113">
        <v>1.0</v>
      </c>
      <c r="C36" s="113" t="s">
        <v>343</v>
      </c>
      <c r="D36" s="113"/>
      <c r="E36" s="113"/>
      <c r="F36" s="113"/>
      <c r="G36" s="113">
        <v>1.0</v>
      </c>
      <c r="H36" s="113">
        <v>1.0</v>
      </c>
      <c r="I36" s="113">
        <v>1.0</v>
      </c>
      <c r="J36" s="113">
        <v>1.0</v>
      </c>
      <c r="K36" s="113"/>
      <c r="L36" s="113">
        <v>0.0</v>
      </c>
      <c r="M36" s="113">
        <v>1.0</v>
      </c>
      <c r="N36" s="113"/>
      <c r="O36" s="113">
        <v>1.0</v>
      </c>
      <c r="P36" s="113">
        <v>1.0</v>
      </c>
      <c r="Q36" s="113"/>
      <c r="R36" s="113"/>
      <c r="S36" s="113"/>
      <c r="T36" s="113"/>
      <c r="U36" s="113"/>
      <c r="V36" s="113"/>
      <c r="W36" s="113"/>
      <c r="X36" s="113"/>
      <c r="Y36" s="113"/>
      <c r="Z36" s="113"/>
      <c r="AA36" s="113"/>
      <c r="AB36" s="113">
        <v>1.0</v>
      </c>
      <c r="AC36" s="113"/>
      <c r="AD36" s="114">
        <v>0.0</v>
      </c>
      <c r="AE36" s="113"/>
      <c r="AF36" s="113"/>
      <c r="AG36" s="113"/>
      <c r="AH36" s="113"/>
      <c r="AI36" s="114">
        <v>1.0</v>
      </c>
      <c r="AJ36" s="114">
        <v>1.0</v>
      </c>
      <c r="AK36" s="113">
        <v>0.0</v>
      </c>
      <c r="AL36" s="113">
        <v>1.0</v>
      </c>
      <c r="AM36" s="113"/>
      <c r="AN36" s="113"/>
      <c r="AO36" s="113"/>
      <c r="AP36" s="113"/>
      <c r="AQ36" s="113"/>
      <c r="AR36" s="114">
        <v>1.0</v>
      </c>
      <c r="AS36" s="116">
        <v>0.0</v>
      </c>
      <c r="AT36" s="113"/>
      <c r="AU36" s="113"/>
      <c r="AV36" s="113">
        <v>0.0</v>
      </c>
      <c r="AW36" s="113"/>
      <c r="AX36" s="113"/>
      <c r="AY36" s="113"/>
      <c r="AZ36" s="113"/>
      <c r="BA36" s="113"/>
      <c r="BB36" s="113"/>
      <c r="BC36" s="113">
        <v>0.0</v>
      </c>
      <c r="BD36" s="114">
        <v>1.0</v>
      </c>
      <c r="BE36" s="116">
        <v>0.0</v>
      </c>
      <c r="BF36" s="113"/>
      <c r="BG36" s="113"/>
      <c r="BH36" s="113"/>
      <c r="BI36" s="113"/>
      <c r="BJ36" s="113"/>
      <c r="BK36" s="113"/>
      <c r="BL36" s="113"/>
      <c r="BM36" s="113"/>
      <c r="BN36" s="113"/>
      <c r="BO36" s="113"/>
      <c r="BP36" s="113"/>
      <c r="BQ36" s="113"/>
      <c r="BR36" s="113"/>
      <c r="BS36" s="113"/>
      <c r="BT36" s="113"/>
      <c r="BU36" s="113"/>
      <c r="BV36" s="113"/>
      <c r="BW36" s="114">
        <v>1.0</v>
      </c>
      <c r="BX36" s="114">
        <v>0.0</v>
      </c>
      <c r="BY36" s="114">
        <v>0.0</v>
      </c>
      <c r="BZ36" s="114">
        <v>0.0</v>
      </c>
      <c r="CA36" s="114">
        <v>0.0</v>
      </c>
      <c r="CB36" s="113"/>
      <c r="CC36" s="113"/>
      <c r="CD36" s="113"/>
      <c r="CE36" s="113"/>
      <c r="CF36" s="113"/>
      <c r="CG36" s="113"/>
      <c r="CH36" s="113"/>
      <c r="CI36" s="114">
        <v>1.0</v>
      </c>
      <c r="CJ36" s="114">
        <v>1.0</v>
      </c>
      <c r="CK36" s="114">
        <v>1.0</v>
      </c>
      <c r="CL36" s="114">
        <v>0.0</v>
      </c>
      <c r="CM36" s="113"/>
      <c r="CN36" s="113"/>
      <c r="CO36" s="113"/>
      <c r="CP36" s="113"/>
      <c r="CQ36" s="114">
        <v>1.0</v>
      </c>
      <c r="CR36" s="113"/>
      <c r="CS36" s="113"/>
      <c r="CT36" s="113"/>
      <c r="CU36" s="113"/>
      <c r="CV36" s="113"/>
      <c r="CW36" s="113"/>
      <c r="CX36" s="113"/>
      <c r="CY36" s="114">
        <v>1.0</v>
      </c>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row>
    <row r="37" ht="19.5" customHeight="1">
      <c r="A37" s="84" t="str">
        <f>IF(Roster!$A$35&lt;&gt;"",Roster!$A$35,"")</f>
        <v>Zach Esakof</v>
      </c>
      <c r="B37" s="113" t="s">
        <v>343</v>
      </c>
      <c r="C37" s="114">
        <v>0.0</v>
      </c>
      <c r="D37" s="113"/>
      <c r="E37" s="113"/>
      <c r="F37" s="113"/>
      <c r="G37" s="113">
        <v>1.0</v>
      </c>
      <c r="H37" s="113">
        <v>0.0</v>
      </c>
      <c r="I37" s="113">
        <v>0.0</v>
      </c>
      <c r="J37" s="113">
        <v>1.0</v>
      </c>
      <c r="K37" s="113"/>
      <c r="L37" s="113">
        <v>0.0</v>
      </c>
      <c r="M37" s="113">
        <v>1.0</v>
      </c>
      <c r="N37" s="113"/>
      <c r="O37" s="113">
        <v>0.0</v>
      </c>
      <c r="P37" s="113">
        <v>0.0</v>
      </c>
      <c r="Q37" s="113"/>
      <c r="R37" s="113"/>
      <c r="S37" s="113"/>
      <c r="T37" s="113"/>
      <c r="U37" s="113"/>
      <c r="V37" s="113"/>
      <c r="W37" s="113"/>
      <c r="X37" s="113"/>
      <c r="Y37" s="113"/>
      <c r="Z37" s="113"/>
      <c r="AA37" s="113"/>
      <c r="AB37" s="113">
        <v>1.0</v>
      </c>
      <c r="AC37" s="113"/>
      <c r="AD37" s="114" t="s">
        <v>343</v>
      </c>
      <c r="AE37" s="113"/>
      <c r="AF37" s="113"/>
      <c r="AG37" s="113"/>
      <c r="AH37" s="113"/>
      <c r="AI37" s="114">
        <v>0.0</v>
      </c>
      <c r="AJ37" s="114">
        <v>0.0</v>
      </c>
      <c r="AK37" s="113">
        <v>0.0</v>
      </c>
      <c r="AL37" s="113">
        <v>1.0</v>
      </c>
      <c r="AM37" s="113"/>
      <c r="AN37" s="113"/>
      <c r="AO37" s="113"/>
      <c r="AP37" s="113"/>
      <c r="AQ37" s="113"/>
      <c r="AR37" s="114" t="s">
        <v>343</v>
      </c>
      <c r="AS37" s="115">
        <v>1.0</v>
      </c>
      <c r="AT37" s="113"/>
      <c r="AU37" s="113"/>
      <c r="AV37" s="113">
        <v>1.0</v>
      </c>
      <c r="AW37" s="113"/>
      <c r="AX37" s="113"/>
      <c r="AY37" s="113"/>
      <c r="AZ37" s="113"/>
      <c r="BA37" s="113"/>
      <c r="BB37" s="113"/>
      <c r="BC37" s="113" t="s">
        <v>343</v>
      </c>
      <c r="BD37" s="114">
        <v>0.0</v>
      </c>
      <c r="BE37" s="115">
        <v>1.0</v>
      </c>
      <c r="BF37" s="113"/>
      <c r="BG37" s="113"/>
      <c r="BH37" s="113"/>
      <c r="BI37" s="113"/>
      <c r="BJ37" s="113"/>
      <c r="BK37" s="113"/>
      <c r="BL37" s="113"/>
      <c r="BM37" s="113"/>
      <c r="BN37" s="113"/>
      <c r="BO37" s="113"/>
      <c r="BP37" s="113"/>
      <c r="BQ37" s="113"/>
      <c r="BR37" s="113"/>
      <c r="BS37" s="113"/>
      <c r="BT37" s="113"/>
      <c r="BU37" s="113"/>
      <c r="BV37" s="113"/>
      <c r="BW37" s="114">
        <v>1.0</v>
      </c>
      <c r="BX37" s="114">
        <v>0.0</v>
      </c>
      <c r="BY37" s="114">
        <v>0.0</v>
      </c>
      <c r="BZ37" s="114">
        <v>0.0</v>
      </c>
      <c r="CA37" s="114">
        <v>0.0</v>
      </c>
      <c r="CB37" s="113"/>
      <c r="CC37" s="113"/>
      <c r="CD37" s="113"/>
      <c r="CE37" s="113"/>
      <c r="CF37" s="113"/>
      <c r="CG37" s="113"/>
      <c r="CH37" s="113"/>
      <c r="CI37" s="114" t="s">
        <v>343</v>
      </c>
      <c r="CJ37" s="114" t="s">
        <v>343</v>
      </c>
      <c r="CK37" s="114" t="s">
        <v>343</v>
      </c>
      <c r="CL37" s="114" t="s">
        <v>343</v>
      </c>
      <c r="CM37" s="113"/>
      <c r="CN37" s="113"/>
      <c r="CO37" s="113"/>
      <c r="CP37" s="113"/>
      <c r="CQ37" s="114" t="s">
        <v>343</v>
      </c>
      <c r="CR37" s="113"/>
      <c r="CS37" s="113"/>
      <c r="CT37" s="113"/>
      <c r="CU37" s="113"/>
      <c r="CV37" s="113"/>
      <c r="CW37" s="113"/>
      <c r="CX37" s="113"/>
      <c r="CY37" s="114" t="s">
        <v>343</v>
      </c>
      <c r="CZ37" s="113"/>
      <c r="DA37" s="113"/>
      <c r="DB37" s="113"/>
      <c r="DC37" s="113"/>
      <c r="DD37" s="113"/>
      <c r="DE37" s="113"/>
      <c r="DF37" s="113"/>
      <c r="DG37" s="113"/>
      <c r="DH37" s="113"/>
      <c r="DI37" s="113"/>
      <c r="DJ37" s="113"/>
      <c r="DK37" s="113"/>
      <c r="DL37" s="113"/>
      <c r="DM37" s="113"/>
      <c r="DN37" s="113"/>
      <c r="DO37" s="113"/>
      <c r="DP37" s="113"/>
      <c r="DQ37" s="113"/>
      <c r="DR37" s="113"/>
      <c r="DS37" s="113"/>
      <c r="DT37" s="113"/>
      <c r="DU37" s="113"/>
      <c r="DV37" s="113"/>
      <c r="DW37" s="113"/>
      <c r="DX37" s="113"/>
      <c r="DY37" s="113"/>
      <c r="DZ37" s="113"/>
      <c r="EA37" s="113"/>
      <c r="EB37" s="113"/>
      <c r="EC37" s="113"/>
      <c r="ED37" s="113"/>
      <c r="EE37" s="113"/>
    </row>
    <row r="38" ht="19.5" customHeight="1">
      <c r="A38" s="84" t="str">
        <f>IF(Roster!$A$36&lt;&gt;"",Roster!$A$36,"")</f>
        <v>Annette Kukunas-Piper</v>
      </c>
      <c r="B38" s="113" t="s">
        <v>343</v>
      </c>
      <c r="C38" s="113" t="s">
        <v>343</v>
      </c>
      <c r="D38" s="113"/>
      <c r="E38" s="113"/>
      <c r="F38" s="113"/>
      <c r="G38" s="114" t="s">
        <v>343</v>
      </c>
      <c r="H38" s="113" t="s">
        <v>343</v>
      </c>
      <c r="I38" s="113">
        <v>0.0</v>
      </c>
      <c r="J38" s="113">
        <v>1.0</v>
      </c>
      <c r="K38" s="113"/>
      <c r="L38" s="114" t="s">
        <v>343</v>
      </c>
      <c r="M38" s="113" t="s">
        <v>343</v>
      </c>
      <c r="N38" s="113"/>
      <c r="O38" s="113">
        <v>0.0</v>
      </c>
      <c r="P38" s="113">
        <v>0.0</v>
      </c>
      <c r="Q38" s="113"/>
      <c r="R38" s="113"/>
      <c r="S38" s="113"/>
      <c r="T38" s="113"/>
      <c r="U38" s="113"/>
      <c r="V38" s="113"/>
      <c r="W38" s="113"/>
      <c r="X38" s="113"/>
      <c r="Y38" s="113"/>
      <c r="Z38" s="113"/>
      <c r="AA38" s="113"/>
      <c r="AB38" s="113" t="s">
        <v>343</v>
      </c>
      <c r="AC38" s="113"/>
      <c r="AD38" s="114" t="s">
        <v>343</v>
      </c>
      <c r="AE38" s="113"/>
      <c r="AF38" s="113"/>
      <c r="AG38" s="113"/>
      <c r="AH38" s="113"/>
      <c r="AI38" s="114" t="s">
        <v>343</v>
      </c>
      <c r="AJ38" s="113" t="s">
        <v>343</v>
      </c>
      <c r="AK38" s="114">
        <v>1.0</v>
      </c>
      <c r="AL38" s="114" t="s">
        <v>343</v>
      </c>
      <c r="AM38" s="113"/>
      <c r="AN38" s="113"/>
      <c r="AO38" s="113"/>
      <c r="AP38" s="113"/>
      <c r="AQ38" s="113"/>
      <c r="AR38" s="114" t="s">
        <v>343</v>
      </c>
      <c r="AS38" s="116" t="s">
        <v>343</v>
      </c>
      <c r="AT38" s="113"/>
      <c r="AU38" s="113"/>
      <c r="AV38" s="113" t="s">
        <v>343</v>
      </c>
      <c r="AW38" s="113"/>
      <c r="AX38" s="113"/>
      <c r="AY38" s="113"/>
      <c r="AZ38" s="113"/>
      <c r="BA38" s="113"/>
      <c r="BB38" s="113"/>
      <c r="BC38" s="113" t="s">
        <v>343</v>
      </c>
      <c r="BD38" s="114">
        <v>1.0</v>
      </c>
      <c r="BE38" s="115">
        <v>1.0</v>
      </c>
      <c r="BF38" s="113"/>
      <c r="BG38" s="113"/>
      <c r="BH38" s="113"/>
      <c r="BI38" s="113"/>
      <c r="BJ38" s="113"/>
      <c r="BK38" s="113"/>
      <c r="BL38" s="113"/>
      <c r="BM38" s="113"/>
      <c r="BN38" s="113"/>
      <c r="BO38" s="113"/>
      <c r="BP38" s="113"/>
      <c r="BQ38" s="113"/>
      <c r="BR38" s="113"/>
      <c r="BS38" s="113"/>
      <c r="BT38" s="113"/>
      <c r="BU38" s="113"/>
      <c r="BV38" s="113"/>
      <c r="BW38" s="114">
        <v>0.0</v>
      </c>
      <c r="BX38" s="114">
        <v>1.0</v>
      </c>
      <c r="BY38" s="114">
        <v>0.0</v>
      </c>
      <c r="BZ38" s="114">
        <v>0.0</v>
      </c>
      <c r="CA38" s="114">
        <v>0.0</v>
      </c>
      <c r="CB38" s="113"/>
      <c r="CC38" s="113"/>
      <c r="CD38" s="113"/>
      <c r="CE38" s="113"/>
      <c r="CF38" s="113"/>
      <c r="CG38" s="113"/>
      <c r="CH38" s="113"/>
      <c r="CI38" s="114" t="s">
        <v>343</v>
      </c>
      <c r="CJ38" s="114" t="s">
        <v>343</v>
      </c>
      <c r="CK38" s="114" t="s">
        <v>343</v>
      </c>
      <c r="CL38" s="113"/>
      <c r="CM38" s="113"/>
      <c r="CN38" s="113"/>
      <c r="CO38" s="113"/>
      <c r="CP38" s="113"/>
      <c r="CQ38" s="114" t="s">
        <v>343</v>
      </c>
      <c r="CR38" s="113"/>
      <c r="CS38" s="113"/>
      <c r="CT38" s="113"/>
      <c r="CU38" s="113"/>
      <c r="CV38" s="113"/>
      <c r="CW38" s="113"/>
      <c r="CX38" s="113"/>
      <c r="CY38" s="114" t="s">
        <v>343</v>
      </c>
      <c r="CZ38" s="113"/>
      <c r="DA38" s="113"/>
      <c r="DB38" s="113"/>
      <c r="DC38" s="113"/>
      <c r="DD38" s="113"/>
      <c r="DE38" s="113"/>
      <c r="DF38" s="113"/>
      <c r="DG38" s="113"/>
      <c r="DH38" s="113"/>
      <c r="DI38" s="113"/>
      <c r="DJ38" s="113"/>
      <c r="DK38" s="113"/>
      <c r="DL38" s="113"/>
      <c r="DM38" s="113"/>
      <c r="DN38" s="113"/>
      <c r="DO38" s="113"/>
      <c r="DP38" s="113"/>
      <c r="DQ38" s="113"/>
      <c r="DR38" s="113"/>
      <c r="DS38" s="113"/>
      <c r="DT38" s="113"/>
      <c r="DU38" s="113"/>
      <c r="DV38" s="113"/>
      <c r="DW38" s="113"/>
      <c r="DX38" s="113"/>
      <c r="DY38" s="113"/>
      <c r="DZ38" s="113"/>
      <c r="EA38" s="113"/>
      <c r="EB38" s="113"/>
      <c r="EC38" s="113"/>
      <c r="ED38" s="113"/>
      <c r="EE38" s="113"/>
    </row>
    <row r="39" ht="19.5" customHeight="1">
      <c r="A39" s="84" t="str">
        <f>IF(Roster!$A$37&lt;&gt;"",Roster!$A$37,"")</f>
        <v>Matt Duffy</v>
      </c>
      <c r="B39" s="113" t="s">
        <v>343</v>
      </c>
      <c r="C39" s="113" t="s">
        <v>343</v>
      </c>
      <c r="D39" s="113"/>
      <c r="E39" s="113"/>
      <c r="F39" s="113"/>
      <c r="G39" s="114" t="s">
        <v>343</v>
      </c>
      <c r="H39" s="113" t="s">
        <v>343</v>
      </c>
      <c r="I39" s="113">
        <v>0.0</v>
      </c>
      <c r="J39" s="113">
        <v>1.0</v>
      </c>
      <c r="K39" s="113"/>
      <c r="L39" s="114" t="s">
        <v>343</v>
      </c>
      <c r="M39" s="113" t="s">
        <v>343</v>
      </c>
      <c r="N39" s="113"/>
      <c r="O39" s="113">
        <v>0.0</v>
      </c>
      <c r="P39" s="113">
        <v>0.0</v>
      </c>
      <c r="Q39" s="113"/>
      <c r="R39" s="113"/>
      <c r="S39" s="113"/>
      <c r="T39" s="113"/>
      <c r="U39" s="113"/>
      <c r="V39" s="113"/>
      <c r="W39" s="113"/>
      <c r="X39" s="113"/>
      <c r="Y39" s="113"/>
      <c r="Z39" s="113"/>
      <c r="AA39" s="113"/>
      <c r="AB39" s="113" t="s">
        <v>343</v>
      </c>
      <c r="AC39" s="113"/>
      <c r="AD39" s="114" t="s">
        <v>343</v>
      </c>
      <c r="AE39" s="113"/>
      <c r="AF39" s="113"/>
      <c r="AG39" s="113"/>
      <c r="AH39" s="113"/>
      <c r="AI39" s="114" t="s">
        <v>343</v>
      </c>
      <c r="AJ39" s="113" t="s">
        <v>343</v>
      </c>
      <c r="AK39" s="114">
        <v>1.0</v>
      </c>
      <c r="AL39" s="114" t="s">
        <v>343</v>
      </c>
      <c r="AM39" s="113"/>
      <c r="AN39" s="113"/>
      <c r="AO39" s="113"/>
      <c r="AP39" s="113"/>
      <c r="AQ39" s="113"/>
      <c r="AR39" s="114" t="s">
        <v>343</v>
      </c>
      <c r="AS39" s="116" t="s">
        <v>343</v>
      </c>
      <c r="AT39" s="113"/>
      <c r="AU39" s="113"/>
      <c r="AV39" s="113" t="s">
        <v>343</v>
      </c>
      <c r="AW39" s="113"/>
      <c r="AX39" s="113"/>
      <c r="AY39" s="113"/>
      <c r="AZ39" s="113"/>
      <c r="BA39" s="113"/>
      <c r="BB39" s="113"/>
      <c r="BC39" s="113" t="s">
        <v>343</v>
      </c>
      <c r="BD39" s="114">
        <v>1.0</v>
      </c>
      <c r="BE39" s="115">
        <v>1.0</v>
      </c>
      <c r="BF39" s="113"/>
      <c r="BG39" s="113"/>
      <c r="BH39" s="113"/>
      <c r="BI39" s="113"/>
      <c r="BJ39" s="113"/>
      <c r="BK39" s="113"/>
      <c r="BL39" s="113"/>
      <c r="BM39" s="113"/>
      <c r="BN39" s="113"/>
      <c r="BO39" s="113"/>
      <c r="BP39" s="113"/>
      <c r="BQ39" s="113"/>
      <c r="BR39" s="113"/>
      <c r="BS39" s="113"/>
      <c r="BT39" s="113"/>
      <c r="BU39" s="113"/>
      <c r="BV39" s="113"/>
      <c r="BW39" s="114">
        <v>1.0</v>
      </c>
      <c r="BX39" s="114">
        <v>0.0</v>
      </c>
      <c r="BY39" s="114">
        <v>0.0</v>
      </c>
      <c r="BZ39" s="114">
        <v>0.0</v>
      </c>
      <c r="CA39" s="114">
        <v>0.0</v>
      </c>
      <c r="CB39" s="113"/>
      <c r="CC39" s="113"/>
      <c r="CD39" s="113"/>
      <c r="CE39" s="113"/>
      <c r="CF39" s="113"/>
      <c r="CG39" s="113"/>
      <c r="CH39" s="113"/>
      <c r="CI39" s="114" t="s">
        <v>343</v>
      </c>
      <c r="CJ39" s="114" t="s">
        <v>343</v>
      </c>
      <c r="CK39" s="114" t="s">
        <v>343</v>
      </c>
      <c r="CL39" s="113"/>
      <c r="CM39" s="113"/>
      <c r="CN39" s="113"/>
      <c r="CO39" s="113"/>
      <c r="CP39" s="113"/>
      <c r="CQ39" s="114" t="s">
        <v>343</v>
      </c>
      <c r="CR39" s="113"/>
      <c r="CS39" s="113"/>
      <c r="CT39" s="113"/>
      <c r="CU39" s="113"/>
      <c r="CV39" s="113"/>
      <c r="CW39" s="113"/>
      <c r="CX39" s="113"/>
      <c r="CY39" s="114" t="s">
        <v>343</v>
      </c>
      <c r="CZ39" s="113"/>
      <c r="DA39" s="113"/>
      <c r="DB39" s="113"/>
      <c r="DC39" s="113"/>
      <c r="DD39" s="113"/>
      <c r="DE39" s="113"/>
      <c r="DF39" s="113"/>
      <c r="DG39" s="113"/>
      <c r="DH39" s="113"/>
      <c r="DI39" s="113"/>
      <c r="DJ39" s="113"/>
      <c r="DK39" s="113"/>
      <c r="DL39" s="113"/>
      <c r="DM39" s="113"/>
      <c r="DN39" s="113"/>
      <c r="DO39" s="113"/>
      <c r="DP39" s="113"/>
      <c r="DQ39" s="113"/>
      <c r="DR39" s="113"/>
      <c r="DS39" s="113"/>
      <c r="DT39" s="113"/>
      <c r="DU39" s="113"/>
      <c r="DV39" s="113"/>
      <c r="DW39" s="113"/>
      <c r="DX39" s="113"/>
      <c r="DY39" s="113"/>
      <c r="DZ39" s="113"/>
      <c r="EA39" s="113"/>
      <c r="EB39" s="113"/>
      <c r="EC39" s="113"/>
      <c r="ED39" s="113"/>
      <c r="EE39" s="113"/>
    </row>
    <row r="40" ht="19.5" customHeight="1">
      <c r="A40" s="84" t="str">
        <f>IF(Roster!$A$38&lt;&gt;"",Roster!$A$38,"")</f>
        <v>Ryan Birchard</v>
      </c>
      <c r="B40" s="113" t="s">
        <v>343</v>
      </c>
      <c r="C40" s="113" t="s">
        <v>343</v>
      </c>
      <c r="D40" s="113"/>
      <c r="E40" s="113"/>
      <c r="F40" s="113"/>
      <c r="G40" s="114" t="s">
        <v>343</v>
      </c>
      <c r="H40" s="113" t="s">
        <v>343</v>
      </c>
      <c r="I40" s="113">
        <v>0.0</v>
      </c>
      <c r="J40" s="113">
        <v>1.0</v>
      </c>
      <c r="K40" s="113"/>
      <c r="L40" s="114" t="s">
        <v>343</v>
      </c>
      <c r="M40" s="113" t="s">
        <v>343</v>
      </c>
      <c r="N40" s="113"/>
      <c r="O40" s="113">
        <v>0.0</v>
      </c>
      <c r="P40" s="113">
        <v>0.0</v>
      </c>
      <c r="Q40" s="113"/>
      <c r="R40" s="113"/>
      <c r="S40" s="113"/>
      <c r="T40" s="113"/>
      <c r="U40" s="113"/>
      <c r="V40" s="113"/>
      <c r="W40" s="113"/>
      <c r="X40" s="113"/>
      <c r="Y40" s="113"/>
      <c r="Z40" s="113"/>
      <c r="AA40" s="113"/>
      <c r="AB40" s="113" t="s">
        <v>343</v>
      </c>
      <c r="AC40" s="113"/>
      <c r="AD40" s="114" t="s">
        <v>343</v>
      </c>
      <c r="AE40" s="113"/>
      <c r="AF40" s="113"/>
      <c r="AG40" s="113"/>
      <c r="AH40" s="113"/>
      <c r="AI40" s="114" t="s">
        <v>343</v>
      </c>
      <c r="AJ40" s="113" t="s">
        <v>343</v>
      </c>
      <c r="AK40" s="114" t="s">
        <v>343</v>
      </c>
      <c r="AL40" s="114" t="s">
        <v>343</v>
      </c>
      <c r="AM40" s="113"/>
      <c r="AN40" s="113"/>
      <c r="AO40" s="113"/>
      <c r="AP40" s="113"/>
      <c r="AQ40" s="113"/>
      <c r="AR40" s="114" t="s">
        <v>343</v>
      </c>
      <c r="AS40" s="116" t="s">
        <v>343</v>
      </c>
      <c r="AT40" s="113"/>
      <c r="AU40" s="113"/>
      <c r="AV40" s="113">
        <v>0.0</v>
      </c>
      <c r="AW40" s="113"/>
      <c r="AX40" s="113"/>
      <c r="AY40" s="113"/>
      <c r="AZ40" s="113"/>
      <c r="BA40" s="113"/>
      <c r="BB40" s="113"/>
      <c r="BC40" s="114" t="s">
        <v>343</v>
      </c>
      <c r="BD40" s="114">
        <v>1.0</v>
      </c>
      <c r="BE40" s="116" t="s">
        <v>343</v>
      </c>
      <c r="BF40" s="113"/>
      <c r="BG40" s="113"/>
      <c r="BH40" s="113"/>
      <c r="BI40" s="113"/>
      <c r="BJ40" s="113"/>
      <c r="BK40" s="113"/>
      <c r="BL40" s="113"/>
      <c r="BM40" s="113"/>
      <c r="BN40" s="113"/>
      <c r="BO40" s="113"/>
      <c r="BP40" s="113"/>
      <c r="BQ40" s="113"/>
      <c r="BR40" s="113"/>
      <c r="BS40" s="113"/>
      <c r="BT40" s="113"/>
      <c r="BU40" s="113"/>
      <c r="BV40" s="113"/>
      <c r="BW40" s="114">
        <v>0.0</v>
      </c>
      <c r="BX40" s="114">
        <v>0.0</v>
      </c>
      <c r="BY40" s="114">
        <v>0.0</v>
      </c>
      <c r="BZ40" s="114">
        <v>0.0</v>
      </c>
      <c r="CA40" s="114">
        <v>0.0</v>
      </c>
      <c r="CB40" s="113"/>
      <c r="CC40" s="113"/>
      <c r="CD40" s="113"/>
      <c r="CE40" s="113"/>
      <c r="CF40" s="113"/>
      <c r="CG40" s="113"/>
      <c r="CH40" s="113"/>
      <c r="CI40" s="114" t="s">
        <v>343</v>
      </c>
      <c r="CJ40" s="114" t="s">
        <v>343</v>
      </c>
      <c r="CK40" s="114" t="s">
        <v>343</v>
      </c>
      <c r="CL40" s="113"/>
      <c r="CM40" s="113"/>
      <c r="CN40" s="113"/>
      <c r="CO40" s="113"/>
      <c r="CP40" s="113"/>
      <c r="CQ40" s="114" t="s">
        <v>343</v>
      </c>
      <c r="CR40" s="113"/>
      <c r="CS40" s="113"/>
      <c r="CT40" s="113"/>
      <c r="CU40" s="113"/>
      <c r="CV40" s="113"/>
      <c r="CW40" s="113"/>
      <c r="CX40" s="113"/>
      <c r="CY40" s="114" t="s">
        <v>343</v>
      </c>
      <c r="CZ40" s="113"/>
      <c r="DA40" s="113"/>
      <c r="DB40" s="113"/>
      <c r="DC40" s="113"/>
      <c r="DD40" s="113"/>
      <c r="DE40" s="113"/>
      <c r="DF40" s="113"/>
      <c r="DG40" s="113"/>
      <c r="DH40" s="113"/>
      <c r="DI40" s="113"/>
      <c r="DJ40" s="113"/>
      <c r="DK40" s="113"/>
      <c r="DL40" s="113"/>
      <c r="DM40" s="113"/>
      <c r="DN40" s="113"/>
      <c r="DO40" s="113"/>
      <c r="DP40" s="113"/>
      <c r="DQ40" s="113"/>
      <c r="DR40" s="113"/>
      <c r="DS40" s="113"/>
      <c r="DT40" s="113"/>
      <c r="DU40" s="113"/>
      <c r="DV40" s="113"/>
      <c r="DW40" s="113"/>
      <c r="DX40" s="113"/>
      <c r="DY40" s="113"/>
      <c r="DZ40" s="113"/>
      <c r="EA40" s="113"/>
      <c r="EB40" s="113"/>
      <c r="EC40" s="113"/>
      <c r="ED40" s="113"/>
      <c r="EE40" s="113"/>
    </row>
    <row r="41" ht="19.5" customHeight="1">
      <c r="A41" s="84" t="str">
        <f>IF(Roster!$A$39&lt;&gt;"",Roster!$A$39,"")</f>
        <v>Nick Blair</v>
      </c>
      <c r="B41" s="113" t="s">
        <v>343</v>
      </c>
      <c r="C41" s="113" t="s">
        <v>343</v>
      </c>
      <c r="D41" s="113"/>
      <c r="E41" s="113"/>
      <c r="F41" s="113"/>
      <c r="G41" s="113" t="s">
        <v>343</v>
      </c>
      <c r="H41" s="113" t="s">
        <v>343</v>
      </c>
      <c r="I41" s="113">
        <v>0.0</v>
      </c>
      <c r="J41" s="113" t="s">
        <v>343</v>
      </c>
      <c r="K41" s="113"/>
      <c r="L41" s="113" t="s">
        <v>343</v>
      </c>
      <c r="M41" s="113" t="s">
        <v>343</v>
      </c>
      <c r="N41" s="113"/>
      <c r="O41" s="113">
        <v>0.0</v>
      </c>
      <c r="P41" s="113">
        <v>0.0</v>
      </c>
      <c r="Q41" s="113"/>
      <c r="R41" s="113"/>
      <c r="S41" s="113"/>
      <c r="T41" s="113"/>
      <c r="U41" s="113"/>
      <c r="V41" s="113"/>
      <c r="W41" s="113"/>
      <c r="X41" s="113"/>
      <c r="Y41" s="113"/>
      <c r="Z41" s="113"/>
      <c r="AA41" s="113"/>
      <c r="AB41" s="113" t="s">
        <v>343</v>
      </c>
      <c r="AC41" s="113"/>
      <c r="AD41" s="114">
        <v>0.0</v>
      </c>
      <c r="AE41" s="113"/>
      <c r="AF41" s="113"/>
      <c r="AG41" s="113"/>
      <c r="AH41" s="113"/>
      <c r="AI41" s="114" t="s">
        <v>343</v>
      </c>
      <c r="AJ41" s="113" t="s">
        <v>343</v>
      </c>
      <c r="AK41" s="113" t="s">
        <v>343</v>
      </c>
      <c r="AL41" s="113" t="s">
        <v>343</v>
      </c>
      <c r="AM41" s="113"/>
      <c r="AN41" s="113"/>
      <c r="AO41" s="113"/>
      <c r="AP41" s="113"/>
      <c r="AQ41" s="113"/>
      <c r="AR41" s="113"/>
      <c r="AS41" s="116">
        <v>0.0</v>
      </c>
      <c r="AT41" s="113"/>
      <c r="AU41" s="113"/>
      <c r="AV41" s="113">
        <v>0.0</v>
      </c>
      <c r="AW41" s="113"/>
      <c r="AX41" s="113"/>
      <c r="AY41" s="113"/>
      <c r="AZ41" s="113"/>
      <c r="BA41" s="113"/>
      <c r="BB41" s="113"/>
      <c r="BC41" s="113" t="s">
        <v>343</v>
      </c>
      <c r="BD41" s="113" t="s">
        <v>343</v>
      </c>
      <c r="BE41" s="116">
        <v>0.0</v>
      </c>
      <c r="BF41" s="113"/>
      <c r="BG41" s="113"/>
      <c r="BH41" s="113"/>
      <c r="BI41" s="113"/>
      <c r="BJ41" s="113"/>
      <c r="BK41" s="113"/>
      <c r="BL41" s="113"/>
      <c r="BM41" s="113"/>
      <c r="BN41" s="113"/>
      <c r="BO41" s="113"/>
      <c r="BP41" s="113"/>
      <c r="BQ41" s="113"/>
      <c r="BR41" s="113"/>
      <c r="BS41" s="113"/>
      <c r="BT41" s="113"/>
      <c r="BU41" s="113"/>
      <c r="BV41" s="113"/>
      <c r="BW41" s="114">
        <v>1.0</v>
      </c>
      <c r="BX41" s="114">
        <v>0.0</v>
      </c>
      <c r="BY41" s="114">
        <v>0.0</v>
      </c>
      <c r="BZ41" s="114">
        <v>0.0</v>
      </c>
      <c r="CA41" s="114">
        <v>0.0</v>
      </c>
      <c r="CB41" s="113"/>
      <c r="CC41" s="113"/>
      <c r="CD41" s="113"/>
      <c r="CE41" s="113"/>
      <c r="CF41" s="113"/>
      <c r="CG41" s="113"/>
      <c r="CH41" s="113"/>
      <c r="CI41" s="113"/>
      <c r="CJ41" s="113"/>
      <c r="CK41" s="113"/>
      <c r="CL41" s="113"/>
      <c r="CM41" s="113"/>
      <c r="CN41" s="113"/>
      <c r="CO41" s="113"/>
      <c r="CP41" s="113"/>
      <c r="CQ41" s="113"/>
      <c r="CR41" s="113"/>
      <c r="CS41" s="113"/>
      <c r="CT41" s="113"/>
      <c r="CU41" s="113"/>
      <c r="CV41" s="113"/>
      <c r="CW41" s="113"/>
      <c r="CX41" s="113"/>
      <c r="CY41" s="113"/>
      <c r="CZ41" s="113"/>
      <c r="DA41" s="113"/>
      <c r="DB41" s="113"/>
      <c r="DC41" s="113"/>
      <c r="DD41" s="113"/>
      <c r="DE41" s="113"/>
      <c r="DF41" s="113"/>
      <c r="DG41" s="113"/>
      <c r="DH41" s="113"/>
      <c r="DI41" s="113"/>
      <c r="DJ41" s="113"/>
      <c r="DK41" s="113"/>
      <c r="DL41" s="113"/>
      <c r="DM41" s="113"/>
      <c r="DN41" s="113"/>
      <c r="DO41" s="113"/>
      <c r="DP41" s="113"/>
      <c r="DQ41" s="113"/>
      <c r="DR41" s="113"/>
      <c r="DS41" s="113"/>
      <c r="DT41" s="113"/>
      <c r="DU41" s="113"/>
      <c r="DV41" s="113"/>
      <c r="DW41" s="113"/>
      <c r="DX41" s="113"/>
      <c r="DY41" s="113"/>
      <c r="DZ41" s="113"/>
      <c r="EA41" s="113"/>
      <c r="EB41" s="113"/>
      <c r="EC41" s="113"/>
      <c r="ED41" s="113"/>
      <c r="EE41" s="113"/>
    </row>
    <row r="42" ht="19.5" customHeight="1">
      <c r="A42" s="84" t="str">
        <f>IF(Roster!$A$40&lt;&gt;"",Roster!$A$40,"")</f>
        <v>Lily Nguyen</v>
      </c>
      <c r="B42" s="113">
        <v>0.0</v>
      </c>
      <c r="C42" s="113" t="s">
        <v>343</v>
      </c>
      <c r="D42" s="113"/>
      <c r="E42" s="113"/>
      <c r="F42" s="113"/>
      <c r="G42" s="113">
        <v>0.0</v>
      </c>
      <c r="H42" s="113">
        <v>0.0</v>
      </c>
      <c r="I42" s="113">
        <v>0.0</v>
      </c>
      <c r="J42" s="113">
        <v>0.0</v>
      </c>
      <c r="K42" s="113"/>
      <c r="L42" s="113">
        <v>0.0</v>
      </c>
      <c r="M42" s="113">
        <v>0.0</v>
      </c>
      <c r="N42" s="113"/>
      <c r="O42" s="113">
        <v>0.0</v>
      </c>
      <c r="P42" s="113">
        <v>0.0</v>
      </c>
      <c r="Q42" s="113"/>
      <c r="R42" s="113"/>
      <c r="S42" s="113"/>
      <c r="T42" s="113"/>
      <c r="U42" s="113"/>
      <c r="V42" s="113"/>
      <c r="W42" s="113"/>
      <c r="X42" s="113"/>
      <c r="Y42" s="113"/>
      <c r="Z42" s="113"/>
      <c r="AA42" s="113"/>
      <c r="AB42" s="113">
        <v>0.0</v>
      </c>
      <c r="AC42" s="113"/>
      <c r="AD42" s="114">
        <v>0.0</v>
      </c>
      <c r="AE42" s="113"/>
      <c r="AF42" s="113"/>
      <c r="AG42" s="113"/>
      <c r="AH42" s="113"/>
      <c r="AI42" s="114" t="s">
        <v>343</v>
      </c>
      <c r="AJ42" s="114">
        <v>1.0</v>
      </c>
      <c r="AK42" s="113">
        <v>0.0</v>
      </c>
      <c r="AL42" s="113">
        <v>0.0</v>
      </c>
      <c r="AM42" s="113"/>
      <c r="AN42" s="113"/>
      <c r="AO42" s="113"/>
      <c r="AP42" s="113"/>
      <c r="AQ42" s="113"/>
      <c r="AR42" s="114"/>
      <c r="AS42" s="116">
        <v>0.0</v>
      </c>
      <c r="AT42" s="113"/>
      <c r="AU42" s="113"/>
      <c r="AV42" s="113">
        <v>0.0</v>
      </c>
      <c r="AW42" s="113"/>
      <c r="AX42" s="113"/>
      <c r="AY42" s="113"/>
      <c r="AZ42" s="113"/>
      <c r="BA42" s="113"/>
      <c r="BB42" s="113"/>
      <c r="BC42" s="113">
        <v>0.0</v>
      </c>
      <c r="BD42" s="114">
        <v>1.0</v>
      </c>
      <c r="BE42" s="116">
        <v>0.0</v>
      </c>
      <c r="BF42" s="113"/>
      <c r="BG42" s="113"/>
      <c r="BH42" s="113"/>
      <c r="BI42" s="113"/>
      <c r="BJ42" s="113"/>
      <c r="BK42" s="113"/>
      <c r="BL42" s="113"/>
      <c r="BM42" s="113"/>
      <c r="BN42" s="113"/>
      <c r="BO42" s="113"/>
      <c r="BP42" s="113"/>
      <c r="BQ42" s="113"/>
      <c r="BR42" s="113"/>
      <c r="BS42" s="113"/>
      <c r="BT42" s="113"/>
      <c r="BU42" s="113"/>
      <c r="BV42" s="113"/>
      <c r="BW42" s="114">
        <v>0.0</v>
      </c>
      <c r="BX42" s="114">
        <v>0.0</v>
      </c>
      <c r="BY42" s="114">
        <v>0.0</v>
      </c>
      <c r="BZ42" s="114">
        <v>0.0</v>
      </c>
      <c r="CA42" s="114">
        <v>0.0</v>
      </c>
      <c r="CB42" s="113"/>
      <c r="CC42" s="113"/>
      <c r="CD42" s="113"/>
      <c r="CE42" s="113"/>
      <c r="CF42" s="113"/>
      <c r="CG42" s="113"/>
      <c r="CH42" s="113"/>
      <c r="CI42" s="114"/>
      <c r="CJ42" s="113"/>
      <c r="CK42" s="114">
        <v>1.0</v>
      </c>
      <c r="CL42" s="113"/>
      <c r="CM42" s="113"/>
      <c r="CN42" s="113"/>
      <c r="CO42" s="113"/>
      <c r="CP42" s="113"/>
      <c r="CQ42" s="113"/>
      <c r="CR42" s="113"/>
      <c r="CS42" s="113"/>
      <c r="CT42" s="113"/>
      <c r="CU42" s="113"/>
      <c r="CV42" s="113"/>
      <c r="CW42" s="113"/>
      <c r="CX42" s="113"/>
      <c r="CY42" s="113"/>
      <c r="CZ42" s="113"/>
      <c r="DA42" s="113"/>
      <c r="DB42" s="113"/>
      <c r="DC42" s="113"/>
      <c r="DD42" s="113"/>
      <c r="DE42" s="113"/>
      <c r="DF42" s="113"/>
      <c r="DG42" s="113"/>
      <c r="DH42" s="113"/>
      <c r="DI42" s="113"/>
      <c r="DJ42" s="113"/>
      <c r="DK42" s="113"/>
      <c r="DL42" s="113"/>
      <c r="DM42" s="113"/>
      <c r="DN42" s="113"/>
      <c r="DO42" s="113"/>
      <c r="DP42" s="113"/>
      <c r="DQ42" s="113"/>
      <c r="DR42" s="113"/>
      <c r="DS42" s="113"/>
      <c r="DT42" s="113"/>
      <c r="DU42" s="113"/>
      <c r="DV42" s="113"/>
      <c r="DW42" s="113"/>
      <c r="DX42" s="113"/>
      <c r="DY42" s="113"/>
      <c r="DZ42" s="113"/>
      <c r="EA42" s="113"/>
      <c r="EB42" s="113"/>
      <c r="EC42" s="113"/>
      <c r="ED42" s="113"/>
      <c r="EE42" s="113"/>
    </row>
    <row r="43" ht="19.5" customHeight="1">
      <c r="A43" s="84" t="str">
        <f>IF(Roster!$A$41&lt;&gt;"",Roster!$A$41,"")</f>
        <v>Griff Soren</v>
      </c>
      <c r="B43" s="114">
        <v>0.0</v>
      </c>
      <c r="C43" s="114">
        <v>0.0</v>
      </c>
      <c r="D43" s="114">
        <v>0.0</v>
      </c>
      <c r="E43" s="114">
        <v>0.0</v>
      </c>
      <c r="F43" s="114">
        <v>0.0</v>
      </c>
      <c r="G43" s="114">
        <v>0.0</v>
      </c>
      <c r="H43" s="114">
        <v>0.0</v>
      </c>
      <c r="I43" s="114">
        <v>0.0</v>
      </c>
      <c r="J43" s="114">
        <v>0.0</v>
      </c>
      <c r="K43" s="114">
        <v>0.0</v>
      </c>
      <c r="L43" s="114">
        <v>0.0</v>
      </c>
      <c r="M43" s="114">
        <v>0.0</v>
      </c>
      <c r="N43" s="114">
        <v>0.0</v>
      </c>
      <c r="O43" s="114">
        <v>0.0</v>
      </c>
      <c r="P43" s="114">
        <v>0.0</v>
      </c>
      <c r="Q43" s="114">
        <v>0.0</v>
      </c>
      <c r="R43" s="114">
        <v>0.0</v>
      </c>
      <c r="S43" s="114">
        <v>0.0</v>
      </c>
      <c r="T43" s="114">
        <v>0.0</v>
      </c>
      <c r="U43" s="114">
        <v>0.0</v>
      </c>
      <c r="V43" s="114">
        <v>0.0</v>
      </c>
      <c r="W43" s="114">
        <v>0.0</v>
      </c>
      <c r="X43" s="114">
        <v>0.0</v>
      </c>
      <c r="Y43" s="114">
        <v>0.0</v>
      </c>
      <c r="Z43" s="114">
        <v>0.0</v>
      </c>
      <c r="AA43" s="114">
        <v>0.0</v>
      </c>
      <c r="AB43" s="114">
        <v>0.0</v>
      </c>
      <c r="AC43" s="114">
        <v>0.0</v>
      </c>
      <c r="AD43" s="114">
        <v>0.0</v>
      </c>
      <c r="AE43" s="114">
        <v>0.0</v>
      </c>
      <c r="AF43" s="114">
        <v>0.0</v>
      </c>
      <c r="AG43" s="114">
        <v>0.0</v>
      </c>
      <c r="AH43" s="114">
        <v>0.0</v>
      </c>
      <c r="AI43" s="114">
        <v>0.0</v>
      </c>
      <c r="AJ43" s="114">
        <v>0.0</v>
      </c>
      <c r="AK43" s="114">
        <v>0.0</v>
      </c>
      <c r="AL43" s="114">
        <v>0.0</v>
      </c>
      <c r="AM43" s="113"/>
      <c r="AN43" s="113"/>
      <c r="AO43" s="113"/>
      <c r="AP43" s="113"/>
      <c r="AQ43" s="113"/>
      <c r="AR43" s="113"/>
      <c r="AS43" s="114">
        <v>0.0</v>
      </c>
      <c r="AT43" s="113"/>
      <c r="AU43" s="113"/>
      <c r="AV43" s="114">
        <v>0.0</v>
      </c>
      <c r="AW43" s="113"/>
      <c r="AX43" s="113"/>
      <c r="AY43" s="113"/>
      <c r="AZ43" s="113"/>
      <c r="BA43" s="113"/>
      <c r="BB43" s="113"/>
      <c r="BC43" s="114">
        <v>0.0</v>
      </c>
      <c r="BD43" s="114">
        <v>0.0</v>
      </c>
      <c r="BE43" s="114">
        <v>0.0</v>
      </c>
      <c r="BF43" s="114"/>
      <c r="BG43" s="114"/>
      <c r="BH43" s="114"/>
      <c r="BI43" s="114"/>
      <c r="BJ43" s="114"/>
      <c r="BK43" s="114"/>
      <c r="BL43" s="114"/>
      <c r="BM43" s="114"/>
      <c r="BN43" s="114"/>
      <c r="BO43" s="114"/>
      <c r="BP43" s="114"/>
      <c r="BQ43" s="114"/>
      <c r="BR43" s="114"/>
      <c r="BS43" s="114"/>
      <c r="BT43" s="114"/>
      <c r="BU43" s="114"/>
      <c r="BV43" s="114"/>
      <c r="BW43" s="114">
        <v>0.0</v>
      </c>
      <c r="BX43" s="114">
        <v>1.0</v>
      </c>
      <c r="BY43" s="114">
        <v>0.0</v>
      </c>
      <c r="BZ43" s="114">
        <v>0.0</v>
      </c>
      <c r="CA43" s="114">
        <v>0.0</v>
      </c>
      <c r="CB43" s="113"/>
      <c r="CC43" s="113"/>
      <c r="CD43" s="113"/>
      <c r="CE43" s="113"/>
      <c r="CF43" s="113"/>
      <c r="CG43" s="113"/>
      <c r="CH43" s="113"/>
      <c r="CI43" s="113"/>
      <c r="CJ43" s="113"/>
      <c r="CK43" s="113"/>
      <c r="CL43" s="113"/>
      <c r="CM43" s="113"/>
      <c r="CN43" s="113"/>
      <c r="CO43" s="113"/>
      <c r="CP43" s="113"/>
      <c r="CQ43" s="113"/>
      <c r="CR43" s="113"/>
      <c r="CS43" s="113"/>
      <c r="CT43" s="113"/>
      <c r="CU43" s="113"/>
      <c r="CV43" s="113"/>
      <c r="CW43" s="113"/>
      <c r="CX43" s="113"/>
      <c r="CY43" s="113"/>
      <c r="CZ43" s="113"/>
      <c r="DA43" s="113"/>
      <c r="DB43" s="113"/>
      <c r="DC43" s="113"/>
      <c r="DD43" s="113"/>
      <c r="DE43" s="113"/>
      <c r="DF43" s="113"/>
      <c r="DG43" s="113"/>
      <c r="DH43" s="113"/>
      <c r="DI43" s="113"/>
      <c r="DJ43" s="113"/>
      <c r="DK43" s="113"/>
      <c r="DL43" s="113"/>
      <c r="DM43" s="113"/>
      <c r="DN43" s="113"/>
      <c r="DO43" s="113"/>
      <c r="DP43" s="113"/>
      <c r="DQ43" s="113"/>
      <c r="DR43" s="113"/>
      <c r="DS43" s="113"/>
      <c r="DT43" s="113"/>
      <c r="DU43" s="113"/>
      <c r="DV43" s="113"/>
      <c r="DW43" s="113"/>
      <c r="DX43" s="113"/>
      <c r="DY43" s="113"/>
      <c r="DZ43" s="113"/>
      <c r="EA43" s="113"/>
      <c r="EB43" s="113"/>
      <c r="EC43" s="113"/>
      <c r="ED43" s="113"/>
      <c r="EE43" s="113"/>
    </row>
    <row r="44" ht="19.5" customHeight="1">
      <c r="A44" s="84" t="str">
        <f>IF(Roster!$A$42&lt;&gt;"",Roster!$A$42,"")</f>
        <v>Griff Alice</v>
      </c>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113"/>
      <c r="AX44" s="113"/>
      <c r="AY44" s="113"/>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4">
        <v>1.0</v>
      </c>
      <c r="BX44" s="114">
        <v>0.0</v>
      </c>
      <c r="BY44" s="114">
        <v>0.0</v>
      </c>
      <c r="BZ44" s="114">
        <v>0.0</v>
      </c>
      <c r="CA44" s="114">
        <v>0.0</v>
      </c>
      <c r="CB44" s="113"/>
      <c r="CC44" s="113"/>
      <c r="CD44" s="113"/>
      <c r="CE44" s="113"/>
      <c r="CF44" s="113"/>
      <c r="CG44" s="113"/>
      <c r="CH44" s="113"/>
      <c r="CI44" s="113"/>
      <c r="CJ44" s="113"/>
      <c r="CK44" s="113"/>
      <c r="CL44" s="113"/>
      <c r="CM44" s="113"/>
      <c r="CN44" s="113"/>
      <c r="CO44" s="113"/>
      <c r="CP44" s="113"/>
      <c r="CQ44" s="113"/>
      <c r="CR44" s="113"/>
      <c r="CS44" s="113"/>
      <c r="CT44" s="113"/>
      <c r="CU44" s="113"/>
      <c r="CV44" s="113"/>
      <c r="CW44" s="113"/>
      <c r="CX44" s="113"/>
      <c r="CY44" s="113"/>
      <c r="CZ44" s="113"/>
      <c r="DA44" s="113"/>
      <c r="DB44" s="113"/>
      <c r="DC44" s="113"/>
      <c r="DD44" s="113"/>
      <c r="DE44" s="113"/>
      <c r="DF44" s="113"/>
      <c r="DG44" s="113"/>
      <c r="DH44" s="113"/>
      <c r="DI44" s="113"/>
      <c r="DJ44" s="113"/>
      <c r="DK44" s="113"/>
      <c r="DL44" s="113"/>
      <c r="DM44" s="113"/>
      <c r="DN44" s="113"/>
      <c r="DO44" s="113"/>
      <c r="DP44" s="113"/>
      <c r="DQ44" s="113"/>
      <c r="DR44" s="113"/>
      <c r="DS44" s="113"/>
      <c r="DT44" s="113"/>
      <c r="DU44" s="113"/>
      <c r="DV44" s="113"/>
      <c r="DW44" s="113"/>
      <c r="DX44" s="113"/>
      <c r="DY44" s="113"/>
      <c r="DZ44" s="113"/>
      <c r="EA44" s="113"/>
      <c r="EB44" s="113"/>
      <c r="EC44" s="113"/>
      <c r="ED44" s="113"/>
      <c r="EE44" s="113"/>
    </row>
    <row r="45" ht="19.5" customHeight="1">
      <c r="A45" s="84" t="str">
        <f>IF(Roster!$A$43&lt;&gt;"",Roster!$A$43,"")</f>
        <v/>
      </c>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113"/>
      <c r="AX45" s="113"/>
      <c r="AY45" s="113"/>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4"/>
      <c r="CA45" s="113"/>
      <c r="CB45" s="113"/>
      <c r="CC45" s="113"/>
      <c r="CD45" s="113"/>
      <c r="CE45" s="113"/>
      <c r="CF45" s="113"/>
      <c r="CG45" s="113"/>
      <c r="CH45" s="113"/>
      <c r="CI45" s="113"/>
      <c r="CJ45" s="113"/>
      <c r="CK45" s="113"/>
      <c r="CL45" s="113"/>
      <c r="CM45" s="113"/>
      <c r="CN45" s="113"/>
      <c r="CO45" s="113"/>
      <c r="CP45" s="113"/>
      <c r="CQ45" s="113"/>
      <c r="CR45" s="113"/>
      <c r="CS45" s="113"/>
      <c r="CT45" s="113"/>
      <c r="CU45" s="113"/>
      <c r="CV45" s="113"/>
      <c r="CW45" s="113"/>
      <c r="CX45" s="113"/>
      <c r="CY45" s="113"/>
      <c r="CZ45" s="113"/>
      <c r="DA45" s="113"/>
      <c r="DB45" s="113"/>
      <c r="DC45" s="113"/>
      <c r="DD45" s="113"/>
      <c r="DE45" s="113"/>
      <c r="DF45" s="113"/>
      <c r="DG45" s="113"/>
      <c r="DH45" s="113"/>
      <c r="DI45" s="113"/>
      <c r="DJ45" s="113"/>
      <c r="DK45" s="113"/>
      <c r="DL45" s="113"/>
      <c r="DM45" s="113"/>
      <c r="DN45" s="113"/>
      <c r="DO45" s="113"/>
      <c r="DP45" s="113"/>
      <c r="DQ45" s="113"/>
      <c r="DR45" s="113"/>
      <c r="DS45" s="113"/>
      <c r="DT45" s="113"/>
      <c r="DU45" s="113"/>
      <c r="DV45" s="113"/>
      <c r="DW45" s="113"/>
      <c r="DX45" s="113"/>
      <c r="DY45" s="113"/>
      <c r="DZ45" s="113"/>
      <c r="EA45" s="113"/>
      <c r="EB45" s="113"/>
      <c r="EC45" s="113"/>
      <c r="ED45" s="113"/>
      <c r="EE45" s="113"/>
    </row>
    <row r="46" ht="19.5" customHeight="1">
      <c r="A46" s="84" t="str">
        <f>IF(Roster!$A$44&lt;&gt;"",Roster!$A$44,"")</f>
        <v/>
      </c>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113"/>
      <c r="AX46" s="113"/>
      <c r="AY46" s="113"/>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3"/>
      <c r="CB46" s="113"/>
      <c r="CC46" s="113"/>
      <c r="CD46" s="113"/>
      <c r="CE46" s="113"/>
      <c r="CF46" s="113"/>
      <c r="CG46" s="113"/>
      <c r="CH46" s="113"/>
      <c r="CI46" s="113"/>
      <c r="CJ46" s="113"/>
      <c r="CK46" s="113"/>
      <c r="CL46" s="113"/>
      <c r="CM46" s="113"/>
      <c r="CN46" s="113"/>
      <c r="CO46" s="113"/>
      <c r="CP46" s="113"/>
      <c r="CQ46" s="113"/>
      <c r="CR46" s="113"/>
      <c r="CS46" s="113"/>
      <c r="CT46" s="113"/>
      <c r="CU46" s="113"/>
      <c r="CV46" s="113"/>
      <c r="CW46" s="113"/>
      <c r="CX46" s="113"/>
      <c r="CY46" s="113"/>
      <c r="CZ46" s="113"/>
      <c r="DA46" s="113"/>
      <c r="DB46" s="113"/>
      <c r="DC46" s="113"/>
      <c r="DD46" s="113"/>
      <c r="DE46" s="113"/>
      <c r="DF46" s="113"/>
      <c r="DG46" s="113"/>
      <c r="DH46" s="113"/>
      <c r="DI46" s="113"/>
      <c r="DJ46" s="113"/>
      <c r="DK46" s="113"/>
      <c r="DL46" s="113"/>
      <c r="DM46" s="113"/>
      <c r="DN46" s="113"/>
      <c r="DO46" s="113"/>
      <c r="DP46" s="113"/>
      <c r="DQ46" s="113"/>
      <c r="DR46" s="113"/>
      <c r="DS46" s="113"/>
      <c r="DT46" s="113"/>
      <c r="DU46" s="113"/>
      <c r="DV46" s="113"/>
      <c r="DW46" s="113"/>
      <c r="DX46" s="113"/>
      <c r="DY46" s="113"/>
      <c r="DZ46" s="113"/>
      <c r="EA46" s="113"/>
      <c r="EB46" s="113"/>
      <c r="EC46" s="113"/>
      <c r="ED46" s="113"/>
      <c r="EE46" s="113"/>
    </row>
    <row r="47" ht="19.5" customHeight="1">
      <c r="A47" s="84" t="str">
        <f>IF(Roster!$A$45&lt;&gt;"",Roster!$A$45,"")</f>
        <v/>
      </c>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113"/>
      <c r="AX47" s="113"/>
      <c r="AY47" s="113"/>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c r="BW47" s="113"/>
      <c r="BX47" s="113"/>
      <c r="BY47" s="113"/>
      <c r="BZ47" s="113"/>
      <c r="CA47" s="113"/>
      <c r="CB47" s="113"/>
      <c r="CC47" s="113"/>
      <c r="CD47" s="113"/>
      <c r="CE47" s="113"/>
      <c r="CF47" s="113"/>
      <c r="CG47" s="113"/>
      <c r="CH47" s="113"/>
      <c r="CI47" s="113"/>
      <c r="CJ47" s="113"/>
      <c r="CK47" s="113"/>
      <c r="CL47" s="113"/>
      <c r="CM47" s="113"/>
      <c r="CN47" s="113"/>
      <c r="CO47" s="113"/>
      <c r="CP47" s="113"/>
      <c r="CQ47" s="113"/>
      <c r="CR47" s="113"/>
      <c r="CS47" s="113"/>
      <c r="CT47" s="113"/>
      <c r="CU47" s="113"/>
      <c r="CV47" s="113"/>
      <c r="CW47" s="113"/>
      <c r="CX47" s="113"/>
      <c r="CY47" s="113"/>
      <c r="CZ47" s="113"/>
      <c r="DA47" s="113"/>
      <c r="DB47" s="113"/>
      <c r="DC47" s="113"/>
      <c r="DD47" s="113"/>
      <c r="DE47" s="113"/>
      <c r="DF47" s="113"/>
      <c r="DG47" s="113"/>
      <c r="DH47" s="113"/>
      <c r="DI47" s="113"/>
      <c r="DJ47" s="113"/>
      <c r="DK47" s="113"/>
      <c r="DL47" s="113"/>
      <c r="DM47" s="113"/>
      <c r="DN47" s="113"/>
      <c r="DO47" s="113"/>
      <c r="DP47" s="113"/>
      <c r="DQ47" s="113"/>
      <c r="DR47" s="113"/>
      <c r="DS47" s="113"/>
      <c r="DT47" s="113"/>
      <c r="DU47" s="113"/>
      <c r="DV47" s="113"/>
      <c r="DW47" s="113"/>
      <c r="DX47" s="113"/>
      <c r="DY47" s="113"/>
      <c r="DZ47" s="113"/>
      <c r="EA47" s="113"/>
      <c r="EB47" s="113"/>
      <c r="EC47" s="113"/>
      <c r="ED47" s="113"/>
      <c r="EE47" s="113"/>
    </row>
    <row r="48" ht="19.5" customHeight="1">
      <c r="A48" s="84" t="str">
        <f>IF(Roster!$A$46&lt;&gt;"",Roster!$A$46,"")</f>
        <v/>
      </c>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c r="AO48" s="113"/>
      <c r="AP48" s="113"/>
      <c r="AQ48" s="113"/>
      <c r="AR48" s="113"/>
      <c r="AS48" s="113"/>
      <c r="AT48" s="113"/>
      <c r="AU48" s="113"/>
      <c r="AV48" s="113"/>
      <c r="AW48" s="113"/>
      <c r="AX48" s="113"/>
      <c r="AY48" s="113"/>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3"/>
      <c r="CB48" s="113"/>
      <c r="CC48" s="113"/>
      <c r="CD48" s="113"/>
      <c r="CE48" s="113"/>
      <c r="CF48" s="113"/>
      <c r="CG48" s="113"/>
      <c r="CH48" s="113"/>
      <c r="CI48" s="113"/>
      <c r="CJ48" s="113"/>
      <c r="CK48" s="113"/>
      <c r="CL48" s="113"/>
      <c r="CM48" s="113"/>
      <c r="CN48" s="113"/>
      <c r="CO48" s="113"/>
      <c r="CP48" s="113"/>
      <c r="CQ48" s="113"/>
      <c r="CR48" s="113"/>
      <c r="CS48" s="113"/>
      <c r="CT48" s="113"/>
      <c r="CU48" s="113"/>
      <c r="CV48" s="113"/>
      <c r="CW48" s="113"/>
      <c r="CX48" s="113"/>
      <c r="CY48" s="113"/>
      <c r="CZ48" s="113"/>
      <c r="DA48" s="113"/>
      <c r="DB48" s="113"/>
      <c r="DC48" s="113"/>
      <c r="DD48" s="113"/>
      <c r="DE48" s="113"/>
      <c r="DF48" s="113"/>
      <c r="DG48" s="113"/>
      <c r="DH48" s="113"/>
      <c r="DI48" s="113"/>
      <c r="DJ48" s="113"/>
      <c r="DK48" s="113"/>
      <c r="DL48" s="113"/>
      <c r="DM48" s="113"/>
      <c r="DN48" s="113"/>
      <c r="DO48" s="113"/>
      <c r="DP48" s="113"/>
      <c r="DQ48" s="113"/>
      <c r="DR48" s="113"/>
      <c r="DS48" s="113"/>
      <c r="DT48" s="113"/>
      <c r="DU48" s="113"/>
      <c r="DV48" s="113"/>
      <c r="DW48" s="113"/>
      <c r="DX48" s="113"/>
      <c r="DY48" s="113"/>
      <c r="DZ48" s="113"/>
      <c r="EA48" s="113"/>
      <c r="EB48" s="113"/>
      <c r="EC48" s="113"/>
      <c r="ED48" s="113"/>
      <c r="EE48" s="113"/>
    </row>
    <row r="49" ht="19.5" customHeight="1">
      <c r="A49" s="84" t="str">
        <f>IF(Roster!$A$47&lt;&gt;"",Roster!$A$47,"")</f>
        <v/>
      </c>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3"/>
      <c r="CB49" s="113"/>
      <c r="CC49" s="113"/>
      <c r="CD49" s="113"/>
      <c r="CE49" s="113"/>
      <c r="CF49" s="113"/>
      <c r="CG49" s="113"/>
      <c r="CH49" s="113"/>
      <c r="CI49" s="113"/>
      <c r="CJ49" s="113"/>
      <c r="CK49" s="113"/>
      <c r="CL49" s="113"/>
      <c r="CM49" s="113"/>
      <c r="CN49" s="113"/>
      <c r="CO49" s="113"/>
      <c r="CP49" s="113"/>
      <c r="CQ49" s="113"/>
      <c r="CR49" s="113"/>
      <c r="CS49" s="113"/>
      <c r="CT49" s="113"/>
      <c r="CU49" s="113"/>
      <c r="CV49" s="113"/>
      <c r="CW49" s="113"/>
      <c r="CX49" s="113"/>
      <c r="CY49" s="113"/>
      <c r="CZ49" s="113"/>
      <c r="DA49" s="113"/>
      <c r="DB49" s="113"/>
      <c r="DC49" s="113"/>
      <c r="DD49" s="113"/>
      <c r="DE49" s="113"/>
      <c r="DF49" s="113"/>
      <c r="DG49" s="113"/>
      <c r="DH49" s="113"/>
      <c r="DI49" s="113"/>
      <c r="DJ49" s="113"/>
      <c r="DK49" s="113"/>
      <c r="DL49" s="113"/>
      <c r="DM49" s="113"/>
      <c r="DN49" s="113"/>
      <c r="DO49" s="113"/>
      <c r="DP49" s="113"/>
      <c r="DQ49" s="113"/>
      <c r="DR49" s="113"/>
      <c r="DS49" s="113"/>
      <c r="DT49" s="113"/>
      <c r="DU49" s="113"/>
      <c r="DV49" s="113"/>
      <c r="DW49" s="113"/>
      <c r="DX49" s="113"/>
      <c r="DY49" s="113"/>
      <c r="DZ49" s="113"/>
      <c r="EA49" s="113"/>
      <c r="EB49" s="113"/>
      <c r="EC49" s="113"/>
      <c r="ED49" s="113"/>
      <c r="EE49" s="113"/>
    </row>
    <row r="50" ht="19.5" customHeight="1">
      <c r="A50" s="84" t="str">
        <f>IF(Roster!$A$48&lt;&gt;"",Roster!$A$48,"")</f>
        <v/>
      </c>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3"/>
      <c r="AQ50" s="113"/>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3"/>
      <c r="CB50" s="113"/>
      <c r="CC50" s="113"/>
      <c r="CD50" s="113"/>
      <c r="CE50" s="113"/>
      <c r="CF50" s="113"/>
      <c r="CG50" s="113"/>
      <c r="CH50" s="113"/>
      <c r="CI50" s="113"/>
      <c r="CJ50" s="113"/>
      <c r="CK50" s="113"/>
      <c r="CL50" s="113"/>
      <c r="CM50" s="113"/>
      <c r="CN50" s="113"/>
      <c r="CO50" s="113"/>
      <c r="CP50" s="113"/>
      <c r="CQ50" s="113"/>
      <c r="CR50" s="113"/>
      <c r="CS50" s="113"/>
      <c r="CT50" s="113"/>
      <c r="CU50" s="113"/>
      <c r="CV50" s="113"/>
      <c r="CW50" s="113"/>
      <c r="CX50" s="113"/>
      <c r="CY50" s="113"/>
      <c r="CZ50" s="113"/>
      <c r="DA50" s="113"/>
      <c r="DB50" s="113"/>
      <c r="DC50" s="113"/>
      <c r="DD50" s="113"/>
      <c r="DE50" s="113"/>
      <c r="DF50" s="113"/>
      <c r="DG50" s="113"/>
      <c r="DH50" s="113"/>
      <c r="DI50" s="113"/>
      <c r="DJ50" s="113"/>
      <c r="DK50" s="113"/>
      <c r="DL50" s="113"/>
      <c r="DM50" s="113"/>
      <c r="DN50" s="113"/>
      <c r="DO50" s="113"/>
      <c r="DP50" s="113"/>
      <c r="DQ50" s="113"/>
      <c r="DR50" s="113"/>
      <c r="DS50" s="113"/>
      <c r="DT50" s="113"/>
      <c r="DU50" s="113"/>
      <c r="DV50" s="113"/>
      <c r="DW50" s="113"/>
      <c r="DX50" s="113"/>
      <c r="DY50" s="113"/>
      <c r="DZ50" s="113"/>
      <c r="EA50" s="113"/>
      <c r="EB50" s="113"/>
      <c r="EC50" s="113"/>
      <c r="ED50" s="113"/>
      <c r="EE50" s="113"/>
    </row>
    <row r="51" ht="19.5" customHeight="1">
      <c r="A51" s="84" t="str">
        <f>IF(Roster!$A$49&lt;&gt;"",Roster!$A$49,"")</f>
        <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3"/>
      <c r="AQ51" s="113"/>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3"/>
      <c r="CB51" s="113"/>
      <c r="CC51" s="113"/>
      <c r="CD51" s="113"/>
      <c r="CE51" s="113"/>
      <c r="CF51" s="113"/>
      <c r="CG51" s="113"/>
      <c r="CH51" s="113"/>
      <c r="CI51" s="113"/>
      <c r="CJ51" s="113"/>
      <c r="CK51" s="113"/>
      <c r="CL51" s="113"/>
      <c r="CM51" s="113"/>
      <c r="CN51" s="113"/>
      <c r="CO51" s="113"/>
      <c r="CP51" s="113"/>
      <c r="CQ51" s="113"/>
      <c r="CR51" s="113"/>
      <c r="CS51" s="113"/>
      <c r="CT51" s="113"/>
      <c r="CU51" s="113"/>
      <c r="CV51" s="113"/>
      <c r="CW51" s="113"/>
      <c r="CX51" s="113"/>
      <c r="CY51" s="113"/>
      <c r="CZ51" s="113"/>
      <c r="DA51" s="113"/>
      <c r="DB51" s="113"/>
      <c r="DC51" s="113"/>
      <c r="DD51" s="113"/>
      <c r="DE51" s="113"/>
      <c r="DF51" s="113"/>
      <c r="DG51" s="113"/>
      <c r="DH51" s="113"/>
      <c r="DI51" s="113"/>
      <c r="DJ51" s="113"/>
      <c r="DK51" s="113"/>
      <c r="DL51" s="113"/>
      <c r="DM51" s="113"/>
      <c r="DN51" s="113"/>
      <c r="DO51" s="113"/>
      <c r="DP51" s="113"/>
      <c r="DQ51" s="113"/>
      <c r="DR51" s="113"/>
      <c r="DS51" s="113"/>
      <c r="DT51" s="113"/>
      <c r="DU51" s="113"/>
      <c r="DV51" s="113"/>
      <c r="DW51" s="113"/>
      <c r="DX51" s="113"/>
      <c r="DY51" s="113"/>
      <c r="DZ51" s="113"/>
      <c r="EA51" s="113"/>
      <c r="EB51" s="113"/>
      <c r="EC51" s="113"/>
      <c r="ED51" s="113"/>
      <c r="EE51" s="113"/>
    </row>
    <row r="52" ht="19.5" customHeight="1">
      <c r="A52" s="84" t="str">
        <f>IF(Roster!$A$50&lt;&gt;"",Roster!$A$50,"")</f>
        <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c r="BW52" s="113"/>
      <c r="BX52" s="113"/>
      <c r="BY52" s="113"/>
      <c r="BZ52" s="113"/>
      <c r="CA52" s="113"/>
      <c r="CB52" s="113"/>
      <c r="CC52" s="113"/>
      <c r="CD52" s="113"/>
      <c r="CE52" s="113"/>
      <c r="CF52" s="113"/>
      <c r="CG52" s="113"/>
      <c r="CH52" s="113"/>
      <c r="CI52" s="113"/>
      <c r="CJ52" s="113"/>
      <c r="CK52" s="113"/>
      <c r="CL52" s="113"/>
      <c r="CM52" s="113"/>
      <c r="CN52" s="113"/>
      <c r="CO52" s="113"/>
      <c r="CP52" s="113"/>
      <c r="CQ52" s="113"/>
      <c r="CR52" s="113"/>
      <c r="CS52" s="113"/>
      <c r="CT52" s="113"/>
      <c r="CU52" s="113"/>
      <c r="CV52" s="113"/>
      <c r="CW52" s="113"/>
      <c r="CX52" s="113"/>
      <c r="CY52" s="113"/>
      <c r="CZ52" s="113"/>
      <c r="DA52" s="113"/>
      <c r="DB52" s="113"/>
      <c r="DC52" s="113"/>
      <c r="DD52" s="113"/>
      <c r="DE52" s="113"/>
      <c r="DF52" s="113"/>
      <c r="DG52" s="113"/>
      <c r="DH52" s="113"/>
      <c r="DI52" s="113"/>
      <c r="DJ52" s="113"/>
      <c r="DK52" s="113"/>
      <c r="DL52" s="113"/>
      <c r="DM52" s="113"/>
      <c r="DN52" s="113"/>
      <c r="DO52" s="113"/>
      <c r="DP52" s="113"/>
      <c r="DQ52" s="113"/>
      <c r="DR52" s="113"/>
      <c r="DS52" s="113"/>
      <c r="DT52" s="113"/>
      <c r="DU52" s="113"/>
      <c r="DV52" s="113"/>
      <c r="DW52" s="113"/>
      <c r="DX52" s="113"/>
      <c r="DY52" s="113"/>
      <c r="DZ52" s="113"/>
      <c r="EA52" s="113"/>
      <c r="EB52" s="113"/>
      <c r="EC52" s="113"/>
      <c r="ED52" s="113"/>
      <c r="EE52" s="113"/>
    </row>
    <row r="53" ht="19.5" customHeight="1">
      <c r="A53" s="84" t="str">
        <f>IF(Roster!$A$51&lt;&gt;"",Roster!$A$51,"")</f>
        <v/>
      </c>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3"/>
      <c r="CB53" s="113"/>
      <c r="CC53" s="113"/>
      <c r="CD53" s="113"/>
      <c r="CE53" s="113"/>
      <c r="CF53" s="113"/>
      <c r="CG53" s="113"/>
      <c r="CH53" s="113"/>
      <c r="CI53" s="113"/>
      <c r="CJ53" s="113"/>
      <c r="CK53" s="113"/>
      <c r="CL53" s="113"/>
      <c r="CM53" s="113"/>
      <c r="CN53" s="113"/>
      <c r="CO53" s="113"/>
      <c r="CP53" s="113"/>
      <c r="CQ53" s="113"/>
      <c r="CR53" s="113"/>
      <c r="CS53" s="113"/>
      <c r="CT53" s="113"/>
      <c r="CU53" s="113"/>
      <c r="CV53" s="113"/>
      <c r="CW53" s="113"/>
      <c r="CX53" s="113"/>
      <c r="CY53" s="113"/>
      <c r="CZ53" s="113"/>
      <c r="DA53" s="113"/>
      <c r="DB53" s="113"/>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c r="ED53" s="113"/>
      <c r="EE53" s="113"/>
    </row>
    <row r="54" ht="19.5" customHeight="1">
      <c r="A54" s="84" t="str">
        <f>IF(Roster!$A$52&lt;&gt;"",Roster!$A$52,"")</f>
        <v/>
      </c>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AZ54" s="113"/>
      <c r="BA54" s="113"/>
      <c r="BB54" s="113"/>
      <c r="BC54" s="113"/>
      <c r="BD54" s="113"/>
      <c r="BE54" s="113"/>
      <c r="BF54" s="113"/>
      <c r="BG54" s="113"/>
      <c r="BH54" s="113"/>
      <c r="BI54" s="113"/>
      <c r="BJ54" s="113"/>
      <c r="BK54" s="113"/>
      <c r="BL54" s="113"/>
      <c r="BM54" s="113"/>
      <c r="BN54" s="113"/>
      <c r="BO54" s="113"/>
      <c r="BP54" s="113"/>
      <c r="BQ54" s="113"/>
      <c r="BR54" s="113"/>
      <c r="BS54" s="113"/>
      <c r="BT54" s="113"/>
      <c r="BU54" s="113"/>
      <c r="BV54" s="113"/>
      <c r="BW54" s="113"/>
      <c r="BX54" s="113"/>
      <c r="BY54" s="113"/>
      <c r="BZ54" s="113"/>
      <c r="CA54" s="113"/>
      <c r="CB54" s="113"/>
      <c r="CC54" s="113"/>
      <c r="CD54" s="113"/>
      <c r="CE54" s="113"/>
      <c r="CF54" s="113"/>
      <c r="CG54" s="113"/>
      <c r="CH54" s="113"/>
      <c r="CI54" s="113"/>
      <c r="CJ54" s="113"/>
      <c r="CK54" s="113"/>
      <c r="CL54" s="113"/>
      <c r="CM54" s="113"/>
      <c r="CN54" s="113"/>
      <c r="CO54" s="113"/>
      <c r="CP54" s="113"/>
      <c r="CQ54" s="113"/>
      <c r="CR54" s="113"/>
      <c r="CS54" s="113"/>
      <c r="CT54" s="113"/>
      <c r="CU54" s="113"/>
      <c r="CV54" s="113"/>
      <c r="CW54" s="113"/>
      <c r="CX54" s="113"/>
      <c r="CY54" s="113"/>
      <c r="CZ54" s="113"/>
      <c r="DA54" s="113"/>
      <c r="DB54" s="113"/>
      <c r="DC54" s="113"/>
      <c r="DD54" s="113"/>
      <c r="DE54" s="113"/>
      <c r="DF54" s="113"/>
      <c r="DG54" s="113"/>
      <c r="DH54" s="113"/>
      <c r="DI54" s="113"/>
      <c r="DJ54" s="113"/>
      <c r="DK54" s="113"/>
      <c r="DL54" s="113"/>
      <c r="DM54" s="113"/>
      <c r="DN54" s="113"/>
      <c r="DO54" s="113"/>
      <c r="DP54" s="113"/>
      <c r="DQ54" s="113"/>
      <c r="DR54" s="113"/>
      <c r="DS54" s="113"/>
      <c r="DT54" s="113"/>
      <c r="DU54" s="113"/>
      <c r="DV54" s="113"/>
      <c r="DW54" s="113"/>
      <c r="DX54" s="113"/>
      <c r="DY54" s="113"/>
      <c r="DZ54" s="113"/>
      <c r="EA54" s="113"/>
      <c r="EB54" s="113"/>
      <c r="EC54" s="113"/>
      <c r="ED54" s="113"/>
      <c r="EE54" s="113"/>
    </row>
    <row r="55" ht="19.5" customHeight="1">
      <c r="A55" s="84" t="str">
        <f>IF(Roster!$A$53&lt;&gt;"",Roster!$A$53,"")</f>
        <v/>
      </c>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c r="AO55" s="113"/>
      <c r="AP55" s="113"/>
      <c r="AQ55" s="113"/>
      <c r="AR55" s="113"/>
      <c r="AS55" s="113"/>
      <c r="AT55" s="113"/>
      <c r="AU55" s="113"/>
      <c r="AV55" s="113"/>
      <c r="AW55" s="113"/>
      <c r="AX55" s="113"/>
      <c r="AY55" s="113"/>
      <c r="AZ55" s="113"/>
      <c r="BA55" s="113"/>
      <c r="BB55" s="113"/>
      <c r="BC55" s="113"/>
      <c r="BD55" s="113"/>
      <c r="BE55" s="113"/>
      <c r="BF55" s="113"/>
      <c r="BG55" s="113"/>
      <c r="BH55" s="113"/>
      <c r="BI55" s="113"/>
      <c r="BJ55" s="113"/>
      <c r="BK55" s="113"/>
      <c r="BL55" s="113"/>
      <c r="BM55" s="113"/>
      <c r="BN55" s="113"/>
      <c r="BO55" s="113"/>
      <c r="BP55" s="113"/>
      <c r="BQ55" s="113"/>
      <c r="BR55" s="113"/>
      <c r="BS55" s="113"/>
      <c r="BT55" s="113"/>
      <c r="BU55" s="113"/>
      <c r="BV55" s="113"/>
      <c r="BW55" s="113"/>
      <c r="BX55" s="113"/>
      <c r="BY55" s="113"/>
      <c r="BZ55" s="113"/>
      <c r="CA55" s="113"/>
      <c r="CB55" s="113"/>
      <c r="CC55" s="113"/>
      <c r="CD55" s="113"/>
      <c r="CE55" s="113"/>
      <c r="CF55" s="113"/>
      <c r="CG55" s="113"/>
      <c r="CH55" s="113"/>
      <c r="CI55" s="113"/>
      <c r="CJ55" s="113"/>
      <c r="CK55" s="113"/>
      <c r="CL55" s="113"/>
      <c r="CM55" s="113"/>
      <c r="CN55" s="113"/>
      <c r="CO55" s="113"/>
      <c r="CP55" s="113"/>
      <c r="CQ55" s="113"/>
      <c r="CR55" s="113"/>
      <c r="CS55" s="113"/>
      <c r="CT55" s="113"/>
      <c r="CU55" s="113"/>
      <c r="CV55" s="113"/>
      <c r="CW55" s="113"/>
      <c r="CX55" s="113"/>
      <c r="CY55" s="113"/>
      <c r="CZ55" s="113"/>
      <c r="DA55" s="113"/>
      <c r="DB55" s="113"/>
      <c r="DC55" s="113"/>
      <c r="DD55" s="113"/>
      <c r="DE55" s="113"/>
      <c r="DF55" s="113"/>
      <c r="DG55" s="113"/>
      <c r="DH55" s="113"/>
      <c r="DI55" s="113"/>
      <c r="DJ55" s="113"/>
      <c r="DK55" s="113"/>
      <c r="DL55" s="113"/>
      <c r="DM55" s="113"/>
      <c r="DN55" s="113"/>
      <c r="DO55" s="113"/>
      <c r="DP55" s="113"/>
      <c r="DQ55" s="113"/>
      <c r="DR55" s="113"/>
      <c r="DS55" s="113"/>
      <c r="DT55" s="113"/>
      <c r="DU55" s="113"/>
      <c r="DV55" s="113"/>
      <c r="DW55" s="113"/>
      <c r="DX55" s="113"/>
      <c r="DY55" s="113"/>
      <c r="DZ55" s="113"/>
      <c r="EA55" s="113"/>
      <c r="EB55" s="113"/>
      <c r="EC55" s="113"/>
      <c r="ED55" s="113"/>
      <c r="EE55" s="113"/>
    </row>
    <row r="56" ht="19.5" customHeight="1">
      <c r="A56" s="84" t="str">
        <f>IF(Roster!$A$54&lt;&gt;"",Roster!$A$54,"")</f>
        <v/>
      </c>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c r="AO56" s="113"/>
      <c r="AP56" s="113"/>
      <c r="AQ56" s="113"/>
      <c r="AR56" s="113"/>
      <c r="AS56" s="113"/>
      <c r="AT56" s="113"/>
      <c r="AU56" s="113"/>
      <c r="AV56" s="113"/>
      <c r="AW56" s="113"/>
      <c r="AX56" s="113"/>
      <c r="AY56" s="113"/>
      <c r="AZ56" s="113"/>
      <c r="BA56" s="113"/>
      <c r="BB56" s="113"/>
      <c r="BC56" s="113"/>
      <c r="BD56" s="113"/>
      <c r="BE56" s="113"/>
      <c r="BF56" s="113"/>
      <c r="BG56" s="113"/>
      <c r="BH56" s="113"/>
      <c r="BI56" s="113"/>
      <c r="BJ56" s="113"/>
      <c r="BK56" s="113"/>
      <c r="BL56" s="113"/>
      <c r="BM56" s="113"/>
      <c r="BN56" s="113"/>
      <c r="BO56" s="113"/>
      <c r="BP56" s="113"/>
      <c r="BQ56" s="113"/>
      <c r="BR56" s="113"/>
      <c r="BS56" s="113"/>
      <c r="BT56" s="113"/>
      <c r="BU56" s="113"/>
      <c r="BV56" s="113"/>
      <c r="BW56" s="113"/>
      <c r="BX56" s="113"/>
      <c r="BY56" s="113"/>
      <c r="BZ56" s="113"/>
      <c r="CA56" s="113"/>
      <c r="CB56" s="113"/>
      <c r="CC56" s="113"/>
      <c r="CD56" s="113"/>
      <c r="CE56" s="113"/>
      <c r="CF56" s="113"/>
      <c r="CG56" s="113"/>
      <c r="CH56" s="113"/>
      <c r="CI56" s="113"/>
      <c r="CJ56" s="113"/>
      <c r="CK56" s="113"/>
      <c r="CL56" s="113"/>
      <c r="CM56" s="113"/>
      <c r="CN56" s="113"/>
      <c r="CO56" s="113"/>
      <c r="CP56" s="113"/>
      <c r="CQ56" s="113"/>
      <c r="CR56" s="113"/>
      <c r="CS56" s="113"/>
      <c r="CT56" s="113"/>
      <c r="CU56" s="113"/>
      <c r="CV56" s="113"/>
      <c r="CW56" s="113"/>
      <c r="CX56" s="113"/>
      <c r="CY56" s="113"/>
      <c r="CZ56" s="113"/>
      <c r="DA56" s="113"/>
      <c r="DB56" s="113"/>
      <c r="DC56" s="113"/>
      <c r="DD56" s="113"/>
      <c r="DE56" s="113"/>
      <c r="DF56" s="113"/>
      <c r="DG56" s="113"/>
      <c r="DH56" s="113"/>
      <c r="DI56" s="113"/>
      <c r="DJ56" s="113"/>
      <c r="DK56" s="113"/>
      <c r="DL56" s="113"/>
      <c r="DM56" s="113"/>
      <c r="DN56" s="113"/>
      <c r="DO56" s="113"/>
      <c r="DP56" s="113"/>
      <c r="DQ56" s="113"/>
      <c r="DR56" s="113"/>
      <c r="DS56" s="113"/>
      <c r="DT56" s="113"/>
      <c r="DU56" s="113"/>
      <c r="DV56" s="113"/>
      <c r="DW56" s="113"/>
      <c r="DX56" s="113"/>
      <c r="DY56" s="113"/>
      <c r="DZ56" s="113"/>
      <c r="EA56" s="113"/>
      <c r="EB56" s="113"/>
      <c r="EC56" s="113"/>
      <c r="ED56" s="113"/>
      <c r="EE56" s="113"/>
    </row>
    <row r="57" ht="19.5" customHeight="1">
      <c r="A57" s="84" t="str">
        <f>IF(Roster!$A$55&lt;&gt;"",Roster!$A$55,"")</f>
        <v/>
      </c>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c r="AU57" s="113"/>
      <c r="AV57" s="113"/>
      <c r="AW57" s="113"/>
      <c r="AX57" s="113"/>
      <c r="AY57" s="113"/>
      <c r="AZ57" s="113"/>
      <c r="BA57" s="113"/>
      <c r="BB57" s="113"/>
      <c r="BC57" s="113"/>
      <c r="BD57" s="113"/>
      <c r="BE57" s="113"/>
      <c r="BF57" s="113"/>
      <c r="BG57" s="113"/>
      <c r="BH57" s="113"/>
      <c r="BI57" s="113"/>
      <c r="BJ57" s="113"/>
      <c r="BK57" s="113"/>
      <c r="BL57" s="113"/>
      <c r="BM57" s="113"/>
      <c r="BN57" s="113"/>
      <c r="BO57" s="113"/>
      <c r="BP57" s="113"/>
      <c r="BQ57" s="113"/>
      <c r="BR57" s="113"/>
      <c r="BS57" s="113"/>
      <c r="BT57" s="113"/>
      <c r="BU57" s="113"/>
      <c r="BV57" s="113"/>
      <c r="BW57" s="113"/>
      <c r="BX57" s="113"/>
      <c r="BY57" s="113"/>
      <c r="BZ57" s="113"/>
      <c r="CA57" s="113"/>
      <c r="CB57" s="113"/>
      <c r="CC57" s="113"/>
      <c r="CD57" s="113"/>
      <c r="CE57" s="113"/>
      <c r="CF57" s="113"/>
      <c r="CG57" s="113"/>
      <c r="CH57" s="113"/>
      <c r="CI57" s="113"/>
      <c r="CJ57" s="113"/>
      <c r="CK57" s="113"/>
      <c r="CL57" s="113"/>
      <c r="CM57" s="113"/>
      <c r="CN57" s="113"/>
      <c r="CO57" s="113"/>
      <c r="CP57" s="113"/>
      <c r="CQ57" s="113"/>
      <c r="CR57" s="113"/>
      <c r="CS57" s="113"/>
      <c r="CT57" s="113"/>
      <c r="CU57" s="113"/>
      <c r="CV57" s="113"/>
      <c r="CW57" s="113"/>
      <c r="CX57" s="113"/>
      <c r="CY57" s="113"/>
      <c r="CZ57" s="113"/>
      <c r="DA57" s="113"/>
      <c r="DB57" s="113"/>
      <c r="DC57" s="113"/>
      <c r="DD57" s="113"/>
      <c r="DE57" s="113"/>
      <c r="DF57" s="113"/>
      <c r="DG57" s="113"/>
      <c r="DH57" s="113"/>
      <c r="DI57" s="113"/>
      <c r="DJ57" s="113"/>
      <c r="DK57" s="113"/>
      <c r="DL57" s="113"/>
      <c r="DM57" s="113"/>
      <c r="DN57" s="113"/>
      <c r="DO57" s="113"/>
      <c r="DP57" s="113"/>
      <c r="DQ57" s="113"/>
      <c r="DR57" s="113"/>
      <c r="DS57" s="113"/>
      <c r="DT57" s="113"/>
      <c r="DU57" s="113"/>
      <c r="DV57" s="113"/>
      <c r="DW57" s="113"/>
      <c r="DX57" s="113"/>
      <c r="DY57" s="113"/>
      <c r="DZ57" s="113"/>
      <c r="EA57" s="113"/>
      <c r="EB57" s="113"/>
      <c r="EC57" s="113"/>
      <c r="ED57" s="113"/>
      <c r="EE57" s="113"/>
    </row>
    <row r="58" ht="19.5" customHeight="1">
      <c r="A58" s="84" t="str">
        <f>IF(Roster!$A$56&lt;&gt;"",Roster!$A$56,"")</f>
        <v/>
      </c>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3"/>
      <c r="BM58" s="113"/>
      <c r="BN58" s="113"/>
      <c r="BO58" s="113"/>
      <c r="BP58" s="113"/>
      <c r="BQ58" s="113"/>
      <c r="BR58" s="113"/>
      <c r="BS58" s="113"/>
      <c r="BT58" s="113"/>
      <c r="BU58" s="113"/>
      <c r="BV58" s="113"/>
      <c r="BW58" s="113"/>
      <c r="BX58" s="113"/>
      <c r="BY58" s="113"/>
      <c r="BZ58" s="113"/>
      <c r="CA58" s="113"/>
      <c r="CB58" s="113"/>
      <c r="CC58" s="113"/>
      <c r="CD58" s="113"/>
      <c r="CE58" s="113"/>
      <c r="CF58" s="113"/>
      <c r="CG58" s="113"/>
      <c r="CH58" s="113"/>
      <c r="CI58" s="113"/>
      <c r="CJ58" s="113"/>
      <c r="CK58" s="113"/>
      <c r="CL58" s="113"/>
      <c r="CM58" s="113"/>
      <c r="CN58" s="113"/>
      <c r="CO58" s="113"/>
      <c r="CP58" s="113"/>
      <c r="CQ58" s="113"/>
      <c r="CR58" s="113"/>
      <c r="CS58" s="113"/>
      <c r="CT58" s="113"/>
      <c r="CU58" s="113"/>
      <c r="CV58" s="113"/>
      <c r="CW58" s="113"/>
      <c r="CX58" s="113"/>
      <c r="CY58" s="113"/>
      <c r="CZ58" s="113"/>
      <c r="DA58" s="113"/>
      <c r="DB58" s="113"/>
      <c r="DC58" s="113"/>
      <c r="DD58" s="113"/>
      <c r="DE58" s="113"/>
      <c r="DF58" s="113"/>
      <c r="DG58" s="113"/>
      <c r="DH58" s="113"/>
      <c r="DI58" s="113"/>
      <c r="DJ58" s="113"/>
      <c r="DK58" s="113"/>
      <c r="DL58" s="113"/>
      <c r="DM58" s="113"/>
      <c r="DN58" s="113"/>
      <c r="DO58" s="113"/>
      <c r="DP58" s="113"/>
      <c r="DQ58" s="113"/>
      <c r="DR58" s="113"/>
      <c r="DS58" s="113"/>
      <c r="DT58" s="113"/>
      <c r="DU58" s="113"/>
      <c r="DV58" s="113"/>
      <c r="DW58" s="113"/>
      <c r="DX58" s="113"/>
      <c r="DY58" s="113"/>
      <c r="DZ58" s="113"/>
      <c r="EA58" s="113"/>
      <c r="EB58" s="113"/>
      <c r="EC58" s="113"/>
      <c r="ED58" s="113"/>
      <c r="EE58" s="113"/>
    </row>
    <row r="59" ht="19.5" customHeight="1">
      <c r="A59" s="84" t="str">
        <f>IF(Roster!$A$57&lt;&gt;"",Roster!$A$57,"")</f>
        <v/>
      </c>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113"/>
      <c r="BK59" s="113"/>
      <c r="BL59" s="113"/>
      <c r="BM59" s="113"/>
      <c r="BN59" s="113"/>
      <c r="BO59" s="113"/>
      <c r="BP59" s="113"/>
      <c r="BQ59" s="113"/>
      <c r="BR59" s="113"/>
      <c r="BS59" s="113"/>
      <c r="BT59" s="113"/>
      <c r="BU59" s="113"/>
      <c r="BV59" s="113"/>
      <c r="BW59" s="113"/>
      <c r="BX59" s="113"/>
      <c r="BY59" s="113"/>
      <c r="BZ59" s="113"/>
      <c r="CA59" s="113"/>
      <c r="CB59" s="113"/>
      <c r="CC59" s="113"/>
      <c r="CD59" s="113"/>
      <c r="CE59" s="113"/>
      <c r="CF59" s="113"/>
      <c r="CG59" s="113"/>
      <c r="CH59" s="113"/>
      <c r="CI59" s="113"/>
      <c r="CJ59" s="113"/>
      <c r="CK59" s="113"/>
      <c r="CL59" s="113"/>
      <c r="CM59" s="113"/>
      <c r="CN59" s="113"/>
      <c r="CO59" s="113"/>
      <c r="CP59" s="113"/>
      <c r="CQ59" s="113"/>
      <c r="CR59" s="113"/>
      <c r="CS59" s="113"/>
      <c r="CT59" s="113"/>
      <c r="CU59" s="113"/>
      <c r="CV59" s="113"/>
      <c r="CW59" s="113"/>
      <c r="CX59" s="113"/>
      <c r="CY59" s="113"/>
      <c r="CZ59" s="113"/>
      <c r="DA59" s="113"/>
      <c r="DB59" s="113"/>
      <c r="DC59" s="113"/>
      <c r="DD59" s="113"/>
      <c r="DE59" s="113"/>
      <c r="DF59" s="113"/>
      <c r="DG59" s="113"/>
      <c r="DH59" s="113"/>
      <c r="DI59" s="113"/>
      <c r="DJ59" s="113"/>
      <c r="DK59" s="113"/>
      <c r="DL59" s="113"/>
      <c r="DM59" s="113"/>
      <c r="DN59" s="113"/>
      <c r="DO59" s="113"/>
      <c r="DP59" s="113"/>
      <c r="DQ59" s="113"/>
      <c r="DR59" s="113"/>
      <c r="DS59" s="113"/>
      <c r="DT59" s="113"/>
      <c r="DU59" s="113"/>
      <c r="DV59" s="113"/>
      <c r="DW59" s="113"/>
      <c r="DX59" s="113"/>
      <c r="DY59" s="113"/>
      <c r="DZ59" s="113"/>
      <c r="EA59" s="113"/>
      <c r="EB59" s="113"/>
      <c r="EC59" s="113"/>
      <c r="ED59" s="113"/>
      <c r="EE59" s="113"/>
    </row>
    <row r="60" ht="19.5" customHeight="1">
      <c r="A60" s="84" t="str">
        <f>IF(Roster!$A$58&lt;&gt;"",Roster!$A$58,"")</f>
        <v/>
      </c>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13"/>
      <c r="AV60" s="113"/>
      <c r="AW60" s="113"/>
      <c r="AX60" s="113"/>
      <c r="AY60" s="113"/>
      <c r="AZ60" s="113"/>
      <c r="BA60" s="113"/>
      <c r="BB60" s="113"/>
      <c r="BC60" s="113"/>
      <c r="BD60" s="113"/>
      <c r="BE60" s="113"/>
      <c r="BF60" s="113"/>
      <c r="BG60" s="113"/>
      <c r="BH60" s="113"/>
      <c r="BI60" s="113"/>
      <c r="BJ60" s="113"/>
      <c r="BK60" s="113"/>
      <c r="BL60" s="113"/>
      <c r="BM60" s="113"/>
      <c r="BN60" s="113"/>
      <c r="BO60" s="113"/>
      <c r="BP60" s="113"/>
      <c r="BQ60" s="113"/>
      <c r="BR60" s="113"/>
      <c r="BS60" s="113"/>
      <c r="BT60" s="113"/>
      <c r="BU60" s="113"/>
      <c r="BV60" s="113"/>
      <c r="BW60" s="113"/>
      <c r="BX60" s="113"/>
      <c r="BY60" s="113"/>
      <c r="BZ60" s="113"/>
      <c r="CA60" s="113"/>
      <c r="CB60" s="113"/>
      <c r="CC60" s="113"/>
      <c r="CD60" s="113"/>
      <c r="CE60" s="113"/>
      <c r="CF60" s="113"/>
      <c r="CG60" s="113"/>
      <c r="CH60" s="113"/>
      <c r="CI60" s="113"/>
      <c r="CJ60" s="113"/>
      <c r="CK60" s="113"/>
      <c r="CL60" s="113"/>
      <c r="CM60" s="113"/>
      <c r="CN60" s="113"/>
      <c r="CO60" s="113"/>
      <c r="CP60" s="113"/>
      <c r="CQ60" s="113"/>
      <c r="CR60" s="113"/>
      <c r="CS60" s="113"/>
      <c r="CT60" s="113"/>
      <c r="CU60" s="113"/>
      <c r="CV60" s="113"/>
      <c r="CW60" s="113"/>
      <c r="CX60" s="113"/>
      <c r="CY60" s="113"/>
      <c r="CZ60" s="113"/>
      <c r="DA60" s="113"/>
      <c r="DB60" s="113"/>
      <c r="DC60" s="113"/>
      <c r="DD60" s="113"/>
      <c r="DE60" s="113"/>
      <c r="DF60" s="113"/>
      <c r="DG60" s="113"/>
      <c r="DH60" s="113"/>
      <c r="DI60" s="113"/>
      <c r="DJ60" s="113"/>
      <c r="DK60" s="113"/>
      <c r="DL60" s="113"/>
      <c r="DM60" s="113"/>
      <c r="DN60" s="113"/>
      <c r="DO60" s="113"/>
      <c r="DP60" s="113"/>
      <c r="DQ60" s="113"/>
      <c r="DR60" s="113"/>
      <c r="DS60" s="113"/>
      <c r="DT60" s="113"/>
      <c r="DU60" s="113"/>
      <c r="DV60" s="113"/>
      <c r="DW60" s="113"/>
      <c r="DX60" s="113"/>
      <c r="DY60" s="113"/>
      <c r="DZ60" s="113"/>
      <c r="EA60" s="113"/>
      <c r="EB60" s="113"/>
      <c r="EC60" s="113"/>
      <c r="ED60" s="113"/>
      <c r="EE60" s="113"/>
    </row>
    <row r="61" ht="19.5" customHeight="1">
      <c r="A61" s="84" t="str">
        <f>IF(Roster!$A$59&lt;&gt;"",Roster!$A$59,"")</f>
        <v/>
      </c>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13"/>
      <c r="AV61" s="113"/>
      <c r="AW61" s="113"/>
      <c r="AX61" s="113"/>
      <c r="AY61" s="113"/>
      <c r="AZ61" s="113"/>
      <c r="BA61" s="113"/>
      <c r="BB61" s="113"/>
      <c r="BC61" s="113"/>
      <c r="BD61" s="113"/>
      <c r="BE61" s="113"/>
      <c r="BF61" s="113"/>
      <c r="BG61" s="113"/>
      <c r="BH61" s="113"/>
      <c r="BI61" s="113"/>
      <c r="BJ61" s="113"/>
      <c r="BK61" s="113"/>
      <c r="BL61" s="113"/>
      <c r="BM61" s="113"/>
      <c r="BN61" s="113"/>
      <c r="BO61" s="113"/>
      <c r="BP61" s="113"/>
      <c r="BQ61" s="113"/>
      <c r="BR61" s="113"/>
      <c r="BS61" s="113"/>
      <c r="BT61" s="113"/>
      <c r="BU61" s="113"/>
      <c r="BV61" s="113"/>
      <c r="BW61" s="113"/>
      <c r="BX61" s="113"/>
      <c r="BY61" s="113"/>
      <c r="BZ61" s="113"/>
      <c r="CA61" s="113"/>
      <c r="CB61" s="113"/>
      <c r="CC61" s="113"/>
      <c r="CD61" s="113"/>
      <c r="CE61" s="113"/>
      <c r="CF61" s="113"/>
      <c r="CG61" s="113"/>
      <c r="CH61" s="113"/>
      <c r="CI61" s="113"/>
      <c r="CJ61" s="113"/>
      <c r="CK61" s="113"/>
      <c r="CL61" s="113"/>
      <c r="CM61" s="113"/>
      <c r="CN61" s="113"/>
      <c r="CO61" s="113"/>
      <c r="CP61" s="113"/>
      <c r="CQ61" s="113"/>
      <c r="CR61" s="113"/>
      <c r="CS61" s="113"/>
      <c r="CT61" s="113"/>
      <c r="CU61" s="113"/>
      <c r="CV61" s="113"/>
      <c r="CW61" s="113"/>
      <c r="CX61" s="113"/>
      <c r="CY61" s="113"/>
      <c r="CZ61" s="113"/>
      <c r="DA61" s="113"/>
      <c r="DB61" s="113"/>
      <c r="DC61" s="113"/>
      <c r="DD61" s="113"/>
      <c r="DE61" s="113"/>
      <c r="DF61" s="113"/>
      <c r="DG61" s="113"/>
      <c r="DH61" s="113"/>
      <c r="DI61" s="113"/>
      <c r="DJ61" s="113"/>
      <c r="DK61" s="113"/>
      <c r="DL61" s="113"/>
      <c r="DM61" s="113"/>
      <c r="DN61" s="113"/>
      <c r="DO61" s="113"/>
      <c r="DP61" s="113"/>
      <c r="DQ61" s="113"/>
      <c r="DR61" s="113"/>
      <c r="DS61" s="113"/>
      <c r="DT61" s="113"/>
      <c r="DU61" s="113"/>
      <c r="DV61" s="113"/>
      <c r="DW61" s="113"/>
      <c r="DX61" s="113"/>
      <c r="DY61" s="113"/>
      <c r="DZ61" s="113"/>
      <c r="EA61" s="113"/>
      <c r="EB61" s="113"/>
      <c r="EC61" s="113"/>
      <c r="ED61" s="113"/>
      <c r="EE61" s="113"/>
    </row>
    <row r="62" ht="19.5" customHeight="1">
      <c r="A62" s="84" t="str">
        <f>IF(Roster!$A$60&lt;&gt;"",Roster!$A$60,"")</f>
        <v/>
      </c>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c r="CC62" s="113"/>
      <c r="CD62" s="113"/>
      <c r="CE62" s="113"/>
      <c r="CF62" s="113"/>
      <c r="CG62" s="113"/>
      <c r="CH62" s="113"/>
      <c r="CI62" s="113"/>
      <c r="CJ62" s="113"/>
      <c r="CK62" s="113"/>
      <c r="CL62" s="113"/>
      <c r="CM62" s="113"/>
      <c r="CN62" s="113"/>
      <c r="CO62" s="113"/>
      <c r="CP62" s="113"/>
      <c r="CQ62" s="113"/>
      <c r="CR62" s="113"/>
      <c r="CS62" s="113"/>
      <c r="CT62" s="113"/>
      <c r="CU62" s="113"/>
      <c r="CV62" s="113"/>
      <c r="CW62" s="113"/>
      <c r="CX62" s="113"/>
      <c r="CY62" s="113"/>
      <c r="CZ62" s="113"/>
      <c r="DA62" s="113"/>
      <c r="DB62" s="113"/>
      <c r="DC62" s="113"/>
      <c r="DD62" s="113"/>
      <c r="DE62" s="113"/>
      <c r="DF62" s="113"/>
      <c r="DG62" s="113"/>
      <c r="DH62" s="113"/>
      <c r="DI62" s="113"/>
      <c r="DJ62" s="113"/>
      <c r="DK62" s="113"/>
      <c r="DL62" s="113"/>
      <c r="DM62" s="113"/>
      <c r="DN62" s="113"/>
      <c r="DO62" s="113"/>
      <c r="DP62" s="113"/>
      <c r="DQ62" s="113"/>
      <c r="DR62" s="113"/>
      <c r="DS62" s="113"/>
      <c r="DT62" s="113"/>
      <c r="DU62" s="113"/>
      <c r="DV62" s="113"/>
      <c r="DW62" s="113"/>
      <c r="DX62" s="113"/>
      <c r="DY62" s="113"/>
      <c r="DZ62" s="113"/>
      <c r="EA62" s="113"/>
      <c r="EB62" s="113"/>
      <c r="EC62" s="113"/>
      <c r="ED62" s="113"/>
      <c r="EE62" s="113"/>
    </row>
    <row r="63" ht="19.5" customHeight="1">
      <c r="A63" s="84" t="str">
        <f>IF(Roster!$A$61&lt;&gt;"",Roster!$A$61,"")</f>
        <v/>
      </c>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c r="AO63" s="113"/>
      <c r="AP63" s="113"/>
      <c r="AQ63" s="113"/>
      <c r="AR63" s="113"/>
      <c r="AS63" s="113"/>
      <c r="AT63" s="113"/>
      <c r="AU63" s="113"/>
      <c r="AV63" s="113"/>
      <c r="AW63" s="113"/>
      <c r="AX63" s="113"/>
      <c r="AY63" s="113"/>
      <c r="AZ63" s="113"/>
      <c r="BA63" s="113"/>
      <c r="BB63" s="113"/>
      <c r="BC63" s="113"/>
      <c r="BD63" s="113"/>
      <c r="BE63" s="113"/>
      <c r="BF63" s="113"/>
      <c r="BG63" s="113"/>
      <c r="BH63" s="113"/>
      <c r="BI63" s="113"/>
      <c r="BJ63" s="113"/>
      <c r="BK63" s="113"/>
      <c r="BL63" s="113"/>
      <c r="BM63" s="113"/>
      <c r="BN63" s="113"/>
      <c r="BO63" s="113"/>
      <c r="BP63" s="113"/>
      <c r="BQ63" s="113"/>
      <c r="BR63" s="113"/>
      <c r="BS63" s="113"/>
      <c r="BT63" s="113"/>
      <c r="BU63" s="113"/>
      <c r="BV63" s="113"/>
      <c r="BW63" s="113"/>
      <c r="BX63" s="113"/>
      <c r="BY63" s="113"/>
      <c r="BZ63" s="113"/>
      <c r="CA63" s="113"/>
      <c r="CB63" s="113"/>
      <c r="CC63" s="113"/>
      <c r="CD63" s="113"/>
      <c r="CE63" s="113"/>
      <c r="CF63" s="113"/>
      <c r="CG63" s="113"/>
      <c r="CH63" s="113"/>
      <c r="CI63" s="113"/>
      <c r="CJ63" s="113"/>
      <c r="CK63" s="113"/>
      <c r="CL63" s="113"/>
      <c r="CM63" s="113"/>
      <c r="CN63" s="113"/>
      <c r="CO63" s="113"/>
      <c r="CP63" s="113"/>
      <c r="CQ63" s="113"/>
      <c r="CR63" s="113"/>
      <c r="CS63" s="113"/>
      <c r="CT63" s="113"/>
      <c r="CU63" s="113"/>
      <c r="CV63" s="113"/>
      <c r="CW63" s="113"/>
      <c r="CX63" s="113"/>
      <c r="CY63" s="113"/>
      <c r="CZ63" s="113"/>
      <c r="DA63" s="113"/>
      <c r="DB63" s="113"/>
      <c r="DC63" s="113"/>
      <c r="DD63" s="113"/>
      <c r="DE63" s="113"/>
      <c r="DF63" s="113"/>
      <c r="DG63" s="113"/>
      <c r="DH63" s="113"/>
      <c r="DI63" s="113"/>
      <c r="DJ63" s="113"/>
      <c r="DK63" s="113"/>
      <c r="DL63" s="113"/>
      <c r="DM63" s="113"/>
      <c r="DN63" s="113"/>
      <c r="DO63" s="113"/>
      <c r="DP63" s="113"/>
      <c r="DQ63" s="113"/>
      <c r="DR63" s="113"/>
      <c r="DS63" s="113"/>
      <c r="DT63" s="113"/>
      <c r="DU63" s="113"/>
      <c r="DV63" s="113"/>
      <c r="DW63" s="113"/>
      <c r="DX63" s="113"/>
      <c r="DY63" s="113"/>
      <c r="DZ63" s="113"/>
      <c r="EA63" s="113"/>
      <c r="EB63" s="113"/>
      <c r="EC63" s="113"/>
      <c r="ED63" s="113"/>
      <c r="EE63" s="113"/>
    </row>
    <row r="64" ht="19.5" customHeight="1">
      <c r="A64" s="84" t="str">
        <f>IF(Roster!$A$62&lt;&gt;"",Roster!$A$62,"")</f>
        <v/>
      </c>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c r="AO64" s="113"/>
      <c r="AP64" s="113"/>
      <c r="AQ64" s="113"/>
      <c r="AR64" s="113"/>
      <c r="AS64" s="113"/>
      <c r="AT64" s="113"/>
      <c r="AU64" s="113"/>
      <c r="AV64" s="113"/>
      <c r="AW64" s="113"/>
      <c r="AX64" s="113"/>
      <c r="AY64" s="113"/>
      <c r="AZ64" s="113"/>
      <c r="BA64" s="113"/>
      <c r="BB64" s="113"/>
      <c r="BC64" s="113"/>
      <c r="BD64" s="113"/>
      <c r="BE64" s="113"/>
      <c r="BF64" s="113"/>
      <c r="BG64" s="113"/>
      <c r="BH64" s="113"/>
      <c r="BI64" s="113"/>
      <c r="BJ64" s="113"/>
      <c r="BK64" s="113"/>
      <c r="BL64" s="113"/>
      <c r="BM64" s="113"/>
      <c r="BN64" s="113"/>
      <c r="BO64" s="113"/>
      <c r="BP64" s="113"/>
      <c r="BQ64" s="113"/>
      <c r="BR64" s="113"/>
      <c r="BS64" s="113"/>
      <c r="BT64" s="113"/>
      <c r="BU64" s="113"/>
      <c r="BV64" s="113"/>
      <c r="BW64" s="113"/>
      <c r="BX64" s="113"/>
      <c r="BY64" s="113"/>
      <c r="BZ64" s="113"/>
      <c r="CA64" s="113"/>
      <c r="CB64" s="113"/>
      <c r="CC64" s="113"/>
      <c r="CD64" s="113"/>
      <c r="CE64" s="113"/>
      <c r="CF64" s="113"/>
      <c r="CG64" s="113"/>
      <c r="CH64" s="113"/>
      <c r="CI64" s="113"/>
      <c r="CJ64" s="113"/>
      <c r="CK64" s="113"/>
      <c r="CL64" s="113"/>
      <c r="CM64" s="113"/>
      <c r="CN64" s="113"/>
      <c r="CO64" s="113"/>
      <c r="CP64" s="113"/>
      <c r="CQ64" s="113"/>
      <c r="CR64" s="113"/>
      <c r="CS64" s="113"/>
      <c r="CT64" s="113"/>
      <c r="CU64" s="113"/>
      <c r="CV64" s="113"/>
      <c r="CW64" s="113"/>
      <c r="CX64" s="113"/>
      <c r="CY64" s="113"/>
      <c r="CZ64" s="113"/>
      <c r="DA64" s="113"/>
      <c r="DB64" s="113"/>
      <c r="DC64" s="113"/>
      <c r="DD64" s="113"/>
      <c r="DE64" s="113"/>
      <c r="DF64" s="113"/>
      <c r="DG64" s="113"/>
      <c r="DH64" s="113"/>
      <c r="DI64" s="113"/>
      <c r="DJ64" s="113"/>
      <c r="DK64" s="113"/>
      <c r="DL64" s="113"/>
      <c r="DM64" s="113"/>
      <c r="DN64" s="113"/>
      <c r="DO64" s="113"/>
      <c r="DP64" s="113"/>
      <c r="DQ64" s="113"/>
      <c r="DR64" s="113"/>
      <c r="DS64" s="113"/>
      <c r="DT64" s="113"/>
      <c r="DU64" s="113"/>
      <c r="DV64" s="113"/>
      <c r="DW64" s="113"/>
      <c r="DX64" s="113"/>
      <c r="DY64" s="113"/>
      <c r="DZ64" s="113"/>
      <c r="EA64" s="113"/>
      <c r="EB64" s="113"/>
      <c r="EC64" s="113"/>
      <c r="ED64" s="113"/>
      <c r="EE64" s="113"/>
    </row>
    <row r="65" ht="19.5" customHeight="1">
      <c r="A65" s="84" t="str">
        <f>IF(Roster!$A$63&lt;&gt;"",Roster!$A$63,"")</f>
        <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c r="AO65" s="113"/>
      <c r="AP65" s="113"/>
      <c r="AQ65" s="113"/>
      <c r="AR65" s="113"/>
      <c r="AS65" s="113"/>
      <c r="AT65" s="113"/>
      <c r="AU65" s="113"/>
      <c r="AV65" s="113"/>
      <c r="AW65" s="113"/>
      <c r="AX65" s="113"/>
      <c r="AY65" s="113"/>
      <c r="AZ65" s="113"/>
      <c r="BA65" s="113"/>
      <c r="BB65" s="113"/>
      <c r="BC65" s="113"/>
      <c r="BD65" s="113"/>
      <c r="BE65" s="113"/>
      <c r="BF65" s="113"/>
      <c r="BG65" s="113"/>
      <c r="BH65" s="113"/>
      <c r="BI65" s="113"/>
      <c r="BJ65" s="113"/>
      <c r="BK65" s="113"/>
      <c r="BL65" s="113"/>
      <c r="BM65" s="113"/>
      <c r="BN65" s="113"/>
      <c r="BO65" s="113"/>
      <c r="BP65" s="113"/>
      <c r="BQ65" s="113"/>
      <c r="BR65" s="113"/>
      <c r="BS65" s="113"/>
      <c r="BT65" s="113"/>
      <c r="BU65" s="113"/>
      <c r="BV65" s="113"/>
      <c r="BW65" s="113"/>
      <c r="BX65" s="113"/>
      <c r="BY65" s="113"/>
      <c r="BZ65" s="113"/>
      <c r="CA65" s="113"/>
      <c r="CB65" s="113"/>
      <c r="CC65" s="113"/>
      <c r="CD65" s="113"/>
      <c r="CE65" s="113"/>
      <c r="CF65" s="113"/>
      <c r="CG65" s="113"/>
      <c r="CH65" s="113"/>
      <c r="CI65" s="113"/>
      <c r="CJ65" s="113"/>
      <c r="CK65" s="113"/>
      <c r="CL65" s="113"/>
      <c r="CM65" s="113"/>
      <c r="CN65" s="113"/>
      <c r="CO65" s="113"/>
      <c r="CP65" s="113"/>
      <c r="CQ65" s="113"/>
      <c r="CR65" s="113"/>
      <c r="CS65" s="113"/>
      <c r="CT65" s="113"/>
      <c r="CU65" s="113"/>
      <c r="CV65" s="113"/>
      <c r="CW65" s="113"/>
      <c r="CX65" s="113"/>
      <c r="CY65" s="113"/>
      <c r="CZ65" s="113"/>
      <c r="DA65" s="113"/>
      <c r="DB65" s="113"/>
      <c r="DC65" s="113"/>
      <c r="DD65" s="113"/>
      <c r="DE65" s="113"/>
      <c r="DF65" s="113"/>
      <c r="DG65" s="113"/>
      <c r="DH65" s="113"/>
      <c r="DI65" s="113"/>
      <c r="DJ65" s="113"/>
      <c r="DK65" s="113"/>
      <c r="DL65" s="113"/>
      <c r="DM65" s="113"/>
      <c r="DN65" s="113"/>
      <c r="DO65" s="113"/>
      <c r="DP65" s="113"/>
      <c r="DQ65" s="113"/>
      <c r="DR65" s="113"/>
      <c r="DS65" s="113"/>
      <c r="DT65" s="113"/>
      <c r="DU65" s="113"/>
      <c r="DV65" s="113"/>
      <c r="DW65" s="113"/>
      <c r="DX65" s="113"/>
      <c r="DY65" s="113"/>
      <c r="DZ65" s="113"/>
      <c r="EA65" s="113"/>
      <c r="EB65" s="113"/>
      <c r="EC65" s="113"/>
      <c r="ED65" s="113"/>
      <c r="EE65" s="113"/>
    </row>
    <row r="66" ht="19.5" customHeight="1">
      <c r="A66" s="84" t="str">
        <f>IF(Roster!$A$64&lt;&gt;"",Roster!$A$64,"")</f>
        <v/>
      </c>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3"/>
      <c r="AZ66" s="113"/>
      <c r="BA66" s="113"/>
      <c r="BB66" s="113"/>
      <c r="BC66" s="113"/>
      <c r="BD66" s="113"/>
      <c r="BE66" s="113"/>
      <c r="BF66" s="113"/>
      <c r="BG66" s="113"/>
      <c r="BH66" s="113"/>
      <c r="BI66" s="113"/>
      <c r="BJ66" s="113"/>
      <c r="BK66" s="113"/>
      <c r="BL66" s="113"/>
      <c r="BM66" s="113"/>
      <c r="BN66" s="113"/>
      <c r="BO66" s="113"/>
      <c r="BP66" s="113"/>
      <c r="BQ66" s="113"/>
      <c r="BR66" s="113"/>
      <c r="BS66" s="113"/>
      <c r="BT66" s="113"/>
      <c r="BU66" s="113"/>
      <c r="BV66" s="113"/>
      <c r="BW66" s="113"/>
      <c r="BX66" s="113"/>
      <c r="BY66" s="113"/>
      <c r="BZ66" s="113"/>
      <c r="CA66" s="113"/>
      <c r="CB66" s="113"/>
      <c r="CC66" s="113"/>
      <c r="CD66" s="113"/>
      <c r="CE66" s="113"/>
      <c r="CF66" s="113"/>
      <c r="CG66" s="113"/>
      <c r="CH66" s="113"/>
      <c r="CI66" s="113"/>
      <c r="CJ66" s="113"/>
      <c r="CK66" s="113"/>
      <c r="CL66" s="113"/>
      <c r="CM66" s="113"/>
      <c r="CN66" s="113"/>
      <c r="CO66" s="113"/>
      <c r="CP66" s="113"/>
      <c r="CQ66" s="113"/>
      <c r="CR66" s="113"/>
      <c r="CS66" s="113"/>
      <c r="CT66" s="113"/>
      <c r="CU66" s="113"/>
      <c r="CV66" s="113"/>
      <c r="CW66" s="113"/>
      <c r="CX66" s="113"/>
      <c r="CY66" s="113"/>
      <c r="CZ66" s="113"/>
      <c r="DA66" s="113"/>
      <c r="DB66" s="113"/>
      <c r="DC66" s="113"/>
      <c r="DD66" s="113"/>
      <c r="DE66" s="113"/>
      <c r="DF66" s="113"/>
      <c r="DG66" s="113"/>
      <c r="DH66" s="113"/>
      <c r="DI66" s="113"/>
      <c r="DJ66" s="113"/>
      <c r="DK66" s="113"/>
      <c r="DL66" s="113"/>
      <c r="DM66" s="113"/>
      <c r="DN66" s="113"/>
      <c r="DO66" s="113"/>
      <c r="DP66" s="113"/>
      <c r="DQ66" s="113"/>
      <c r="DR66" s="113"/>
      <c r="DS66" s="113"/>
      <c r="DT66" s="113"/>
      <c r="DU66" s="113"/>
      <c r="DV66" s="113"/>
      <c r="DW66" s="113"/>
      <c r="DX66" s="113"/>
      <c r="DY66" s="113"/>
      <c r="DZ66" s="113"/>
      <c r="EA66" s="113"/>
      <c r="EB66" s="113"/>
      <c r="EC66" s="113"/>
      <c r="ED66" s="113"/>
      <c r="EE66" s="113"/>
    </row>
    <row r="67" ht="19.5" customHeight="1">
      <c r="A67" s="84" t="str">
        <f>IF(Roster!$A$65&lt;&gt;"",Roster!$A$65,"")</f>
        <v/>
      </c>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c r="AO67" s="113"/>
      <c r="AP67" s="113"/>
      <c r="AQ67" s="113"/>
      <c r="AR67" s="113"/>
      <c r="AS67" s="113"/>
      <c r="AT67" s="113"/>
      <c r="AU67" s="113"/>
      <c r="AV67" s="113"/>
      <c r="AW67" s="113"/>
      <c r="AX67" s="113"/>
      <c r="AY67" s="113"/>
      <c r="AZ67" s="113"/>
      <c r="BA67" s="113"/>
      <c r="BB67" s="113"/>
      <c r="BC67" s="113"/>
      <c r="BD67" s="113"/>
      <c r="BE67" s="113"/>
      <c r="BF67" s="113"/>
      <c r="BG67" s="113"/>
      <c r="BH67" s="113"/>
      <c r="BI67" s="113"/>
      <c r="BJ67" s="113"/>
      <c r="BK67" s="113"/>
      <c r="BL67" s="113"/>
      <c r="BM67" s="113"/>
      <c r="BN67" s="113"/>
      <c r="BO67" s="113"/>
      <c r="BP67" s="113"/>
      <c r="BQ67" s="113"/>
      <c r="BR67" s="113"/>
      <c r="BS67" s="113"/>
      <c r="BT67" s="113"/>
      <c r="BU67" s="113"/>
      <c r="BV67" s="113"/>
      <c r="BW67" s="113"/>
      <c r="BX67" s="113"/>
      <c r="BY67" s="113"/>
      <c r="BZ67" s="113"/>
      <c r="CA67" s="113"/>
      <c r="CB67" s="113"/>
      <c r="CC67" s="113"/>
      <c r="CD67" s="113"/>
      <c r="CE67" s="113"/>
      <c r="CF67" s="113"/>
      <c r="CG67" s="113"/>
      <c r="CH67" s="113"/>
      <c r="CI67" s="113"/>
      <c r="CJ67" s="113"/>
      <c r="CK67" s="113"/>
      <c r="CL67" s="113"/>
      <c r="CM67" s="113"/>
      <c r="CN67" s="113"/>
      <c r="CO67" s="113"/>
      <c r="CP67" s="113"/>
      <c r="CQ67" s="113"/>
      <c r="CR67" s="113"/>
      <c r="CS67" s="113"/>
      <c r="CT67" s="113"/>
      <c r="CU67" s="113"/>
      <c r="CV67" s="113"/>
      <c r="CW67" s="113"/>
      <c r="CX67" s="113"/>
      <c r="CY67" s="113"/>
      <c r="CZ67" s="113"/>
      <c r="DA67" s="113"/>
      <c r="DB67" s="113"/>
      <c r="DC67" s="113"/>
      <c r="DD67" s="113"/>
      <c r="DE67" s="113"/>
      <c r="DF67" s="113"/>
      <c r="DG67" s="113"/>
      <c r="DH67" s="113"/>
      <c r="DI67" s="113"/>
      <c r="DJ67" s="113"/>
      <c r="DK67" s="113"/>
      <c r="DL67" s="113"/>
      <c r="DM67" s="113"/>
      <c r="DN67" s="113"/>
      <c r="DO67" s="113"/>
      <c r="DP67" s="113"/>
      <c r="DQ67" s="113"/>
      <c r="DR67" s="113"/>
      <c r="DS67" s="113"/>
      <c r="DT67" s="113"/>
      <c r="DU67" s="113"/>
      <c r="DV67" s="113"/>
      <c r="DW67" s="113"/>
      <c r="DX67" s="113"/>
      <c r="DY67" s="113"/>
      <c r="DZ67" s="113"/>
      <c r="EA67" s="113"/>
      <c r="EB67" s="113"/>
      <c r="EC67" s="113"/>
      <c r="ED67" s="113"/>
      <c r="EE67" s="113"/>
    </row>
    <row r="68" ht="19.5" customHeight="1">
      <c r="A68" s="84" t="str">
        <f>IF(Roster!$A$66&lt;&gt;"",Roster!$A$66,"")</f>
        <v/>
      </c>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c r="AO68" s="113"/>
      <c r="AP68" s="113"/>
      <c r="AQ68" s="113"/>
      <c r="AR68" s="113"/>
      <c r="AS68" s="113"/>
      <c r="AT68" s="113"/>
      <c r="AU68" s="113"/>
      <c r="AV68" s="113"/>
      <c r="AW68" s="113"/>
      <c r="AX68" s="113"/>
      <c r="AY68" s="113"/>
      <c r="AZ68" s="113"/>
      <c r="BA68" s="113"/>
      <c r="BB68" s="113"/>
      <c r="BC68" s="113"/>
      <c r="BD68" s="113"/>
      <c r="BE68" s="113"/>
      <c r="BF68" s="113"/>
      <c r="BG68" s="113"/>
      <c r="BH68" s="113"/>
      <c r="BI68" s="113"/>
      <c r="BJ68" s="113"/>
      <c r="BK68" s="113"/>
      <c r="BL68" s="113"/>
      <c r="BM68" s="113"/>
      <c r="BN68" s="113"/>
      <c r="BO68" s="113"/>
      <c r="BP68" s="113"/>
      <c r="BQ68" s="113"/>
      <c r="BR68" s="113"/>
      <c r="BS68" s="113"/>
      <c r="BT68" s="113"/>
      <c r="BU68" s="113"/>
      <c r="BV68" s="113"/>
      <c r="BW68" s="113"/>
      <c r="BX68" s="113"/>
      <c r="BY68" s="113"/>
      <c r="BZ68" s="113"/>
      <c r="CA68" s="113"/>
      <c r="CB68" s="113"/>
      <c r="CC68" s="113"/>
      <c r="CD68" s="113"/>
      <c r="CE68" s="113"/>
      <c r="CF68" s="113"/>
      <c r="CG68" s="113"/>
      <c r="CH68" s="113"/>
      <c r="CI68" s="113"/>
      <c r="CJ68" s="113"/>
      <c r="CK68" s="113"/>
      <c r="CL68" s="113"/>
      <c r="CM68" s="113"/>
      <c r="CN68" s="113"/>
      <c r="CO68" s="113"/>
      <c r="CP68" s="113"/>
      <c r="CQ68" s="113"/>
      <c r="CR68" s="113"/>
      <c r="CS68" s="113"/>
      <c r="CT68" s="113"/>
      <c r="CU68" s="113"/>
      <c r="CV68" s="113"/>
      <c r="CW68" s="113"/>
      <c r="CX68" s="113"/>
      <c r="CY68" s="113"/>
      <c r="CZ68" s="113"/>
      <c r="DA68" s="113"/>
      <c r="DB68" s="113"/>
      <c r="DC68" s="113"/>
      <c r="DD68" s="113"/>
      <c r="DE68" s="113"/>
      <c r="DF68" s="113"/>
      <c r="DG68" s="113"/>
      <c r="DH68" s="113"/>
      <c r="DI68" s="113"/>
      <c r="DJ68" s="113"/>
      <c r="DK68" s="113"/>
      <c r="DL68" s="113"/>
      <c r="DM68" s="113"/>
      <c r="DN68" s="113"/>
      <c r="DO68" s="113"/>
      <c r="DP68" s="113"/>
      <c r="DQ68" s="113"/>
      <c r="DR68" s="113"/>
      <c r="DS68" s="113"/>
      <c r="DT68" s="113"/>
      <c r="DU68" s="113"/>
      <c r="DV68" s="113"/>
      <c r="DW68" s="113"/>
      <c r="DX68" s="113"/>
      <c r="DY68" s="113"/>
      <c r="DZ68" s="113"/>
      <c r="EA68" s="113"/>
      <c r="EB68" s="113"/>
      <c r="EC68" s="113"/>
      <c r="ED68" s="113"/>
      <c r="EE68" s="113"/>
    </row>
    <row r="69" ht="19.5" customHeight="1">
      <c r="A69" s="84" t="str">
        <f>IF(Roster!$A$67&lt;&gt;"",Roster!$A$67,"")</f>
        <v/>
      </c>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c r="AO69" s="113"/>
      <c r="AP69" s="113"/>
      <c r="AQ69" s="113"/>
      <c r="AR69" s="113"/>
      <c r="AS69" s="113"/>
      <c r="AT69" s="113"/>
      <c r="AU69" s="113"/>
      <c r="AV69" s="113"/>
      <c r="AW69" s="113"/>
      <c r="AX69" s="113"/>
      <c r="AY69" s="113"/>
      <c r="AZ69" s="113"/>
      <c r="BA69" s="113"/>
      <c r="BB69" s="113"/>
      <c r="BC69" s="113"/>
      <c r="BD69" s="113"/>
      <c r="BE69" s="113"/>
      <c r="BF69" s="113"/>
      <c r="BG69" s="113"/>
      <c r="BH69" s="113"/>
      <c r="BI69" s="113"/>
      <c r="BJ69" s="113"/>
      <c r="BK69" s="113"/>
      <c r="BL69" s="113"/>
      <c r="BM69" s="113"/>
      <c r="BN69" s="113"/>
      <c r="BO69" s="113"/>
      <c r="BP69" s="113"/>
      <c r="BQ69" s="113"/>
      <c r="BR69" s="113"/>
      <c r="BS69" s="113"/>
      <c r="BT69" s="113"/>
      <c r="BU69" s="113"/>
      <c r="BV69" s="113"/>
      <c r="BW69" s="113"/>
      <c r="BX69" s="113"/>
      <c r="BY69" s="113"/>
      <c r="BZ69" s="113"/>
      <c r="CA69" s="113"/>
      <c r="CB69" s="113"/>
      <c r="CC69" s="113"/>
      <c r="CD69" s="113"/>
      <c r="CE69" s="113"/>
      <c r="CF69" s="113"/>
      <c r="CG69" s="113"/>
      <c r="CH69" s="113"/>
      <c r="CI69" s="113"/>
      <c r="CJ69" s="113"/>
      <c r="CK69" s="113"/>
      <c r="CL69" s="113"/>
      <c r="CM69" s="113"/>
      <c r="CN69" s="113"/>
      <c r="CO69" s="113"/>
      <c r="CP69" s="113"/>
      <c r="CQ69" s="113"/>
      <c r="CR69" s="113"/>
      <c r="CS69" s="113"/>
      <c r="CT69" s="113"/>
      <c r="CU69" s="113"/>
      <c r="CV69" s="113"/>
      <c r="CW69" s="113"/>
      <c r="CX69" s="113"/>
      <c r="CY69" s="113"/>
      <c r="CZ69" s="113"/>
      <c r="DA69" s="113"/>
      <c r="DB69" s="113"/>
      <c r="DC69" s="113"/>
      <c r="DD69" s="113"/>
      <c r="DE69" s="113"/>
      <c r="DF69" s="113"/>
      <c r="DG69" s="113"/>
      <c r="DH69" s="113"/>
      <c r="DI69" s="113"/>
      <c r="DJ69" s="113"/>
      <c r="DK69" s="113"/>
      <c r="DL69" s="113"/>
      <c r="DM69" s="113"/>
      <c r="DN69" s="113"/>
      <c r="DO69" s="113"/>
      <c r="DP69" s="113"/>
      <c r="DQ69" s="113"/>
      <c r="DR69" s="113"/>
      <c r="DS69" s="113"/>
      <c r="DT69" s="113"/>
      <c r="DU69" s="113"/>
      <c r="DV69" s="113"/>
      <c r="DW69" s="113"/>
      <c r="DX69" s="113"/>
      <c r="DY69" s="113"/>
      <c r="DZ69" s="113"/>
      <c r="EA69" s="113"/>
      <c r="EB69" s="113"/>
      <c r="EC69" s="113"/>
      <c r="ED69" s="113"/>
      <c r="EE69" s="113"/>
    </row>
    <row r="70" ht="19.5" customHeight="1">
      <c r="A70" s="84" t="str">
        <f>IF(Roster!$A$68&lt;&gt;"",Roster!$A$68,"")</f>
        <v/>
      </c>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3"/>
      <c r="BM70" s="113"/>
      <c r="BN70" s="113"/>
      <c r="BO70" s="113"/>
      <c r="BP70" s="113"/>
      <c r="BQ70" s="113"/>
      <c r="BR70" s="113"/>
      <c r="BS70" s="113"/>
      <c r="BT70" s="113"/>
      <c r="BU70" s="113"/>
      <c r="BV70" s="113"/>
      <c r="BW70" s="113"/>
      <c r="BX70" s="113"/>
      <c r="BY70" s="113"/>
      <c r="BZ70" s="113"/>
      <c r="CA70" s="113"/>
      <c r="CB70" s="113"/>
      <c r="CC70" s="113"/>
      <c r="CD70" s="113"/>
      <c r="CE70" s="113"/>
      <c r="CF70" s="113"/>
      <c r="CG70" s="113"/>
      <c r="CH70" s="113"/>
      <c r="CI70" s="113"/>
      <c r="CJ70" s="113"/>
      <c r="CK70" s="113"/>
      <c r="CL70" s="113"/>
      <c r="CM70" s="113"/>
      <c r="CN70" s="113"/>
      <c r="CO70" s="113"/>
      <c r="CP70" s="113"/>
      <c r="CQ70" s="113"/>
      <c r="CR70" s="113"/>
      <c r="CS70" s="113"/>
      <c r="CT70" s="113"/>
      <c r="CU70" s="113"/>
      <c r="CV70" s="113"/>
      <c r="CW70" s="113"/>
      <c r="CX70" s="113"/>
      <c r="CY70" s="113"/>
      <c r="CZ70" s="113"/>
      <c r="DA70" s="113"/>
      <c r="DB70" s="113"/>
      <c r="DC70" s="113"/>
      <c r="DD70" s="113"/>
      <c r="DE70" s="113"/>
      <c r="DF70" s="113"/>
      <c r="DG70" s="113"/>
      <c r="DH70" s="113"/>
      <c r="DI70" s="113"/>
      <c r="DJ70" s="113"/>
      <c r="DK70" s="113"/>
      <c r="DL70" s="113"/>
      <c r="DM70" s="113"/>
      <c r="DN70" s="113"/>
      <c r="DO70" s="113"/>
      <c r="DP70" s="113"/>
      <c r="DQ70" s="113"/>
      <c r="DR70" s="113"/>
      <c r="DS70" s="113"/>
      <c r="DT70" s="113"/>
      <c r="DU70" s="113"/>
      <c r="DV70" s="113"/>
      <c r="DW70" s="113"/>
      <c r="DX70" s="113"/>
      <c r="DY70" s="113"/>
      <c r="DZ70" s="113"/>
      <c r="EA70" s="113"/>
      <c r="EB70" s="113"/>
      <c r="EC70" s="113"/>
      <c r="ED70" s="113"/>
      <c r="EE70" s="113"/>
    </row>
    <row r="71" ht="19.5" customHeight="1">
      <c r="A71" s="84" t="str">
        <f>IF(Roster!$A$69&lt;&gt;"",Roster!$A$69,"")</f>
        <v/>
      </c>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c r="AO71" s="113"/>
      <c r="AP71" s="113"/>
      <c r="AQ71" s="113"/>
      <c r="AR71" s="113"/>
      <c r="AS71" s="113"/>
      <c r="AT71" s="113"/>
      <c r="AU71" s="113"/>
      <c r="AV71" s="113"/>
      <c r="AW71" s="113"/>
      <c r="AX71" s="113"/>
      <c r="AY71" s="113"/>
      <c r="AZ71" s="113"/>
      <c r="BA71" s="113"/>
      <c r="BB71" s="113"/>
      <c r="BC71" s="113"/>
      <c r="BD71" s="113"/>
      <c r="BE71" s="113"/>
      <c r="BF71" s="113"/>
      <c r="BG71" s="113"/>
      <c r="BH71" s="113"/>
      <c r="BI71" s="113"/>
      <c r="BJ71" s="113"/>
      <c r="BK71" s="113"/>
      <c r="BL71" s="113"/>
      <c r="BM71" s="113"/>
      <c r="BN71" s="113"/>
      <c r="BO71" s="113"/>
      <c r="BP71" s="113"/>
      <c r="BQ71" s="113"/>
      <c r="BR71" s="113"/>
      <c r="BS71" s="113"/>
      <c r="BT71" s="113"/>
      <c r="BU71" s="113"/>
      <c r="BV71" s="113"/>
      <c r="BW71" s="113"/>
      <c r="BX71" s="113"/>
      <c r="BY71" s="113"/>
      <c r="BZ71" s="113"/>
      <c r="CA71" s="113"/>
      <c r="CB71" s="113"/>
      <c r="CC71" s="113"/>
      <c r="CD71" s="113"/>
      <c r="CE71" s="113"/>
      <c r="CF71" s="113"/>
      <c r="CG71" s="113"/>
      <c r="CH71" s="113"/>
      <c r="CI71" s="113"/>
      <c r="CJ71" s="113"/>
      <c r="CK71" s="113"/>
      <c r="CL71" s="113"/>
      <c r="CM71" s="113"/>
      <c r="CN71" s="113"/>
      <c r="CO71" s="113"/>
      <c r="CP71" s="113"/>
      <c r="CQ71" s="113"/>
      <c r="CR71" s="113"/>
      <c r="CS71" s="113"/>
      <c r="CT71" s="113"/>
      <c r="CU71" s="113"/>
      <c r="CV71" s="113"/>
      <c r="CW71" s="113"/>
      <c r="CX71" s="113"/>
      <c r="CY71" s="113"/>
      <c r="CZ71" s="113"/>
      <c r="DA71" s="113"/>
      <c r="DB71" s="113"/>
      <c r="DC71" s="113"/>
      <c r="DD71" s="113"/>
      <c r="DE71" s="113"/>
      <c r="DF71" s="113"/>
      <c r="DG71" s="113"/>
      <c r="DH71" s="113"/>
      <c r="DI71" s="113"/>
      <c r="DJ71" s="113"/>
      <c r="DK71" s="113"/>
      <c r="DL71" s="113"/>
      <c r="DM71" s="113"/>
      <c r="DN71" s="113"/>
      <c r="DO71" s="113"/>
      <c r="DP71" s="113"/>
      <c r="DQ71" s="113"/>
      <c r="DR71" s="113"/>
      <c r="DS71" s="113"/>
      <c r="DT71" s="113"/>
      <c r="DU71" s="113"/>
      <c r="DV71" s="113"/>
      <c r="DW71" s="113"/>
      <c r="DX71" s="113"/>
      <c r="DY71" s="113"/>
      <c r="DZ71" s="113"/>
      <c r="EA71" s="113"/>
      <c r="EB71" s="113"/>
      <c r="EC71" s="113"/>
      <c r="ED71" s="113"/>
      <c r="EE71" s="113"/>
    </row>
    <row r="72" ht="19.5" customHeight="1">
      <c r="A72" s="84" t="str">
        <f>IF(Roster!$A$70&lt;&gt;"",Roster!$A$70,"")</f>
        <v/>
      </c>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c r="AO72" s="113"/>
      <c r="AP72" s="113"/>
      <c r="AQ72" s="113"/>
      <c r="AR72" s="113"/>
      <c r="AS72" s="113"/>
      <c r="AT72" s="113"/>
      <c r="AU72" s="113"/>
      <c r="AV72" s="113"/>
      <c r="AW72" s="113"/>
      <c r="AX72" s="113"/>
      <c r="AY72" s="113"/>
      <c r="AZ72" s="113"/>
      <c r="BA72" s="113"/>
      <c r="BB72" s="113"/>
      <c r="BC72" s="113"/>
      <c r="BD72" s="113"/>
      <c r="BE72" s="113"/>
      <c r="BF72" s="113"/>
      <c r="BG72" s="113"/>
      <c r="BH72" s="113"/>
      <c r="BI72" s="113"/>
      <c r="BJ72" s="113"/>
      <c r="BK72" s="113"/>
      <c r="BL72" s="113"/>
      <c r="BM72" s="113"/>
      <c r="BN72" s="113"/>
      <c r="BO72" s="113"/>
      <c r="BP72" s="113"/>
      <c r="BQ72" s="113"/>
      <c r="BR72" s="113"/>
      <c r="BS72" s="113"/>
      <c r="BT72" s="113"/>
      <c r="BU72" s="113"/>
      <c r="BV72" s="113"/>
      <c r="BW72" s="113"/>
      <c r="BX72" s="113"/>
      <c r="BY72" s="113"/>
      <c r="BZ72" s="113"/>
      <c r="CA72" s="113"/>
      <c r="CB72" s="113"/>
      <c r="CC72" s="113"/>
      <c r="CD72" s="113"/>
      <c r="CE72" s="113"/>
      <c r="CF72" s="113"/>
      <c r="CG72" s="113"/>
      <c r="CH72" s="113"/>
      <c r="CI72" s="113"/>
      <c r="CJ72" s="113"/>
      <c r="CK72" s="113"/>
      <c r="CL72" s="113"/>
      <c r="CM72" s="113"/>
      <c r="CN72" s="113"/>
      <c r="CO72" s="113"/>
      <c r="CP72" s="113"/>
      <c r="CQ72" s="113"/>
      <c r="CR72" s="113"/>
      <c r="CS72" s="113"/>
      <c r="CT72" s="113"/>
      <c r="CU72" s="113"/>
      <c r="CV72" s="113"/>
      <c r="CW72" s="113"/>
      <c r="CX72" s="113"/>
      <c r="CY72" s="113"/>
      <c r="CZ72" s="113"/>
      <c r="DA72" s="113"/>
      <c r="DB72" s="113"/>
      <c r="DC72" s="113"/>
      <c r="DD72" s="113"/>
      <c r="DE72" s="113"/>
      <c r="DF72" s="113"/>
      <c r="DG72" s="113"/>
      <c r="DH72" s="113"/>
      <c r="DI72" s="113"/>
      <c r="DJ72" s="113"/>
      <c r="DK72" s="113"/>
      <c r="DL72" s="113"/>
      <c r="DM72" s="113"/>
      <c r="DN72" s="113"/>
      <c r="DO72" s="113"/>
      <c r="DP72" s="113"/>
      <c r="DQ72" s="113"/>
      <c r="DR72" s="113"/>
      <c r="DS72" s="113"/>
      <c r="DT72" s="113"/>
      <c r="DU72" s="113"/>
      <c r="DV72" s="113"/>
      <c r="DW72" s="113"/>
      <c r="DX72" s="113"/>
      <c r="DY72" s="113"/>
      <c r="DZ72" s="113"/>
      <c r="EA72" s="113"/>
      <c r="EB72" s="113"/>
      <c r="EC72" s="113"/>
      <c r="ED72" s="113"/>
      <c r="EE72" s="113"/>
    </row>
    <row r="73" ht="19.5" customHeight="1">
      <c r="A73" s="84" t="str">
        <f>IF(Roster!$A$71&lt;&gt;"",Roster!$A$71,"")</f>
        <v/>
      </c>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c r="AO73" s="113"/>
      <c r="AP73" s="113"/>
      <c r="AQ73" s="113"/>
      <c r="AR73" s="113"/>
      <c r="AS73" s="113"/>
      <c r="AT73" s="113"/>
      <c r="AU73" s="113"/>
      <c r="AV73" s="113"/>
      <c r="AW73" s="113"/>
      <c r="AX73" s="113"/>
      <c r="AY73" s="113"/>
      <c r="AZ73" s="113"/>
      <c r="BA73" s="113"/>
      <c r="BB73" s="113"/>
      <c r="BC73" s="113"/>
      <c r="BD73" s="113"/>
      <c r="BE73" s="113"/>
      <c r="BF73" s="113"/>
      <c r="BG73" s="113"/>
      <c r="BH73" s="113"/>
      <c r="BI73" s="113"/>
      <c r="BJ73" s="113"/>
      <c r="BK73" s="113"/>
      <c r="BL73" s="113"/>
      <c r="BM73" s="113"/>
      <c r="BN73" s="113"/>
      <c r="BO73" s="113"/>
      <c r="BP73" s="113"/>
      <c r="BQ73" s="113"/>
      <c r="BR73" s="113"/>
      <c r="BS73" s="113"/>
      <c r="BT73" s="113"/>
      <c r="BU73" s="113"/>
      <c r="BV73" s="113"/>
      <c r="BW73" s="113"/>
      <c r="BX73" s="113"/>
      <c r="BY73" s="113"/>
      <c r="BZ73" s="113"/>
      <c r="CA73" s="113"/>
      <c r="CB73" s="113"/>
      <c r="CC73" s="113"/>
      <c r="CD73" s="113"/>
      <c r="CE73" s="113"/>
      <c r="CF73" s="113"/>
      <c r="CG73" s="113"/>
      <c r="CH73" s="113"/>
      <c r="CI73" s="113"/>
      <c r="CJ73" s="113"/>
      <c r="CK73" s="113"/>
      <c r="CL73" s="113"/>
      <c r="CM73" s="113"/>
      <c r="CN73" s="113"/>
      <c r="CO73" s="113"/>
      <c r="CP73" s="113"/>
      <c r="CQ73" s="113"/>
      <c r="CR73" s="113"/>
      <c r="CS73" s="113"/>
      <c r="CT73" s="113"/>
      <c r="CU73" s="113"/>
      <c r="CV73" s="113"/>
      <c r="CW73" s="113"/>
      <c r="CX73" s="113"/>
      <c r="CY73" s="113"/>
      <c r="CZ73" s="113"/>
      <c r="DA73" s="113"/>
      <c r="DB73" s="113"/>
      <c r="DC73" s="113"/>
      <c r="DD73" s="113"/>
      <c r="DE73" s="113"/>
      <c r="DF73" s="113"/>
      <c r="DG73" s="113"/>
      <c r="DH73" s="113"/>
      <c r="DI73" s="113"/>
      <c r="DJ73" s="113"/>
      <c r="DK73" s="113"/>
      <c r="DL73" s="113"/>
      <c r="DM73" s="113"/>
      <c r="DN73" s="113"/>
      <c r="DO73" s="113"/>
      <c r="DP73" s="113"/>
      <c r="DQ73" s="113"/>
      <c r="DR73" s="113"/>
      <c r="DS73" s="113"/>
      <c r="DT73" s="113"/>
      <c r="DU73" s="113"/>
      <c r="DV73" s="113"/>
      <c r="DW73" s="113"/>
      <c r="DX73" s="113"/>
      <c r="DY73" s="113"/>
      <c r="DZ73" s="113"/>
      <c r="EA73" s="113"/>
      <c r="EB73" s="113"/>
      <c r="EC73" s="113"/>
      <c r="ED73" s="113"/>
      <c r="EE73" s="113"/>
    </row>
    <row r="74" ht="19.5" customHeight="1">
      <c r="A74" s="84" t="str">
        <f>IF(Roster!$A$72&lt;&gt;"",Roster!$A$72,"")</f>
        <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c r="AO74" s="113"/>
      <c r="AP74" s="113"/>
      <c r="AQ74" s="113"/>
      <c r="AR74" s="113"/>
      <c r="AS74" s="113"/>
      <c r="AT74" s="113"/>
      <c r="AU74" s="113"/>
      <c r="AV74" s="113"/>
      <c r="AW74" s="113"/>
      <c r="AX74" s="113"/>
      <c r="AY74" s="113"/>
      <c r="AZ74" s="113"/>
      <c r="BA74" s="113"/>
      <c r="BB74" s="113"/>
      <c r="BC74" s="113"/>
      <c r="BD74" s="113"/>
      <c r="BE74" s="113"/>
      <c r="BF74" s="113"/>
      <c r="BG74" s="113"/>
      <c r="BH74" s="113"/>
      <c r="BI74" s="113"/>
      <c r="BJ74" s="113"/>
      <c r="BK74" s="113"/>
      <c r="BL74" s="113"/>
      <c r="BM74" s="113"/>
      <c r="BN74" s="113"/>
      <c r="BO74" s="113"/>
      <c r="BP74" s="113"/>
      <c r="BQ74" s="113"/>
      <c r="BR74" s="113"/>
      <c r="BS74" s="113"/>
      <c r="BT74" s="113"/>
      <c r="BU74" s="113"/>
      <c r="BV74" s="113"/>
      <c r="BW74" s="113"/>
      <c r="BX74" s="113"/>
      <c r="BY74" s="113"/>
      <c r="BZ74" s="113"/>
      <c r="CA74" s="113"/>
      <c r="CB74" s="113"/>
      <c r="CC74" s="113"/>
      <c r="CD74" s="113"/>
      <c r="CE74" s="113"/>
      <c r="CF74" s="113"/>
      <c r="CG74" s="113"/>
      <c r="CH74" s="113"/>
      <c r="CI74" s="113"/>
      <c r="CJ74" s="113"/>
      <c r="CK74" s="113"/>
      <c r="CL74" s="113"/>
      <c r="CM74" s="113"/>
      <c r="CN74" s="113"/>
      <c r="CO74" s="113"/>
      <c r="CP74" s="113"/>
      <c r="CQ74" s="113"/>
      <c r="CR74" s="113"/>
      <c r="CS74" s="113"/>
      <c r="CT74" s="113"/>
      <c r="CU74" s="113"/>
      <c r="CV74" s="113"/>
      <c r="CW74" s="113"/>
      <c r="CX74" s="113"/>
      <c r="CY74" s="113"/>
      <c r="CZ74" s="113"/>
      <c r="DA74" s="113"/>
      <c r="DB74" s="113"/>
      <c r="DC74" s="113"/>
      <c r="DD74" s="113"/>
      <c r="DE74" s="113"/>
      <c r="DF74" s="113"/>
      <c r="DG74" s="113"/>
      <c r="DH74" s="113"/>
      <c r="DI74" s="113"/>
      <c r="DJ74" s="113"/>
      <c r="DK74" s="113"/>
      <c r="DL74" s="113"/>
      <c r="DM74" s="113"/>
      <c r="DN74" s="113"/>
      <c r="DO74" s="113"/>
      <c r="DP74" s="113"/>
      <c r="DQ74" s="113"/>
      <c r="DR74" s="113"/>
      <c r="DS74" s="113"/>
      <c r="DT74" s="113"/>
      <c r="DU74" s="113"/>
      <c r="DV74" s="113"/>
      <c r="DW74" s="113"/>
      <c r="DX74" s="113"/>
      <c r="DY74" s="113"/>
      <c r="DZ74" s="113"/>
      <c r="EA74" s="113"/>
      <c r="EB74" s="113"/>
      <c r="EC74" s="113"/>
      <c r="ED74" s="113"/>
      <c r="EE74" s="113"/>
    </row>
    <row r="75" ht="19.5" customHeight="1">
      <c r="A75" s="84" t="str">
        <f>IF(Roster!$A$73&lt;&gt;"",Roster!$A$73,"")</f>
        <v/>
      </c>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c r="AO75" s="113"/>
      <c r="AP75" s="113"/>
      <c r="AQ75" s="113"/>
      <c r="AR75" s="113"/>
      <c r="AS75" s="113"/>
      <c r="AT75" s="113"/>
      <c r="AU75" s="113"/>
      <c r="AV75" s="113"/>
      <c r="AW75" s="113"/>
      <c r="AX75" s="113"/>
      <c r="AY75" s="113"/>
      <c r="AZ75" s="113"/>
      <c r="BA75" s="113"/>
      <c r="BB75" s="113"/>
      <c r="BC75" s="113"/>
      <c r="BD75" s="113"/>
      <c r="BE75" s="113"/>
      <c r="BF75" s="113"/>
      <c r="BG75" s="113"/>
      <c r="BH75" s="113"/>
      <c r="BI75" s="113"/>
      <c r="BJ75" s="113"/>
      <c r="BK75" s="113"/>
      <c r="BL75" s="113"/>
      <c r="BM75" s="113"/>
      <c r="BN75" s="113"/>
      <c r="BO75" s="113"/>
      <c r="BP75" s="113"/>
      <c r="BQ75" s="113"/>
      <c r="BR75" s="113"/>
      <c r="BS75" s="113"/>
      <c r="BT75" s="113"/>
      <c r="BU75" s="113"/>
      <c r="BV75" s="113"/>
      <c r="BW75" s="113"/>
      <c r="BX75" s="113"/>
      <c r="BY75" s="113"/>
      <c r="BZ75" s="113"/>
      <c r="CA75" s="113"/>
      <c r="CB75" s="113"/>
      <c r="CC75" s="113"/>
      <c r="CD75" s="113"/>
      <c r="CE75" s="113"/>
      <c r="CF75" s="113"/>
      <c r="CG75" s="113"/>
      <c r="CH75" s="113"/>
      <c r="CI75" s="113"/>
      <c r="CJ75" s="113"/>
      <c r="CK75" s="113"/>
      <c r="CL75" s="113"/>
      <c r="CM75" s="113"/>
      <c r="CN75" s="113"/>
      <c r="CO75" s="113"/>
      <c r="CP75" s="113"/>
      <c r="CQ75" s="113"/>
      <c r="CR75" s="113"/>
      <c r="CS75" s="113"/>
      <c r="CT75" s="113"/>
      <c r="CU75" s="113"/>
      <c r="CV75" s="113"/>
      <c r="CW75" s="113"/>
      <c r="CX75" s="113"/>
      <c r="CY75" s="113"/>
      <c r="CZ75" s="113"/>
      <c r="DA75" s="113"/>
      <c r="DB75" s="113"/>
      <c r="DC75" s="113"/>
      <c r="DD75" s="113"/>
      <c r="DE75" s="113"/>
      <c r="DF75" s="113"/>
      <c r="DG75" s="113"/>
      <c r="DH75" s="113"/>
      <c r="DI75" s="113"/>
      <c r="DJ75" s="113"/>
      <c r="DK75" s="113"/>
      <c r="DL75" s="113"/>
      <c r="DM75" s="113"/>
      <c r="DN75" s="113"/>
      <c r="DO75" s="113"/>
      <c r="DP75" s="113"/>
      <c r="DQ75" s="113"/>
      <c r="DR75" s="113"/>
      <c r="DS75" s="113"/>
      <c r="DT75" s="113"/>
      <c r="DU75" s="113"/>
      <c r="DV75" s="113"/>
      <c r="DW75" s="113"/>
      <c r="DX75" s="113"/>
      <c r="DY75" s="113"/>
      <c r="DZ75" s="113"/>
      <c r="EA75" s="113"/>
      <c r="EB75" s="113"/>
      <c r="EC75" s="113"/>
      <c r="ED75" s="113"/>
      <c r="EE75" s="113"/>
    </row>
    <row r="76" ht="19.5" customHeight="1">
      <c r="A76" s="84" t="str">
        <f>IF(Roster!$A$74&lt;&gt;"",Roster!$A$74,"")</f>
        <v/>
      </c>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c r="AO76" s="113"/>
      <c r="AP76" s="113"/>
      <c r="AQ76" s="113"/>
      <c r="AR76" s="113"/>
      <c r="AS76" s="113"/>
      <c r="AT76" s="113"/>
      <c r="AU76" s="113"/>
      <c r="AV76" s="113"/>
      <c r="AW76" s="113"/>
      <c r="AX76" s="113"/>
      <c r="AY76" s="113"/>
      <c r="AZ76" s="113"/>
      <c r="BA76" s="113"/>
      <c r="BB76" s="113"/>
      <c r="BC76" s="113"/>
      <c r="BD76" s="113"/>
      <c r="BE76" s="113"/>
      <c r="BF76" s="113"/>
      <c r="BG76" s="113"/>
      <c r="BH76" s="113"/>
      <c r="BI76" s="113"/>
      <c r="BJ76" s="113"/>
      <c r="BK76" s="113"/>
      <c r="BL76" s="113"/>
      <c r="BM76" s="113"/>
      <c r="BN76" s="113"/>
      <c r="BO76" s="113"/>
      <c r="BP76" s="113"/>
      <c r="BQ76" s="113"/>
      <c r="BR76" s="113"/>
      <c r="BS76" s="113"/>
      <c r="BT76" s="113"/>
      <c r="BU76" s="113"/>
      <c r="BV76" s="113"/>
      <c r="BW76" s="113"/>
      <c r="BX76" s="113"/>
      <c r="BY76" s="113"/>
      <c r="BZ76" s="113"/>
      <c r="CA76" s="113"/>
      <c r="CB76" s="113"/>
      <c r="CC76" s="113"/>
      <c r="CD76" s="113"/>
      <c r="CE76" s="113"/>
      <c r="CF76" s="113"/>
      <c r="CG76" s="113"/>
      <c r="CH76" s="113"/>
      <c r="CI76" s="113"/>
      <c r="CJ76" s="113"/>
      <c r="CK76" s="113"/>
      <c r="CL76" s="113"/>
      <c r="CM76" s="113"/>
      <c r="CN76" s="113"/>
      <c r="CO76" s="113"/>
      <c r="CP76" s="113"/>
      <c r="CQ76" s="113"/>
      <c r="CR76" s="113"/>
      <c r="CS76" s="113"/>
      <c r="CT76" s="113"/>
      <c r="CU76" s="113"/>
      <c r="CV76" s="113"/>
      <c r="CW76" s="113"/>
      <c r="CX76" s="113"/>
      <c r="CY76" s="113"/>
      <c r="CZ76" s="113"/>
      <c r="DA76" s="113"/>
      <c r="DB76" s="113"/>
      <c r="DC76" s="113"/>
      <c r="DD76" s="113"/>
      <c r="DE76" s="113"/>
      <c r="DF76" s="113"/>
      <c r="DG76" s="113"/>
      <c r="DH76" s="113"/>
      <c r="DI76" s="113"/>
      <c r="DJ76" s="113"/>
      <c r="DK76" s="113"/>
      <c r="DL76" s="113"/>
      <c r="DM76" s="113"/>
      <c r="DN76" s="113"/>
      <c r="DO76" s="113"/>
      <c r="DP76" s="113"/>
      <c r="DQ76" s="113"/>
      <c r="DR76" s="113"/>
      <c r="DS76" s="113"/>
      <c r="DT76" s="113"/>
      <c r="DU76" s="113"/>
      <c r="DV76" s="113"/>
      <c r="DW76" s="113"/>
      <c r="DX76" s="113"/>
      <c r="DY76" s="113"/>
      <c r="DZ76" s="113"/>
      <c r="EA76" s="113"/>
      <c r="EB76" s="113"/>
      <c r="EC76" s="113"/>
      <c r="ED76" s="113"/>
      <c r="EE76" s="113"/>
    </row>
    <row r="77" ht="19.5" customHeight="1">
      <c r="A77" s="84" t="str">
        <f>IF(Roster!$A$75&lt;&gt;"",Roster!$A$75,"")</f>
        <v/>
      </c>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c r="AY77" s="113"/>
      <c r="AZ77" s="113"/>
      <c r="BA77" s="113"/>
      <c r="BB77" s="113"/>
      <c r="BC77" s="113"/>
      <c r="BD77" s="113"/>
      <c r="BE77" s="113"/>
      <c r="BF77" s="113"/>
      <c r="BG77" s="113"/>
      <c r="BH77" s="113"/>
      <c r="BI77" s="113"/>
      <c r="BJ77" s="113"/>
      <c r="BK77" s="113"/>
      <c r="BL77" s="113"/>
      <c r="BM77" s="113"/>
      <c r="BN77" s="113"/>
      <c r="BO77" s="113"/>
      <c r="BP77" s="113"/>
      <c r="BQ77" s="113"/>
      <c r="BR77" s="113"/>
      <c r="BS77" s="113"/>
      <c r="BT77" s="113"/>
      <c r="BU77" s="113"/>
      <c r="BV77" s="113"/>
      <c r="BW77" s="113"/>
      <c r="BX77" s="113"/>
      <c r="BY77" s="113"/>
      <c r="BZ77" s="113"/>
      <c r="CA77" s="113"/>
      <c r="CB77" s="113"/>
      <c r="CC77" s="113"/>
      <c r="CD77" s="113"/>
      <c r="CE77" s="113"/>
      <c r="CF77" s="113"/>
      <c r="CG77" s="113"/>
      <c r="CH77" s="113"/>
      <c r="CI77" s="113"/>
      <c r="CJ77" s="113"/>
      <c r="CK77" s="113"/>
      <c r="CL77" s="113"/>
      <c r="CM77" s="113"/>
      <c r="CN77" s="113"/>
      <c r="CO77" s="113"/>
      <c r="CP77" s="113"/>
      <c r="CQ77" s="113"/>
      <c r="CR77" s="113"/>
      <c r="CS77" s="113"/>
      <c r="CT77" s="113"/>
      <c r="CU77" s="113"/>
      <c r="CV77" s="113"/>
      <c r="CW77" s="113"/>
      <c r="CX77" s="113"/>
      <c r="CY77" s="113"/>
      <c r="CZ77" s="113"/>
      <c r="DA77" s="113"/>
      <c r="DB77" s="113"/>
      <c r="DC77" s="113"/>
      <c r="DD77" s="113"/>
      <c r="DE77" s="113"/>
      <c r="DF77" s="113"/>
      <c r="DG77" s="113"/>
      <c r="DH77" s="113"/>
      <c r="DI77" s="113"/>
      <c r="DJ77" s="113"/>
      <c r="DK77" s="113"/>
      <c r="DL77" s="113"/>
      <c r="DM77" s="113"/>
      <c r="DN77" s="113"/>
      <c r="DO77" s="113"/>
      <c r="DP77" s="113"/>
      <c r="DQ77" s="113"/>
      <c r="DR77" s="113"/>
      <c r="DS77" s="113"/>
      <c r="DT77" s="113"/>
      <c r="DU77" s="113"/>
      <c r="DV77" s="113"/>
      <c r="DW77" s="113"/>
      <c r="DX77" s="113"/>
      <c r="DY77" s="113"/>
      <c r="DZ77" s="113"/>
      <c r="EA77" s="113"/>
      <c r="EB77" s="113"/>
      <c r="EC77" s="113"/>
      <c r="ED77" s="113"/>
      <c r="EE77" s="113"/>
    </row>
    <row r="78" ht="19.5" customHeight="1">
      <c r="A78" s="84" t="str">
        <f>IF(Roster!$A$76&lt;&gt;"",Roster!$A$76,"")</f>
        <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c r="AO78" s="113"/>
      <c r="AP78" s="113"/>
      <c r="AQ78" s="113"/>
      <c r="AR78" s="113"/>
      <c r="AS78" s="113"/>
      <c r="AT78" s="113"/>
      <c r="AU78" s="113"/>
      <c r="AV78" s="113"/>
      <c r="AW78" s="113"/>
      <c r="AX78" s="113"/>
      <c r="AY78" s="113"/>
      <c r="AZ78" s="113"/>
      <c r="BA78" s="113"/>
      <c r="BB78" s="113"/>
      <c r="BC78" s="113"/>
      <c r="BD78" s="113"/>
      <c r="BE78" s="113"/>
      <c r="BF78" s="113"/>
      <c r="BG78" s="113"/>
      <c r="BH78" s="113"/>
      <c r="BI78" s="113"/>
      <c r="BJ78" s="113"/>
      <c r="BK78" s="113"/>
      <c r="BL78" s="113"/>
      <c r="BM78" s="113"/>
      <c r="BN78" s="113"/>
      <c r="BO78" s="113"/>
      <c r="BP78" s="113"/>
      <c r="BQ78" s="113"/>
      <c r="BR78" s="113"/>
      <c r="BS78" s="113"/>
      <c r="BT78" s="113"/>
      <c r="BU78" s="113"/>
      <c r="BV78" s="113"/>
      <c r="BW78" s="113"/>
      <c r="BX78" s="113"/>
      <c r="BY78" s="113"/>
      <c r="BZ78" s="113"/>
      <c r="CA78" s="113"/>
      <c r="CB78" s="113"/>
      <c r="CC78" s="113"/>
      <c r="CD78" s="113"/>
      <c r="CE78" s="113"/>
      <c r="CF78" s="113"/>
      <c r="CG78" s="113"/>
      <c r="CH78" s="113"/>
      <c r="CI78" s="113"/>
      <c r="CJ78" s="113"/>
      <c r="CK78" s="113"/>
      <c r="CL78" s="113"/>
      <c r="CM78" s="113"/>
      <c r="CN78" s="113"/>
      <c r="CO78" s="113"/>
      <c r="CP78" s="113"/>
      <c r="CQ78" s="113"/>
      <c r="CR78" s="113"/>
      <c r="CS78" s="113"/>
      <c r="CT78" s="113"/>
      <c r="CU78" s="113"/>
      <c r="CV78" s="113"/>
      <c r="CW78" s="113"/>
      <c r="CX78" s="113"/>
      <c r="CY78" s="113"/>
      <c r="CZ78" s="113"/>
      <c r="DA78" s="113"/>
      <c r="DB78" s="113"/>
      <c r="DC78" s="113"/>
      <c r="DD78" s="113"/>
      <c r="DE78" s="113"/>
      <c r="DF78" s="113"/>
      <c r="DG78" s="113"/>
      <c r="DH78" s="113"/>
      <c r="DI78" s="113"/>
      <c r="DJ78" s="113"/>
      <c r="DK78" s="113"/>
      <c r="DL78" s="113"/>
      <c r="DM78" s="113"/>
      <c r="DN78" s="113"/>
      <c r="DO78" s="113"/>
      <c r="DP78" s="113"/>
      <c r="DQ78" s="113"/>
      <c r="DR78" s="113"/>
      <c r="DS78" s="113"/>
      <c r="DT78" s="113"/>
      <c r="DU78" s="113"/>
      <c r="DV78" s="113"/>
      <c r="DW78" s="113"/>
      <c r="DX78" s="113"/>
      <c r="DY78" s="113"/>
      <c r="DZ78" s="113"/>
      <c r="EA78" s="113"/>
      <c r="EB78" s="113"/>
      <c r="EC78" s="113"/>
      <c r="ED78" s="113"/>
      <c r="EE78" s="113"/>
    </row>
    <row r="79" ht="19.5" customHeight="1">
      <c r="A79" s="84" t="str">
        <f>IF(Roster!$A$77&lt;&gt;"",Roster!$A$77,"")</f>
        <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c r="AO79" s="113"/>
      <c r="AP79" s="113"/>
      <c r="AQ79" s="113"/>
      <c r="AR79" s="113"/>
      <c r="AS79" s="113"/>
      <c r="AT79" s="113"/>
      <c r="AU79" s="113"/>
      <c r="AV79" s="113"/>
      <c r="AW79" s="113"/>
      <c r="AX79" s="113"/>
      <c r="AY79" s="113"/>
      <c r="AZ79" s="113"/>
      <c r="BA79" s="113"/>
      <c r="BB79" s="113"/>
      <c r="BC79" s="113"/>
      <c r="BD79" s="113"/>
      <c r="BE79" s="113"/>
      <c r="BF79" s="113"/>
      <c r="BG79" s="113"/>
      <c r="BH79" s="113"/>
      <c r="BI79" s="113"/>
      <c r="BJ79" s="113"/>
      <c r="BK79" s="113"/>
      <c r="BL79" s="113"/>
      <c r="BM79" s="113"/>
      <c r="BN79" s="113"/>
      <c r="BO79" s="113"/>
      <c r="BP79" s="113"/>
      <c r="BQ79" s="113"/>
      <c r="BR79" s="113"/>
      <c r="BS79" s="113"/>
      <c r="BT79" s="113"/>
      <c r="BU79" s="113"/>
      <c r="BV79" s="113"/>
      <c r="BW79" s="113"/>
      <c r="BX79" s="113"/>
      <c r="BY79" s="113"/>
      <c r="BZ79" s="113"/>
      <c r="CA79" s="113"/>
      <c r="CB79" s="113"/>
      <c r="CC79" s="113"/>
      <c r="CD79" s="113"/>
      <c r="CE79" s="113"/>
      <c r="CF79" s="113"/>
      <c r="CG79" s="113"/>
      <c r="CH79" s="113"/>
      <c r="CI79" s="113"/>
      <c r="CJ79" s="113"/>
      <c r="CK79" s="113"/>
      <c r="CL79" s="113"/>
      <c r="CM79" s="113"/>
      <c r="CN79" s="113"/>
      <c r="CO79" s="113"/>
      <c r="CP79" s="113"/>
      <c r="CQ79" s="113"/>
      <c r="CR79" s="113"/>
      <c r="CS79" s="113"/>
      <c r="CT79" s="113"/>
      <c r="CU79" s="113"/>
      <c r="CV79" s="113"/>
      <c r="CW79" s="113"/>
      <c r="CX79" s="113"/>
      <c r="CY79" s="113"/>
      <c r="CZ79" s="113"/>
      <c r="DA79" s="113"/>
      <c r="DB79" s="113"/>
      <c r="DC79" s="113"/>
      <c r="DD79" s="113"/>
      <c r="DE79" s="113"/>
      <c r="DF79" s="113"/>
      <c r="DG79" s="113"/>
      <c r="DH79" s="113"/>
      <c r="DI79" s="113"/>
      <c r="DJ79" s="113"/>
      <c r="DK79" s="113"/>
      <c r="DL79" s="113"/>
      <c r="DM79" s="113"/>
      <c r="DN79" s="113"/>
      <c r="DO79" s="113"/>
      <c r="DP79" s="113"/>
      <c r="DQ79" s="113"/>
      <c r="DR79" s="113"/>
      <c r="DS79" s="113"/>
      <c r="DT79" s="113"/>
      <c r="DU79" s="113"/>
      <c r="DV79" s="113"/>
      <c r="DW79" s="113"/>
      <c r="DX79" s="113"/>
      <c r="DY79" s="113"/>
      <c r="DZ79" s="113"/>
      <c r="EA79" s="113"/>
      <c r="EB79" s="113"/>
      <c r="EC79" s="113"/>
      <c r="ED79" s="113"/>
      <c r="EE79" s="113"/>
    </row>
    <row r="80" ht="19.5" customHeight="1">
      <c r="A80" s="84" t="str">
        <f>IF(Roster!$A$78&lt;&gt;"",Roster!$A$78,"")</f>
        <v/>
      </c>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c r="AO80" s="113"/>
      <c r="AP80" s="113"/>
      <c r="AQ80" s="113"/>
      <c r="AR80" s="113"/>
      <c r="AS80" s="113"/>
      <c r="AT80" s="113"/>
      <c r="AU80" s="113"/>
      <c r="AV80" s="113"/>
      <c r="AW80" s="113"/>
      <c r="AX80" s="113"/>
      <c r="AY80" s="113"/>
      <c r="AZ80" s="113"/>
      <c r="BA80" s="113"/>
      <c r="BB80" s="113"/>
      <c r="BC80" s="113"/>
      <c r="BD80" s="113"/>
      <c r="BE80" s="113"/>
      <c r="BF80" s="113"/>
      <c r="BG80" s="113"/>
      <c r="BH80" s="113"/>
      <c r="BI80" s="113"/>
      <c r="BJ80" s="113"/>
      <c r="BK80" s="113"/>
      <c r="BL80" s="113"/>
      <c r="BM80" s="113"/>
      <c r="BN80" s="113"/>
      <c r="BO80" s="113"/>
      <c r="BP80" s="113"/>
      <c r="BQ80" s="113"/>
      <c r="BR80" s="113"/>
      <c r="BS80" s="113"/>
      <c r="BT80" s="113"/>
      <c r="BU80" s="113"/>
      <c r="BV80" s="113"/>
      <c r="BW80" s="113"/>
      <c r="BX80" s="113"/>
      <c r="BY80" s="113"/>
      <c r="BZ80" s="113"/>
      <c r="CA80" s="113"/>
      <c r="CB80" s="113"/>
      <c r="CC80" s="113"/>
      <c r="CD80" s="113"/>
      <c r="CE80" s="113"/>
      <c r="CF80" s="113"/>
      <c r="CG80" s="113"/>
      <c r="CH80" s="113"/>
      <c r="CI80" s="113"/>
      <c r="CJ80" s="113"/>
      <c r="CK80" s="113"/>
      <c r="CL80" s="113"/>
      <c r="CM80" s="113"/>
      <c r="CN80" s="113"/>
      <c r="CO80" s="113"/>
      <c r="CP80" s="113"/>
      <c r="CQ80" s="113"/>
      <c r="CR80" s="113"/>
      <c r="CS80" s="113"/>
      <c r="CT80" s="113"/>
      <c r="CU80" s="113"/>
      <c r="CV80" s="113"/>
      <c r="CW80" s="113"/>
      <c r="CX80" s="113"/>
      <c r="CY80" s="113"/>
      <c r="CZ80" s="113"/>
      <c r="DA80" s="113"/>
      <c r="DB80" s="113"/>
      <c r="DC80" s="113"/>
      <c r="DD80" s="113"/>
      <c r="DE80" s="113"/>
      <c r="DF80" s="113"/>
      <c r="DG80" s="113"/>
      <c r="DH80" s="113"/>
      <c r="DI80" s="113"/>
      <c r="DJ80" s="113"/>
      <c r="DK80" s="113"/>
      <c r="DL80" s="113"/>
      <c r="DM80" s="113"/>
      <c r="DN80" s="113"/>
      <c r="DO80" s="113"/>
      <c r="DP80" s="113"/>
      <c r="DQ80" s="113"/>
      <c r="DR80" s="113"/>
      <c r="DS80" s="113"/>
      <c r="DT80" s="113"/>
      <c r="DU80" s="113"/>
      <c r="DV80" s="113"/>
      <c r="DW80" s="113"/>
      <c r="DX80" s="113"/>
      <c r="DY80" s="113"/>
      <c r="DZ80" s="113"/>
      <c r="EA80" s="113"/>
      <c r="EB80" s="113"/>
      <c r="EC80" s="113"/>
      <c r="ED80" s="113"/>
      <c r="EE80" s="113"/>
    </row>
    <row r="81" ht="19.5" customHeight="1">
      <c r="A81" s="84" t="str">
        <f>IF(Roster!$A$79&lt;&gt;"",Roster!$A$79,"")</f>
        <v/>
      </c>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c r="AO81" s="113"/>
      <c r="AP81" s="113"/>
      <c r="AQ81" s="113"/>
      <c r="AR81" s="113"/>
      <c r="AS81" s="113"/>
      <c r="AT81" s="113"/>
      <c r="AU81" s="113"/>
      <c r="AV81" s="113"/>
      <c r="AW81" s="113"/>
      <c r="AX81" s="113"/>
      <c r="AY81" s="113"/>
      <c r="AZ81" s="113"/>
      <c r="BA81" s="113"/>
      <c r="BB81" s="113"/>
      <c r="BC81" s="113"/>
      <c r="BD81" s="113"/>
      <c r="BE81" s="113"/>
      <c r="BF81" s="113"/>
      <c r="BG81" s="113"/>
      <c r="BH81" s="113"/>
      <c r="BI81" s="113"/>
      <c r="BJ81" s="113"/>
      <c r="BK81" s="113"/>
      <c r="BL81" s="113"/>
      <c r="BM81" s="113"/>
      <c r="BN81" s="113"/>
      <c r="BO81" s="113"/>
      <c r="BP81" s="113"/>
      <c r="BQ81" s="113"/>
      <c r="BR81" s="113"/>
      <c r="BS81" s="113"/>
      <c r="BT81" s="113"/>
      <c r="BU81" s="113"/>
      <c r="BV81" s="113"/>
      <c r="BW81" s="113"/>
      <c r="BX81" s="113"/>
      <c r="BY81" s="113"/>
      <c r="BZ81" s="113"/>
      <c r="CA81" s="113"/>
      <c r="CB81" s="113"/>
      <c r="CC81" s="113"/>
      <c r="CD81" s="113"/>
      <c r="CE81" s="113"/>
      <c r="CF81" s="113"/>
      <c r="CG81" s="113"/>
      <c r="CH81" s="113"/>
      <c r="CI81" s="113"/>
      <c r="CJ81" s="113"/>
      <c r="CK81" s="113"/>
      <c r="CL81" s="113"/>
      <c r="CM81" s="113"/>
      <c r="CN81" s="113"/>
      <c r="CO81" s="113"/>
      <c r="CP81" s="113"/>
      <c r="CQ81" s="113"/>
      <c r="CR81" s="113"/>
      <c r="CS81" s="113"/>
      <c r="CT81" s="113"/>
      <c r="CU81" s="113"/>
      <c r="CV81" s="113"/>
      <c r="CW81" s="113"/>
      <c r="CX81" s="113"/>
      <c r="CY81" s="113"/>
      <c r="CZ81" s="113"/>
      <c r="DA81" s="113"/>
      <c r="DB81" s="113"/>
      <c r="DC81" s="113"/>
      <c r="DD81" s="113"/>
      <c r="DE81" s="113"/>
      <c r="DF81" s="113"/>
      <c r="DG81" s="113"/>
      <c r="DH81" s="113"/>
      <c r="DI81" s="113"/>
      <c r="DJ81" s="113"/>
      <c r="DK81" s="113"/>
      <c r="DL81" s="113"/>
      <c r="DM81" s="113"/>
      <c r="DN81" s="113"/>
      <c r="DO81" s="113"/>
      <c r="DP81" s="113"/>
      <c r="DQ81" s="113"/>
      <c r="DR81" s="113"/>
      <c r="DS81" s="113"/>
      <c r="DT81" s="113"/>
      <c r="DU81" s="113"/>
      <c r="DV81" s="113"/>
      <c r="DW81" s="113"/>
      <c r="DX81" s="113"/>
      <c r="DY81" s="113"/>
      <c r="DZ81" s="113"/>
      <c r="EA81" s="113"/>
      <c r="EB81" s="113"/>
      <c r="EC81" s="113"/>
      <c r="ED81" s="113"/>
      <c r="EE81" s="113"/>
    </row>
    <row r="82" ht="19.5" customHeight="1">
      <c r="A82" s="84" t="str">
        <f>IF(Roster!$A$80&lt;&gt;"",Roster!$A$80,"")</f>
        <v/>
      </c>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c r="AO82" s="113"/>
      <c r="AP82" s="113"/>
      <c r="AQ82" s="113"/>
      <c r="AR82" s="113"/>
      <c r="AS82" s="113"/>
      <c r="AT82" s="113"/>
      <c r="AU82" s="113"/>
      <c r="AV82" s="113"/>
      <c r="AW82" s="113"/>
      <c r="AX82" s="113"/>
      <c r="AY82" s="113"/>
      <c r="AZ82" s="113"/>
      <c r="BA82" s="113"/>
      <c r="BB82" s="113"/>
      <c r="BC82" s="113"/>
      <c r="BD82" s="113"/>
      <c r="BE82" s="113"/>
      <c r="BF82" s="113"/>
      <c r="BG82" s="113"/>
      <c r="BH82" s="113"/>
      <c r="BI82" s="113"/>
      <c r="BJ82" s="113"/>
      <c r="BK82" s="113"/>
      <c r="BL82" s="113"/>
      <c r="BM82" s="113"/>
      <c r="BN82" s="113"/>
      <c r="BO82" s="113"/>
      <c r="BP82" s="113"/>
      <c r="BQ82" s="113"/>
      <c r="BR82" s="113"/>
      <c r="BS82" s="113"/>
      <c r="BT82" s="113"/>
      <c r="BU82" s="113"/>
      <c r="BV82" s="113"/>
      <c r="BW82" s="113"/>
      <c r="BX82" s="113"/>
      <c r="BY82" s="113"/>
      <c r="BZ82" s="113"/>
      <c r="CA82" s="113"/>
      <c r="CB82" s="113"/>
      <c r="CC82" s="113"/>
      <c r="CD82" s="113"/>
      <c r="CE82" s="113"/>
      <c r="CF82" s="113"/>
      <c r="CG82" s="113"/>
      <c r="CH82" s="113"/>
      <c r="CI82" s="113"/>
      <c r="CJ82" s="113"/>
      <c r="CK82" s="113"/>
      <c r="CL82" s="113"/>
      <c r="CM82" s="113"/>
      <c r="CN82" s="113"/>
      <c r="CO82" s="113"/>
      <c r="CP82" s="113"/>
      <c r="CQ82" s="113"/>
      <c r="CR82" s="113"/>
      <c r="CS82" s="113"/>
      <c r="CT82" s="113"/>
      <c r="CU82" s="113"/>
      <c r="CV82" s="113"/>
      <c r="CW82" s="113"/>
      <c r="CX82" s="113"/>
      <c r="CY82" s="113"/>
      <c r="CZ82" s="113"/>
      <c r="DA82" s="113"/>
      <c r="DB82" s="113"/>
      <c r="DC82" s="113"/>
      <c r="DD82" s="113"/>
      <c r="DE82" s="113"/>
      <c r="DF82" s="113"/>
      <c r="DG82" s="113"/>
      <c r="DH82" s="113"/>
      <c r="DI82" s="113"/>
      <c r="DJ82" s="113"/>
      <c r="DK82" s="113"/>
      <c r="DL82" s="113"/>
      <c r="DM82" s="113"/>
      <c r="DN82" s="113"/>
      <c r="DO82" s="113"/>
      <c r="DP82" s="113"/>
      <c r="DQ82" s="113"/>
      <c r="DR82" s="113"/>
      <c r="DS82" s="113"/>
      <c r="DT82" s="113"/>
      <c r="DU82" s="113"/>
      <c r="DV82" s="113"/>
      <c r="DW82" s="113"/>
      <c r="DX82" s="113"/>
      <c r="DY82" s="113"/>
      <c r="DZ82" s="113"/>
      <c r="EA82" s="113"/>
      <c r="EB82" s="113"/>
      <c r="EC82" s="113"/>
      <c r="ED82" s="113"/>
      <c r="EE82" s="113"/>
    </row>
    <row r="83" ht="19.5" customHeight="1">
      <c r="A83" s="84" t="str">
        <f>IF(Roster!$A$81&lt;&gt;"",Roster!$A$81,"")</f>
        <v/>
      </c>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c r="AO83" s="113"/>
      <c r="AP83" s="113"/>
      <c r="AQ83" s="113"/>
      <c r="AR83" s="113"/>
      <c r="AS83" s="113"/>
      <c r="AT83" s="113"/>
      <c r="AU83" s="113"/>
      <c r="AV83" s="113"/>
      <c r="AW83" s="113"/>
      <c r="AX83" s="113"/>
      <c r="AY83" s="113"/>
      <c r="AZ83" s="113"/>
      <c r="BA83" s="113"/>
      <c r="BB83" s="113"/>
      <c r="BC83" s="113"/>
      <c r="BD83" s="113"/>
      <c r="BE83" s="113"/>
      <c r="BF83" s="113"/>
      <c r="BG83" s="113"/>
      <c r="BH83" s="113"/>
      <c r="BI83" s="113"/>
      <c r="BJ83" s="113"/>
      <c r="BK83" s="113"/>
      <c r="BL83" s="113"/>
      <c r="BM83" s="113"/>
      <c r="BN83" s="113"/>
      <c r="BO83" s="113"/>
      <c r="BP83" s="113"/>
      <c r="BQ83" s="113"/>
      <c r="BR83" s="113"/>
      <c r="BS83" s="113"/>
      <c r="BT83" s="113"/>
      <c r="BU83" s="113"/>
      <c r="BV83" s="113"/>
      <c r="BW83" s="113"/>
      <c r="BX83" s="113"/>
      <c r="BY83" s="113"/>
      <c r="BZ83" s="113"/>
      <c r="CA83" s="113"/>
      <c r="CB83" s="113"/>
      <c r="CC83" s="113"/>
      <c r="CD83" s="113"/>
      <c r="CE83" s="113"/>
      <c r="CF83" s="113"/>
      <c r="CG83" s="113"/>
      <c r="CH83" s="113"/>
      <c r="CI83" s="113"/>
      <c r="CJ83" s="113"/>
      <c r="CK83" s="113"/>
      <c r="CL83" s="113"/>
      <c r="CM83" s="113"/>
      <c r="CN83" s="113"/>
      <c r="CO83" s="113"/>
      <c r="CP83" s="113"/>
      <c r="CQ83" s="113"/>
      <c r="CR83" s="113"/>
      <c r="CS83" s="113"/>
      <c r="CT83" s="113"/>
      <c r="CU83" s="113"/>
      <c r="CV83" s="113"/>
      <c r="CW83" s="113"/>
      <c r="CX83" s="113"/>
      <c r="CY83" s="113"/>
      <c r="CZ83" s="113"/>
      <c r="DA83" s="113"/>
      <c r="DB83" s="113"/>
      <c r="DC83" s="113"/>
      <c r="DD83" s="113"/>
      <c r="DE83" s="113"/>
      <c r="DF83" s="113"/>
      <c r="DG83" s="113"/>
      <c r="DH83" s="113"/>
      <c r="DI83" s="113"/>
      <c r="DJ83" s="113"/>
      <c r="DK83" s="113"/>
      <c r="DL83" s="113"/>
      <c r="DM83" s="113"/>
      <c r="DN83" s="113"/>
      <c r="DO83" s="113"/>
      <c r="DP83" s="113"/>
      <c r="DQ83" s="113"/>
      <c r="DR83" s="113"/>
      <c r="DS83" s="113"/>
      <c r="DT83" s="113"/>
      <c r="DU83" s="113"/>
      <c r="DV83" s="113"/>
      <c r="DW83" s="113"/>
      <c r="DX83" s="113"/>
      <c r="DY83" s="113"/>
      <c r="DZ83" s="113"/>
      <c r="EA83" s="113"/>
      <c r="EB83" s="113"/>
      <c r="EC83" s="113"/>
      <c r="ED83" s="113"/>
      <c r="EE83" s="113"/>
    </row>
    <row r="84" ht="19.5" customHeight="1">
      <c r="A84" s="84" t="str">
        <f>IF(Roster!$A$82&lt;&gt;"",Roster!$A$82,"")</f>
        <v/>
      </c>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c r="AO84" s="113"/>
      <c r="AP84" s="113"/>
      <c r="AQ84" s="113"/>
      <c r="AR84" s="113"/>
      <c r="AS84" s="113"/>
      <c r="AT84" s="113"/>
      <c r="AU84" s="113"/>
      <c r="AV84" s="113"/>
      <c r="AW84" s="113"/>
      <c r="AX84" s="113"/>
      <c r="AY84" s="113"/>
      <c r="AZ84" s="113"/>
      <c r="BA84" s="113"/>
      <c r="BB84" s="113"/>
      <c r="BC84" s="113"/>
      <c r="BD84" s="113"/>
      <c r="BE84" s="113"/>
      <c r="BF84" s="113"/>
      <c r="BG84" s="113"/>
      <c r="BH84" s="113"/>
      <c r="BI84" s="113"/>
      <c r="BJ84" s="113"/>
      <c r="BK84" s="113"/>
      <c r="BL84" s="113"/>
      <c r="BM84" s="113"/>
      <c r="BN84" s="113"/>
      <c r="BO84" s="113"/>
      <c r="BP84" s="113"/>
      <c r="BQ84" s="113"/>
      <c r="BR84" s="113"/>
      <c r="BS84" s="113"/>
      <c r="BT84" s="113"/>
      <c r="BU84" s="113"/>
      <c r="BV84" s="113"/>
      <c r="BW84" s="113"/>
      <c r="BX84" s="113"/>
      <c r="BY84" s="113"/>
      <c r="BZ84" s="113"/>
      <c r="CA84" s="113"/>
      <c r="CB84" s="113"/>
      <c r="CC84" s="113"/>
      <c r="CD84" s="113"/>
      <c r="CE84" s="113"/>
      <c r="CF84" s="113"/>
      <c r="CG84" s="113"/>
      <c r="CH84" s="113"/>
      <c r="CI84" s="113"/>
      <c r="CJ84" s="113"/>
      <c r="CK84" s="113"/>
      <c r="CL84" s="113"/>
      <c r="CM84" s="113"/>
      <c r="CN84" s="113"/>
      <c r="CO84" s="113"/>
      <c r="CP84" s="113"/>
      <c r="CQ84" s="113"/>
      <c r="CR84" s="113"/>
      <c r="CS84" s="113"/>
      <c r="CT84" s="113"/>
      <c r="CU84" s="113"/>
      <c r="CV84" s="113"/>
      <c r="CW84" s="113"/>
      <c r="CX84" s="113"/>
      <c r="CY84" s="113"/>
      <c r="CZ84" s="113"/>
      <c r="DA84" s="113"/>
      <c r="DB84" s="113"/>
      <c r="DC84" s="113"/>
      <c r="DD84" s="113"/>
      <c r="DE84" s="113"/>
      <c r="DF84" s="113"/>
      <c r="DG84" s="113"/>
      <c r="DH84" s="113"/>
      <c r="DI84" s="113"/>
      <c r="DJ84" s="113"/>
      <c r="DK84" s="113"/>
      <c r="DL84" s="113"/>
      <c r="DM84" s="113"/>
      <c r="DN84" s="113"/>
      <c r="DO84" s="113"/>
      <c r="DP84" s="113"/>
      <c r="DQ84" s="113"/>
      <c r="DR84" s="113"/>
      <c r="DS84" s="113"/>
      <c r="DT84" s="113"/>
      <c r="DU84" s="113"/>
      <c r="DV84" s="113"/>
      <c r="DW84" s="113"/>
      <c r="DX84" s="113"/>
      <c r="DY84" s="113"/>
      <c r="DZ84" s="113"/>
      <c r="EA84" s="113"/>
      <c r="EB84" s="113"/>
      <c r="EC84" s="113"/>
      <c r="ED84" s="113"/>
      <c r="EE84" s="113"/>
    </row>
    <row r="85" ht="19.5" customHeight="1">
      <c r="A85" s="84" t="str">
        <f>IF(Roster!$A$83&lt;&gt;"",Roster!$A$83,"")</f>
        <v/>
      </c>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c r="AO85" s="113"/>
      <c r="AP85" s="113"/>
      <c r="AQ85" s="113"/>
      <c r="AR85" s="113"/>
      <c r="AS85" s="113"/>
      <c r="AT85" s="113"/>
      <c r="AU85" s="113"/>
      <c r="AV85" s="113"/>
      <c r="AW85" s="113"/>
      <c r="AX85" s="113"/>
      <c r="AY85" s="113"/>
      <c r="AZ85" s="113"/>
      <c r="BA85" s="113"/>
      <c r="BB85" s="113"/>
      <c r="BC85" s="113"/>
      <c r="BD85" s="113"/>
      <c r="BE85" s="113"/>
      <c r="BF85" s="113"/>
      <c r="BG85" s="113"/>
      <c r="BH85" s="113"/>
      <c r="BI85" s="113"/>
      <c r="BJ85" s="113"/>
      <c r="BK85" s="113"/>
      <c r="BL85" s="113"/>
      <c r="BM85" s="113"/>
      <c r="BN85" s="113"/>
      <c r="BO85" s="113"/>
      <c r="BP85" s="113"/>
      <c r="BQ85" s="113"/>
      <c r="BR85" s="113"/>
      <c r="BS85" s="113"/>
      <c r="BT85" s="113"/>
      <c r="BU85" s="113"/>
      <c r="BV85" s="113"/>
      <c r="BW85" s="113"/>
      <c r="BX85" s="113"/>
      <c r="BY85" s="113"/>
      <c r="BZ85" s="113"/>
      <c r="CA85" s="113"/>
      <c r="CB85" s="113"/>
      <c r="CC85" s="113"/>
      <c r="CD85" s="113"/>
      <c r="CE85" s="113"/>
      <c r="CF85" s="113"/>
      <c r="CG85" s="113"/>
      <c r="CH85" s="113"/>
      <c r="CI85" s="113"/>
      <c r="CJ85" s="113"/>
      <c r="CK85" s="113"/>
      <c r="CL85" s="113"/>
      <c r="CM85" s="113"/>
      <c r="CN85" s="113"/>
      <c r="CO85" s="113"/>
      <c r="CP85" s="113"/>
      <c r="CQ85" s="113"/>
      <c r="CR85" s="113"/>
      <c r="CS85" s="113"/>
      <c r="CT85" s="113"/>
      <c r="CU85" s="113"/>
      <c r="CV85" s="113"/>
      <c r="CW85" s="113"/>
      <c r="CX85" s="113"/>
      <c r="CY85" s="113"/>
      <c r="CZ85" s="113"/>
      <c r="DA85" s="113"/>
      <c r="DB85" s="113"/>
      <c r="DC85" s="113"/>
      <c r="DD85" s="113"/>
      <c r="DE85" s="113"/>
      <c r="DF85" s="113"/>
      <c r="DG85" s="113"/>
      <c r="DH85" s="113"/>
      <c r="DI85" s="113"/>
      <c r="DJ85" s="113"/>
      <c r="DK85" s="113"/>
      <c r="DL85" s="113"/>
      <c r="DM85" s="113"/>
      <c r="DN85" s="113"/>
      <c r="DO85" s="113"/>
      <c r="DP85" s="113"/>
      <c r="DQ85" s="113"/>
      <c r="DR85" s="113"/>
      <c r="DS85" s="113"/>
      <c r="DT85" s="113"/>
      <c r="DU85" s="113"/>
      <c r="DV85" s="113"/>
      <c r="DW85" s="113"/>
      <c r="DX85" s="113"/>
      <c r="DY85" s="113"/>
      <c r="DZ85" s="113"/>
      <c r="EA85" s="113"/>
      <c r="EB85" s="113"/>
      <c r="EC85" s="113"/>
      <c r="ED85" s="113"/>
      <c r="EE85" s="113"/>
    </row>
    <row r="86" ht="19.5" customHeight="1">
      <c r="A86" s="84" t="str">
        <f>IF(Roster!$A$84&lt;&gt;"",Roster!$A$84,"")</f>
        <v/>
      </c>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c r="AO86" s="113"/>
      <c r="AP86" s="113"/>
      <c r="AQ86" s="113"/>
      <c r="AR86" s="113"/>
      <c r="AS86" s="113"/>
      <c r="AT86" s="113"/>
      <c r="AU86" s="113"/>
      <c r="AV86" s="113"/>
      <c r="AW86" s="113"/>
      <c r="AX86" s="113"/>
      <c r="AY86" s="113"/>
      <c r="AZ86" s="113"/>
      <c r="BA86" s="113"/>
      <c r="BB86" s="113"/>
      <c r="BC86" s="113"/>
      <c r="BD86" s="113"/>
      <c r="BE86" s="113"/>
      <c r="BF86" s="113"/>
      <c r="BG86" s="113"/>
      <c r="BH86" s="113"/>
      <c r="BI86" s="113"/>
      <c r="BJ86" s="113"/>
      <c r="BK86" s="113"/>
      <c r="BL86" s="113"/>
      <c r="BM86" s="113"/>
      <c r="BN86" s="113"/>
      <c r="BO86" s="113"/>
      <c r="BP86" s="113"/>
      <c r="BQ86" s="113"/>
      <c r="BR86" s="113"/>
      <c r="BS86" s="113"/>
      <c r="BT86" s="113"/>
      <c r="BU86" s="113"/>
      <c r="BV86" s="113"/>
      <c r="BW86" s="113"/>
      <c r="BX86" s="113"/>
      <c r="BY86" s="113"/>
      <c r="BZ86" s="113"/>
      <c r="CA86" s="113"/>
      <c r="CB86" s="113"/>
      <c r="CC86" s="113"/>
      <c r="CD86" s="113"/>
      <c r="CE86" s="113"/>
      <c r="CF86" s="113"/>
      <c r="CG86" s="113"/>
      <c r="CH86" s="113"/>
      <c r="CI86" s="113"/>
      <c r="CJ86" s="113"/>
      <c r="CK86" s="113"/>
      <c r="CL86" s="113"/>
      <c r="CM86" s="113"/>
      <c r="CN86" s="113"/>
      <c r="CO86" s="113"/>
      <c r="CP86" s="113"/>
      <c r="CQ86" s="113"/>
      <c r="CR86" s="113"/>
      <c r="CS86" s="113"/>
      <c r="CT86" s="113"/>
      <c r="CU86" s="113"/>
      <c r="CV86" s="113"/>
      <c r="CW86" s="113"/>
      <c r="CX86" s="113"/>
      <c r="CY86" s="113"/>
      <c r="CZ86" s="113"/>
      <c r="DA86" s="113"/>
      <c r="DB86" s="113"/>
      <c r="DC86" s="113"/>
      <c r="DD86" s="113"/>
      <c r="DE86" s="113"/>
      <c r="DF86" s="113"/>
      <c r="DG86" s="113"/>
      <c r="DH86" s="113"/>
      <c r="DI86" s="113"/>
      <c r="DJ86" s="113"/>
      <c r="DK86" s="113"/>
      <c r="DL86" s="113"/>
      <c r="DM86" s="113"/>
      <c r="DN86" s="113"/>
      <c r="DO86" s="113"/>
      <c r="DP86" s="113"/>
      <c r="DQ86" s="113"/>
      <c r="DR86" s="113"/>
      <c r="DS86" s="113"/>
      <c r="DT86" s="113"/>
      <c r="DU86" s="113"/>
      <c r="DV86" s="113"/>
      <c r="DW86" s="113"/>
      <c r="DX86" s="113"/>
      <c r="DY86" s="113"/>
      <c r="DZ86" s="113"/>
      <c r="EA86" s="113"/>
      <c r="EB86" s="113"/>
      <c r="EC86" s="113"/>
      <c r="ED86" s="113"/>
      <c r="EE86" s="113"/>
    </row>
    <row r="87" ht="19.5" customHeight="1">
      <c r="A87" s="84" t="str">
        <f>IF(Roster!$A$85&lt;&gt;"",Roster!$A$85,"")</f>
        <v/>
      </c>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c r="AO87" s="113"/>
      <c r="AP87" s="113"/>
      <c r="AQ87" s="113"/>
      <c r="AR87" s="113"/>
      <c r="AS87" s="113"/>
      <c r="AT87" s="113"/>
      <c r="AU87" s="113"/>
      <c r="AV87" s="113"/>
      <c r="AW87" s="113"/>
      <c r="AX87" s="113"/>
      <c r="AY87" s="113"/>
      <c r="AZ87" s="113"/>
      <c r="BA87" s="113"/>
      <c r="BB87" s="113"/>
      <c r="BC87" s="113"/>
      <c r="BD87" s="113"/>
      <c r="BE87" s="113"/>
      <c r="BF87" s="113"/>
      <c r="BG87" s="113"/>
      <c r="BH87" s="113"/>
      <c r="BI87" s="113"/>
      <c r="BJ87" s="113"/>
      <c r="BK87" s="113"/>
      <c r="BL87" s="113"/>
      <c r="BM87" s="113"/>
      <c r="BN87" s="113"/>
      <c r="BO87" s="113"/>
      <c r="BP87" s="113"/>
      <c r="BQ87" s="113"/>
      <c r="BR87" s="113"/>
      <c r="BS87" s="113"/>
      <c r="BT87" s="113"/>
      <c r="BU87" s="113"/>
      <c r="BV87" s="113"/>
      <c r="BW87" s="113"/>
      <c r="BX87" s="113"/>
      <c r="BY87" s="113"/>
      <c r="BZ87" s="113"/>
      <c r="CA87" s="113"/>
      <c r="CB87" s="113"/>
      <c r="CC87" s="113"/>
      <c r="CD87" s="113"/>
      <c r="CE87" s="113"/>
      <c r="CF87" s="113"/>
      <c r="CG87" s="113"/>
      <c r="CH87" s="113"/>
      <c r="CI87" s="113"/>
      <c r="CJ87" s="113"/>
      <c r="CK87" s="113"/>
      <c r="CL87" s="113"/>
      <c r="CM87" s="113"/>
      <c r="CN87" s="113"/>
      <c r="CO87" s="113"/>
      <c r="CP87" s="113"/>
      <c r="CQ87" s="113"/>
      <c r="CR87" s="113"/>
      <c r="CS87" s="113"/>
      <c r="CT87" s="113"/>
      <c r="CU87" s="113"/>
      <c r="CV87" s="113"/>
      <c r="CW87" s="113"/>
      <c r="CX87" s="113"/>
      <c r="CY87" s="113"/>
      <c r="CZ87" s="113"/>
      <c r="DA87" s="113"/>
      <c r="DB87" s="113"/>
      <c r="DC87" s="113"/>
      <c r="DD87" s="113"/>
      <c r="DE87" s="113"/>
      <c r="DF87" s="113"/>
      <c r="DG87" s="113"/>
      <c r="DH87" s="113"/>
      <c r="DI87" s="113"/>
      <c r="DJ87" s="113"/>
      <c r="DK87" s="113"/>
      <c r="DL87" s="113"/>
      <c r="DM87" s="113"/>
      <c r="DN87" s="113"/>
      <c r="DO87" s="113"/>
      <c r="DP87" s="113"/>
      <c r="DQ87" s="113"/>
      <c r="DR87" s="113"/>
      <c r="DS87" s="113"/>
      <c r="DT87" s="113"/>
      <c r="DU87" s="113"/>
      <c r="DV87" s="113"/>
      <c r="DW87" s="113"/>
      <c r="DX87" s="113"/>
      <c r="DY87" s="113"/>
      <c r="DZ87" s="113"/>
      <c r="EA87" s="113"/>
      <c r="EB87" s="113"/>
      <c r="EC87" s="113"/>
      <c r="ED87" s="113"/>
      <c r="EE87" s="113"/>
    </row>
    <row r="88" ht="19.5" customHeight="1">
      <c r="A88" s="84" t="str">
        <f>IF(Roster!$A$86&lt;&gt;"",Roster!$A$86,"")</f>
        <v/>
      </c>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c r="AO88" s="113"/>
      <c r="AP88" s="113"/>
      <c r="AQ88" s="113"/>
      <c r="AR88" s="113"/>
      <c r="AS88" s="113"/>
      <c r="AT88" s="113"/>
      <c r="AU88" s="113"/>
      <c r="AV88" s="113"/>
      <c r="AW88" s="113"/>
      <c r="AX88" s="113"/>
      <c r="AY88" s="113"/>
      <c r="AZ88" s="113"/>
      <c r="BA88" s="113"/>
      <c r="BB88" s="113"/>
      <c r="BC88" s="113"/>
      <c r="BD88" s="113"/>
      <c r="BE88" s="113"/>
      <c r="BF88" s="113"/>
      <c r="BG88" s="113"/>
      <c r="BH88" s="113"/>
      <c r="BI88" s="113"/>
      <c r="BJ88" s="113"/>
      <c r="BK88" s="113"/>
      <c r="BL88" s="113"/>
      <c r="BM88" s="113"/>
      <c r="BN88" s="113"/>
      <c r="BO88" s="113"/>
      <c r="BP88" s="113"/>
      <c r="BQ88" s="113"/>
      <c r="BR88" s="113"/>
      <c r="BS88" s="113"/>
      <c r="BT88" s="113"/>
      <c r="BU88" s="113"/>
      <c r="BV88" s="113"/>
      <c r="BW88" s="113"/>
      <c r="BX88" s="113"/>
      <c r="BY88" s="113"/>
      <c r="BZ88" s="113"/>
      <c r="CA88" s="113"/>
      <c r="CB88" s="113"/>
      <c r="CC88" s="113"/>
      <c r="CD88" s="113"/>
      <c r="CE88" s="113"/>
      <c r="CF88" s="113"/>
      <c r="CG88" s="113"/>
      <c r="CH88" s="113"/>
      <c r="CI88" s="113"/>
      <c r="CJ88" s="113"/>
      <c r="CK88" s="113"/>
      <c r="CL88" s="113"/>
      <c r="CM88" s="113"/>
      <c r="CN88" s="113"/>
      <c r="CO88" s="113"/>
      <c r="CP88" s="113"/>
      <c r="CQ88" s="113"/>
      <c r="CR88" s="113"/>
      <c r="CS88" s="113"/>
      <c r="CT88" s="113"/>
      <c r="CU88" s="113"/>
      <c r="CV88" s="113"/>
      <c r="CW88" s="113"/>
      <c r="CX88" s="113"/>
      <c r="CY88" s="113"/>
      <c r="CZ88" s="113"/>
      <c r="DA88" s="113"/>
      <c r="DB88" s="113"/>
      <c r="DC88" s="113"/>
      <c r="DD88" s="113"/>
      <c r="DE88" s="113"/>
      <c r="DF88" s="113"/>
      <c r="DG88" s="113"/>
      <c r="DH88" s="113"/>
      <c r="DI88" s="113"/>
      <c r="DJ88" s="113"/>
      <c r="DK88" s="113"/>
      <c r="DL88" s="113"/>
      <c r="DM88" s="113"/>
      <c r="DN88" s="113"/>
      <c r="DO88" s="113"/>
      <c r="DP88" s="113"/>
      <c r="DQ88" s="113"/>
      <c r="DR88" s="113"/>
      <c r="DS88" s="113"/>
      <c r="DT88" s="113"/>
      <c r="DU88" s="113"/>
      <c r="DV88" s="113"/>
      <c r="DW88" s="113"/>
      <c r="DX88" s="113"/>
      <c r="DY88" s="113"/>
      <c r="DZ88" s="113"/>
      <c r="EA88" s="113"/>
      <c r="EB88" s="113"/>
      <c r="EC88" s="113"/>
      <c r="ED88" s="113"/>
      <c r="EE88" s="113"/>
    </row>
    <row r="89" ht="19.5" customHeight="1">
      <c r="A89" s="84" t="str">
        <f>IF(Roster!$A$87&lt;&gt;"",Roster!$A$87,"")</f>
        <v/>
      </c>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c r="AO89" s="113"/>
      <c r="AP89" s="113"/>
      <c r="AQ89" s="113"/>
      <c r="AR89" s="113"/>
      <c r="AS89" s="113"/>
      <c r="AT89" s="113"/>
      <c r="AU89" s="113"/>
      <c r="AV89" s="113"/>
      <c r="AW89" s="113"/>
      <c r="AX89" s="113"/>
      <c r="AY89" s="113"/>
      <c r="AZ89" s="113"/>
      <c r="BA89" s="113"/>
      <c r="BB89" s="113"/>
      <c r="BC89" s="113"/>
      <c r="BD89" s="113"/>
      <c r="BE89" s="113"/>
      <c r="BF89" s="113"/>
      <c r="BG89" s="113"/>
      <c r="BH89" s="113"/>
      <c r="BI89" s="113"/>
      <c r="BJ89" s="113"/>
      <c r="BK89" s="113"/>
      <c r="BL89" s="113"/>
      <c r="BM89" s="113"/>
      <c r="BN89" s="113"/>
      <c r="BO89" s="113"/>
      <c r="BP89" s="113"/>
      <c r="BQ89" s="113"/>
      <c r="BR89" s="113"/>
      <c r="BS89" s="113"/>
      <c r="BT89" s="113"/>
      <c r="BU89" s="113"/>
      <c r="BV89" s="113"/>
      <c r="BW89" s="113"/>
      <c r="BX89" s="113"/>
      <c r="BY89" s="113"/>
      <c r="BZ89" s="113"/>
      <c r="CA89" s="113"/>
      <c r="CB89" s="113"/>
      <c r="CC89" s="113"/>
      <c r="CD89" s="113"/>
      <c r="CE89" s="113"/>
      <c r="CF89" s="113"/>
      <c r="CG89" s="113"/>
      <c r="CH89" s="113"/>
      <c r="CI89" s="113"/>
      <c r="CJ89" s="113"/>
      <c r="CK89" s="113"/>
      <c r="CL89" s="113"/>
      <c r="CM89" s="113"/>
      <c r="CN89" s="113"/>
      <c r="CO89" s="113"/>
      <c r="CP89" s="113"/>
      <c r="CQ89" s="113"/>
      <c r="CR89" s="113"/>
      <c r="CS89" s="113"/>
      <c r="CT89" s="113"/>
      <c r="CU89" s="113"/>
      <c r="CV89" s="113"/>
      <c r="CW89" s="113"/>
      <c r="CX89" s="113"/>
      <c r="CY89" s="113"/>
      <c r="CZ89" s="113"/>
      <c r="DA89" s="113"/>
      <c r="DB89" s="113"/>
      <c r="DC89" s="113"/>
      <c r="DD89" s="113"/>
      <c r="DE89" s="113"/>
      <c r="DF89" s="113"/>
      <c r="DG89" s="113"/>
      <c r="DH89" s="113"/>
      <c r="DI89" s="113"/>
      <c r="DJ89" s="113"/>
      <c r="DK89" s="113"/>
      <c r="DL89" s="113"/>
      <c r="DM89" s="113"/>
      <c r="DN89" s="113"/>
      <c r="DO89" s="113"/>
      <c r="DP89" s="113"/>
      <c r="DQ89" s="113"/>
      <c r="DR89" s="113"/>
      <c r="DS89" s="113"/>
      <c r="DT89" s="113"/>
      <c r="DU89" s="113"/>
      <c r="DV89" s="113"/>
      <c r="DW89" s="113"/>
      <c r="DX89" s="113"/>
      <c r="DY89" s="113"/>
      <c r="DZ89" s="113"/>
      <c r="EA89" s="113"/>
      <c r="EB89" s="113"/>
      <c r="EC89" s="113"/>
      <c r="ED89" s="113"/>
      <c r="EE89" s="113"/>
    </row>
    <row r="90" ht="19.5" customHeight="1">
      <c r="A90" s="84" t="str">
        <f>IF(Roster!$A$88&lt;&gt;"",Roster!$A$88,"")</f>
        <v/>
      </c>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c r="AO90" s="113"/>
      <c r="AP90" s="113"/>
      <c r="AQ90" s="113"/>
      <c r="AR90" s="113"/>
      <c r="AS90" s="113"/>
      <c r="AT90" s="113"/>
      <c r="AU90" s="113"/>
      <c r="AV90" s="113"/>
      <c r="AW90" s="113"/>
      <c r="AX90" s="113"/>
      <c r="AY90" s="113"/>
      <c r="AZ90" s="113"/>
      <c r="BA90" s="113"/>
      <c r="BB90" s="113"/>
      <c r="BC90" s="113"/>
      <c r="BD90" s="113"/>
      <c r="BE90" s="113"/>
      <c r="BF90" s="113"/>
      <c r="BG90" s="113"/>
      <c r="BH90" s="113"/>
      <c r="BI90" s="113"/>
      <c r="BJ90" s="113"/>
      <c r="BK90" s="113"/>
      <c r="BL90" s="113"/>
      <c r="BM90" s="113"/>
      <c r="BN90" s="113"/>
      <c r="BO90" s="113"/>
      <c r="BP90" s="113"/>
      <c r="BQ90" s="113"/>
      <c r="BR90" s="113"/>
      <c r="BS90" s="113"/>
      <c r="BT90" s="113"/>
      <c r="BU90" s="113"/>
      <c r="BV90" s="113"/>
      <c r="BW90" s="113"/>
      <c r="BX90" s="113"/>
      <c r="BY90" s="113"/>
      <c r="BZ90" s="113"/>
      <c r="CA90" s="113"/>
      <c r="CB90" s="113"/>
      <c r="CC90" s="113"/>
      <c r="CD90" s="113"/>
      <c r="CE90" s="113"/>
      <c r="CF90" s="113"/>
      <c r="CG90" s="113"/>
      <c r="CH90" s="113"/>
      <c r="CI90" s="113"/>
      <c r="CJ90" s="113"/>
      <c r="CK90" s="113"/>
      <c r="CL90" s="113"/>
      <c r="CM90" s="113"/>
      <c r="CN90" s="113"/>
      <c r="CO90" s="113"/>
      <c r="CP90" s="113"/>
      <c r="CQ90" s="113"/>
      <c r="CR90" s="113"/>
      <c r="CS90" s="113"/>
      <c r="CT90" s="113"/>
      <c r="CU90" s="113"/>
      <c r="CV90" s="113"/>
      <c r="CW90" s="113"/>
      <c r="CX90" s="113"/>
      <c r="CY90" s="113"/>
      <c r="CZ90" s="113"/>
      <c r="DA90" s="113"/>
      <c r="DB90" s="113"/>
      <c r="DC90" s="113"/>
      <c r="DD90" s="113"/>
      <c r="DE90" s="113"/>
      <c r="DF90" s="113"/>
      <c r="DG90" s="113"/>
      <c r="DH90" s="113"/>
      <c r="DI90" s="113"/>
      <c r="DJ90" s="113"/>
      <c r="DK90" s="113"/>
      <c r="DL90" s="113"/>
      <c r="DM90" s="113"/>
      <c r="DN90" s="113"/>
      <c r="DO90" s="113"/>
      <c r="DP90" s="113"/>
      <c r="DQ90" s="113"/>
      <c r="DR90" s="113"/>
      <c r="DS90" s="113"/>
      <c r="DT90" s="113"/>
      <c r="DU90" s="113"/>
      <c r="DV90" s="113"/>
      <c r="DW90" s="113"/>
      <c r="DX90" s="113"/>
      <c r="DY90" s="113"/>
      <c r="DZ90" s="113"/>
      <c r="EA90" s="113"/>
      <c r="EB90" s="113"/>
      <c r="EC90" s="113"/>
      <c r="ED90" s="113"/>
      <c r="EE90" s="113"/>
    </row>
    <row r="91" ht="19.5" customHeight="1">
      <c r="A91" s="84" t="str">
        <f>IF(Roster!$A$89&lt;&gt;"",Roster!$A$89,"")</f>
        <v/>
      </c>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c r="AO91" s="113"/>
      <c r="AP91" s="113"/>
      <c r="AQ91" s="113"/>
      <c r="AR91" s="113"/>
      <c r="AS91" s="113"/>
      <c r="AT91" s="113"/>
      <c r="AU91" s="113"/>
      <c r="AV91" s="113"/>
      <c r="AW91" s="113"/>
      <c r="AX91" s="113"/>
      <c r="AY91" s="113"/>
      <c r="AZ91" s="113"/>
      <c r="BA91" s="113"/>
      <c r="BB91" s="113"/>
      <c r="BC91" s="113"/>
      <c r="BD91" s="113"/>
      <c r="BE91" s="113"/>
      <c r="BF91" s="113"/>
      <c r="BG91" s="113"/>
      <c r="BH91" s="113"/>
      <c r="BI91" s="113"/>
      <c r="BJ91" s="113"/>
      <c r="BK91" s="113"/>
      <c r="BL91" s="113"/>
      <c r="BM91" s="113"/>
      <c r="BN91" s="113"/>
      <c r="BO91" s="113"/>
      <c r="BP91" s="113"/>
      <c r="BQ91" s="113"/>
      <c r="BR91" s="113"/>
      <c r="BS91" s="113"/>
      <c r="BT91" s="113"/>
      <c r="BU91" s="113"/>
      <c r="BV91" s="113"/>
      <c r="BW91" s="113"/>
      <c r="BX91" s="113"/>
      <c r="BY91" s="113"/>
      <c r="BZ91" s="113"/>
      <c r="CA91" s="113"/>
      <c r="CB91" s="113"/>
      <c r="CC91" s="113"/>
      <c r="CD91" s="113"/>
      <c r="CE91" s="113"/>
      <c r="CF91" s="113"/>
      <c r="CG91" s="113"/>
      <c r="CH91" s="113"/>
      <c r="CI91" s="113"/>
      <c r="CJ91" s="113"/>
      <c r="CK91" s="113"/>
      <c r="CL91" s="113"/>
      <c r="CM91" s="113"/>
      <c r="CN91" s="113"/>
      <c r="CO91" s="113"/>
      <c r="CP91" s="113"/>
      <c r="CQ91" s="113"/>
      <c r="CR91" s="113"/>
      <c r="CS91" s="113"/>
      <c r="CT91" s="113"/>
      <c r="CU91" s="113"/>
      <c r="CV91" s="113"/>
      <c r="CW91" s="113"/>
      <c r="CX91" s="113"/>
      <c r="CY91" s="113"/>
      <c r="CZ91" s="113"/>
      <c r="DA91" s="113"/>
      <c r="DB91" s="113"/>
      <c r="DC91" s="113"/>
      <c r="DD91" s="113"/>
      <c r="DE91" s="113"/>
      <c r="DF91" s="113"/>
      <c r="DG91" s="113"/>
      <c r="DH91" s="113"/>
      <c r="DI91" s="113"/>
      <c r="DJ91" s="113"/>
      <c r="DK91" s="113"/>
      <c r="DL91" s="113"/>
      <c r="DM91" s="113"/>
      <c r="DN91" s="113"/>
      <c r="DO91" s="113"/>
      <c r="DP91" s="113"/>
      <c r="DQ91" s="113"/>
      <c r="DR91" s="113"/>
      <c r="DS91" s="113"/>
      <c r="DT91" s="113"/>
      <c r="DU91" s="113"/>
      <c r="DV91" s="113"/>
      <c r="DW91" s="113"/>
      <c r="DX91" s="113"/>
      <c r="DY91" s="113"/>
      <c r="DZ91" s="113"/>
      <c r="EA91" s="113"/>
      <c r="EB91" s="113"/>
      <c r="EC91" s="113"/>
      <c r="ED91" s="113"/>
      <c r="EE91" s="113"/>
    </row>
    <row r="92" ht="19.5" customHeight="1">
      <c r="A92" s="84" t="str">
        <f>IF(Roster!$A$90&lt;&gt;"",Roster!$A$90,"")</f>
        <v/>
      </c>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c r="AO92" s="113"/>
      <c r="AP92" s="113"/>
      <c r="AQ92" s="113"/>
      <c r="AR92" s="113"/>
      <c r="AS92" s="113"/>
      <c r="AT92" s="113"/>
      <c r="AU92" s="113"/>
      <c r="AV92" s="113"/>
      <c r="AW92" s="113"/>
      <c r="AX92" s="113"/>
      <c r="AY92" s="113"/>
      <c r="AZ92" s="113"/>
      <c r="BA92" s="113"/>
      <c r="BB92" s="113"/>
      <c r="BC92" s="113"/>
      <c r="BD92" s="113"/>
      <c r="BE92" s="113"/>
      <c r="BF92" s="113"/>
      <c r="BG92" s="113"/>
      <c r="BH92" s="113"/>
      <c r="BI92" s="113"/>
      <c r="BJ92" s="113"/>
      <c r="BK92" s="113"/>
      <c r="BL92" s="113"/>
      <c r="BM92" s="113"/>
      <c r="BN92" s="113"/>
      <c r="BO92" s="113"/>
      <c r="BP92" s="113"/>
      <c r="BQ92" s="113"/>
      <c r="BR92" s="113"/>
      <c r="BS92" s="113"/>
      <c r="BT92" s="113"/>
      <c r="BU92" s="113"/>
      <c r="BV92" s="113"/>
      <c r="BW92" s="113"/>
      <c r="BX92" s="113"/>
      <c r="BY92" s="113"/>
      <c r="BZ92" s="113"/>
      <c r="CA92" s="113"/>
      <c r="CB92" s="113"/>
      <c r="CC92" s="113"/>
      <c r="CD92" s="113"/>
      <c r="CE92" s="113"/>
      <c r="CF92" s="113"/>
      <c r="CG92" s="113"/>
      <c r="CH92" s="113"/>
      <c r="CI92" s="113"/>
      <c r="CJ92" s="113"/>
      <c r="CK92" s="113"/>
      <c r="CL92" s="113"/>
      <c r="CM92" s="113"/>
      <c r="CN92" s="113"/>
      <c r="CO92" s="113"/>
      <c r="CP92" s="113"/>
      <c r="CQ92" s="113"/>
      <c r="CR92" s="113"/>
      <c r="CS92" s="113"/>
      <c r="CT92" s="113"/>
      <c r="CU92" s="113"/>
      <c r="CV92" s="113"/>
      <c r="CW92" s="113"/>
      <c r="CX92" s="113"/>
      <c r="CY92" s="113"/>
      <c r="CZ92" s="113"/>
      <c r="DA92" s="113"/>
      <c r="DB92" s="113"/>
      <c r="DC92" s="113"/>
      <c r="DD92" s="113"/>
      <c r="DE92" s="113"/>
      <c r="DF92" s="113"/>
      <c r="DG92" s="113"/>
      <c r="DH92" s="113"/>
      <c r="DI92" s="113"/>
      <c r="DJ92" s="113"/>
      <c r="DK92" s="113"/>
      <c r="DL92" s="113"/>
      <c r="DM92" s="113"/>
      <c r="DN92" s="113"/>
      <c r="DO92" s="113"/>
      <c r="DP92" s="113"/>
      <c r="DQ92" s="113"/>
      <c r="DR92" s="113"/>
      <c r="DS92" s="113"/>
      <c r="DT92" s="113"/>
      <c r="DU92" s="113"/>
      <c r="DV92" s="113"/>
      <c r="DW92" s="113"/>
      <c r="DX92" s="113"/>
      <c r="DY92" s="113"/>
      <c r="DZ92" s="113"/>
      <c r="EA92" s="113"/>
      <c r="EB92" s="113"/>
      <c r="EC92" s="113"/>
      <c r="ED92" s="113"/>
      <c r="EE92" s="113"/>
    </row>
    <row r="93" ht="19.5" customHeight="1">
      <c r="A93" s="84" t="str">
        <f>IF(Roster!$A$91&lt;&gt;"",Roster!$A$91,"")</f>
        <v/>
      </c>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c r="AO93" s="113"/>
      <c r="AP93" s="113"/>
      <c r="AQ93" s="113"/>
      <c r="AR93" s="113"/>
      <c r="AS93" s="113"/>
      <c r="AT93" s="113"/>
      <c r="AU93" s="113"/>
      <c r="AV93" s="113"/>
      <c r="AW93" s="113"/>
      <c r="AX93" s="113"/>
      <c r="AY93" s="113"/>
      <c r="AZ93" s="113"/>
      <c r="BA93" s="113"/>
      <c r="BB93" s="113"/>
      <c r="BC93" s="113"/>
      <c r="BD93" s="113"/>
      <c r="BE93" s="113"/>
      <c r="BF93" s="113"/>
      <c r="BG93" s="113"/>
      <c r="BH93" s="113"/>
      <c r="BI93" s="113"/>
      <c r="BJ93" s="113"/>
      <c r="BK93" s="113"/>
      <c r="BL93" s="113"/>
      <c r="BM93" s="113"/>
      <c r="BN93" s="113"/>
      <c r="BO93" s="113"/>
      <c r="BP93" s="113"/>
      <c r="BQ93" s="113"/>
      <c r="BR93" s="113"/>
      <c r="BS93" s="113"/>
      <c r="BT93" s="113"/>
      <c r="BU93" s="113"/>
      <c r="BV93" s="113"/>
      <c r="BW93" s="113"/>
      <c r="BX93" s="113"/>
      <c r="BY93" s="113"/>
      <c r="BZ93" s="113"/>
      <c r="CA93" s="113"/>
      <c r="CB93" s="113"/>
      <c r="CC93" s="113"/>
      <c r="CD93" s="113"/>
      <c r="CE93" s="113"/>
      <c r="CF93" s="113"/>
      <c r="CG93" s="113"/>
      <c r="CH93" s="113"/>
      <c r="CI93" s="113"/>
      <c r="CJ93" s="113"/>
      <c r="CK93" s="113"/>
      <c r="CL93" s="113"/>
      <c r="CM93" s="113"/>
      <c r="CN93" s="113"/>
      <c r="CO93" s="113"/>
      <c r="CP93" s="113"/>
      <c r="CQ93" s="113"/>
      <c r="CR93" s="113"/>
      <c r="CS93" s="113"/>
      <c r="CT93" s="113"/>
      <c r="CU93" s="113"/>
      <c r="CV93" s="113"/>
      <c r="CW93" s="113"/>
      <c r="CX93" s="113"/>
      <c r="CY93" s="113"/>
      <c r="CZ93" s="113"/>
      <c r="DA93" s="113"/>
      <c r="DB93" s="113"/>
      <c r="DC93" s="113"/>
      <c r="DD93" s="113"/>
      <c r="DE93" s="113"/>
      <c r="DF93" s="113"/>
      <c r="DG93" s="113"/>
      <c r="DH93" s="113"/>
      <c r="DI93" s="113"/>
      <c r="DJ93" s="113"/>
      <c r="DK93" s="113"/>
      <c r="DL93" s="113"/>
      <c r="DM93" s="113"/>
      <c r="DN93" s="113"/>
      <c r="DO93" s="113"/>
      <c r="DP93" s="113"/>
      <c r="DQ93" s="113"/>
      <c r="DR93" s="113"/>
      <c r="DS93" s="113"/>
      <c r="DT93" s="113"/>
      <c r="DU93" s="113"/>
      <c r="DV93" s="113"/>
      <c r="DW93" s="113"/>
      <c r="DX93" s="113"/>
      <c r="DY93" s="113"/>
      <c r="DZ93" s="113"/>
      <c r="EA93" s="113"/>
      <c r="EB93" s="113"/>
      <c r="EC93" s="113"/>
      <c r="ED93" s="113"/>
      <c r="EE93" s="113"/>
    </row>
    <row r="94" ht="19.5" customHeight="1">
      <c r="A94" s="84" t="str">
        <f>IF(Roster!$A$92&lt;&gt;"",Roster!$A$92,"")</f>
        <v/>
      </c>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c r="AO94" s="113"/>
      <c r="AP94" s="113"/>
      <c r="AQ94" s="113"/>
      <c r="AR94" s="113"/>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c r="BT94" s="113"/>
      <c r="BU94" s="113"/>
      <c r="BV94" s="113"/>
      <c r="BW94" s="113"/>
      <c r="BX94" s="113"/>
      <c r="BY94" s="113"/>
      <c r="BZ94" s="113"/>
      <c r="CA94" s="113"/>
      <c r="CB94" s="113"/>
      <c r="CC94" s="113"/>
      <c r="CD94" s="113"/>
      <c r="CE94" s="113"/>
      <c r="CF94" s="113"/>
      <c r="CG94" s="113"/>
      <c r="CH94" s="113"/>
      <c r="CI94" s="113"/>
      <c r="CJ94" s="113"/>
      <c r="CK94" s="113"/>
      <c r="CL94" s="113"/>
      <c r="CM94" s="113"/>
      <c r="CN94" s="113"/>
      <c r="CO94" s="113"/>
      <c r="CP94" s="113"/>
      <c r="CQ94" s="113"/>
      <c r="CR94" s="113"/>
      <c r="CS94" s="113"/>
      <c r="CT94" s="113"/>
      <c r="CU94" s="113"/>
      <c r="CV94" s="113"/>
      <c r="CW94" s="113"/>
      <c r="CX94" s="113"/>
      <c r="CY94" s="113"/>
      <c r="CZ94" s="113"/>
      <c r="DA94" s="113"/>
      <c r="DB94" s="113"/>
      <c r="DC94" s="113"/>
      <c r="DD94" s="113"/>
      <c r="DE94" s="113"/>
      <c r="DF94" s="113"/>
      <c r="DG94" s="113"/>
      <c r="DH94" s="113"/>
      <c r="DI94" s="113"/>
      <c r="DJ94" s="113"/>
      <c r="DK94" s="113"/>
      <c r="DL94" s="113"/>
      <c r="DM94" s="113"/>
      <c r="DN94" s="113"/>
      <c r="DO94" s="113"/>
      <c r="DP94" s="113"/>
      <c r="DQ94" s="113"/>
      <c r="DR94" s="113"/>
      <c r="DS94" s="113"/>
      <c r="DT94" s="113"/>
      <c r="DU94" s="113"/>
      <c r="DV94" s="113"/>
      <c r="DW94" s="113"/>
      <c r="DX94" s="113"/>
      <c r="DY94" s="113"/>
      <c r="DZ94" s="113"/>
      <c r="EA94" s="113"/>
      <c r="EB94" s="113"/>
      <c r="EC94" s="113"/>
      <c r="ED94" s="113"/>
      <c r="EE94" s="113"/>
    </row>
    <row r="95" ht="19.5" customHeight="1">
      <c r="A95" s="84" t="str">
        <f>IF(Roster!$A$93&lt;&gt;"",Roster!$A$93,"")</f>
        <v/>
      </c>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c r="AO95" s="113"/>
      <c r="AP95" s="113"/>
      <c r="AQ95" s="113"/>
      <c r="AR95" s="113"/>
      <c r="AS95" s="113"/>
      <c r="AT95" s="113"/>
      <c r="AU95" s="113"/>
      <c r="AV95" s="113"/>
      <c r="AW95" s="113"/>
      <c r="AX95" s="113"/>
      <c r="AY95" s="113"/>
      <c r="AZ95" s="113"/>
      <c r="BA95" s="113"/>
      <c r="BB95" s="113"/>
      <c r="BC95" s="113"/>
      <c r="BD95" s="113"/>
      <c r="BE95" s="113"/>
      <c r="BF95" s="113"/>
      <c r="BG95" s="113"/>
      <c r="BH95" s="113"/>
      <c r="BI95" s="113"/>
      <c r="BJ95" s="113"/>
      <c r="BK95" s="113"/>
      <c r="BL95" s="113"/>
      <c r="BM95" s="113"/>
      <c r="BN95" s="113"/>
      <c r="BO95" s="113"/>
      <c r="BP95" s="113"/>
      <c r="BQ95" s="113"/>
      <c r="BR95" s="113"/>
      <c r="BS95" s="113"/>
      <c r="BT95" s="113"/>
      <c r="BU95" s="113"/>
      <c r="BV95" s="113"/>
      <c r="BW95" s="113"/>
      <c r="BX95" s="113"/>
      <c r="BY95" s="113"/>
      <c r="BZ95" s="113"/>
      <c r="CA95" s="113"/>
      <c r="CB95" s="113"/>
      <c r="CC95" s="113"/>
      <c r="CD95" s="113"/>
      <c r="CE95" s="113"/>
      <c r="CF95" s="113"/>
      <c r="CG95" s="113"/>
      <c r="CH95" s="113"/>
      <c r="CI95" s="113"/>
      <c r="CJ95" s="113"/>
      <c r="CK95" s="113"/>
      <c r="CL95" s="113"/>
      <c r="CM95" s="113"/>
      <c r="CN95" s="113"/>
      <c r="CO95" s="113"/>
      <c r="CP95" s="113"/>
      <c r="CQ95" s="113"/>
      <c r="CR95" s="113"/>
      <c r="CS95" s="113"/>
      <c r="CT95" s="113"/>
      <c r="CU95" s="113"/>
      <c r="CV95" s="113"/>
      <c r="CW95" s="113"/>
      <c r="CX95" s="113"/>
      <c r="CY95" s="113"/>
      <c r="CZ95" s="113"/>
      <c r="DA95" s="113"/>
      <c r="DB95" s="113"/>
      <c r="DC95" s="113"/>
      <c r="DD95" s="113"/>
      <c r="DE95" s="113"/>
      <c r="DF95" s="113"/>
      <c r="DG95" s="113"/>
      <c r="DH95" s="113"/>
      <c r="DI95" s="113"/>
      <c r="DJ95" s="113"/>
      <c r="DK95" s="113"/>
      <c r="DL95" s="113"/>
      <c r="DM95" s="113"/>
      <c r="DN95" s="113"/>
      <c r="DO95" s="113"/>
      <c r="DP95" s="113"/>
      <c r="DQ95" s="113"/>
      <c r="DR95" s="113"/>
      <c r="DS95" s="113"/>
      <c r="DT95" s="113"/>
      <c r="DU95" s="113"/>
      <c r="DV95" s="113"/>
      <c r="DW95" s="113"/>
      <c r="DX95" s="113"/>
      <c r="DY95" s="113"/>
      <c r="DZ95" s="113"/>
      <c r="EA95" s="113"/>
      <c r="EB95" s="113"/>
      <c r="EC95" s="113"/>
      <c r="ED95" s="113"/>
      <c r="EE95" s="113"/>
    </row>
    <row r="96" ht="19.5" customHeight="1">
      <c r="A96" s="84" t="str">
        <f>IF(Roster!$A$94&lt;&gt;"",Roster!$A$94,"")</f>
        <v/>
      </c>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c r="AO96" s="113"/>
      <c r="AP96" s="113"/>
      <c r="AQ96" s="113"/>
      <c r="AR96" s="113"/>
      <c r="AS96" s="113"/>
      <c r="AT96" s="113"/>
      <c r="AU96" s="113"/>
      <c r="AV96" s="113"/>
      <c r="AW96" s="113"/>
      <c r="AX96" s="113"/>
      <c r="AY96" s="113"/>
      <c r="AZ96" s="113"/>
      <c r="BA96" s="113"/>
      <c r="BB96" s="113"/>
      <c r="BC96" s="113"/>
      <c r="BD96" s="113"/>
      <c r="BE96" s="113"/>
      <c r="BF96" s="113"/>
      <c r="BG96" s="113"/>
      <c r="BH96" s="113"/>
      <c r="BI96" s="113"/>
      <c r="BJ96" s="113"/>
      <c r="BK96" s="113"/>
      <c r="BL96" s="113"/>
      <c r="BM96" s="113"/>
      <c r="BN96" s="113"/>
      <c r="BO96" s="113"/>
      <c r="BP96" s="113"/>
      <c r="BQ96" s="113"/>
      <c r="BR96" s="113"/>
      <c r="BS96" s="113"/>
      <c r="BT96" s="113"/>
      <c r="BU96" s="113"/>
      <c r="BV96" s="113"/>
      <c r="BW96" s="113"/>
      <c r="BX96" s="113"/>
      <c r="BY96" s="113"/>
      <c r="BZ96" s="113"/>
      <c r="CA96" s="113"/>
      <c r="CB96" s="113"/>
      <c r="CC96" s="113"/>
      <c r="CD96" s="113"/>
      <c r="CE96" s="113"/>
      <c r="CF96" s="113"/>
      <c r="CG96" s="113"/>
      <c r="CH96" s="113"/>
      <c r="CI96" s="113"/>
      <c r="CJ96" s="113"/>
      <c r="CK96" s="113"/>
      <c r="CL96" s="113"/>
      <c r="CM96" s="113"/>
      <c r="CN96" s="113"/>
      <c r="CO96" s="113"/>
      <c r="CP96" s="113"/>
      <c r="CQ96" s="113"/>
      <c r="CR96" s="113"/>
      <c r="CS96" s="113"/>
      <c r="CT96" s="113"/>
      <c r="CU96" s="113"/>
      <c r="CV96" s="113"/>
      <c r="CW96" s="113"/>
      <c r="CX96" s="113"/>
      <c r="CY96" s="113"/>
      <c r="CZ96" s="113"/>
      <c r="DA96" s="113"/>
      <c r="DB96" s="113"/>
      <c r="DC96" s="113"/>
      <c r="DD96" s="113"/>
      <c r="DE96" s="113"/>
      <c r="DF96" s="113"/>
      <c r="DG96" s="113"/>
      <c r="DH96" s="113"/>
      <c r="DI96" s="113"/>
      <c r="DJ96" s="113"/>
      <c r="DK96" s="113"/>
      <c r="DL96" s="113"/>
      <c r="DM96" s="113"/>
      <c r="DN96" s="113"/>
      <c r="DO96" s="113"/>
      <c r="DP96" s="113"/>
      <c r="DQ96" s="113"/>
      <c r="DR96" s="113"/>
      <c r="DS96" s="113"/>
      <c r="DT96" s="113"/>
      <c r="DU96" s="113"/>
      <c r="DV96" s="113"/>
      <c r="DW96" s="113"/>
      <c r="DX96" s="113"/>
      <c r="DY96" s="113"/>
      <c r="DZ96" s="113"/>
      <c r="EA96" s="113"/>
      <c r="EB96" s="113"/>
      <c r="EC96" s="113"/>
      <c r="ED96" s="113"/>
      <c r="EE96" s="113"/>
    </row>
    <row r="97" ht="19.5" customHeight="1">
      <c r="A97" s="84" t="str">
        <f>IF(Roster!$A$95&lt;&gt;"",Roster!$A$95,"")</f>
        <v/>
      </c>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c r="AS97" s="113"/>
      <c r="AT97" s="113"/>
      <c r="AU97" s="113"/>
      <c r="AV97" s="113"/>
      <c r="AW97" s="113"/>
      <c r="AX97" s="113"/>
      <c r="AY97" s="113"/>
      <c r="AZ97" s="113"/>
      <c r="BA97" s="113"/>
      <c r="BB97" s="113"/>
      <c r="BC97" s="113"/>
      <c r="BD97" s="113"/>
      <c r="BE97" s="113"/>
      <c r="BF97" s="113"/>
      <c r="BG97" s="113"/>
      <c r="BH97" s="113"/>
      <c r="BI97" s="113"/>
      <c r="BJ97" s="113"/>
      <c r="BK97" s="113"/>
      <c r="BL97" s="113"/>
      <c r="BM97" s="113"/>
      <c r="BN97" s="113"/>
      <c r="BO97" s="113"/>
      <c r="BP97" s="113"/>
      <c r="BQ97" s="113"/>
      <c r="BR97" s="113"/>
      <c r="BS97" s="113"/>
      <c r="BT97" s="113"/>
      <c r="BU97" s="113"/>
      <c r="BV97" s="113"/>
      <c r="BW97" s="113"/>
      <c r="BX97" s="113"/>
      <c r="BY97" s="113"/>
      <c r="BZ97" s="113"/>
      <c r="CA97" s="113"/>
      <c r="CB97" s="113"/>
      <c r="CC97" s="113"/>
      <c r="CD97" s="113"/>
      <c r="CE97" s="113"/>
      <c r="CF97" s="113"/>
      <c r="CG97" s="113"/>
      <c r="CH97" s="113"/>
      <c r="CI97" s="113"/>
      <c r="CJ97" s="113"/>
      <c r="CK97" s="113"/>
      <c r="CL97" s="113"/>
      <c r="CM97" s="113"/>
      <c r="CN97" s="113"/>
      <c r="CO97" s="113"/>
      <c r="CP97" s="113"/>
      <c r="CQ97" s="113"/>
      <c r="CR97" s="113"/>
      <c r="CS97" s="113"/>
      <c r="CT97" s="113"/>
      <c r="CU97" s="113"/>
      <c r="CV97" s="113"/>
      <c r="CW97" s="113"/>
      <c r="CX97" s="113"/>
      <c r="CY97" s="113"/>
      <c r="CZ97" s="113"/>
      <c r="DA97" s="113"/>
      <c r="DB97" s="113"/>
      <c r="DC97" s="113"/>
      <c r="DD97" s="113"/>
      <c r="DE97" s="113"/>
      <c r="DF97" s="113"/>
      <c r="DG97" s="113"/>
      <c r="DH97" s="113"/>
      <c r="DI97" s="113"/>
      <c r="DJ97" s="113"/>
      <c r="DK97" s="113"/>
      <c r="DL97" s="113"/>
      <c r="DM97" s="113"/>
      <c r="DN97" s="113"/>
      <c r="DO97" s="113"/>
      <c r="DP97" s="113"/>
      <c r="DQ97" s="113"/>
      <c r="DR97" s="113"/>
      <c r="DS97" s="113"/>
      <c r="DT97" s="113"/>
      <c r="DU97" s="113"/>
      <c r="DV97" s="113"/>
      <c r="DW97" s="113"/>
      <c r="DX97" s="113"/>
      <c r="DY97" s="113"/>
      <c r="DZ97" s="113"/>
      <c r="EA97" s="113"/>
      <c r="EB97" s="113"/>
      <c r="EC97" s="113"/>
      <c r="ED97" s="113"/>
      <c r="EE97" s="113"/>
    </row>
    <row r="98" ht="19.5" customHeight="1">
      <c r="A98" s="84" t="str">
        <f>IF(Roster!$A$96&lt;&gt;"",Roster!$A$96,"")</f>
        <v/>
      </c>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c r="AO98" s="113"/>
      <c r="AP98" s="113"/>
      <c r="AQ98" s="113"/>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113"/>
      <c r="BO98" s="113"/>
      <c r="BP98" s="113"/>
      <c r="BQ98" s="113"/>
      <c r="BR98" s="113"/>
      <c r="BS98" s="113"/>
      <c r="BT98" s="113"/>
      <c r="BU98" s="113"/>
      <c r="BV98" s="113"/>
      <c r="BW98" s="113"/>
      <c r="BX98" s="113"/>
      <c r="BY98" s="113"/>
      <c r="BZ98" s="113"/>
      <c r="CA98" s="113"/>
      <c r="CB98" s="113"/>
      <c r="CC98" s="113"/>
      <c r="CD98" s="113"/>
      <c r="CE98" s="113"/>
      <c r="CF98" s="113"/>
      <c r="CG98" s="113"/>
      <c r="CH98" s="113"/>
      <c r="CI98" s="113"/>
      <c r="CJ98" s="113"/>
      <c r="CK98" s="113"/>
      <c r="CL98" s="113"/>
      <c r="CM98" s="113"/>
      <c r="CN98" s="113"/>
      <c r="CO98" s="113"/>
      <c r="CP98" s="113"/>
      <c r="CQ98" s="113"/>
      <c r="CR98" s="113"/>
      <c r="CS98" s="113"/>
      <c r="CT98" s="113"/>
      <c r="CU98" s="113"/>
      <c r="CV98" s="113"/>
      <c r="CW98" s="113"/>
      <c r="CX98" s="113"/>
      <c r="CY98" s="113"/>
      <c r="CZ98" s="113"/>
      <c r="DA98" s="113"/>
      <c r="DB98" s="113"/>
      <c r="DC98" s="113"/>
      <c r="DD98" s="113"/>
      <c r="DE98" s="113"/>
      <c r="DF98" s="113"/>
      <c r="DG98" s="113"/>
      <c r="DH98" s="113"/>
      <c r="DI98" s="113"/>
      <c r="DJ98" s="113"/>
      <c r="DK98" s="113"/>
      <c r="DL98" s="113"/>
      <c r="DM98" s="113"/>
      <c r="DN98" s="113"/>
      <c r="DO98" s="113"/>
      <c r="DP98" s="113"/>
      <c r="DQ98" s="113"/>
      <c r="DR98" s="113"/>
      <c r="DS98" s="113"/>
      <c r="DT98" s="113"/>
      <c r="DU98" s="113"/>
      <c r="DV98" s="113"/>
      <c r="DW98" s="113"/>
      <c r="DX98" s="113"/>
      <c r="DY98" s="113"/>
      <c r="DZ98" s="113"/>
      <c r="EA98" s="113"/>
      <c r="EB98" s="113"/>
      <c r="EC98" s="113"/>
      <c r="ED98" s="113"/>
      <c r="EE98" s="113"/>
    </row>
    <row r="99" ht="19.5" customHeight="1">
      <c r="A99" s="84" t="str">
        <f>IF(Roster!$A$97&lt;&gt;"",Roster!$A$97,"")</f>
        <v/>
      </c>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c r="AO99" s="113"/>
      <c r="AP99" s="113"/>
      <c r="AQ99" s="113"/>
      <c r="AR99" s="113"/>
      <c r="AS99" s="113"/>
      <c r="AT99" s="113"/>
      <c r="AU99" s="113"/>
      <c r="AV99" s="113"/>
      <c r="AW99" s="113"/>
      <c r="AX99" s="113"/>
      <c r="AY99" s="113"/>
      <c r="AZ99" s="113"/>
      <c r="BA99" s="113"/>
      <c r="BB99" s="113"/>
      <c r="BC99" s="113"/>
      <c r="BD99" s="113"/>
      <c r="BE99" s="113"/>
      <c r="BF99" s="113"/>
      <c r="BG99" s="113"/>
      <c r="BH99" s="113"/>
      <c r="BI99" s="113"/>
      <c r="BJ99" s="113"/>
      <c r="BK99" s="113"/>
      <c r="BL99" s="113"/>
      <c r="BM99" s="113"/>
      <c r="BN99" s="113"/>
      <c r="BO99" s="113"/>
      <c r="BP99" s="113"/>
      <c r="BQ99" s="113"/>
      <c r="BR99" s="113"/>
      <c r="BS99" s="113"/>
      <c r="BT99" s="113"/>
      <c r="BU99" s="113"/>
      <c r="BV99" s="113"/>
      <c r="BW99" s="113"/>
      <c r="BX99" s="113"/>
      <c r="BY99" s="113"/>
      <c r="BZ99" s="113"/>
      <c r="CA99" s="113"/>
      <c r="CB99" s="113"/>
      <c r="CC99" s="113"/>
      <c r="CD99" s="113"/>
      <c r="CE99" s="113"/>
      <c r="CF99" s="113"/>
      <c r="CG99" s="113"/>
      <c r="CH99" s="113"/>
      <c r="CI99" s="113"/>
      <c r="CJ99" s="113"/>
      <c r="CK99" s="113"/>
      <c r="CL99" s="113"/>
      <c r="CM99" s="113"/>
      <c r="CN99" s="113"/>
      <c r="CO99" s="113"/>
      <c r="CP99" s="113"/>
      <c r="CQ99" s="113"/>
      <c r="CR99" s="113"/>
      <c r="CS99" s="113"/>
      <c r="CT99" s="113"/>
      <c r="CU99" s="113"/>
      <c r="CV99" s="113"/>
      <c r="CW99" s="113"/>
      <c r="CX99" s="113"/>
      <c r="CY99" s="113"/>
      <c r="CZ99" s="113"/>
      <c r="DA99" s="113"/>
      <c r="DB99" s="113"/>
      <c r="DC99" s="113"/>
      <c r="DD99" s="113"/>
      <c r="DE99" s="113"/>
      <c r="DF99" s="113"/>
      <c r="DG99" s="113"/>
      <c r="DH99" s="113"/>
      <c r="DI99" s="113"/>
      <c r="DJ99" s="113"/>
      <c r="DK99" s="113"/>
      <c r="DL99" s="113"/>
      <c r="DM99" s="113"/>
      <c r="DN99" s="113"/>
      <c r="DO99" s="113"/>
      <c r="DP99" s="113"/>
      <c r="DQ99" s="113"/>
      <c r="DR99" s="113"/>
      <c r="DS99" s="113"/>
      <c r="DT99" s="113"/>
      <c r="DU99" s="113"/>
      <c r="DV99" s="113"/>
      <c r="DW99" s="113"/>
      <c r="DX99" s="113"/>
      <c r="DY99" s="113"/>
      <c r="DZ99" s="113"/>
      <c r="EA99" s="113"/>
      <c r="EB99" s="113"/>
      <c r="EC99" s="113"/>
      <c r="ED99" s="113"/>
      <c r="EE99" s="113"/>
    </row>
    <row r="100" ht="19.5" customHeight="1">
      <c r="A100" s="84" t="str">
        <f>IF(Roster!$A$98&lt;&gt;"",Roster!$A$98,"")</f>
        <v/>
      </c>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c r="AX100" s="113"/>
      <c r="AY100" s="113"/>
      <c r="AZ100" s="113"/>
      <c r="BA100" s="113"/>
      <c r="BB100" s="113"/>
      <c r="BC100" s="113"/>
      <c r="BD100" s="113"/>
      <c r="BE100" s="113"/>
      <c r="BF100" s="113"/>
      <c r="BG100" s="113"/>
      <c r="BH100" s="113"/>
      <c r="BI100" s="113"/>
      <c r="BJ100" s="113"/>
      <c r="BK100" s="113"/>
      <c r="BL100" s="113"/>
      <c r="BM100" s="113"/>
      <c r="BN100" s="113"/>
      <c r="BO100" s="113"/>
      <c r="BP100" s="113"/>
      <c r="BQ100" s="113"/>
      <c r="BR100" s="113"/>
      <c r="BS100" s="113"/>
      <c r="BT100" s="113"/>
      <c r="BU100" s="113"/>
      <c r="BV100" s="113"/>
      <c r="BW100" s="113"/>
      <c r="BX100" s="113"/>
      <c r="BY100" s="113"/>
      <c r="BZ100" s="113"/>
      <c r="CA100" s="113"/>
      <c r="CB100" s="113"/>
      <c r="CC100" s="113"/>
      <c r="CD100" s="113"/>
      <c r="CE100" s="113"/>
      <c r="CF100" s="113"/>
      <c r="CG100" s="113"/>
      <c r="CH100" s="113"/>
      <c r="CI100" s="113"/>
      <c r="CJ100" s="113"/>
      <c r="CK100" s="113"/>
      <c r="CL100" s="113"/>
      <c r="CM100" s="113"/>
      <c r="CN100" s="113"/>
      <c r="CO100" s="113"/>
      <c r="CP100" s="113"/>
      <c r="CQ100" s="113"/>
      <c r="CR100" s="113"/>
      <c r="CS100" s="113"/>
      <c r="CT100" s="113"/>
      <c r="CU100" s="113"/>
      <c r="CV100" s="113"/>
      <c r="CW100" s="113"/>
      <c r="CX100" s="113"/>
      <c r="CY100" s="113"/>
      <c r="CZ100" s="113"/>
      <c r="DA100" s="113"/>
      <c r="DB100" s="113"/>
      <c r="DC100" s="113"/>
      <c r="DD100" s="113"/>
      <c r="DE100" s="113"/>
      <c r="DF100" s="113"/>
      <c r="DG100" s="113"/>
      <c r="DH100" s="113"/>
      <c r="DI100" s="113"/>
      <c r="DJ100" s="113"/>
      <c r="DK100" s="113"/>
      <c r="DL100" s="113"/>
      <c r="DM100" s="113"/>
      <c r="DN100" s="113"/>
      <c r="DO100" s="113"/>
      <c r="DP100" s="113"/>
      <c r="DQ100" s="113"/>
      <c r="DR100" s="113"/>
      <c r="DS100" s="113"/>
      <c r="DT100" s="113"/>
      <c r="DU100" s="113"/>
      <c r="DV100" s="113"/>
      <c r="DW100" s="113"/>
      <c r="DX100" s="113"/>
      <c r="DY100" s="113"/>
      <c r="DZ100" s="113"/>
      <c r="EA100" s="113"/>
      <c r="EB100" s="113"/>
      <c r="EC100" s="113"/>
      <c r="ED100" s="113"/>
      <c r="EE100" s="113"/>
    </row>
    <row r="101" ht="19.5" customHeight="1">
      <c r="A101" s="84" t="str">
        <f>IF(Roster!$A$99&lt;&gt;"",Roster!$A$99,"")</f>
        <v/>
      </c>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c r="AX101" s="113"/>
      <c r="AY101" s="113"/>
      <c r="AZ101" s="113"/>
      <c r="BA101" s="113"/>
      <c r="BB101" s="113"/>
      <c r="BC101" s="113"/>
      <c r="BD101" s="113"/>
      <c r="BE101" s="113"/>
      <c r="BF101" s="113"/>
      <c r="BG101" s="113"/>
      <c r="BH101" s="113"/>
      <c r="BI101" s="113"/>
      <c r="BJ101" s="113"/>
      <c r="BK101" s="113"/>
      <c r="BL101" s="113"/>
      <c r="BM101" s="113"/>
      <c r="BN101" s="113"/>
      <c r="BO101" s="113"/>
      <c r="BP101" s="113"/>
      <c r="BQ101" s="113"/>
      <c r="BR101" s="113"/>
      <c r="BS101" s="113"/>
      <c r="BT101" s="113"/>
      <c r="BU101" s="113"/>
      <c r="BV101" s="113"/>
      <c r="BW101" s="113"/>
      <c r="BX101" s="113"/>
      <c r="BY101" s="113"/>
      <c r="BZ101" s="113"/>
      <c r="CA101" s="113"/>
      <c r="CB101" s="113"/>
      <c r="CC101" s="113"/>
      <c r="CD101" s="113"/>
      <c r="CE101" s="113"/>
      <c r="CF101" s="113"/>
      <c r="CG101" s="113"/>
      <c r="CH101" s="113"/>
      <c r="CI101" s="113"/>
      <c r="CJ101" s="113"/>
      <c r="CK101" s="113"/>
      <c r="CL101" s="113"/>
      <c r="CM101" s="113"/>
      <c r="CN101" s="113"/>
      <c r="CO101" s="113"/>
      <c r="CP101" s="113"/>
      <c r="CQ101" s="113"/>
      <c r="CR101" s="113"/>
      <c r="CS101" s="113"/>
      <c r="CT101" s="113"/>
      <c r="CU101" s="113"/>
      <c r="CV101" s="113"/>
      <c r="CW101" s="113"/>
      <c r="CX101" s="113"/>
      <c r="CY101" s="113"/>
      <c r="CZ101" s="113"/>
      <c r="DA101" s="113"/>
      <c r="DB101" s="113"/>
      <c r="DC101" s="113"/>
      <c r="DD101" s="113"/>
      <c r="DE101" s="113"/>
      <c r="DF101" s="113"/>
      <c r="DG101" s="113"/>
      <c r="DH101" s="113"/>
      <c r="DI101" s="113"/>
      <c r="DJ101" s="113"/>
      <c r="DK101" s="113"/>
      <c r="DL101" s="113"/>
      <c r="DM101" s="113"/>
      <c r="DN101" s="113"/>
      <c r="DO101" s="113"/>
      <c r="DP101" s="113"/>
      <c r="DQ101" s="113"/>
      <c r="DR101" s="113"/>
      <c r="DS101" s="113"/>
      <c r="DT101" s="113"/>
      <c r="DU101" s="113"/>
      <c r="DV101" s="113"/>
      <c r="DW101" s="113"/>
      <c r="DX101" s="113"/>
      <c r="DY101" s="113"/>
      <c r="DZ101" s="113"/>
      <c r="EA101" s="113"/>
      <c r="EB101" s="113"/>
      <c r="EC101" s="113"/>
      <c r="ED101" s="113"/>
      <c r="EE101" s="113"/>
    </row>
    <row r="102" ht="19.5" customHeight="1">
      <c r="A102" s="84" t="str">
        <f>IF(Roster!$A$100&lt;&gt;"",Roster!$A$100,"")</f>
        <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c r="AX102" s="113"/>
      <c r="AY102" s="113"/>
      <c r="AZ102" s="113"/>
      <c r="BA102" s="113"/>
      <c r="BB102" s="113"/>
      <c r="BC102" s="113"/>
      <c r="BD102" s="113"/>
      <c r="BE102" s="113"/>
      <c r="BF102" s="113"/>
      <c r="BG102" s="113"/>
      <c r="BH102" s="113"/>
      <c r="BI102" s="113"/>
      <c r="BJ102" s="113"/>
      <c r="BK102" s="113"/>
      <c r="BL102" s="113"/>
      <c r="BM102" s="113"/>
      <c r="BN102" s="113"/>
      <c r="BO102" s="113"/>
      <c r="BP102" s="113"/>
      <c r="BQ102" s="113"/>
      <c r="BR102" s="113"/>
      <c r="BS102" s="113"/>
      <c r="BT102" s="113"/>
      <c r="BU102" s="113"/>
      <c r="BV102" s="113"/>
      <c r="BW102" s="113"/>
      <c r="BX102" s="113"/>
      <c r="BY102" s="113"/>
      <c r="BZ102" s="113"/>
      <c r="CA102" s="113"/>
      <c r="CB102" s="113"/>
      <c r="CC102" s="113"/>
      <c r="CD102" s="113"/>
      <c r="CE102" s="113"/>
      <c r="CF102" s="113"/>
      <c r="CG102" s="113"/>
      <c r="CH102" s="113"/>
      <c r="CI102" s="113"/>
      <c r="CJ102" s="113"/>
      <c r="CK102" s="113"/>
      <c r="CL102" s="113"/>
      <c r="CM102" s="113"/>
      <c r="CN102" s="113"/>
      <c r="CO102" s="113"/>
      <c r="CP102" s="113"/>
      <c r="CQ102" s="113"/>
      <c r="CR102" s="113"/>
      <c r="CS102" s="113"/>
      <c r="CT102" s="113"/>
      <c r="CU102" s="113"/>
      <c r="CV102" s="113"/>
      <c r="CW102" s="113"/>
      <c r="CX102" s="113"/>
      <c r="CY102" s="113"/>
      <c r="CZ102" s="113"/>
      <c r="DA102" s="113"/>
      <c r="DB102" s="113"/>
      <c r="DC102" s="113"/>
      <c r="DD102" s="113"/>
      <c r="DE102" s="113"/>
      <c r="DF102" s="113"/>
      <c r="DG102" s="113"/>
      <c r="DH102" s="113"/>
      <c r="DI102" s="113"/>
      <c r="DJ102" s="113"/>
      <c r="DK102" s="113"/>
      <c r="DL102" s="113"/>
      <c r="DM102" s="113"/>
      <c r="DN102" s="113"/>
      <c r="DO102" s="113"/>
      <c r="DP102" s="113"/>
      <c r="DQ102" s="113"/>
      <c r="DR102" s="113"/>
      <c r="DS102" s="113"/>
      <c r="DT102" s="113"/>
      <c r="DU102" s="113"/>
      <c r="DV102" s="113"/>
      <c r="DW102" s="113"/>
      <c r="DX102" s="113"/>
      <c r="DY102" s="113"/>
      <c r="DZ102" s="113"/>
      <c r="EA102" s="113"/>
      <c r="EB102" s="113"/>
      <c r="EC102" s="113"/>
      <c r="ED102" s="113"/>
      <c r="EE102" s="113"/>
    </row>
    <row r="103" ht="19.5" customHeight="1">
      <c r="A103" s="84" t="str">
        <f>IF(Roster!$A$101&lt;&gt;"",Roster!$A$101,"")</f>
        <v/>
      </c>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c r="AX103" s="113"/>
      <c r="AY103" s="113"/>
      <c r="AZ103" s="113"/>
      <c r="BA103" s="113"/>
      <c r="BB103" s="113"/>
      <c r="BC103" s="113"/>
      <c r="BD103" s="113"/>
      <c r="BE103" s="113"/>
      <c r="BF103" s="113"/>
      <c r="BG103" s="113"/>
      <c r="BH103" s="113"/>
      <c r="BI103" s="113"/>
      <c r="BJ103" s="113"/>
      <c r="BK103" s="113"/>
      <c r="BL103" s="113"/>
      <c r="BM103" s="113"/>
      <c r="BN103" s="113"/>
      <c r="BO103" s="113"/>
      <c r="BP103" s="113"/>
      <c r="BQ103" s="113"/>
      <c r="BR103" s="113"/>
      <c r="BS103" s="113"/>
      <c r="BT103" s="113"/>
      <c r="BU103" s="113"/>
      <c r="BV103" s="113"/>
      <c r="BW103" s="113"/>
      <c r="BX103" s="113"/>
      <c r="BY103" s="113"/>
      <c r="BZ103" s="113"/>
      <c r="CA103" s="113"/>
      <c r="CB103" s="113"/>
      <c r="CC103" s="113"/>
      <c r="CD103" s="113"/>
      <c r="CE103" s="113"/>
      <c r="CF103" s="113"/>
      <c r="CG103" s="113"/>
      <c r="CH103" s="113"/>
      <c r="CI103" s="113"/>
      <c r="CJ103" s="113"/>
      <c r="CK103" s="113"/>
      <c r="CL103" s="113"/>
      <c r="CM103" s="113"/>
      <c r="CN103" s="113"/>
      <c r="CO103" s="113"/>
      <c r="CP103" s="113"/>
      <c r="CQ103" s="113"/>
      <c r="CR103" s="113"/>
      <c r="CS103" s="113"/>
      <c r="CT103" s="113"/>
      <c r="CU103" s="113"/>
      <c r="CV103" s="113"/>
      <c r="CW103" s="113"/>
      <c r="CX103" s="113"/>
      <c r="CY103" s="113"/>
      <c r="CZ103" s="113"/>
      <c r="DA103" s="113"/>
      <c r="DB103" s="113"/>
      <c r="DC103" s="113"/>
      <c r="DD103" s="113"/>
      <c r="DE103" s="113"/>
      <c r="DF103" s="113"/>
      <c r="DG103" s="113"/>
      <c r="DH103" s="113"/>
      <c r="DI103" s="113"/>
      <c r="DJ103" s="113"/>
      <c r="DK103" s="113"/>
      <c r="DL103" s="113"/>
      <c r="DM103" s="113"/>
      <c r="DN103" s="113"/>
      <c r="DO103" s="113"/>
      <c r="DP103" s="113"/>
      <c r="DQ103" s="113"/>
      <c r="DR103" s="113"/>
      <c r="DS103" s="113"/>
      <c r="DT103" s="113"/>
      <c r="DU103" s="113"/>
      <c r="DV103" s="113"/>
      <c r="DW103" s="113"/>
      <c r="DX103" s="113"/>
      <c r="DY103" s="113"/>
      <c r="DZ103" s="113"/>
      <c r="EA103" s="113"/>
      <c r="EB103" s="113"/>
      <c r="EC103" s="113"/>
      <c r="ED103" s="113"/>
      <c r="EE103" s="113"/>
    </row>
    <row r="104" ht="19.5" customHeight="1">
      <c r="A104" s="84" t="str">
        <f>IF(Roster!$A$102&lt;&gt;"",Roster!$A$102,"")</f>
        <v/>
      </c>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c r="AX104" s="113"/>
      <c r="AY104" s="113"/>
      <c r="AZ104" s="113"/>
      <c r="BA104" s="113"/>
      <c r="BB104" s="113"/>
      <c r="BC104" s="113"/>
      <c r="BD104" s="113"/>
      <c r="BE104" s="113"/>
      <c r="BF104" s="113"/>
      <c r="BG104" s="113"/>
      <c r="BH104" s="113"/>
      <c r="BI104" s="113"/>
      <c r="BJ104" s="113"/>
      <c r="BK104" s="113"/>
      <c r="BL104" s="113"/>
      <c r="BM104" s="113"/>
      <c r="BN104" s="113"/>
      <c r="BO104" s="113"/>
      <c r="BP104" s="113"/>
      <c r="BQ104" s="113"/>
      <c r="BR104" s="113"/>
      <c r="BS104" s="113"/>
      <c r="BT104" s="113"/>
      <c r="BU104" s="113"/>
      <c r="BV104" s="113"/>
      <c r="BW104" s="113"/>
      <c r="BX104" s="113"/>
      <c r="BY104" s="113"/>
      <c r="BZ104" s="113"/>
      <c r="CA104" s="113"/>
      <c r="CB104" s="113"/>
      <c r="CC104" s="113"/>
      <c r="CD104" s="113"/>
      <c r="CE104" s="113"/>
      <c r="CF104" s="113"/>
      <c r="CG104" s="113"/>
      <c r="CH104" s="113"/>
      <c r="CI104" s="113"/>
      <c r="CJ104" s="113"/>
      <c r="CK104" s="113"/>
      <c r="CL104" s="113"/>
      <c r="CM104" s="113"/>
      <c r="CN104" s="113"/>
      <c r="CO104" s="113"/>
      <c r="CP104" s="113"/>
      <c r="CQ104" s="113"/>
      <c r="CR104" s="113"/>
      <c r="CS104" s="113"/>
      <c r="CT104" s="113"/>
      <c r="CU104" s="113"/>
      <c r="CV104" s="113"/>
      <c r="CW104" s="113"/>
      <c r="CX104" s="113"/>
      <c r="CY104" s="113"/>
      <c r="CZ104" s="113"/>
      <c r="DA104" s="113"/>
      <c r="DB104" s="113"/>
      <c r="DC104" s="113"/>
      <c r="DD104" s="113"/>
      <c r="DE104" s="113"/>
      <c r="DF104" s="113"/>
      <c r="DG104" s="113"/>
      <c r="DH104" s="113"/>
      <c r="DI104" s="113"/>
      <c r="DJ104" s="113"/>
      <c r="DK104" s="113"/>
      <c r="DL104" s="113"/>
      <c r="DM104" s="113"/>
      <c r="DN104" s="113"/>
      <c r="DO104" s="113"/>
      <c r="DP104" s="113"/>
      <c r="DQ104" s="113"/>
      <c r="DR104" s="113"/>
      <c r="DS104" s="113"/>
      <c r="DT104" s="113"/>
      <c r="DU104" s="113"/>
      <c r="DV104" s="113"/>
      <c r="DW104" s="113"/>
      <c r="DX104" s="113"/>
      <c r="DY104" s="113"/>
      <c r="DZ104" s="113"/>
      <c r="EA104" s="113"/>
      <c r="EB104" s="113"/>
      <c r="EC104" s="113"/>
      <c r="ED104" s="113"/>
      <c r="EE104" s="113"/>
    </row>
    <row r="105" ht="19.5" customHeight="1">
      <c r="A105" s="84" t="str">
        <f>IF(Roster!$A$103&lt;&gt;"",Roster!$A$103,"")</f>
        <v/>
      </c>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c r="AX105" s="113"/>
      <c r="AY105" s="113"/>
      <c r="AZ105" s="113"/>
      <c r="BA105" s="113"/>
      <c r="BB105" s="113"/>
      <c r="BC105" s="113"/>
      <c r="BD105" s="113"/>
      <c r="BE105" s="113"/>
      <c r="BF105" s="113"/>
      <c r="BG105" s="113"/>
      <c r="BH105" s="113"/>
      <c r="BI105" s="113"/>
      <c r="BJ105" s="113"/>
      <c r="BK105" s="113"/>
      <c r="BL105" s="113"/>
      <c r="BM105" s="113"/>
      <c r="BN105" s="113"/>
      <c r="BO105" s="113"/>
      <c r="BP105" s="113"/>
      <c r="BQ105" s="113"/>
      <c r="BR105" s="113"/>
      <c r="BS105" s="113"/>
      <c r="BT105" s="113"/>
      <c r="BU105" s="113"/>
      <c r="BV105" s="113"/>
      <c r="BW105" s="113"/>
      <c r="BX105" s="113"/>
      <c r="BY105" s="113"/>
      <c r="BZ105" s="113"/>
      <c r="CA105" s="113"/>
      <c r="CB105" s="113"/>
      <c r="CC105" s="113"/>
      <c r="CD105" s="113"/>
      <c r="CE105" s="113"/>
      <c r="CF105" s="113"/>
      <c r="CG105" s="113"/>
      <c r="CH105" s="113"/>
      <c r="CI105" s="113"/>
      <c r="CJ105" s="113"/>
      <c r="CK105" s="113"/>
      <c r="CL105" s="113"/>
      <c r="CM105" s="113"/>
      <c r="CN105" s="113"/>
      <c r="CO105" s="113"/>
      <c r="CP105" s="113"/>
      <c r="CQ105" s="113"/>
      <c r="CR105" s="113"/>
      <c r="CS105" s="113"/>
      <c r="CT105" s="113"/>
      <c r="CU105" s="113"/>
      <c r="CV105" s="113"/>
      <c r="CW105" s="113"/>
      <c r="CX105" s="113"/>
      <c r="CY105" s="113"/>
      <c r="CZ105" s="113"/>
      <c r="DA105" s="113"/>
      <c r="DB105" s="113"/>
      <c r="DC105" s="113"/>
      <c r="DD105" s="113"/>
      <c r="DE105" s="113"/>
      <c r="DF105" s="113"/>
      <c r="DG105" s="113"/>
      <c r="DH105" s="113"/>
      <c r="DI105" s="113"/>
      <c r="DJ105" s="113"/>
      <c r="DK105" s="113"/>
      <c r="DL105" s="113"/>
      <c r="DM105" s="113"/>
      <c r="DN105" s="113"/>
      <c r="DO105" s="113"/>
      <c r="DP105" s="113"/>
      <c r="DQ105" s="113"/>
      <c r="DR105" s="113"/>
      <c r="DS105" s="113"/>
      <c r="DT105" s="113"/>
      <c r="DU105" s="113"/>
      <c r="DV105" s="113"/>
      <c r="DW105" s="113"/>
      <c r="DX105" s="113"/>
      <c r="DY105" s="113"/>
      <c r="DZ105" s="113"/>
      <c r="EA105" s="113"/>
      <c r="EB105" s="113"/>
      <c r="EC105" s="113"/>
      <c r="ED105" s="113"/>
      <c r="EE105" s="113"/>
    </row>
    <row r="106" ht="19.5" customHeight="1">
      <c r="A106" s="84" t="str">
        <f>IF(Roster!$A$104&lt;&gt;"",Roster!$A$104,"")</f>
        <v/>
      </c>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c r="AX106" s="113"/>
      <c r="AY106" s="113"/>
      <c r="AZ106" s="113"/>
      <c r="BA106" s="113"/>
      <c r="BB106" s="113"/>
      <c r="BC106" s="113"/>
      <c r="BD106" s="113"/>
      <c r="BE106" s="113"/>
      <c r="BF106" s="113"/>
      <c r="BG106" s="113"/>
      <c r="BH106" s="113"/>
      <c r="BI106" s="113"/>
      <c r="BJ106" s="113"/>
      <c r="BK106" s="113"/>
      <c r="BL106" s="113"/>
      <c r="BM106" s="113"/>
      <c r="BN106" s="113"/>
      <c r="BO106" s="113"/>
      <c r="BP106" s="113"/>
      <c r="BQ106" s="113"/>
      <c r="BR106" s="113"/>
      <c r="BS106" s="113"/>
      <c r="BT106" s="113"/>
      <c r="BU106" s="113"/>
      <c r="BV106" s="113"/>
      <c r="BW106" s="113"/>
      <c r="BX106" s="113"/>
      <c r="BY106" s="113"/>
      <c r="BZ106" s="113"/>
      <c r="CA106" s="113"/>
      <c r="CB106" s="113"/>
      <c r="CC106" s="113"/>
      <c r="CD106" s="113"/>
      <c r="CE106" s="113"/>
      <c r="CF106" s="113"/>
      <c r="CG106" s="113"/>
      <c r="CH106" s="113"/>
      <c r="CI106" s="113"/>
      <c r="CJ106" s="113"/>
      <c r="CK106" s="113"/>
      <c r="CL106" s="113"/>
      <c r="CM106" s="113"/>
      <c r="CN106" s="113"/>
      <c r="CO106" s="113"/>
      <c r="CP106" s="113"/>
      <c r="CQ106" s="113"/>
      <c r="CR106" s="113"/>
      <c r="CS106" s="113"/>
      <c r="CT106" s="113"/>
      <c r="CU106" s="113"/>
      <c r="CV106" s="113"/>
      <c r="CW106" s="113"/>
      <c r="CX106" s="113"/>
      <c r="CY106" s="113"/>
      <c r="CZ106" s="113"/>
      <c r="DA106" s="113"/>
      <c r="DB106" s="113"/>
      <c r="DC106" s="113"/>
      <c r="DD106" s="113"/>
      <c r="DE106" s="113"/>
      <c r="DF106" s="113"/>
      <c r="DG106" s="113"/>
      <c r="DH106" s="113"/>
      <c r="DI106" s="113"/>
      <c r="DJ106" s="113"/>
      <c r="DK106" s="113"/>
      <c r="DL106" s="113"/>
      <c r="DM106" s="113"/>
      <c r="DN106" s="113"/>
      <c r="DO106" s="113"/>
      <c r="DP106" s="113"/>
      <c r="DQ106" s="113"/>
      <c r="DR106" s="113"/>
      <c r="DS106" s="113"/>
      <c r="DT106" s="113"/>
      <c r="DU106" s="113"/>
      <c r="DV106" s="113"/>
      <c r="DW106" s="113"/>
      <c r="DX106" s="113"/>
      <c r="DY106" s="113"/>
      <c r="DZ106" s="113"/>
      <c r="EA106" s="113"/>
      <c r="EB106" s="113"/>
      <c r="EC106" s="113"/>
      <c r="ED106" s="113"/>
      <c r="EE106" s="113"/>
    </row>
    <row r="107" ht="19.5" customHeight="1">
      <c r="A107" s="84" t="str">
        <f>IF(Roster!$A$105&lt;&gt;"",Roster!$A$105,"")</f>
        <v/>
      </c>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c r="AX107" s="113"/>
      <c r="AY107" s="113"/>
      <c r="AZ107" s="113"/>
      <c r="BA107" s="113"/>
      <c r="BB107" s="113"/>
      <c r="BC107" s="113"/>
      <c r="BD107" s="113"/>
      <c r="BE107" s="113"/>
      <c r="BF107" s="113"/>
      <c r="BG107" s="113"/>
      <c r="BH107" s="113"/>
      <c r="BI107" s="113"/>
      <c r="BJ107" s="113"/>
      <c r="BK107" s="113"/>
      <c r="BL107" s="113"/>
      <c r="BM107" s="113"/>
      <c r="BN107" s="113"/>
      <c r="BO107" s="113"/>
      <c r="BP107" s="113"/>
      <c r="BQ107" s="113"/>
      <c r="BR107" s="113"/>
      <c r="BS107" s="113"/>
      <c r="BT107" s="113"/>
      <c r="BU107" s="113"/>
      <c r="BV107" s="113"/>
      <c r="BW107" s="113"/>
      <c r="BX107" s="113"/>
      <c r="BY107" s="113"/>
      <c r="BZ107" s="113"/>
      <c r="CA107" s="113"/>
      <c r="CB107" s="113"/>
      <c r="CC107" s="113"/>
      <c r="CD107" s="113"/>
      <c r="CE107" s="113"/>
      <c r="CF107" s="113"/>
      <c r="CG107" s="113"/>
      <c r="CH107" s="113"/>
      <c r="CI107" s="113"/>
      <c r="CJ107" s="113"/>
      <c r="CK107" s="113"/>
      <c r="CL107" s="113"/>
      <c r="CM107" s="113"/>
      <c r="CN107" s="113"/>
      <c r="CO107" s="113"/>
      <c r="CP107" s="113"/>
      <c r="CQ107" s="113"/>
      <c r="CR107" s="113"/>
      <c r="CS107" s="113"/>
      <c r="CT107" s="113"/>
      <c r="CU107" s="113"/>
      <c r="CV107" s="113"/>
      <c r="CW107" s="113"/>
      <c r="CX107" s="113"/>
      <c r="CY107" s="113"/>
      <c r="CZ107" s="113"/>
      <c r="DA107" s="113"/>
      <c r="DB107" s="113"/>
      <c r="DC107" s="113"/>
      <c r="DD107" s="113"/>
      <c r="DE107" s="113"/>
      <c r="DF107" s="113"/>
      <c r="DG107" s="113"/>
      <c r="DH107" s="113"/>
      <c r="DI107" s="113"/>
      <c r="DJ107" s="113"/>
      <c r="DK107" s="113"/>
      <c r="DL107" s="113"/>
      <c r="DM107" s="113"/>
      <c r="DN107" s="113"/>
      <c r="DO107" s="113"/>
      <c r="DP107" s="113"/>
      <c r="DQ107" s="113"/>
      <c r="DR107" s="113"/>
      <c r="DS107" s="113"/>
      <c r="DT107" s="113"/>
      <c r="DU107" s="113"/>
      <c r="DV107" s="113"/>
      <c r="DW107" s="113"/>
      <c r="DX107" s="113"/>
      <c r="DY107" s="113"/>
      <c r="DZ107" s="113"/>
      <c r="EA107" s="113"/>
      <c r="EB107" s="113"/>
      <c r="EC107" s="113"/>
      <c r="ED107" s="113"/>
      <c r="EE107" s="113"/>
    </row>
    <row r="108" ht="19.5" customHeight="1">
      <c r="A108" s="84" t="str">
        <f>IF(Roster!$A$106&lt;&gt;"",Roster!$A$106,"")</f>
        <v/>
      </c>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c r="AY108" s="113"/>
      <c r="AZ108" s="113"/>
      <c r="BA108" s="113"/>
      <c r="BB108" s="113"/>
      <c r="BC108" s="113"/>
      <c r="BD108" s="113"/>
      <c r="BE108" s="113"/>
      <c r="BF108" s="113"/>
      <c r="BG108" s="113"/>
      <c r="BH108" s="113"/>
      <c r="BI108" s="113"/>
      <c r="BJ108" s="113"/>
      <c r="BK108" s="113"/>
      <c r="BL108" s="113"/>
      <c r="BM108" s="113"/>
      <c r="BN108" s="113"/>
      <c r="BO108" s="113"/>
      <c r="BP108" s="113"/>
      <c r="BQ108" s="113"/>
      <c r="BR108" s="113"/>
      <c r="BS108" s="113"/>
      <c r="BT108" s="113"/>
      <c r="BU108" s="113"/>
      <c r="BV108" s="113"/>
      <c r="BW108" s="113"/>
      <c r="BX108" s="113"/>
      <c r="BY108" s="113"/>
      <c r="BZ108" s="113"/>
      <c r="CA108" s="113"/>
      <c r="CB108" s="113"/>
      <c r="CC108" s="113"/>
      <c r="CD108" s="113"/>
      <c r="CE108" s="113"/>
      <c r="CF108" s="113"/>
      <c r="CG108" s="113"/>
      <c r="CH108" s="113"/>
      <c r="CI108" s="113"/>
      <c r="CJ108" s="113"/>
      <c r="CK108" s="113"/>
      <c r="CL108" s="113"/>
      <c r="CM108" s="113"/>
      <c r="CN108" s="113"/>
      <c r="CO108" s="113"/>
      <c r="CP108" s="113"/>
      <c r="CQ108" s="113"/>
      <c r="CR108" s="113"/>
      <c r="CS108" s="113"/>
      <c r="CT108" s="113"/>
      <c r="CU108" s="113"/>
      <c r="CV108" s="113"/>
      <c r="CW108" s="113"/>
      <c r="CX108" s="113"/>
      <c r="CY108" s="113"/>
      <c r="CZ108" s="113"/>
      <c r="DA108" s="113"/>
      <c r="DB108" s="113"/>
      <c r="DC108" s="113"/>
      <c r="DD108" s="113"/>
      <c r="DE108" s="113"/>
      <c r="DF108" s="113"/>
      <c r="DG108" s="113"/>
      <c r="DH108" s="113"/>
      <c r="DI108" s="113"/>
      <c r="DJ108" s="113"/>
      <c r="DK108" s="113"/>
      <c r="DL108" s="113"/>
      <c r="DM108" s="113"/>
      <c r="DN108" s="113"/>
      <c r="DO108" s="113"/>
      <c r="DP108" s="113"/>
      <c r="DQ108" s="113"/>
      <c r="DR108" s="113"/>
      <c r="DS108" s="113"/>
      <c r="DT108" s="113"/>
      <c r="DU108" s="113"/>
      <c r="DV108" s="113"/>
      <c r="DW108" s="113"/>
      <c r="DX108" s="113"/>
      <c r="DY108" s="113"/>
      <c r="DZ108" s="113"/>
      <c r="EA108" s="113"/>
      <c r="EB108" s="113"/>
      <c r="EC108" s="113"/>
      <c r="ED108" s="113"/>
      <c r="EE108" s="113"/>
    </row>
    <row r="109" ht="19.5" customHeight="1">
      <c r="A109" s="84" t="str">
        <f>IF(Roster!$A$107&lt;&gt;"",Roster!$A$107,"")</f>
        <v/>
      </c>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c r="AX109" s="113"/>
      <c r="AY109" s="113"/>
      <c r="AZ109" s="113"/>
      <c r="BA109" s="113"/>
      <c r="BB109" s="113"/>
      <c r="BC109" s="113"/>
      <c r="BD109" s="113"/>
      <c r="BE109" s="113"/>
      <c r="BF109" s="113"/>
      <c r="BG109" s="113"/>
      <c r="BH109" s="113"/>
      <c r="BI109" s="113"/>
      <c r="BJ109" s="113"/>
      <c r="BK109" s="113"/>
      <c r="BL109" s="113"/>
      <c r="BM109" s="113"/>
      <c r="BN109" s="113"/>
      <c r="BO109" s="113"/>
      <c r="BP109" s="113"/>
      <c r="BQ109" s="113"/>
      <c r="BR109" s="113"/>
      <c r="BS109" s="113"/>
      <c r="BT109" s="113"/>
      <c r="BU109" s="113"/>
      <c r="BV109" s="113"/>
      <c r="BW109" s="113"/>
      <c r="BX109" s="113"/>
      <c r="BY109" s="113"/>
      <c r="BZ109" s="113"/>
      <c r="CA109" s="113"/>
      <c r="CB109" s="113"/>
      <c r="CC109" s="113"/>
      <c r="CD109" s="113"/>
      <c r="CE109" s="113"/>
      <c r="CF109" s="113"/>
      <c r="CG109" s="113"/>
      <c r="CH109" s="113"/>
      <c r="CI109" s="113"/>
      <c r="CJ109" s="113"/>
      <c r="CK109" s="113"/>
      <c r="CL109" s="113"/>
      <c r="CM109" s="113"/>
      <c r="CN109" s="113"/>
      <c r="CO109" s="113"/>
      <c r="CP109" s="113"/>
      <c r="CQ109" s="113"/>
      <c r="CR109" s="113"/>
      <c r="CS109" s="113"/>
      <c r="CT109" s="113"/>
      <c r="CU109" s="113"/>
      <c r="CV109" s="113"/>
      <c r="CW109" s="113"/>
      <c r="CX109" s="113"/>
      <c r="CY109" s="113"/>
      <c r="CZ109" s="113"/>
      <c r="DA109" s="113"/>
      <c r="DB109" s="113"/>
      <c r="DC109" s="113"/>
      <c r="DD109" s="113"/>
      <c r="DE109" s="113"/>
      <c r="DF109" s="113"/>
      <c r="DG109" s="113"/>
      <c r="DH109" s="113"/>
      <c r="DI109" s="113"/>
      <c r="DJ109" s="113"/>
      <c r="DK109" s="113"/>
      <c r="DL109" s="113"/>
      <c r="DM109" s="113"/>
      <c r="DN109" s="113"/>
      <c r="DO109" s="113"/>
      <c r="DP109" s="113"/>
      <c r="DQ109" s="113"/>
      <c r="DR109" s="113"/>
      <c r="DS109" s="113"/>
      <c r="DT109" s="113"/>
      <c r="DU109" s="113"/>
      <c r="DV109" s="113"/>
      <c r="DW109" s="113"/>
      <c r="DX109" s="113"/>
      <c r="DY109" s="113"/>
      <c r="DZ109" s="113"/>
      <c r="EA109" s="113"/>
      <c r="EB109" s="113"/>
      <c r="EC109" s="113"/>
      <c r="ED109" s="113"/>
      <c r="EE109" s="113"/>
    </row>
    <row r="110" ht="19.5" customHeight="1">
      <c r="A110" s="84" t="str">
        <f>IF(Roster!$A$108&lt;&gt;"",Roster!$A$108,"")</f>
        <v/>
      </c>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c r="AX110" s="113"/>
      <c r="AY110" s="113"/>
      <c r="AZ110" s="113"/>
      <c r="BA110" s="113"/>
      <c r="BB110" s="113"/>
      <c r="BC110" s="113"/>
      <c r="BD110" s="113"/>
      <c r="BE110" s="113"/>
      <c r="BF110" s="113"/>
      <c r="BG110" s="113"/>
      <c r="BH110" s="113"/>
      <c r="BI110" s="113"/>
      <c r="BJ110" s="113"/>
      <c r="BK110" s="113"/>
      <c r="BL110" s="113"/>
      <c r="BM110" s="113"/>
      <c r="BN110" s="113"/>
      <c r="BO110" s="113"/>
      <c r="BP110" s="113"/>
      <c r="BQ110" s="113"/>
      <c r="BR110" s="113"/>
      <c r="BS110" s="113"/>
      <c r="BT110" s="113"/>
      <c r="BU110" s="113"/>
      <c r="BV110" s="113"/>
      <c r="BW110" s="113"/>
      <c r="BX110" s="113"/>
      <c r="BY110" s="113"/>
      <c r="BZ110" s="113"/>
      <c r="CA110" s="113"/>
      <c r="CB110" s="113"/>
      <c r="CC110" s="113"/>
      <c r="CD110" s="113"/>
      <c r="CE110" s="113"/>
      <c r="CF110" s="113"/>
      <c r="CG110" s="113"/>
      <c r="CH110" s="113"/>
      <c r="CI110" s="113"/>
      <c r="CJ110" s="113"/>
      <c r="CK110" s="113"/>
      <c r="CL110" s="113"/>
      <c r="CM110" s="113"/>
      <c r="CN110" s="113"/>
      <c r="CO110" s="113"/>
      <c r="CP110" s="113"/>
      <c r="CQ110" s="113"/>
      <c r="CR110" s="113"/>
      <c r="CS110" s="113"/>
      <c r="CT110" s="113"/>
      <c r="CU110" s="113"/>
      <c r="CV110" s="113"/>
      <c r="CW110" s="113"/>
      <c r="CX110" s="113"/>
      <c r="CY110" s="113"/>
      <c r="CZ110" s="113"/>
      <c r="DA110" s="113"/>
      <c r="DB110" s="113"/>
      <c r="DC110" s="113"/>
      <c r="DD110" s="113"/>
      <c r="DE110" s="113"/>
      <c r="DF110" s="113"/>
      <c r="DG110" s="113"/>
      <c r="DH110" s="113"/>
      <c r="DI110" s="113"/>
      <c r="DJ110" s="113"/>
      <c r="DK110" s="113"/>
      <c r="DL110" s="113"/>
      <c r="DM110" s="113"/>
      <c r="DN110" s="113"/>
      <c r="DO110" s="113"/>
      <c r="DP110" s="113"/>
      <c r="DQ110" s="113"/>
      <c r="DR110" s="113"/>
      <c r="DS110" s="113"/>
      <c r="DT110" s="113"/>
      <c r="DU110" s="113"/>
      <c r="DV110" s="113"/>
      <c r="DW110" s="113"/>
      <c r="DX110" s="113"/>
      <c r="DY110" s="113"/>
      <c r="DZ110" s="113"/>
      <c r="EA110" s="113"/>
      <c r="EB110" s="113"/>
      <c r="EC110" s="113"/>
      <c r="ED110" s="113"/>
      <c r="EE110" s="113"/>
    </row>
    <row r="111" ht="19.5" customHeight="1">
      <c r="A111" s="84" t="str">
        <f>IF(Roster!$A$109&lt;&gt;"",Roster!$A$109,"")</f>
        <v/>
      </c>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c r="AX111" s="113"/>
      <c r="AY111" s="113"/>
      <c r="AZ111" s="113"/>
      <c r="BA111" s="113"/>
      <c r="BB111" s="113"/>
      <c r="BC111" s="113"/>
      <c r="BD111" s="113"/>
      <c r="BE111" s="113"/>
      <c r="BF111" s="113"/>
      <c r="BG111" s="113"/>
      <c r="BH111" s="113"/>
      <c r="BI111" s="113"/>
      <c r="BJ111" s="113"/>
      <c r="BK111" s="113"/>
      <c r="BL111" s="113"/>
      <c r="BM111" s="113"/>
      <c r="BN111" s="113"/>
      <c r="BO111" s="113"/>
      <c r="BP111" s="113"/>
      <c r="BQ111" s="113"/>
      <c r="BR111" s="113"/>
      <c r="BS111" s="113"/>
      <c r="BT111" s="113"/>
      <c r="BU111" s="113"/>
      <c r="BV111" s="113"/>
      <c r="BW111" s="113"/>
      <c r="BX111" s="113"/>
      <c r="BY111" s="113"/>
      <c r="BZ111" s="113"/>
      <c r="CA111" s="113"/>
      <c r="CB111" s="113"/>
      <c r="CC111" s="113"/>
      <c r="CD111" s="113"/>
      <c r="CE111" s="113"/>
      <c r="CF111" s="113"/>
      <c r="CG111" s="113"/>
      <c r="CH111" s="113"/>
      <c r="CI111" s="113"/>
      <c r="CJ111" s="113"/>
      <c r="CK111" s="113"/>
      <c r="CL111" s="113"/>
      <c r="CM111" s="113"/>
      <c r="CN111" s="113"/>
      <c r="CO111" s="113"/>
      <c r="CP111" s="113"/>
      <c r="CQ111" s="113"/>
      <c r="CR111" s="113"/>
      <c r="CS111" s="113"/>
      <c r="CT111" s="113"/>
      <c r="CU111" s="113"/>
      <c r="CV111" s="113"/>
      <c r="CW111" s="113"/>
      <c r="CX111" s="113"/>
      <c r="CY111" s="113"/>
      <c r="CZ111" s="113"/>
      <c r="DA111" s="113"/>
      <c r="DB111" s="113"/>
      <c r="DC111" s="113"/>
      <c r="DD111" s="113"/>
      <c r="DE111" s="113"/>
      <c r="DF111" s="113"/>
      <c r="DG111" s="113"/>
      <c r="DH111" s="113"/>
      <c r="DI111" s="113"/>
      <c r="DJ111" s="113"/>
      <c r="DK111" s="113"/>
      <c r="DL111" s="113"/>
      <c r="DM111" s="113"/>
      <c r="DN111" s="113"/>
      <c r="DO111" s="113"/>
      <c r="DP111" s="113"/>
      <c r="DQ111" s="113"/>
      <c r="DR111" s="113"/>
      <c r="DS111" s="113"/>
      <c r="DT111" s="113"/>
      <c r="DU111" s="113"/>
      <c r="DV111" s="113"/>
      <c r="DW111" s="113"/>
      <c r="DX111" s="113"/>
      <c r="DY111" s="113"/>
      <c r="DZ111" s="113"/>
      <c r="EA111" s="113"/>
      <c r="EB111" s="113"/>
      <c r="EC111" s="113"/>
      <c r="ED111" s="113"/>
      <c r="EE111" s="113"/>
    </row>
    <row r="112" ht="19.5" customHeight="1">
      <c r="A112" s="84" t="str">
        <f>IF(Roster!$A$110&lt;&gt;"",Roster!$A$110,"")</f>
        <v/>
      </c>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c r="AX112" s="113"/>
      <c r="AY112" s="113"/>
      <c r="AZ112" s="113"/>
      <c r="BA112" s="113"/>
      <c r="BB112" s="113"/>
      <c r="BC112" s="113"/>
      <c r="BD112" s="113"/>
      <c r="BE112" s="113"/>
      <c r="BF112" s="113"/>
      <c r="BG112" s="113"/>
      <c r="BH112" s="113"/>
      <c r="BI112" s="113"/>
      <c r="BJ112" s="113"/>
      <c r="BK112" s="113"/>
      <c r="BL112" s="113"/>
      <c r="BM112" s="113"/>
      <c r="BN112" s="113"/>
      <c r="BO112" s="113"/>
      <c r="BP112" s="113"/>
      <c r="BQ112" s="113"/>
      <c r="BR112" s="113"/>
      <c r="BS112" s="113"/>
      <c r="BT112" s="113"/>
      <c r="BU112" s="113"/>
      <c r="BV112" s="113"/>
      <c r="BW112" s="113"/>
      <c r="BX112" s="113"/>
      <c r="BY112" s="113"/>
      <c r="BZ112" s="113"/>
      <c r="CA112" s="113"/>
      <c r="CB112" s="113"/>
      <c r="CC112" s="113"/>
      <c r="CD112" s="113"/>
      <c r="CE112" s="113"/>
      <c r="CF112" s="113"/>
      <c r="CG112" s="113"/>
      <c r="CH112" s="113"/>
      <c r="CI112" s="113"/>
      <c r="CJ112" s="113"/>
      <c r="CK112" s="113"/>
      <c r="CL112" s="113"/>
      <c r="CM112" s="113"/>
      <c r="CN112" s="113"/>
      <c r="CO112" s="113"/>
      <c r="CP112" s="113"/>
      <c r="CQ112" s="113"/>
      <c r="CR112" s="113"/>
      <c r="CS112" s="113"/>
      <c r="CT112" s="113"/>
      <c r="CU112" s="113"/>
      <c r="CV112" s="113"/>
      <c r="CW112" s="113"/>
      <c r="CX112" s="113"/>
      <c r="CY112" s="113"/>
      <c r="CZ112" s="113"/>
      <c r="DA112" s="113"/>
      <c r="DB112" s="113"/>
      <c r="DC112" s="113"/>
      <c r="DD112" s="113"/>
      <c r="DE112" s="113"/>
      <c r="DF112" s="113"/>
      <c r="DG112" s="113"/>
      <c r="DH112" s="113"/>
      <c r="DI112" s="113"/>
      <c r="DJ112" s="113"/>
      <c r="DK112" s="113"/>
      <c r="DL112" s="113"/>
      <c r="DM112" s="113"/>
      <c r="DN112" s="113"/>
      <c r="DO112" s="113"/>
      <c r="DP112" s="113"/>
      <c r="DQ112" s="113"/>
      <c r="DR112" s="113"/>
      <c r="DS112" s="113"/>
      <c r="DT112" s="113"/>
      <c r="DU112" s="113"/>
      <c r="DV112" s="113"/>
      <c r="DW112" s="113"/>
      <c r="DX112" s="113"/>
      <c r="DY112" s="113"/>
      <c r="DZ112" s="113"/>
      <c r="EA112" s="113"/>
      <c r="EB112" s="113"/>
      <c r="EC112" s="113"/>
      <c r="ED112" s="113"/>
      <c r="EE112" s="113"/>
    </row>
    <row r="113" ht="19.5" customHeight="1">
      <c r="A113" s="84" t="str">
        <f>IF(Roster!$A$111&lt;&gt;"",Roster!$A$111,"")</f>
        <v/>
      </c>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3"/>
      <c r="CH113" s="113"/>
      <c r="CI113" s="113"/>
      <c r="CJ113" s="113"/>
      <c r="CK113" s="113"/>
      <c r="CL113" s="113"/>
      <c r="CM113" s="113"/>
      <c r="CN113" s="113"/>
      <c r="CO113" s="113"/>
      <c r="CP113" s="113"/>
      <c r="CQ113" s="113"/>
      <c r="CR113" s="113"/>
      <c r="CS113" s="113"/>
      <c r="CT113" s="113"/>
      <c r="CU113" s="113"/>
      <c r="CV113" s="113"/>
      <c r="CW113" s="113"/>
      <c r="CX113" s="113"/>
      <c r="CY113" s="113"/>
      <c r="CZ113" s="113"/>
      <c r="DA113" s="113"/>
      <c r="DB113" s="113"/>
      <c r="DC113" s="113"/>
      <c r="DD113" s="113"/>
      <c r="DE113" s="113"/>
      <c r="DF113" s="113"/>
      <c r="DG113" s="113"/>
      <c r="DH113" s="113"/>
      <c r="DI113" s="113"/>
      <c r="DJ113" s="113"/>
      <c r="DK113" s="113"/>
      <c r="DL113" s="113"/>
      <c r="DM113" s="113"/>
      <c r="DN113" s="113"/>
      <c r="DO113" s="113"/>
      <c r="DP113" s="113"/>
      <c r="DQ113" s="113"/>
      <c r="DR113" s="113"/>
      <c r="DS113" s="113"/>
      <c r="DT113" s="113"/>
      <c r="DU113" s="113"/>
      <c r="DV113" s="113"/>
      <c r="DW113" s="113"/>
      <c r="DX113" s="113"/>
      <c r="DY113" s="113"/>
      <c r="DZ113" s="113"/>
      <c r="EA113" s="113"/>
      <c r="EB113" s="113"/>
      <c r="EC113" s="113"/>
      <c r="ED113" s="113"/>
      <c r="EE113" s="113"/>
    </row>
    <row r="114" ht="19.5" customHeight="1">
      <c r="A114" s="84" t="str">
        <f>IF(Roster!$A$112&lt;&gt;"",Roster!$A$112,"")</f>
        <v/>
      </c>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c r="AX114" s="113"/>
      <c r="AY114" s="113"/>
      <c r="AZ114" s="113"/>
      <c r="BA114" s="113"/>
      <c r="BB114" s="113"/>
      <c r="BC114" s="113"/>
      <c r="BD114" s="113"/>
      <c r="BE114" s="113"/>
      <c r="BF114" s="113"/>
      <c r="BG114" s="113"/>
      <c r="BH114" s="113"/>
      <c r="BI114" s="113"/>
      <c r="BJ114" s="113"/>
      <c r="BK114" s="113"/>
      <c r="BL114" s="113"/>
      <c r="BM114" s="113"/>
      <c r="BN114" s="113"/>
      <c r="BO114" s="113"/>
      <c r="BP114" s="113"/>
      <c r="BQ114" s="113"/>
      <c r="BR114" s="113"/>
      <c r="BS114" s="113"/>
      <c r="BT114" s="113"/>
      <c r="BU114" s="113"/>
      <c r="BV114" s="113"/>
      <c r="BW114" s="113"/>
      <c r="BX114" s="113"/>
      <c r="BY114" s="113"/>
      <c r="BZ114" s="113"/>
      <c r="CA114" s="113"/>
      <c r="CB114" s="113"/>
      <c r="CC114" s="113"/>
      <c r="CD114" s="113"/>
      <c r="CE114" s="113"/>
      <c r="CF114" s="113"/>
      <c r="CG114" s="113"/>
      <c r="CH114" s="113"/>
      <c r="CI114" s="113"/>
      <c r="CJ114" s="113"/>
      <c r="CK114" s="113"/>
      <c r="CL114" s="113"/>
      <c r="CM114" s="113"/>
      <c r="CN114" s="113"/>
      <c r="CO114" s="113"/>
      <c r="CP114" s="113"/>
      <c r="CQ114" s="113"/>
      <c r="CR114" s="113"/>
      <c r="CS114" s="113"/>
      <c r="CT114" s="113"/>
      <c r="CU114" s="113"/>
      <c r="CV114" s="113"/>
      <c r="CW114" s="113"/>
      <c r="CX114" s="113"/>
      <c r="CY114" s="113"/>
      <c r="CZ114" s="113"/>
      <c r="DA114" s="113"/>
      <c r="DB114" s="113"/>
      <c r="DC114" s="113"/>
      <c r="DD114" s="113"/>
      <c r="DE114" s="113"/>
      <c r="DF114" s="113"/>
      <c r="DG114" s="113"/>
      <c r="DH114" s="113"/>
      <c r="DI114" s="113"/>
      <c r="DJ114" s="113"/>
      <c r="DK114" s="113"/>
      <c r="DL114" s="113"/>
      <c r="DM114" s="113"/>
      <c r="DN114" s="113"/>
      <c r="DO114" s="113"/>
      <c r="DP114" s="113"/>
      <c r="DQ114" s="113"/>
      <c r="DR114" s="113"/>
      <c r="DS114" s="113"/>
      <c r="DT114" s="113"/>
      <c r="DU114" s="113"/>
      <c r="DV114" s="113"/>
      <c r="DW114" s="113"/>
      <c r="DX114" s="113"/>
      <c r="DY114" s="113"/>
      <c r="DZ114" s="113"/>
      <c r="EA114" s="113"/>
      <c r="EB114" s="113"/>
      <c r="EC114" s="113"/>
      <c r="ED114" s="113"/>
      <c r="EE114" s="113"/>
    </row>
    <row r="115" ht="19.5" customHeight="1">
      <c r="A115" s="84" t="str">
        <f>IF(Roster!$A$113&lt;&gt;"",Roster!$A$113,"")</f>
        <v/>
      </c>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c r="AX115" s="113"/>
      <c r="AY115" s="113"/>
      <c r="AZ115" s="113"/>
      <c r="BA115" s="113"/>
      <c r="BB115" s="113"/>
      <c r="BC115" s="113"/>
      <c r="BD115" s="113"/>
      <c r="BE115" s="113"/>
      <c r="BF115" s="113"/>
      <c r="BG115" s="113"/>
      <c r="BH115" s="113"/>
      <c r="BI115" s="113"/>
      <c r="BJ115" s="113"/>
      <c r="BK115" s="113"/>
      <c r="BL115" s="113"/>
      <c r="BM115" s="113"/>
      <c r="BN115" s="113"/>
      <c r="BO115" s="113"/>
      <c r="BP115" s="113"/>
      <c r="BQ115" s="113"/>
      <c r="BR115" s="113"/>
      <c r="BS115" s="113"/>
      <c r="BT115" s="113"/>
      <c r="BU115" s="113"/>
      <c r="BV115" s="113"/>
      <c r="BW115" s="113"/>
      <c r="BX115" s="113"/>
      <c r="BY115" s="113"/>
      <c r="BZ115" s="113"/>
      <c r="CA115" s="113"/>
      <c r="CB115" s="113"/>
      <c r="CC115" s="113"/>
      <c r="CD115" s="113"/>
      <c r="CE115" s="113"/>
      <c r="CF115" s="113"/>
      <c r="CG115" s="113"/>
      <c r="CH115" s="113"/>
      <c r="CI115" s="113"/>
      <c r="CJ115" s="113"/>
      <c r="CK115" s="113"/>
      <c r="CL115" s="113"/>
      <c r="CM115" s="113"/>
      <c r="CN115" s="113"/>
      <c r="CO115" s="113"/>
      <c r="CP115" s="113"/>
      <c r="CQ115" s="113"/>
      <c r="CR115" s="113"/>
      <c r="CS115" s="113"/>
      <c r="CT115" s="113"/>
      <c r="CU115" s="113"/>
      <c r="CV115" s="113"/>
      <c r="CW115" s="113"/>
      <c r="CX115" s="113"/>
      <c r="CY115" s="113"/>
      <c r="CZ115" s="113"/>
      <c r="DA115" s="113"/>
      <c r="DB115" s="113"/>
      <c r="DC115" s="113"/>
      <c r="DD115" s="113"/>
      <c r="DE115" s="113"/>
      <c r="DF115" s="113"/>
      <c r="DG115" s="113"/>
      <c r="DH115" s="113"/>
      <c r="DI115" s="113"/>
      <c r="DJ115" s="113"/>
      <c r="DK115" s="113"/>
      <c r="DL115" s="113"/>
      <c r="DM115" s="113"/>
      <c r="DN115" s="113"/>
      <c r="DO115" s="113"/>
      <c r="DP115" s="113"/>
      <c r="DQ115" s="113"/>
      <c r="DR115" s="113"/>
      <c r="DS115" s="113"/>
      <c r="DT115" s="113"/>
      <c r="DU115" s="113"/>
      <c r="DV115" s="113"/>
      <c r="DW115" s="113"/>
      <c r="DX115" s="113"/>
      <c r="DY115" s="113"/>
      <c r="DZ115" s="113"/>
      <c r="EA115" s="113"/>
      <c r="EB115" s="113"/>
      <c r="EC115" s="113"/>
      <c r="ED115" s="113"/>
      <c r="EE115" s="113"/>
    </row>
    <row r="116" ht="19.5" customHeight="1">
      <c r="A116" s="84" t="str">
        <f>IF(Roster!$A$114&lt;&gt;"",Roster!$A$114,"")</f>
        <v/>
      </c>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c r="AX116" s="113"/>
      <c r="AY116" s="113"/>
      <c r="AZ116" s="113"/>
      <c r="BA116" s="113"/>
      <c r="BB116" s="113"/>
      <c r="BC116" s="113"/>
      <c r="BD116" s="113"/>
      <c r="BE116" s="113"/>
      <c r="BF116" s="113"/>
      <c r="BG116" s="113"/>
      <c r="BH116" s="113"/>
      <c r="BI116" s="113"/>
      <c r="BJ116" s="113"/>
      <c r="BK116" s="113"/>
      <c r="BL116" s="113"/>
      <c r="BM116" s="113"/>
      <c r="BN116" s="113"/>
      <c r="BO116" s="113"/>
      <c r="BP116" s="113"/>
      <c r="BQ116" s="113"/>
      <c r="BR116" s="113"/>
      <c r="BS116" s="113"/>
      <c r="BT116" s="113"/>
      <c r="BU116" s="113"/>
      <c r="BV116" s="113"/>
      <c r="BW116" s="113"/>
      <c r="BX116" s="113"/>
      <c r="BY116" s="113"/>
      <c r="BZ116" s="113"/>
      <c r="CA116" s="113"/>
      <c r="CB116" s="113"/>
      <c r="CC116" s="113"/>
      <c r="CD116" s="113"/>
      <c r="CE116" s="113"/>
      <c r="CF116" s="113"/>
      <c r="CG116" s="113"/>
      <c r="CH116" s="113"/>
      <c r="CI116" s="113"/>
      <c r="CJ116" s="113"/>
      <c r="CK116" s="113"/>
      <c r="CL116" s="113"/>
      <c r="CM116" s="113"/>
      <c r="CN116" s="113"/>
      <c r="CO116" s="113"/>
      <c r="CP116" s="113"/>
      <c r="CQ116" s="113"/>
      <c r="CR116" s="113"/>
      <c r="CS116" s="113"/>
      <c r="CT116" s="113"/>
      <c r="CU116" s="113"/>
      <c r="CV116" s="113"/>
      <c r="CW116" s="113"/>
      <c r="CX116" s="113"/>
      <c r="CY116" s="113"/>
      <c r="CZ116" s="113"/>
      <c r="DA116" s="113"/>
      <c r="DB116" s="113"/>
      <c r="DC116" s="113"/>
      <c r="DD116" s="113"/>
      <c r="DE116" s="113"/>
      <c r="DF116" s="113"/>
      <c r="DG116" s="113"/>
      <c r="DH116" s="113"/>
      <c r="DI116" s="113"/>
      <c r="DJ116" s="113"/>
      <c r="DK116" s="113"/>
      <c r="DL116" s="113"/>
      <c r="DM116" s="113"/>
      <c r="DN116" s="113"/>
      <c r="DO116" s="113"/>
      <c r="DP116" s="113"/>
      <c r="DQ116" s="113"/>
      <c r="DR116" s="113"/>
      <c r="DS116" s="113"/>
      <c r="DT116" s="113"/>
      <c r="DU116" s="113"/>
      <c r="DV116" s="113"/>
      <c r="DW116" s="113"/>
      <c r="DX116" s="113"/>
      <c r="DY116" s="113"/>
      <c r="DZ116" s="113"/>
      <c r="EA116" s="113"/>
      <c r="EB116" s="113"/>
      <c r="EC116" s="113"/>
      <c r="ED116" s="113"/>
      <c r="EE116" s="113"/>
    </row>
    <row r="117" ht="19.5" customHeight="1">
      <c r="A117" s="84" t="str">
        <f>IF(Roster!$A$115&lt;&gt;"",Roster!$A$115,"")</f>
        <v/>
      </c>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c r="AX117" s="113"/>
      <c r="AY117" s="113"/>
      <c r="AZ117" s="113"/>
      <c r="BA117" s="113"/>
      <c r="BB117" s="113"/>
      <c r="BC117" s="113"/>
      <c r="BD117" s="113"/>
      <c r="BE117" s="113"/>
      <c r="BF117" s="113"/>
      <c r="BG117" s="113"/>
      <c r="BH117" s="113"/>
      <c r="BI117" s="113"/>
      <c r="BJ117" s="113"/>
      <c r="BK117" s="113"/>
      <c r="BL117" s="113"/>
      <c r="BM117" s="113"/>
      <c r="BN117" s="113"/>
      <c r="BO117" s="113"/>
      <c r="BP117" s="113"/>
      <c r="BQ117" s="113"/>
      <c r="BR117" s="113"/>
      <c r="BS117" s="113"/>
      <c r="BT117" s="113"/>
      <c r="BU117" s="113"/>
      <c r="BV117" s="113"/>
      <c r="BW117" s="113"/>
      <c r="BX117" s="113"/>
      <c r="BY117" s="113"/>
      <c r="BZ117" s="113"/>
      <c r="CA117" s="113"/>
      <c r="CB117" s="113"/>
      <c r="CC117" s="113"/>
      <c r="CD117" s="113"/>
      <c r="CE117" s="113"/>
      <c r="CF117" s="113"/>
      <c r="CG117" s="113"/>
      <c r="CH117" s="113"/>
      <c r="CI117" s="113"/>
      <c r="CJ117" s="113"/>
      <c r="CK117" s="113"/>
      <c r="CL117" s="113"/>
      <c r="CM117" s="113"/>
      <c r="CN117" s="113"/>
      <c r="CO117" s="113"/>
      <c r="CP117" s="113"/>
      <c r="CQ117" s="113"/>
      <c r="CR117" s="113"/>
      <c r="CS117" s="113"/>
      <c r="CT117" s="113"/>
      <c r="CU117" s="113"/>
      <c r="CV117" s="113"/>
      <c r="CW117" s="113"/>
      <c r="CX117" s="113"/>
      <c r="CY117" s="113"/>
      <c r="CZ117" s="113"/>
      <c r="DA117" s="113"/>
      <c r="DB117" s="113"/>
      <c r="DC117" s="113"/>
      <c r="DD117" s="113"/>
      <c r="DE117" s="113"/>
      <c r="DF117" s="113"/>
      <c r="DG117" s="113"/>
      <c r="DH117" s="113"/>
      <c r="DI117" s="113"/>
      <c r="DJ117" s="113"/>
      <c r="DK117" s="113"/>
      <c r="DL117" s="113"/>
      <c r="DM117" s="113"/>
      <c r="DN117" s="113"/>
      <c r="DO117" s="113"/>
      <c r="DP117" s="113"/>
      <c r="DQ117" s="113"/>
      <c r="DR117" s="113"/>
      <c r="DS117" s="113"/>
      <c r="DT117" s="113"/>
      <c r="DU117" s="113"/>
      <c r="DV117" s="113"/>
      <c r="DW117" s="113"/>
      <c r="DX117" s="113"/>
      <c r="DY117" s="113"/>
      <c r="DZ117" s="113"/>
      <c r="EA117" s="113"/>
      <c r="EB117" s="113"/>
      <c r="EC117" s="113"/>
      <c r="ED117" s="113"/>
      <c r="EE117" s="113"/>
    </row>
    <row r="118" ht="19.5" customHeight="1">
      <c r="A118" s="84" t="str">
        <f>IF(Roster!$A$116&lt;&gt;"",Roster!$A$116,"")</f>
        <v/>
      </c>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c r="AX118" s="113"/>
      <c r="AY118" s="113"/>
      <c r="AZ118" s="113"/>
      <c r="BA118" s="113"/>
      <c r="BB118" s="113"/>
      <c r="BC118" s="113"/>
      <c r="BD118" s="113"/>
      <c r="BE118" s="113"/>
      <c r="BF118" s="113"/>
      <c r="BG118" s="113"/>
      <c r="BH118" s="113"/>
      <c r="BI118" s="113"/>
      <c r="BJ118" s="113"/>
      <c r="BK118" s="113"/>
      <c r="BL118" s="113"/>
      <c r="BM118" s="113"/>
      <c r="BN118" s="113"/>
      <c r="BO118" s="113"/>
      <c r="BP118" s="113"/>
      <c r="BQ118" s="113"/>
      <c r="BR118" s="113"/>
      <c r="BS118" s="113"/>
      <c r="BT118" s="113"/>
      <c r="BU118" s="113"/>
      <c r="BV118" s="113"/>
      <c r="BW118" s="113"/>
      <c r="BX118" s="113"/>
      <c r="BY118" s="113"/>
      <c r="BZ118" s="113"/>
      <c r="CA118" s="113"/>
      <c r="CB118" s="113"/>
      <c r="CC118" s="113"/>
      <c r="CD118" s="113"/>
      <c r="CE118" s="113"/>
      <c r="CF118" s="113"/>
      <c r="CG118" s="113"/>
      <c r="CH118" s="113"/>
      <c r="CI118" s="113"/>
      <c r="CJ118" s="113"/>
      <c r="CK118" s="113"/>
      <c r="CL118" s="113"/>
      <c r="CM118" s="113"/>
      <c r="CN118" s="113"/>
      <c r="CO118" s="113"/>
      <c r="CP118" s="113"/>
      <c r="CQ118" s="113"/>
      <c r="CR118" s="113"/>
      <c r="CS118" s="113"/>
      <c r="CT118" s="113"/>
      <c r="CU118" s="113"/>
      <c r="CV118" s="113"/>
      <c r="CW118" s="113"/>
      <c r="CX118" s="113"/>
      <c r="CY118" s="113"/>
      <c r="CZ118" s="113"/>
      <c r="DA118" s="113"/>
      <c r="DB118" s="113"/>
      <c r="DC118" s="113"/>
      <c r="DD118" s="113"/>
      <c r="DE118" s="113"/>
      <c r="DF118" s="113"/>
      <c r="DG118" s="113"/>
      <c r="DH118" s="113"/>
      <c r="DI118" s="113"/>
      <c r="DJ118" s="113"/>
      <c r="DK118" s="113"/>
      <c r="DL118" s="113"/>
      <c r="DM118" s="113"/>
      <c r="DN118" s="113"/>
      <c r="DO118" s="113"/>
      <c r="DP118" s="113"/>
      <c r="DQ118" s="113"/>
      <c r="DR118" s="113"/>
      <c r="DS118" s="113"/>
      <c r="DT118" s="113"/>
      <c r="DU118" s="113"/>
      <c r="DV118" s="113"/>
      <c r="DW118" s="113"/>
      <c r="DX118" s="113"/>
      <c r="DY118" s="113"/>
      <c r="DZ118" s="113"/>
      <c r="EA118" s="113"/>
      <c r="EB118" s="113"/>
      <c r="EC118" s="113"/>
      <c r="ED118" s="113"/>
      <c r="EE118" s="113"/>
    </row>
    <row r="119" ht="19.5" customHeight="1">
      <c r="A119" s="84" t="str">
        <f>IF(Roster!$A$117&lt;&gt;"",Roster!$A$117,"")</f>
        <v/>
      </c>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c r="AX119" s="113"/>
      <c r="AY119" s="113"/>
      <c r="AZ119" s="113"/>
      <c r="BA119" s="113"/>
      <c r="BB119" s="113"/>
      <c r="BC119" s="113"/>
      <c r="BD119" s="113"/>
      <c r="BE119" s="113"/>
      <c r="BF119" s="113"/>
      <c r="BG119" s="113"/>
      <c r="BH119" s="113"/>
      <c r="BI119" s="113"/>
      <c r="BJ119" s="113"/>
      <c r="BK119" s="113"/>
      <c r="BL119" s="113"/>
      <c r="BM119" s="113"/>
      <c r="BN119" s="113"/>
      <c r="BO119" s="113"/>
      <c r="BP119" s="113"/>
      <c r="BQ119" s="113"/>
      <c r="BR119" s="113"/>
      <c r="BS119" s="113"/>
      <c r="BT119" s="113"/>
      <c r="BU119" s="113"/>
      <c r="BV119" s="113"/>
      <c r="BW119" s="113"/>
      <c r="BX119" s="113"/>
      <c r="BY119" s="113"/>
      <c r="BZ119" s="113"/>
      <c r="CA119" s="113"/>
      <c r="CB119" s="113"/>
      <c r="CC119" s="113"/>
      <c r="CD119" s="113"/>
      <c r="CE119" s="113"/>
      <c r="CF119" s="113"/>
      <c r="CG119" s="113"/>
      <c r="CH119" s="113"/>
      <c r="CI119" s="113"/>
      <c r="CJ119" s="113"/>
      <c r="CK119" s="113"/>
      <c r="CL119" s="113"/>
      <c r="CM119" s="113"/>
      <c r="CN119" s="113"/>
      <c r="CO119" s="113"/>
      <c r="CP119" s="113"/>
      <c r="CQ119" s="113"/>
      <c r="CR119" s="113"/>
      <c r="CS119" s="113"/>
      <c r="CT119" s="113"/>
      <c r="CU119" s="113"/>
      <c r="CV119" s="113"/>
      <c r="CW119" s="113"/>
      <c r="CX119" s="113"/>
      <c r="CY119" s="113"/>
      <c r="CZ119" s="113"/>
      <c r="DA119" s="113"/>
      <c r="DB119" s="113"/>
      <c r="DC119" s="113"/>
      <c r="DD119" s="113"/>
      <c r="DE119" s="113"/>
      <c r="DF119" s="113"/>
      <c r="DG119" s="113"/>
      <c r="DH119" s="113"/>
      <c r="DI119" s="113"/>
      <c r="DJ119" s="113"/>
      <c r="DK119" s="113"/>
      <c r="DL119" s="113"/>
      <c r="DM119" s="113"/>
      <c r="DN119" s="113"/>
      <c r="DO119" s="113"/>
      <c r="DP119" s="113"/>
      <c r="DQ119" s="113"/>
      <c r="DR119" s="113"/>
      <c r="DS119" s="113"/>
      <c r="DT119" s="113"/>
      <c r="DU119" s="113"/>
      <c r="DV119" s="113"/>
      <c r="DW119" s="113"/>
      <c r="DX119" s="113"/>
      <c r="DY119" s="113"/>
      <c r="DZ119" s="113"/>
      <c r="EA119" s="113"/>
      <c r="EB119" s="113"/>
      <c r="EC119" s="113"/>
      <c r="ED119" s="113"/>
      <c r="EE119" s="113"/>
    </row>
    <row r="120" ht="19.5" customHeight="1">
      <c r="A120" s="84" t="str">
        <f>IF(Roster!$A$118&lt;&gt;"",Roster!$A$118,"")</f>
        <v/>
      </c>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c r="AX120" s="113"/>
      <c r="AY120" s="113"/>
      <c r="AZ120" s="113"/>
      <c r="BA120" s="113"/>
      <c r="BB120" s="113"/>
      <c r="BC120" s="113"/>
      <c r="BD120" s="113"/>
      <c r="BE120" s="113"/>
      <c r="BF120" s="113"/>
      <c r="BG120" s="113"/>
      <c r="BH120" s="113"/>
      <c r="BI120" s="113"/>
      <c r="BJ120" s="113"/>
      <c r="BK120" s="113"/>
      <c r="BL120" s="113"/>
      <c r="BM120" s="113"/>
      <c r="BN120" s="113"/>
      <c r="BO120" s="113"/>
      <c r="BP120" s="113"/>
      <c r="BQ120" s="113"/>
      <c r="BR120" s="113"/>
      <c r="BS120" s="113"/>
      <c r="BT120" s="113"/>
      <c r="BU120" s="113"/>
      <c r="BV120" s="113"/>
      <c r="BW120" s="113"/>
      <c r="BX120" s="113"/>
      <c r="BY120" s="113"/>
      <c r="BZ120" s="113"/>
      <c r="CA120" s="113"/>
      <c r="CB120" s="113"/>
      <c r="CC120" s="113"/>
      <c r="CD120" s="113"/>
      <c r="CE120" s="113"/>
      <c r="CF120" s="113"/>
      <c r="CG120" s="113"/>
      <c r="CH120" s="113"/>
      <c r="CI120" s="113"/>
      <c r="CJ120" s="113"/>
      <c r="CK120" s="113"/>
      <c r="CL120" s="113"/>
      <c r="CM120" s="113"/>
      <c r="CN120" s="113"/>
      <c r="CO120" s="113"/>
      <c r="CP120" s="113"/>
      <c r="CQ120" s="113"/>
      <c r="CR120" s="113"/>
      <c r="CS120" s="113"/>
      <c r="CT120" s="113"/>
      <c r="CU120" s="113"/>
      <c r="CV120" s="113"/>
      <c r="CW120" s="113"/>
      <c r="CX120" s="113"/>
      <c r="CY120" s="113"/>
      <c r="CZ120" s="113"/>
      <c r="DA120" s="113"/>
      <c r="DB120" s="113"/>
      <c r="DC120" s="113"/>
      <c r="DD120" s="113"/>
      <c r="DE120" s="113"/>
      <c r="DF120" s="113"/>
      <c r="DG120" s="113"/>
      <c r="DH120" s="113"/>
      <c r="DI120" s="113"/>
      <c r="DJ120" s="113"/>
      <c r="DK120" s="113"/>
      <c r="DL120" s="113"/>
      <c r="DM120" s="113"/>
      <c r="DN120" s="113"/>
      <c r="DO120" s="113"/>
      <c r="DP120" s="113"/>
      <c r="DQ120" s="113"/>
      <c r="DR120" s="113"/>
      <c r="DS120" s="113"/>
      <c r="DT120" s="113"/>
      <c r="DU120" s="113"/>
      <c r="DV120" s="113"/>
      <c r="DW120" s="113"/>
      <c r="DX120" s="113"/>
      <c r="DY120" s="113"/>
      <c r="DZ120" s="113"/>
      <c r="EA120" s="113"/>
      <c r="EB120" s="113"/>
      <c r="EC120" s="113"/>
      <c r="ED120" s="113"/>
      <c r="EE120" s="113"/>
    </row>
    <row r="121" ht="19.5" customHeight="1">
      <c r="A121" s="84" t="str">
        <f>IF(Roster!$A$119&lt;&gt;"",Roster!$A$119,"")</f>
        <v/>
      </c>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c r="AO121" s="113"/>
      <c r="AP121" s="113"/>
      <c r="AQ121" s="113"/>
      <c r="AR121" s="113"/>
      <c r="AS121" s="113"/>
      <c r="AT121" s="113"/>
      <c r="AU121" s="113"/>
      <c r="AV121" s="113"/>
      <c r="AW121" s="113"/>
      <c r="AX121" s="113"/>
      <c r="AY121" s="113"/>
      <c r="AZ121" s="113"/>
      <c r="BA121" s="113"/>
      <c r="BB121" s="113"/>
      <c r="BC121" s="113"/>
      <c r="BD121" s="113"/>
      <c r="BE121" s="113"/>
      <c r="BF121" s="113"/>
      <c r="BG121" s="113"/>
      <c r="BH121" s="113"/>
      <c r="BI121" s="113"/>
      <c r="BJ121" s="113"/>
      <c r="BK121" s="113"/>
      <c r="BL121" s="113"/>
      <c r="BM121" s="113"/>
      <c r="BN121" s="113"/>
      <c r="BO121" s="113"/>
      <c r="BP121" s="113"/>
      <c r="BQ121" s="113"/>
      <c r="BR121" s="113"/>
      <c r="BS121" s="113"/>
      <c r="BT121" s="113"/>
      <c r="BU121" s="113"/>
      <c r="BV121" s="113"/>
      <c r="BW121" s="113"/>
      <c r="BX121" s="113"/>
      <c r="BY121" s="113"/>
      <c r="BZ121" s="113"/>
      <c r="CA121" s="113"/>
      <c r="CB121" s="113"/>
      <c r="CC121" s="113"/>
      <c r="CD121" s="113"/>
      <c r="CE121" s="113"/>
      <c r="CF121" s="113"/>
      <c r="CG121" s="113"/>
      <c r="CH121" s="113"/>
      <c r="CI121" s="113"/>
      <c r="CJ121" s="113"/>
      <c r="CK121" s="113"/>
      <c r="CL121" s="113"/>
      <c r="CM121" s="113"/>
      <c r="CN121" s="113"/>
      <c r="CO121" s="113"/>
      <c r="CP121" s="113"/>
      <c r="CQ121" s="113"/>
      <c r="CR121" s="113"/>
      <c r="CS121" s="113"/>
      <c r="CT121" s="113"/>
      <c r="CU121" s="113"/>
      <c r="CV121" s="113"/>
      <c r="CW121" s="113"/>
      <c r="CX121" s="113"/>
      <c r="CY121" s="113"/>
      <c r="CZ121" s="113"/>
      <c r="DA121" s="113"/>
      <c r="DB121" s="113"/>
      <c r="DC121" s="113"/>
      <c r="DD121" s="113"/>
      <c r="DE121" s="113"/>
      <c r="DF121" s="113"/>
      <c r="DG121" s="113"/>
      <c r="DH121" s="113"/>
      <c r="DI121" s="113"/>
      <c r="DJ121" s="113"/>
      <c r="DK121" s="113"/>
      <c r="DL121" s="113"/>
      <c r="DM121" s="113"/>
      <c r="DN121" s="113"/>
      <c r="DO121" s="113"/>
      <c r="DP121" s="113"/>
      <c r="DQ121" s="113"/>
      <c r="DR121" s="113"/>
      <c r="DS121" s="113"/>
      <c r="DT121" s="113"/>
      <c r="DU121" s="113"/>
      <c r="DV121" s="113"/>
      <c r="DW121" s="113"/>
      <c r="DX121" s="113"/>
      <c r="DY121" s="113"/>
      <c r="DZ121" s="113"/>
      <c r="EA121" s="113"/>
      <c r="EB121" s="113"/>
      <c r="EC121" s="113"/>
      <c r="ED121" s="113"/>
      <c r="EE121" s="113"/>
    </row>
    <row r="122" ht="19.5" customHeight="1">
      <c r="A122" s="84" t="str">
        <f>IF(Roster!$A$120&lt;&gt;"",Roster!$A$120,"")</f>
        <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c r="AX122" s="113"/>
      <c r="AY122" s="113"/>
      <c r="AZ122" s="113"/>
      <c r="BA122" s="113"/>
      <c r="BB122" s="113"/>
      <c r="BC122" s="113"/>
      <c r="BD122" s="113"/>
      <c r="BE122" s="113"/>
      <c r="BF122" s="113"/>
      <c r="BG122" s="113"/>
      <c r="BH122" s="113"/>
      <c r="BI122" s="113"/>
      <c r="BJ122" s="113"/>
      <c r="BK122" s="113"/>
      <c r="BL122" s="113"/>
      <c r="BM122" s="113"/>
      <c r="BN122" s="113"/>
      <c r="BO122" s="113"/>
      <c r="BP122" s="113"/>
      <c r="BQ122" s="113"/>
      <c r="BR122" s="113"/>
      <c r="BS122" s="113"/>
      <c r="BT122" s="113"/>
      <c r="BU122" s="113"/>
      <c r="BV122" s="113"/>
      <c r="BW122" s="113"/>
      <c r="BX122" s="113"/>
      <c r="BY122" s="113"/>
      <c r="BZ122" s="113"/>
      <c r="CA122" s="113"/>
      <c r="CB122" s="113"/>
      <c r="CC122" s="113"/>
      <c r="CD122" s="113"/>
      <c r="CE122" s="113"/>
      <c r="CF122" s="113"/>
      <c r="CG122" s="113"/>
      <c r="CH122" s="113"/>
      <c r="CI122" s="113"/>
      <c r="CJ122" s="113"/>
      <c r="CK122" s="113"/>
      <c r="CL122" s="113"/>
      <c r="CM122" s="113"/>
      <c r="CN122" s="113"/>
      <c r="CO122" s="113"/>
      <c r="CP122" s="113"/>
      <c r="CQ122" s="113"/>
      <c r="CR122" s="113"/>
      <c r="CS122" s="113"/>
      <c r="CT122" s="113"/>
      <c r="CU122" s="113"/>
      <c r="CV122" s="113"/>
      <c r="CW122" s="113"/>
      <c r="CX122" s="113"/>
      <c r="CY122" s="113"/>
      <c r="CZ122" s="113"/>
      <c r="DA122" s="113"/>
      <c r="DB122" s="113"/>
      <c r="DC122" s="113"/>
      <c r="DD122" s="113"/>
      <c r="DE122" s="113"/>
      <c r="DF122" s="113"/>
      <c r="DG122" s="113"/>
      <c r="DH122" s="113"/>
      <c r="DI122" s="113"/>
      <c r="DJ122" s="113"/>
      <c r="DK122" s="113"/>
      <c r="DL122" s="113"/>
      <c r="DM122" s="113"/>
      <c r="DN122" s="113"/>
      <c r="DO122" s="113"/>
      <c r="DP122" s="113"/>
      <c r="DQ122" s="113"/>
      <c r="DR122" s="113"/>
      <c r="DS122" s="113"/>
      <c r="DT122" s="113"/>
      <c r="DU122" s="113"/>
      <c r="DV122" s="113"/>
      <c r="DW122" s="113"/>
      <c r="DX122" s="113"/>
      <c r="DY122" s="113"/>
      <c r="DZ122" s="113"/>
      <c r="EA122" s="113"/>
      <c r="EB122" s="113"/>
      <c r="EC122" s="113"/>
      <c r="ED122" s="113"/>
      <c r="EE122" s="113"/>
    </row>
    <row r="123" ht="19.5" customHeight="1">
      <c r="A123" s="84" t="str">
        <f>IF(Roster!$A$121&lt;&gt;"",Roster!$A$121,"")</f>
        <v/>
      </c>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c r="AX123" s="113"/>
      <c r="AY123" s="113"/>
      <c r="AZ123" s="113"/>
      <c r="BA123" s="113"/>
      <c r="BB123" s="113"/>
      <c r="BC123" s="113"/>
      <c r="BD123" s="113"/>
      <c r="BE123" s="113"/>
      <c r="BF123" s="113"/>
      <c r="BG123" s="113"/>
      <c r="BH123" s="113"/>
      <c r="BI123" s="113"/>
      <c r="BJ123" s="113"/>
      <c r="BK123" s="113"/>
      <c r="BL123" s="113"/>
      <c r="BM123" s="113"/>
      <c r="BN123" s="113"/>
      <c r="BO123" s="113"/>
      <c r="BP123" s="113"/>
      <c r="BQ123" s="113"/>
      <c r="BR123" s="113"/>
      <c r="BS123" s="113"/>
      <c r="BT123" s="113"/>
      <c r="BU123" s="113"/>
      <c r="BV123" s="113"/>
      <c r="BW123" s="113"/>
      <c r="BX123" s="113"/>
      <c r="BY123" s="113"/>
      <c r="BZ123" s="113"/>
      <c r="CA123" s="113"/>
      <c r="CB123" s="113"/>
      <c r="CC123" s="113"/>
      <c r="CD123" s="113"/>
      <c r="CE123" s="113"/>
      <c r="CF123" s="113"/>
      <c r="CG123" s="113"/>
      <c r="CH123" s="113"/>
      <c r="CI123" s="113"/>
      <c r="CJ123" s="113"/>
      <c r="CK123" s="113"/>
      <c r="CL123" s="113"/>
      <c r="CM123" s="113"/>
      <c r="CN123" s="113"/>
      <c r="CO123" s="113"/>
      <c r="CP123" s="113"/>
      <c r="CQ123" s="113"/>
      <c r="CR123" s="113"/>
      <c r="CS123" s="113"/>
      <c r="CT123" s="113"/>
      <c r="CU123" s="113"/>
      <c r="CV123" s="113"/>
      <c r="CW123" s="113"/>
      <c r="CX123" s="113"/>
      <c r="CY123" s="113"/>
      <c r="CZ123" s="113"/>
      <c r="DA123" s="113"/>
      <c r="DB123" s="113"/>
      <c r="DC123" s="113"/>
      <c r="DD123" s="113"/>
      <c r="DE123" s="113"/>
      <c r="DF123" s="113"/>
      <c r="DG123" s="113"/>
      <c r="DH123" s="113"/>
      <c r="DI123" s="113"/>
      <c r="DJ123" s="113"/>
      <c r="DK123" s="113"/>
      <c r="DL123" s="113"/>
      <c r="DM123" s="113"/>
      <c r="DN123" s="113"/>
      <c r="DO123" s="113"/>
      <c r="DP123" s="113"/>
      <c r="DQ123" s="113"/>
      <c r="DR123" s="113"/>
      <c r="DS123" s="113"/>
      <c r="DT123" s="113"/>
      <c r="DU123" s="113"/>
      <c r="DV123" s="113"/>
      <c r="DW123" s="113"/>
      <c r="DX123" s="113"/>
      <c r="DY123" s="113"/>
      <c r="DZ123" s="113"/>
      <c r="EA123" s="113"/>
      <c r="EB123" s="113"/>
      <c r="EC123" s="113"/>
      <c r="ED123" s="113"/>
      <c r="EE123" s="113"/>
    </row>
    <row r="124" ht="19.5" customHeight="1">
      <c r="A124" s="84" t="str">
        <f>IF(Roster!$A$122&lt;&gt;"",Roster!$A$122,"")</f>
        <v/>
      </c>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c r="AO124" s="113"/>
      <c r="AP124" s="113"/>
      <c r="AQ124" s="113"/>
      <c r="AR124" s="113"/>
      <c r="AS124" s="113"/>
      <c r="AT124" s="113"/>
      <c r="AU124" s="113"/>
      <c r="AV124" s="113"/>
      <c r="AW124" s="113"/>
      <c r="AX124" s="113"/>
      <c r="AY124" s="113"/>
      <c r="AZ124" s="113"/>
      <c r="BA124" s="113"/>
      <c r="BB124" s="113"/>
      <c r="BC124" s="113"/>
      <c r="BD124" s="113"/>
      <c r="BE124" s="113"/>
      <c r="BF124" s="113"/>
      <c r="BG124" s="113"/>
      <c r="BH124" s="113"/>
      <c r="BI124" s="113"/>
      <c r="BJ124" s="113"/>
      <c r="BK124" s="113"/>
      <c r="BL124" s="113"/>
      <c r="BM124" s="113"/>
      <c r="BN124" s="113"/>
      <c r="BO124" s="113"/>
      <c r="BP124" s="113"/>
      <c r="BQ124" s="113"/>
      <c r="BR124" s="113"/>
      <c r="BS124" s="113"/>
      <c r="BT124" s="113"/>
      <c r="BU124" s="113"/>
      <c r="BV124" s="113"/>
      <c r="BW124" s="113"/>
      <c r="BX124" s="113"/>
      <c r="BY124" s="113"/>
      <c r="BZ124" s="113"/>
      <c r="CA124" s="113"/>
      <c r="CB124" s="113"/>
      <c r="CC124" s="113"/>
      <c r="CD124" s="113"/>
      <c r="CE124" s="113"/>
      <c r="CF124" s="113"/>
      <c r="CG124" s="113"/>
      <c r="CH124" s="113"/>
      <c r="CI124" s="113"/>
      <c r="CJ124" s="113"/>
      <c r="CK124" s="113"/>
      <c r="CL124" s="113"/>
      <c r="CM124" s="113"/>
      <c r="CN124" s="113"/>
      <c r="CO124" s="113"/>
      <c r="CP124" s="113"/>
      <c r="CQ124" s="113"/>
      <c r="CR124" s="113"/>
      <c r="CS124" s="113"/>
      <c r="CT124" s="113"/>
      <c r="CU124" s="113"/>
      <c r="CV124" s="113"/>
      <c r="CW124" s="113"/>
      <c r="CX124" s="113"/>
      <c r="CY124" s="113"/>
      <c r="CZ124" s="113"/>
      <c r="DA124" s="113"/>
      <c r="DB124" s="113"/>
      <c r="DC124" s="113"/>
      <c r="DD124" s="113"/>
      <c r="DE124" s="113"/>
      <c r="DF124" s="113"/>
      <c r="DG124" s="113"/>
      <c r="DH124" s="113"/>
      <c r="DI124" s="113"/>
      <c r="DJ124" s="113"/>
      <c r="DK124" s="113"/>
      <c r="DL124" s="113"/>
      <c r="DM124" s="113"/>
      <c r="DN124" s="113"/>
      <c r="DO124" s="113"/>
      <c r="DP124" s="113"/>
      <c r="DQ124" s="113"/>
      <c r="DR124" s="113"/>
      <c r="DS124" s="113"/>
      <c r="DT124" s="113"/>
      <c r="DU124" s="113"/>
      <c r="DV124" s="113"/>
      <c r="DW124" s="113"/>
      <c r="DX124" s="113"/>
      <c r="DY124" s="113"/>
      <c r="DZ124" s="113"/>
      <c r="EA124" s="113"/>
      <c r="EB124" s="113"/>
      <c r="EC124" s="113"/>
      <c r="ED124" s="113"/>
      <c r="EE124" s="113"/>
    </row>
    <row r="125" ht="19.5" customHeight="1">
      <c r="A125" s="84" t="str">
        <f>IF(Roster!$A$123&lt;&gt;"",Roster!$A$123,"")</f>
        <v/>
      </c>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c r="AO125" s="113"/>
      <c r="AP125" s="113"/>
      <c r="AQ125" s="113"/>
      <c r="AR125" s="113"/>
      <c r="AS125" s="113"/>
      <c r="AT125" s="113"/>
      <c r="AU125" s="113"/>
      <c r="AV125" s="113"/>
      <c r="AW125" s="113"/>
      <c r="AX125" s="113"/>
      <c r="AY125" s="113"/>
      <c r="AZ125" s="113"/>
      <c r="BA125" s="113"/>
      <c r="BB125" s="113"/>
      <c r="BC125" s="113"/>
      <c r="BD125" s="113"/>
      <c r="BE125" s="113"/>
      <c r="BF125" s="113"/>
      <c r="BG125" s="113"/>
      <c r="BH125" s="113"/>
      <c r="BI125" s="113"/>
      <c r="BJ125" s="113"/>
      <c r="BK125" s="113"/>
      <c r="BL125" s="113"/>
      <c r="BM125" s="113"/>
      <c r="BN125" s="113"/>
      <c r="BO125" s="113"/>
      <c r="BP125" s="113"/>
      <c r="BQ125" s="113"/>
      <c r="BR125" s="113"/>
      <c r="BS125" s="113"/>
      <c r="BT125" s="113"/>
      <c r="BU125" s="113"/>
      <c r="BV125" s="113"/>
      <c r="BW125" s="113"/>
      <c r="BX125" s="113"/>
      <c r="BY125" s="113"/>
      <c r="BZ125" s="113"/>
      <c r="CA125" s="113"/>
      <c r="CB125" s="113"/>
      <c r="CC125" s="113"/>
      <c r="CD125" s="113"/>
      <c r="CE125" s="113"/>
      <c r="CF125" s="113"/>
      <c r="CG125" s="113"/>
      <c r="CH125" s="113"/>
      <c r="CI125" s="113"/>
      <c r="CJ125" s="113"/>
      <c r="CK125" s="113"/>
      <c r="CL125" s="113"/>
      <c r="CM125" s="113"/>
      <c r="CN125" s="113"/>
      <c r="CO125" s="113"/>
      <c r="CP125" s="113"/>
      <c r="CQ125" s="113"/>
      <c r="CR125" s="113"/>
      <c r="CS125" s="113"/>
      <c r="CT125" s="113"/>
      <c r="CU125" s="113"/>
      <c r="CV125" s="113"/>
      <c r="CW125" s="113"/>
      <c r="CX125" s="113"/>
      <c r="CY125" s="113"/>
      <c r="CZ125" s="113"/>
      <c r="DA125" s="113"/>
      <c r="DB125" s="113"/>
      <c r="DC125" s="113"/>
      <c r="DD125" s="113"/>
      <c r="DE125" s="113"/>
      <c r="DF125" s="113"/>
      <c r="DG125" s="113"/>
      <c r="DH125" s="113"/>
      <c r="DI125" s="113"/>
      <c r="DJ125" s="113"/>
      <c r="DK125" s="113"/>
      <c r="DL125" s="113"/>
      <c r="DM125" s="113"/>
      <c r="DN125" s="113"/>
      <c r="DO125" s="113"/>
      <c r="DP125" s="113"/>
      <c r="DQ125" s="113"/>
      <c r="DR125" s="113"/>
      <c r="DS125" s="113"/>
      <c r="DT125" s="113"/>
      <c r="DU125" s="113"/>
      <c r="DV125" s="113"/>
      <c r="DW125" s="113"/>
      <c r="DX125" s="113"/>
      <c r="DY125" s="113"/>
      <c r="DZ125" s="113"/>
      <c r="EA125" s="113"/>
      <c r="EB125" s="113"/>
      <c r="EC125" s="113"/>
      <c r="ED125" s="113"/>
      <c r="EE125" s="113"/>
    </row>
    <row r="126" ht="19.5" customHeight="1">
      <c r="A126" s="84" t="str">
        <f>IF(Roster!$A$124&lt;&gt;"",Roster!$A$124,"")</f>
        <v/>
      </c>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c r="AX126" s="113"/>
      <c r="AY126" s="113"/>
      <c r="AZ126" s="113"/>
      <c r="BA126" s="113"/>
      <c r="BB126" s="113"/>
      <c r="BC126" s="113"/>
      <c r="BD126" s="113"/>
      <c r="BE126" s="113"/>
      <c r="BF126" s="113"/>
      <c r="BG126" s="113"/>
      <c r="BH126" s="113"/>
      <c r="BI126" s="113"/>
      <c r="BJ126" s="113"/>
      <c r="BK126" s="113"/>
      <c r="BL126" s="113"/>
      <c r="BM126" s="113"/>
      <c r="BN126" s="113"/>
      <c r="BO126" s="113"/>
      <c r="BP126" s="113"/>
      <c r="BQ126" s="113"/>
      <c r="BR126" s="113"/>
      <c r="BS126" s="113"/>
      <c r="BT126" s="113"/>
      <c r="BU126" s="113"/>
      <c r="BV126" s="113"/>
      <c r="BW126" s="113"/>
      <c r="BX126" s="113"/>
      <c r="BY126" s="113"/>
      <c r="BZ126" s="113"/>
      <c r="CA126" s="113"/>
      <c r="CB126" s="113"/>
      <c r="CC126" s="113"/>
      <c r="CD126" s="113"/>
      <c r="CE126" s="113"/>
      <c r="CF126" s="113"/>
      <c r="CG126" s="113"/>
      <c r="CH126" s="113"/>
      <c r="CI126" s="113"/>
      <c r="CJ126" s="113"/>
      <c r="CK126" s="113"/>
      <c r="CL126" s="113"/>
      <c r="CM126" s="113"/>
      <c r="CN126" s="113"/>
      <c r="CO126" s="113"/>
      <c r="CP126" s="113"/>
      <c r="CQ126" s="113"/>
      <c r="CR126" s="113"/>
      <c r="CS126" s="113"/>
      <c r="CT126" s="113"/>
      <c r="CU126" s="113"/>
      <c r="CV126" s="113"/>
      <c r="CW126" s="113"/>
      <c r="CX126" s="113"/>
      <c r="CY126" s="113"/>
      <c r="CZ126" s="113"/>
      <c r="DA126" s="113"/>
      <c r="DB126" s="113"/>
      <c r="DC126" s="113"/>
      <c r="DD126" s="113"/>
      <c r="DE126" s="113"/>
      <c r="DF126" s="113"/>
      <c r="DG126" s="113"/>
      <c r="DH126" s="113"/>
      <c r="DI126" s="113"/>
      <c r="DJ126" s="113"/>
      <c r="DK126" s="113"/>
      <c r="DL126" s="113"/>
      <c r="DM126" s="113"/>
      <c r="DN126" s="113"/>
      <c r="DO126" s="113"/>
      <c r="DP126" s="113"/>
      <c r="DQ126" s="113"/>
      <c r="DR126" s="113"/>
      <c r="DS126" s="113"/>
      <c r="DT126" s="113"/>
      <c r="DU126" s="113"/>
      <c r="DV126" s="113"/>
      <c r="DW126" s="113"/>
      <c r="DX126" s="113"/>
      <c r="DY126" s="113"/>
      <c r="DZ126" s="113"/>
      <c r="EA126" s="113"/>
      <c r="EB126" s="113"/>
      <c r="EC126" s="113"/>
      <c r="ED126" s="113"/>
      <c r="EE126" s="113"/>
    </row>
    <row r="127" ht="19.5" customHeight="1">
      <c r="A127" s="84" t="str">
        <f>IF(Roster!$A$125&lt;&gt;"",Roster!$A$125,"")</f>
        <v/>
      </c>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c r="AO127" s="113"/>
      <c r="AP127" s="113"/>
      <c r="AQ127" s="113"/>
      <c r="AR127" s="113"/>
      <c r="AS127" s="113"/>
      <c r="AT127" s="113"/>
      <c r="AU127" s="113"/>
      <c r="AV127" s="113"/>
      <c r="AW127" s="113"/>
      <c r="AX127" s="113"/>
      <c r="AY127" s="113"/>
      <c r="AZ127" s="113"/>
      <c r="BA127" s="113"/>
      <c r="BB127" s="113"/>
      <c r="BC127" s="113"/>
      <c r="BD127" s="113"/>
      <c r="BE127" s="113"/>
      <c r="BF127" s="113"/>
      <c r="BG127" s="113"/>
      <c r="BH127" s="113"/>
      <c r="BI127" s="113"/>
      <c r="BJ127" s="113"/>
      <c r="BK127" s="113"/>
      <c r="BL127" s="113"/>
      <c r="BM127" s="113"/>
      <c r="BN127" s="113"/>
      <c r="BO127" s="113"/>
      <c r="BP127" s="113"/>
      <c r="BQ127" s="113"/>
      <c r="BR127" s="113"/>
      <c r="BS127" s="113"/>
      <c r="BT127" s="113"/>
      <c r="BU127" s="113"/>
      <c r="BV127" s="113"/>
      <c r="BW127" s="113"/>
      <c r="BX127" s="113"/>
      <c r="BY127" s="113"/>
      <c r="BZ127" s="113"/>
      <c r="CA127" s="113"/>
      <c r="CB127" s="113"/>
      <c r="CC127" s="113"/>
      <c r="CD127" s="113"/>
      <c r="CE127" s="113"/>
      <c r="CF127" s="113"/>
      <c r="CG127" s="113"/>
      <c r="CH127" s="113"/>
      <c r="CI127" s="113"/>
      <c r="CJ127" s="113"/>
      <c r="CK127" s="113"/>
      <c r="CL127" s="113"/>
      <c r="CM127" s="113"/>
      <c r="CN127" s="113"/>
      <c r="CO127" s="113"/>
      <c r="CP127" s="113"/>
      <c r="CQ127" s="113"/>
      <c r="CR127" s="113"/>
      <c r="CS127" s="113"/>
      <c r="CT127" s="113"/>
      <c r="CU127" s="113"/>
      <c r="CV127" s="113"/>
      <c r="CW127" s="113"/>
      <c r="CX127" s="113"/>
      <c r="CY127" s="113"/>
      <c r="CZ127" s="113"/>
      <c r="DA127" s="113"/>
      <c r="DB127" s="113"/>
      <c r="DC127" s="113"/>
      <c r="DD127" s="113"/>
      <c r="DE127" s="113"/>
      <c r="DF127" s="113"/>
      <c r="DG127" s="113"/>
      <c r="DH127" s="113"/>
      <c r="DI127" s="113"/>
      <c r="DJ127" s="113"/>
      <c r="DK127" s="113"/>
      <c r="DL127" s="113"/>
      <c r="DM127" s="113"/>
      <c r="DN127" s="113"/>
      <c r="DO127" s="113"/>
      <c r="DP127" s="113"/>
      <c r="DQ127" s="113"/>
      <c r="DR127" s="113"/>
      <c r="DS127" s="113"/>
      <c r="DT127" s="113"/>
      <c r="DU127" s="113"/>
      <c r="DV127" s="113"/>
      <c r="DW127" s="113"/>
      <c r="DX127" s="113"/>
      <c r="DY127" s="113"/>
      <c r="DZ127" s="113"/>
      <c r="EA127" s="113"/>
      <c r="EB127" s="113"/>
      <c r="EC127" s="113"/>
      <c r="ED127" s="113"/>
      <c r="EE127" s="113"/>
    </row>
    <row r="128" ht="19.5" customHeight="1">
      <c r="A128" s="84" t="str">
        <f>IF(Roster!$A$126&lt;&gt;"",Roster!$A$126,"")</f>
        <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c r="AX128" s="113"/>
      <c r="AY128" s="113"/>
      <c r="AZ128" s="113"/>
      <c r="BA128" s="113"/>
      <c r="BB128" s="113"/>
      <c r="BC128" s="113"/>
      <c r="BD128" s="113"/>
      <c r="BE128" s="113"/>
      <c r="BF128" s="113"/>
      <c r="BG128" s="113"/>
      <c r="BH128" s="113"/>
      <c r="BI128" s="113"/>
      <c r="BJ128" s="113"/>
      <c r="BK128" s="113"/>
      <c r="BL128" s="113"/>
      <c r="BM128" s="113"/>
      <c r="BN128" s="113"/>
      <c r="BO128" s="113"/>
      <c r="BP128" s="113"/>
      <c r="BQ128" s="113"/>
      <c r="BR128" s="113"/>
      <c r="BS128" s="113"/>
      <c r="BT128" s="113"/>
      <c r="BU128" s="113"/>
      <c r="BV128" s="113"/>
      <c r="BW128" s="113"/>
      <c r="BX128" s="113"/>
      <c r="BY128" s="113"/>
      <c r="BZ128" s="113"/>
      <c r="CA128" s="113"/>
      <c r="CB128" s="113"/>
      <c r="CC128" s="113"/>
      <c r="CD128" s="113"/>
      <c r="CE128" s="113"/>
      <c r="CF128" s="113"/>
      <c r="CG128" s="113"/>
      <c r="CH128" s="113"/>
      <c r="CI128" s="113"/>
      <c r="CJ128" s="113"/>
      <c r="CK128" s="113"/>
      <c r="CL128" s="113"/>
      <c r="CM128" s="113"/>
      <c r="CN128" s="113"/>
      <c r="CO128" s="113"/>
      <c r="CP128" s="113"/>
      <c r="CQ128" s="113"/>
      <c r="CR128" s="113"/>
      <c r="CS128" s="113"/>
      <c r="CT128" s="113"/>
      <c r="CU128" s="113"/>
      <c r="CV128" s="113"/>
      <c r="CW128" s="113"/>
      <c r="CX128" s="113"/>
      <c r="CY128" s="113"/>
      <c r="CZ128" s="113"/>
      <c r="DA128" s="113"/>
      <c r="DB128" s="113"/>
      <c r="DC128" s="113"/>
      <c r="DD128" s="113"/>
      <c r="DE128" s="113"/>
      <c r="DF128" s="113"/>
      <c r="DG128" s="113"/>
      <c r="DH128" s="113"/>
      <c r="DI128" s="113"/>
      <c r="DJ128" s="113"/>
      <c r="DK128" s="113"/>
      <c r="DL128" s="113"/>
      <c r="DM128" s="113"/>
      <c r="DN128" s="113"/>
      <c r="DO128" s="113"/>
      <c r="DP128" s="113"/>
      <c r="DQ128" s="113"/>
      <c r="DR128" s="113"/>
      <c r="DS128" s="113"/>
      <c r="DT128" s="113"/>
      <c r="DU128" s="113"/>
      <c r="DV128" s="113"/>
      <c r="DW128" s="113"/>
      <c r="DX128" s="113"/>
      <c r="DY128" s="113"/>
      <c r="DZ128" s="113"/>
      <c r="EA128" s="113"/>
      <c r="EB128" s="113"/>
      <c r="EC128" s="113"/>
      <c r="ED128" s="113"/>
      <c r="EE128" s="113"/>
    </row>
    <row r="129" ht="19.5" customHeight="1">
      <c r="A129" s="84" t="str">
        <f>IF(Roster!$A$127&lt;&gt;"",Roster!$A$127,"")</f>
        <v/>
      </c>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c r="AX129" s="113"/>
      <c r="AY129" s="113"/>
      <c r="AZ129" s="113"/>
      <c r="BA129" s="113"/>
      <c r="BB129" s="113"/>
      <c r="BC129" s="113"/>
      <c r="BD129" s="113"/>
      <c r="BE129" s="113"/>
      <c r="BF129" s="113"/>
      <c r="BG129" s="113"/>
      <c r="BH129" s="113"/>
      <c r="BI129" s="113"/>
      <c r="BJ129" s="113"/>
      <c r="BK129" s="113"/>
      <c r="BL129" s="113"/>
      <c r="BM129" s="113"/>
      <c r="BN129" s="113"/>
      <c r="BO129" s="113"/>
      <c r="BP129" s="113"/>
      <c r="BQ129" s="113"/>
      <c r="BR129" s="113"/>
      <c r="BS129" s="113"/>
      <c r="BT129" s="113"/>
      <c r="BU129" s="113"/>
      <c r="BV129" s="113"/>
      <c r="BW129" s="113"/>
      <c r="BX129" s="113"/>
      <c r="BY129" s="113"/>
      <c r="BZ129" s="113"/>
      <c r="CA129" s="113"/>
      <c r="CB129" s="113"/>
      <c r="CC129" s="113"/>
      <c r="CD129" s="113"/>
      <c r="CE129" s="113"/>
      <c r="CF129" s="113"/>
      <c r="CG129" s="113"/>
      <c r="CH129" s="113"/>
      <c r="CI129" s="113"/>
      <c r="CJ129" s="113"/>
      <c r="CK129" s="113"/>
      <c r="CL129" s="113"/>
      <c r="CM129" s="113"/>
      <c r="CN129" s="113"/>
      <c r="CO129" s="113"/>
      <c r="CP129" s="113"/>
      <c r="CQ129" s="113"/>
      <c r="CR129" s="113"/>
      <c r="CS129" s="113"/>
      <c r="CT129" s="113"/>
      <c r="CU129" s="113"/>
      <c r="CV129" s="113"/>
      <c r="CW129" s="113"/>
      <c r="CX129" s="113"/>
      <c r="CY129" s="113"/>
      <c r="CZ129" s="113"/>
      <c r="DA129" s="113"/>
      <c r="DB129" s="113"/>
      <c r="DC129" s="113"/>
      <c r="DD129" s="113"/>
      <c r="DE129" s="113"/>
      <c r="DF129" s="113"/>
      <c r="DG129" s="113"/>
      <c r="DH129" s="113"/>
      <c r="DI129" s="113"/>
      <c r="DJ129" s="113"/>
      <c r="DK129" s="113"/>
      <c r="DL129" s="113"/>
      <c r="DM129" s="113"/>
      <c r="DN129" s="113"/>
      <c r="DO129" s="113"/>
      <c r="DP129" s="113"/>
      <c r="DQ129" s="113"/>
      <c r="DR129" s="113"/>
      <c r="DS129" s="113"/>
      <c r="DT129" s="113"/>
      <c r="DU129" s="113"/>
      <c r="DV129" s="113"/>
      <c r="DW129" s="113"/>
      <c r="DX129" s="113"/>
      <c r="DY129" s="113"/>
      <c r="DZ129" s="113"/>
      <c r="EA129" s="113"/>
      <c r="EB129" s="113"/>
      <c r="EC129" s="113"/>
      <c r="ED129" s="113"/>
      <c r="EE129" s="113"/>
    </row>
    <row r="130" ht="19.5" customHeight="1">
      <c r="A130" s="84" t="str">
        <f>IF(Roster!$A$128&lt;&gt;"",Roster!$A$128,"")</f>
        <v/>
      </c>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c r="AX130" s="113"/>
      <c r="AY130" s="113"/>
      <c r="AZ130" s="113"/>
      <c r="BA130" s="113"/>
      <c r="BB130" s="113"/>
      <c r="BC130" s="113"/>
      <c r="BD130" s="113"/>
      <c r="BE130" s="113"/>
      <c r="BF130" s="113"/>
      <c r="BG130" s="113"/>
      <c r="BH130" s="113"/>
      <c r="BI130" s="113"/>
      <c r="BJ130" s="113"/>
      <c r="BK130" s="113"/>
      <c r="BL130" s="113"/>
      <c r="BM130" s="113"/>
      <c r="BN130" s="113"/>
      <c r="BO130" s="113"/>
      <c r="BP130" s="113"/>
      <c r="BQ130" s="113"/>
      <c r="BR130" s="113"/>
      <c r="BS130" s="113"/>
      <c r="BT130" s="113"/>
      <c r="BU130" s="113"/>
      <c r="BV130" s="113"/>
      <c r="BW130" s="113"/>
      <c r="BX130" s="113"/>
      <c r="BY130" s="113"/>
      <c r="BZ130" s="113"/>
      <c r="CA130" s="113"/>
      <c r="CB130" s="113"/>
      <c r="CC130" s="113"/>
      <c r="CD130" s="113"/>
      <c r="CE130" s="113"/>
      <c r="CF130" s="113"/>
      <c r="CG130" s="113"/>
      <c r="CH130" s="113"/>
      <c r="CI130" s="113"/>
      <c r="CJ130" s="113"/>
      <c r="CK130" s="113"/>
      <c r="CL130" s="113"/>
      <c r="CM130" s="113"/>
      <c r="CN130" s="113"/>
      <c r="CO130" s="113"/>
      <c r="CP130" s="113"/>
      <c r="CQ130" s="113"/>
      <c r="CR130" s="113"/>
      <c r="CS130" s="113"/>
      <c r="CT130" s="113"/>
      <c r="CU130" s="113"/>
      <c r="CV130" s="113"/>
      <c r="CW130" s="113"/>
      <c r="CX130" s="113"/>
      <c r="CY130" s="113"/>
      <c r="CZ130" s="113"/>
      <c r="DA130" s="113"/>
      <c r="DB130" s="113"/>
      <c r="DC130" s="113"/>
      <c r="DD130" s="113"/>
      <c r="DE130" s="113"/>
      <c r="DF130" s="113"/>
      <c r="DG130" s="113"/>
      <c r="DH130" s="113"/>
      <c r="DI130" s="113"/>
      <c r="DJ130" s="113"/>
      <c r="DK130" s="113"/>
      <c r="DL130" s="113"/>
      <c r="DM130" s="113"/>
      <c r="DN130" s="113"/>
      <c r="DO130" s="113"/>
      <c r="DP130" s="113"/>
      <c r="DQ130" s="113"/>
      <c r="DR130" s="113"/>
      <c r="DS130" s="113"/>
      <c r="DT130" s="113"/>
      <c r="DU130" s="113"/>
      <c r="DV130" s="113"/>
      <c r="DW130" s="113"/>
      <c r="DX130" s="113"/>
      <c r="DY130" s="113"/>
      <c r="DZ130" s="113"/>
      <c r="EA130" s="113"/>
      <c r="EB130" s="113"/>
      <c r="EC130" s="113"/>
      <c r="ED130" s="113"/>
      <c r="EE130" s="113"/>
    </row>
    <row r="131" ht="19.5" customHeight="1">
      <c r="A131" s="84" t="str">
        <f>IF(Roster!$A$129&lt;&gt;"",Roster!$A$129,"")</f>
        <v/>
      </c>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c r="AX131" s="113"/>
      <c r="AY131" s="113"/>
      <c r="AZ131" s="113"/>
      <c r="BA131" s="113"/>
      <c r="BB131" s="113"/>
      <c r="BC131" s="113"/>
      <c r="BD131" s="113"/>
      <c r="BE131" s="113"/>
      <c r="BF131" s="113"/>
      <c r="BG131" s="113"/>
      <c r="BH131" s="113"/>
      <c r="BI131" s="113"/>
      <c r="BJ131" s="113"/>
      <c r="BK131" s="113"/>
      <c r="BL131" s="113"/>
      <c r="BM131" s="113"/>
      <c r="BN131" s="113"/>
      <c r="BO131" s="113"/>
      <c r="BP131" s="113"/>
      <c r="BQ131" s="113"/>
      <c r="BR131" s="113"/>
      <c r="BS131" s="113"/>
      <c r="BT131" s="113"/>
      <c r="BU131" s="113"/>
      <c r="BV131" s="113"/>
      <c r="BW131" s="113"/>
      <c r="BX131" s="113"/>
      <c r="BY131" s="113"/>
      <c r="BZ131" s="113"/>
      <c r="CA131" s="113"/>
      <c r="CB131" s="113"/>
      <c r="CC131" s="113"/>
      <c r="CD131" s="113"/>
      <c r="CE131" s="113"/>
      <c r="CF131" s="113"/>
      <c r="CG131" s="113"/>
      <c r="CH131" s="113"/>
      <c r="CI131" s="113"/>
      <c r="CJ131" s="113"/>
      <c r="CK131" s="113"/>
      <c r="CL131" s="113"/>
      <c r="CM131" s="113"/>
      <c r="CN131" s="113"/>
      <c r="CO131" s="113"/>
      <c r="CP131" s="113"/>
      <c r="CQ131" s="113"/>
      <c r="CR131" s="113"/>
      <c r="CS131" s="113"/>
      <c r="CT131" s="113"/>
      <c r="CU131" s="113"/>
      <c r="CV131" s="113"/>
      <c r="CW131" s="113"/>
      <c r="CX131" s="113"/>
      <c r="CY131" s="113"/>
      <c r="CZ131" s="113"/>
      <c r="DA131" s="113"/>
      <c r="DB131" s="113"/>
      <c r="DC131" s="113"/>
      <c r="DD131" s="113"/>
      <c r="DE131" s="113"/>
      <c r="DF131" s="113"/>
      <c r="DG131" s="113"/>
      <c r="DH131" s="113"/>
      <c r="DI131" s="113"/>
      <c r="DJ131" s="113"/>
      <c r="DK131" s="113"/>
      <c r="DL131" s="113"/>
      <c r="DM131" s="113"/>
      <c r="DN131" s="113"/>
      <c r="DO131" s="113"/>
      <c r="DP131" s="113"/>
      <c r="DQ131" s="113"/>
      <c r="DR131" s="113"/>
      <c r="DS131" s="113"/>
      <c r="DT131" s="113"/>
      <c r="DU131" s="113"/>
      <c r="DV131" s="113"/>
      <c r="DW131" s="113"/>
      <c r="DX131" s="113"/>
      <c r="DY131" s="113"/>
      <c r="DZ131" s="113"/>
      <c r="EA131" s="113"/>
      <c r="EB131" s="113"/>
      <c r="EC131" s="113"/>
      <c r="ED131" s="113"/>
      <c r="EE131" s="113"/>
    </row>
    <row r="132" ht="19.5" customHeight="1">
      <c r="A132" s="84" t="str">
        <f>IF(Roster!$A$130&lt;&gt;"",Roster!$A$130,"")</f>
        <v/>
      </c>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c r="AO132" s="113"/>
      <c r="AP132" s="113"/>
      <c r="AQ132" s="113"/>
      <c r="AR132" s="113"/>
      <c r="AS132" s="113"/>
      <c r="AT132" s="113"/>
      <c r="AU132" s="113"/>
      <c r="AV132" s="113"/>
      <c r="AW132" s="113"/>
      <c r="AX132" s="113"/>
      <c r="AY132" s="113"/>
      <c r="AZ132" s="113"/>
      <c r="BA132" s="113"/>
      <c r="BB132" s="113"/>
      <c r="BC132" s="113"/>
      <c r="BD132" s="113"/>
      <c r="BE132" s="113"/>
      <c r="BF132" s="113"/>
      <c r="BG132" s="113"/>
      <c r="BH132" s="113"/>
      <c r="BI132" s="113"/>
      <c r="BJ132" s="113"/>
      <c r="BK132" s="113"/>
      <c r="BL132" s="113"/>
      <c r="BM132" s="113"/>
      <c r="BN132" s="113"/>
      <c r="BO132" s="113"/>
      <c r="BP132" s="113"/>
      <c r="BQ132" s="113"/>
      <c r="BR132" s="113"/>
      <c r="BS132" s="113"/>
      <c r="BT132" s="113"/>
      <c r="BU132" s="113"/>
      <c r="BV132" s="113"/>
      <c r="BW132" s="113"/>
      <c r="BX132" s="113"/>
      <c r="BY132" s="113"/>
      <c r="BZ132" s="113"/>
      <c r="CA132" s="113"/>
      <c r="CB132" s="113"/>
      <c r="CC132" s="113"/>
      <c r="CD132" s="113"/>
      <c r="CE132" s="113"/>
      <c r="CF132" s="113"/>
      <c r="CG132" s="113"/>
      <c r="CH132" s="113"/>
      <c r="CI132" s="113"/>
      <c r="CJ132" s="113"/>
      <c r="CK132" s="113"/>
      <c r="CL132" s="113"/>
      <c r="CM132" s="113"/>
      <c r="CN132" s="113"/>
      <c r="CO132" s="113"/>
      <c r="CP132" s="113"/>
      <c r="CQ132" s="113"/>
      <c r="CR132" s="113"/>
      <c r="CS132" s="113"/>
      <c r="CT132" s="113"/>
      <c r="CU132" s="113"/>
      <c r="CV132" s="113"/>
      <c r="CW132" s="113"/>
      <c r="CX132" s="113"/>
      <c r="CY132" s="113"/>
      <c r="CZ132" s="113"/>
      <c r="DA132" s="113"/>
      <c r="DB132" s="113"/>
      <c r="DC132" s="113"/>
      <c r="DD132" s="113"/>
      <c r="DE132" s="113"/>
      <c r="DF132" s="113"/>
      <c r="DG132" s="113"/>
      <c r="DH132" s="113"/>
      <c r="DI132" s="113"/>
      <c r="DJ132" s="113"/>
      <c r="DK132" s="113"/>
      <c r="DL132" s="113"/>
      <c r="DM132" s="113"/>
      <c r="DN132" s="113"/>
      <c r="DO132" s="113"/>
      <c r="DP132" s="113"/>
      <c r="DQ132" s="113"/>
      <c r="DR132" s="113"/>
      <c r="DS132" s="113"/>
      <c r="DT132" s="113"/>
      <c r="DU132" s="113"/>
      <c r="DV132" s="113"/>
      <c r="DW132" s="113"/>
      <c r="DX132" s="113"/>
      <c r="DY132" s="113"/>
      <c r="DZ132" s="113"/>
      <c r="EA132" s="113"/>
      <c r="EB132" s="113"/>
      <c r="EC132" s="113"/>
      <c r="ED132" s="113"/>
      <c r="EE132" s="113"/>
    </row>
    <row r="133" ht="19.5" customHeight="1">
      <c r="A133" s="84" t="str">
        <f>IF(Roster!$A$131&lt;&gt;"",Roster!$A$131,"")</f>
        <v/>
      </c>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c r="AO133" s="113"/>
      <c r="AP133" s="113"/>
      <c r="AQ133" s="113"/>
      <c r="AR133" s="113"/>
      <c r="AS133" s="113"/>
      <c r="AT133" s="113"/>
      <c r="AU133" s="113"/>
      <c r="AV133" s="113"/>
      <c r="AW133" s="113"/>
      <c r="AX133" s="113"/>
      <c r="AY133" s="113"/>
      <c r="AZ133" s="113"/>
      <c r="BA133" s="113"/>
      <c r="BB133" s="113"/>
      <c r="BC133" s="113"/>
      <c r="BD133" s="113"/>
      <c r="BE133" s="113"/>
      <c r="BF133" s="113"/>
      <c r="BG133" s="113"/>
      <c r="BH133" s="113"/>
      <c r="BI133" s="113"/>
      <c r="BJ133" s="113"/>
      <c r="BK133" s="113"/>
      <c r="BL133" s="113"/>
      <c r="BM133" s="113"/>
      <c r="BN133" s="113"/>
      <c r="BO133" s="113"/>
      <c r="BP133" s="113"/>
      <c r="BQ133" s="113"/>
      <c r="BR133" s="113"/>
      <c r="BS133" s="113"/>
      <c r="BT133" s="113"/>
      <c r="BU133" s="113"/>
      <c r="BV133" s="113"/>
      <c r="BW133" s="113"/>
      <c r="BX133" s="113"/>
      <c r="BY133" s="113"/>
      <c r="BZ133" s="113"/>
      <c r="CA133" s="113"/>
      <c r="CB133" s="113"/>
      <c r="CC133" s="113"/>
      <c r="CD133" s="113"/>
      <c r="CE133" s="113"/>
      <c r="CF133" s="113"/>
      <c r="CG133" s="113"/>
      <c r="CH133" s="113"/>
      <c r="CI133" s="113"/>
      <c r="CJ133" s="113"/>
      <c r="CK133" s="113"/>
      <c r="CL133" s="113"/>
      <c r="CM133" s="113"/>
      <c r="CN133" s="113"/>
      <c r="CO133" s="113"/>
      <c r="CP133" s="113"/>
      <c r="CQ133" s="113"/>
      <c r="CR133" s="113"/>
      <c r="CS133" s="113"/>
      <c r="CT133" s="113"/>
      <c r="CU133" s="113"/>
      <c r="CV133" s="113"/>
      <c r="CW133" s="113"/>
      <c r="CX133" s="113"/>
      <c r="CY133" s="113"/>
      <c r="CZ133" s="113"/>
      <c r="DA133" s="113"/>
      <c r="DB133" s="113"/>
      <c r="DC133" s="113"/>
      <c r="DD133" s="113"/>
      <c r="DE133" s="113"/>
      <c r="DF133" s="113"/>
      <c r="DG133" s="113"/>
      <c r="DH133" s="113"/>
      <c r="DI133" s="113"/>
      <c r="DJ133" s="113"/>
      <c r="DK133" s="113"/>
      <c r="DL133" s="113"/>
      <c r="DM133" s="113"/>
      <c r="DN133" s="113"/>
      <c r="DO133" s="113"/>
      <c r="DP133" s="113"/>
      <c r="DQ133" s="113"/>
      <c r="DR133" s="113"/>
      <c r="DS133" s="113"/>
      <c r="DT133" s="113"/>
      <c r="DU133" s="113"/>
      <c r="DV133" s="113"/>
      <c r="DW133" s="113"/>
      <c r="DX133" s="113"/>
      <c r="DY133" s="113"/>
      <c r="DZ133" s="113"/>
      <c r="EA133" s="113"/>
      <c r="EB133" s="113"/>
      <c r="EC133" s="113"/>
      <c r="ED133" s="113"/>
      <c r="EE133" s="113"/>
    </row>
    <row r="134" ht="19.5" customHeight="1">
      <c r="A134" s="84" t="str">
        <f>IF(Roster!$A$132&lt;&gt;"",Roster!$A$132,"")</f>
        <v/>
      </c>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c r="AO134" s="113"/>
      <c r="AP134" s="113"/>
      <c r="AQ134" s="113"/>
      <c r="AR134" s="113"/>
      <c r="AS134" s="113"/>
      <c r="AT134" s="113"/>
      <c r="AU134" s="113"/>
      <c r="AV134" s="113"/>
      <c r="AW134" s="113"/>
      <c r="AX134" s="113"/>
      <c r="AY134" s="113"/>
      <c r="AZ134" s="113"/>
      <c r="BA134" s="113"/>
      <c r="BB134" s="113"/>
      <c r="BC134" s="113"/>
      <c r="BD134" s="113"/>
      <c r="BE134" s="113"/>
      <c r="BF134" s="113"/>
      <c r="BG134" s="113"/>
      <c r="BH134" s="113"/>
      <c r="BI134" s="113"/>
      <c r="BJ134" s="113"/>
      <c r="BK134" s="113"/>
      <c r="BL134" s="113"/>
      <c r="BM134" s="113"/>
      <c r="BN134" s="113"/>
      <c r="BO134" s="113"/>
      <c r="BP134" s="113"/>
      <c r="BQ134" s="113"/>
      <c r="BR134" s="113"/>
      <c r="BS134" s="113"/>
      <c r="BT134" s="113"/>
      <c r="BU134" s="113"/>
      <c r="BV134" s="113"/>
      <c r="BW134" s="113"/>
      <c r="BX134" s="113"/>
      <c r="BY134" s="113"/>
      <c r="BZ134" s="113"/>
      <c r="CA134" s="113"/>
      <c r="CB134" s="113"/>
      <c r="CC134" s="113"/>
      <c r="CD134" s="113"/>
      <c r="CE134" s="113"/>
      <c r="CF134" s="113"/>
      <c r="CG134" s="113"/>
      <c r="CH134" s="113"/>
      <c r="CI134" s="113"/>
      <c r="CJ134" s="113"/>
      <c r="CK134" s="113"/>
      <c r="CL134" s="113"/>
      <c r="CM134" s="113"/>
      <c r="CN134" s="113"/>
      <c r="CO134" s="113"/>
      <c r="CP134" s="113"/>
      <c r="CQ134" s="113"/>
      <c r="CR134" s="113"/>
      <c r="CS134" s="113"/>
      <c r="CT134" s="113"/>
      <c r="CU134" s="113"/>
      <c r="CV134" s="113"/>
      <c r="CW134" s="113"/>
      <c r="CX134" s="113"/>
      <c r="CY134" s="113"/>
      <c r="CZ134" s="113"/>
      <c r="DA134" s="113"/>
      <c r="DB134" s="113"/>
      <c r="DC134" s="113"/>
      <c r="DD134" s="113"/>
      <c r="DE134" s="113"/>
      <c r="DF134" s="113"/>
      <c r="DG134" s="113"/>
      <c r="DH134" s="113"/>
      <c r="DI134" s="113"/>
      <c r="DJ134" s="113"/>
      <c r="DK134" s="113"/>
      <c r="DL134" s="113"/>
      <c r="DM134" s="113"/>
      <c r="DN134" s="113"/>
      <c r="DO134" s="113"/>
      <c r="DP134" s="113"/>
      <c r="DQ134" s="113"/>
      <c r="DR134" s="113"/>
      <c r="DS134" s="113"/>
      <c r="DT134" s="113"/>
      <c r="DU134" s="113"/>
      <c r="DV134" s="113"/>
      <c r="DW134" s="113"/>
      <c r="DX134" s="113"/>
      <c r="DY134" s="113"/>
      <c r="DZ134" s="113"/>
      <c r="EA134" s="113"/>
      <c r="EB134" s="113"/>
      <c r="EC134" s="113"/>
      <c r="ED134" s="113"/>
      <c r="EE134" s="113"/>
    </row>
    <row r="135" ht="19.5" customHeight="1">
      <c r="A135" s="84" t="str">
        <f>IF(Roster!$A$133&lt;&gt;"",Roster!$A$133,"")</f>
        <v/>
      </c>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c r="AX135" s="113"/>
      <c r="AY135" s="113"/>
      <c r="AZ135" s="113"/>
      <c r="BA135" s="113"/>
      <c r="BB135" s="113"/>
      <c r="BC135" s="113"/>
      <c r="BD135" s="113"/>
      <c r="BE135" s="113"/>
      <c r="BF135" s="113"/>
      <c r="BG135" s="113"/>
      <c r="BH135" s="113"/>
      <c r="BI135" s="113"/>
      <c r="BJ135" s="113"/>
      <c r="BK135" s="113"/>
      <c r="BL135" s="113"/>
      <c r="BM135" s="113"/>
      <c r="BN135" s="113"/>
      <c r="BO135" s="113"/>
      <c r="BP135" s="113"/>
      <c r="BQ135" s="113"/>
      <c r="BR135" s="113"/>
      <c r="BS135" s="113"/>
      <c r="BT135" s="113"/>
      <c r="BU135" s="113"/>
      <c r="BV135" s="113"/>
      <c r="BW135" s="113"/>
      <c r="BX135" s="113"/>
      <c r="BY135" s="113"/>
      <c r="BZ135" s="113"/>
      <c r="CA135" s="113"/>
      <c r="CB135" s="113"/>
      <c r="CC135" s="113"/>
      <c r="CD135" s="113"/>
      <c r="CE135" s="113"/>
      <c r="CF135" s="113"/>
      <c r="CG135" s="113"/>
      <c r="CH135" s="113"/>
      <c r="CI135" s="113"/>
      <c r="CJ135" s="113"/>
      <c r="CK135" s="113"/>
      <c r="CL135" s="113"/>
      <c r="CM135" s="113"/>
      <c r="CN135" s="113"/>
      <c r="CO135" s="113"/>
      <c r="CP135" s="113"/>
      <c r="CQ135" s="113"/>
      <c r="CR135" s="113"/>
      <c r="CS135" s="113"/>
      <c r="CT135" s="113"/>
      <c r="CU135" s="113"/>
      <c r="CV135" s="113"/>
      <c r="CW135" s="113"/>
      <c r="CX135" s="113"/>
      <c r="CY135" s="113"/>
      <c r="CZ135" s="113"/>
      <c r="DA135" s="113"/>
      <c r="DB135" s="113"/>
      <c r="DC135" s="113"/>
      <c r="DD135" s="113"/>
      <c r="DE135" s="113"/>
      <c r="DF135" s="113"/>
      <c r="DG135" s="113"/>
      <c r="DH135" s="113"/>
      <c r="DI135" s="113"/>
      <c r="DJ135" s="113"/>
      <c r="DK135" s="113"/>
      <c r="DL135" s="113"/>
      <c r="DM135" s="113"/>
      <c r="DN135" s="113"/>
      <c r="DO135" s="113"/>
      <c r="DP135" s="113"/>
      <c r="DQ135" s="113"/>
      <c r="DR135" s="113"/>
      <c r="DS135" s="113"/>
      <c r="DT135" s="113"/>
      <c r="DU135" s="113"/>
      <c r="DV135" s="113"/>
      <c r="DW135" s="113"/>
      <c r="DX135" s="113"/>
      <c r="DY135" s="113"/>
      <c r="DZ135" s="113"/>
      <c r="EA135" s="113"/>
      <c r="EB135" s="113"/>
      <c r="EC135" s="113"/>
      <c r="ED135" s="113"/>
      <c r="EE135" s="113"/>
    </row>
    <row r="136" ht="19.5" customHeight="1">
      <c r="A136" s="84" t="str">
        <f>IF(Roster!$A$134&lt;&gt;"",Roster!$A$134,"")</f>
        <v/>
      </c>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c r="AX136" s="113"/>
      <c r="AY136" s="113"/>
      <c r="AZ136" s="113"/>
      <c r="BA136" s="113"/>
      <c r="BB136" s="113"/>
      <c r="BC136" s="113"/>
      <c r="BD136" s="113"/>
      <c r="BE136" s="113"/>
      <c r="BF136" s="113"/>
      <c r="BG136" s="113"/>
      <c r="BH136" s="113"/>
      <c r="BI136" s="113"/>
      <c r="BJ136" s="113"/>
      <c r="BK136" s="113"/>
      <c r="BL136" s="113"/>
      <c r="BM136" s="113"/>
      <c r="BN136" s="113"/>
      <c r="BO136" s="113"/>
      <c r="BP136" s="113"/>
      <c r="BQ136" s="113"/>
      <c r="BR136" s="113"/>
      <c r="BS136" s="113"/>
      <c r="BT136" s="113"/>
      <c r="BU136" s="113"/>
      <c r="BV136" s="113"/>
      <c r="BW136" s="113"/>
      <c r="BX136" s="113"/>
      <c r="BY136" s="113"/>
      <c r="BZ136" s="113"/>
      <c r="CA136" s="113"/>
      <c r="CB136" s="113"/>
      <c r="CC136" s="113"/>
      <c r="CD136" s="113"/>
      <c r="CE136" s="113"/>
      <c r="CF136" s="113"/>
      <c r="CG136" s="113"/>
      <c r="CH136" s="113"/>
      <c r="CI136" s="113"/>
      <c r="CJ136" s="113"/>
      <c r="CK136" s="113"/>
      <c r="CL136" s="113"/>
      <c r="CM136" s="113"/>
      <c r="CN136" s="113"/>
      <c r="CO136" s="113"/>
      <c r="CP136" s="113"/>
      <c r="CQ136" s="113"/>
      <c r="CR136" s="113"/>
      <c r="CS136" s="113"/>
      <c r="CT136" s="113"/>
      <c r="CU136" s="113"/>
      <c r="CV136" s="113"/>
      <c r="CW136" s="113"/>
      <c r="CX136" s="113"/>
      <c r="CY136" s="113"/>
      <c r="CZ136" s="113"/>
      <c r="DA136" s="113"/>
      <c r="DB136" s="113"/>
      <c r="DC136" s="113"/>
      <c r="DD136" s="113"/>
      <c r="DE136" s="113"/>
      <c r="DF136" s="113"/>
      <c r="DG136" s="113"/>
      <c r="DH136" s="113"/>
      <c r="DI136" s="113"/>
      <c r="DJ136" s="113"/>
      <c r="DK136" s="113"/>
      <c r="DL136" s="113"/>
      <c r="DM136" s="113"/>
      <c r="DN136" s="113"/>
      <c r="DO136" s="113"/>
      <c r="DP136" s="113"/>
      <c r="DQ136" s="113"/>
      <c r="DR136" s="113"/>
      <c r="DS136" s="113"/>
      <c r="DT136" s="113"/>
      <c r="DU136" s="113"/>
      <c r="DV136" s="113"/>
      <c r="DW136" s="113"/>
      <c r="DX136" s="113"/>
      <c r="DY136" s="113"/>
      <c r="DZ136" s="113"/>
      <c r="EA136" s="113"/>
      <c r="EB136" s="113"/>
      <c r="EC136" s="113"/>
      <c r="ED136" s="113"/>
      <c r="EE136" s="113"/>
    </row>
    <row r="137" ht="19.5" customHeight="1">
      <c r="A137" s="84" t="str">
        <f>IF(Roster!$A$135&lt;&gt;"",Roster!$A$135,"")</f>
        <v/>
      </c>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c r="AY137" s="113"/>
      <c r="AZ137" s="113"/>
      <c r="BA137" s="113"/>
      <c r="BB137" s="113"/>
      <c r="BC137" s="113"/>
      <c r="BD137" s="113"/>
      <c r="BE137" s="113"/>
      <c r="BF137" s="113"/>
      <c r="BG137" s="113"/>
      <c r="BH137" s="113"/>
      <c r="BI137" s="113"/>
      <c r="BJ137" s="113"/>
      <c r="BK137" s="113"/>
      <c r="BL137" s="113"/>
      <c r="BM137" s="113"/>
      <c r="BN137" s="113"/>
      <c r="BO137" s="113"/>
      <c r="BP137" s="113"/>
      <c r="BQ137" s="113"/>
      <c r="BR137" s="113"/>
      <c r="BS137" s="113"/>
      <c r="BT137" s="113"/>
      <c r="BU137" s="113"/>
      <c r="BV137" s="113"/>
      <c r="BW137" s="113"/>
      <c r="BX137" s="113"/>
      <c r="BY137" s="113"/>
      <c r="BZ137" s="113"/>
      <c r="CA137" s="113"/>
      <c r="CB137" s="113"/>
      <c r="CC137" s="113"/>
      <c r="CD137" s="113"/>
      <c r="CE137" s="113"/>
      <c r="CF137" s="113"/>
      <c r="CG137" s="113"/>
      <c r="CH137" s="113"/>
      <c r="CI137" s="113"/>
      <c r="CJ137" s="113"/>
      <c r="CK137" s="113"/>
      <c r="CL137" s="113"/>
      <c r="CM137" s="113"/>
      <c r="CN137" s="113"/>
      <c r="CO137" s="113"/>
      <c r="CP137" s="113"/>
      <c r="CQ137" s="113"/>
      <c r="CR137" s="113"/>
      <c r="CS137" s="113"/>
      <c r="CT137" s="113"/>
      <c r="CU137" s="113"/>
      <c r="CV137" s="113"/>
      <c r="CW137" s="113"/>
      <c r="CX137" s="113"/>
      <c r="CY137" s="113"/>
      <c r="CZ137" s="113"/>
      <c r="DA137" s="113"/>
      <c r="DB137" s="113"/>
      <c r="DC137" s="113"/>
      <c r="DD137" s="113"/>
      <c r="DE137" s="113"/>
      <c r="DF137" s="113"/>
      <c r="DG137" s="113"/>
      <c r="DH137" s="113"/>
      <c r="DI137" s="113"/>
      <c r="DJ137" s="113"/>
      <c r="DK137" s="113"/>
      <c r="DL137" s="113"/>
      <c r="DM137" s="113"/>
      <c r="DN137" s="113"/>
      <c r="DO137" s="113"/>
      <c r="DP137" s="113"/>
      <c r="DQ137" s="113"/>
      <c r="DR137" s="113"/>
      <c r="DS137" s="113"/>
      <c r="DT137" s="113"/>
      <c r="DU137" s="113"/>
      <c r="DV137" s="113"/>
      <c r="DW137" s="113"/>
      <c r="DX137" s="113"/>
      <c r="DY137" s="113"/>
      <c r="DZ137" s="113"/>
      <c r="EA137" s="113"/>
      <c r="EB137" s="113"/>
      <c r="EC137" s="113"/>
      <c r="ED137" s="113"/>
      <c r="EE137" s="113"/>
    </row>
    <row r="138" ht="19.5" customHeight="1">
      <c r="A138" s="84" t="str">
        <f>IF(Roster!$A$136&lt;&gt;"",Roster!$A$136,"")</f>
        <v/>
      </c>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c r="CC138" s="113"/>
      <c r="CD138" s="113"/>
      <c r="CE138" s="113"/>
      <c r="CF138" s="113"/>
      <c r="CG138" s="113"/>
      <c r="CH138" s="113"/>
      <c r="CI138" s="113"/>
      <c r="CJ138" s="113"/>
      <c r="CK138" s="113"/>
      <c r="CL138" s="113"/>
      <c r="CM138" s="113"/>
      <c r="CN138" s="113"/>
      <c r="CO138" s="113"/>
      <c r="CP138" s="113"/>
      <c r="CQ138" s="113"/>
      <c r="CR138" s="113"/>
      <c r="CS138" s="113"/>
      <c r="CT138" s="113"/>
      <c r="CU138" s="113"/>
      <c r="CV138" s="113"/>
      <c r="CW138" s="113"/>
      <c r="CX138" s="113"/>
      <c r="CY138" s="113"/>
      <c r="CZ138" s="113"/>
      <c r="DA138" s="113"/>
      <c r="DB138" s="113"/>
      <c r="DC138" s="113"/>
      <c r="DD138" s="113"/>
      <c r="DE138" s="113"/>
      <c r="DF138" s="113"/>
      <c r="DG138" s="113"/>
      <c r="DH138" s="113"/>
      <c r="DI138" s="113"/>
      <c r="DJ138" s="113"/>
      <c r="DK138" s="113"/>
      <c r="DL138" s="113"/>
      <c r="DM138" s="113"/>
      <c r="DN138" s="113"/>
      <c r="DO138" s="113"/>
      <c r="DP138" s="113"/>
      <c r="DQ138" s="113"/>
      <c r="DR138" s="113"/>
      <c r="DS138" s="113"/>
      <c r="DT138" s="113"/>
      <c r="DU138" s="113"/>
      <c r="DV138" s="113"/>
      <c r="DW138" s="113"/>
      <c r="DX138" s="113"/>
      <c r="DY138" s="113"/>
      <c r="DZ138" s="113"/>
      <c r="EA138" s="113"/>
      <c r="EB138" s="113"/>
      <c r="EC138" s="113"/>
      <c r="ED138" s="113"/>
      <c r="EE138" s="113"/>
    </row>
    <row r="139" ht="19.5" customHeight="1">
      <c r="A139" s="84" t="str">
        <f>IF(Roster!$A$137&lt;&gt;"",Roster!$A$137,"")</f>
        <v/>
      </c>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113"/>
      <c r="CD139" s="113"/>
      <c r="CE139" s="113"/>
      <c r="CF139" s="113"/>
      <c r="CG139" s="113"/>
      <c r="CH139" s="113"/>
      <c r="CI139" s="113"/>
      <c r="CJ139" s="113"/>
      <c r="CK139" s="113"/>
      <c r="CL139" s="113"/>
      <c r="CM139" s="113"/>
      <c r="CN139" s="113"/>
      <c r="CO139" s="113"/>
      <c r="CP139" s="113"/>
      <c r="CQ139" s="113"/>
      <c r="CR139" s="113"/>
      <c r="CS139" s="113"/>
      <c r="CT139" s="113"/>
      <c r="CU139" s="113"/>
      <c r="CV139" s="113"/>
      <c r="CW139" s="113"/>
      <c r="CX139" s="113"/>
      <c r="CY139" s="113"/>
      <c r="CZ139" s="113"/>
      <c r="DA139" s="113"/>
      <c r="DB139" s="113"/>
      <c r="DC139" s="113"/>
      <c r="DD139" s="113"/>
      <c r="DE139" s="113"/>
      <c r="DF139" s="113"/>
      <c r="DG139" s="113"/>
      <c r="DH139" s="113"/>
      <c r="DI139" s="113"/>
      <c r="DJ139" s="113"/>
      <c r="DK139" s="113"/>
      <c r="DL139" s="113"/>
      <c r="DM139" s="113"/>
      <c r="DN139" s="113"/>
      <c r="DO139" s="113"/>
      <c r="DP139" s="113"/>
      <c r="DQ139" s="113"/>
      <c r="DR139" s="113"/>
      <c r="DS139" s="113"/>
      <c r="DT139" s="113"/>
      <c r="DU139" s="113"/>
      <c r="DV139" s="113"/>
      <c r="DW139" s="113"/>
      <c r="DX139" s="113"/>
      <c r="DY139" s="113"/>
      <c r="DZ139" s="113"/>
      <c r="EA139" s="113"/>
      <c r="EB139" s="113"/>
      <c r="EC139" s="113"/>
      <c r="ED139" s="113"/>
      <c r="EE139" s="113"/>
    </row>
    <row r="140" ht="19.5" customHeight="1">
      <c r="A140" s="84" t="str">
        <f>IF(Roster!$A$138&lt;&gt;"",Roster!$A$138,"")</f>
        <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c r="AX140" s="113"/>
      <c r="AY140" s="113"/>
      <c r="AZ140" s="113"/>
      <c r="BA140" s="113"/>
      <c r="BB140" s="113"/>
      <c r="BC140" s="113"/>
      <c r="BD140" s="113"/>
      <c r="BE140" s="113"/>
      <c r="BF140" s="113"/>
      <c r="BG140" s="113"/>
      <c r="BH140" s="113"/>
      <c r="BI140" s="113"/>
      <c r="BJ140" s="113"/>
      <c r="BK140" s="113"/>
      <c r="BL140" s="113"/>
      <c r="BM140" s="113"/>
      <c r="BN140" s="113"/>
      <c r="BO140" s="113"/>
      <c r="BP140" s="113"/>
      <c r="BQ140" s="113"/>
      <c r="BR140" s="113"/>
      <c r="BS140" s="113"/>
      <c r="BT140" s="113"/>
      <c r="BU140" s="113"/>
      <c r="BV140" s="113"/>
      <c r="BW140" s="113"/>
      <c r="BX140" s="113"/>
      <c r="BY140" s="113"/>
      <c r="BZ140" s="113"/>
      <c r="CA140" s="113"/>
      <c r="CB140" s="113"/>
      <c r="CC140" s="113"/>
      <c r="CD140" s="113"/>
      <c r="CE140" s="113"/>
      <c r="CF140" s="113"/>
      <c r="CG140" s="113"/>
      <c r="CH140" s="113"/>
      <c r="CI140" s="113"/>
      <c r="CJ140" s="113"/>
      <c r="CK140" s="113"/>
      <c r="CL140" s="113"/>
      <c r="CM140" s="113"/>
      <c r="CN140" s="113"/>
      <c r="CO140" s="113"/>
      <c r="CP140" s="113"/>
      <c r="CQ140" s="113"/>
      <c r="CR140" s="113"/>
      <c r="CS140" s="113"/>
      <c r="CT140" s="113"/>
      <c r="CU140" s="113"/>
      <c r="CV140" s="113"/>
      <c r="CW140" s="113"/>
      <c r="CX140" s="113"/>
      <c r="CY140" s="113"/>
      <c r="CZ140" s="113"/>
      <c r="DA140" s="113"/>
      <c r="DB140" s="113"/>
      <c r="DC140" s="113"/>
      <c r="DD140" s="113"/>
      <c r="DE140" s="113"/>
      <c r="DF140" s="113"/>
      <c r="DG140" s="113"/>
      <c r="DH140" s="113"/>
      <c r="DI140" s="113"/>
      <c r="DJ140" s="113"/>
      <c r="DK140" s="113"/>
      <c r="DL140" s="113"/>
      <c r="DM140" s="113"/>
      <c r="DN140" s="113"/>
      <c r="DO140" s="113"/>
      <c r="DP140" s="113"/>
      <c r="DQ140" s="113"/>
      <c r="DR140" s="113"/>
      <c r="DS140" s="113"/>
      <c r="DT140" s="113"/>
      <c r="DU140" s="113"/>
      <c r="DV140" s="113"/>
      <c r="DW140" s="113"/>
      <c r="DX140" s="113"/>
      <c r="DY140" s="113"/>
      <c r="DZ140" s="113"/>
      <c r="EA140" s="113"/>
      <c r="EB140" s="113"/>
      <c r="EC140" s="113"/>
      <c r="ED140" s="113"/>
      <c r="EE140" s="113"/>
    </row>
    <row r="141" ht="19.5" customHeight="1">
      <c r="A141" s="84" t="str">
        <f>IF(Roster!$A$139&lt;&gt;"",Roster!$A$139,"")</f>
        <v/>
      </c>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c r="AX141" s="113"/>
      <c r="AY141" s="113"/>
      <c r="AZ141" s="113"/>
      <c r="BA141" s="113"/>
      <c r="BB141" s="113"/>
      <c r="BC141" s="113"/>
      <c r="BD141" s="113"/>
      <c r="BE141" s="113"/>
      <c r="BF141" s="113"/>
      <c r="BG141" s="113"/>
      <c r="BH141" s="113"/>
      <c r="BI141" s="113"/>
      <c r="BJ141" s="113"/>
      <c r="BK141" s="113"/>
      <c r="BL141" s="113"/>
      <c r="BM141" s="113"/>
      <c r="BN141" s="113"/>
      <c r="BO141" s="113"/>
      <c r="BP141" s="113"/>
      <c r="BQ141" s="113"/>
      <c r="BR141" s="113"/>
      <c r="BS141" s="113"/>
      <c r="BT141" s="113"/>
      <c r="BU141" s="113"/>
      <c r="BV141" s="113"/>
      <c r="BW141" s="113"/>
      <c r="BX141" s="113"/>
      <c r="BY141" s="113"/>
      <c r="BZ141" s="113"/>
      <c r="CA141" s="113"/>
      <c r="CB141" s="113"/>
      <c r="CC141" s="113"/>
      <c r="CD141" s="113"/>
      <c r="CE141" s="113"/>
      <c r="CF141" s="113"/>
      <c r="CG141" s="113"/>
      <c r="CH141" s="113"/>
      <c r="CI141" s="113"/>
      <c r="CJ141" s="113"/>
      <c r="CK141" s="113"/>
      <c r="CL141" s="113"/>
      <c r="CM141" s="113"/>
      <c r="CN141" s="113"/>
      <c r="CO141" s="113"/>
      <c r="CP141" s="113"/>
      <c r="CQ141" s="113"/>
      <c r="CR141" s="113"/>
      <c r="CS141" s="113"/>
      <c r="CT141" s="113"/>
      <c r="CU141" s="113"/>
      <c r="CV141" s="113"/>
      <c r="CW141" s="113"/>
      <c r="CX141" s="113"/>
      <c r="CY141" s="113"/>
      <c r="CZ141" s="113"/>
      <c r="DA141" s="113"/>
      <c r="DB141" s="113"/>
      <c r="DC141" s="113"/>
      <c r="DD141" s="113"/>
      <c r="DE141" s="113"/>
      <c r="DF141" s="113"/>
      <c r="DG141" s="113"/>
      <c r="DH141" s="113"/>
      <c r="DI141" s="113"/>
      <c r="DJ141" s="113"/>
      <c r="DK141" s="113"/>
      <c r="DL141" s="113"/>
      <c r="DM141" s="113"/>
      <c r="DN141" s="113"/>
      <c r="DO141" s="113"/>
      <c r="DP141" s="113"/>
      <c r="DQ141" s="113"/>
      <c r="DR141" s="113"/>
      <c r="DS141" s="113"/>
      <c r="DT141" s="113"/>
      <c r="DU141" s="113"/>
      <c r="DV141" s="113"/>
      <c r="DW141" s="113"/>
      <c r="DX141" s="113"/>
      <c r="DY141" s="113"/>
      <c r="DZ141" s="113"/>
      <c r="EA141" s="113"/>
      <c r="EB141" s="113"/>
      <c r="EC141" s="113"/>
      <c r="ED141" s="113"/>
      <c r="EE141" s="113"/>
    </row>
    <row r="142" ht="19.5" customHeight="1">
      <c r="A142" s="84" t="str">
        <f>IF(Roster!$A$140&lt;&gt;"",Roster!$A$140,"")</f>
        <v/>
      </c>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c r="AX142" s="113"/>
      <c r="AY142" s="113"/>
      <c r="AZ142" s="113"/>
      <c r="BA142" s="113"/>
      <c r="BB142" s="113"/>
      <c r="BC142" s="113"/>
      <c r="BD142" s="113"/>
      <c r="BE142" s="113"/>
      <c r="BF142" s="113"/>
      <c r="BG142" s="113"/>
      <c r="BH142" s="113"/>
      <c r="BI142" s="113"/>
      <c r="BJ142" s="113"/>
      <c r="BK142" s="113"/>
      <c r="BL142" s="113"/>
      <c r="BM142" s="113"/>
      <c r="BN142" s="113"/>
      <c r="BO142" s="113"/>
      <c r="BP142" s="113"/>
      <c r="BQ142" s="113"/>
      <c r="BR142" s="113"/>
      <c r="BS142" s="113"/>
      <c r="BT142" s="113"/>
      <c r="BU142" s="113"/>
      <c r="BV142" s="113"/>
      <c r="BW142" s="113"/>
      <c r="BX142" s="113"/>
      <c r="BY142" s="113"/>
      <c r="BZ142" s="113"/>
      <c r="CA142" s="113"/>
      <c r="CB142" s="113"/>
      <c r="CC142" s="113"/>
      <c r="CD142" s="113"/>
      <c r="CE142" s="113"/>
      <c r="CF142" s="113"/>
      <c r="CG142" s="113"/>
      <c r="CH142" s="113"/>
      <c r="CI142" s="113"/>
      <c r="CJ142" s="113"/>
      <c r="CK142" s="113"/>
      <c r="CL142" s="113"/>
      <c r="CM142" s="113"/>
      <c r="CN142" s="113"/>
      <c r="CO142" s="113"/>
      <c r="CP142" s="113"/>
      <c r="CQ142" s="113"/>
      <c r="CR142" s="113"/>
      <c r="CS142" s="113"/>
      <c r="CT142" s="113"/>
      <c r="CU142" s="113"/>
      <c r="CV142" s="113"/>
      <c r="CW142" s="113"/>
      <c r="CX142" s="113"/>
      <c r="CY142" s="113"/>
      <c r="CZ142" s="113"/>
      <c r="DA142" s="113"/>
      <c r="DB142" s="113"/>
      <c r="DC142" s="113"/>
      <c r="DD142" s="113"/>
      <c r="DE142" s="113"/>
      <c r="DF142" s="113"/>
      <c r="DG142" s="113"/>
      <c r="DH142" s="113"/>
      <c r="DI142" s="113"/>
      <c r="DJ142" s="113"/>
      <c r="DK142" s="113"/>
      <c r="DL142" s="113"/>
      <c r="DM142" s="113"/>
      <c r="DN142" s="113"/>
      <c r="DO142" s="113"/>
      <c r="DP142" s="113"/>
      <c r="DQ142" s="113"/>
      <c r="DR142" s="113"/>
      <c r="DS142" s="113"/>
      <c r="DT142" s="113"/>
      <c r="DU142" s="113"/>
      <c r="DV142" s="113"/>
      <c r="DW142" s="113"/>
      <c r="DX142" s="113"/>
      <c r="DY142" s="113"/>
      <c r="DZ142" s="113"/>
      <c r="EA142" s="113"/>
      <c r="EB142" s="113"/>
      <c r="EC142" s="113"/>
      <c r="ED142" s="113"/>
      <c r="EE142" s="113"/>
    </row>
    <row r="143" ht="19.5" customHeight="1">
      <c r="A143" s="84" t="str">
        <f>IF(Roster!$A$141&lt;&gt;"",Roster!$A$141,"")</f>
        <v/>
      </c>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c r="AX143" s="113"/>
      <c r="AY143" s="113"/>
      <c r="AZ143" s="113"/>
      <c r="BA143" s="113"/>
      <c r="BB143" s="113"/>
      <c r="BC143" s="113"/>
      <c r="BD143" s="113"/>
      <c r="BE143" s="113"/>
      <c r="BF143" s="113"/>
      <c r="BG143" s="113"/>
      <c r="BH143" s="113"/>
      <c r="BI143" s="113"/>
      <c r="BJ143" s="113"/>
      <c r="BK143" s="113"/>
      <c r="BL143" s="113"/>
      <c r="BM143" s="113"/>
      <c r="BN143" s="113"/>
      <c r="BO143" s="113"/>
      <c r="BP143" s="113"/>
      <c r="BQ143" s="113"/>
      <c r="BR143" s="113"/>
      <c r="BS143" s="113"/>
      <c r="BT143" s="113"/>
      <c r="BU143" s="113"/>
      <c r="BV143" s="113"/>
      <c r="BW143" s="113"/>
      <c r="BX143" s="113"/>
      <c r="BY143" s="113"/>
      <c r="BZ143" s="113"/>
      <c r="CA143" s="113"/>
      <c r="CB143" s="113"/>
      <c r="CC143" s="113"/>
      <c r="CD143" s="113"/>
      <c r="CE143" s="113"/>
      <c r="CF143" s="113"/>
      <c r="CG143" s="113"/>
      <c r="CH143" s="113"/>
      <c r="CI143" s="113"/>
      <c r="CJ143" s="113"/>
      <c r="CK143" s="113"/>
      <c r="CL143" s="113"/>
      <c r="CM143" s="113"/>
      <c r="CN143" s="113"/>
      <c r="CO143" s="113"/>
      <c r="CP143" s="113"/>
      <c r="CQ143" s="113"/>
      <c r="CR143" s="113"/>
      <c r="CS143" s="113"/>
      <c r="CT143" s="113"/>
      <c r="CU143" s="113"/>
      <c r="CV143" s="113"/>
      <c r="CW143" s="113"/>
      <c r="CX143" s="113"/>
      <c r="CY143" s="113"/>
      <c r="CZ143" s="113"/>
      <c r="DA143" s="113"/>
      <c r="DB143" s="113"/>
      <c r="DC143" s="113"/>
      <c r="DD143" s="113"/>
      <c r="DE143" s="113"/>
      <c r="DF143" s="113"/>
      <c r="DG143" s="113"/>
      <c r="DH143" s="113"/>
      <c r="DI143" s="113"/>
      <c r="DJ143" s="113"/>
      <c r="DK143" s="113"/>
      <c r="DL143" s="113"/>
      <c r="DM143" s="113"/>
      <c r="DN143" s="113"/>
      <c r="DO143" s="113"/>
      <c r="DP143" s="113"/>
      <c r="DQ143" s="113"/>
      <c r="DR143" s="113"/>
      <c r="DS143" s="113"/>
      <c r="DT143" s="113"/>
      <c r="DU143" s="113"/>
      <c r="DV143" s="113"/>
      <c r="DW143" s="113"/>
      <c r="DX143" s="113"/>
      <c r="DY143" s="113"/>
      <c r="DZ143" s="113"/>
      <c r="EA143" s="113"/>
      <c r="EB143" s="113"/>
      <c r="EC143" s="113"/>
      <c r="ED143" s="113"/>
      <c r="EE143" s="113"/>
    </row>
    <row r="144" ht="19.5" customHeight="1">
      <c r="A144" s="84" t="str">
        <f>IF(Roster!$A$142&lt;&gt;"",Roster!$A$142,"")</f>
        <v/>
      </c>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c r="AX144" s="113"/>
      <c r="AY144" s="113"/>
      <c r="AZ144" s="113"/>
      <c r="BA144" s="113"/>
      <c r="BB144" s="113"/>
      <c r="BC144" s="113"/>
      <c r="BD144" s="113"/>
      <c r="BE144" s="113"/>
      <c r="BF144" s="113"/>
      <c r="BG144" s="113"/>
      <c r="BH144" s="113"/>
      <c r="BI144" s="113"/>
      <c r="BJ144" s="113"/>
      <c r="BK144" s="113"/>
      <c r="BL144" s="113"/>
      <c r="BM144" s="113"/>
      <c r="BN144" s="113"/>
      <c r="BO144" s="113"/>
      <c r="BP144" s="113"/>
      <c r="BQ144" s="113"/>
      <c r="BR144" s="113"/>
      <c r="BS144" s="113"/>
      <c r="BT144" s="113"/>
      <c r="BU144" s="113"/>
      <c r="BV144" s="113"/>
      <c r="BW144" s="113"/>
      <c r="BX144" s="113"/>
      <c r="BY144" s="113"/>
      <c r="BZ144" s="113"/>
      <c r="CA144" s="113"/>
      <c r="CB144" s="113"/>
      <c r="CC144" s="113"/>
      <c r="CD144" s="113"/>
      <c r="CE144" s="113"/>
      <c r="CF144" s="113"/>
      <c r="CG144" s="113"/>
      <c r="CH144" s="113"/>
      <c r="CI144" s="113"/>
      <c r="CJ144" s="113"/>
      <c r="CK144" s="113"/>
      <c r="CL144" s="113"/>
      <c r="CM144" s="113"/>
      <c r="CN144" s="113"/>
      <c r="CO144" s="113"/>
      <c r="CP144" s="113"/>
      <c r="CQ144" s="113"/>
      <c r="CR144" s="113"/>
      <c r="CS144" s="113"/>
      <c r="CT144" s="113"/>
      <c r="CU144" s="113"/>
      <c r="CV144" s="113"/>
      <c r="CW144" s="113"/>
      <c r="CX144" s="113"/>
      <c r="CY144" s="113"/>
      <c r="CZ144" s="113"/>
      <c r="DA144" s="113"/>
      <c r="DB144" s="113"/>
      <c r="DC144" s="113"/>
      <c r="DD144" s="113"/>
      <c r="DE144" s="113"/>
      <c r="DF144" s="113"/>
      <c r="DG144" s="113"/>
      <c r="DH144" s="113"/>
      <c r="DI144" s="113"/>
      <c r="DJ144" s="113"/>
      <c r="DK144" s="113"/>
      <c r="DL144" s="113"/>
      <c r="DM144" s="113"/>
      <c r="DN144" s="113"/>
      <c r="DO144" s="113"/>
      <c r="DP144" s="113"/>
      <c r="DQ144" s="113"/>
      <c r="DR144" s="113"/>
      <c r="DS144" s="113"/>
      <c r="DT144" s="113"/>
      <c r="DU144" s="113"/>
      <c r="DV144" s="113"/>
      <c r="DW144" s="113"/>
      <c r="DX144" s="113"/>
      <c r="DY144" s="113"/>
      <c r="DZ144" s="113"/>
      <c r="EA144" s="113"/>
      <c r="EB144" s="113"/>
      <c r="EC144" s="113"/>
      <c r="ED144" s="113"/>
      <c r="EE144" s="113"/>
    </row>
    <row r="145" ht="19.5" customHeight="1">
      <c r="A145" s="84" t="str">
        <f>IF(Roster!$A$143&lt;&gt;"",Roster!$A$143,"")</f>
        <v/>
      </c>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c r="AX145" s="113"/>
      <c r="AY145" s="113"/>
      <c r="AZ145" s="113"/>
      <c r="BA145" s="113"/>
      <c r="BB145" s="113"/>
      <c r="BC145" s="113"/>
      <c r="BD145" s="113"/>
      <c r="BE145" s="113"/>
      <c r="BF145" s="113"/>
      <c r="BG145" s="113"/>
      <c r="BH145" s="113"/>
      <c r="BI145" s="113"/>
      <c r="BJ145" s="113"/>
      <c r="BK145" s="113"/>
      <c r="BL145" s="113"/>
      <c r="BM145" s="113"/>
      <c r="BN145" s="113"/>
      <c r="BO145" s="113"/>
      <c r="BP145" s="113"/>
      <c r="BQ145" s="113"/>
      <c r="BR145" s="113"/>
      <c r="BS145" s="113"/>
      <c r="BT145" s="113"/>
      <c r="BU145" s="113"/>
      <c r="BV145" s="113"/>
      <c r="BW145" s="113"/>
      <c r="BX145" s="113"/>
      <c r="BY145" s="113"/>
      <c r="BZ145" s="113"/>
      <c r="CA145" s="113"/>
      <c r="CB145" s="113"/>
      <c r="CC145" s="113"/>
      <c r="CD145" s="113"/>
      <c r="CE145" s="113"/>
      <c r="CF145" s="113"/>
      <c r="CG145" s="113"/>
      <c r="CH145" s="113"/>
      <c r="CI145" s="113"/>
      <c r="CJ145" s="113"/>
      <c r="CK145" s="113"/>
      <c r="CL145" s="113"/>
      <c r="CM145" s="113"/>
      <c r="CN145" s="113"/>
      <c r="CO145" s="113"/>
      <c r="CP145" s="113"/>
      <c r="CQ145" s="113"/>
      <c r="CR145" s="113"/>
      <c r="CS145" s="113"/>
      <c r="CT145" s="113"/>
      <c r="CU145" s="113"/>
      <c r="CV145" s="113"/>
      <c r="CW145" s="113"/>
      <c r="CX145" s="113"/>
      <c r="CY145" s="113"/>
      <c r="CZ145" s="113"/>
      <c r="DA145" s="113"/>
      <c r="DB145" s="113"/>
      <c r="DC145" s="113"/>
      <c r="DD145" s="113"/>
      <c r="DE145" s="113"/>
      <c r="DF145" s="113"/>
      <c r="DG145" s="113"/>
      <c r="DH145" s="113"/>
      <c r="DI145" s="113"/>
      <c r="DJ145" s="113"/>
      <c r="DK145" s="113"/>
      <c r="DL145" s="113"/>
      <c r="DM145" s="113"/>
      <c r="DN145" s="113"/>
      <c r="DO145" s="113"/>
      <c r="DP145" s="113"/>
      <c r="DQ145" s="113"/>
      <c r="DR145" s="113"/>
      <c r="DS145" s="113"/>
      <c r="DT145" s="113"/>
      <c r="DU145" s="113"/>
      <c r="DV145" s="113"/>
      <c r="DW145" s="113"/>
      <c r="DX145" s="113"/>
      <c r="DY145" s="113"/>
      <c r="DZ145" s="113"/>
      <c r="EA145" s="113"/>
      <c r="EB145" s="113"/>
      <c r="EC145" s="113"/>
      <c r="ED145" s="113"/>
      <c r="EE145" s="113"/>
    </row>
    <row r="146" ht="19.5" customHeight="1">
      <c r="A146" s="84" t="str">
        <f>IF(Roster!$A$144&lt;&gt;"",Roster!$A$144,"")</f>
        <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c r="AX146" s="113"/>
      <c r="AY146" s="113"/>
      <c r="AZ146" s="113"/>
      <c r="BA146" s="113"/>
      <c r="BB146" s="113"/>
      <c r="BC146" s="113"/>
      <c r="BD146" s="113"/>
      <c r="BE146" s="113"/>
      <c r="BF146" s="113"/>
      <c r="BG146" s="113"/>
      <c r="BH146" s="113"/>
      <c r="BI146" s="113"/>
      <c r="BJ146" s="113"/>
      <c r="BK146" s="113"/>
      <c r="BL146" s="113"/>
      <c r="BM146" s="113"/>
      <c r="BN146" s="113"/>
      <c r="BO146" s="113"/>
      <c r="BP146" s="113"/>
      <c r="BQ146" s="113"/>
      <c r="BR146" s="113"/>
      <c r="BS146" s="113"/>
      <c r="BT146" s="113"/>
      <c r="BU146" s="113"/>
      <c r="BV146" s="113"/>
      <c r="BW146" s="113"/>
      <c r="BX146" s="113"/>
      <c r="BY146" s="113"/>
      <c r="BZ146" s="113"/>
      <c r="CA146" s="113"/>
      <c r="CB146" s="113"/>
      <c r="CC146" s="113"/>
      <c r="CD146" s="113"/>
      <c r="CE146" s="113"/>
      <c r="CF146" s="113"/>
      <c r="CG146" s="113"/>
      <c r="CH146" s="113"/>
      <c r="CI146" s="113"/>
      <c r="CJ146" s="113"/>
      <c r="CK146" s="113"/>
      <c r="CL146" s="113"/>
      <c r="CM146" s="113"/>
      <c r="CN146" s="113"/>
      <c r="CO146" s="113"/>
      <c r="CP146" s="113"/>
      <c r="CQ146" s="113"/>
      <c r="CR146" s="113"/>
      <c r="CS146" s="113"/>
      <c r="CT146" s="113"/>
      <c r="CU146" s="113"/>
      <c r="CV146" s="113"/>
      <c r="CW146" s="113"/>
      <c r="CX146" s="113"/>
      <c r="CY146" s="113"/>
      <c r="CZ146" s="113"/>
      <c r="DA146" s="113"/>
      <c r="DB146" s="113"/>
      <c r="DC146" s="113"/>
      <c r="DD146" s="113"/>
      <c r="DE146" s="113"/>
      <c r="DF146" s="113"/>
      <c r="DG146" s="113"/>
      <c r="DH146" s="113"/>
      <c r="DI146" s="113"/>
      <c r="DJ146" s="113"/>
      <c r="DK146" s="113"/>
      <c r="DL146" s="113"/>
      <c r="DM146" s="113"/>
      <c r="DN146" s="113"/>
      <c r="DO146" s="113"/>
      <c r="DP146" s="113"/>
      <c r="DQ146" s="113"/>
      <c r="DR146" s="113"/>
      <c r="DS146" s="113"/>
      <c r="DT146" s="113"/>
      <c r="DU146" s="113"/>
      <c r="DV146" s="113"/>
      <c r="DW146" s="113"/>
      <c r="DX146" s="113"/>
      <c r="DY146" s="113"/>
      <c r="DZ146" s="113"/>
      <c r="EA146" s="113"/>
      <c r="EB146" s="113"/>
      <c r="EC146" s="113"/>
      <c r="ED146" s="113"/>
      <c r="EE146" s="113"/>
    </row>
    <row r="147" ht="19.5" customHeight="1">
      <c r="A147" s="84" t="str">
        <f>IF(Roster!$A$145&lt;&gt;"",Roster!$A$145,"")</f>
        <v/>
      </c>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c r="AX147" s="113"/>
      <c r="AY147" s="113"/>
      <c r="AZ147" s="113"/>
      <c r="BA147" s="113"/>
      <c r="BB147" s="113"/>
      <c r="BC147" s="113"/>
      <c r="BD147" s="113"/>
      <c r="BE147" s="113"/>
      <c r="BF147" s="113"/>
      <c r="BG147" s="113"/>
      <c r="BH147" s="113"/>
      <c r="BI147" s="113"/>
      <c r="BJ147" s="113"/>
      <c r="BK147" s="113"/>
      <c r="BL147" s="113"/>
      <c r="BM147" s="113"/>
      <c r="BN147" s="113"/>
      <c r="BO147" s="113"/>
      <c r="BP147" s="113"/>
      <c r="BQ147" s="113"/>
      <c r="BR147" s="113"/>
      <c r="BS147" s="113"/>
      <c r="BT147" s="113"/>
      <c r="BU147" s="113"/>
      <c r="BV147" s="113"/>
      <c r="BW147" s="113"/>
      <c r="BX147" s="113"/>
      <c r="BY147" s="113"/>
      <c r="BZ147" s="113"/>
      <c r="CA147" s="113"/>
      <c r="CB147" s="113"/>
      <c r="CC147" s="113"/>
      <c r="CD147" s="113"/>
      <c r="CE147" s="113"/>
      <c r="CF147" s="113"/>
      <c r="CG147" s="113"/>
      <c r="CH147" s="113"/>
      <c r="CI147" s="113"/>
      <c r="CJ147" s="113"/>
      <c r="CK147" s="113"/>
      <c r="CL147" s="113"/>
      <c r="CM147" s="113"/>
      <c r="CN147" s="113"/>
      <c r="CO147" s="113"/>
      <c r="CP147" s="113"/>
      <c r="CQ147" s="113"/>
      <c r="CR147" s="113"/>
      <c r="CS147" s="113"/>
      <c r="CT147" s="113"/>
      <c r="CU147" s="113"/>
      <c r="CV147" s="113"/>
      <c r="CW147" s="113"/>
      <c r="CX147" s="113"/>
      <c r="CY147" s="113"/>
      <c r="CZ147" s="113"/>
      <c r="DA147" s="113"/>
      <c r="DB147" s="113"/>
      <c r="DC147" s="113"/>
      <c r="DD147" s="113"/>
      <c r="DE147" s="113"/>
      <c r="DF147" s="113"/>
      <c r="DG147" s="113"/>
      <c r="DH147" s="113"/>
      <c r="DI147" s="113"/>
      <c r="DJ147" s="113"/>
      <c r="DK147" s="113"/>
      <c r="DL147" s="113"/>
      <c r="DM147" s="113"/>
      <c r="DN147" s="113"/>
      <c r="DO147" s="113"/>
      <c r="DP147" s="113"/>
      <c r="DQ147" s="113"/>
      <c r="DR147" s="113"/>
      <c r="DS147" s="113"/>
      <c r="DT147" s="113"/>
      <c r="DU147" s="113"/>
      <c r="DV147" s="113"/>
      <c r="DW147" s="113"/>
      <c r="DX147" s="113"/>
      <c r="DY147" s="113"/>
      <c r="DZ147" s="113"/>
      <c r="EA147" s="113"/>
      <c r="EB147" s="113"/>
      <c r="EC147" s="113"/>
      <c r="ED147" s="113"/>
      <c r="EE147" s="113"/>
    </row>
    <row r="148" ht="19.5" customHeight="1">
      <c r="A148" s="84" t="str">
        <f>IF(Roster!$A$146&lt;&gt;"",Roster!$A$146,"")</f>
        <v/>
      </c>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c r="AX148" s="113"/>
      <c r="AY148" s="113"/>
      <c r="AZ148" s="113"/>
      <c r="BA148" s="113"/>
      <c r="BB148" s="113"/>
      <c r="BC148" s="113"/>
      <c r="BD148" s="113"/>
      <c r="BE148" s="113"/>
      <c r="BF148" s="113"/>
      <c r="BG148" s="113"/>
      <c r="BH148" s="113"/>
      <c r="BI148" s="113"/>
      <c r="BJ148" s="113"/>
      <c r="BK148" s="113"/>
      <c r="BL148" s="113"/>
      <c r="BM148" s="113"/>
      <c r="BN148" s="113"/>
      <c r="BO148" s="113"/>
      <c r="BP148" s="113"/>
      <c r="BQ148" s="113"/>
      <c r="BR148" s="113"/>
      <c r="BS148" s="113"/>
      <c r="BT148" s="113"/>
      <c r="BU148" s="113"/>
      <c r="BV148" s="113"/>
      <c r="BW148" s="113"/>
      <c r="BX148" s="113"/>
      <c r="BY148" s="113"/>
      <c r="BZ148" s="113"/>
      <c r="CA148" s="113"/>
      <c r="CB148" s="113"/>
      <c r="CC148" s="113"/>
      <c r="CD148" s="113"/>
      <c r="CE148" s="113"/>
      <c r="CF148" s="113"/>
      <c r="CG148" s="113"/>
      <c r="CH148" s="113"/>
      <c r="CI148" s="113"/>
      <c r="CJ148" s="113"/>
      <c r="CK148" s="113"/>
      <c r="CL148" s="113"/>
      <c r="CM148" s="113"/>
      <c r="CN148" s="113"/>
      <c r="CO148" s="113"/>
      <c r="CP148" s="113"/>
      <c r="CQ148" s="113"/>
      <c r="CR148" s="113"/>
      <c r="CS148" s="113"/>
      <c r="CT148" s="113"/>
      <c r="CU148" s="113"/>
      <c r="CV148" s="113"/>
      <c r="CW148" s="113"/>
      <c r="CX148" s="113"/>
      <c r="CY148" s="113"/>
      <c r="CZ148" s="113"/>
      <c r="DA148" s="113"/>
      <c r="DB148" s="113"/>
      <c r="DC148" s="113"/>
      <c r="DD148" s="113"/>
      <c r="DE148" s="113"/>
      <c r="DF148" s="113"/>
      <c r="DG148" s="113"/>
      <c r="DH148" s="113"/>
      <c r="DI148" s="113"/>
      <c r="DJ148" s="113"/>
      <c r="DK148" s="113"/>
      <c r="DL148" s="113"/>
      <c r="DM148" s="113"/>
      <c r="DN148" s="113"/>
      <c r="DO148" s="113"/>
      <c r="DP148" s="113"/>
      <c r="DQ148" s="113"/>
      <c r="DR148" s="113"/>
      <c r="DS148" s="113"/>
      <c r="DT148" s="113"/>
      <c r="DU148" s="113"/>
      <c r="DV148" s="113"/>
      <c r="DW148" s="113"/>
      <c r="DX148" s="113"/>
      <c r="DY148" s="113"/>
      <c r="DZ148" s="113"/>
      <c r="EA148" s="113"/>
      <c r="EB148" s="113"/>
      <c r="EC148" s="113"/>
      <c r="ED148" s="113"/>
      <c r="EE148" s="113"/>
    </row>
    <row r="149" ht="19.5" customHeight="1">
      <c r="A149" s="84" t="str">
        <f>IF(Roster!$A$147&lt;&gt;"",Roster!$A$147,"")</f>
        <v/>
      </c>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c r="AX149" s="113"/>
      <c r="AY149" s="113"/>
      <c r="AZ149" s="113"/>
      <c r="BA149" s="113"/>
      <c r="BB149" s="113"/>
      <c r="BC149" s="113"/>
      <c r="BD149" s="113"/>
      <c r="BE149" s="113"/>
      <c r="BF149" s="113"/>
      <c r="BG149" s="113"/>
      <c r="BH149" s="113"/>
      <c r="BI149" s="113"/>
      <c r="BJ149" s="113"/>
      <c r="BK149" s="113"/>
      <c r="BL149" s="113"/>
      <c r="BM149" s="113"/>
      <c r="BN149" s="113"/>
      <c r="BO149" s="113"/>
      <c r="BP149" s="113"/>
      <c r="BQ149" s="113"/>
      <c r="BR149" s="113"/>
      <c r="BS149" s="113"/>
      <c r="BT149" s="113"/>
      <c r="BU149" s="113"/>
      <c r="BV149" s="113"/>
      <c r="BW149" s="113"/>
      <c r="BX149" s="113"/>
      <c r="BY149" s="113"/>
      <c r="BZ149" s="113"/>
      <c r="CA149" s="113"/>
      <c r="CB149" s="113"/>
      <c r="CC149" s="113"/>
      <c r="CD149" s="113"/>
      <c r="CE149" s="113"/>
      <c r="CF149" s="113"/>
      <c r="CG149" s="113"/>
      <c r="CH149" s="113"/>
      <c r="CI149" s="113"/>
      <c r="CJ149" s="113"/>
      <c r="CK149" s="113"/>
      <c r="CL149" s="113"/>
      <c r="CM149" s="113"/>
      <c r="CN149" s="113"/>
      <c r="CO149" s="113"/>
      <c r="CP149" s="113"/>
      <c r="CQ149" s="113"/>
      <c r="CR149" s="113"/>
      <c r="CS149" s="113"/>
      <c r="CT149" s="113"/>
      <c r="CU149" s="113"/>
      <c r="CV149" s="113"/>
      <c r="CW149" s="113"/>
      <c r="CX149" s="113"/>
      <c r="CY149" s="113"/>
      <c r="CZ149" s="113"/>
      <c r="DA149" s="113"/>
      <c r="DB149" s="113"/>
      <c r="DC149" s="113"/>
      <c r="DD149" s="113"/>
      <c r="DE149" s="113"/>
      <c r="DF149" s="113"/>
      <c r="DG149" s="113"/>
      <c r="DH149" s="113"/>
      <c r="DI149" s="113"/>
      <c r="DJ149" s="113"/>
      <c r="DK149" s="113"/>
      <c r="DL149" s="113"/>
      <c r="DM149" s="113"/>
      <c r="DN149" s="113"/>
      <c r="DO149" s="113"/>
      <c r="DP149" s="113"/>
      <c r="DQ149" s="113"/>
      <c r="DR149" s="113"/>
      <c r="DS149" s="113"/>
      <c r="DT149" s="113"/>
      <c r="DU149" s="113"/>
      <c r="DV149" s="113"/>
      <c r="DW149" s="113"/>
      <c r="DX149" s="113"/>
      <c r="DY149" s="113"/>
      <c r="DZ149" s="113"/>
      <c r="EA149" s="113"/>
      <c r="EB149" s="113"/>
      <c r="EC149" s="113"/>
      <c r="ED149" s="113"/>
      <c r="EE149" s="113"/>
    </row>
    <row r="150" ht="19.5" customHeight="1">
      <c r="A150" s="84" t="str">
        <f>IF(Roster!$A$148&lt;&gt;"",Roster!$A$148,"")</f>
        <v/>
      </c>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c r="AX150" s="113"/>
      <c r="AY150" s="113"/>
      <c r="AZ150" s="113"/>
      <c r="BA150" s="113"/>
      <c r="BB150" s="113"/>
      <c r="BC150" s="113"/>
      <c r="BD150" s="113"/>
      <c r="BE150" s="113"/>
      <c r="BF150" s="113"/>
      <c r="BG150" s="113"/>
      <c r="BH150" s="113"/>
      <c r="BI150" s="113"/>
      <c r="BJ150" s="113"/>
      <c r="BK150" s="113"/>
      <c r="BL150" s="113"/>
      <c r="BM150" s="113"/>
      <c r="BN150" s="113"/>
      <c r="BO150" s="113"/>
      <c r="BP150" s="113"/>
      <c r="BQ150" s="113"/>
      <c r="BR150" s="113"/>
      <c r="BS150" s="113"/>
      <c r="BT150" s="113"/>
      <c r="BU150" s="113"/>
      <c r="BV150" s="113"/>
      <c r="BW150" s="113"/>
      <c r="BX150" s="113"/>
      <c r="BY150" s="113"/>
      <c r="BZ150" s="113"/>
      <c r="CA150" s="113"/>
      <c r="CB150" s="113"/>
      <c r="CC150" s="113"/>
      <c r="CD150" s="113"/>
      <c r="CE150" s="113"/>
      <c r="CF150" s="113"/>
      <c r="CG150" s="113"/>
      <c r="CH150" s="113"/>
      <c r="CI150" s="113"/>
      <c r="CJ150" s="113"/>
      <c r="CK150" s="113"/>
      <c r="CL150" s="113"/>
      <c r="CM150" s="113"/>
      <c r="CN150" s="113"/>
      <c r="CO150" s="113"/>
      <c r="CP150" s="113"/>
      <c r="CQ150" s="113"/>
      <c r="CR150" s="113"/>
      <c r="CS150" s="113"/>
      <c r="CT150" s="113"/>
      <c r="CU150" s="113"/>
      <c r="CV150" s="113"/>
      <c r="CW150" s="113"/>
      <c r="CX150" s="113"/>
      <c r="CY150" s="113"/>
      <c r="CZ150" s="113"/>
      <c r="DA150" s="113"/>
      <c r="DB150" s="113"/>
      <c r="DC150" s="113"/>
      <c r="DD150" s="113"/>
      <c r="DE150" s="113"/>
      <c r="DF150" s="113"/>
      <c r="DG150" s="113"/>
      <c r="DH150" s="113"/>
      <c r="DI150" s="113"/>
      <c r="DJ150" s="113"/>
      <c r="DK150" s="113"/>
      <c r="DL150" s="113"/>
      <c r="DM150" s="113"/>
      <c r="DN150" s="113"/>
      <c r="DO150" s="113"/>
      <c r="DP150" s="113"/>
      <c r="DQ150" s="113"/>
      <c r="DR150" s="113"/>
      <c r="DS150" s="113"/>
      <c r="DT150" s="113"/>
      <c r="DU150" s="113"/>
      <c r="DV150" s="113"/>
      <c r="DW150" s="113"/>
      <c r="DX150" s="113"/>
      <c r="DY150" s="113"/>
      <c r="DZ150" s="113"/>
      <c r="EA150" s="113"/>
      <c r="EB150" s="113"/>
      <c r="EC150" s="113"/>
      <c r="ED150" s="113"/>
      <c r="EE150" s="113"/>
    </row>
    <row r="151" ht="19.5" customHeight="1">
      <c r="A151" s="84" t="str">
        <f>IF(Roster!$A$149&lt;&gt;"",Roster!$A$149,"")</f>
        <v/>
      </c>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c r="AX151" s="113"/>
      <c r="AY151" s="113"/>
      <c r="AZ151" s="113"/>
      <c r="BA151" s="113"/>
      <c r="BB151" s="113"/>
      <c r="BC151" s="113"/>
      <c r="BD151" s="113"/>
      <c r="BE151" s="113"/>
      <c r="BF151" s="113"/>
      <c r="BG151" s="113"/>
      <c r="BH151" s="113"/>
      <c r="BI151" s="113"/>
      <c r="BJ151" s="113"/>
      <c r="BK151" s="113"/>
      <c r="BL151" s="113"/>
      <c r="BM151" s="113"/>
      <c r="BN151" s="113"/>
      <c r="BO151" s="113"/>
      <c r="BP151" s="113"/>
      <c r="BQ151" s="113"/>
      <c r="BR151" s="113"/>
      <c r="BS151" s="113"/>
      <c r="BT151" s="113"/>
      <c r="BU151" s="113"/>
      <c r="BV151" s="113"/>
      <c r="BW151" s="113"/>
      <c r="BX151" s="113"/>
      <c r="BY151" s="113"/>
      <c r="BZ151" s="113"/>
      <c r="CA151" s="113"/>
      <c r="CB151" s="113"/>
      <c r="CC151" s="113"/>
      <c r="CD151" s="113"/>
      <c r="CE151" s="113"/>
      <c r="CF151" s="113"/>
      <c r="CG151" s="113"/>
      <c r="CH151" s="113"/>
      <c r="CI151" s="113"/>
      <c r="CJ151" s="113"/>
      <c r="CK151" s="113"/>
      <c r="CL151" s="113"/>
      <c r="CM151" s="113"/>
      <c r="CN151" s="113"/>
      <c r="CO151" s="113"/>
      <c r="CP151" s="113"/>
      <c r="CQ151" s="113"/>
      <c r="CR151" s="113"/>
      <c r="CS151" s="113"/>
      <c r="CT151" s="113"/>
      <c r="CU151" s="113"/>
      <c r="CV151" s="113"/>
      <c r="CW151" s="113"/>
      <c r="CX151" s="113"/>
      <c r="CY151" s="113"/>
      <c r="CZ151" s="113"/>
      <c r="DA151" s="113"/>
      <c r="DB151" s="113"/>
      <c r="DC151" s="113"/>
      <c r="DD151" s="113"/>
      <c r="DE151" s="113"/>
      <c r="DF151" s="113"/>
      <c r="DG151" s="113"/>
      <c r="DH151" s="113"/>
      <c r="DI151" s="113"/>
      <c r="DJ151" s="113"/>
      <c r="DK151" s="113"/>
      <c r="DL151" s="113"/>
      <c r="DM151" s="113"/>
      <c r="DN151" s="113"/>
      <c r="DO151" s="113"/>
      <c r="DP151" s="113"/>
      <c r="DQ151" s="113"/>
      <c r="DR151" s="113"/>
      <c r="DS151" s="113"/>
      <c r="DT151" s="113"/>
      <c r="DU151" s="113"/>
      <c r="DV151" s="113"/>
      <c r="DW151" s="113"/>
      <c r="DX151" s="113"/>
      <c r="DY151" s="113"/>
      <c r="DZ151" s="113"/>
      <c r="EA151" s="113"/>
      <c r="EB151" s="113"/>
      <c r="EC151" s="113"/>
      <c r="ED151" s="113"/>
      <c r="EE151" s="113"/>
    </row>
    <row r="152" ht="19.5" customHeight="1">
      <c r="A152" s="84" t="str">
        <f>IF(Roster!$A$150&lt;&gt;"",Roster!$A$150,"")</f>
        <v/>
      </c>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c r="AX152" s="113"/>
      <c r="AY152" s="113"/>
      <c r="AZ152" s="113"/>
      <c r="BA152" s="113"/>
      <c r="BB152" s="113"/>
      <c r="BC152" s="113"/>
      <c r="BD152" s="113"/>
      <c r="BE152" s="113"/>
      <c r="BF152" s="113"/>
      <c r="BG152" s="113"/>
      <c r="BH152" s="113"/>
      <c r="BI152" s="113"/>
      <c r="BJ152" s="113"/>
      <c r="BK152" s="113"/>
      <c r="BL152" s="113"/>
      <c r="BM152" s="113"/>
      <c r="BN152" s="113"/>
      <c r="BO152" s="113"/>
      <c r="BP152" s="113"/>
      <c r="BQ152" s="113"/>
      <c r="BR152" s="113"/>
      <c r="BS152" s="113"/>
      <c r="BT152" s="113"/>
      <c r="BU152" s="113"/>
      <c r="BV152" s="113"/>
      <c r="BW152" s="113"/>
      <c r="BX152" s="113"/>
      <c r="BY152" s="113"/>
      <c r="BZ152" s="113"/>
      <c r="CA152" s="113"/>
      <c r="CB152" s="113"/>
      <c r="CC152" s="113"/>
      <c r="CD152" s="113"/>
      <c r="CE152" s="113"/>
      <c r="CF152" s="113"/>
      <c r="CG152" s="113"/>
      <c r="CH152" s="113"/>
      <c r="CI152" s="113"/>
      <c r="CJ152" s="113"/>
      <c r="CK152" s="113"/>
      <c r="CL152" s="113"/>
      <c r="CM152" s="113"/>
      <c r="CN152" s="113"/>
      <c r="CO152" s="113"/>
      <c r="CP152" s="113"/>
      <c r="CQ152" s="113"/>
      <c r="CR152" s="113"/>
      <c r="CS152" s="113"/>
      <c r="CT152" s="113"/>
      <c r="CU152" s="113"/>
      <c r="CV152" s="113"/>
      <c r="CW152" s="113"/>
      <c r="CX152" s="113"/>
      <c r="CY152" s="113"/>
      <c r="CZ152" s="113"/>
      <c r="DA152" s="113"/>
      <c r="DB152" s="113"/>
      <c r="DC152" s="113"/>
      <c r="DD152" s="113"/>
      <c r="DE152" s="113"/>
      <c r="DF152" s="113"/>
      <c r="DG152" s="113"/>
      <c r="DH152" s="113"/>
      <c r="DI152" s="113"/>
      <c r="DJ152" s="113"/>
      <c r="DK152" s="113"/>
      <c r="DL152" s="113"/>
      <c r="DM152" s="113"/>
      <c r="DN152" s="113"/>
      <c r="DO152" s="113"/>
      <c r="DP152" s="113"/>
      <c r="DQ152" s="113"/>
      <c r="DR152" s="113"/>
      <c r="DS152" s="113"/>
      <c r="DT152" s="113"/>
      <c r="DU152" s="113"/>
      <c r="DV152" s="113"/>
      <c r="DW152" s="113"/>
      <c r="DX152" s="113"/>
      <c r="DY152" s="113"/>
      <c r="DZ152" s="113"/>
      <c r="EA152" s="113"/>
      <c r="EB152" s="113"/>
      <c r="EC152" s="113"/>
      <c r="ED152" s="113"/>
      <c r="EE152" s="113"/>
    </row>
    <row r="153" ht="19.5" customHeight="1">
      <c r="A153" s="84" t="str">
        <f>IF(Roster!$A$151&lt;&gt;"",Roster!$A$151,"")</f>
        <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c r="AX153" s="113"/>
      <c r="AY153" s="113"/>
      <c r="AZ153" s="113"/>
      <c r="BA153" s="113"/>
      <c r="BB153" s="113"/>
      <c r="BC153" s="113"/>
      <c r="BD153" s="113"/>
      <c r="BE153" s="113"/>
      <c r="BF153" s="113"/>
      <c r="BG153" s="113"/>
      <c r="BH153" s="113"/>
      <c r="BI153" s="113"/>
      <c r="BJ153" s="113"/>
      <c r="BK153" s="113"/>
      <c r="BL153" s="113"/>
      <c r="BM153" s="113"/>
      <c r="BN153" s="113"/>
      <c r="BO153" s="113"/>
      <c r="BP153" s="113"/>
      <c r="BQ153" s="113"/>
      <c r="BR153" s="113"/>
      <c r="BS153" s="113"/>
      <c r="BT153" s="113"/>
      <c r="BU153" s="113"/>
      <c r="BV153" s="113"/>
      <c r="BW153" s="113"/>
      <c r="BX153" s="113"/>
      <c r="BY153" s="113"/>
      <c r="BZ153" s="113"/>
      <c r="CA153" s="113"/>
      <c r="CB153" s="113"/>
      <c r="CC153" s="113"/>
      <c r="CD153" s="113"/>
      <c r="CE153" s="113"/>
      <c r="CF153" s="113"/>
      <c r="CG153" s="113"/>
      <c r="CH153" s="113"/>
      <c r="CI153" s="113"/>
      <c r="CJ153" s="113"/>
      <c r="CK153" s="113"/>
      <c r="CL153" s="113"/>
      <c r="CM153" s="113"/>
      <c r="CN153" s="113"/>
      <c r="CO153" s="113"/>
      <c r="CP153" s="113"/>
      <c r="CQ153" s="113"/>
      <c r="CR153" s="113"/>
      <c r="CS153" s="113"/>
      <c r="CT153" s="113"/>
      <c r="CU153" s="113"/>
      <c r="CV153" s="113"/>
      <c r="CW153" s="113"/>
      <c r="CX153" s="113"/>
      <c r="CY153" s="113"/>
      <c r="CZ153" s="113"/>
      <c r="DA153" s="113"/>
      <c r="DB153" s="113"/>
      <c r="DC153" s="113"/>
      <c r="DD153" s="113"/>
      <c r="DE153" s="113"/>
      <c r="DF153" s="113"/>
      <c r="DG153" s="113"/>
      <c r="DH153" s="113"/>
      <c r="DI153" s="113"/>
      <c r="DJ153" s="113"/>
      <c r="DK153" s="113"/>
      <c r="DL153" s="113"/>
      <c r="DM153" s="113"/>
      <c r="DN153" s="113"/>
      <c r="DO153" s="113"/>
      <c r="DP153" s="113"/>
      <c r="DQ153" s="113"/>
      <c r="DR153" s="113"/>
      <c r="DS153" s="113"/>
      <c r="DT153" s="113"/>
      <c r="DU153" s="113"/>
      <c r="DV153" s="113"/>
      <c r="DW153" s="113"/>
      <c r="DX153" s="113"/>
      <c r="DY153" s="113"/>
      <c r="DZ153" s="113"/>
      <c r="EA153" s="113"/>
      <c r="EB153" s="113"/>
      <c r="EC153" s="113"/>
      <c r="ED153" s="113"/>
      <c r="EE153" s="113"/>
    </row>
    <row r="154" ht="19.5" customHeight="1">
      <c r="A154" s="84" t="str">
        <f>IF(Roster!$A$152&lt;&gt;"",Roster!$A$152,"")</f>
        <v/>
      </c>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c r="AX154" s="113"/>
      <c r="AY154" s="113"/>
      <c r="AZ154" s="113"/>
      <c r="BA154" s="113"/>
      <c r="BB154" s="113"/>
      <c r="BC154" s="113"/>
      <c r="BD154" s="113"/>
      <c r="BE154" s="113"/>
      <c r="BF154" s="113"/>
      <c r="BG154" s="113"/>
      <c r="BH154" s="113"/>
      <c r="BI154" s="113"/>
      <c r="BJ154" s="113"/>
      <c r="BK154" s="113"/>
      <c r="BL154" s="113"/>
      <c r="BM154" s="113"/>
      <c r="BN154" s="113"/>
      <c r="BO154" s="113"/>
      <c r="BP154" s="113"/>
      <c r="BQ154" s="113"/>
      <c r="BR154" s="113"/>
      <c r="BS154" s="113"/>
      <c r="BT154" s="113"/>
      <c r="BU154" s="113"/>
      <c r="BV154" s="113"/>
      <c r="BW154" s="113"/>
      <c r="BX154" s="113"/>
      <c r="BY154" s="113"/>
      <c r="BZ154" s="113"/>
      <c r="CA154" s="113"/>
      <c r="CB154" s="113"/>
      <c r="CC154" s="113"/>
      <c r="CD154" s="113"/>
      <c r="CE154" s="113"/>
      <c r="CF154" s="113"/>
      <c r="CG154" s="113"/>
      <c r="CH154" s="113"/>
      <c r="CI154" s="113"/>
      <c r="CJ154" s="113"/>
      <c r="CK154" s="113"/>
      <c r="CL154" s="113"/>
      <c r="CM154" s="113"/>
      <c r="CN154" s="113"/>
      <c r="CO154" s="113"/>
      <c r="CP154" s="113"/>
      <c r="CQ154" s="113"/>
      <c r="CR154" s="113"/>
      <c r="CS154" s="113"/>
      <c r="CT154" s="113"/>
      <c r="CU154" s="113"/>
      <c r="CV154" s="113"/>
      <c r="CW154" s="113"/>
      <c r="CX154" s="113"/>
      <c r="CY154" s="113"/>
      <c r="CZ154" s="113"/>
      <c r="DA154" s="113"/>
      <c r="DB154" s="113"/>
      <c r="DC154" s="113"/>
      <c r="DD154" s="113"/>
      <c r="DE154" s="113"/>
      <c r="DF154" s="113"/>
      <c r="DG154" s="113"/>
      <c r="DH154" s="113"/>
      <c r="DI154" s="113"/>
      <c r="DJ154" s="113"/>
      <c r="DK154" s="113"/>
      <c r="DL154" s="113"/>
      <c r="DM154" s="113"/>
      <c r="DN154" s="113"/>
      <c r="DO154" s="113"/>
      <c r="DP154" s="113"/>
      <c r="DQ154" s="113"/>
      <c r="DR154" s="113"/>
      <c r="DS154" s="113"/>
      <c r="DT154" s="113"/>
      <c r="DU154" s="113"/>
      <c r="DV154" s="113"/>
      <c r="DW154" s="113"/>
      <c r="DX154" s="113"/>
      <c r="DY154" s="113"/>
      <c r="DZ154" s="113"/>
      <c r="EA154" s="113"/>
      <c r="EB154" s="113"/>
      <c r="EC154" s="113"/>
      <c r="ED154" s="113"/>
      <c r="EE154" s="113"/>
    </row>
    <row r="155" ht="19.5" customHeight="1">
      <c r="A155" s="84" t="str">
        <f>IF(Roster!$A$153&lt;&gt;"",Roster!$A$153,"")</f>
        <v/>
      </c>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c r="AX155" s="113"/>
      <c r="AY155" s="113"/>
      <c r="AZ155" s="113"/>
      <c r="BA155" s="113"/>
      <c r="BB155" s="113"/>
      <c r="BC155" s="113"/>
      <c r="BD155" s="113"/>
      <c r="BE155" s="113"/>
      <c r="BF155" s="113"/>
      <c r="BG155" s="113"/>
      <c r="BH155" s="113"/>
      <c r="BI155" s="113"/>
      <c r="BJ155" s="113"/>
      <c r="BK155" s="113"/>
      <c r="BL155" s="113"/>
      <c r="BM155" s="113"/>
      <c r="BN155" s="113"/>
      <c r="BO155" s="113"/>
      <c r="BP155" s="113"/>
      <c r="BQ155" s="113"/>
      <c r="BR155" s="113"/>
      <c r="BS155" s="113"/>
      <c r="BT155" s="113"/>
      <c r="BU155" s="113"/>
      <c r="BV155" s="113"/>
      <c r="BW155" s="113"/>
      <c r="BX155" s="113"/>
      <c r="BY155" s="113"/>
      <c r="BZ155" s="113"/>
      <c r="CA155" s="113"/>
      <c r="CB155" s="113"/>
      <c r="CC155" s="113"/>
      <c r="CD155" s="113"/>
      <c r="CE155" s="113"/>
      <c r="CF155" s="113"/>
      <c r="CG155" s="113"/>
      <c r="CH155" s="113"/>
      <c r="CI155" s="113"/>
      <c r="CJ155" s="113"/>
      <c r="CK155" s="113"/>
      <c r="CL155" s="113"/>
      <c r="CM155" s="113"/>
      <c r="CN155" s="113"/>
      <c r="CO155" s="113"/>
      <c r="CP155" s="113"/>
      <c r="CQ155" s="113"/>
      <c r="CR155" s="113"/>
      <c r="CS155" s="113"/>
      <c r="CT155" s="113"/>
      <c r="CU155" s="113"/>
      <c r="CV155" s="113"/>
      <c r="CW155" s="113"/>
      <c r="CX155" s="113"/>
      <c r="CY155" s="113"/>
      <c r="CZ155" s="113"/>
      <c r="DA155" s="113"/>
      <c r="DB155" s="113"/>
      <c r="DC155" s="113"/>
      <c r="DD155" s="113"/>
      <c r="DE155" s="113"/>
      <c r="DF155" s="113"/>
      <c r="DG155" s="113"/>
      <c r="DH155" s="113"/>
      <c r="DI155" s="113"/>
      <c r="DJ155" s="113"/>
      <c r="DK155" s="113"/>
      <c r="DL155" s="113"/>
      <c r="DM155" s="113"/>
      <c r="DN155" s="113"/>
      <c r="DO155" s="113"/>
      <c r="DP155" s="113"/>
      <c r="DQ155" s="113"/>
      <c r="DR155" s="113"/>
      <c r="DS155" s="113"/>
      <c r="DT155" s="113"/>
      <c r="DU155" s="113"/>
      <c r="DV155" s="113"/>
      <c r="DW155" s="113"/>
      <c r="DX155" s="113"/>
      <c r="DY155" s="113"/>
      <c r="DZ155" s="113"/>
      <c r="EA155" s="113"/>
      <c r="EB155" s="113"/>
      <c r="EC155" s="113"/>
      <c r="ED155" s="113"/>
      <c r="EE155" s="113"/>
    </row>
    <row r="156" ht="19.5" customHeight="1">
      <c r="A156" s="84" t="str">
        <f>IF(Roster!$A$154&lt;&gt;"",Roster!$A$154,"")</f>
        <v/>
      </c>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c r="AX156" s="113"/>
      <c r="AY156" s="113"/>
      <c r="AZ156" s="113"/>
      <c r="BA156" s="113"/>
      <c r="BB156" s="113"/>
      <c r="BC156" s="113"/>
      <c r="BD156" s="113"/>
      <c r="BE156" s="113"/>
      <c r="BF156" s="113"/>
      <c r="BG156" s="113"/>
      <c r="BH156" s="113"/>
      <c r="BI156" s="113"/>
      <c r="BJ156" s="113"/>
      <c r="BK156" s="113"/>
      <c r="BL156" s="113"/>
      <c r="BM156" s="113"/>
      <c r="BN156" s="113"/>
      <c r="BO156" s="113"/>
      <c r="BP156" s="113"/>
      <c r="BQ156" s="113"/>
      <c r="BR156" s="113"/>
      <c r="BS156" s="113"/>
      <c r="BT156" s="113"/>
      <c r="BU156" s="113"/>
      <c r="BV156" s="113"/>
      <c r="BW156" s="113"/>
      <c r="BX156" s="113"/>
      <c r="BY156" s="113"/>
      <c r="BZ156" s="113"/>
      <c r="CA156" s="113"/>
      <c r="CB156" s="113"/>
      <c r="CC156" s="113"/>
      <c r="CD156" s="113"/>
      <c r="CE156" s="113"/>
      <c r="CF156" s="113"/>
      <c r="CG156" s="113"/>
      <c r="CH156" s="113"/>
      <c r="CI156" s="113"/>
      <c r="CJ156" s="113"/>
      <c r="CK156" s="113"/>
      <c r="CL156" s="113"/>
      <c r="CM156" s="113"/>
      <c r="CN156" s="113"/>
      <c r="CO156" s="113"/>
      <c r="CP156" s="113"/>
      <c r="CQ156" s="113"/>
      <c r="CR156" s="113"/>
      <c r="CS156" s="113"/>
      <c r="CT156" s="113"/>
      <c r="CU156" s="113"/>
      <c r="CV156" s="113"/>
      <c r="CW156" s="113"/>
      <c r="CX156" s="113"/>
      <c r="CY156" s="113"/>
      <c r="CZ156" s="113"/>
      <c r="DA156" s="113"/>
      <c r="DB156" s="113"/>
      <c r="DC156" s="113"/>
      <c r="DD156" s="113"/>
      <c r="DE156" s="113"/>
      <c r="DF156" s="113"/>
      <c r="DG156" s="113"/>
      <c r="DH156" s="113"/>
      <c r="DI156" s="113"/>
      <c r="DJ156" s="113"/>
      <c r="DK156" s="113"/>
      <c r="DL156" s="113"/>
      <c r="DM156" s="113"/>
      <c r="DN156" s="113"/>
      <c r="DO156" s="113"/>
      <c r="DP156" s="113"/>
      <c r="DQ156" s="113"/>
      <c r="DR156" s="113"/>
      <c r="DS156" s="113"/>
      <c r="DT156" s="113"/>
      <c r="DU156" s="113"/>
      <c r="DV156" s="113"/>
      <c r="DW156" s="113"/>
      <c r="DX156" s="113"/>
      <c r="DY156" s="113"/>
      <c r="DZ156" s="113"/>
      <c r="EA156" s="113"/>
      <c r="EB156" s="113"/>
      <c r="EC156" s="113"/>
      <c r="ED156" s="113"/>
      <c r="EE156" s="113"/>
    </row>
    <row r="157" ht="19.5" customHeight="1">
      <c r="A157" s="84" t="str">
        <f>IF(Roster!$A$155&lt;&gt;"",Roster!$A$155,"")</f>
        <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c r="AX157" s="113"/>
      <c r="AY157" s="113"/>
      <c r="AZ157" s="113"/>
      <c r="BA157" s="113"/>
      <c r="BB157" s="113"/>
      <c r="BC157" s="113"/>
      <c r="BD157" s="113"/>
      <c r="BE157" s="113"/>
      <c r="BF157" s="113"/>
      <c r="BG157" s="113"/>
      <c r="BH157" s="113"/>
      <c r="BI157" s="113"/>
      <c r="BJ157" s="113"/>
      <c r="BK157" s="113"/>
      <c r="BL157" s="113"/>
      <c r="BM157" s="113"/>
      <c r="BN157" s="113"/>
      <c r="BO157" s="113"/>
      <c r="BP157" s="113"/>
      <c r="BQ157" s="113"/>
      <c r="BR157" s="113"/>
      <c r="BS157" s="113"/>
      <c r="BT157" s="113"/>
      <c r="BU157" s="113"/>
      <c r="BV157" s="113"/>
      <c r="BW157" s="113"/>
      <c r="BX157" s="113"/>
      <c r="BY157" s="113"/>
      <c r="BZ157" s="113"/>
      <c r="CA157" s="113"/>
      <c r="CB157" s="113"/>
      <c r="CC157" s="113"/>
      <c r="CD157" s="113"/>
      <c r="CE157" s="113"/>
      <c r="CF157" s="113"/>
      <c r="CG157" s="113"/>
      <c r="CH157" s="113"/>
      <c r="CI157" s="113"/>
      <c r="CJ157" s="113"/>
      <c r="CK157" s="113"/>
      <c r="CL157" s="113"/>
      <c r="CM157" s="113"/>
      <c r="CN157" s="113"/>
      <c r="CO157" s="113"/>
      <c r="CP157" s="113"/>
      <c r="CQ157" s="113"/>
      <c r="CR157" s="113"/>
      <c r="CS157" s="113"/>
      <c r="CT157" s="113"/>
      <c r="CU157" s="113"/>
      <c r="CV157" s="113"/>
      <c r="CW157" s="113"/>
      <c r="CX157" s="113"/>
      <c r="CY157" s="113"/>
      <c r="CZ157" s="113"/>
      <c r="DA157" s="113"/>
      <c r="DB157" s="113"/>
      <c r="DC157" s="113"/>
      <c r="DD157" s="113"/>
      <c r="DE157" s="113"/>
      <c r="DF157" s="113"/>
      <c r="DG157" s="113"/>
      <c r="DH157" s="113"/>
      <c r="DI157" s="113"/>
      <c r="DJ157" s="113"/>
      <c r="DK157" s="113"/>
      <c r="DL157" s="113"/>
      <c r="DM157" s="113"/>
      <c r="DN157" s="113"/>
      <c r="DO157" s="113"/>
      <c r="DP157" s="113"/>
      <c r="DQ157" s="113"/>
      <c r="DR157" s="113"/>
      <c r="DS157" s="113"/>
      <c r="DT157" s="113"/>
      <c r="DU157" s="113"/>
      <c r="DV157" s="113"/>
      <c r="DW157" s="113"/>
      <c r="DX157" s="113"/>
      <c r="DY157" s="113"/>
      <c r="DZ157" s="113"/>
      <c r="EA157" s="113"/>
      <c r="EB157" s="113"/>
      <c r="EC157" s="113"/>
      <c r="ED157" s="113"/>
      <c r="EE157" s="113"/>
    </row>
    <row r="158" ht="19.5" customHeight="1">
      <c r="A158" s="84" t="str">
        <f>IF(Roster!$A$156&lt;&gt;"",Roster!$A$156,"")</f>
        <v/>
      </c>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3"/>
      <c r="AY158" s="113"/>
      <c r="AZ158" s="113"/>
      <c r="BA158" s="113"/>
      <c r="BB158" s="113"/>
      <c r="BC158" s="113"/>
      <c r="BD158" s="113"/>
      <c r="BE158" s="113"/>
      <c r="BF158" s="113"/>
      <c r="BG158" s="113"/>
      <c r="BH158" s="113"/>
      <c r="BI158" s="113"/>
      <c r="BJ158" s="113"/>
      <c r="BK158" s="113"/>
      <c r="BL158" s="113"/>
      <c r="BM158" s="113"/>
      <c r="BN158" s="113"/>
      <c r="BO158" s="113"/>
      <c r="BP158" s="113"/>
      <c r="BQ158" s="113"/>
      <c r="BR158" s="113"/>
      <c r="BS158" s="113"/>
      <c r="BT158" s="113"/>
      <c r="BU158" s="113"/>
      <c r="BV158" s="113"/>
      <c r="BW158" s="113"/>
      <c r="BX158" s="113"/>
      <c r="BY158" s="113"/>
      <c r="BZ158" s="113"/>
      <c r="CA158" s="113"/>
      <c r="CB158" s="113"/>
      <c r="CC158" s="113"/>
      <c r="CD158" s="113"/>
      <c r="CE158" s="113"/>
      <c r="CF158" s="113"/>
      <c r="CG158" s="113"/>
      <c r="CH158" s="113"/>
      <c r="CI158" s="113"/>
      <c r="CJ158" s="113"/>
      <c r="CK158" s="113"/>
      <c r="CL158" s="113"/>
      <c r="CM158" s="113"/>
      <c r="CN158" s="113"/>
      <c r="CO158" s="113"/>
      <c r="CP158" s="113"/>
      <c r="CQ158" s="113"/>
      <c r="CR158" s="113"/>
      <c r="CS158" s="113"/>
      <c r="CT158" s="113"/>
      <c r="CU158" s="113"/>
      <c r="CV158" s="113"/>
      <c r="CW158" s="113"/>
      <c r="CX158" s="113"/>
      <c r="CY158" s="113"/>
      <c r="CZ158" s="113"/>
      <c r="DA158" s="113"/>
      <c r="DB158" s="113"/>
      <c r="DC158" s="113"/>
      <c r="DD158" s="113"/>
      <c r="DE158" s="113"/>
      <c r="DF158" s="113"/>
      <c r="DG158" s="113"/>
      <c r="DH158" s="113"/>
      <c r="DI158" s="113"/>
      <c r="DJ158" s="113"/>
      <c r="DK158" s="113"/>
      <c r="DL158" s="113"/>
      <c r="DM158" s="113"/>
      <c r="DN158" s="113"/>
      <c r="DO158" s="113"/>
      <c r="DP158" s="113"/>
      <c r="DQ158" s="113"/>
      <c r="DR158" s="113"/>
      <c r="DS158" s="113"/>
      <c r="DT158" s="113"/>
      <c r="DU158" s="113"/>
      <c r="DV158" s="113"/>
      <c r="DW158" s="113"/>
      <c r="DX158" s="113"/>
      <c r="DY158" s="113"/>
      <c r="DZ158" s="113"/>
      <c r="EA158" s="113"/>
      <c r="EB158" s="113"/>
      <c r="EC158" s="113"/>
      <c r="ED158" s="113"/>
      <c r="EE158" s="113"/>
    </row>
    <row r="159" ht="19.5" customHeight="1">
      <c r="A159" s="84" t="str">
        <f>IF(Roster!$A$157&lt;&gt;"",Roster!$A$157,"")</f>
        <v/>
      </c>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c r="AX159" s="113"/>
      <c r="AY159" s="113"/>
      <c r="AZ159" s="113"/>
      <c r="BA159" s="113"/>
      <c r="BB159" s="113"/>
      <c r="BC159" s="113"/>
      <c r="BD159" s="113"/>
      <c r="BE159" s="113"/>
      <c r="BF159" s="113"/>
      <c r="BG159" s="113"/>
      <c r="BH159" s="113"/>
      <c r="BI159" s="113"/>
      <c r="BJ159" s="113"/>
      <c r="BK159" s="113"/>
      <c r="BL159" s="113"/>
      <c r="BM159" s="113"/>
      <c r="BN159" s="113"/>
      <c r="BO159" s="113"/>
      <c r="BP159" s="113"/>
      <c r="BQ159" s="113"/>
      <c r="BR159" s="113"/>
      <c r="BS159" s="113"/>
      <c r="BT159" s="113"/>
      <c r="BU159" s="113"/>
      <c r="BV159" s="113"/>
      <c r="BW159" s="113"/>
      <c r="BX159" s="113"/>
      <c r="BY159" s="113"/>
      <c r="BZ159" s="113"/>
      <c r="CA159" s="113"/>
      <c r="CB159" s="113"/>
      <c r="CC159" s="113"/>
      <c r="CD159" s="113"/>
      <c r="CE159" s="113"/>
      <c r="CF159" s="113"/>
      <c r="CG159" s="113"/>
      <c r="CH159" s="113"/>
      <c r="CI159" s="113"/>
      <c r="CJ159" s="113"/>
      <c r="CK159" s="113"/>
      <c r="CL159" s="113"/>
      <c r="CM159" s="113"/>
      <c r="CN159" s="113"/>
      <c r="CO159" s="113"/>
      <c r="CP159" s="113"/>
      <c r="CQ159" s="113"/>
      <c r="CR159" s="113"/>
      <c r="CS159" s="113"/>
      <c r="CT159" s="113"/>
      <c r="CU159" s="113"/>
      <c r="CV159" s="113"/>
      <c r="CW159" s="113"/>
      <c r="CX159" s="113"/>
      <c r="CY159" s="113"/>
      <c r="CZ159" s="113"/>
      <c r="DA159" s="113"/>
      <c r="DB159" s="113"/>
      <c r="DC159" s="113"/>
      <c r="DD159" s="113"/>
      <c r="DE159" s="113"/>
      <c r="DF159" s="113"/>
      <c r="DG159" s="113"/>
      <c r="DH159" s="113"/>
      <c r="DI159" s="113"/>
      <c r="DJ159" s="113"/>
      <c r="DK159" s="113"/>
      <c r="DL159" s="113"/>
      <c r="DM159" s="113"/>
      <c r="DN159" s="113"/>
      <c r="DO159" s="113"/>
      <c r="DP159" s="113"/>
      <c r="DQ159" s="113"/>
      <c r="DR159" s="113"/>
      <c r="DS159" s="113"/>
      <c r="DT159" s="113"/>
      <c r="DU159" s="113"/>
      <c r="DV159" s="113"/>
      <c r="DW159" s="113"/>
      <c r="DX159" s="113"/>
      <c r="DY159" s="113"/>
      <c r="DZ159" s="113"/>
      <c r="EA159" s="113"/>
      <c r="EB159" s="113"/>
      <c r="EC159" s="113"/>
      <c r="ED159" s="113"/>
      <c r="EE159" s="113"/>
    </row>
    <row r="160" ht="19.5" customHeight="1">
      <c r="A160" s="84" t="str">
        <f>IF(Roster!$A$158&lt;&gt;"",Roster!$A$158,"")</f>
        <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c r="AX160" s="113"/>
      <c r="AY160" s="113"/>
      <c r="AZ160" s="113"/>
      <c r="BA160" s="113"/>
      <c r="BB160" s="113"/>
      <c r="BC160" s="113"/>
      <c r="BD160" s="113"/>
      <c r="BE160" s="113"/>
      <c r="BF160" s="113"/>
      <c r="BG160" s="113"/>
      <c r="BH160" s="113"/>
      <c r="BI160" s="113"/>
      <c r="BJ160" s="113"/>
      <c r="BK160" s="113"/>
      <c r="BL160" s="113"/>
      <c r="BM160" s="113"/>
      <c r="BN160" s="113"/>
      <c r="BO160" s="113"/>
      <c r="BP160" s="113"/>
      <c r="BQ160" s="113"/>
      <c r="BR160" s="113"/>
      <c r="BS160" s="113"/>
      <c r="BT160" s="113"/>
      <c r="BU160" s="113"/>
      <c r="BV160" s="113"/>
      <c r="BW160" s="113"/>
      <c r="BX160" s="113"/>
      <c r="BY160" s="113"/>
      <c r="BZ160" s="113"/>
      <c r="CA160" s="113"/>
      <c r="CB160" s="113"/>
      <c r="CC160" s="113"/>
      <c r="CD160" s="113"/>
      <c r="CE160" s="113"/>
      <c r="CF160" s="113"/>
      <c r="CG160" s="113"/>
      <c r="CH160" s="113"/>
      <c r="CI160" s="113"/>
      <c r="CJ160" s="113"/>
      <c r="CK160" s="113"/>
      <c r="CL160" s="113"/>
      <c r="CM160" s="113"/>
      <c r="CN160" s="113"/>
      <c r="CO160" s="113"/>
      <c r="CP160" s="113"/>
      <c r="CQ160" s="113"/>
      <c r="CR160" s="113"/>
      <c r="CS160" s="113"/>
      <c r="CT160" s="113"/>
      <c r="CU160" s="113"/>
      <c r="CV160" s="113"/>
      <c r="CW160" s="113"/>
      <c r="CX160" s="113"/>
      <c r="CY160" s="113"/>
      <c r="CZ160" s="113"/>
      <c r="DA160" s="113"/>
      <c r="DB160" s="113"/>
      <c r="DC160" s="113"/>
      <c r="DD160" s="113"/>
      <c r="DE160" s="113"/>
      <c r="DF160" s="113"/>
      <c r="DG160" s="113"/>
      <c r="DH160" s="113"/>
      <c r="DI160" s="113"/>
      <c r="DJ160" s="113"/>
      <c r="DK160" s="113"/>
      <c r="DL160" s="113"/>
      <c r="DM160" s="113"/>
      <c r="DN160" s="113"/>
      <c r="DO160" s="113"/>
      <c r="DP160" s="113"/>
      <c r="DQ160" s="113"/>
      <c r="DR160" s="113"/>
      <c r="DS160" s="113"/>
      <c r="DT160" s="113"/>
      <c r="DU160" s="113"/>
      <c r="DV160" s="113"/>
      <c r="DW160" s="113"/>
      <c r="DX160" s="113"/>
      <c r="DY160" s="113"/>
      <c r="DZ160" s="113"/>
      <c r="EA160" s="113"/>
      <c r="EB160" s="113"/>
      <c r="EC160" s="113"/>
      <c r="ED160" s="113"/>
      <c r="EE160" s="113"/>
    </row>
    <row r="161" ht="19.5" customHeight="1">
      <c r="A161" s="84" t="str">
        <f>IF(Roster!$A$159&lt;&gt;"",Roster!$A$159,"")</f>
        <v/>
      </c>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c r="AX161" s="113"/>
      <c r="AY161" s="113"/>
      <c r="AZ161" s="113"/>
      <c r="BA161" s="113"/>
      <c r="BB161" s="113"/>
      <c r="BC161" s="113"/>
      <c r="BD161" s="113"/>
      <c r="BE161" s="113"/>
      <c r="BF161" s="113"/>
      <c r="BG161" s="113"/>
      <c r="BH161" s="113"/>
      <c r="BI161" s="113"/>
      <c r="BJ161" s="113"/>
      <c r="BK161" s="113"/>
      <c r="BL161" s="113"/>
      <c r="BM161" s="113"/>
      <c r="BN161" s="113"/>
      <c r="BO161" s="113"/>
      <c r="BP161" s="113"/>
      <c r="BQ161" s="113"/>
      <c r="BR161" s="113"/>
      <c r="BS161" s="113"/>
      <c r="BT161" s="113"/>
      <c r="BU161" s="113"/>
      <c r="BV161" s="113"/>
      <c r="BW161" s="113"/>
      <c r="BX161" s="113"/>
      <c r="BY161" s="113"/>
      <c r="BZ161" s="113"/>
      <c r="CA161" s="113"/>
      <c r="CB161" s="113"/>
      <c r="CC161" s="113"/>
      <c r="CD161" s="113"/>
      <c r="CE161" s="113"/>
      <c r="CF161" s="113"/>
      <c r="CG161" s="113"/>
      <c r="CH161" s="113"/>
      <c r="CI161" s="113"/>
      <c r="CJ161" s="113"/>
      <c r="CK161" s="113"/>
      <c r="CL161" s="113"/>
      <c r="CM161" s="113"/>
      <c r="CN161" s="113"/>
      <c r="CO161" s="113"/>
      <c r="CP161" s="113"/>
      <c r="CQ161" s="113"/>
      <c r="CR161" s="113"/>
      <c r="CS161" s="113"/>
      <c r="CT161" s="113"/>
      <c r="CU161" s="113"/>
      <c r="CV161" s="113"/>
      <c r="CW161" s="113"/>
      <c r="CX161" s="113"/>
      <c r="CY161" s="113"/>
      <c r="CZ161" s="113"/>
      <c r="DA161" s="113"/>
      <c r="DB161" s="113"/>
      <c r="DC161" s="113"/>
      <c r="DD161" s="113"/>
      <c r="DE161" s="113"/>
      <c r="DF161" s="113"/>
      <c r="DG161" s="113"/>
      <c r="DH161" s="113"/>
      <c r="DI161" s="113"/>
      <c r="DJ161" s="113"/>
      <c r="DK161" s="113"/>
      <c r="DL161" s="113"/>
      <c r="DM161" s="113"/>
      <c r="DN161" s="113"/>
      <c r="DO161" s="113"/>
      <c r="DP161" s="113"/>
      <c r="DQ161" s="113"/>
      <c r="DR161" s="113"/>
      <c r="DS161" s="113"/>
      <c r="DT161" s="113"/>
      <c r="DU161" s="113"/>
      <c r="DV161" s="113"/>
      <c r="DW161" s="113"/>
      <c r="DX161" s="113"/>
      <c r="DY161" s="113"/>
      <c r="DZ161" s="113"/>
      <c r="EA161" s="113"/>
      <c r="EB161" s="113"/>
      <c r="EC161" s="113"/>
      <c r="ED161" s="113"/>
      <c r="EE161" s="113"/>
    </row>
    <row r="162" ht="19.5" customHeight="1">
      <c r="A162" s="84" t="str">
        <f>IF(Roster!$A$160&lt;&gt;"",Roster!$A$160,"")</f>
        <v/>
      </c>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c r="AX162" s="113"/>
      <c r="AY162" s="113"/>
      <c r="AZ162" s="113"/>
      <c r="BA162" s="113"/>
      <c r="BB162" s="113"/>
      <c r="BC162" s="113"/>
      <c r="BD162" s="113"/>
      <c r="BE162" s="113"/>
      <c r="BF162" s="113"/>
      <c r="BG162" s="113"/>
      <c r="BH162" s="113"/>
      <c r="BI162" s="113"/>
      <c r="BJ162" s="113"/>
      <c r="BK162" s="113"/>
      <c r="BL162" s="113"/>
      <c r="BM162" s="113"/>
      <c r="BN162" s="113"/>
      <c r="BO162" s="113"/>
      <c r="BP162" s="113"/>
      <c r="BQ162" s="113"/>
      <c r="BR162" s="113"/>
      <c r="BS162" s="113"/>
      <c r="BT162" s="113"/>
      <c r="BU162" s="113"/>
      <c r="BV162" s="113"/>
      <c r="BW162" s="113"/>
      <c r="BX162" s="113"/>
      <c r="BY162" s="113"/>
      <c r="BZ162" s="113"/>
      <c r="CA162" s="113"/>
      <c r="CB162" s="113"/>
      <c r="CC162" s="113"/>
      <c r="CD162" s="113"/>
      <c r="CE162" s="113"/>
      <c r="CF162" s="113"/>
      <c r="CG162" s="113"/>
      <c r="CH162" s="113"/>
      <c r="CI162" s="113"/>
      <c r="CJ162" s="113"/>
      <c r="CK162" s="113"/>
      <c r="CL162" s="113"/>
      <c r="CM162" s="113"/>
      <c r="CN162" s="113"/>
      <c r="CO162" s="113"/>
      <c r="CP162" s="113"/>
      <c r="CQ162" s="113"/>
      <c r="CR162" s="113"/>
      <c r="CS162" s="113"/>
      <c r="CT162" s="113"/>
      <c r="CU162" s="113"/>
      <c r="CV162" s="113"/>
      <c r="CW162" s="113"/>
      <c r="CX162" s="113"/>
      <c r="CY162" s="113"/>
      <c r="CZ162" s="113"/>
      <c r="DA162" s="113"/>
      <c r="DB162" s="113"/>
      <c r="DC162" s="113"/>
      <c r="DD162" s="113"/>
      <c r="DE162" s="113"/>
      <c r="DF162" s="113"/>
      <c r="DG162" s="113"/>
      <c r="DH162" s="113"/>
      <c r="DI162" s="113"/>
      <c r="DJ162" s="113"/>
      <c r="DK162" s="113"/>
      <c r="DL162" s="113"/>
      <c r="DM162" s="113"/>
      <c r="DN162" s="113"/>
      <c r="DO162" s="113"/>
      <c r="DP162" s="113"/>
      <c r="DQ162" s="113"/>
      <c r="DR162" s="113"/>
      <c r="DS162" s="113"/>
      <c r="DT162" s="113"/>
      <c r="DU162" s="113"/>
      <c r="DV162" s="113"/>
      <c r="DW162" s="113"/>
      <c r="DX162" s="113"/>
      <c r="DY162" s="113"/>
      <c r="DZ162" s="113"/>
      <c r="EA162" s="113"/>
      <c r="EB162" s="113"/>
      <c r="EC162" s="113"/>
      <c r="ED162" s="113"/>
      <c r="EE162" s="113"/>
    </row>
    <row r="163" ht="19.5" customHeight="1">
      <c r="A163" s="84" t="str">
        <f>IF(Roster!$A$161&lt;&gt;"",Roster!$A$161,"")</f>
        <v/>
      </c>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c r="AX163" s="113"/>
      <c r="AY163" s="113"/>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3"/>
      <c r="CB163" s="113"/>
      <c r="CC163" s="113"/>
      <c r="CD163" s="113"/>
      <c r="CE163" s="113"/>
      <c r="CF163" s="113"/>
      <c r="CG163" s="113"/>
      <c r="CH163" s="113"/>
      <c r="CI163" s="113"/>
      <c r="CJ163" s="113"/>
      <c r="CK163" s="113"/>
      <c r="CL163" s="113"/>
      <c r="CM163" s="113"/>
      <c r="CN163" s="113"/>
      <c r="CO163" s="113"/>
      <c r="CP163" s="113"/>
      <c r="CQ163" s="113"/>
      <c r="CR163" s="113"/>
      <c r="CS163" s="113"/>
      <c r="CT163" s="113"/>
      <c r="CU163" s="113"/>
      <c r="CV163" s="113"/>
      <c r="CW163" s="113"/>
      <c r="CX163" s="113"/>
      <c r="CY163" s="113"/>
      <c r="CZ163" s="113"/>
      <c r="DA163" s="113"/>
      <c r="DB163" s="113"/>
      <c r="DC163" s="113"/>
      <c r="DD163" s="113"/>
      <c r="DE163" s="113"/>
      <c r="DF163" s="113"/>
      <c r="DG163" s="113"/>
      <c r="DH163" s="113"/>
      <c r="DI163" s="113"/>
      <c r="DJ163" s="113"/>
      <c r="DK163" s="113"/>
      <c r="DL163" s="113"/>
      <c r="DM163" s="113"/>
      <c r="DN163" s="113"/>
      <c r="DO163" s="113"/>
      <c r="DP163" s="113"/>
      <c r="DQ163" s="113"/>
      <c r="DR163" s="113"/>
      <c r="DS163" s="113"/>
      <c r="DT163" s="113"/>
      <c r="DU163" s="113"/>
      <c r="DV163" s="113"/>
      <c r="DW163" s="113"/>
      <c r="DX163" s="113"/>
      <c r="DY163" s="113"/>
      <c r="DZ163" s="113"/>
      <c r="EA163" s="113"/>
      <c r="EB163" s="113"/>
      <c r="EC163" s="113"/>
      <c r="ED163" s="113"/>
      <c r="EE163" s="113"/>
    </row>
    <row r="164" ht="19.5" customHeight="1">
      <c r="A164" s="84" t="str">
        <f>IF(Roster!$A$162&lt;&gt;"",Roster!$A$162,"")</f>
        <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c r="AX164" s="113"/>
      <c r="AY164" s="113"/>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3"/>
      <c r="CB164" s="113"/>
      <c r="CC164" s="113"/>
      <c r="CD164" s="113"/>
      <c r="CE164" s="113"/>
      <c r="CF164" s="113"/>
      <c r="CG164" s="113"/>
      <c r="CH164" s="113"/>
      <c r="CI164" s="113"/>
      <c r="CJ164" s="113"/>
      <c r="CK164" s="113"/>
      <c r="CL164" s="113"/>
      <c r="CM164" s="113"/>
      <c r="CN164" s="113"/>
      <c r="CO164" s="113"/>
      <c r="CP164" s="113"/>
      <c r="CQ164" s="113"/>
      <c r="CR164" s="113"/>
      <c r="CS164" s="113"/>
      <c r="CT164" s="113"/>
      <c r="CU164" s="113"/>
      <c r="CV164" s="113"/>
      <c r="CW164" s="113"/>
      <c r="CX164" s="113"/>
      <c r="CY164" s="113"/>
      <c r="CZ164" s="113"/>
      <c r="DA164" s="113"/>
      <c r="DB164" s="113"/>
      <c r="DC164" s="113"/>
      <c r="DD164" s="113"/>
      <c r="DE164" s="113"/>
      <c r="DF164" s="113"/>
      <c r="DG164" s="113"/>
      <c r="DH164" s="113"/>
      <c r="DI164" s="113"/>
      <c r="DJ164" s="113"/>
      <c r="DK164" s="113"/>
      <c r="DL164" s="113"/>
      <c r="DM164" s="113"/>
      <c r="DN164" s="113"/>
      <c r="DO164" s="113"/>
      <c r="DP164" s="113"/>
      <c r="DQ164" s="113"/>
      <c r="DR164" s="113"/>
      <c r="DS164" s="113"/>
      <c r="DT164" s="113"/>
      <c r="DU164" s="113"/>
      <c r="DV164" s="113"/>
      <c r="DW164" s="113"/>
      <c r="DX164" s="113"/>
      <c r="DY164" s="113"/>
      <c r="DZ164" s="113"/>
      <c r="EA164" s="113"/>
      <c r="EB164" s="113"/>
      <c r="EC164" s="113"/>
      <c r="ED164" s="113"/>
      <c r="EE164" s="113"/>
    </row>
    <row r="165" ht="19.5" customHeight="1">
      <c r="A165" s="84" t="str">
        <f>IF(Roster!$A$163&lt;&gt;"",Roster!$A$163,"")</f>
        <v/>
      </c>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3"/>
      <c r="AY165" s="113"/>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3"/>
      <c r="CB165" s="113"/>
      <c r="CC165" s="113"/>
      <c r="CD165" s="113"/>
      <c r="CE165" s="113"/>
      <c r="CF165" s="113"/>
      <c r="CG165" s="113"/>
      <c r="CH165" s="113"/>
      <c r="CI165" s="113"/>
      <c r="CJ165" s="113"/>
      <c r="CK165" s="113"/>
      <c r="CL165" s="113"/>
      <c r="CM165" s="113"/>
      <c r="CN165" s="113"/>
      <c r="CO165" s="113"/>
      <c r="CP165" s="113"/>
      <c r="CQ165" s="113"/>
      <c r="CR165" s="113"/>
      <c r="CS165" s="113"/>
      <c r="CT165" s="113"/>
      <c r="CU165" s="113"/>
      <c r="CV165" s="113"/>
      <c r="CW165" s="113"/>
      <c r="CX165" s="113"/>
      <c r="CY165" s="113"/>
      <c r="CZ165" s="113"/>
      <c r="DA165" s="113"/>
      <c r="DB165" s="113"/>
      <c r="DC165" s="113"/>
      <c r="DD165" s="113"/>
      <c r="DE165" s="113"/>
      <c r="DF165" s="113"/>
      <c r="DG165" s="113"/>
      <c r="DH165" s="113"/>
      <c r="DI165" s="113"/>
      <c r="DJ165" s="113"/>
      <c r="DK165" s="113"/>
      <c r="DL165" s="113"/>
      <c r="DM165" s="113"/>
      <c r="DN165" s="113"/>
      <c r="DO165" s="113"/>
      <c r="DP165" s="113"/>
      <c r="DQ165" s="113"/>
      <c r="DR165" s="113"/>
      <c r="DS165" s="113"/>
      <c r="DT165" s="113"/>
      <c r="DU165" s="113"/>
      <c r="DV165" s="113"/>
      <c r="DW165" s="113"/>
      <c r="DX165" s="113"/>
      <c r="DY165" s="113"/>
      <c r="DZ165" s="113"/>
      <c r="EA165" s="113"/>
      <c r="EB165" s="113"/>
      <c r="EC165" s="113"/>
      <c r="ED165" s="113"/>
      <c r="EE165" s="113"/>
    </row>
    <row r="166" ht="19.5" customHeight="1">
      <c r="A166" s="84" t="str">
        <f>IF(Roster!$A$164&lt;&gt;"",Roster!$A$164,"")</f>
        <v/>
      </c>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3"/>
      <c r="AY166" s="113"/>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3"/>
      <c r="CB166" s="113"/>
      <c r="CC166" s="113"/>
      <c r="CD166" s="113"/>
      <c r="CE166" s="113"/>
      <c r="CF166" s="113"/>
      <c r="CG166" s="113"/>
      <c r="CH166" s="113"/>
      <c r="CI166" s="113"/>
      <c r="CJ166" s="113"/>
      <c r="CK166" s="113"/>
      <c r="CL166" s="113"/>
      <c r="CM166" s="113"/>
      <c r="CN166" s="113"/>
      <c r="CO166" s="113"/>
      <c r="CP166" s="113"/>
      <c r="CQ166" s="113"/>
      <c r="CR166" s="113"/>
      <c r="CS166" s="113"/>
      <c r="CT166" s="113"/>
      <c r="CU166" s="113"/>
      <c r="CV166" s="113"/>
      <c r="CW166" s="113"/>
      <c r="CX166" s="113"/>
      <c r="CY166" s="113"/>
      <c r="CZ166" s="113"/>
      <c r="DA166" s="113"/>
      <c r="DB166" s="113"/>
      <c r="DC166" s="113"/>
      <c r="DD166" s="113"/>
      <c r="DE166" s="113"/>
      <c r="DF166" s="113"/>
      <c r="DG166" s="113"/>
      <c r="DH166" s="113"/>
      <c r="DI166" s="113"/>
      <c r="DJ166" s="113"/>
      <c r="DK166" s="113"/>
      <c r="DL166" s="113"/>
      <c r="DM166" s="113"/>
      <c r="DN166" s="113"/>
      <c r="DO166" s="113"/>
      <c r="DP166" s="113"/>
      <c r="DQ166" s="113"/>
      <c r="DR166" s="113"/>
      <c r="DS166" s="113"/>
      <c r="DT166" s="113"/>
      <c r="DU166" s="113"/>
      <c r="DV166" s="113"/>
      <c r="DW166" s="113"/>
      <c r="DX166" s="113"/>
      <c r="DY166" s="113"/>
      <c r="DZ166" s="113"/>
      <c r="EA166" s="113"/>
      <c r="EB166" s="113"/>
      <c r="EC166" s="113"/>
      <c r="ED166" s="113"/>
      <c r="EE166" s="113"/>
    </row>
    <row r="167" ht="19.5" customHeight="1">
      <c r="A167" s="84" t="str">
        <f>IF(Roster!$A$165&lt;&gt;"",Roster!$A$165,"")</f>
        <v/>
      </c>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c r="AX167" s="113"/>
      <c r="AY167" s="113"/>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3"/>
      <c r="CB167" s="113"/>
      <c r="CC167" s="113"/>
      <c r="CD167" s="113"/>
      <c r="CE167" s="113"/>
      <c r="CF167" s="113"/>
      <c r="CG167" s="113"/>
      <c r="CH167" s="113"/>
      <c r="CI167" s="113"/>
      <c r="CJ167" s="113"/>
      <c r="CK167" s="113"/>
      <c r="CL167" s="113"/>
      <c r="CM167" s="113"/>
      <c r="CN167" s="113"/>
      <c r="CO167" s="113"/>
      <c r="CP167" s="113"/>
      <c r="CQ167" s="113"/>
      <c r="CR167" s="113"/>
      <c r="CS167" s="113"/>
      <c r="CT167" s="113"/>
      <c r="CU167" s="113"/>
      <c r="CV167" s="113"/>
      <c r="CW167" s="113"/>
      <c r="CX167" s="113"/>
      <c r="CY167" s="113"/>
      <c r="CZ167" s="113"/>
      <c r="DA167" s="113"/>
      <c r="DB167" s="113"/>
      <c r="DC167" s="113"/>
      <c r="DD167" s="113"/>
      <c r="DE167" s="113"/>
      <c r="DF167" s="113"/>
      <c r="DG167" s="113"/>
      <c r="DH167" s="113"/>
      <c r="DI167" s="113"/>
      <c r="DJ167" s="113"/>
      <c r="DK167" s="113"/>
      <c r="DL167" s="113"/>
      <c r="DM167" s="113"/>
      <c r="DN167" s="113"/>
      <c r="DO167" s="113"/>
      <c r="DP167" s="113"/>
      <c r="DQ167" s="113"/>
      <c r="DR167" s="113"/>
      <c r="DS167" s="113"/>
      <c r="DT167" s="113"/>
      <c r="DU167" s="113"/>
      <c r="DV167" s="113"/>
      <c r="DW167" s="113"/>
      <c r="DX167" s="113"/>
      <c r="DY167" s="113"/>
      <c r="DZ167" s="113"/>
      <c r="EA167" s="113"/>
      <c r="EB167" s="113"/>
      <c r="EC167" s="113"/>
      <c r="ED167" s="113"/>
      <c r="EE167" s="113"/>
    </row>
    <row r="168" ht="19.5" customHeight="1">
      <c r="A168" s="84" t="str">
        <f>IF(Roster!$A$166&lt;&gt;"",Roster!$A$166,"")</f>
        <v/>
      </c>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c r="AX168" s="113"/>
      <c r="AY168" s="113"/>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3"/>
      <c r="CB168" s="113"/>
      <c r="CC168" s="113"/>
      <c r="CD168" s="113"/>
      <c r="CE168" s="113"/>
      <c r="CF168" s="113"/>
      <c r="CG168" s="113"/>
      <c r="CH168" s="113"/>
      <c r="CI168" s="113"/>
      <c r="CJ168" s="113"/>
      <c r="CK168" s="113"/>
      <c r="CL168" s="113"/>
      <c r="CM168" s="113"/>
      <c r="CN168" s="113"/>
      <c r="CO168" s="113"/>
      <c r="CP168" s="113"/>
      <c r="CQ168" s="113"/>
      <c r="CR168" s="113"/>
      <c r="CS168" s="113"/>
      <c r="CT168" s="113"/>
      <c r="CU168" s="113"/>
      <c r="CV168" s="113"/>
      <c r="CW168" s="113"/>
      <c r="CX168" s="113"/>
      <c r="CY168" s="113"/>
      <c r="CZ168" s="113"/>
      <c r="DA168" s="113"/>
      <c r="DB168" s="113"/>
      <c r="DC168" s="113"/>
      <c r="DD168" s="113"/>
      <c r="DE168" s="113"/>
      <c r="DF168" s="113"/>
      <c r="DG168" s="113"/>
      <c r="DH168" s="113"/>
      <c r="DI168" s="113"/>
      <c r="DJ168" s="113"/>
      <c r="DK168" s="113"/>
      <c r="DL168" s="113"/>
      <c r="DM168" s="113"/>
      <c r="DN168" s="113"/>
      <c r="DO168" s="113"/>
      <c r="DP168" s="113"/>
      <c r="DQ168" s="113"/>
      <c r="DR168" s="113"/>
      <c r="DS168" s="113"/>
      <c r="DT168" s="113"/>
      <c r="DU168" s="113"/>
      <c r="DV168" s="113"/>
      <c r="DW168" s="113"/>
      <c r="DX168" s="113"/>
      <c r="DY168" s="113"/>
      <c r="DZ168" s="113"/>
      <c r="EA168" s="113"/>
      <c r="EB168" s="113"/>
      <c r="EC168" s="113"/>
      <c r="ED168" s="113"/>
      <c r="EE168" s="113"/>
    </row>
    <row r="169" ht="19.5" customHeight="1">
      <c r="A169" s="84" t="str">
        <f>IF(Roster!$A$167&lt;&gt;"",Roster!$A$167,"")</f>
        <v/>
      </c>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c r="AX169" s="113"/>
      <c r="AY169" s="113"/>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3"/>
      <c r="CB169" s="113"/>
      <c r="CC169" s="113"/>
      <c r="CD169" s="113"/>
      <c r="CE169" s="113"/>
      <c r="CF169" s="113"/>
      <c r="CG169" s="113"/>
      <c r="CH169" s="113"/>
      <c r="CI169" s="113"/>
      <c r="CJ169" s="113"/>
      <c r="CK169" s="113"/>
      <c r="CL169" s="113"/>
      <c r="CM169" s="113"/>
      <c r="CN169" s="113"/>
      <c r="CO169" s="113"/>
      <c r="CP169" s="113"/>
      <c r="CQ169" s="113"/>
      <c r="CR169" s="113"/>
      <c r="CS169" s="113"/>
      <c r="CT169" s="113"/>
      <c r="CU169" s="113"/>
      <c r="CV169" s="113"/>
      <c r="CW169" s="113"/>
      <c r="CX169" s="113"/>
      <c r="CY169" s="113"/>
      <c r="CZ169" s="113"/>
      <c r="DA169" s="113"/>
      <c r="DB169" s="113"/>
      <c r="DC169" s="113"/>
      <c r="DD169" s="113"/>
      <c r="DE169" s="113"/>
      <c r="DF169" s="113"/>
      <c r="DG169" s="113"/>
      <c r="DH169" s="113"/>
      <c r="DI169" s="113"/>
      <c r="DJ169" s="113"/>
      <c r="DK169" s="113"/>
      <c r="DL169" s="113"/>
      <c r="DM169" s="113"/>
      <c r="DN169" s="113"/>
      <c r="DO169" s="113"/>
      <c r="DP169" s="113"/>
      <c r="DQ169" s="113"/>
      <c r="DR169" s="113"/>
      <c r="DS169" s="113"/>
      <c r="DT169" s="113"/>
      <c r="DU169" s="113"/>
      <c r="DV169" s="113"/>
      <c r="DW169" s="113"/>
      <c r="DX169" s="113"/>
      <c r="DY169" s="113"/>
      <c r="DZ169" s="113"/>
      <c r="EA169" s="113"/>
      <c r="EB169" s="113"/>
      <c r="EC169" s="113"/>
      <c r="ED169" s="113"/>
      <c r="EE169" s="113"/>
    </row>
    <row r="170" ht="19.5" customHeight="1">
      <c r="A170" s="84" t="str">
        <f>IF(Roster!$A$168&lt;&gt;"",Roster!$A$168,"")</f>
        <v/>
      </c>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c r="AX170" s="113"/>
      <c r="AY170" s="113"/>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3"/>
      <c r="CB170" s="113"/>
      <c r="CC170" s="113"/>
      <c r="CD170" s="113"/>
      <c r="CE170" s="113"/>
      <c r="CF170" s="113"/>
      <c r="CG170" s="113"/>
      <c r="CH170" s="113"/>
      <c r="CI170" s="113"/>
      <c r="CJ170" s="113"/>
      <c r="CK170" s="113"/>
      <c r="CL170" s="113"/>
      <c r="CM170" s="113"/>
      <c r="CN170" s="113"/>
      <c r="CO170" s="113"/>
      <c r="CP170" s="113"/>
      <c r="CQ170" s="113"/>
      <c r="CR170" s="113"/>
      <c r="CS170" s="113"/>
      <c r="CT170" s="113"/>
      <c r="CU170" s="113"/>
      <c r="CV170" s="113"/>
      <c r="CW170" s="113"/>
      <c r="CX170" s="113"/>
      <c r="CY170" s="113"/>
      <c r="CZ170" s="113"/>
      <c r="DA170" s="113"/>
      <c r="DB170" s="113"/>
      <c r="DC170" s="113"/>
      <c r="DD170" s="113"/>
      <c r="DE170" s="113"/>
      <c r="DF170" s="113"/>
      <c r="DG170" s="113"/>
      <c r="DH170" s="113"/>
      <c r="DI170" s="113"/>
      <c r="DJ170" s="113"/>
      <c r="DK170" s="113"/>
      <c r="DL170" s="113"/>
      <c r="DM170" s="113"/>
      <c r="DN170" s="113"/>
      <c r="DO170" s="113"/>
      <c r="DP170" s="113"/>
      <c r="DQ170" s="113"/>
      <c r="DR170" s="113"/>
      <c r="DS170" s="113"/>
      <c r="DT170" s="113"/>
      <c r="DU170" s="113"/>
      <c r="DV170" s="113"/>
      <c r="DW170" s="113"/>
      <c r="DX170" s="113"/>
      <c r="DY170" s="113"/>
      <c r="DZ170" s="113"/>
      <c r="EA170" s="113"/>
      <c r="EB170" s="113"/>
      <c r="EC170" s="113"/>
      <c r="ED170" s="113"/>
      <c r="EE170" s="113"/>
    </row>
    <row r="171" ht="19.5" customHeight="1">
      <c r="A171" s="84" t="str">
        <f>IF(Roster!$A$169&lt;&gt;"",Roster!$A$169,"")</f>
        <v/>
      </c>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c r="AX171" s="113"/>
      <c r="AY171" s="113"/>
      <c r="AZ171" s="113"/>
      <c r="BA171" s="113"/>
      <c r="BB171" s="113"/>
      <c r="BC171" s="113"/>
      <c r="BD171" s="113"/>
      <c r="BE171" s="113"/>
      <c r="BF171" s="113"/>
      <c r="BG171" s="113"/>
      <c r="BH171" s="113"/>
      <c r="BI171" s="113"/>
      <c r="BJ171" s="113"/>
      <c r="BK171" s="113"/>
      <c r="BL171" s="113"/>
      <c r="BM171" s="113"/>
      <c r="BN171" s="113"/>
      <c r="BO171" s="113"/>
      <c r="BP171" s="113"/>
      <c r="BQ171" s="113"/>
      <c r="BR171" s="113"/>
      <c r="BS171" s="113"/>
      <c r="BT171" s="113"/>
      <c r="BU171" s="113"/>
      <c r="BV171" s="113"/>
      <c r="BW171" s="113"/>
      <c r="BX171" s="113"/>
      <c r="BY171" s="113"/>
      <c r="BZ171" s="113"/>
      <c r="CA171" s="113"/>
      <c r="CB171" s="113"/>
      <c r="CC171" s="113"/>
      <c r="CD171" s="113"/>
      <c r="CE171" s="113"/>
      <c r="CF171" s="113"/>
      <c r="CG171" s="113"/>
      <c r="CH171" s="113"/>
      <c r="CI171" s="113"/>
      <c r="CJ171" s="113"/>
      <c r="CK171" s="113"/>
      <c r="CL171" s="113"/>
      <c r="CM171" s="113"/>
      <c r="CN171" s="113"/>
      <c r="CO171" s="113"/>
      <c r="CP171" s="113"/>
      <c r="CQ171" s="113"/>
      <c r="CR171" s="113"/>
      <c r="CS171" s="113"/>
      <c r="CT171" s="113"/>
      <c r="CU171" s="113"/>
      <c r="CV171" s="113"/>
      <c r="CW171" s="113"/>
      <c r="CX171" s="113"/>
      <c r="CY171" s="113"/>
      <c r="CZ171" s="113"/>
      <c r="DA171" s="113"/>
      <c r="DB171" s="113"/>
      <c r="DC171" s="113"/>
      <c r="DD171" s="113"/>
      <c r="DE171" s="113"/>
      <c r="DF171" s="113"/>
      <c r="DG171" s="113"/>
      <c r="DH171" s="113"/>
      <c r="DI171" s="113"/>
      <c r="DJ171" s="113"/>
      <c r="DK171" s="113"/>
      <c r="DL171" s="113"/>
      <c r="DM171" s="113"/>
      <c r="DN171" s="113"/>
      <c r="DO171" s="113"/>
      <c r="DP171" s="113"/>
      <c r="DQ171" s="113"/>
      <c r="DR171" s="113"/>
      <c r="DS171" s="113"/>
      <c r="DT171" s="113"/>
      <c r="DU171" s="113"/>
      <c r="DV171" s="113"/>
      <c r="DW171" s="113"/>
      <c r="DX171" s="113"/>
      <c r="DY171" s="113"/>
      <c r="DZ171" s="113"/>
      <c r="EA171" s="113"/>
      <c r="EB171" s="113"/>
      <c r="EC171" s="113"/>
      <c r="ED171" s="113"/>
      <c r="EE171" s="113"/>
    </row>
    <row r="172" ht="19.5" customHeight="1">
      <c r="A172" s="84" t="str">
        <f>IF(Roster!$A$170&lt;&gt;"",Roster!$A$170,"")</f>
        <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c r="AX172" s="113"/>
      <c r="AY172" s="113"/>
      <c r="AZ172" s="113"/>
      <c r="BA172" s="113"/>
      <c r="BB172" s="113"/>
      <c r="BC172" s="113"/>
      <c r="BD172" s="113"/>
      <c r="BE172" s="113"/>
      <c r="BF172" s="113"/>
      <c r="BG172" s="113"/>
      <c r="BH172" s="113"/>
      <c r="BI172" s="113"/>
      <c r="BJ172" s="113"/>
      <c r="BK172" s="113"/>
      <c r="BL172" s="113"/>
      <c r="BM172" s="113"/>
      <c r="BN172" s="113"/>
      <c r="BO172" s="113"/>
      <c r="BP172" s="113"/>
      <c r="BQ172" s="113"/>
      <c r="BR172" s="113"/>
      <c r="BS172" s="113"/>
      <c r="BT172" s="113"/>
      <c r="BU172" s="113"/>
      <c r="BV172" s="113"/>
      <c r="BW172" s="113"/>
      <c r="BX172" s="113"/>
      <c r="BY172" s="113"/>
      <c r="BZ172" s="113"/>
      <c r="CA172" s="113"/>
      <c r="CB172" s="113"/>
      <c r="CC172" s="113"/>
      <c r="CD172" s="113"/>
      <c r="CE172" s="113"/>
      <c r="CF172" s="113"/>
      <c r="CG172" s="113"/>
      <c r="CH172" s="113"/>
      <c r="CI172" s="113"/>
      <c r="CJ172" s="113"/>
      <c r="CK172" s="113"/>
      <c r="CL172" s="113"/>
      <c r="CM172" s="113"/>
      <c r="CN172" s="113"/>
      <c r="CO172" s="113"/>
      <c r="CP172" s="113"/>
      <c r="CQ172" s="113"/>
      <c r="CR172" s="113"/>
      <c r="CS172" s="113"/>
      <c r="CT172" s="113"/>
      <c r="CU172" s="113"/>
      <c r="CV172" s="113"/>
      <c r="CW172" s="113"/>
      <c r="CX172" s="113"/>
      <c r="CY172" s="113"/>
      <c r="CZ172" s="113"/>
      <c r="DA172" s="113"/>
      <c r="DB172" s="113"/>
      <c r="DC172" s="113"/>
      <c r="DD172" s="113"/>
      <c r="DE172" s="113"/>
      <c r="DF172" s="113"/>
      <c r="DG172" s="113"/>
      <c r="DH172" s="113"/>
      <c r="DI172" s="113"/>
      <c r="DJ172" s="113"/>
      <c r="DK172" s="113"/>
      <c r="DL172" s="113"/>
      <c r="DM172" s="113"/>
      <c r="DN172" s="113"/>
      <c r="DO172" s="113"/>
      <c r="DP172" s="113"/>
      <c r="DQ172" s="113"/>
      <c r="DR172" s="113"/>
      <c r="DS172" s="113"/>
      <c r="DT172" s="113"/>
      <c r="DU172" s="113"/>
      <c r="DV172" s="113"/>
      <c r="DW172" s="113"/>
      <c r="DX172" s="113"/>
      <c r="DY172" s="113"/>
      <c r="DZ172" s="113"/>
      <c r="EA172" s="113"/>
      <c r="EB172" s="113"/>
      <c r="EC172" s="113"/>
      <c r="ED172" s="113"/>
      <c r="EE172" s="113"/>
    </row>
    <row r="173" ht="19.5" customHeight="1">
      <c r="A173" s="84" t="str">
        <f>IF(Roster!$A$171&lt;&gt;"",Roster!$A$171,"")</f>
        <v/>
      </c>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3"/>
      <c r="AY173" s="113"/>
      <c r="AZ173" s="113"/>
      <c r="BA173" s="113"/>
      <c r="BB173" s="113"/>
      <c r="BC173" s="113"/>
      <c r="BD173" s="113"/>
      <c r="BE173" s="113"/>
      <c r="BF173" s="113"/>
      <c r="BG173" s="113"/>
      <c r="BH173" s="113"/>
      <c r="BI173" s="113"/>
      <c r="BJ173" s="113"/>
      <c r="BK173" s="113"/>
      <c r="BL173" s="113"/>
      <c r="BM173" s="113"/>
      <c r="BN173" s="113"/>
      <c r="BO173" s="113"/>
      <c r="BP173" s="113"/>
      <c r="BQ173" s="113"/>
      <c r="BR173" s="113"/>
      <c r="BS173" s="113"/>
      <c r="BT173" s="113"/>
      <c r="BU173" s="113"/>
      <c r="BV173" s="113"/>
      <c r="BW173" s="113"/>
      <c r="BX173" s="113"/>
      <c r="BY173" s="113"/>
      <c r="BZ173" s="113"/>
      <c r="CA173" s="113"/>
      <c r="CB173" s="113"/>
      <c r="CC173" s="113"/>
      <c r="CD173" s="113"/>
      <c r="CE173" s="113"/>
      <c r="CF173" s="113"/>
      <c r="CG173" s="113"/>
      <c r="CH173" s="113"/>
      <c r="CI173" s="113"/>
      <c r="CJ173" s="113"/>
      <c r="CK173" s="113"/>
      <c r="CL173" s="113"/>
      <c r="CM173" s="113"/>
      <c r="CN173" s="113"/>
      <c r="CO173" s="113"/>
      <c r="CP173" s="113"/>
      <c r="CQ173" s="113"/>
      <c r="CR173" s="113"/>
      <c r="CS173" s="113"/>
      <c r="CT173" s="113"/>
      <c r="CU173" s="113"/>
      <c r="CV173" s="113"/>
      <c r="CW173" s="113"/>
      <c r="CX173" s="113"/>
      <c r="CY173" s="113"/>
      <c r="CZ173" s="113"/>
      <c r="DA173" s="113"/>
      <c r="DB173" s="113"/>
      <c r="DC173" s="113"/>
      <c r="DD173" s="113"/>
      <c r="DE173" s="113"/>
      <c r="DF173" s="113"/>
      <c r="DG173" s="113"/>
      <c r="DH173" s="113"/>
      <c r="DI173" s="113"/>
      <c r="DJ173" s="113"/>
      <c r="DK173" s="113"/>
      <c r="DL173" s="113"/>
      <c r="DM173" s="113"/>
      <c r="DN173" s="113"/>
      <c r="DO173" s="113"/>
      <c r="DP173" s="113"/>
      <c r="DQ173" s="113"/>
      <c r="DR173" s="113"/>
      <c r="DS173" s="113"/>
      <c r="DT173" s="113"/>
      <c r="DU173" s="113"/>
      <c r="DV173" s="113"/>
      <c r="DW173" s="113"/>
      <c r="DX173" s="113"/>
      <c r="DY173" s="113"/>
      <c r="DZ173" s="113"/>
      <c r="EA173" s="113"/>
      <c r="EB173" s="113"/>
      <c r="EC173" s="113"/>
      <c r="ED173" s="113"/>
      <c r="EE173" s="113"/>
    </row>
    <row r="174" ht="19.5" customHeight="1">
      <c r="A174" s="84" t="str">
        <f>IF(Roster!$A$172&lt;&gt;"",Roster!$A$172,"")</f>
        <v/>
      </c>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c r="AX174" s="113"/>
      <c r="AY174" s="113"/>
      <c r="AZ174" s="113"/>
      <c r="BA174" s="113"/>
      <c r="BB174" s="113"/>
      <c r="BC174" s="113"/>
      <c r="BD174" s="113"/>
      <c r="BE174" s="113"/>
      <c r="BF174" s="113"/>
      <c r="BG174" s="113"/>
      <c r="BH174" s="113"/>
      <c r="BI174" s="113"/>
      <c r="BJ174" s="113"/>
      <c r="BK174" s="113"/>
      <c r="BL174" s="113"/>
      <c r="BM174" s="113"/>
      <c r="BN174" s="113"/>
      <c r="BO174" s="113"/>
      <c r="BP174" s="113"/>
      <c r="BQ174" s="113"/>
      <c r="BR174" s="113"/>
      <c r="BS174" s="113"/>
      <c r="BT174" s="113"/>
      <c r="BU174" s="113"/>
      <c r="BV174" s="113"/>
      <c r="BW174" s="113"/>
      <c r="BX174" s="113"/>
      <c r="BY174" s="113"/>
      <c r="BZ174" s="113"/>
      <c r="CA174" s="113"/>
      <c r="CB174" s="113"/>
      <c r="CC174" s="113"/>
      <c r="CD174" s="113"/>
      <c r="CE174" s="113"/>
      <c r="CF174" s="113"/>
      <c r="CG174" s="113"/>
      <c r="CH174" s="113"/>
      <c r="CI174" s="113"/>
      <c r="CJ174" s="113"/>
      <c r="CK174" s="113"/>
      <c r="CL174" s="113"/>
      <c r="CM174" s="113"/>
      <c r="CN174" s="113"/>
      <c r="CO174" s="113"/>
      <c r="CP174" s="113"/>
      <c r="CQ174" s="113"/>
      <c r="CR174" s="113"/>
      <c r="CS174" s="113"/>
      <c r="CT174" s="113"/>
      <c r="CU174" s="113"/>
      <c r="CV174" s="113"/>
      <c r="CW174" s="113"/>
      <c r="CX174" s="113"/>
      <c r="CY174" s="113"/>
      <c r="CZ174" s="113"/>
      <c r="DA174" s="113"/>
      <c r="DB174" s="113"/>
      <c r="DC174" s="113"/>
      <c r="DD174" s="113"/>
      <c r="DE174" s="113"/>
      <c r="DF174" s="113"/>
      <c r="DG174" s="113"/>
      <c r="DH174" s="113"/>
      <c r="DI174" s="113"/>
      <c r="DJ174" s="113"/>
      <c r="DK174" s="113"/>
      <c r="DL174" s="113"/>
      <c r="DM174" s="113"/>
      <c r="DN174" s="113"/>
      <c r="DO174" s="113"/>
      <c r="DP174" s="113"/>
      <c r="DQ174" s="113"/>
      <c r="DR174" s="113"/>
      <c r="DS174" s="113"/>
      <c r="DT174" s="113"/>
      <c r="DU174" s="113"/>
      <c r="DV174" s="113"/>
      <c r="DW174" s="113"/>
      <c r="DX174" s="113"/>
      <c r="DY174" s="113"/>
      <c r="DZ174" s="113"/>
      <c r="EA174" s="113"/>
      <c r="EB174" s="113"/>
      <c r="EC174" s="113"/>
      <c r="ED174" s="113"/>
      <c r="EE174" s="113"/>
    </row>
    <row r="175" ht="19.5" customHeight="1">
      <c r="A175" s="84" t="str">
        <f>IF(Roster!$A$173&lt;&gt;"",Roster!$A$173,"")</f>
        <v/>
      </c>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13"/>
      <c r="BA175" s="113"/>
      <c r="BB175" s="113"/>
      <c r="BC175" s="113"/>
      <c r="BD175" s="113"/>
      <c r="BE175" s="113"/>
      <c r="BF175" s="113"/>
      <c r="BG175" s="113"/>
      <c r="BH175" s="113"/>
      <c r="BI175" s="113"/>
      <c r="BJ175" s="113"/>
      <c r="BK175" s="113"/>
      <c r="BL175" s="113"/>
      <c r="BM175" s="113"/>
      <c r="BN175" s="113"/>
      <c r="BO175" s="113"/>
      <c r="BP175" s="113"/>
      <c r="BQ175" s="113"/>
      <c r="BR175" s="113"/>
      <c r="BS175" s="113"/>
      <c r="BT175" s="113"/>
      <c r="BU175" s="113"/>
      <c r="BV175" s="113"/>
      <c r="BW175" s="113"/>
      <c r="BX175" s="113"/>
      <c r="BY175" s="113"/>
      <c r="BZ175" s="113"/>
      <c r="CA175" s="113"/>
      <c r="CB175" s="113"/>
      <c r="CC175" s="113"/>
      <c r="CD175" s="113"/>
      <c r="CE175" s="113"/>
      <c r="CF175" s="113"/>
      <c r="CG175" s="113"/>
      <c r="CH175" s="113"/>
      <c r="CI175" s="113"/>
      <c r="CJ175" s="113"/>
      <c r="CK175" s="113"/>
      <c r="CL175" s="113"/>
      <c r="CM175" s="113"/>
      <c r="CN175" s="113"/>
      <c r="CO175" s="113"/>
      <c r="CP175" s="113"/>
      <c r="CQ175" s="113"/>
      <c r="CR175" s="113"/>
      <c r="CS175" s="113"/>
      <c r="CT175" s="113"/>
      <c r="CU175" s="113"/>
      <c r="CV175" s="113"/>
      <c r="CW175" s="113"/>
      <c r="CX175" s="113"/>
      <c r="CY175" s="113"/>
      <c r="CZ175" s="113"/>
      <c r="DA175" s="113"/>
      <c r="DB175" s="113"/>
      <c r="DC175" s="113"/>
      <c r="DD175" s="113"/>
      <c r="DE175" s="113"/>
      <c r="DF175" s="113"/>
      <c r="DG175" s="113"/>
      <c r="DH175" s="113"/>
      <c r="DI175" s="113"/>
      <c r="DJ175" s="113"/>
      <c r="DK175" s="113"/>
      <c r="DL175" s="113"/>
      <c r="DM175" s="113"/>
      <c r="DN175" s="113"/>
      <c r="DO175" s="113"/>
      <c r="DP175" s="113"/>
      <c r="DQ175" s="113"/>
      <c r="DR175" s="113"/>
      <c r="DS175" s="113"/>
      <c r="DT175" s="113"/>
      <c r="DU175" s="113"/>
      <c r="DV175" s="113"/>
      <c r="DW175" s="113"/>
      <c r="DX175" s="113"/>
      <c r="DY175" s="113"/>
      <c r="DZ175" s="113"/>
      <c r="EA175" s="113"/>
      <c r="EB175" s="113"/>
      <c r="EC175" s="113"/>
      <c r="ED175" s="113"/>
      <c r="EE175" s="113"/>
    </row>
    <row r="176" ht="19.5" customHeight="1">
      <c r="A176" s="84" t="str">
        <f>IF(Roster!$A$174&lt;&gt;"",Roster!$A$174,"")</f>
        <v/>
      </c>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13"/>
      <c r="CE176" s="113"/>
      <c r="CF176" s="113"/>
      <c r="CG176" s="113"/>
      <c r="CH176" s="113"/>
      <c r="CI176" s="113"/>
      <c r="CJ176" s="113"/>
      <c r="CK176" s="113"/>
      <c r="CL176" s="113"/>
      <c r="CM176" s="113"/>
      <c r="CN176" s="113"/>
      <c r="CO176" s="113"/>
      <c r="CP176" s="113"/>
      <c r="CQ176" s="113"/>
      <c r="CR176" s="113"/>
      <c r="CS176" s="113"/>
      <c r="CT176" s="113"/>
      <c r="CU176" s="113"/>
      <c r="CV176" s="113"/>
      <c r="CW176" s="113"/>
      <c r="CX176" s="113"/>
      <c r="CY176" s="113"/>
      <c r="CZ176" s="113"/>
      <c r="DA176" s="113"/>
      <c r="DB176" s="113"/>
      <c r="DC176" s="113"/>
      <c r="DD176" s="113"/>
      <c r="DE176" s="113"/>
      <c r="DF176" s="113"/>
      <c r="DG176" s="113"/>
      <c r="DH176" s="113"/>
      <c r="DI176" s="113"/>
      <c r="DJ176" s="113"/>
      <c r="DK176" s="113"/>
      <c r="DL176" s="113"/>
      <c r="DM176" s="113"/>
      <c r="DN176" s="113"/>
      <c r="DO176" s="113"/>
      <c r="DP176" s="113"/>
      <c r="DQ176" s="113"/>
      <c r="DR176" s="113"/>
      <c r="DS176" s="113"/>
      <c r="DT176" s="113"/>
      <c r="DU176" s="113"/>
      <c r="DV176" s="113"/>
      <c r="DW176" s="113"/>
      <c r="DX176" s="113"/>
      <c r="DY176" s="113"/>
      <c r="DZ176" s="113"/>
      <c r="EA176" s="113"/>
      <c r="EB176" s="113"/>
      <c r="EC176" s="113"/>
      <c r="ED176" s="113"/>
      <c r="EE176" s="113"/>
    </row>
    <row r="177" ht="19.5" customHeight="1">
      <c r="A177" s="84" t="str">
        <f>IF(Roster!$A$175&lt;&gt;"",Roster!$A$175,"")</f>
        <v/>
      </c>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13"/>
      <c r="BA177" s="113"/>
      <c r="BB177" s="113"/>
      <c r="BC177" s="113"/>
      <c r="BD177" s="113"/>
      <c r="BE177" s="113"/>
      <c r="BF177" s="113"/>
      <c r="BG177" s="113"/>
      <c r="BH177" s="113"/>
      <c r="BI177" s="113"/>
      <c r="BJ177" s="113"/>
      <c r="BK177" s="113"/>
      <c r="BL177" s="113"/>
      <c r="BM177" s="113"/>
      <c r="BN177" s="113"/>
      <c r="BO177" s="113"/>
      <c r="BP177" s="113"/>
      <c r="BQ177" s="113"/>
      <c r="BR177" s="113"/>
      <c r="BS177" s="113"/>
      <c r="BT177" s="113"/>
      <c r="BU177" s="113"/>
      <c r="BV177" s="113"/>
      <c r="BW177" s="113"/>
      <c r="BX177" s="113"/>
      <c r="BY177" s="113"/>
      <c r="BZ177" s="113"/>
      <c r="CA177" s="113"/>
      <c r="CB177" s="113"/>
      <c r="CC177" s="113"/>
      <c r="CD177" s="113"/>
      <c r="CE177" s="113"/>
      <c r="CF177" s="113"/>
      <c r="CG177" s="113"/>
      <c r="CH177" s="113"/>
      <c r="CI177" s="113"/>
      <c r="CJ177" s="113"/>
      <c r="CK177" s="113"/>
      <c r="CL177" s="113"/>
      <c r="CM177" s="113"/>
      <c r="CN177" s="113"/>
      <c r="CO177" s="113"/>
      <c r="CP177" s="113"/>
      <c r="CQ177" s="113"/>
      <c r="CR177" s="113"/>
      <c r="CS177" s="113"/>
      <c r="CT177" s="113"/>
      <c r="CU177" s="113"/>
      <c r="CV177" s="113"/>
      <c r="CW177" s="113"/>
      <c r="CX177" s="113"/>
      <c r="CY177" s="113"/>
      <c r="CZ177" s="113"/>
      <c r="DA177" s="113"/>
      <c r="DB177" s="113"/>
      <c r="DC177" s="113"/>
      <c r="DD177" s="113"/>
      <c r="DE177" s="113"/>
      <c r="DF177" s="113"/>
      <c r="DG177" s="113"/>
      <c r="DH177" s="113"/>
      <c r="DI177" s="113"/>
      <c r="DJ177" s="113"/>
      <c r="DK177" s="113"/>
      <c r="DL177" s="113"/>
      <c r="DM177" s="113"/>
      <c r="DN177" s="113"/>
      <c r="DO177" s="113"/>
      <c r="DP177" s="113"/>
      <c r="DQ177" s="113"/>
      <c r="DR177" s="113"/>
      <c r="DS177" s="113"/>
      <c r="DT177" s="113"/>
      <c r="DU177" s="113"/>
      <c r="DV177" s="113"/>
      <c r="DW177" s="113"/>
      <c r="DX177" s="113"/>
      <c r="DY177" s="113"/>
      <c r="DZ177" s="113"/>
      <c r="EA177" s="113"/>
      <c r="EB177" s="113"/>
      <c r="EC177" s="113"/>
      <c r="ED177" s="113"/>
      <c r="EE177" s="113"/>
    </row>
    <row r="178" ht="19.5" customHeight="1">
      <c r="A178" s="84" t="str">
        <f>IF(Roster!$A$176&lt;&gt;"",Roster!$A$176,"")</f>
        <v/>
      </c>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3"/>
      <c r="AY178" s="113"/>
      <c r="AZ178" s="113"/>
      <c r="BA178" s="113"/>
      <c r="BB178" s="113"/>
      <c r="BC178" s="113"/>
      <c r="BD178" s="113"/>
      <c r="BE178" s="113"/>
      <c r="BF178" s="113"/>
      <c r="BG178" s="113"/>
      <c r="BH178" s="113"/>
      <c r="BI178" s="113"/>
      <c r="BJ178" s="113"/>
      <c r="BK178" s="113"/>
      <c r="BL178" s="113"/>
      <c r="BM178" s="113"/>
      <c r="BN178" s="113"/>
      <c r="BO178" s="113"/>
      <c r="BP178" s="113"/>
      <c r="BQ178" s="113"/>
      <c r="BR178" s="113"/>
      <c r="BS178" s="113"/>
      <c r="BT178" s="113"/>
      <c r="BU178" s="113"/>
      <c r="BV178" s="113"/>
      <c r="BW178" s="113"/>
      <c r="BX178" s="113"/>
      <c r="BY178" s="113"/>
      <c r="BZ178" s="113"/>
      <c r="CA178" s="113"/>
      <c r="CB178" s="113"/>
      <c r="CC178" s="113"/>
      <c r="CD178" s="113"/>
      <c r="CE178" s="113"/>
      <c r="CF178" s="113"/>
      <c r="CG178" s="113"/>
      <c r="CH178" s="113"/>
      <c r="CI178" s="113"/>
      <c r="CJ178" s="113"/>
      <c r="CK178" s="113"/>
      <c r="CL178" s="113"/>
      <c r="CM178" s="113"/>
      <c r="CN178" s="113"/>
      <c r="CO178" s="113"/>
      <c r="CP178" s="113"/>
      <c r="CQ178" s="113"/>
      <c r="CR178" s="113"/>
      <c r="CS178" s="113"/>
      <c r="CT178" s="113"/>
      <c r="CU178" s="113"/>
      <c r="CV178" s="113"/>
      <c r="CW178" s="113"/>
      <c r="CX178" s="113"/>
      <c r="CY178" s="113"/>
      <c r="CZ178" s="113"/>
      <c r="DA178" s="113"/>
      <c r="DB178" s="113"/>
      <c r="DC178" s="113"/>
      <c r="DD178" s="113"/>
      <c r="DE178" s="113"/>
      <c r="DF178" s="113"/>
      <c r="DG178" s="113"/>
      <c r="DH178" s="113"/>
      <c r="DI178" s="113"/>
      <c r="DJ178" s="113"/>
      <c r="DK178" s="113"/>
      <c r="DL178" s="113"/>
      <c r="DM178" s="113"/>
      <c r="DN178" s="113"/>
      <c r="DO178" s="113"/>
      <c r="DP178" s="113"/>
      <c r="DQ178" s="113"/>
      <c r="DR178" s="113"/>
      <c r="DS178" s="113"/>
      <c r="DT178" s="113"/>
      <c r="DU178" s="113"/>
      <c r="DV178" s="113"/>
      <c r="DW178" s="113"/>
      <c r="DX178" s="113"/>
      <c r="DY178" s="113"/>
      <c r="DZ178" s="113"/>
      <c r="EA178" s="113"/>
      <c r="EB178" s="113"/>
      <c r="EC178" s="113"/>
      <c r="ED178" s="113"/>
      <c r="EE178" s="113"/>
    </row>
    <row r="179" ht="19.5" customHeight="1">
      <c r="A179" s="84" t="str">
        <f>IF(Roster!$A$177&lt;&gt;"",Roster!$A$177,"")</f>
        <v/>
      </c>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c r="AX179" s="113"/>
      <c r="AY179" s="113"/>
      <c r="AZ179" s="113"/>
      <c r="BA179" s="113"/>
      <c r="BB179" s="113"/>
      <c r="BC179" s="113"/>
      <c r="BD179" s="113"/>
      <c r="BE179" s="113"/>
      <c r="BF179" s="113"/>
      <c r="BG179" s="113"/>
      <c r="BH179" s="113"/>
      <c r="BI179" s="113"/>
      <c r="BJ179" s="113"/>
      <c r="BK179" s="113"/>
      <c r="BL179" s="113"/>
      <c r="BM179" s="113"/>
      <c r="BN179" s="113"/>
      <c r="BO179" s="113"/>
      <c r="BP179" s="113"/>
      <c r="BQ179" s="113"/>
      <c r="BR179" s="113"/>
      <c r="BS179" s="113"/>
      <c r="BT179" s="113"/>
      <c r="BU179" s="113"/>
      <c r="BV179" s="113"/>
      <c r="BW179" s="113"/>
      <c r="BX179" s="113"/>
      <c r="BY179" s="113"/>
      <c r="BZ179" s="113"/>
      <c r="CA179" s="113"/>
      <c r="CB179" s="113"/>
      <c r="CC179" s="113"/>
      <c r="CD179" s="113"/>
      <c r="CE179" s="113"/>
      <c r="CF179" s="113"/>
      <c r="CG179" s="113"/>
      <c r="CH179" s="113"/>
      <c r="CI179" s="113"/>
      <c r="CJ179" s="113"/>
      <c r="CK179" s="113"/>
      <c r="CL179" s="113"/>
      <c r="CM179" s="113"/>
      <c r="CN179" s="113"/>
      <c r="CO179" s="113"/>
      <c r="CP179" s="113"/>
      <c r="CQ179" s="113"/>
      <c r="CR179" s="113"/>
      <c r="CS179" s="113"/>
      <c r="CT179" s="113"/>
      <c r="CU179" s="113"/>
      <c r="CV179" s="113"/>
      <c r="CW179" s="113"/>
      <c r="CX179" s="113"/>
      <c r="CY179" s="113"/>
      <c r="CZ179" s="113"/>
      <c r="DA179" s="113"/>
      <c r="DB179" s="113"/>
      <c r="DC179" s="113"/>
      <c r="DD179" s="113"/>
      <c r="DE179" s="113"/>
      <c r="DF179" s="113"/>
      <c r="DG179" s="113"/>
      <c r="DH179" s="113"/>
      <c r="DI179" s="113"/>
      <c r="DJ179" s="113"/>
      <c r="DK179" s="113"/>
      <c r="DL179" s="113"/>
      <c r="DM179" s="113"/>
      <c r="DN179" s="113"/>
      <c r="DO179" s="113"/>
      <c r="DP179" s="113"/>
      <c r="DQ179" s="113"/>
      <c r="DR179" s="113"/>
      <c r="DS179" s="113"/>
      <c r="DT179" s="113"/>
      <c r="DU179" s="113"/>
      <c r="DV179" s="113"/>
      <c r="DW179" s="113"/>
      <c r="DX179" s="113"/>
      <c r="DY179" s="113"/>
      <c r="DZ179" s="113"/>
      <c r="EA179" s="113"/>
      <c r="EB179" s="113"/>
      <c r="EC179" s="113"/>
      <c r="ED179" s="113"/>
      <c r="EE179" s="113"/>
    </row>
    <row r="180" ht="19.5" customHeight="1">
      <c r="A180" s="84" t="str">
        <f>IF(Roster!$A$178&lt;&gt;"",Roster!$A$178,"")</f>
        <v/>
      </c>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3"/>
      <c r="AY180" s="113"/>
      <c r="AZ180" s="113"/>
      <c r="BA180" s="113"/>
      <c r="BB180" s="113"/>
      <c r="BC180" s="113"/>
      <c r="BD180" s="113"/>
      <c r="BE180" s="113"/>
      <c r="BF180" s="113"/>
      <c r="BG180" s="113"/>
      <c r="BH180" s="113"/>
      <c r="BI180" s="113"/>
      <c r="BJ180" s="113"/>
      <c r="BK180" s="113"/>
      <c r="BL180" s="113"/>
      <c r="BM180" s="113"/>
      <c r="BN180" s="113"/>
      <c r="BO180" s="113"/>
      <c r="BP180" s="113"/>
      <c r="BQ180" s="113"/>
      <c r="BR180" s="113"/>
      <c r="BS180" s="113"/>
      <c r="BT180" s="113"/>
      <c r="BU180" s="113"/>
      <c r="BV180" s="113"/>
      <c r="BW180" s="113"/>
      <c r="BX180" s="113"/>
      <c r="BY180" s="113"/>
      <c r="BZ180" s="113"/>
      <c r="CA180" s="113"/>
      <c r="CB180" s="113"/>
      <c r="CC180" s="113"/>
      <c r="CD180" s="113"/>
      <c r="CE180" s="113"/>
      <c r="CF180" s="113"/>
      <c r="CG180" s="113"/>
      <c r="CH180" s="113"/>
      <c r="CI180" s="113"/>
      <c r="CJ180" s="113"/>
      <c r="CK180" s="113"/>
      <c r="CL180" s="113"/>
      <c r="CM180" s="113"/>
      <c r="CN180" s="113"/>
      <c r="CO180" s="113"/>
      <c r="CP180" s="113"/>
      <c r="CQ180" s="113"/>
      <c r="CR180" s="113"/>
      <c r="CS180" s="113"/>
      <c r="CT180" s="113"/>
      <c r="CU180" s="113"/>
      <c r="CV180" s="113"/>
      <c r="CW180" s="113"/>
      <c r="CX180" s="113"/>
      <c r="CY180" s="113"/>
      <c r="CZ180" s="113"/>
      <c r="DA180" s="113"/>
      <c r="DB180" s="113"/>
      <c r="DC180" s="113"/>
      <c r="DD180" s="113"/>
      <c r="DE180" s="113"/>
      <c r="DF180" s="113"/>
      <c r="DG180" s="113"/>
      <c r="DH180" s="113"/>
      <c r="DI180" s="113"/>
      <c r="DJ180" s="113"/>
      <c r="DK180" s="113"/>
      <c r="DL180" s="113"/>
      <c r="DM180" s="113"/>
      <c r="DN180" s="113"/>
      <c r="DO180" s="113"/>
      <c r="DP180" s="113"/>
      <c r="DQ180" s="113"/>
      <c r="DR180" s="113"/>
      <c r="DS180" s="113"/>
      <c r="DT180" s="113"/>
      <c r="DU180" s="113"/>
      <c r="DV180" s="113"/>
      <c r="DW180" s="113"/>
      <c r="DX180" s="113"/>
      <c r="DY180" s="113"/>
      <c r="DZ180" s="113"/>
      <c r="EA180" s="113"/>
      <c r="EB180" s="113"/>
      <c r="EC180" s="113"/>
      <c r="ED180" s="113"/>
      <c r="EE180" s="113"/>
    </row>
    <row r="181" ht="19.5" customHeight="1">
      <c r="A181" s="84" t="str">
        <f>IF(Roster!$A$179&lt;&gt;"",Roster!$A$179,"")</f>
        <v/>
      </c>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3"/>
      <c r="AY181" s="113"/>
      <c r="AZ181" s="113"/>
      <c r="BA181" s="113"/>
      <c r="BB181" s="113"/>
      <c r="BC181" s="113"/>
      <c r="BD181" s="113"/>
      <c r="BE181" s="113"/>
      <c r="BF181" s="113"/>
      <c r="BG181" s="113"/>
      <c r="BH181" s="113"/>
      <c r="BI181" s="113"/>
      <c r="BJ181" s="113"/>
      <c r="BK181" s="113"/>
      <c r="BL181" s="113"/>
      <c r="BM181" s="113"/>
      <c r="BN181" s="113"/>
      <c r="BO181" s="113"/>
      <c r="BP181" s="113"/>
      <c r="BQ181" s="113"/>
      <c r="BR181" s="113"/>
      <c r="BS181" s="113"/>
      <c r="BT181" s="113"/>
      <c r="BU181" s="113"/>
      <c r="BV181" s="113"/>
      <c r="BW181" s="113"/>
      <c r="BX181" s="113"/>
      <c r="BY181" s="113"/>
      <c r="BZ181" s="113"/>
      <c r="CA181" s="113"/>
      <c r="CB181" s="113"/>
      <c r="CC181" s="113"/>
      <c r="CD181" s="113"/>
      <c r="CE181" s="113"/>
      <c r="CF181" s="113"/>
      <c r="CG181" s="113"/>
      <c r="CH181" s="113"/>
      <c r="CI181" s="113"/>
      <c r="CJ181" s="113"/>
      <c r="CK181" s="113"/>
      <c r="CL181" s="113"/>
      <c r="CM181" s="113"/>
      <c r="CN181" s="113"/>
      <c r="CO181" s="113"/>
      <c r="CP181" s="113"/>
      <c r="CQ181" s="113"/>
      <c r="CR181" s="113"/>
      <c r="CS181" s="113"/>
      <c r="CT181" s="113"/>
      <c r="CU181" s="113"/>
      <c r="CV181" s="113"/>
      <c r="CW181" s="113"/>
      <c r="CX181" s="113"/>
      <c r="CY181" s="113"/>
      <c r="CZ181" s="113"/>
      <c r="DA181" s="113"/>
      <c r="DB181" s="113"/>
      <c r="DC181" s="113"/>
      <c r="DD181" s="113"/>
      <c r="DE181" s="113"/>
      <c r="DF181" s="113"/>
      <c r="DG181" s="113"/>
      <c r="DH181" s="113"/>
      <c r="DI181" s="113"/>
      <c r="DJ181" s="113"/>
      <c r="DK181" s="113"/>
      <c r="DL181" s="113"/>
      <c r="DM181" s="113"/>
      <c r="DN181" s="113"/>
      <c r="DO181" s="113"/>
      <c r="DP181" s="113"/>
      <c r="DQ181" s="113"/>
      <c r="DR181" s="113"/>
      <c r="DS181" s="113"/>
      <c r="DT181" s="113"/>
      <c r="DU181" s="113"/>
      <c r="DV181" s="113"/>
      <c r="DW181" s="113"/>
      <c r="DX181" s="113"/>
      <c r="DY181" s="113"/>
      <c r="DZ181" s="113"/>
      <c r="EA181" s="113"/>
      <c r="EB181" s="113"/>
      <c r="EC181" s="113"/>
      <c r="ED181" s="113"/>
      <c r="EE181" s="113"/>
    </row>
    <row r="182" ht="19.5" customHeight="1">
      <c r="A182" s="84" t="str">
        <f>IF(Roster!$A$180&lt;&gt;"",Roster!$A$180,"")</f>
        <v/>
      </c>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3"/>
      <c r="AY182" s="113"/>
      <c r="AZ182" s="113"/>
      <c r="BA182" s="113"/>
      <c r="BB182" s="113"/>
      <c r="BC182" s="113"/>
      <c r="BD182" s="113"/>
      <c r="BE182" s="113"/>
      <c r="BF182" s="113"/>
      <c r="BG182" s="113"/>
      <c r="BH182" s="113"/>
      <c r="BI182" s="113"/>
      <c r="BJ182" s="113"/>
      <c r="BK182" s="113"/>
      <c r="BL182" s="113"/>
      <c r="BM182" s="113"/>
      <c r="BN182" s="113"/>
      <c r="BO182" s="113"/>
      <c r="BP182" s="113"/>
      <c r="BQ182" s="113"/>
      <c r="BR182" s="113"/>
      <c r="BS182" s="113"/>
      <c r="BT182" s="113"/>
      <c r="BU182" s="113"/>
      <c r="BV182" s="113"/>
      <c r="BW182" s="113"/>
      <c r="BX182" s="113"/>
      <c r="BY182" s="113"/>
      <c r="BZ182" s="113"/>
      <c r="CA182" s="113"/>
      <c r="CB182" s="113"/>
      <c r="CC182" s="113"/>
      <c r="CD182" s="113"/>
      <c r="CE182" s="113"/>
      <c r="CF182" s="113"/>
      <c r="CG182" s="113"/>
      <c r="CH182" s="113"/>
      <c r="CI182" s="113"/>
      <c r="CJ182" s="113"/>
      <c r="CK182" s="113"/>
      <c r="CL182" s="113"/>
      <c r="CM182" s="113"/>
      <c r="CN182" s="113"/>
      <c r="CO182" s="113"/>
      <c r="CP182" s="113"/>
      <c r="CQ182" s="113"/>
      <c r="CR182" s="113"/>
      <c r="CS182" s="113"/>
      <c r="CT182" s="113"/>
      <c r="CU182" s="113"/>
      <c r="CV182" s="113"/>
      <c r="CW182" s="113"/>
      <c r="CX182" s="113"/>
      <c r="CY182" s="113"/>
      <c r="CZ182" s="113"/>
      <c r="DA182" s="113"/>
      <c r="DB182" s="113"/>
      <c r="DC182" s="113"/>
      <c r="DD182" s="113"/>
      <c r="DE182" s="113"/>
      <c r="DF182" s="113"/>
      <c r="DG182" s="113"/>
      <c r="DH182" s="113"/>
      <c r="DI182" s="113"/>
      <c r="DJ182" s="113"/>
      <c r="DK182" s="113"/>
      <c r="DL182" s="113"/>
      <c r="DM182" s="113"/>
      <c r="DN182" s="113"/>
      <c r="DO182" s="113"/>
      <c r="DP182" s="113"/>
      <c r="DQ182" s="113"/>
      <c r="DR182" s="113"/>
      <c r="DS182" s="113"/>
      <c r="DT182" s="113"/>
      <c r="DU182" s="113"/>
      <c r="DV182" s="113"/>
      <c r="DW182" s="113"/>
      <c r="DX182" s="113"/>
      <c r="DY182" s="113"/>
      <c r="DZ182" s="113"/>
      <c r="EA182" s="113"/>
      <c r="EB182" s="113"/>
      <c r="EC182" s="113"/>
      <c r="ED182" s="113"/>
      <c r="EE182" s="113"/>
    </row>
    <row r="183" ht="19.5" customHeight="1">
      <c r="A183" s="84" t="str">
        <f>IF(Roster!$A$181&lt;&gt;"",Roster!$A$181,"")</f>
        <v/>
      </c>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c r="AX183" s="113"/>
      <c r="AY183" s="113"/>
      <c r="AZ183" s="113"/>
      <c r="BA183" s="113"/>
      <c r="BB183" s="113"/>
      <c r="BC183" s="113"/>
      <c r="BD183" s="113"/>
      <c r="BE183" s="113"/>
      <c r="BF183" s="113"/>
      <c r="BG183" s="113"/>
      <c r="BH183" s="113"/>
      <c r="BI183" s="113"/>
      <c r="BJ183" s="113"/>
      <c r="BK183" s="113"/>
      <c r="BL183" s="113"/>
      <c r="BM183" s="113"/>
      <c r="BN183" s="113"/>
      <c r="BO183" s="113"/>
      <c r="BP183" s="113"/>
      <c r="BQ183" s="113"/>
      <c r="BR183" s="113"/>
      <c r="BS183" s="113"/>
      <c r="BT183" s="113"/>
      <c r="BU183" s="113"/>
      <c r="BV183" s="113"/>
      <c r="BW183" s="113"/>
      <c r="BX183" s="113"/>
      <c r="BY183" s="113"/>
      <c r="BZ183" s="113"/>
      <c r="CA183" s="113"/>
      <c r="CB183" s="113"/>
      <c r="CC183" s="113"/>
      <c r="CD183" s="113"/>
      <c r="CE183" s="113"/>
      <c r="CF183" s="113"/>
      <c r="CG183" s="113"/>
      <c r="CH183" s="113"/>
      <c r="CI183" s="113"/>
      <c r="CJ183" s="113"/>
      <c r="CK183" s="113"/>
      <c r="CL183" s="113"/>
      <c r="CM183" s="113"/>
      <c r="CN183" s="113"/>
      <c r="CO183" s="113"/>
      <c r="CP183" s="113"/>
      <c r="CQ183" s="113"/>
      <c r="CR183" s="113"/>
      <c r="CS183" s="113"/>
      <c r="CT183" s="113"/>
      <c r="CU183" s="113"/>
      <c r="CV183" s="113"/>
      <c r="CW183" s="113"/>
      <c r="CX183" s="113"/>
      <c r="CY183" s="113"/>
      <c r="CZ183" s="113"/>
      <c r="DA183" s="113"/>
      <c r="DB183" s="113"/>
      <c r="DC183" s="113"/>
      <c r="DD183" s="113"/>
      <c r="DE183" s="113"/>
      <c r="DF183" s="113"/>
      <c r="DG183" s="113"/>
      <c r="DH183" s="113"/>
      <c r="DI183" s="113"/>
      <c r="DJ183" s="113"/>
      <c r="DK183" s="113"/>
      <c r="DL183" s="113"/>
      <c r="DM183" s="113"/>
      <c r="DN183" s="113"/>
      <c r="DO183" s="113"/>
      <c r="DP183" s="113"/>
      <c r="DQ183" s="113"/>
      <c r="DR183" s="113"/>
      <c r="DS183" s="113"/>
      <c r="DT183" s="113"/>
      <c r="DU183" s="113"/>
      <c r="DV183" s="113"/>
      <c r="DW183" s="113"/>
      <c r="DX183" s="113"/>
      <c r="DY183" s="113"/>
      <c r="DZ183" s="113"/>
      <c r="EA183" s="113"/>
      <c r="EB183" s="113"/>
      <c r="EC183" s="113"/>
      <c r="ED183" s="113"/>
      <c r="EE183" s="113"/>
    </row>
    <row r="184" ht="19.5" customHeight="1">
      <c r="A184" s="84" t="str">
        <f>IF(Roster!$A$182&lt;&gt;"",Roster!$A$182,"")</f>
        <v/>
      </c>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c r="AX184" s="113"/>
      <c r="AY184" s="113"/>
      <c r="AZ184" s="113"/>
      <c r="BA184" s="113"/>
      <c r="BB184" s="113"/>
      <c r="BC184" s="113"/>
      <c r="BD184" s="113"/>
      <c r="BE184" s="113"/>
      <c r="BF184" s="113"/>
      <c r="BG184" s="113"/>
      <c r="BH184" s="113"/>
      <c r="BI184" s="113"/>
      <c r="BJ184" s="113"/>
      <c r="BK184" s="113"/>
      <c r="BL184" s="113"/>
      <c r="BM184" s="113"/>
      <c r="BN184" s="113"/>
      <c r="BO184" s="113"/>
      <c r="BP184" s="113"/>
      <c r="BQ184" s="113"/>
      <c r="BR184" s="113"/>
      <c r="BS184" s="113"/>
      <c r="BT184" s="113"/>
      <c r="BU184" s="113"/>
      <c r="BV184" s="113"/>
      <c r="BW184" s="113"/>
      <c r="BX184" s="113"/>
      <c r="BY184" s="113"/>
      <c r="BZ184" s="113"/>
      <c r="CA184" s="113"/>
      <c r="CB184" s="113"/>
      <c r="CC184" s="113"/>
      <c r="CD184" s="113"/>
      <c r="CE184" s="113"/>
      <c r="CF184" s="113"/>
      <c r="CG184" s="113"/>
      <c r="CH184" s="113"/>
      <c r="CI184" s="113"/>
      <c r="CJ184" s="113"/>
      <c r="CK184" s="113"/>
      <c r="CL184" s="113"/>
      <c r="CM184" s="113"/>
      <c r="CN184" s="113"/>
      <c r="CO184" s="113"/>
      <c r="CP184" s="113"/>
      <c r="CQ184" s="113"/>
      <c r="CR184" s="113"/>
      <c r="CS184" s="113"/>
      <c r="CT184" s="113"/>
      <c r="CU184" s="113"/>
      <c r="CV184" s="113"/>
      <c r="CW184" s="113"/>
      <c r="CX184" s="113"/>
      <c r="CY184" s="113"/>
      <c r="CZ184" s="113"/>
      <c r="DA184" s="113"/>
      <c r="DB184" s="113"/>
      <c r="DC184" s="113"/>
      <c r="DD184" s="113"/>
      <c r="DE184" s="113"/>
      <c r="DF184" s="113"/>
      <c r="DG184" s="113"/>
      <c r="DH184" s="113"/>
      <c r="DI184" s="113"/>
      <c r="DJ184" s="113"/>
      <c r="DK184" s="113"/>
      <c r="DL184" s="113"/>
      <c r="DM184" s="113"/>
      <c r="DN184" s="113"/>
      <c r="DO184" s="113"/>
      <c r="DP184" s="113"/>
      <c r="DQ184" s="113"/>
      <c r="DR184" s="113"/>
      <c r="DS184" s="113"/>
      <c r="DT184" s="113"/>
      <c r="DU184" s="113"/>
      <c r="DV184" s="113"/>
      <c r="DW184" s="113"/>
      <c r="DX184" s="113"/>
      <c r="DY184" s="113"/>
      <c r="DZ184" s="113"/>
      <c r="EA184" s="113"/>
      <c r="EB184" s="113"/>
      <c r="EC184" s="113"/>
      <c r="ED184" s="113"/>
      <c r="EE184" s="113"/>
    </row>
    <row r="185" ht="19.5" customHeight="1">
      <c r="A185" s="84" t="str">
        <f>IF(Roster!$A$183&lt;&gt;"",Roster!$A$183,"")</f>
        <v/>
      </c>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c r="AX185" s="113"/>
      <c r="AY185" s="113"/>
      <c r="AZ185" s="113"/>
      <c r="BA185" s="113"/>
      <c r="BB185" s="113"/>
      <c r="BC185" s="113"/>
      <c r="BD185" s="113"/>
      <c r="BE185" s="113"/>
      <c r="BF185" s="113"/>
      <c r="BG185" s="113"/>
      <c r="BH185" s="113"/>
      <c r="BI185" s="113"/>
      <c r="BJ185" s="113"/>
      <c r="BK185" s="113"/>
      <c r="BL185" s="113"/>
      <c r="BM185" s="113"/>
      <c r="BN185" s="113"/>
      <c r="BO185" s="113"/>
      <c r="BP185" s="113"/>
      <c r="BQ185" s="113"/>
      <c r="BR185" s="113"/>
      <c r="BS185" s="113"/>
      <c r="BT185" s="113"/>
      <c r="BU185" s="113"/>
      <c r="BV185" s="113"/>
      <c r="BW185" s="113"/>
      <c r="BX185" s="113"/>
      <c r="BY185" s="113"/>
      <c r="BZ185" s="113"/>
      <c r="CA185" s="113"/>
      <c r="CB185" s="113"/>
      <c r="CC185" s="113"/>
      <c r="CD185" s="113"/>
      <c r="CE185" s="113"/>
      <c r="CF185" s="113"/>
      <c r="CG185" s="113"/>
      <c r="CH185" s="113"/>
      <c r="CI185" s="113"/>
      <c r="CJ185" s="113"/>
      <c r="CK185" s="113"/>
      <c r="CL185" s="113"/>
      <c r="CM185" s="113"/>
      <c r="CN185" s="113"/>
      <c r="CO185" s="113"/>
      <c r="CP185" s="113"/>
      <c r="CQ185" s="113"/>
      <c r="CR185" s="113"/>
      <c r="CS185" s="113"/>
      <c r="CT185" s="113"/>
      <c r="CU185" s="113"/>
      <c r="CV185" s="113"/>
      <c r="CW185" s="113"/>
      <c r="CX185" s="113"/>
      <c r="CY185" s="113"/>
      <c r="CZ185" s="113"/>
      <c r="DA185" s="113"/>
      <c r="DB185" s="113"/>
      <c r="DC185" s="113"/>
      <c r="DD185" s="113"/>
      <c r="DE185" s="113"/>
      <c r="DF185" s="113"/>
      <c r="DG185" s="113"/>
      <c r="DH185" s="113"/>
      <c r="DI185" s="113"/>
      <c r="DJ185" s="113"/>
      <c r="DK185" s="113"/>
      <c r="DL185" s="113"/>
      <c r="DM185" s="113"/>
      <c r="DN185" s="113"/>
      <c r="DO185" s="113"/>
      <c r="DP185" s="113"/>
      <c r="DQ185" s="113"/>
      <c r="DR185" s="113"/>
      <c r="DS185" s="113"/>
      <c r="DT185" s="113"/>
      <c r="DU185" s="113"/>
      <c r="DV185" s="113"/>
      <c r="DW185" s="113"/>
      <c r="DX185" s="113"/>
      <c r="DY185" s="113"/>
      <c r="DZ185" s="113"/>
      <c r="EA185" s="113"/>
      <c r="EB185" s="113"/>
      <c r="EC185" s="113"/>
      <c r="ED185" s="113"/>
      <c r="EE185" s="113"/>
    </row>
    <row r="186" ht="19.5" customHeight="1">
      <c r="A186" s="84" t="str">
        <f>IF(Roster!$A$184&lt;&gt;"",Roster!$A$184,"")</f>
        <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c r="AX186" s="113"/>
      <c r="AY186" s="113"/>
      <c r="AZ186" s="113"/>
      <c r="BA186" s="113"/>
      <c r="BB186" s="113"/>
      <c r="BC186" s="113"/>
      <c r="BD186" s="113"/>
      <c r="BE186" s="113"/>
      <c r="BF186" s="113"/>
      <c r="BG186" s="113"/>
      <c r="BH186" s="113"/>
      <c r="BI186" s="113"/>
      <c r="BJ186" s="113"/>
      <c r="BK186" s="113"/>
      <c r="BL186" s="113"/>
      <c r="BM186" s="113"/>
      <c r="BN186" s="113"/>
      <c r="BO186" s="113"/>
      <c r="BP186" s="113"/>
      <c r="BQ186" s="113"/>
      <c r="BR186" s="113"/>
      <c r="BS186" s="113"/>
      <c r="BT186" s="113"/>
      <c r="BU186" s="113"/>
      <c r="BV186" s="113"/>
      <c r="BW186" s="113"/>
      <c r="BX186" s="113"/>
      <c r="BY186" s="113"/>
      <c r="BZ186" s="113"/>
      <c r="CA186" s="113"/>
      <c r="CB186" s="113"/>
      <c r="CC186" s="113"/>
      <c r="CD186" s="113"/>
      <c r="CE186" s="113"/>
      <c r="CF186" s="113"/>
      <c r="CG186" s="113"/>
      <c r="CH186" s="113"/>
      <c r="CI186" s="113"/>
      <c r="CJ186" s="113"/>
      <c r="CK186" s="113"/>
      <c r="CL186" s="113"/>
      <c r="CM186" s="113"/>
      <c r="CN186" s="113"/>
      <c r="CO186" s="113"/>
      <c r="CP186" s="113"/>
      <c r="CQ186" s="113"/>
      <c r="CR186" s="113"/>
      <c r="CS186" s="113"/>
      <c r="CT186" s="113"/>
      <c r="CU186" s="113"/>
      <c r="CV186" s="113"/>
      <c r="CW186" s="113"/>
      <c r="CX186" s="113"/>
      <c r="CY186" s="113"/>
      <c r="CZ186" s="113"/>
      <c r="DA186" s="113"/>
      <c r="DB186" s="113"/>
      <c r="DC186" s="113"/>
      <c r="DD186" s="113"/>
      <c r="DE186" s="113"/>
      <c r="DF186" s="113"/>
      <c r="DG186" s="113"/>
      <c r="DH186" s="113"/>
      <c r="DI186" s="113"/>
      <c r="DJ186" s="113"/>
      <c r="DK186" s="113"/>
      <c r="DL186" s="113"/>
      <c r="DM186" s="113"/>
      <c r="DN186" s="113"/>
      <c r="DO186" s="113"/>
      <c r="DP186" s="113"/>
      <c r="DQ186" s="113"/>
      <c r="DR186" s="113"/>
      <c r="DS186" s="113"/>
      <c r="DT186" s="113"/>
      <c r="DU186" s="113"/>
      <c r="DV186" s="113"/>
      <c r="DW186" s="113"/>
      <c r="DX186" s="113"/>
      <c r="DY186" s="113"/>
      <c r="DZ186" s="113"/>
      <c r="EA186" s="113"/>
      <c r="EB186" s="113"/>
      <c r="EC186" s="113"/>
      <c r="ED186" s="113"/>
      <c r="EE186" s="113"/>
    </row>
    <row r="187" ht="19.5" customHeight="1">
      <c r="A187" s="84" t="str">
        <f>IF(Roster!$A$185&lt;&gt;"",Roster!$A$185,"")</f>
        <v/>
      </c>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c r="AX187" s="113"/>
      <c r="AY187" s="113"/>
      <c r="AZ187" s="113"/>
      <c r="BA187" s="113"/>
      <c r="BB187" s="113"/>
      <c r="BC187" s="113"/>
      <c r="BD187" s="113"/>
      <c r="BE187" s="113"/>
      <c r="BF187" s="113"/>
      <c r="BG187" s="113"/>
      <c r="BH187" s="113"/>
      <c r="BI187" s="113"/>
      <c r="BJ187" s="113"/>
      <c r="BK187" s="113"/>
      <c r="BL187" s="113"/>
      <c r="BM187" s="113"/>
      <c r="BN187" s="113"/>
      <c r="BO187" s="113"/>
      <c r="BP187" s="113"/>
      <c r="BQ187" s="113"/>
      <c r="BR187" s="113"/>
      <c r="BS187" s="113"/>
      <c r="BT187" s="113"/>
      <c r="BU187" s="113"/>
      <c r="BV187" s="113"/>
      <c r="BW187" s="113"/>
      <c r="BX187" s="113"/>
      <c r="BY187" s="113"/>
      <c r="BZ187" s="113"/>
      <c r="CA187" s="113"/>
      <c r="CB187" s="113"/>
      <c r="CC187" s="113"/>
      <c r="CD187" s="113"/>
      <c r="CE187" s="113"/>
      <c r="CF187" s="113"/>
      <c r="CG187" s="113"/>
      <c r="CH187" s="113"/>
      <c r="CI187" s="113"/>
      <c r="CJ187" s="113"/>
      <c r="CK187" s="113"/>
      <c r="CL187" s="113"/>
      <c r="CM187" s="113"/>
      <c r="CN187" s="113"/>
      <c r="CO187" s="113"/>
      <c r="CP187" s="113"/>
      <c r="CQ187" s="113"/>
      <c r="CR187" s="113"/>
      <c r="CS187" s="113"/>
      <c r="CT187" s="113"/>
      <c r="CU187" s="113"/>
      <c r="CV187" s="113"/>
      <c r="CW187" s="113"/>
      <c r="CX187" s="113"/>
      <c r="CY187" s="113"/>
      <c r="CZ187" s="113"/>
      <c r="DA187" s="113"/>
      <c r="DB187" s="113"/>
      <c r="DC187" s="113"/>
      <c r="DD187" s="113"/>
      <c r="DE187" s="113"/>
      <c r="DF187" s="113"/>
      <c r="DG187" s="113"/>
      <c r="DH187" s="113"/>
      <c r="DI187" s="113"/>
      <c r="DJ187" s="113"/>
      <c r="DK187" s="113"/>
      <c r="DL187" s="113"/>
      <c r="DM187" s="113"/>
      <c r="DN187" s="113"/>
      <c r="DO187" s="113"/>
      <c r="DP187" s="113"/>
      <c r="DQ187" s="113"/>
      <c r="DR187" s="113"/>
      <c r="DS187" s="113"/>
      <c r="DT187" s="113"/>
      <c r="DU187" s="113"/>
      <c r="DV187" s="113"/>
      <c r="DW187" s="113"/>
      <c r="DX187" s="113"/>
      <c r="DY187" s="113"/>
      <c r="DZ187" s="113"/>
      <c r="EA187" s="113"/>
      <c r="EB187" s="113"/>
      <c r="EC187" s="113"/>
      <c r="ED187" s="113"/>
      <c r="EE187" s="113"/>
    </row>
    <row r="188" ht="19.5" customHeight="1">
      <c r="A188" s="84" t="str">
        <f>IF(Roster!$A$186&lt;&gt;"",Roster!$A$186,"")</f>
        <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c r="AX188" s="113"/>
      <c r="AY188" s="113"/>
      <c r="AZ188" s="113"/>
      <c r="BA188" s="113"/>
      <c r="BB188" s="113"/>
      <c r="BC188" s="113"/>
      <c r="BD188" s="113"/>
      <c r="BE188" s="113"/>
      <c r="BF188" s="113"/>
      <c r="BG188" s="113"/>
      <c r="BH188" s="113"/>
      <c r="BI188" s="113"/>
      <c r="BJ188" s="113"/>
      <c r="BK188" s="113"/>
      <c r="BL188" s="113"/>
      <c r="BM188" s="113"/>
      <c r="BN188" s="113"/>
      <c r="BO188" s="113"/>
      <c r="BP188" s="113"/>
      <c r="BQ188" s="113"/>
      <c r="BR188" s="113"/>
      <c r="BS188" s="113"/>
      <c r="BT188" s="113"/>
      <c r="BU188" s="113"/>
      <c r="BV188" s="113"/>
      <c r="BW188" s="113"/>
      <c r="BX188" s="113"/>
      <c r="BY188" s="113"/>
      <c r="BZ188" s="113"/>
      <c r="CA188" s="113"/>
      <c r="CB188" s="113"/>
      <c r="CC188" s="113"/>
      <c r="CD188" s="113"/>
      <c r="CE188" s="113"/>
      <c r="CF188" s="113"/>
      <c r="CG188" s="113"/>
      <c r="CH188" s="113"/>
      <c r="CI188" s="113"/>
      <c r="CJ188" s="113"/>
      <c r="CK188" s="113"/>
      <c r="CL188" s="113"/>
      <c r="CM188" s="113"/>
      <c r="CN188" s="113"/>
      <c r="CO188" s="113"/>
      <c r="CP188" s="113"/>
      <c r="CQ188" s="113"/>
      <c r="CR188" s="113"/>
      <c r="CS188" s="113"/>
      <c r="CT188" s="113"/>
      <c r="CU188" s="113"/>
      <c r="CV188" s="113"/>
      <c r="CW188" s="113"/>
      <c r="CX188" s="113"/>
      <c r="CY188" s="113"/>
      <c r="CZ188" s="113"/>
      <c r="DA188" s="113"/>
      <c r="DB188" s="113"/>
      <c r="DC188" s="113"/>
      <c r="DD188" s="113"/>
      <c r="DE188" s="113"/>
      <c r="DF188" s="113"/>
      <c r="DG188" s="113"/>
      <c r="DH188" s="113"/>
      <c r="DI188" s="113"/>
      <c r="DJ188" s="113"/>
      <c r="DK188" s="113"/>
      <c r="DL188" s="113"/>
      <c r="DM188" s="113"/>
      <c r="DN188" s="113"/>
      <c r="DO188" s="113"/>
      <c r="DP188" s="113"/>
      <c r="DQ188" s="113"/>
      <c r="DR188" s="113"/>
      <c r="DS188" s="113"/>
      <c r="DT188" s="113"/>
      <c r="DU188" s="113"/>
      <c r="DV188" s="113"/>
      <c r="DW188" s="113"/>
      <c r="DX188" s="113"/>
      <c r="DY188" s="113"/>
      <c r="DZ188" s="113"/>
      <c r="EA188" s="113"/>
      <c r="EB188" s="113"/>
      <c r="EC188" s="113"/>
      <c r="ED188" s="113"/>
      <c r="EE188" s="113"/>
    </row>
    <row r="189" ht="19.5" customHeight="1">
      <c r="A189" s="84" t="str">
        <f>IF(Roster!$A$187&lt;&gt;"",Roster!$A$187,"")</f>
        <v/>
      </c>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c r="AX189" s="113"/>
      <c r="AY189" s="113"/>
      <c r="AZ189" s="113"/>
      <c r="BA189" s="113"/>
      <c r="BB189" s="113"/>
      <c r="BC189" s="113"/>
      <c r="BD189" s="113"/>
      <c r="BE189" s="113"/>
      <c r="BF189" s="113"/>
      <c r="BG189" s="113"/>
      <c r="BH189" s="113"/>
      <c r="BI189" s="113"/>
      <c r="BJ189" s="113"/>
      <c r="BK189" s="113"/>
      <c r="BL189" s="113"/>
      <c r="BM189" s="113"/>
      <c r="BN189" s="113"/>
      <c r="BO189" s="113"/>
      <c r="BP189" s="113"/>
      <c r="BQ189" s="113"/>
      <c r="BR189" s="113"/>
      <c r="BS189" s="113"/>
      <c r="BT189" s="113"/>
      <c r="BU189" s="113"/>
      <c r="BV189" s="113"/>
      <c r="BW189" s="113"/>
      <c r="BX189" s="113"/>
      <c r="BY189" s="113"/>
      <c r="BZ189" s="113"/>
      <c r="CA189" s="113"/>
      <c r="CB189" s="113"/>
      <c r="CC189" s="113"/>
      <c r="CD189" s="113"/>
      <c r="CE189" s="113"/>
      <c r="CF189" s="113"/>
      <c r="CG189" s="113"/>
      <c r="CH189" s="113"/>
      <c r="CI189" s="113"/>
      <c r="CJ189" s="113"/>
      <c r="CK189" s="113"/>
      <c r="CL189" s="113"/>
      <c r="CM189" s="113"/>
      <c r="CN189" s="113"/>
      <c r="CO189" s="113"/>
      <c r="CP189" s="113"/>
      <c r="CQ189" s="113"/>
      <c r="CR189" s="113"/>
      <c r="CS189" s="113"/>
      <c r="CT189" s="113"/>
      <c r="CU189" s="113"/>
      <c r="CV189" s="113"/>
      <c r="CW189" s="113"/>
      <c r="CX189" s="113"/>
      <c r="CY189" s="113"/>
      <c r="CZ189" s="113"/>
      <c r="DA189" s="113"/>
      <c r="DB189" s="113"/>
      <c r="DC189" s="113"/>
      <c r="DD189" s="113"/>
      <c r="DE189" s="113"/>
      <c r="DF189" s="113"/>
      <c r="DG189" s="113"/>
      <c r="DH189" s="113"/>
      <c r="DI189" s="113"/>
      <c r="DJ189" s="113"/>
      <c r="DK189" s="113"/>
      <c r="DL189" s="113"/>
      <c r="DM189" s="113"/>
      <c r="DN189" s="113"/>
      <c r="DO189" s="113"/>
      <c r="DP189" s="113"/>
      <c r="DQ189" s="113"/>
      <c r="DR189" s="113"/>
      <c r="DS189" s="113"/>
      <c r="DT189" s="113"/>
      <c r="DU189" s="113"/>
      <c r="DV189" s="113"/>
      <c r="DW189" s="113"/>
      <c r="DX189" s="113"/>
      <c r="DY189" s="113"/>
      <c r="DZ189" s="113"/>
      <c r="EA189" s="113"/>
      <c r="EB189" s="113"/>
      <c r="EC189" s="113"/>
      <c r="ED189" s="113"/>
      <c r="EE189" s="113"/>
    </row>
    <row r="190" ht="19.5" customHeight="1">
      <c r="A190" s="84" t="str">
        <f>IF(Roster!$A$188&lt;&gt;"",Roster!$A$188,"")</f>
        <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c r="AX190" s="113"/>
      <c r="AY190" s="113"/>
      <c r="AZ190" s="113"/>
      <c r="BA190" s="113"/>
      <c r="BB190" s="113"/>
      <c r="BC190" s="113"/>
      <c r="BD190" s="113"/>
      <c r="BE190" s="113"/>
      <c r="BF190" s="113"/>
      <c r="BG190" s="113"/>
      <c r="BH190" s="113"/>
      <c r="BI190" s="113"/>
      <c r="BJ190" s="113"/>
      <c r="BK190" s="113"/>
      <c r="BL190" s="113"/>
      <c r="BM190" s="113"/>
      <c r="BN190" s="113"/>
      <c r="BO190" s="113"/>
      <c r="BP190" s="113"/>
      <c r="BQ190" s="113"/>
      <c r="BR190" s="113"/>
      <c r="BS190" s="113"/>
      <c r="BT190" s="113"/>
      <c r="BU190" s="113"/>
      <c r="BV190" s="113"/>
      <c r="BW190" s="113"/>
      <c r="BX190" s="113"/>
      <c r="BY190" s="113"/>
      <c r="BZ190" s="113"/>
      <c r="CA190" s="113"/>
      <c r="CB190" s="113"/>
      <c r="CC190" s="113"/>
      <c r="CD190" s="113"/>
      <c r="CE190" s="113"/>
      <c r="CF190" s="113"/>
      <c r="CG190" s="113"/>
      <c r="CH190" s="113"/>
      <c r="CI190" s="113"/>
      <c r="CJ190" s="113"/>
      <c r="CK190" s="113"/>
      <c r="CL190" s="113"/>
      <c r="CM190" s="113"/>
      <c r="CN190" s="113"/>
      <c r="CO190" s="113"/>
      <c r="CP190" s="113"/>
      <c r="CQ190" s="113"/>
      <c r="CR190" s="113"/>
      <c r="CS190" s="113"/>
      <c r="CT190" s="113"/>
      <c r="CU190" s="113"/>
      <c r="CV190" s="113"/>
      <c r="CW190" s="113"/>
      <c r="CX190" s="113"/>
      <c r="CY190" s="113"/>
      <c r="CZ190" s="113"/>
      <c r="DA190" s="113"/>
      <c r="DB190" s="113"/>
      <c r="DC190" s="113"/>
      <c r="DD190" s="113"/>
      <c r="DE190" s="113"/>
      <c r="DF190" s="113"/>
      <c r="DG190" s="113"/>
      <c r="DH190" s="113"/>
      <c r="DI190" s="113"/>
      <c r="DJ190" s="113"/>
      <c r="DK190" s="113"/>
      <c r="DL190" s="113"/>
      <c r="DM190" s="113"/>
      <c r="DN190" s="113"/>
      <c r="DO190" s="113"/>
      <c r="DP190" s="113"/>
      <c r="DQ190" s="113"/>
      <c r="DR190" s="113"/>
      <c r="DS190" s="113"/>
      <c r="DT190" s="113"/>
      <c r="DU190" s="113"/>
      <c r="DV190" s="113"/>
      <c r="DW190" s="113"/>
      <c r="DX190" s="113"/>
      <c r="DY190" s="113"/>
      <c r="DZ190" s="113"/>
      <c r="EA190" s="113"/>
      <c r="EB190" s="113"/>
      <c r="EC190" s="113"/>
      <c r="ED190" s="113"/>
      <c r="EE190" s="113"/>
    </row>
    <row r="191" ht="19.5" customHeight="1">
      <c r="A191" s="84" t="str">
        <f>IF(Roster!$A$189&lt;&gt;"",Roster!$A$189,"")</f>
        <v/>
      </c>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c r="AX191" s="113"/>
      <c r="AY191" s="113"/>
      <c r="AZ191" s="113"/>
      <c r="BA191" s="113"/>
      <c r="BB191" s="113"/>
      <c r="BC191" s="113"/>
      <c r="BD191" s="113"/>
      <c r="BE191" s="113"/>
      <c r="BF191" s="113"/>
      <c r="BG191" s="113"/>
      <c r="BH191" s="113"/>
      <c r="BI191" s="113"/>
      <c r="BJ191" s="113"/>
      <c r="BK191" s="113"/>
      <c r="BL191" s="113"/>
      <c r="BM191" s="113"/>
      <c r="BN191" s="113"/>
      <c r="BO191" s="113"/>
      <c r="BP191" s="113"/>
      <c r="BQ191" s="113"/>
      <c r="BR191" s="113"/>
      <c r="BS191" s="113"/>
      <c r="BT191" s="113"/>
      <c r="BU191" s="113"/>
      <c r="BV191" s="113"/>
      <c r="BW191" s="113"/>
      <c r="BX191" s="113"/>
      <c r="BY191" s="113"/>
      <c r="BZ191" s="113"/>
      <c r="CA191" s="113"/>
      <c r="CB191" s="113"/>
      <c r="CC191" s="113"/>
      <c r="CD191" s="113"/>
      <c r="CE191" s="113"/>
      <c r="CF191" s="113"/>
      <c r="CG191" s="113"/>
      <c r="CH191" s="113"/>
      <c r="CI191" s="113"/>
      <c r="CJ191" s="113"/>
      <c r="CK191" s="113"/>
      <c r="CL191" s="113"/>
      <c r="CM191" s="113"/>
      <c r="CN191" s="113"/>
      <c r="CO191" s="113"/>
      <c r="CP191" s="113"/>
      <c r="CQ191" s="113"/>
      <c r="CR191" s="113"/>
      <c r="CS191" s="113"/>
      <c r="CT191" s="113"/>
      <c r="CU191" s="113"/>
      <c r="CV191" s="113"/>
      <c r="CW191" s="113"/>
      <c r="CX191" s="113"/>
      <c r="CY191" s="113"/>
      <c r="CZ191" s="113"/>
      <c r="DA191" s="113"/>
      <c r="DB191" s="113"/>
      <c r="DC191" s="113"/>
      <c r="DD191" s="113"/>
      <c r="DE191" s="113"/>
      <c r="DF191" s="113"/>
      <c r="DG191" s="113"/>
      <c r="DH191" s="113"/>
      <c r="DI191" s="113"/>
      <c r="DJ191" s="113"/>
      <c r="DK191" s="113"/>
      <c r="DL191" s="113"/>
      <c r="DM191" s="113"/>
      <c r="DN191" s="113"/>
      <c r="DO191" s="113"/>
      <c r="DP191" s="113"/>
      <c r="DQ191" s="113"/>
      <c r="DR191" s="113"/>
      <c r="DS191" s="113"/>
      <c r="DT191" s="113"/>
      <c r="DU191" s="113"/>
      <c r="DV191" s="113"/>
      <c r="DW191" s="113"/>
      <c r="DX191" s="113"/>
      <c r="DY191" s="113"/>
      <c r="DZ191" s="113"/>
      <c r="EA191" s="113"/>
      <c r="EB191" s="113"/>
      <c r="EC191" s="113"/>
      <c r="ED191" s="113"/>
      <c r="EE191" s="113"/>
    </row>
    <row r="192" ht="19.5" customHeight="1">
      <c r="A192" s="84" t="str">
        <f>IF(Roster!$A$190&lt;&gt;"",Roster!$A$190,"")</f>
        <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3"/>
      <c r="AY192" s="113"/>
      <c r="AZ192" s="113"/>
      <c r="BA192" s="113"/>
      <c r="BB192" s="113"/>
      <c r="BC192" s="113"/>
      <c r="BD192" s="113"/>
      <c r="BE192" s="113"/>
      <c r="BF192" s="113"/>
      <c r="BG192" s="113"/>
      <c r="BH192" s="113"/>
      <c r="BI192" s="113"/>
      <c r="BJ192" s="113"/>
      <c r="BK192" s="113"/>
      <c r="BL192" s="113"/>
      <c r="BM192" s="113"/>
      <c r="BN192" s="113"/>
      <c r="BO192" s="113"/>
      <c r="BP192" s="113"/>
      <c r="BQ192" s="113"/>
      <c r="BR192" s="113"/>
      <c r="BS192" s="113"/>
      <c r="BT192" s="113"/>
      <c r="BU192" s="113"/>
      <c r="BV192" s="113"/>
      <c r="BW192" s="113"/>
      <c r="BX192" s="113"/>
      <c r="BY192" s="113"/>
      <c r="BZ192" s="113"/>
      <c r="CA192" s="113"/>
      <c r="CB192" s="113"/>
      <c r="CC192" s="113"/>
      <c r="CD192" s="113"/>
      <c r="CE192" s="113"/>
      <c r="CF192" s="113"/>
      <c r="CG192" s="113"/>
      <c r="CH192" s="113"/>
      <c r="CI192" s="113"/>
      <c r="CJ192" s="113"/>
      <c r="CK192" s="113"/>
      <c r="CL192" s="113"/>
      <c r="CM192" s="113"/>
      <c r="CN192" s="113"/>
      <c r="CO192" s="113"/>
      <c r="CP192" s="113"/>
      <c r="CQ192" s="113"/>
      <c r="CR192" s="113"/>
      <c r="CS192" s="113"/>
      <c r="CT192" s="113"/>
      <c r="CU192" s="113"/>
      <c r="CV192" s="113"/>
      <c r="CW192" s="113"/>
      <c r="CX192" s="113"/>
      <c r="CY192" s="113"/>
      <c r="CZ192" s="113"/>
      <c r="DA192" s="113"/>
      <c r="DB192" s="113"/>
      <c r="DC192" s="113"/>
      <c r="DD192" s="113"/>
      <c r="DE192" s="113"/>
      <c r="DF192" s="113"/>
      <c r="DG192" s="113"/>
      <c r="DH192" s="113"/>
      <c r="DI192" s="113"/>
      <c r="DJ192" s="113"/>
      <c r="DK192" s="113"/>
      <c r="DL192" s="113"/>
      <c r="DM192" s="113"/>
      <c r="DN192" s="113"/>
      <c r="DO192" s="113"/>
      <c r="DP192" s="113"/>
      <c r="DQ192" s="113"/>
      <c r="DR192" s="113"/>
      <c r="DS192" s="113"/>
      <c r="DT192" s="113"/>
      <c r="DU192" s="113"/>
      <c r="DV192" s="113"/>
      <c r="DW192" s="113"/>
      <c r="DX192" s="113"/>
      <c r="DY192" s="113"/>
      <c r="DZ192" s="113"/>
      <c r="EA192" s="113"/>
      <c r="EB192" s="113"/>
      <c r="EC192" s="113"/>
      <c r="ED192" s="113"/>
      <c r="EE192" s="113"/>
    </row>
    <row r="193" ht="19.5" customHeight="1">
      <c r="A193" s="84" t="str">
        <f>IF(Roster!$A$191&lt;&gt;"",Roster!$A$191,"")</f>
        <v/>
      </c>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c r="AX193" s="113"/>
      <c r="AY193" s="113"/>
      <c r="AZ193" s="113"/>
      <c r="BA193" s="113"/>
      <c r="BB193" s="113"/>
      <c r="BC193" s="113"/>
      <c r="BD193" s="113"/>
      <c r="BE193" s="113"/>
      <c r="BF193" s="113"/>
      <c r="BG193" s="113"/>
      <c r="BH193" s="113"/>
      <c r="BI193" s="113"/>
      <c r="BJ193" s="113"/>
      <c r="BK193" s="113"/>
      <c r="BL193" s="113"/>
      <c r="BM193" s="113"/>
      <c r="BN193" s="113"/>
      <c r="BO193" s="113"/>
      <c r="BP193" s="113"/>
      <c r="BQ193" s="113"/>
      <c r="BR193" s="113"/>
      <c r="BS193" s="113"/>
      <c r="BT193" s="113"/>
      <c r="BU193" s="113"/>
      <c r="BV193" s="113"/>
      <c r="BW193" s="113"/>
      <c r="BX193" s="113"/>
      <c r="BY193" s="113"/>
      <c r="BZ193" s="113"/>
      <c r="CA193" s="113"/>
      <c r="CB193" s="113"/>
      <c r="CC193" s="113"/>
      <c r="CD193" s="113"/>
      <c r="CE193" s="113"/>
      <c r="CF193" s="113"/>
      <c r="CG193" s="113"/>
      <c r="CH193" s="113"/>
      <c r="CI193" s="113"/>
      <c r="CJ193" s="113"/>
      <c r="CK193" s="113"/>
      <c r="CL193" s="113"/>
      <c r="CM193" s="113"/>
      <c r="CN193" s="113"/>
      <c r="CO193" s="113"/>
      <c r="CP193" s="113"/>
      <c r="CQ193" s="113"/>
      <c r="CR193" s="113"/>
      <c r="CS193" s="113"/>
      <c r="CT193" s="113"/>
      <c r="CU193" s="113"/>
      <c r="CV193" s="113"/>
      <c r="CW193" s="113"/>
      <c r="CX193" s="113"/>
      <c r="CY193" s="113"/>
      <c r="CZ193" s="113"/>
      <c r="DA193" s="113"/>
      <c r="DB193" s="113"/>
      <c r="DC193" s="113"/>
      <c r="DD193" s="113"/>
      <c r="DE193" s="113"/>
      <c r="DF193" s="113"/>
      <c r="DG193" s="113"/>
      <c r="DH193" s="113"/>
      <c r="DI193" s="113"/>
      <c r="DJ193" s="113"/>
      <c r="DK193" s="113"/>
      <c r="DL193" s="113"/>
      <c r="DM193" s="113"/>
      <c r="DN193" s="113"/>
      <c r="DO193" s="113"/>
      <c r="DP193" s="113"/>
      <c r="DQ193" s="113"/>
      <c r="DR193" s="113"/>
      <c r="DS193" s="113"/>
      <c r="DT193" s="113"/>
      <c r="DU193" s="113"/>
      <c r="DV193" s="113"/>
      <c r="DW193" s="113"/>
      <c r="DX193" s="113"/>
      <c r="DY193" s="113"/>
      <c r="DZ193" s="113"/>
      <c r="EA193" s="113"/>
      <c r="EB193" s="113"/>
      <c r="EC193" s="113"/>
      <c r="ED193" s="113"/>
      <c r="EE193" s="113"/>
    </row>
    <row r="194" ht="19.5" customHeight="1">
      <c r="A194" s="84" t="str">
        <f>IF(Roster!$A$192&lt;&gt;"",Roster!$A$192,"")</f>
        <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3"/>
      <c r="CB194" s="113"/>
      <c r="CC194" s="113"/>
      <c r="CD194" s="113"/>
      <c r="CE194" s="113"/>
      <c r="CF194" s="113"/>
      <c r="CG194" s="113"/>
      <c r="CH194" s="113"/>
      <c r="CI194" s="113"/>
      <c r="CJ194" s="113"/>
      <c r="CK194" s="113"/>
      <c r="CL194" s="113"/>
      <c r="CM194" s="113"/>
      <c r="CN194" s="113"/>
      <c r="CO194" s="113"/>
      <c r="CP194" s="113"/>
      <c r="CQ194" s="113"/>
      <c r="CR194" s="113"/>
      <c r="CS194" s="113"/>
      <c r="CT194" s="113"/>
      <c r="CU194" s="113"/>
      <c r="CV194" s="113"/>
      <c r="CW194" s="113"/>
      <c r="CX194" s="113"/>
      <c r="CY194" s="113"/>
      <c r="CZ194" s="113"/>
      <c r="DA194" s="113"/>
      <c r="DB194" s="113"/>
      <c r="DC194" s="113"/>
      <c r="DD194" s="113"/>
      <c r="DE194" s="113"/>
      <c r="DF194" s="113"/>
      <c r="DG194" s="113"/>
      <c r="DH194" s="113"/>
      <c r="DI194" s="113"/>
      <c r="DJ194" s="113"/>
      <c r="DK194" s="113"/>
      <c r="DL194" s="113"/>
      <c r="DM194" s="113"/>
      <c r="DN194" s="113"/>
      <c r="DO194" s="113"/>
      <c r="DP194" s="113"/>
      <c r="DQ194" s="113"/>
      <c r="DR194" s="113"/>
      <c r="DS194" s="113"/>
      <c r="DT194" s="113"/>
      <c r="DU194" s="113"/>
      <c r="DV194" s="113"/>
      <c r="DW194" s="113"/>
      <c r="DX194" s="113"/>
      <c r="DY194" s="113"/>
      <c r="DZ194" s="113"/>
      <c r="EA194" s="113"/>
      <c r="EB194" s="113"/>
      <c r="EC194" s="113"/>
      <c r="ED194" s="113"/>
      <c r="EE194" s="113"/>
    </row>
    <row r="195" ht="19.5" customHeight="1">
      <c r="A195" s="84" t="str">
        <f>IF(Roster!$A$193&lt;&gt;"",Roster!$A$193,"")</f>
        <v/>
      </c>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c r="AX195" s="113"/>
      <c r="AY195" s="113"/>
      <c r="AZ195" s="113"/>
      <c r="BA195" s="113"/>
      <c r="BB195" s="113"/>
      <c r="BC195" s="113"/>
      <c r="BD195" s="113"/>
      <c r="BE195" s="113"/>
      <c r="BF195" s="113"/>
      <c r="BG195" s="113"/>
      <c r="BH195" s="113"/>
      <c r="BI195" s="113"/>
      <c r="BJ195" s="113"/>
      <c r="BK195" s="113"/>
      <c r="BL195" s="113"/>
      <c r="BM195" s="113"/>
      <c r="BN195" s="113"/>
      <c r="BO195" s="113"/>
      <c r="BP195" s="113"/>
      <c r="BQ195" s="113"/>
      <c r="BR195" s="113"/>
      <c r="BS195" s="113"/>
      <c r="BT195" s="113"/>
      <c r="BU195" s="113"/>
      <c r="BV195" s="113"/>
      <c r="BW195" s="113"/>
      <c r="BX195" s="113"/>
      <c r="BY195" s="113"/>
      <c r="BZ195" s="113"/>
      <c r="CA195" s="113"/>
      <c r="CB195" s="113"/>
      <c r="CC195" s="113"/>
      <c r="CD195" s="113"/>
      <c r="CE195" s="113"/>
      <c r="CF195" s="113"/>
      <c r="CG195" s="113"/>
      <c r="CH195" s="113"/>
      <c r="CI195" s="113"/>
      <c r="CJ195" s="113"/>
      <c r="CK195" s="113"/>
      <c r="CL195" s="113"/>
      <c r="CM195" s="113"/>
      <c r="CN195" s="113"/>
      <c r="CO195" s="113"/>
      <c r="CP195" s="113"/>
      <c r="CQ195" s="113"/>
      <c r="CR195" s="113"/>
      <c r="CS195" s="113"/>
      <c r="CT195" s="113"/>
      <c r="CU195" s="113"/>
      <c r="CV195" s="113"/>
      <c r="CW195" s="113"/>
      <c r="CX195" s="113"/>
      <c r="CY195" s="113"/>
      <c r="CZ195" s="113"/>
      <c r="DA195" s="113"/>
      <c r="DB195" s="113"/>
      <c r="DC195" s="113"/>
      <c r="DD195" s="113"/>
      <c r="DE195" s="113"/>
      <c r="DF195" s="113"/>
      <c r="DG195" s="113"/>
      <c r="DH195" s="113"/>
      <c r="DI195" s="113"/>
      <c r="DJ195" s="113"/>
      <c r="DK195" s="113"/>
      <c r="DL195" s="113"/>
      <c r="DM195" s="113"/>
      <c r="DN195" s="113"/>
      <c r="DO195" s="113"/>
      <c r="DP195" s="113"/>
      <c r="DQ195" s="113"/>
      <c r="DR195" s="113"/>
      <c r="DS195" s="113"/>
      <c r="DT195" s="113"/>
      <c r="DU195" s="113"/>
      <c r="DV195" s="113"/>
      <c r="DW195" s="113"/>
      <c r="DX195" s="113"/>
      <c r="DY195" s="113"/>
      <c r="DZ195" s="113"/>
      <c r="EA195" s="113"/>
      <c r="EB195" s="113"/>
      <c r="EC195" s="113"/>
      <c r="ED195" s="113"/>
      <c r="EE195" s="113"/>
    </row>
    <row r="196" ht="19.5" customHeight="1">
      <c r="A196" s="84" t="str">
        <f>IF(Roster!$A$194&lt;&gt;"",Roster!$A$194,"")</f>
        <v/>
      </c>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3"/>
      <c r="AY196" s="113"/>
      <c r="AZ196" s="113"/>
      <c r="BA196" s="113"/>
      <c r="BB196" s="113"/>
      <c r="BC196" s="113"/>
      <c r="BD196" s="113"/>
      <c r="BE196" s="113"/>
      <c r="BF196" s="113"/>
      <c r="BG196" s="113"/>
      <c r="BH196" s="113"/>
      <c r="BI196" s="113"/>
      <c r="BJ196" s="113"/>
      <c r="BK196" s="113"/>
      <c r="BL196" s="113"/>
      <c r="BM196" s="113"/>
      <c r="BN196" s="113"/>
      <c r="BO196" s="113"/>
      <c r="BP196" s="113"/>
      <c r="BQ196" s="113"/>
      <c r="BR196" s="113"/>
      <c r="BS196" s="113"/>
      <c r="BT196" s="113"/>
      <c r="BU196" s="113"/>
      <c r="BV196" s="113"/>
      <c r="BW196" s="113"/>
      <c r="BX196" s="113"/>
      <c r="BY196" s="113"/>
      <c r="BZ196" s="113"/>
      <c r="CA196" s="113"/>
      <c r="CB196" s="113"/>
      <c r="CC196" s="113"/>
      <c r="CD196" s="113"/>
      <c r="CE196" s="113"/>
      <c r="CF196" s="113"/>
      <c r="CG196" s="113"/>
      <c r="CH196" s="113"/>
      <c r="CI196" s="113"/>
      <c r="CJ196" s="113"/>
      <c r="CK196" s="113"/>
      <c r="CL196" s="113"/>
      <c r="CM196" s="113"/>
      <c r="CN196" s="113"/>
      <c r="CO196" s="113"/>
      <c r="CP196" s="113"/>
      <c r="CQ196" s="113"/>
      <c r="CR196" s="113"/>
      <c r="CS196" s="113"/>
      <c r="CT196" s="113"/>
      <c r="CU196" s="113"/>
      <c r="CV196" s="113"/>
      <c r="CW196" s="113"/>
      <c r="CX196" s="113"/>
      <c r="CY196" s="113"/>
      <c r="CZ196" s="113"/>
      <c r="DA196" s="113"/>
      <c r="DB196" s="113"/>
      <c r="DC196" s="113"/>
      <c r="DD196" s="113"/>
      <c r="DE196" s="113"/>
      <c r="DF196" s="113"/>
      <c r="DG196" s="113"/>
      <c r="DH196" s="113"/>
      <c r="DI196" s="113"/>
      <c r="DJ196" s="113"/>
      <c r="DK196" s="113"/>
      <c r="DL196" s="113"/>
      <c r="DM196" s="113"/>
      <c r="DN196" s="113"/>
      <c r="DO196" s="113"/>
      <c r="DP196" s="113"/>
      <c r="DQ196" s="113"/>
      <c r="DR196" s="113"/>
      <c r="DS196" s="113"/>
      <c r="DT196" s="113"/>
      <c r="DU196" s="113"/>
      <c r="DV196" s="113"/>
      <c r="DW196" s="113"/>
      <c r="DX196" s="113"/>
      <c r="DY196" s="113"/>
      <c r="DZ196" s="113"/>
      <c r="EA196" s="113"/>
      <c r="EB196" s="113"/>
      <c r="EC196" s="113"/>
      <c r="ED196" s="113"/>
      <c r="EE196" s="113"/>
    </row>
    <row r="197" ht="19.5" customHeight="1">
      <c r="A197" s="84" t="str">
        <f>IF(Roster!$A$195&lt;&gt;"",Roster!$A$195,"")</f>
        <v/>
      </c>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c r="AX197" s="113"/>
      <c r="AY197" s="113"/>
      <c r="AZ197" s="113"/>
      <c r="BA197" s="113"/>
      <c r="BB197" s="113"/>
      <c r="BC197" s="113"/>
      <c r="BD197" s="113"/>
      <c r="BE197" s="113"/>
      <c r="BF197" s="113"/>
      <c r="BG197" s="113"/>
      <c r="BH197" s="113"/>
      <c r="BI197" s="113"/>
      <c r="BJ197" s="113"/>
      <c r="BK197" s="113"/>
      <c r="BL197" s="113"/>
      <c r="BM197" s="113"/>
      <c r="BN197" s="113"/>
      <c r="BO197" s="113"/>
      <c r="BP197" s="113"/>
      <c r="BQ197" s="113"/>
      <c r="BR197" s="113"/>
      <c r="BS197" s="113"/>
      <c r="BT197" s="113"/>
      <c r="BU197" s="113"/>
      <c r="BV197" s="113"/>
      <c r="BW197" s="113"/>
      <c r="BX197" s="113"/>
      <c r="BY197" s="113"/>
      <c r="BZ197" s="113"/>
      <c r="CA197" s="113"/>
      <c r="CB197" s="113"/>
      <c r="CC197" s="113"/>
      <c r="CD197" s="113"/>
      <c r="CE197" s="113"/>
      <c r="CF197" s="113"/>
      <c r="CG197" s="113"/>
      <c r="CH197" s="113"/>
      <c r="CI197" s="113"/>
      <c r="CJ197" s="113"/>
      <c r="CK197" s="113"/>
      <c r="CL197" s="113"/>
      <c r="CM197" s="113"/>
      <c r="CN197" s="113"/>
      <c r="CO197" s="113"/>
      <c r="CP197" s="113"/>
      <c r="CQ197" s="113"/>
      <c r="CR197" s="113"/>
      <c r="CS197" s="113"/>
      <c r="CT197" s="113"/>
      <c r="CU197" s="113"/>
      <c r="CV197" s="113"/>
      <c r="CW197" s="113"/>
      <c r="CX197" s="113"/>
      <c r="CY197" s="113"/>
      <c r="CZ197" s="113"/>
      <c r="DA197" s="113"/>
      <c r="DB197" s="113"/>
      <c r="DC197" s="113"/>
      <c r="DD197" s="113"/>
      <c r="DE197" s="113"/>
      <c r="DF197" s="113"/>
      <c r="DG197" s="113"/>
      <c r="DH197" s="113"/>
      <c r="DI197" s="113"/>
      <c r="DJ197" s="113"/>
      <c r="DK197" s="113"/>
      <c r="DL197" s="113"/>
      <c r="DM197" s="113"/>
      <c r="DN197" s="113"/>
      <c r="DO197" s="113"/>
      <c r="DP197" s="113"/>
      <c r="DQ197" s="113"/>
      <c r="DR197" s="113"/>
      <c r="DS197" s="113"/>
      <c r="DT197" s="113"/>
      <c r="DU197" s="113"/>
      <c r="DV197" s="113"/>
      <c r="DW197" s="113"/>
      <c r="DX197" s="113"/>
      <c r="DY197" s="113"/>
      <c r="DZ197" s="113"/>
      <c r="EA197" s="113"/>
      <c r="EB197" s="113"/>
      <c r="EC197" s="113"/>
      <c r="ED197" s="113"/>
      <c r="EE197" s="113"/>
    </row>
    <row r="198" ht="19.5" customHeight="1">
      <c r="A198" s="84" t="str">
        <f>IF(Roster!$A$196&lt;&gt;"",Roster!$A$196,"")</f>
        <v/>
      </c>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c r="AX198" s="113"/>
      <c r="AY198" s="113"/>
      <c r="AZ198" s="113"/>
      <c r="BA198" s="113"/>
      <c r="BB198" s="113"/>
      <c r="BC198" s="113"/>
      <c r="BD198" s="113"/>
      <c r="BE198" s="113"/>
      <c r="BF198" s="113"/>
      <c r="BG198" s="113"/>
      <c r="BH198" s="113"/>
      <c r="BI198" s="113"/>
      <c r="BJ198" s="113"/>
      <c r="BK198" s="113"/>
      <c r="BL198" s="113"/>
      <c r="BM198" s="113"/>
      <c r="BN198" s="113"/>
      <c r="BO198" s="113"/>
      <c r="BP198" s="113"/>
      <c r="BQ198" s="113"/>
      <c r="BR198" s="113"/>
      <c r="BS198" s="113"/>
      <c r="BT198" s="113"/>
      <c r="BU198" s="113"/>
      <c r="BV198" s="113"/>
      <c r="BW198" s="113"/>
      <c r="BX198" s="113"/>
      <c r="BY198" s="113"/>
      <c r="BZ198" s="113"/>
      <c r="CA198" s="113"/>
      <c r="CB198" s="113"/>
      <c r="CC198" s="113"/>
      <c r="CD198" s="113"/>
      <c r="CE198" s="113"/>
      <c r="CF198" s="113"/>
      <c r="CG198" s="113"/>
      <c r="CH198" s="113"/>
      <c r="CI198" s="113"/>
      <c r="CJ198" s="113"/>
      <c r="CK198" s="113"/>
      <c r="CL198" s="113"/>
      <c r="CM198" s="113"/>
      <c r="CN198" s="113"/>
      <c r="CO198" s="113"/>
      <c r="CP198" s="113"/>
      <c r="CQ198" s="113"/>
      <c r="CR198" s="113"/>
      <c r="CS198" s="113"/>
      <c r="CT198" s="113"/>
      <c r="CU198" s="113"/>
      <c r="CV198" s="113"/>
      <c r="CW198" s="113"/>
      <c r="CX198" s="113"/>
      <c r="CY198" s="113"/>
      <c r="CZ198" s="113"/>
      <c r="DA198" s="113"/>
      <c r="DB198" s="113"/>
      <c r="DC198" s="113"/>
      <c r="DD198" s="113"/>
      <c r="DE198" s="113"/>
      <c r="DF198" s="113"/>
      <c r="DG198" s="113"/>
      <c r="DH198" s="113"/>
      <c r="DI198" s="113"/>
      <c r="DJ198" s="113"/>
      <c r="DK198" s="113"/>
      <c r="DL198" s="113"/>
      <c r="DM198" s="113"/>
      <c r="DN198" s="113"/>
      <c r="DO198" s="113"/>
      <c r="DP198" s="113"/>
      <c r="DQ198" s="113"/>
      <c r="DR198" s="113"/>
      <c r="DS198" s="113"/>
      <c r="DT198" s="113"/>
      <c r="DU198" s="113"/>
      <c r="DV198" s="113"/>
      <c r="DW198" s="113"/>
      <c r="DX198" s="113"/>
      <c r="DY198" s="113"/>
      <c r="DZ198" s="113"/>
      <c r="EA198" s="113"/>
      <c r="EB198" s="113"/>
      <c r="EC198" s="113"/>
      <c r="ED198" s="113"/>
      <c r="EE198" s="113"/>
    </row>
    <row r="199" ht="19.5" customHeight="1">
      <c r="A199" s="84" t="str">
        <f>IF(Roster!$A$197&lt;&gt;"",Roster!$A$197,"")</f>
        <v/>
      </c>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3"/>
      <c r="AY199" s="113"/>
      <c r="AZ199" s="113"/>
      <c r="BA199" s="113"/>
      <c r="BB199" s="113"/>
      <c r="BC199" s="113"/>
      <c r="BD199" s="113"/>
      <c r="BE199" s="113"/>
      <c r="BF199" s="113"/>
      <c r="BG199" s="113"/>
      <c r="BH199" s="113"/>
      <c r="BI199" s="113"/>
      <c r="BJ199" s="113"/>
      <c r="BK199" s="113"/>
      <c r="BL199" s="113"/>
      <c r="BM199" s="113"/>
      <c r="BN199" s="113"/>
      <c r="BO199" s="113"/>
      <c r="BP199" s="113"/>
      <c r="BQ199" s="113"/>
      <c r="BR199" s="113"/>
      <c r="BS199" s="113"/>
      <c r="BT199" s="113"/>
      <c r="BU199" s="113"/>
      <c r="BV199" s="113"/>
      <c r="BW199" s="113"/>
      <c r="BX199" s="113"/>
      <c r="BY199" s="113"/>
      <c r="BZ199" s="113"/>
      <c r="CA199" s="113"/>
      <c r="CB199" s="113"/>
      <c r="CC199" s="113"/>
      <c r="CD199" s="113"/>
      <c r="CE199" s="113"/>
      <c r="CF199" s="113"/>
      <c r="CG199" s="113"/>
      <c r="CH199" s="113"/>
      <c r="CI199" s="113"/>
      <c r="CJ199" s="113"/>
      <c r="CK199" s="113"/>
      <c r="CL199" s="113"/>
      <c r="CM199" s="113"/>
      <c r="CN199" s="113"/>
      <c r="CO199" s="113"/>
      <c r="CP199" s="113"/>
      <c r="CQ199" s="113"/>
      <c r="CR199" s="113"/>
      <c r="CS199" s="113"/>
      <c r="CT199" s="113"/>
      <c r="CU199" s="113"/>
      <c r="CV199" s="113"/>
      <c r="CW199" s="113"/>
      <c r="CX199" s="113"/>
      <c r="CY199" s="113"/>
      <c r="CZ199" s="113"/>
      <c r="DA199" s="113"/>
      <c r="DB199" s="113"/>
      <c r="DC199" s="113"/>
      <c r="DD199" s="113"/>
      <c r="DE199" s="113"/>
      <c r="DF199" s="113"/>
      <c r="DG199" s="113"/>
      <c r="DH199" s="113"/>
      <c r="DI199" s="113"/>
      <c r="DJ199" s="113"/>
      <c r="DK199" s="113"/>
      <c r="DL199" s="113"/>
      <c r="DM199" s="113"/>
      <c r="DN199" s="113"/>
      <c r="DO199" s="113"/>
      <c r="DP199" s="113"/>
      <c r="DQ199" s="113"/>
      <c r="DR199" s="113"/>
      <c r="DS199" s="113"/>
      <c r="DT199" s="113"/>
      <c r="DU199" s="113"/>
      <c r="DV199" s="113"/>
      <c r="DW199" s="113"/>
      <c r="DX199" s="113"/>
      <c r="DY199" s="113"/>
      <c r="DZ199" s="113"/>
      <c r="EA199" s="113"/>
      <c r="EB199" s="113"/>
      <c r="EC199" s="113"/>
      <c r="ED199" s="113"/>
      <c r="EE199" s="113"/>
    </row>
    <row r="200" ht="19.5" customHeight="1">
      <c r="A200" s="84" t="str">
        <f>IF(Roster!$A$198&lt;&gt;"",Roster!$A$198,"")</f>
        <v/>
      </c>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c r="AX200" s="113"/>
      <c r="AY200" s="113"/>
      <c r="AZ200" s="113"/>
      <c r="BA200" s="113"/>
      <c r="BB200" s="113"/>
      <c r="BC200" s="113"/>
      <c r="BD200" s="113"/>
      <c r="BE200" s="113"/>
      <c r="BF200" s="113"/>
      <c r="BG200" s="113"/>
      <c r="BH200" s="113"/>
      <c r="BI200" s="113"/>
      <c r="BJ200" s="113"/>
      <c r="BK200" s="113"/>
      <c r="BL200" s="113"/>
      <c r="BM200" s="113"/>
      <c r="BN200" s="113"/>
      <c r="BO200" s="113"/>
      <c r="BP200" s="113"/>
      <c r="BQ200" s="113"/>
      <c r="BR200" s="113"/>
      <c r="BS200" s="113"/>
      <c r="BT200" s="113"/>
      <c r="BU200" s="113"/>
      <c r="BV200" s="113"/>
      <c r="BW200" s="113"/>
      <c r="BX200" s="113"/>
      <c r="BY200" s="113"/>
      <c r="BZ200" s="113"/>
      <c r="CA200" s="113"/>
      <c r="CB200" s="113"/>
      <c r="CC200" s="113"/>
      <c r="CD200" s="113"/>
      <c r="CE200" s="113"/>
      <c r="CF200" s="113"/>
      <c r="CG200" s="113"/>
      <c r="CH200" s="113"/>
      <c r="CI200" s="113"/>
      <c r="CJ200" s="113"/>
      <c r="CK200" s="113"/>
      <c r="CL200" s="113"/>
      <c r="CM200" s="113"/>
      <c r="CN200" s="113"/>
      <c r="CO200" s="113"/>
      <c r="CP200" s="113"/>
      <c r="CQ200" s="113"/>
      <c r="CR200" s="113"/>
      <c r="CS200" s="113"/>
      <c r="CT200" s="113"/>
      <c r="CU200" s="113"/>
      <c r="CV200" s="113"/>
      <c r="CW200" s="113"/>
      <c r="CX200" s="113"/>
      <c r="CY200" s="113"/>
      <c r="CZ200" s="113"/>
      <c r="DA200" s="113"/>
      <c r="DB200" s="113"/>
      <c r="DC200" s="113"/>
      <c r="DD200" s="113"/>
      <c r="DE200" s="113"/>
      <c r="DF200" s="113"/>
      <c r="DG200" s="113"/>
      <c r="DH200" s="113"/>
      <c r="DI200" s="113"/>
      <c r="DJ200" s="113"/>
      <c r="DK200" s="113"/>
      <c r="DL200" s="113"/>
      <c r="DM200" s="113"/>
      <c r="DN200" s="113"/>
      <c r="DO200" s="113"/>
      <c r="DP200" s="113"/>
      <c r="DQ200" s="113"/>
      <c r="DR200" s="113"/>
      <c r="DS200" s="113"/>
      <c r="DT200" s="113"/>
      <c r="DU200" s="113"/>
      <c r="DV200" s="113"/>
      <c r="DW200" s="113"/>
      <c r="DX200" s="113"/>
      <c r="DY200" s="113"/>
      <c r="DZ200" s="113"/>
      <c r="EA200" s="113"/>
      <c r="EB200" s="113"/>
      <c r="EC200" s="113"/>
      <c r="ED200" s="113"/>
      <c r="EE200" s="113"/>
    </row>
    <row r="201" ht="19.5" customHeight="1">
      <c r="A201" s="84" t="str">
        <f>IF(Roster!$A$199&lt;&gt;"",Roster!$A$199,"")</f>
        <v/>
      </c>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3"/>
      <c r="AY201" s="113"/>
      <c r="AZ201" s="113"/>
      <c r="BA201" s="113"/>
      <c r="BB201" s="113"/>
      <c r="BC201" s="113"/>
      <c r="BD201" s="113"/>
      <c r="BE201" s="113"/>
      <c r="BF201" s="113"/>
      <c r="BG201" s="113"/>
      <c r="BH201" s="113"/>
      <c r="BI201" s="113"/>
      <c r="BJ201" s="113"/>
      <c r="BK201" s="113"/>
      <c r="BL201" s="113"/>
      <c r="BM201" s="113"/>
      <c r="BN201" s="113"/>
      <c r="BO201" s="113"/>
      <c r="BP201" s="113"/>
      <c r="BQ201" s="113"/>
      <c r="BR201" s="113"/>
      <c r="BS201" s="113"/>
      <c r="BT201" s="113"/>
      <c r="BU201" s="113"/>
      <c r="BV201" s="113"/>
      <c r="BW201" s="113"/>
      <c r="BX201" s="113"/>
      <c r="BY201" s="113"/>
      <c r="BZ201" s="113"/>
      <c r="CA201" s="113"/>
      <c r="CB201" s="113"/>
      <c r="CC201" s="113"/>
      <c r="CD201" s="113"/>
      <c r="CE201" s="113"/>
      <c r="CF201" s="113"/>
      <c r="CG201" s="113"/>
      <c r="CH201" s="113"/>
      <c r="CI201" s="113"/>
      <c r="CJ201" s="113"/>
      <c r="CK201" s="113"/>
      <c r="CL201" s="113"/>
      <c r="CM201" s="113"/>
      <c r="CN201" s="113"/>
      <c r="CO201" s="113"/>
      <c r="CP201" s="113"/>
      <c r="CQ201" s="113"/>
      <c r="CR201" s="113"/>
      <c r="CS201" s="113"/>
      <c r="CT201" s="113"/>
      <c r="CU201" s="113"/>
      <c r="CV201" s="113"/>
      <c r="CW201" s="113"/>
      <c r="CX201" s="113"/>
      <c r="CY201" s="113"/>
      <c r="CZ201" s="113"/>
      <c r="DA201" s="113"/>
      <c r="DB201" s="113"/>
      <c r="DC201" s="113"/>
      <c r="DD201" s="113"/>
      <c r="DE201" s="113"/>
      <c r="DF201" s="113"/>
      <c r="DG201" s="113"/>
      <c r="DH201" s="113"/>
      <c r="DI201" s="113"/>
      <c r="DJ201" s="113"/>
      <c r="DK201" s="113"/>
      <c r="DL201" s="113"/>
      <c r="DM201" s="113"/>
      <c r="DN201" s="113"/>
      <c r="DO201" s="113"/>
      <c r="DP201" s="113"/>
      <c r="DQ201" s="113"/>
      <c r="DR201" s="113"/>
      <c r="DS201" s="113"/>
      <c r="DT201" s="113"/>
      <c r="DU201" s="113"/>
      <c r="DV201" s="113"/>
      <c r="DW201" s="113"/>
      <c r="DX201" s="113"/>
      <c r="DY201" s="113"/>
      <c r="DZ201" s="113"/>
      <c r="EA201" s="113"/>
      <c r="EB201" s="113"/>
      <c r="EC201" s="113"/>
      <c r="ED201" s="113"/>
      <c r="EE201" s="113"/>
    </row>
    <row r="202" ht="19.5" customHeight="1">
      <c r="A202" s="84" t="str">
        <f>IF(Roster!$A$200&lt;&gt;"",Roster!$A$200,"")</f>
        <v/>
      </c>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c r="AX202" s="113"/>
      <c r="AY202" s="113"/>
      <c r="AZ202" s="113"/>
      <c r="BA202" s="113"/>
      <c r="BB202" s="113"/>
      <c r="BC202" s="113"/>
      <c r="BD202" s="113"/>
      <c r="BE202" s="113"/>
      <c r="BF202" s="113"/>
      <c r="BG202" s="113"/>
      <c r="BH202" s="113"/>
      <c r="BI202" s="113"/>
      <c r="BJ202" s="113"/>
      <c r="BK202" s="113"/>
      <c r="BL202" s="113"/>
      <c r="BM202" s="113"/>
      <c r="BN202" s="113"/>
      <c r="BO202" s="113"/>
      <c r="BP202" s="113"/>
      <c r="BQ202" s="113"/>
      <c r="BR202" s="113"/>
      <c r="BS202" s="113"/>
      <c r="BT202" s="113"/>
      <c r="BU202" s="113"/>
      <c r="BV202" s="113"/>
      <c r="BW202" s="113"/>
      <c r="BX202" s="113"/>
      <c r="BY202" s="113"/>
      <c r="BZ202" s="113"/>
      <c r="CA202" s="113"/>
      <c r="CB202" s="113"/>
      <c r="CC202" s="113"/>
      <c r="CD202" s="113"/>
      <c r="CE202" s="113"/>
      <c r="CF202" s="113"/>
      <c r="CG202" s="113"/>
      <c r="CH202" s="113"/>
      <c r="CI202" s="113"/>
      <c r="CJ202" s="113"/>
      <c r="CK202" s="113"/>
      <c r="CL202" s="113"/>
      <c r="CM202" s="113"/>
      <c r="CN202" s="113"/>
      <c r="CO202" s="113"/>
      <c r="CP202" s="113"/>
      <c r="CQ202" s="113"/>
      <c r="CR202" s="113"/>
      <c r="CS202" s="113"/>
      <c r="CT202" s="113"/>
      <c r="CU202" s="113"/>
      <c r="CV202" s="113"/>
      <c r="CW202" s="113"/>
      <c r="CX202" s="113"/>
      <c r="CY202" s="113"/>
      <c r="CZ202" s="113"/>
      <c r="DA202" s="113"/>
      <c r="DB202" s="113"/>
      <c r="DC202" s="113"/>
      <c r="DD202" s="113"/>
      <c r="DE202" s="113"/>
      <c r="DF202" s="113"/>
      <c r="DG202" s="113"/>
      <c r="DH202" s="113"/>
      <c r="DI202" s="113"/>
      <c r="DJ202" s="113"/>
      <c r="DK202" s="113"/>
      <c r="DL202" s="113"/>
      <c r="DM202" s="113"/>
      <c r="DN202" s="113"/>
      <c r="DO202" s="113"/>
      <c r="DP202" s="113"/>
      <c r="DQ202" s="113"/>
      <c r="DR202" s="113"/>
      <c r="DS202" s="113"/>
      <c r="DT202" s="113"/>
      <c r="DU202" s="113"/>
      <c r="DV202" s="113"/>
      <c r="DW202" s="113"/>
      <c r="DX202" s="113"/>
      <c r="DY202" s="113"/>
      <c r="DZ202" s="113"/>
      <c r="EA202" s="113"/>
      <c r="EB202" s="113"/>
      <c r="EC202" s="113"/>
      <c r="ED202" s="113"/>
      <c r="EE202" s="113"/>
    </row>
    <row r="203" ht="19.5" customHeight="1">
      <c r="A203" s="84" t="str">
        <f>IF(Roster!$A$201&lt;&gt;"",Roster!$A$201,"")</f>
        <v/>
      </c>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3"/>
      <c r="AY203" s="113"/>
      <c r="AZ203" s="113"/>
      <c r="BA203" s="113"/>
      <c r="BB203" s="113"/>
      <c r="BC203" s="113"/>
      <c r="BD203" s="113"/>
      <c r="BE203" s="113"/>
      <c r="BF203" s="113"/>
      <c r="BG203" s="113"/>
      <c r="BH203" s="113"/>
      <c r="BI203" s="113"/>
      <c r="BJ203" s="113"/>
      <c r="BK203" s="113"/>
      <c r="BL203" s="113"/>
      <c r="BM203" s="113"/>
      <c r="BN203" s="113"/>
      <c r="BO203" s="113"/>
      <c r="BP203" s="113"/>
      <c r="BQ203" s="113"/>
      <c r="BR203" s="113"/>
      <c r="BS203" s="113"/>
      <c r="BT203" s="113"/>
      <c r="BU203" s="113"/>
      <c r="BV203" s="113"/>
      <c r="BW203" s="113"/>
      <c r="BX203" s="113"/>
      <c r="BY203" s="113"/>
      <c r="BZ203" s="113"/>
      <c r="CA203" s="113"/>
      <c r="CB203" s="113"/>
      <c r="CC203" s="113"/>
      <c r="CD203" s="113"/>
      <c r="CE203" s="113"/>
      <c r="CF203" s="113"/>
      <c r="CG203" s="113"/>
      <c r="CH203" s="113"/>
      <c r="CI203" s="113"/>
      <c r="CJ203" s="113"/>
      <c r="CK203" s="113"/>
      <c r="CL203" s="113"/>
      <c r="CM203" s="113"/>
      <c r="CN203" s="113"/>
      <c r="CO203" s="113"/>
      <c r="CP203" s="113"/>
      <c r="CQ203" s="113"/>
      <c r="CR203" s="113"/>
      <c r="CS203" s="113"/>
      <c r="CT203" s="113"/>
      <c r="CU203" s="113"/>
      <c r="CV203" s="113"/>
      <c r="CW203" s="113"/>
      <c r="CX203" s="113"/>
      <c r="CY203" s="113"/>
      <c r="CZ203" s="113"/>
      <c r="DA203" s="113"/>
      <c r="DB203" s="113"/>
      <c r="DC203" s="113"/>
      <c r="DD203" s="113"/>
      <c r="DE203" s="113"/>
      <c r="DF203" s="113"/>
      <c r="DG203" s="113"/>
      <c r="DH203" s="113"/>
      <c r="DI203" s="113"/>
      <c r="DJ203" s="113"/>
      <c r="DK203" s="113"/>
      <c r="DL203" s="113"/>
      <c r="DM203" s="113"/>
      <c r="DN203" s="113"/>
      <c r="DO203" s="113"/>
      <c r="DP203" s="113"/>
      <c r="DQ203" s="113"/>
      <c r="DR203" s="113"/>
      <c r="DS203" s="113"/>
      <c r="DT203" s="113"/>
      <c r="DU203" s="113"/>
      <c r="DV203" s="113"/>
      <c r="DW203" s="113"/>
      <c r="DX203" s="113"/>
      <c r="DY203" s="113"/>
      <c r="DZ203" s="113"/>
      <c r="EA203" s="113"/>
      <c r="EB203" s="113"/>
      <c r="EC203" s="113"/>
      <c r="ED203" s="113"/>
      <c r="EE203" s="113"/>
    </row>
    <row r="204" ht="19.5" customHeight="1">
      <c r="A204" s="84" t="str">
        <f>IF(Roster!$A$202&lt;&gt;"",Roster!$A$202,"")</f>
        <v/>
      </c>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c r="AX204" s="113"/>
      <c r="AY204" s="113"/>
      <c r="AZ204" s="113"/>
      <c r="BA204" s="113"/>
      <c r="BB204" s="113"/>
      <c r="BC204" s="113"/>
      <c r="BD204" s="113"/>
      <c r="BE204" s="113"/>
      <c r="BF204" s="113"/>
      <c r="BG204" s="113"/>
      <c r="BH204" s="113"/>
      <c r="BI204" s="113"/>
      <c r="BJ204" s="113"/>
      <c r="BK204" s="113"/>
      <c r="BL204" s="113"/>
      <c r="BM204" s="113"/>
      <c r="BN204" s="113"/>
      <c r="BO204" s="113"/>
      <c r="BP204" s="113"/>
      <c r="BQ204" s="113"/>
      <c r="BR204" s="113"/>
      <c r="BS204" s="113"/>
      <c r="BT204" s="113"/>
      <c r="BU204" s="113"/>
      <c r="BV204" s="113"/>
      <c r="BW204" s="113"/>
      <c r="BX204" s="113"/>
      <c r="BY204" s="113"/>
      <c r="BZ204" s="113"/>
      <c r="CA204" s="113"/>
      <c r="CB204" s="113"/>
      <c r="CC204" s="113"/>
      <c r="CD204" s="113"/>
      <c r="CE204" s="113"/>
      <c r="CF204" s="113"/>
      <c r="CG204" s="113"/>
      <c r="CH204" s="113"/>
      <c r="CI204" s="113"/>
      <c r="CJ204" s="113"/>
      <c r="CK204" s="113"/>
      <c r="CL204" s="113"/>
      <c r="CM204" s="113"/>
      <c r="CN204" s="113"/>
      <c r="CO204" s="113"/>
      <c r="CP204" s="113"/>
      <c r="CQ204" s="113"/>
      <c r="CR204" s="113"/>
      <c r="CS204" s="113"/>
      <c r="CT204" s="113"/>
      <c r="CU204" s="113"/>
      <c r="CV204" s="113"/>
      <c r="CW204" s="113"/>
      <c r="CX204" s="113"/>
      <c r="CY204" s="113"/>
      <c r="CZ204" s="113"/>
      <c r="DA204" s="113"/>
      <c r="DB204" s="113"/>
      <c r="DC204" s="113"/>
      <c r="DD204" s="113"/>
      <c r="DE204" s="113"/>
      <c r="DF204" s="113"/>
      <c r="DG204" s="113"/>
      <c r="DH204" s="113"/>
      <c r="DI204" s="113"/>
      <c r="DJ204" s="113"/>
      <c r="DK204" s="113"/>
      <c r="DL204" s="113"/>
      <c r="DM204" s="113"/>
      <c r="DN204" s="113"/>
      <c r="DO204" s="113"/>
      <c r="DP204" s="113"/>
      <c r="DQ204" s="113"/>
      <c r="DR204" s="113"/>
      <c r="DS204" s="113"/>
      <c r="DT204" s="113"/>
      <c r="DU204" s="113"/>
      <c r="DV204" s="113"/>
      <c r="DW204" s="113"/>
      <c r="DX204" s="113"/>
      <c r="DY204" s="113"/>
      <c r="DZ204" s="113"/>
      <c r="EA204" s="113"/>
      <c r="EB204" s="113"/>
      <c r="EC204" s="113"/>
      <c r="ED204" s="113"/>
      <c r="EE204" s="113"/>
    </row>
    <row r="205" ht="19.5" customHeight="1">
      <c r="A205" s="84" t="str">
        <f>IF(Roster!$A$203&lt;&gt;"",Roster!$A$203,"")</f>
        <v/>
      </c>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3"/>
      <c r="AY205" s="113"/>
      <c r="AZ205" s="113"/>
      <c r="BA205" s="113"/>
      <c r="BB205" s="113"/>
      <c r="BC205" s="113"/>
      <c r="BD205" s="113"/>
      <c r="BE205" s="113"/>
      <c r="BF205" s="113"/>
      <c r="BG205" s="113"/>
      <c r="BH205" s="113"/>
      <c r="BI205" s="113"/>
      <c r="BJ205" s="113"/>
      <c r="BK205" s="113"/>
      <c r="BL205" s="113"/>
      <c r="BM205" s="113"/>
      <c r="BN205" s="113"/>
      <c r="BO205" s="113"/>
      <c r="BP205" s="113"/>
      <c r="BQ205" s="113"/>
      <c r="BR205" s="113"/>
      <c r="BS205" s="113"/>
      <c r="BT205" s="113"/>
      <c r="BU205" s="113"/>
      <c r="BV205" s="113"/>
      <c r="BW205" s="113"/>
      <c r="BX205" s="113"/>
      <c r="BY205" s="113"/>
      <c r="BZ205" s="113"/>
      <c r="CA205" s="113"/>
      <c r="CB205" s="113"/>
      <c r="CC205" s="113"/>
      <c r="CD205" s="113"/>
      <c r="CE205" s="113"/>
      <c r="CF205" s="113"/>
      <c r="CG205" s="113"/>
      <c r="CH205" s="113"/>
      <c r="CI205" s="113"/>
      <c r="CJ205" s="113"/>
      <c r="CK205" s="113"/>
      <c r="CL205" s="113"/>
      <c r="CM205" s="113"/>
      <c r="CN205" s="113"/>
      <c r="CO205" s="113"/>
      <c r="CP205" s="113"/>
      <c r="CQ205" s="113"/>
      <c r="CR205" s="113"/>
      <c r="CS205" s="113"/>
      <c r="CT205" s="113"/>
      <c r="CU205" s="113"/>
      <c r="CV205" s="113"/>
      <c r="CW205" s="113"/>
      <c r="CX205" s="113"/>
      <c r="CY205" s="113"/>
      <c r="CZ205" s="113"/>
      <c r="DA205" s="113"/>
      <c r="DB205" s="113"/>
      <c r="DC205" s="113"/>
      <c r="DD205" s="113"/>
      <c r="DE205" s="113"/>
      <c r="DF205" s="113"/>
      <c r="DG205" s="113"/>
      <c r="DH205" s="113"/>
      <c r="DI205" s="113"/>
      <c r="DJ205" s="113"/>
      <c r="DK205" s="113"/>
      <c r="DL205" s="113"/>
      <c r="DM205" s="113"/>
      <c r="DN205" s="113"/>
      <c r="DO205" s="113"/>
      <c r="DP205" s="113"/>
      <c r="DQ205" s="113"/>
      <c r="DR205" s="113"/>
      <c r="DS205" s="113"/>
      <c r="DT205" s="113"/>
      <c r="DU205" s="113"/>
      <c r="DV205" s="113"/>
      <c r="DW205" s="113"/>
      <c r="DX205" s="113"/>
      <c r="DY205" s="113"/>
      <c r="DZ205" s="113"/>
      <c r="EA205" s="113"/>
      <c r="EB205" s="113"/>
      <c r="EC205" s="113"/>
      <c r="ED205" s="113"/>
      <c r="EE205" s="113"/>
    </row>
    <row r="206" ht="19.5" customHeight="1">
      <c r="A206" s="84" t="str">
        <f>IF(Roster!$A$204&lt;&gt;"",Roster!$A$204,"")</f>
        <v/>
      </c>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c r="AX206" s="113"/>
      <c r="AY206" s="113"/>
      <c r="AZ206" s="113"/>
      <c r="BA206" s="113"/>
      <c r="BB206" s="113"/>
      <c r="BC206" s="113"/>
      <c r="BD206" s="113"/>
      <c r="BE206" s="113"/>
      <c r="BF206" s="113"/>
      <c r="BG206" s="113"/>
      <c r="BH206" s="113"/>
      <c r="BI206" s="113"/>
      <c r="BJ206" s="113"/>
      <c r="BK206" s="113"/>
      <c r="BL206" s="113"/>
      <c r="BM206" s="113"/>
      <c r="BN206" s="113"/>
      <c r="BO206" s="113"/>
      <c r="BP206" s="113"/>
      <c r="BQ206" s="113"/>
      <c r="BR206" s="113"/>
      <c r="BS206" s="113"/>
      <c r="BT206" s="113"/>
      <c r="BU206" s="113"/>
      <c r="BV206" s="113"/>
      <c r="BW206" s="113"/>
      <c r="BX206" s="113"/>
      <c r="BY206" s="113"/>
      <c r="BZ206" s="113"/>
      <c r="CA206" s="113"/>
      <c r="CB206" s="113"/>
      <c r="CC206" s="113"/>
      <c r="CD206" s="113"/>
      <c r="CE206" s="113"/>
      <c r="CF206" s="113"/>
      <c r="CG206" s="113"/>
      <c r="CH206" s="113"/>
      <c r="CI206" s="113"/>
      <c r="CJ206" s="113"/>
      <c r="CK206" s="113"/>
      <c r="CL206" s="113"/>
      <c r="CM206" s="113"/>
      <c r="CN206" s="113"/>
      <c r="CO206" s="113"/>
      <c r="CP206" s="113"/>
      <c r="CQ206" s="113"/>
      <c r="CR206" s="113"/>
      <c r="CS206" s="113"/>
      <c r="CT206" s="113"/>
      <c r="CU206" s="113"/>
      <c r="CV206" s="113"/>
      <c r="CW206" s="113"/>
      <c r="CX206" s="113"/>
      <c r="CY206" s="113"/>
      <c r="CZ206" s="113"/>
      <c r="DA206" s="113"/>
      <c r="DB206" s="113"/>
      <c r="DC206" s="113"/>
      <c r="DD206" s="113"/>
      <c r="DE206" s="113"/>
      <c r="DF206" s="113"/>
      <c r="DG206" s="113"/>
      <c r="DH206" s="113"/>
      <c r="DI206" s="113"/>
      <c r="DJ206" s="113"/>
      <c r="DK206" s="113"/>
      <c r="DL206" s="113"/>
      <c r="DM206" s="113"/>
      <c r="DN206" s="113"/>
      <c r="DO206" s="113"/>
      <c r="DP206" s="113"/>
      <c r="DQ206" s="113"/>
      <c r="DR206" s="113"/>
      <c r="DS206" s="113"/>
      <c r="DT206" s="113"/>
      <c r="DU206" s="113"/>
      <c r="DV206" s="113"/>
      <c r="DW206" s="113"/>
      <c r="DX206" s="113"/>
      <c r="DY206" s="113"/>
      <c r="DZ206" s="113"/>
      <c r="EA206" s="113"/>
      <c r="EB206" s="113"/>
      <c r="EC206" s="113"/>
      <c r="ED206" s="113"/>
      <c r="EE206" s="113"/>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c r="CY207" s="5"/>
      <c r="CZ207" s="5"/>
      <c r="DA207" s="5"/>
      <c r="DB207" s="5"/>
      <c r="DC207" s="5"/>
      <c r="DD207" s="5"/>
      <c r="DE207" s="5"/>
      <c r="DF207" s="5"/>
      <c r="DG207" s="5"/>
      <c r="DH207" s="5"/>
      <c r="DI207" s="5"/>
      <c r="DJ207" s="5"/>
      <c r="DK207" s="5"/>
      <c r="DL207" s="5"/>
      <c r="DM207" s="5"/>
      <c r="DN207" s="5"/>
      <c r="DO207" s="5"/>
      <c r="DP207" s="5"/>
      <c r="DQ207" s="5"/>
      <c r="DR207" s="5"/>
      <c r="DS207" s="5"/>
      <c r="DT207" s="5"/>
      <c r="DU207" s="5"/>
      <c r="DV207" s="5"/>
      <c r="DW207" s="5"/>
      <c r="DX207" s="5"/>
      <c r="DY207" s="5"/>
      <c r="DZ207" s="5"/>
      <c r="EA207" s="5"/>
      <c r="EB207" s="5"/>
      <c r="EC207" s="5"/>
      <c r="ED207" s="5"/>
      <c r="EE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c r="DT208" s="5"/>
      <c r="DU208" s="5"/>
      <c r="DV208" s="5"/>
      <c r="DW208" s="5"/>
      <c r="DX208" s="5"/>
      <c r="DY208" s="5"/>
      <c r="DZ208" s="5"/>
      <c r="EA208" s="5"/>
      <c r="EB208" s="5"/>
      <c r="EC208" s="5"/>
      <c r="ED208" s="5"/>
      <c r="EE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c r="DT209" s="5"/>
      <c r="DU209" s="5"/>
      <c r="DV209" s="5"/>
      <c r="DW209" s="5"/>
      <c r="DX209" s="5"/>
      <c r="DY209" s="5"/>
      <c r="DZ209" s="5"/>
      <c r="EA209" s="5"/>
      <c r="EB209" s="5"/>
      <c r="EC209" s="5"/>
      <c r="ED209" s="5"/>
      <c r="EE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c r="CY210" s="5"/>
      <c r="CZ210" s="5"/>
      <c r="DA210" s="5"/>
      <c r="DB210" s="5"/>
      <c r="DC210" s="5"/>
      <c r="DD210" s="5"/>
      <c r="DE210" s="5"/>
      <c r="DF210" s="5"/>
      <c r="DG210" s="5"/>
      <c r="DH210" s="5"/>
      <c r="DI210" s="5"/>
      <c r="DJ210" s="5"/>
      <c r="DK210" s="5"/>
      <c r="DL210" s="5"/>
      <c r="DM210" s="5"/>
      <c r="DN210" s="5"/>
      <c r="DO210" s="5"/>
      <c r="DP210" s="5"/>
      <c r="DQ210" s="5"/>
      <c r="DR210" s="5"/>
      <c r="DS210" s="5"/>
      <c r="DT210" s="5"/>
      <c r="DU210" s="5"/>
      <c r="DV210" s="5"/>
      <c r="DW210" s="5"/>
      <c r="DX210" s="5"/>
      <c r="DY210" s="5"/>
      <c r="DZ210" s="5"/>
      <c r="EA210" s="5"/>
      <c r="EB210" s="5"/>
      <c r="EC210" s="5"/>
      <c r="ED210" s="5"/>
      <c r="EE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5"/>
      <c r="CM211" s="5"/>
      <c r="CN211" s="5"/>
      <c r="CO211" s="5"/>
      <c r="CP211" s="5"/>
      <c r="CQ211" s="5"/>
      <c r="CR211" s="5"/>
      <c r="CS211" s="5"/>
      <c r="CT211" s="5"/>
      <c r="CU211" s="5"/>
      <c r="CV211" s="5"/>
      <c r="CW211" s="5"/>
      <c r="CX211" s="5"/>
      <c r="CY211" s="5"/>
      <c r="CZ211" s="5"/>
      <c r="DA211" s="5"/>
      <c r="DB211" s="5"/>
      <c r="DC211" s="5"/>
      <c r="DD211" s="5"/>
      <c r="DE211" s="5"/>
      <c r="DF211" s="5"/>
      <c r="DG211" s="5"/>
      <c r="DH211" s="5"/>
      <c r="DI211" s="5"/>
      <c r="DJ211" s="5"/>
      <c r="DK211" s="5"/>
      <c r="DL211" s="5"/>
      <c r="DM211" s="5"/>
      <c r="DN211" s="5"/>
      <c r="DO211" s="5"/>
      <c r="DP211" s="5"/>
      <c r="DQ211" s="5"/>
      <c r="DR211" s="5"/>
      <c r="DS211" s="5"/>
      <c r="DT211" s="5"/>
      <c r="DU211" s="5"/>
      <c r="DV211" s="5"/>
      <c r="DW211" s="5"/>
      <c r="DX211" s="5"/>
      <c r="DY211" s="5"/>
      <c r="DZ211" s="5"/>
      <c r="EA211" s="5"/>
      <c r="EB211" s="5"/>
      <c r="EC211" s="5"/>
      <c r="ED211" s="5"/>
      <c r="EE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c r="DJ212" s="5"/>
      <c r="DK212" s="5"/>
      <c r="DL212" s="5"/>
      <c r="DM212" s="5"/>
      <c r="DN212" s="5"/>
      <c r="DO212" s="5"/>
      <c r="DP212" s="5"/>
      <c r="DQ212" s="5"/>
      <c r="DR212" s="5"/>
      <c r="DS212" s="5"/>
      <c r="DT212" s="5"/>
      <c r="DU212" s="5"/>
      <c r="DV212" s="5"/>
      <c r="DW212" s="5"/>
      <c r="DX212" s="5"/>
      <c r="DY212" s="5"/>
      <c r="DZ212" s="5"/>
      <c r="EA212" s="5"/>
      <c r="EB212" s="5"/>
      <c r="EC212" s="5"/>
      <c r="ED212" s="5"/>
      <c r="EE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5"/>
      <c r="CM213" s="5"/>
      <c r="CN213" s="5"/>
      <c r="CO213" s="5"/>
      <c r="CP213" s="5"/>
      <c r="CQ213" s="5"/>
      <c r="CR213" s="5"/>
      <c r="CS213" s="5"/>
      <c r="CT213" s="5"/>
      <c r="CU213" s="5"/>
      <c r="CV213" s="5"/>
      <c r="CW213" s="5"/>
      <c r="CX213" s="5"/>
      <c r="CY213" s="5"/>
      <c r="CZ213" s="5"/>
      <c r="DA213" s="5"/>
      <c r="DB213" s="5"/>
      <c r="DC213" s="5"/>
      <c r="DD213" s="5"/>
      <c r="DE213" s="5"/>
      <c r="DF213" s="5"/>
      <c r="DG213" s="5"/>
      <c r="DH213" s="5"/>
      <c r="DI213" s="5"/>
      <c r="DJ213" s="5"/>
      <c r="DK213" s="5"/>
      <c r="DL213" s="5"/>
      <c r="DM213" s="5"/>
      <c r="DN213" s="5"/>
      <c r="DO213" s="5"/>
      <c r="DP213" s="5"/>
      <c r="DQ213" s="5"/>
      <c r="DR213" s="5"/>
      <c r="DS213" s="5"/>
      <c r="DT213" s="5"/>
      <c r="DU213" s="5"/>
      <c r="DV213" s="5"/>
      <c r="DW213" s="5"/>
      <c r="DX213" s="5"/>
      <c r="DY213" s="5"/>
      <c r="DZ213" s="5"/>
      <c r="EA213" s="5"/>
      <c r="EB213" s="5"/>
      <c r="EC213" s="5"/>
      <c r="ED213" s="5"/>
      <c r="EE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5"/>
      <c r="CM214" s="5"/>
      <c r="CN214" s="5"/>
      <c r="CO214" s="5"/>
      <c r="CP214" s="5"/>
      <c r="CQ214" s="5"/>
      <c r="CR214" s="5"/>
      <c r="CS214" s="5"/>
      <c r="CT214" s="5"/>
      <c r="CU214" s="5"/>
      <c r="CV214" s="5"/>
      <c r="CW214" s="5"/>
      <c r="CX214" s="5"/>
      <c r="CY214" s="5"/>
      <c r="CZ214" s="5"/>
      <c r="DA214" s="5"/>
      <c r="DB214" s="5"/>
      <c r="DC214" s="5"/>
      <c r="DD214" s="5"/>
      <c r="DE214" s="5"/>
      <c r="DF214" s="5"/>
      <c r="DG214" s="5"/>
      <c r="DH214" s="5"/>
      <c r="DI214" s="5"/>
      <c r="DJ214" s="5"/>
      <c r="DK214" s="5"/>
      <c r="DL214" s="5"/>
      <c r="DM214" s="5"/>
      <c r="DN214" s="5"/>
      <c r="DO214" s="5"/>
      <c r="DP214" s="5"/>
      <c r="DQ214" s="5"/>
      <c r="DR214" s="5"/>
      <c r="DS214" s="5"/>
      <c r="DT214" s="5"/>
      <c r="DU214" s="5"/>
      <c r="DV214" s="5"/>
      <c r="DW214" s="5"/>
      <c r="DX214" s="5"/>
      <c r="DY214" s="5"/>
      <c r="DZ214" s="5"/>
      <c r="EA214" s="5"/>
      <c r="EB214" s="5"/>
      <c r="EC214" s="5"/>
      <c r="ED214" s="5"/>
      <c r="EE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c r="DT216" s="5"/>
      <c r="DU216" s="5"/>
      <c r="DV216" s="5"/>
      <c r="DW216" s="5"/>
      <c r="DX216" s="5"/>
      <c r="DY216" s="5"/>
      <c r="DZ216" s="5"/>
      <c r="EA216" s="5"/>
      <c r="EB216" s="5"/>
      <c r="EC216" s="5"/>
      <c r="ED216" s="5"/>
      <c r="EE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5"/>
      <c r="CM217" s="5"/>
      <c r="CN217" s="5"/>
      <c r="CO217" s="5"/>
      <c r="CP217" s="5"/>
      <c r="CQ217" s="5"/>
      <c r="CR217" s="5"/>
      <c r="CS217" s="5"/>
      <c r="CT217" s="5"/>
      <c r="CU217" s="5"/>
      <c r="CV217" s="5"/>
      <c r="CW217" s="5"/>
      <c r="CX217" s="5"/>
      <c r="CY217" s="5"/>
      <c r="CZ217" s="5"/>
      <c r="DA217" s="5"/>
      <c r="DB217" s="5"/>
      <c r="DC217" s="5"/>
      <c r="DD217" s="5"/>
      <c r="DE217" s="5"/>
      <c r="DF217" s="5"/>
      <c r="DG217" s="5"/>
      <c r="DH217" s="5"/>
      <c r="DI217" s="5"/>
      <c r="DJ217" s="5"/>
      <c r="DK217" s="5"/>
      <c r="DL217" s="5"/>
      <c r="DM217" s="5"/>
      <c r="DN217" s="5"/>
      <c r="DO217" s="5"/>
      <c r="DP217" s="5"/>
      <c r="DQ217" s="5"/>
      <c r="DR217" s="5"/>
      <c r="DS217" s="5"/>
      <c r="DT217" s="5"/>
      <c r="DU217" s="5"/>
      <c r="DV217" s="5"/>
      <c r="DW217" s="5"/>
      <c r="DX217" s="5"/>
      <c r="DY217" s="5"/>
      <c r="DZ217" s="5"/>
      <c r="EA217" s="5"/>
      <c r="EB217" s="5"/>
      <c r="EC217" s="5"/>
      <c r="ED217" s="5"/>
      <c r="EE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5"/>
      <c r="CM218" s="5"/>
      <c r="CN218" s="5"/>
      <c r="CO218" s="5"/>
      <c r="CP218" s="5"/>
      <c r="CQ218" s="5"/>
      <c r="CR218" s="5"/>
      <c r="CS218" s="5"/>
      <c r="CT218" s="5"/>
      <c r="CU218" s="5"/>
      <c r="CV218" s="5"/>
      <c r="CW218" s="5"/>
      <c r="CX218" s="5"/>
      <c r="CY218" s="5"/>
      <c r="CZ218" s="5"/>
      <c r="DA218" s="5"/>
      <c r="DB218" s="5"/>
      <c r="DC218" s="5"/>
      <c r="DD218" s="5"/>
      <c r="DE218" s="5"/>
      <c r="DF218" s="5"/>
      <c r="DG218" s="5"/>
      <c r="DH218" s="5"/>
      <c r="DI218" s="5"/>
      <c r="DJ218" s="5"/>
      <c r="DK218" s="5"/>
      <c r="DL218" s="5"/>
      <c r="DM218" s="5"/>
      <c r="DN218" s="5"/>
      <c r="DO218" s="5"/>
      <c r="DP218" s="5"/>
      <c r="DQ218" s="5"/>
      <c r="DR218" s="5"/>
      <c r="DS218" s="5"/>
      <c r="DT218" s="5"/>
      <c r="DU218" s="5"/>
      <c r="DV218" s="5"/>
      <c r="DW218" s="5"/>
      <c r="DX218" s="5"/>
      <c r="DY218" s="5"/>
      <c r="DZ218" s="5"/>
      <c r="EA218" s="5"/>
      <c r="EB218" s="5"/>
      <c r="EC218" s="5"/>
      <c r="ED218" s="5"/>
      <c r="EE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5"/>
      <c r="CM219" s="5"/>
      <c r="CN219" s="5"/>
      <c r="CO219" s="5"/>
      <c r="CP219" s="5"/>
      <c r="CQ219" s="5"/>
      <c r="CR219" s="5"/>
      <c r="CS219" s="5"/>
      <c r="CT219" s="5"/>
      <c r="CU219" s="5"/>
      <c r="CV219" s="5"/>
      <c r="CW219" s="5"/>
      <c r="CX219" s="5"/>
      <c r="CY219" s="5"/>
      <c r="CZ219" s="5"/>
      <c r="DA219" s="5"/>
      <c r="DB219" s="5"/>
      <c r="DC219" s="5"/>
      <c r="DD219" s="5"/>
      <c r="DE219" s="5"/>
      <c r="DF219" s="5"/>
      <c r="DG219" s="5"/>
      <c r="DH219" s="5"/>
      <c r="DI219" s="5"/>
      <c r="DJ219" s="5"/>
      <c r="DK219" s="5"/>
      <c r="DL219" s="5"/>
      <c r="DM219" s="5"/>
      <c r="DN219" s="5"/>
      <c r="DO219" s="5"/>
      <c r="DP219" s="5"/>
      <c r="DQ219" s="5"/>
      <c r="DR219" s="5"/>
      <c r="DS219" s="5"/>
      <c r="DT219" s="5"/>
      <c r="DU219" s="5"/>
      <c r="DV219" s="5"/>
      <c r="DW219" s="5"/>
      <c r="DX219" s="5"/>
      <c r="DY219" s="5"/>
      <c r="DZ219" s="5"/>
      <c r="EA219" s="5"/>
      <c r="EB219" s="5"/>
      <c r="EC219" s="5"/>
      <c r="ED219" s="5"/>
      <c r="EE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5"/>
      <c r="CM220" s="5"/>
      <c r="CN220" s="5"/>
      <c r="CO220" s="5"/>
      <c r="CP220" s="5"/>
      <c r="CQ220" s="5"/>
      <c r="CR220" s="5"/>
      <c r="CS220" s="5"/>
      <c r="CT220" s="5"/>
      <c r="CU220" s="5"/>
      <c r="CV220" s="5"/>
      <c r="CW220" s="5"/>
      <c r="CX220" s="5"/>
      <c r="CY220" s="5"/>
      <c r="CZ220" s="5"/>
      <c r="DA220" s="5"/>
      <c r="DB220" s="5"/>
      <c r="DC220" s="5"/>
      <c r="DD220" s="5"/>
      <c r="DE220" s="5"/>
      <c r="DF220" s="5"/>
      <c r="DG220" s="5"/>
      <c r="DH220" s="5"/>
      <c r="DI220" s="5"/>
      <c r="DJ220" s="5"/>
      <c r="DK220" s="5"/>
      <c r="DL220" s="5"/>
      <c r="DM220" s="5"/>
      <c r="DN220" s="5"/>
      <c r="DO220" s="5"/>
      <c r="DP220" s="5"/>
      <c r="DQ220" s="5"/>
      <c r="DR220" s="5"/>
      <c r="DS220" s="5"/>
      <c r="DT220" s="5"/>
      <c r="DU220" s="5"/>
      <c r="DV220" s="5"/>
      <c r="DW220" s="5"/>
      <c r="DX220" s="5"/>
      <c r="DY220" s="5"/>
      <c r="DZ220" s="5"/>
      <c r="EA220" s="5"/>
      <c r="EB220" s="5"/>
      <c r="EC220" s="5"/>
      <c r="ED220" s="5"/>
      <c r="EE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5"/>
      <c r="CM221" s="5"/>
      <c r="CN221" s="5"/>
      <c r="CO221" s="5"/>
      <c r="CP221" s="5"/>
      <c r="CQ221" s="5"/>
      <c r="CR221" s="5"/>
      <c r="CS221" s="5"/>
      <c r="CT221" s="5"/>
      <c r="CU221" s="5"/>
      <c r="CV221" s="5"/>
      <c r="CW221" s="5"/>
      <c r="CX221" s="5"/>
      <c r="CY221" s="5"/>
      <c r="CZ221" s="5"/>
      <c r="DA221" s="5"/>
      <c r="DB221" s="5"/>
      <c r="DC221" s="5"/>
      <c r="DD221" s="5"/>
      <c r="DE221" s="5"/>
      <c r="DF221" s="5"/>
      <c r="DG221" s="5"/>
      <c r="DH221" s="5"/>
      <c r="DI221" s="5"/>
      <c r="DJ221" s="5"/>
      <c r="DK221" s="5"/>
      <c r="DL221" s="5"/>
      <c r="DM221" s="5"/>
      <c r="DN221" s="5"/>
      <c r="DO221" s="5"/>
      <c r="DP221" s="5"/>
      <c r="DQ221" s="5"/>
      <c r="DR221" s="5"/>
      <c r="DS221" s="5"/>
      <c r="DT221" s="5"/>
      <c r="DU221" s="5"/>
      <c r="DV221" s="5"/>
      <c r="DW221" s="5"/>
      <c r="DX221" s="5"/>
      <c r="DY221" s="5"/>
      <c r="DZ221" s="5"/>
      <c r="EA221" s="5"/>
      <c r="EB221" s="5"/>
      <c r="EC221" s="5"/>
      <c r="ED221" s="5"/>
      <c r="EE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c r="DJ222" s="5"/>
      <c r="DK222" s="5"/>
      <c r="DL222" s="5"/>
      <c r="DM222" s="5"/>
      <c r="DN222" s="5"/>
      <c r="DO222" s="5"/>
      <c r="DP222" s="5"/>
      <c r="DQ222" s="5"/>
      <c r="DR222" s="5"/>
      <c r="DS222" s="5"/>
      <c r="DT222" s="5"/>
      <c r="DU222" s="5"/>
      <c r="DV222" s="5"/>
      <c r="DW222" s="5"/>
      <c r="DX222" s="5"/>
      <c r="DY222" s="5"/>
      <c r="DZ222" s="5"/>
      <c r="EA222" s="5"/>
      <c r="EB222" s="5"/>
      <c r="EC222" s="5"/>
      <c r="ED222" s="5"/>
      <c r="EE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c r="DT223" s="5"/>
      <c r="DU223" s="5"/>
      <c r="DV223" s="5"/>
      <c r="DW223" s="5"/>
      <c r="DX223" s="5"/>
      <c r="DY223" s="5"/>
      <c r="DZ223" s="5"/>
      <c r="EA223" s="5"/>
      <c r="EB223" s="5"/>
      <c r="EC223" s="5"/>
      <c r="ED223" s="5"/>
      <c r="EE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5"/>
      <c r="CM224" s="5"/>
      <c r="CN224" s="5"/>
      <c r="CO224" s="5"/>
      <c r="CP224" s="5"/>
      <c r="CQ224" s="5"/>
      <c r="CR224" s="5"/>
      <c r="CS224" s="5"/>
      <c r="CT224" s="5"/>
      <c r="CU224" s="5"/>
      <c r="CV224" s="5"/>
      <c r="CW224" s="5"/>
      <c r="CX224" s="5"/>
      <c r="CY224" s="5"/>
      <c r="CZ224" s="5"/>
      <c r="DA224" s="5"/>
      <c r="DB224" s="5"/>
      <c r="DC224" s="5"/>
      <c r="DD224" s="5"/>
      <c r="DE224" s="5"/>
      <c r="DF224" s="5"/>
      <c r="DG224" s="5"/>
      <c r="DH224" s="5"/>
      <c r="DI224" s="5"/>
      <c r="DJ224" s="5"/>
      <c r="DK224" s="5"/>
      <c r="DL224" s="5"/>
      <c r="DM224" s="5"/>
      <c r="DN224" s="5"/>
      <c r="DO224" s="5"/>
      <c r="DP224" s="5"/>
      <c r="DQ224" s="5"/>
      <c r="DR224" s="5"/>
      <c r="DS224" s="5"/>
      <c r="DT224" s="5"/>
      <c r="DU224" s="5"/>
      <c r="DV224" s="5"/>
      <c r="DW224" s="5"/>
      <c r="DX224" s="5"/>
      <c r="DY224" s="5"/>
      <c r="DZ224" s="5"/>
      <c r="EA224" s="5"/>
      <c r="EB224" s="5"/>
      <c r="EC224" s="5"/>
      <c r="ED224" s="5"/>
      <c r="EE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5"/>
      <c r="CM225" s="5"/>
      <c r="CN225" s="5"/>
      <c r="CO225" s="5"/>
      <c r="CP225" s="5"/>
      <c r="CQ225" s="5"/>
      <c r="CR225" s="5"/>
      <c r="CS225" s="5"/>
      <c r="CT225" s="5"/>
      <c r="CU225" s="5"/>
      <c r="CV225" s="5"/>
      <c r="CW225" s="5"/>
      <c r="CX225" s="5"/>
      <c r="CY225" s="5"/>
      <c r="CZ225" s="5"/>
      <c r="DA225" s="5"/>
      <c r="DB225" s="5"/>
      <c r="DC225" s="5"/>
      <c r="DD225" s="5"/>
      <c r="DE225" s="5"/>
      <c r="DF225" s="5"/>
      <c r="DG225" s="5"/>
      <c r="DH225" s="5"/>
      <c r="DI225" s="5"/>
      <c r="DJ225" s="5"/>
      <c r="DK225" s="5"/>
      <c r="DL225" s="5"/>
      <c r="DM225" s="5"/>
      <c r="DN225" s="5"/>
      <c r="DO225" s="5"/>
      <c r="DP225" s="5"/>
      <c r="DQ225" s="5"/>
      <c r="DR225" s="5"/>
      <c r="DS225" s="5"/>
      <c r="DT225" s="5"/>
      <c r="DU225" s="5"/>
      <c r="DV225" s="5"/>
      <c r="DW225" s="5"/>
      <c r="DX225" s="5"/>
      <c r="DY225" s="5"/>
      <c r="DZ225" s="5"/>
      <c r="EA225" s="5"/>
      <c r="EB225" s="5"/>
      <c r="EC225" s="5"/>
      <c r="ED225" s="5"/>
      <c r="EE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5"/>
      <c r="CM226" s="5"/>
      <c r="CN226" s="5"/>
      <c r="CO226" s="5"/>
      <c r="CP226" s="5"/>
      <c r="CQ226" s="5"/>
      <c r="CR226" s="5"/>
      <c r="CS226" s="5"/>
      <c r="CT226" s="5"/>
      <c r="CU226" s="5"/>
      <c r="CV226" s="5"/>
      <c r="CW226" s="5"/>
      <c r="CX226" s="5"/>
      <c r="CY226" s="5"/>
      <c r="CZ226" s="5"/>
      <c r="DA226" s="5"/>
      <c r="DB226" s="5"/>
      <c r="DC226" s="5"/>
      <c r="DD226" s="5"/>
      <c r="DE226" s="5"/>
      <c r="DF226" s="5"/>
      <c r="DG226" s="5"/>
      <c r="DH226" s="5"/>
      <c r="DI226" s="5"/>
      <c r="DJ226" s="5"/>
      <c r="DK226" s="5"/>
      <c r="DL226" s="5"/>
      <c r="DM226" s="5"/>
      <c r="DN226" s="5"/>
      <c r="DO226" s="5"/>
      <c r="DP226" s="5"/>
      <c r="DQ226" s="5"/>
      <c r="DR226" s="5"/>
      <c r="DS226" s="5"/>
      <c r="DT226" s="5"/>
      <c r="DU226" s="5"/>
      <c r="DV226" s="5"/>
      <c r="DW226" s="5"/>
      <c r="DX226" s="5"/>
      <c r="DY226" s="5"/>
      <c r="DZ226" s="5"/>
      <c r="EA226" s="5"/>
      <c r="EB226" s="5"/>
      <c r="EC226" s="5"/>
      <c r="ED226" s="5"/>
      <c r="EE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5"/>
      <c r="CM227" s="5"/>
      <c r="CN227" s="5"/>
      <c r="CO227" s="5"/>
      <c r="CP227" s="5"/>
      <c r="CQ227" s="5"/>
      <c r="CR227" s="5"/>
      <c r="CS227" s="5"/>
      <c r="CT227" s="5"/>
      <c r="CU227" s="5"/>
      <c r="CV227" s="5"/>
      <c r="CW227" s="5"/>
      <c r="CX227" s="5"/>
      <c r="CY227" s="5"/>
      <c r="CZ227" s="5"/>
      <c r="DA227" s="5"/>
      <c r="DB227" s="5"/>
      <c r="DC227" s="5"/>
      <c r="DD227" s="5"/>
      <c r="DE227" s="5"/>
      <c r="DF227" s="5"/>
      <c r="DG227" s="5"/>
      <c r="DH227" s="5"/>
      <c r="DI227" s="5"/>
      <c r="DJ227" s="5"/>
      <c r="DK227" s="5"/>
      <c r="DL227" s="5"/>
      <c r="DM227" s="5"/>
      <c r="DN227" s="5"/>
      <c r="DO227" s="5"/>
      <c r="DP227" s="5"/>
      <c r="DQ227" s="5"/>
      <c r="DR227" s="5"/>
      <c r="DS227" s="5"/>
      <c r="DT227" s="5"/>
      <c r="DU227" s="5"/>
      <c r="DV227" s="5"/>
      <c r="DW227" s="5"/>
      <c r="DX227" s="5"/>
      <c r="DY227" s="5"/>
      <c r="DZ227" s="5"/>
      <c r="EA227" s="5"/>
      <c r="EB227" s="5"/>
      <c r="EC227" s="5"/>
      <c r="ED227" s="5"/>
      <c r="EE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5"/>
      <c r="CM228" s="5"/>
      <c r="CN228" s="5"/>
      <c r="CO228" s="5"/>
      <c r="CP228" s="5"/>
      <c r="CQ228" s="5"/>
      <c r="CR228" s="5"/>
      <c r="CS228" s="5"/>
      <c r="CT228" s="5"/>
      <c r="CU228" s="5"/>
      <c r="CV228" s="5"/>
      <c r="CW228" s="5"/>
      <c r="CX228" s="5"/>
      <c r="CY228" s="5"/>
      <c r="CZ228" s="5"/>
      <c r="DA228" s="5"/>
      <c r="DB228" s="5"/>
      <c r="DC228" s="5"/>
      <c r="DD228" s="5"/>
      <c r="DE228" s="5"/>
      <c r="DF228" s="5"/>
      <c r="DG228" s="5"/>
      <c r="DH228" s="5"/>
      <c r="DI228" s="5"/>
      <c r="DJ228" s="5"/>
      <c r="DK228" s="5"/>
      <c r="DL228" s="5"/>
      <c r="DM228" s="5"/>
      <c r="DN228" s="5"/>
      <c r="DO228" s="5"/>
      <c r="DP228" s="5"/>
      <c r="DQ228" s="5"/>
      <c r="DR228" s="5"/>
      <c r="DS228" s="5"/>
      <c r="DT228" s="5"/>
      <c r="DU228" s="5"/>
      <c r="DV228" s="5"/>
      <c r="DW228" s="5"/>
      <c r="DX228" s="5"/>
      <c r="DY228" s="5"/>
      <c r="DZ228" s="5"/>
      <c r="EA228" s="5"/>
      <c r="EB228" s="5"/>
      <c r="EC228" s="5"/>
      <c r="ED228" s="5"/>
      <c r="EE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5"/>
      <c r="CM229" s="5"/>
      <c r="CN229" s="5"/>
      <c r="CO229" s="5"/>
      <c r="CP229" s="5"/>
      <c r="CQ229" s="5"/>
      <c r="CR229" s="5"/>
      <c r="CS229" s="5"/>
      <c r="CT229" s="5"/>
      <c r="CU229" s="5"/>
      <c r="CV229" s="5"/>
      <c r="CW229" s="5"/>
      <c r="CX229" s="5"/>
      <c r="CY229" s="5"/>
      <c r="CZ229" s="5"/>
      <c r="DA229" s="5"/>
      <c r="DB229" s="5"/>
      <c r="DC229" s="5"/>
      <c r="DD229" s="5"/>
      <c r="DE229" s="5"/>
      <c r="DF229" s="5"/>
      <c r="DG229" s="5"/>
      <c r="DH229" s="5"/>
      <c r="DI229" s="5"/>
      <c r="DJ229" s="5"/>
      <c r="DK229" s="5"/>
      <c r="DL229" s="5"/>
      <c r="DM229" s="5"/>
      <c r="DN229" s="5"/>
      <c r="DO229" s="5"/>
      <c r="DP229" s="5"/>
      <c r="DQ229" s="5"/>
      <c r="DR229" s="5"/>
      <c r="DS229" s="5"/>
      <c r="DT229" s="5"/>
      <c r="DU229" s="5"/>
      <c r="DV229" s="5"/>
      <c r="DW229" s="5"/>
      <c r="DX229" s="5"/>
      <c r="DY229" s="5"/>
      <c r="DZ229" s="5"/>
      <c r="EA229" s="5"/>
      <c r="EB229" s="5"/>
      <c r="EC229" s="5"/>
      <c r="ED229" s="5"/>
      <c r="EE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c r="DT230" s="5"/>
      <c r="DU230" s="5"/>
      <c r="DV230" s="5"/>
      <c r="DW230" s="5"/>
      <c r="DX230" s="5"/>
      <c r="DY230" s="5"/>
      <c r="DZ230" s="5"/>
      <c r="EA230" s="5"/>
      <c r="EB230" s="5"/>
      <c r="EC230" s="5"/>
      <c r="ED230" s="5"/>
      <c r="EE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c r="DJ232" s="5"/>
      <c r="DK232" s="5"/>
      <c r="DL232" s="5"/>
      <c r="DM232" s="5"/>
      <c r="DN232" s="5"/>
      <c r="DO232" s="5"/>
      <c r="DP232" s="5"/>
      <c r="DQ232" s="5"/>
      <c r="DR232" s="5"/>
      <c r="DS232" s="5"/>
      <c r="DT232" s="5"/>
      <c r="DU232" s="5"/>
      <c r="DV232" s="5"/>
      <c r="DW232" s="5"/>
      <c r="DX232" s="5"/>
      <c r="DY232" s="5"/>
      <c r="DZ232" s="5"/>
      <c r="EA232" s="5"/>
      <c r="EB232" s="5"/>
      <c r="EC232" s="5"/>
      <c r="ED232" s="5"/>
      <c r="EE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5"/>
      <c r="CM233" s="5"/>
      <c r="CN233" s="5"/>
      <c r="CO233" s="5"/>
      <c r="CP233" s="5"/>
      <c r="CQ233" s="5"/>
      <c r="CR233" s="5"/>
      <c r="CS233" s="5"/>
      <c r="CT233" s="5"/>
      <c r="CU233" s="5"/>
      <c r="CV233" s="5"/>
      <c r="CW233" s="5"/>
      <c r="CX233" s="5"/>
      <c r="CY233" s="5"/>
      <c r="CZ233" s="5"/>
      <c r="DA233" s="5"/>
      <c r="DB233" s="5"/>
      <c r="DC233" s="5"/>
      <c r="DD233" s="5"/>
      <c r="DE233" s="5"/>
      <c r="DF233" s="5"/>
      <c r="DG233" s="5"/>
      <c r="DH233" s="5"/>
      <c r="DI233" s="5"/>
      <c r="DJ233" s="5"/>
      <c r="DK233" s="5"/>
      <c r="DL233" s="5"/>
      <c r="DM233" s="5"/>
      <c r="DN233" s="5"/>
      <c r="DO233" s="5"/>
      <c r="DP233" s="5"/>
      <c r="DQ233" s="5"/>
      <c r="DR233" s="5"/>
      <c r="DS233" s="5"/>
      <c r="DT233" s="5"/>
      <c r="DU233" s="5"/>
      <c r="DV233" s="5"/>
      <c r="DW233" s="5"/>
      <c r="DX233" s="5"/>
      <c r="DY233" s="5"/>
      <c r="DZ233" s="5"/>
      <c r="EA233" s="5"/>
      <c r="EB233" s="5"/>
      <c r="EC233" s="5"/>
      <c r="ED233" s="5"/>
      <c r="EE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5"/>
      <c r="CM234" s="5"/>
      <c r="CN234" s="5"/>
      <c r="CO234" s="5"/>
      <c r="CP234" s="5"/>
      <c r="CQ234" s="5"/>
      <c r="CR234" s="5"/>
      <c r="CS234" s="5"/>
      <c r="CT234" s="5"/>
      <c r="CU234" s="5"/>
      <c r="CV234" s="5"/>
      <c r="CW234" s="5"/>
      <c r="CX234" s="5"/>
      <c r="CY234" s="5"/>
      <c r="CZ234" s="5"/>
      <c r="DA234" s="5"/>
      <c r="DB234" s="5"/>
      <c r="DC234" s="5"/>
      <c r="DD234" s="5"/>
      <c r="DE234" s="5"/>
      <c r="DF234" s="5"/>
      <c r="DG234" s="5"/>
      <c r="DH234" s="5"/>
      <c r="DI234" s="5"/>
      <c r="DJ234" s="5"/>
      <c r="DK234" s="5"/>
      <c r="DL234" s="5"/>
      <c r="DM234" s="5"/>
      <c r="DN234" s="5"/>
      <c r="DO234" s="5"/>
      <c r="DP234" s="5"/>
      <c r="DQ234" s="5"/>
      <c r="DR234" s="5"/>
      <c r="DS234" s="5"/>
      <c r="DT234" s="5"/>
      <c r="DU234" s="5"/>
      <c r="DV234" s="5"/>
      <c r="DW234" s="5"/>
      <c r="DX234" s="5"/>
      <c r="DY234" s="5"/>
      <c r="DZ234" s="5"/>
      <c r="EA234" s="5"/>
      <c r="EB234" s="5"/>
      <c r="EC234" s="5"/>
      <c r="ED234" s="5"/>
      <c r="EE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5"/>
      <c r="CM235" s="5"/>
      <c r="CN235" s="5"/>
      <c r="CO235" s="5"/>
      <c r="CP235" s="5"/>
      <c r="CQ235" s="5"/>
      <c r="CR235" s="5"/>
      <c r="CS235" s="5"/>
      <c r="CT235" s="5"/>
      <c r="CU235" s="5"/>
      <c r="CV235" s="5"/>
      <c r="CW235" s="5"/>
      <c r="CX235" s="5"/>
      <c r="CY235" s="5"/>
      <c r="CZ235" s="5"/>
      <c r="DA235" s="5"/>
      <c r="DB235" s="5"/>
      <c r="DC235" s="5"/>
      <c r="DD235" s="5"/>
      <c r="DE235" s="5"/>
      <c r="DF235" s="5"/>
      <c r="DG235" s="5"/>
      <c r="DH235" s="5"/>
      <c r="DI235" s="5"/>
      <c r="DJ235" s="5"/>
      <c r="DK235" s="5"/>
      <c r="DL235" s="5"/>
      <c r="DM235" s="5"/>
      <c r="DN235" s="5"/>
      <c r="DO235" s="5"/>
      <c r="DP235" s="5"/>
      <c r="DQ235" s="5"/>
      <c r="DR235" s="5"/>
      <c r="DS235" s="5"/>
      <c r="DT235" s="5"/>
      <c r="DU235" s="5"/>
      <c r="DV235" s="5"/>
      <c r="DW235" s="5"/>
      <c r="DX235" s="5"/>
      <c r="DY235" s="5"/>
      <c r="DZ235" s="5"/>
      <c r="EA235" s="5"/>
      <c r="EB235" s="5"/>
      <c r="EC235" s="5"/>
      <c r="ED235" s="5"/>
      <c r="EE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5"/>
      <c r="CM236" s="5"/>
      <c r="CN236" s="5"/>
      <c r="CO236" s="5"/>
      <c r="CP236" s="5"/>
      <c r="CQ236" s="5"/>
      <c r="CR236" s="5"/>
      <c r="CS236" s="5"/>
      <c r="CT236" s="5"/>
      <c r="CU236" s="5"/>
      <c r="CV236" s="5"/>
      <c r="CW236" s="5"/>
      <c r="CX236" s="5"/>
      <c r="CY236" s="5"/>
      <c r="CZ236" s="5"/>
      <c r="DA236" s="5"/>
      <c r="DB236" s="5"/>
      <c r="DC236" s="5"/>
      <c r="DD236" s="5"/>
      <c r="DE236" s="5"/>
      <c r="DF236" s="5"/>
      <c r="DG236" s="5"/>
      <c r="DH236" s="5"/>
      <c r="DI236" s="5"/>
      <c r="DJ236" s="5"/>
      <c r="DK236" s="5"/>
      <c r="DL236" s="5"/>
      <c r="DM236" s="5"/>
      <c r="DN236" s="5"/>
      <c r="DO236" s="5"/>
      <c r="DP236" s="5"/>
      <c r="DQ236" s="5"/>
      <c r="DR236" s="5"/>
      <c r="DS236" s="5"/>
      <c r="DT236" s="5"/>
      <c r="DU236" s="5"/>
      <c r="DV236" s="5"/>
      <c r="DW236" s="5"/>
      <c r="DX236" s="5"/>
      <c r="DY236" s="5"/>
      <c r="DZ236" s="5"/>
      <c r="EA236" s="5"/>
      <c r="EB236" s="5"/>
      <c r="EC236" s="5"/>
      <c r="ED236" s="5"/>
      <c r="EE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c r="DT237" s="5"/>
      <c r="DU237" s="5"/>
      <c r="DV237" s="5"/>
      <c r="DW237" s="5"/>
      <c r="DX237" s="5"/>
      <c r="DY237" s="5"/>
      <c r="DZ237" s="5"/>
      <c r="EA237" s="5"/>
      <c r="EB237" s="5"/>
      <c r="EC237" s="5"/>
      <c r="ED237" s="5"/>
      <c r="EE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5"/>
      <c r="CM238" s="5"/>
      <c r="CN238" s="5"/>
      <c r="CO238" s="5"/>
      <c r="CP238" s="5"/>
      <c r="CQ238" s="5"/>
      <c r="CR238" s="5"/>
      <c r="CS238" s="5"/>
      <c r="CT238" s="5"/>
      <c r="CU238" s="5"/>
      <c r="CV238" s="5"/>
      <c r="CW238" s="5"/>
      <c r="CX238" s="5"/>
      <c r="CY238" s="5"/>
      <c r="CZ238" s="5"/>
      <c r="DA238" s="5"/>
      <c r="DB238" s="5"/>
      <c r="DC238" s="5"/>
      <c r="DD238" s="5"/>
      <c r="DE238" s="5"/>
      <c r="DF238" s="5"/>
      <c r="DG238" s="5"/>
      <c r="DH238" s="5"/>
      <c r="DI238" s="5"/>
      <c r="DJ238" s="5"/>
      <c r="DK238" s="5"/>
      <c r="DL238" s="5"/>
      <c r="DM238" s="5"/>
      <c r="DN238" s="5"/>
      <c r="DO238" s="5"/>
      <c r="DP238" s="5"/>
      <c r="DQ238" s="5"/>
      <c r="DR238" s="5"/>
      <c r="DS238" s="5"/>
      <c r="DT238" s="5"/>
      <c r="DU238" s="5"/>
      <c r="DV238" s="5"/>
      <c r="DW238" s="5"/>
      <c r="DX238" s="5"/>
      <c r="DY238" s="5"/>
      <c r="DZ238" s="5"/>
      <c r="EA238" s="5"/>
      <c r="EB238" s="5"/>
      <c r="EC238" s="5"/>
      <c r="ED238" s="5"/>
      <c r="EE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5"/>
      <c r="CM239" s="5"/>
      <c r="CN239" s="5"/>
      <c r="CO239" s="5"/>
      <c r="CP239" s="5"/>
      <c r="CQ239" s="5"/>
      <c r="CR239" s="5"/>
      <c r="CS239" s="5"/>
      <c r="CT239" s="5"/>
      <c r="CU239" s="5"/>
      <c r="CV239" s="5"/>
      <c r="CW239" s="5"/>
      <c r="CX239" s="5"/>
      <c r="CY239" s="5"/>
      <c r="CZ239" s="5"/>
      <c r="DA239" s="5"/>
      <c r="DB239" s="5"/>
      <c r="DC239" s="5"/>
      <c r="DD239" s="5"/>
      <c r="DE239" s="5"/>
      <c r="DF239" s="5"/>
      <c r="DG239" s="5"/>
      <c r="DH239" s="5"/>
      <c r="DI239" s="5"/>
      <c r="DJ239" s="5"/>
      <c r="DK239" s="5"/>
      <c r="DL239" s="5"/>
      <c r="DM239" s="5"/>
      <c r="DN239" s="5"/>
      <c r="DO239" s="5"/>
      <c r="DP239" s="5"/>
      <c r="DQ239" s="5"/>
      <c r="DR239" s="5"/>
      <c r="DS239" s="5"/>
      <c r="DT239" s="5"/>
      <c r="DU239" s="5"/>
      <c r="DV239" s="5"/>
      <c r="DW239" s="5"/>
      <c r="DX239" s="5"/>
      <c r="DY239" s="5"/>
      <c r="DZ239" s="5"/>
      <c r="EA239" s="5"/>
      <c r="EB239" s="5"/>
      <c r="EC239" s="5"/>
      <c r="ED239" s="5"/>
      <c r="EE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5"/>
      <c r="CM240" s="5"/>
      <c r="CN240" s="5"/>
      <c r="CO240" s="5"/>
      <c r="CP240" s="5"/>
      <c r="CQ240" s="5"/>
      <c r="CR240" s="5"/>
      <c r="CS240" s="5"/>
      <c r="CT240" s="5"/>
      <c r="CU240" s="5"/>
      <c r="CV240" s="5"/>
      <c r="CW240" s="5"/>
      <c r="CX240" s="5"/>
      <c r="CY240" s="5"/>
      <c r="CZ240" s="5"/>
      <c r="DA240" s="5"/>
      <c r="DB240" s="5"/>
      <c r="DC240" s="5"/>
      <c r="DD240" s="5"/>
      <c r="DE240" s="5"/>
      <c r="DF240" s="5"/>
      <c r="DG240" s="5"/>
      <c r="DH240" s="5"/>
      <c r="DI240" s="5"/>
      <c r="DJ240" s="5"/>
      <c r="DK240" s="5"/>
      <c r="DL240" s="5"/>
      <c r="DM240" s="5"/>
      <c r="DN240" s="5"/>
      <c r="DO240" s="5"/>
      <c r="DP240" s="5"/>
      <c r="DQ240" s="5"/>
      <c r="DR240" s="5"/>
      <c r="DS240" s="5"/>
      <c r="DT240" s="5"/>
      <c r="DU240" s="5"/>
      <c r="DV240" s="5"/>
      <c r="DW240" s="5"/>
      <c r="DX240" s="5"/>
      <c r="DY240" s="5"/>
      <c r="DZ240" s="5"/>
      <c r="EA240" s="5"/>
      <c r="EB240" s="5"/>
      <c r="EC240" s="5"/>
      <c r="ED240" s="5"/>
      <c r="EE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5"/>
      <c r="CM241" s="5"/>
      <c r="CN241" s="5"/>
      <c r="CO241" s="5"/>
      <c r="CP241" s="5"/>
      <c r="CQ241" s="5"/>
      <c r="CR241" s="5"/>
      <c r="CS241" s="5"/>
      <c r="CT241" s="5"/>
      <c r="CU241" s="5"/>
      <c r="CV241" s="5"/>
      <c r="CW241" s="5"/>
      <c r="CX241" s="5"/>
      <c r="CY241" s="5"/>
      <c r="CZ241" s="5"/>
      <c r="DA241" s="5"/>
      <c r="DB241" s="5"/>
      <c r="DC241" s="5"/>
      <c r="DD241" s="5"/>
      <c r="DE241" s="5"/>
      <c r="DF241" s="5"/>
      <c r="DG241" s="5"/>
      <c r="DH241" s="5"/>
      <c r="DI241" s="5"/>
      <c r="DJ241" s="5"/>
      <c r="DK241" s="5"/>
      <c r="DL241" s="5"/>
      <c r="DM241" s="5"/>
      <c r="DN241" s="5"/>
      <c r="DO241" s="5"/>
      <c r="DP241" s="5"/>
      <c r="DQ241" s="5"/>
      <c r="DR241" s="5"/>
      <c r="DS241" s="5"/>
      <c r="DT241" s="5"/>
      <c r="DU241" s="5"/>
      <c r="DV241" s="5"/>
      <c r="DW241" s="5"/>
      <c r="DX241" s="5"/>
      <c r="DY241" s="5"/>
      <c r="DZ241" s="5"/>
      <c r="EA241" s="5"/>
      <c r="EB241" s="5"/>
      <c r="EC241" s="5"/>
      <c r="ED241" s="5"/>
      <c r="EE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5"/>
      <c r="CM242" s="5"/>
      <c r="CN242" s="5"/>
      <c r="CO242" s="5"/>
      <c r="CP242" s="5"/>
      <c r="CQ242" s="5"/>
      <c r="CR242" s="5"/>
      <c r="CS242" s="5"/>
      <c r="CT242" s="5"/>
      <c r="CU242" s="5"/>
      <c r="CV242" s="5"/>
      <c r="CW242" s="5"/>
      <c r="CX242" s="5"/>
      <c r="CY242" s="5"/>
      <c r="CZ242" s="5"/>
      <c r="DA242" s="5"/>
      <c r="DB242" s="5"/>
      <c r="DC242" s="5"/>
      <c r="DD242" s="5"/>
      <c r="DE242" s="5"/>
      <c r="DF242" s="5"/>
      <c r="DG242" s="5"/>
      <c r="DH242" s="5"/>
      <c r="DI242" s="5"/>
      <c r="DJ242" s="5"/>
      <c r="DK242" s="5"/>
      <c r="DL242" s="5"/>
      <c r="DM242" s="5"/>
      <c r="DN242" s="5"/>
      <c r="DO242" s="5"/>
      <c r="DP242" s="5"/>
      <c r="DQ242" s="5"/>
      <c r="DR242" s="5"/>
      <c r="DS242" s="5"/>
      <c r="DT242" s="5"/>
      <c r="DU242" s="5"/>
      <c r="DV242" s="5"/>
      <c r="DW242" s="5"/>
      <c r="DX242" s="5"/>
      <c r="DY242" s="5"/>
      <c r="DZ242" s="5"/>
      <c r="EA242" s="5"/>
      <c r="EB242" s="5"/>
      <c r="EC242" s="5"/>
      <c r="ED242" s="5"/>
      <c r="EE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5"/>
      <c r="CM243" s="5"/>
      <c r="CN243" s="5"/>
      <c r="CO243" s="5"/>
      <c r="CP243" s="5"/>
      <c r="CQ243" s="5"/>
      <c r="CR243" s="5"/>
      <c r="CS243" s="5"/>
      <c r="CT243" s="5"/>
      <c r="CU243" s="5"/>
      <c r="CV243" s="5"/>
      <c r="CW243" s="5"/>
      <c r="CX243" s="5"/>
      <c r="CY243" s="5"/>
      <c r="CZ243" s="5"/>
      <c r="DA243" s="5"/>
      <c r="DB243" s="5"/>
      <c r="DC243" s="5"/>
      <c r="DD243" s="5"/>
      <c r="DE243" s="5"/>
      <c r="DF243" s="5"/>
      <c r="DG243" s="5"/>
      <c r="DH243" s="5"/>
      <c r="DI243" s="5"/>
      <c r="DJ243" s="5"/>
      <c r="DK243" s="5"/>
      <c r="DL243" s="5"/>
      <c r="DM243" s="5"/>
      <c r="DN243" s="5"/>
      <c r="DO243" s="5"/>
      <c r="DP243" s="5"/>
      <c r="DQ243" s="5"/>
      <c r="DR243" s="5"/>
      <c r="DS243" s="5"/>
      <c r="DT243" s="5"/>
      <c r="DU243" s="5"/>
      <c r="DV243" s="5"/>
      <c r="DW243" s="5"/>
      <c r="DX243" s="5"/>
      <c r="DY243" s="5"/>
      <c r="DZ243" s="5"/>
      <c r="EA243" s="5"/>
      <c r="EB243" s="5"/>
      <c r="EC243" s="5"/>
      <c r="ED243" s="5"/>
      <c r="EE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c r="DJ244" s="5"/>
      <c r="DK244" s="5"/>
      <c r="DL244" s="5"/>
      <c r="DM244" s="5"/>
      <c r="DN244" s="5"/>
      <c r="DO244" s="5"/>
      <c r="DP244" s="5"/>
      <c r="DQ244" s="5"/>
      <c r="DR244" s="5"/>
      <c r="DS244" s="5"/>
      <c r="DT244" s="5"/>
      <c r="DU244" s="5"/>
      <c r="DV244" s="5"/>
      <c r="DW244" s="5"/>
      <c r="DX244" s="5"/>
      <c r="DY244" s="5"/>
      <c r="DZ244" s="5"/>
      <c r="EA244" s="5"/>
      <c r="EB244" s="5"/>
      <c r="EC244" s="5"/>
      <c r="ED244" s="5"/>
      <c r="EE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5"/>
      <c r="CM245" s="5"/>
      <c r="CN245" s="5"/>
      <c r="CO245" s="5"/>
      <c r="CP245" s="5"/>
      <c r="CQ245" s="5"/>
      <c r="CR245" s="5"/>
      <c r="CS245" s="5"/>
      <c r="CT245" s="5"/>
      <c r="CU245" s="5"/>
      <c r="CV245" s="5"/>
      <c r="CW245" s="5"/>
      <c r="CX245" s="5"/>
      <c r="CY245" s="5"/>
      <c r="CZ245" s="5"/>
      <c r="DA245" s="5"/>
      <c r="DB245" s="5"/>
      <c r="DC245" s="5"/>
      <c r="DD245" s="5"/>
      <c r="DE245" s="5"/>
      <c r="DF245" s="5"/>
      <c r="DG245" s="5"/>
      <c r="DH245" s="5"/>
      <c r="DI245" s="5"/>
      <c r="DJ245" s="5"/>
      <c r="DK245" s="5"/>
      <c r="DL245" s="5"/>
      <c r="DM245" s="5"/>
      <c r="DN245" s="5"/>
      <c r="DO245" s="5"/>
      <c r="DP245" s="5"/>
      <c r="DQ245" s="5"/>
      <c r="DR245" s="5"/>
      <c r="DS245" s="5"/>
      <c r="DT245" s="5"/>
      <c r="DU245" s="5"/>
      <c r="DV245" s="5"/>
      <c r="DW245" s="5"/>
      <c r="DX245" s="5"/>
      <c r="DY245" s="5"/>
      <c r="DZ245" s="5"/>
      <c r="EA245" s="5"/>
      <c r="EB245" s="5"/>
      <c r="EC245" s="5"/>
      <c r="ED245" s="5"/>
      <c r="EE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c r="DJ246" s="5"/>
      <c r="DK246" s="5"/>
      <c r="DL246" s="5"/>
      <c r="DM246" s="5"/>
      <c r="DN246" s="5"/>
      <c r="DO246" s="5"/>
      <c r="DP246" s="5"/>
      <c r="DQ246" s="5"/>
      <c r="DR246" s="5"/>
      <c r="DS246" s="5"/>
      <c r="DT246" s="5"/>
      <c r="DU246" s="5"/>
      <c r="DV246" s="5"/>
      <c r="DW246" s="5"/>
      <c r="DX246" s="5"/>
      <c r="DY246" s="5"/>
      <c r="DZ246" s="5"/>
      <c r="EA246" s="5"/>
      <c r="EB246" s="5"/>
      <c r="EC246" s="5"/>
      <c r="ED246" s="5"/>
      <c r="EE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5"/>
      <c r="CM248" s="5"/>
      <c r="CN248" s="5"/>
      <c r="CO248" s="5"/>
      <c r="CP248" s="5"/>
      <c r="CQ248" s="5"/>
      <c r="CR248" s="5"/>
      <c r="CS248" s="5"/>
      <c r="CT248" s="5"/>
      <c r="CU248" s="5"/>
      <c r="CV248" s="5"/>
      <c r="CW248" s="5"/>
      <c r="CX248" s="5"/>
      <c r="CY248" s="5"/>
      <c r="CZ248" s="5"/>
      <c r="DA248" s="5"/>
      <c r="DB248" s="5"/>
      <c r="DC248" s="5"/>
      <c r="DD248" s="5"/>
      <c r="DE248" s="5"/>
      <c r="DF248" s="5"/>
      <c r="DG248" s="5"/>
      <c r="DH248" s="5"/>
      <c r="DI248" s="5"/>
      <c r="DJ248" s="5"/>
      <c r="DK248" s="5"/>
      <c r="DL248" s="5"/>
      <c r="DM248" s="5"/>
      <c r="DN248" s="5"/>
      <c r="DO248" s="5"/>
      <c r="DP248" s="5"/>
      <c r="DQ248" s="5"/>
      <c r="DR248" s="5"/>
      <c r="DS248" s="5"/>
      <c r="DT248" s="5"/>
      <c r="DU248" s="5"/>
      <c r="DV248" s="5"/>
      <c r="DW248" s="5"/>
      <c r="DX248" s="5"/>
      <c r="DY248" s="5"/>
      <c r="DZ248" s="5"/>
      <c r="EA248" s="5"/>
      <c r="EB248" s="5"/>
      <c r="EC248" s="5"/>
      <c r="ED248" s="5"/>
      <c r="EE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5"/>
      <c r="CM249" s="5"/>
      <c r="CN249" s="5"/>
      <c r="CO249" s="5"/>
      <c r="CP249" s="5"/>
      <c r="CQ249" s="5"/>
      <c r="CR249" s="5"/>
      <c r="CS249" s="5"/>
      <c r="CT249" s="5"/>
      <c r="CU249" s="5"/>
      <c r="CV249" s="5"/>
      <c r="CW249" s="5"/>
      <c r="CX249" s="5"/>
      <c r="CY249" s="5"/>
      <c r="CZ249" s="5"/>
      <c r="DA249" s="5"/>
      <c r="DB249" s="5"/>
      <c r="DC249" s="5"/>
      <c r="DD249" s="5"/>
      <c r="DE249" s="5"/>
      <c r="DF249" s="5"/>
      <c r="DG249" s="5"/>
      <c r="DH249" s="5"/>
      <c r="DI249" s="5"/>
      <c r="DJ249" s="5"/>
      <c r="DK249" s="5"/>
      <c r="DL249" s="5"/>
      <c r="DM249" s="5"/>
      <c r="DN249" s="5"/>
      <c r="DO249" s="5"/>
      <c r="DP249" s="5"/>
      <c r="DQ249" s="5"/>
      <c r="DR249" s="5"/>
      <c r="DS249" s="5"/>
      <c r="DT249" s="5"/>
      <c r="DU249" s="5"/>
      <c r="DV249" s="5"/>
      <c r="DW249" s="5"/>
      <c r="DX249" s="5"/>
      <c r="DY249" s="5"/>
      <c r="DZ249" s="5"/>
      <c r="EA249" s="5"/>
      <c r="EB249" s="5"/>
      <c r="EC249" s="5"/>
      <c r="ED249" s="5"/>
      <c r="EE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c r="DJ250" s="5"/>
      <c r="DK250" s="5"/>
      <c r="DL250" s="5"/>
      <c r="DM250" s="5"/>
      <c r="DN250" s="5"/>
      <c r="DO250" s="5"/>
      <c r="DP250" s="5"/>
      <c r="DQ250" s="5"/>
      <c r="DR250" s="5"/>
      <c r="DS250" s="5"/>
      <c r="DT250" s="5"/>
      <c r="DU250" s="5"/>
      <c r="DV250" s="5"/>
      <c r="DW250" s="5"/>
      <c r="DX250" s="5"/>
      <c r="DY250" s="5"/>
      <c r="DZ250" s="5"/>
      <c r="EA250" s="5"/>
      <c r="EB250" s="5"/>
      <c r="EC250" s="5"/>
      <c r="ED250" s="5"/>
      <c r="EE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5"/>
      <c r="CM251" s="5"/>
      <c r="CN251" s="5"/>
      <c r="CO251" s="5"/>
      <c r="CP251" s="5"/>
      <c r="CQ251" s="5"/>
      <c r="CR251" s="5"/>
      <c r="CS251" s="5"/>
      <c r="CT251" s="5"/>
      <c r="CU251" s="5"/>
      <c r="CV251" s="5"/>
      <c r="CW251" s="5"/>
      <c r="CX251" s="5"/>
      <c r="CY251" s="5"/>
      <c r="CZ251" s="5"/>
      <c r="DA251" s="5"/>
      <c r="DB251" s="5"/>
      <c r="DC251" s="5"/>
      <c r="DD251" s="5"/>
      <c r="DE251" s="5"/>
      <c r="DF251" s="5"/>
      <c r="DG251" s="5"/>
      <c r="DH251" s="5"/>
      <c r="DI251" s="5"/>
      <c r="DJ251" s="5"/>
      <c r="DK251" s="5"/>
      <c r="DL251" s="5"/>
      <c r="DM251" s="5"/>
      <c r="DN251" s="5"/>
      <c r="DO251" s="5"/>
      <c r="DP251" s="5"/>
      <c r="DQ251" s="5"/>
      <c r="DR251" s="5"/>
      <c r="DS251" s="5"/>
      <c r="DT251" s="5"/>
      <c r="DU251" s="5"/>
      <c r="DV251" s="5"/>
      <c r="DW251" s="5"/>
      <c r="DX251" s="5"/>
      <c r="DY251" s="5"/>
      <c r="DZ251" s="5"/>
      <c r="EA251" s="5"/>
      <c r="EB251" s="5"/>
      <c r="EC251" s="5"/>
      <c r="ED251" s="5"/>
      <c r="EE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5"/>
      <c r="CM252" s="5"/>
      <c r="CN252" s="5"/>
      <c r="CO252" s="5"/>
      <c r="CP252" s="5"/>
      <c r="CQ252" s="5"/>
      <c r="CR252" s="5"/>
      <c r="CS252" s="5"/>
      <c r="CT252" s="5"/>
      <c r="CU252" s="5"/>
      <c r="CV252" s="5"/>
      <c r="CW252" s="5"/>
      <c r="CX252" s="5"/>
      <c r="CY252" s="5"/>
      <c r="CZ252" s="5"/>
      <c r="DA252" s="5"/>
      <c r="DB252" s="5"/>
      <c r="DC252" s="5"/>
      <c r="DD252" s="5"/>
      <c r="DE252" s="5"/>
      <c r="DF252" s="5"/>
      <c r="DG252" s="5"/>
      <c r="DH252" s="5"/>
      <c r="DI252" s="5"/>
      <c r="DJ252" s="5"/>
      <c r="DK252" s="5"/>
      <c r="DL252" s="5"/>
      <c r="DM252" s="5"/>
      <c r="DN252" s="5"/>
      <c r="DO252" s="5"/>
      <c r="DP252" s="5"/>
      <c r="DQ252" s="5"/>
      <c r="DR252" s="5"/>
      <c r="DS252" s="5"/>
      <c r="DT252" s="5"/>
      <c r="DU252" s="5"/>
      <c r="DV252" s="5"/>
      <c r="DW252" s="5"/>
      <c r="DX252" s="5"/>
      <c r="DY252" s="5"/>
      <c r="DZ252" s="5"/>
      <c r="EA252" s="5"/>
      <c r="EB252" s="5"/>
      <c r="EC252" s="5"/>
      <c r="ED252" s="5"/>
      <c r="EE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5"/>
      <c r="CM253" s="5"/>
      <c r="CN253" s="5"/>
      <c r="CO253" s="5"/>
      <c r="CP253" s="5"/>
      <c r="CQ253" s="5"/>
      <c r="CR253" s="5"/>
      <c r="CS253" s="5"/>
      <c r="CT253" s="5"/>
      <c r="CU253" s="5"/>
      <c r="CV253" s="5"/>
      <c r="CW253" s="5"/>
      <c r="CX253" s="5"/>
      <c r="CY253" s="5"/>
      <c r="CZ253" s="5"/>
      <c r="DA253" s="5"/>
      <c r="DB253" s="5"/>
      <c r="DC253" s="5"/>
      <c r="DD253" s="5"/>
      <c r="DE253" s="5"/>
      <c r="DF253" s="5"/>
      <c r="DG253" s="5"/>
      <c r="DH253" s="5"/>
      <c r="DI253" s="5"/>
      <c r="DJ253" s="5"/>
      <c r="DK253" s="5"/>
      <c r="DL253" s="5"/>
      <c r="DM253" s="5"/>
      <c r="DN253" s="5"/>
      <c r="DO253" s="5"/>
      <c r="DP253" s="5"/>
      <c r="DQ253" s="5"/>
      <c r="DR253" s="5"/>
      <c r="DS253" s="5"/>
      <c r="DT253" s="5"/>
      <c r="DU253" s="5"/>
      <c r="DV253" s="5"/>
      <c r="DW253" s="5"/>
      <c r="DX253" s="5"/>
      <c r="DY253" s="5"/>
      <c r="DZ253" s="5"/>
      <c r="EA253" s="5"/>
      <c r="EB253" s="5"/>
      <c r="EC253" s="5"/>
      <c r="ED253" s="5"/>
      <c r="EE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5"/>
      <c r="CM254" s="5"/>
      <c r="CN254" s="5"/>
      <c r="CO254" s="5"/>
      <c r="CP254" s="5"/>
      <c r="CQ254" s="5"/>
      <c r="CR254" s="5"/>
      <c r="CS254" s="5"/>
      <c r="CT254" s="5"/>
      <c r="CU254" s="5"/>
      <c r="CV254" s="5"/>
      <c r="CW254" s="5"/>
      <c r="CX254" s="5"/>
      <c r="CY254" s="5"/>
      <c r="CZ254" s="5"/>
      <c r="DA254" s="5"/>
      <c r="DB254" s="5"/>
      <c r="DC254" s="5"/>
      <c r="DD254" s="5"/>
      <c r="DE254" s="5"/>
      <c r="DF254" s="5"/>
      <c r="DG254" s="5"/>
      <c r="DH254" s="5"/>
      <c r="DI254" s="5"/>
      <c r="DJ254" s="5"/>
      <c r="DK254" s="5"/>
      <c r="DL254" s="5"/>
      <c r="DM254" s="5"/>
      <c r="DN254" s="5"/>
      <c r="DO254" s="5"/>
      <c r="DP254" s="5"/>
      <c r="DQ254" s="5"/>
      <c r="DR254" s="5"/>
      <c r="DS254" s="5"/>
      <c r="DT254" s="5"/>
      <c r="DU254" s="5"/>
      <c r="DV254" s="5"/>
      <c r="DW254" s="5"/>
      <c r="DX254" s="5"/>
      <c r="DY254" s="5"/>
      <c r="DZ254" s="5"/>
      <c r="EA254" s="5"/>
      <c r="EB254" s="5"/>
      <c r="EC254" s="5"/>
      <c r="ED254" s="5"/>
      <c r="EE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5"/>
      <c r="CM255" s="5"/>
      <c r="CN255" s="5"/>
      <c r="CO255" s="5"/>
      <c r="CP255" s="5"/>
      <c r="CQ255" s="5"/>
      <c r="CR255" s="5"/>
      <c r="CS255" s="5"/>
      <c r="CT255" s="5"/>
      <c r="CU255" s="5"/>
      <c r="CV255" s="5"/>
      <c r="CW255" s="5"/>
      <c r="CX255" s="5"/>
      <c r="CY255" s="5"/>
      <c r="CZ255" s="5"/>
      <c r="DA255" s="5"/>
      <c r="DB255" s="5"/>
      <c r="DC255" s="5"/>
      <c r="DD255" s="5"/>
      <c r="DE255" s="5"/>
      <c r="DF255" s="5"/>
      <c r="DG255" s="5"/>
      <c r="DH255" s="5"/>
      <c r="DI255" s="5"/>
      <c r="DJ255" s="5"/>
      <c r="DK255" s="5"/>
      <c r="DL255" s="5"/>
      <c r="DM255" s="5"/>
      <c r="DN255" s="5"/>
      <c r="DO255" s="5"/>
      <c r="DP255" s="5"/>
      <c r="DQ255" s="5"/>
      <c r="DR255" s="5"/>
      <c r="DS255" s="5"/>
      <c r="DT255" s="5"/>
      <c r="DU255" s="5"/>
      <c r="DV255" s="5"/>
      <c r="DW255" s="5"/>
      <c r="DX255" s="5"/>
      <c r="DY255" s="5"/>
      <c r="DZ255" s="5"/>
      <c r="EA255" s="5"/>
      <c r="EB255" s="5"/>
      <c r="EC255" s="5"/>
      <c r="ED255" s="5"/>
      <c r="EE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5"/>
      <c r="CM256" s="5"/>
      <c r="CN256" s="5"/>
      <c r="CO256" s="5"/>
      <c r="CP256" s="5"/>
      <c r="CQ256" s="5"/>
      <c r="CR256" s="5"/>
      <c r="CS256" s="5"/>
      <c r="CT256" s="5"/>
      <c r="CU256" s="5"/>
      <c r="CV256" s="5"/>
      <c r="CW256" s="5"/>
      <c r="CX256" s="5"/>
      <c r="CY256" s="5"/>
      <c r="CZ256" s="5"/>
      <c r="DA256" s="5"/>
      <c r="DB256" s="5"/>
      <c r="DC256" s="5"/>
      <c r="DD256" s="5"/>
      <c r="DE256" s="5"/>
      <c r="DF256" s="5"/>
      <c r="DG256" s="5"/>
      <c r="DH256" s="5"/>
      <c r="DI256" s="5"/>
      <c r="DJ256" s="5"/>
      <c r="DK256" s="5"/>
      <c r="DL256" s="5"/>
      <c r="DM256" s="5"/>
      <c r="DN256" s="5"/>
      <c r="DO256" s="5"/>
      <c r="DP256" s="5"/>
      <c r="DQ256" s="5"/>
      <c r="DR256" s="5"/>
      <c r="DS256" s="5"/>
      <c r="DT256" s="5"/>
      <c r="DU256" s="5"/>
      <c r="DV256" s="5"/>
      <c r="DW256" s="5"/>
      <c r="DX256" s="5"/>
      <c r="DY256" s="5"/>
      <c r="DZ256" s="5"/>
      <c r="EA256" s="5"/>
      <c r="EB256" s="5"/>
      <c r="EC256" s="5"/>
      <c r="ED256" s="5"/>
      <c r="EE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5"/>
      <c r="CM259" s="5"/>
      <c r="CN259" s="5"/>
      <c r="CO259" s="5"/>
      <c r="CP259" s="5"/>
      <c r="CQ259" s="5"/>
      <c r="CR259" s="5"/>
      <c r="CS259" s="5"/>
      <c r="CT259" s="5"/>
      <c r="CU259" s="5"/>
      <c r="CV259" s="5"/>
      <c r="CW259" s="5"/>
      <c r="CX259" s="5"/>
      <c r="CY259" s="5"/>
      <c r="CZ259" s="5"/>
      <c r="DA259" s="5"/>
      <c r="DB259" s="5"/>
      <c r="DC259" s="5"/>
      <c r="DD259" s="5"/>
      <c r="DE259" s="5"/>
      <c r="DF259" s="5"/>
      <c r="DG259" s="5"/>
      <c r="DH259" s="5"/>
      <c r="DI259" s="5"/>
      <c r="DJ259" s="5"/>
      <c r="DK259" s="5"/>
      <c r="DL259" s="5"/>
      <c r="DM259" s="5"/>
      <c r="DN259" s="5"/>
      <c r="DO259" s="5"/>
      <c r="DP259" s="5"/>
      <c r="DQ259" s="5"/>
      <c r="DR259" s="5"/>
      <c r="DS259" s="5"/>
      <c r="DT259" s="5"/>
      <c r="DU259" s="5"/>
      <c r="DV259" s="5"/>
      <c r="DW259" s="5"/>
      <c r="DX259" s="5"/>
      <c r="DY259" s="5"/>
      <c r="DZ259" s="5"/>
      <c r="EA259" s="5"/>
      <c r="EB259" s="5"/>
      <c r="EC259" s="5"/>
      <c r="ED259" s="5"/>
      <c r="EE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5"/>
      <c r="CM260" s="5"/>
      <c r="CN260" s="5"/>
      <c r="CO260" s="5"/>
      <c r="CP260" s="5"/>
      <c r="CQ260" s="5"/>
      <c r="CR260" s="5"/>
      <c r="CS260" s="5"/>
      <c r="CT260" s="5"/>
      <c r="CU260" s="5"/>
      <c r="CV260" s="5"/>
      <c r="CW260" s="5"/>
      <c r="CX260" s="5"/>
      <c r="CY260" s="5"/>
      <c r="CZ260" s="5"/>
      <c r="DA260" s="5"/>
      <c r="DB260" s="5"/>
      <c r="DC260" s="5"/>
      <c r="DD260" s="5"/>
      <c r="DE260" s="5"/>
      <c r="DF260" s="5"/>
      <c r="DG260" s="5"/>
      <c r="DH260" s="5"/>
      <c r="DI260" s="5"/>
      <c r="DJ260" s="5"/>
      <c r="DK260" s="5"/>
      <c r="DL260" s="5"/>
      <c r="DM260" s="5"/>
      <c r="DN260" s="5"/>
      <c r="DO260" s="5"/>
      <c r="DP260" s="5"/>
      <c r="DQ260" s="5"/>
      <c r="DR260" s="5"/>
      <c r="DS260" s="5"/>
      <c r="DT260" s="5"/>
      <c r="DU260" s="5"/>
      <c r="DV260" s="5"/>
      <c r="DW260" s="5"/>
      <c r="DX260" s="5"/>
      <c r="DY260" s="5"/>
      <c r="DZ260" s="5"/>
      <c r="EA260" s="5"/>
      <c r="EB260" s="5"/>
      <c r="EC260" s="5"/>
      <c r="ED260" s="5"/>
      <c r="EE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c r="DJ261" s="5"/>
      <c r="DK261" s="5"/>
      <c r="DL261" s="5"/>
      <c r="DM261" s="5"/>
      <c r="DN261" s="5"/>
      <c r="DO261" s="5"/>
      <c r="DP261" s="5"/>
      <c r="DQ261" s="5"/>
      <c r="DR261" s="5"/>
      <c r="DS261" s="5"/>
      <c r="DT261" s="5"/>
      <c r="DU261" s="5"/>
      <c r="DV261" s="5"/>
      <c r="DW261" s="5"/>
      <c r="DX261" s="5"/>
      <c r="DY261" s="5"/>
      <c r="DZ261" s="5"/>
      <c r="EA261" s="5"/>
      <c r="EB261" s="5"/>
      <c r="EC261" s="5"/>
      <c r="ED261" s="5"/>
      <c r="EE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5"/>
      <c r="CM262" s="5"/>
      <c r="CN262" s="5"/>
      <c r="CO262" s="5"/>
      <c r="CP262" s="5"/>
      <c r="CQ262" s="5"/>
      <c r="CR262" s="5"/>
      <c r="CS262" s="5"/>
      <c r="CT262" s="5"/>
      <c r="CU262" s="5"/>
      <c r="CV262" s="5"/>
      <c r="CW262" s="5"/>
      <c r="CX262" s="5"/>
      <c r="CY262" s="5"/>
      <c r="CZ262" s="5"/>
      <c r="DA262" s="5"/>
      <c r="DB262" s="5"/>
      <c r="DC262" s="5"/>
      <c r="DD262" s="5"/>
      <c r="DE262" s="5"/>
      <c r="DF262" s="5"/>
      <c r="DG262" s="5"/>
      <c r="DH262" s="5"/>
      <c r="DI262" s="5"/>
      <c r="DJ262" s="5"/>
      <c r="DK262" s="5"/>
      <c r="DL262" s="5"/>
      <c r="DM262" s="5"/>
      <c r="DN262" s="5"/>
      <c r="DO262" s="5"/>
      <c r="DP262" s="5"/>
      <c r="DQ262" s="5"/>
      <c r="DR262" s="5"/>
      <c r="DS262" s="5"/>
      <c r="DT262" s="5"/>
      <c r="DU262" s="5"/>
      <c r="DV262" s="5"/>
      <c r="DW262" s="5"/>
      <c r="DX262" s="5"/>
      <c r="DY262" s="5"/>
      <c r="DZ262" s="5"/>
      <c r="EA262" s="5"/>
      <c r="EB262" s="5"/>
      <c r="EC262" s="5"/>
      <c r="ED262" s="5"/>
      <c r="EE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5"/>
      <c r="CM263" s="5"/>
      <c r="CN263" s="5"/>
      <c r="CO263" s="5"/>
      <c r="CP263" s="5"/>
      <c r="CQ263" s="5"/>
      <c r="CR263" s="5"/>
      <c r="CS263" s="5"/>
      <c r="CT263" s="5"/>
      <c r="CU263" s="5"/>
      <c r="CV263" s="5"/>
      <c r="CW263" s="5"/>
      <c r="CX263" s="5"/>
      <c r="CY263" s="5"/>
      <c r="CZ263" s="5"/>
      <c r="DA263" s="5"/>
      <c r="DB263" s="5"/>
      <c r="DC263" s="5"/>
      <c r="DD263" s="5"/>
      <c r="DE263" s="5"/>
      <c r="DF263" s="5"/>
      <c r="DG263" s="5"/>
      <c r="DH263" s="5"/>
      <c r="DI263" s="5"/>
      <c r="DJ263" s="5"/>
      <c r="DK263" s="5"/>
      <c r="DL263" s="5"/>
      <c r="DM263" s="5"/>
      <c r="DN263" s="5"/>
      <c r="DO263" s="5"/>
      <c r="DP263" s="5"/>
      <c r="DQ263" s="5"/>
      <c r="DR263" s="5"/>
      <c r="DS263" s="5"/>
      <c r="DT263" s="5"/>
      <c r="DU263" s="5"/>
      <c r="DV263" s="5"/>
      <c r="DW263" s="5"/>
      <c r="DX263" s="5"/>
      <c r="DY263" s="5"/>
      <c r="DZ263" s="5"/>
      <c r="EA263" s="5"/>
      <c r="EB263" s="5"/>
      <c r="EC263" s="5"/>
      <c r="ED263" s="5"/>
      <c r="EE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5"/>
      <c r="CM264" s="5"/>
      <c r="CN264" s="5"/>
      <c r="CO264" s="5"/>
      <c r="CP264" s="5"/>
      <c r="CQ264" s="5"/>
      <c r="CR264" s="5"/>
      <c r="CS264" s="5"/>
      <c r="CT264" s="5"/>
      <c r="CU264" s="5"/>
      <c r="CV264" s="5"/>
      <c r="CW264" s="5"/>
      <c r="CX264" s="5"/>
      <c r="CY264" s="5"/>
      <c r="CZ264" s="5"/>
      <c r="DA264" s="5"/>
      <c r="DB264" s="5"/>
      <c r="DC264" s="5"/>
      <c r="DD264" s="5"/>
      <c r="DE264" s="5"/>
      <c r="DF264" s="5"/>
      <c r="DG264" s="5"/>
      <c r="DH264" s="5"/>
      <c r="DI264" s="5"/>
      <c r="DJ264" s="5"/>
      <c r="DK264" s="5"/>
      <c r="DL264" s="5"/>
      <c r="DM264" s="5"/>
      <c r="DN264" s="5"/>
      <c r="DO264" s="5"/>
      <c r="DP264" s="5"/>
      <c r="DQ264" s="5"/>
      <c r="DR264" s="5"/>
      <c r="DS264" s="5"/>
      <c r="DT264" s="5"/>
      <c r="DU264" s="5"/>
      <c r="DV264" s="5"/>
      <c r="DW264" s="5"/>
      <c r="DX264" s="5"/>
      <c r="DY264" s="5"/>
      <c r="DZ264" s="5"/>
      <c r="EA264" s="5"/>
      <c r="EB264" s="5"/>
      <c r="EC264" s="5"/>
      <c r="ED264" s="5"/>
      <c r="EE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5"/>
      <c r="CM265" s="5"/>
      <c r="CN265" s="5"/>
      <c r="CO265" s="5"/>
      <c r="CP265" s="5"/>
      <c r="CQ265" s="5"/>
      <c r="CR265" s="5"/>
      <c r="CS265" s="5"/>
      <c r="CT265" s="5"/>
      <c r="CU265" s="5"/>
      <c r="CV265" s="5"/>
      <c r="CW265" s="5"/>
      <c r="CX265" s="5"/>
      <c r="CY265" s="5"/>
      <c r="CZ265" s="5"/>
      <c r="DA265" s="5"/>
      <c r="DB265" s="5"/>
      <c r="DC265" s="5"/>
      <c r="DD265" s="5"/>
      <c r="DE265" s="5"/>
      <c r="DF265" s="5"/>
      <c r="DG265" s="5"/>
      <c r="DH265" s="5"/>
      <c r="DI265" s="5"/>
      <c r="DJ265" s="5"/>
      <c r="DK265" s="5"/>
      <c r="DL265" s="5"/>
      <c r="DM265" s="5"/>
      <c r="DN265" s="5"/>
      <c r="DO265" s="5"/>
      <c r="DP265" s="5"/>
      <c r="DQ265" s="5"/>
      <c r="DR265" s="5"/>
      <c r="DS265" s="5"/>
      <c r="DT265" s="5"/>
      <c r="DU265" s="5"/>
      <c r="DV265" s="5"/>
      <c r="DW265" s="5"/>
      <c r="DX265" s="5"/>
      <c r="DY265" s="5"/>
      <c r="DZ265" s="5"/>
      <c r="EA265" s="5"/>
      <c r="EB265" s="5"/>
      <c r="EC265" s="5"/>
      <c r="ED265" s="5"/>
      <c r="EE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5"/>
      <c r="CM266" s="5"/>
      <c r="CN266" s="5"/>
      <c r="CO266" s="5"/>
      <c r="CP266" s="5"/>
      <c r="CQ266" s="5"/>
      <c r="CR266" s="5"/>
      <c r="CS266" s="5"/>
      <c r="CT266" s="5"/>
      <c r="CU266" s="5"/>
      <c r="CV266" s="5"/>
      <c r="CW266" s="5"/>
      <c r="CX266" s="5"/>
      <c r="CY266" s="5"/>
      <c r="CZ266" s="5"/>
      <c r="DA266" s="5"/>
      <c r="DB266" s="5"/>
      <c r="DC266" s="5"/>
      <c r="DD266" s="5"/>
      <c r="DE266" s="5"/>
      <c r="DF266" s="5"/>
      <c r="DG266" s="5"/>
      <c r="DH266" s="5"/>
      <c r="DI266" s="5"/>
      <c r="DJ266" s="5"/>
      <c r="DK266" s="5"/>
      <c r="DL266" s="5"/>
      <c r="DM266" s="5"/>
      <c r="DN266" s="5"/>
      <c r="DO266" s="5"/>
      <c r="DP266" s="5"/>
      <c r="DQ266" s="5"/>
      <c r="DR266" s="5"/>
      <c r="DS266" s="5"/>
      <c r="DT266" s="5"/>
      <c r="DU266" s="5"/>
      <c r="DV266" s="5"/>
      <c r="DW266" s="5"/>
      <c r="DX266" s="5"/>
      <c r="DY266" s="5"/>
      <c r="DZ266" s="5"/>
      <c r="EA266" s="5"/>
      <c r="EB266" s="5"/>
      <c r="EC266" s="5"/>
      <c r="ED266" s="5"/>
      <c r="EE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5"/>
      <c r="CM267" s="5"/>
      <c r="CN267" s="5"/>
      <c r="CO267" s="5"/>
      <c r="CP267" s="5"/>
      <c r="CQ267" s="5"/>
      <c r="CR267" s="5"/>
      <c r="CS267" s="5"/>
      <c r="CT267" s="5"/>
      <c r="CU267" s="5"/>
      <c r="CV267" s="5"/>
      <c r="CW267" s="5"/>
      <c r="CX267" s="5"/>
      <c r="CY267" s="5"/>
      <c r="CZ267" s="5"/>
      <c r="DA267" s="5"/>
      <c r="DB267" s="5"/>
      <c r="DC267" s="5"/>
      <c r="DD267" s="5"/>
      <c r="DE267" s="5"/>
      <c r="DF267" s="5"/>
      <c r="DG267" s="5"/>
      <c r="DH267" s="5"/>
      <c r="DI267" s="5"/>
      <c r="DJ267" s="5"/>
      <c r="DK267" s="5"/>
      <c r="DL267" s="5"/>
      <c r="DM267" s="5"/>
      <c r="DN267" s="5"/>
      <c r="DO267" s="5"/>
      <c r="DP267" s="5"/>
      <c r="DQ267" s="5"/>
      <c r="DR267" s="5"/>
      <c r="DS267" s="5"/>
      <c r="DT267" s="5"/>
      <c r="DU267" s="5"/>
      <c r="DV267" s="5"/>
      <c r="DW267" s="5"/>
      <c r="DX267" s="5"/>
      <c r="DY267" s="5"/>
      <c r="DZ267" s="5"/>
      <c r="EA267" s="5"/>
      <c r="EB267" s="5"/>
      <c r="EC267" s="5"/>
      <c r="ED267" s="5"/>
      <c r="EE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5"/>
      <c r="CM269" s="5"/>
      <c r="CN269" s="5"/>
      <c r="CO269" s="5"/>
      <c r="CP269" s="5"/>
      <c r="CQ269" s="5"/>
      <c r="CR269" s="5"/>
      <c r="CS269" s="5"/>
      <c r="CT269" s="5"/>
      <c r="CU269" s="5"/>
      <c r="CV269" s="5"/>
      <c r="CW269" s="5"/>
      <c r="CX269" s="5"/>
      <c r="CY269" s="5"/>
      <c r="CZ269" s="5"/>
      <c r="DA269" s="5"/>
      <c r="DB269" s="5"/>
      <c r="DC269" s="5"/>
      <c r="DD269" s="5"/>
      <c r="DE269" s="5"/>
      <c r="DF269" s="5"/>
      <c r="DG269" s="5"/>
      <c r="DH269" s="5"/>
      <c r="DI269" s="5"/>
      <c r="DJ269" s="5"/>
      <c r="DK269" s="5"/>
      <c r="DL269" s="5"/>
      <c r="DM269" s="5"/>
      <c r="DN269" s="5"/>
      <c r="DO269" s="5"/>
      <c r="DP269" s="5"/>
      <c r="DQ269" s="5"/>
      <c r="DR269" s="5"/>
      <c r="DS269" s="5"/>
      <c r="DT269" s="5"/>
      <c r="DU269" s="5"/>
      <c r="DV269" s="5"/>
      <c r="DW269" s="5"/>
      <c r="DX269" s="5"/>
      <c r="DY269" s="5"/>
      <c r="DZ269" s="5"/>
      <c r="EA269" s="5"/>
      <c r="EB269" s="5"/>
      <c r="EC269" s="5"/>
      <c r="ED269" s="5"/>
      <c r="EE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5"/>
      <c r="CM270" s="5"/>
      <c r="CN270" s="5"/>
      <c r="CO270" s="5"/>
      <c r="CP270" s="5"/>
      <c r="CQ270" s="5"/>
      <c r="CR270" s="5"/>
      <c r="CS270" s="5"/>
      <c r="CT270" s="5"/>
      <c r="CU270" s="5"/>
      <c r="CV270" s="5"/>
      <c r="CW270" s="5"/>
      <c r="CX270" s="5"/>
      <c r="CY270" s="5"/>
      <c r="CZ270" s="5"/>
      <c r="DA270" s="5"/>
      <c r="DB270" s="5"/>
      <c r="DC270" s="5"/>
      <c r="DD270" s="5"/>
      <c r="DE270" s="5"/>
      <c r="DF270" s="5"/>
      <c r="DG270" s="5"/>
      <c r="DH270" s="5"/>
      <c r="DI270" s="5"/>
      <c r="DJ270" s="5"/>
      <c r="DK270" s="5"/>
      <c r="DL270" s="5"/>
      <c r="DM270" s="5"/>
      <c r="DN270" s="5"/>
      <c r="DO270" s="5"/>
      <c r="DP270" s="5"/>
      <c r="DQ270" s="5"/>
      <c r="DR270" s="5"/>
      <c r="DS270" s="5"/>
      <c r="DT270" s="5"/>
      <c r="DU270" s="5"/>
      <c r="DV270" s="5"/>
      <c r="DW270" s="5"/>
      <c r="DX270" s="5"/>
      <c r="DY270" s="5"/>
      <c r="DZ270" s="5"/>
      <c r="EA270" s="5"/>
      <c r="EB270" s="5"/>
      <c r="EC270" s="5"/>
      <c r="ED270" s="5"/>
      <c r="EE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5"/>
      <c r="CM271" s="5"/>
      <c r="CN271" s="5"/>
      <c r="CO271" s="5"/>
      <c r="CP271" s="5"/>
      <c r="CQ271" s="5"/>
      <c r="CR271" s="5"/>
      <c r="CS271" s="5"/>
      <c r="CT271" s="5"/>
      <c r="CU271" s="5"/>
      <c r="CV271" s="5"/>
      <c r="CW271" s="5"/>
      <c r="CX271" s="5"/>
      <c r="CY271" s="5"/>
      <c r="CZ271" s="5"/>
      <c r="DA271" s="5"/>
      <c r="DB271" s="5"/>
      <c r="DC271" s="5"/>
      <c r="DD271" s="5"/>
      <c r="DE271" s="5"/>
      <c r="DF271" s="5"/>
      <c r="DG271" s="5"/>
      <c r="DH271" s="5"/>
      <c r="DI271" s="5"/>
      <c r="DJ271" s="5"/>
      <c r="DK271" s="5"/>
      <c r="DL271" s="5"/>
      <c r="DM271" s="5"/>
      <c r="DN271" s="5"/>
      <c r="DO271" s="5"/>
      <c r="DP271" s="5"/>
      <c r="DQ271" s="5"/>
      <c r="DR271" s="5"/>
      <c r="DS271" s="5"/>
      <c r="DT271" s="5"/>
      <c r="DU271" s="5"/>
      <c r="DV271" s="5"/>
      <c r="DW271" s="5"/>
      <c r="DX271" s="5"/>
      <c r="DY271" s="5"/>
      <c r="DZ271" s="5"/>
      <c r="EA271" s="5"/>
      <c r="EB271" s="5"/>
      <c r="EC271" s="5"/>
      <c r="ED271" s="5"/>
      <c r="EE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5"/>
      <c r="CM272" s="5"/>
      <c r="CN272" s="5"/>
      <c r="CO272" s="5"/>
      <c r="CP272" s="5"/>
      <c r="CQ272" s="5"/>
      <c r="CR272" s="5"/>
      <c r="CS272" s="5"/>
      <c r="CT272" s="5"/>
      <c r="CU272" s="5"/>
      <c r="CV272" s="5"/>
      <c r="CW272" s="5"/>
      <c r="CX272" s="5"/>
      <c r="CY272" s="5"/>
      <c r="CZ272" s="5"/>
      <c r="DA272" s="5"/>
      <c r="DB272" s="5"/>
      <c r="DC272" s="5"/>
      <c r="DD272" s="5"/>
      <c r="DE272" s="5"/>
      <c r="DF272" s="5"/>
      <c r="DG272" s="5"/>
      <c r="DH272" s="5"/>
      <c r="DI272" s="5"/>
      <c r="DJ272" s="5"/>
      <c r="DK272" s="5"/>
      <c r="DL272" s="5"/>
      <c r="DM272" s="5"/>
      <c r="DN272" s="5"/>
      <c r="DO272" s="5"/>
      <c r="DP272" s="5"/>
      <c r="DQ272" s="5"/>
      <c r="DR272" s="5"/>
      <c r="DS272" s="5"/>
      <c r="DT272" s="5"/>
      <c r="DU272" s="5"/>
      <c r="DV272" s="5"/>
      <c r="DW272" s="5"/>
      <c r="DX272" s="5"/>
      <c r="DY272" s="5"/>
      <c r="DZ272" s="5"/>
      <c r="EA272" s="5"/>
      <c r="EB272" s="5"/>
      <c r="EC272" s="5"/>
      <c r="ED272" s="5"/>
      <c r="EE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5"/>
      <c r="CM273" s="5"/>
      <c r="CN273" s="5"/>
      <c r="CO273" s="5"/>
      <c r="CP273" s="5"/>
      <c r="CQ273" s="5"/>
      <c r="CR273" s="5"/>
      <c r="CS273" s="5"/>
      <c r="CT273" s="5"/>
      <c r="CU273" s="5"/>
      <c r="CV273" s="5"/>
      <c r="CW273" s="5"/>
      <c r="CX273" s="5"/>
      <c r="CY273" s="5"/>
      <c r="CZ273" s="5"/>
      <c r="DA273" s="5"/>
      <c r="DB273" s="5"/>
      <c r="DC273" s="5"/>
      <c r="DD273" s="5"/>
      <c r="DE273" s="5"/>
      <c r="DF273" s="5"/>
      <c r="DG273" s="5"/>
      <c r="DH273" s="5"/>
      <c r="DI273" s="5"/>
      <c r="DJ273" s="5"/>
      <c r="DK273" s="5"/>
      <c r="DL273" s="5"/>
      <c r="DM273" s="5"/>
      <c r="DN273" s="5"/>
      <c r="DO273" s="5"/>
      <c r="DP273" s="5"/>
      <c r="DQ273" s="5"/>
      <c r="DR273" s="5"/>
      <c r="DS273" s="5"/>
      <c r="DT273" s="5"/>
      <c r="DU273" s="5"/>
      <c r="DV273" s="5"/>
      <c r="DW273" s="5"/>
      <c r="DX273" s="5"/>
      <c r="DY273" s="5"/>
      <c r="DZ273" s="5"/>
      <c r="EA273" s="5"/>
      <c r="EB273" s="5"/>
      <c r="EC273" s="5"/>
      <c r="ED273" s="5"/>
      <c r="EE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5"/>
      <c r="CM274" s="5"/>
      <c r="CN274" s="5"/>
      <c r="CO274" s="5"/>
      <c r="CP274" s="5"/>
      <c r="CQ274" s="5"/>
      <c r="CR274" s="5"/>
      <c r="CS274" s="5"/>
      <c r="CT274" s="5"/>
      <c r="CU274" s="5"/>
      <c r="CV274" s="5"/>
      <c r="CW274" s="5"/>
      <c r="CX274" s="5"/>
      <c r="CY274" s="5"/>
      <c r="CZ274" s="5"/>
      <c r="DA274" s="5"/>
      <c r="DB274" s="5"/>
      <c r="DC274" s="5"/>
      <c r="DD274" s="5"/>
      <c r="DE274" s="5"/>
      <c r="DF274" s="5"/>
      <c r="DG274" s="5"/>
      <c r="DH274" s="5"/>
      <c r="DI274" s="5"/>
      <c r="DJ274" s="5"/>
      <c r="DK274" s="5"/>
      <c r="DL274" s="5"/>
      <c r="DM274" s="5"/>
      <c r="DN274" s="5"/>
      <c r="DO274" s="5"/>
      <c r="DP274" s="5"/>
      <c r="DQ274" s="5"/>
      <c r="DR274" s="5"/>
      <c r="DS274" s="5"/>
      <c r="DT274" s="5"/>
      <c r="DU274" s="5"/>
      <c r="DV274" s="5"/>
      <c r="DW274" s="5"/>
      <c r="DX274" s="5"/>
      <c r="DY274" s="5"/>
      <c r="DZ274" s="5"/>
      <c r="EA274" s="5"/>
      <c r="EB274" s="5"/>
      <c r="EC274" s="5"/>
      <c r="ED274" s="5"/>
      <c r="EE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5"/>
      <c r="CM275" s="5"/>
      <c r="CN275" s="5"/>
      <c r="CO275" s="5"/>
      <c r="CP275" s="5"/>
      <c r="CQ275" s="5"/>
      <c r="CR275" s="5"/>
      <c r="CS275" s="5"/>
      <c r="CT275" s="5"/>
      <c r="CU275" s="5"/>
      <c r="CV275" s="5"/>
      <c r="CW275" s="5"/>
      <c r="CX275" s="5"/>
      <c r="CY275" s="5"/>
      <c r="CZ275" s="5"/>
      <c r="DA275" s="5"/>
      <c r="DB275" s="5"/>
      <c r="DC275" s="5"/>
      <c r="DD275" s="5"/>
      <c r="DE275" s="5"/>
      <c r="DF275" s="5"/>
      <c r="DG275" s="5"/>
      <c r="DH275" s="5"/>
      <c r="DI275" s="5"/>
      <c r="DJ275" s="5"/>
      <c r="DK275" s="5"/>
      <c r="DL275" s="5"/>
      <c r="DM275" s="5"/>
      <c r="DN275" s="5"/>
      <c r="DO275" s="5"/>
      <c r="DP275" s="5"/>
      <c r="DQ275" s="5"/>
      <c r="DR275" s="5"/>
      <c r="DS275" s="5"/>
      <c r="DT275" s="5"/>
      <c r="DU275" s="5"/>
      <c r="DV275" s="5"/>
      <c r="DW275" s="5"/>
      <c r="DX275" s="5"/>
      <c r="DY275" s="5"/>
      <c r="DZ275" s="5"/>
      <c r="EA275" s="5"/>
      <c r="EB275" s="5"/>
      <c r="EC275" s="5"/>
      <c r="ED275" s="5"/>
      <c r="EE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5"/>
      <c r="CM276" s="5"/>
      <c r="CN276" s="5"/>
      <c r="CO276" s="5"/>
      <c r="CP276" s="5"/>
      <c r="CQ276" s="5"/>
      <c r="CR276" s="5"/>
      <c r="CS276" s="5"/>
      <c r="CT276" s="5"/>
      <c r="CU276" s="5"/>
      <c r="CV276" s="5"/>
      <c r="CW276" s="5"/>
      <c r="CX276" s="5"/>
      <c r="CY276" s="5"/>
      <c r="CZ276" s="5"/>
      <c r="DA276" s="5"/>
      <c r="DB276" s="5"/>
      <c r="DC276" s="5"/>
      <c r="DD276" s="5"/>
      <c r="DE276" s="5"/>
      <c r="DF276" s="5"/>
      <c r="DG276" s="5"/>
      <c r="DH276" s="5"/>
      <c r="DI276" s="5"/>
      <c r="DJ276" s="5"/>
      <c r="DK276" s="5"/>
      <c r="DL276" s="5"/>
      <c r="DM276" s="5"/>
      <c r="DN276" s="5"/>
      <c r="DO276" s="5"/>
      <c r="DP276" s="5"/>
      <c r="DQ276" s="5"/>
      <c r="DR276" s="5"/>
      <c r="DS276" s="5"/>
      <c r="DT276" s="5"/>
      <c r="DU276" s="5"/>
      <c r="DV276" s="5"/>
      <c r="DW276" s="5"/>
      <c r="DX276" s="5"/>
      <c r="DY276" s="5"/>
      <c r="DZ276" s="5"/>
      <c r="EA276" s="5"/>
      <c r="EB276" s="5"/>
      <c r="EC276" s="5"/>
      <c r="ED276" s="5"/>
      <c r="EE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5"/>
      <c r="CM277" s="5"/>
      <c r="CN277" s="5"/>
      <c r="CO277" s="5"/>
      <c r="CP277" s="5"/>
      <c r="CQ277" s="5"/>
      <c r="CR277" s="5"/>
      <c r="CS277" s="5"/>
      <c r="CT277" s="5"/>
      <c r="CU277" s="5"/>
      <c r="CV277" s="5"/>
      <c r="CW277" s="5"/>
      <c r="CX277" s="5"/>
      <c r="CY277" s="5"/>
      <c r="CZ277" s="5"/>
      <c r="DA277" s="5"/>
      <c r="DB277" s="5"/>
      <c r="DC277" s="5"/>
      <c r="DD277" s="5"/>
      <c r="DE277" s="5"/>
      <c r="DF277" s="5"/>
      <c r="DG277" s="5"/>
      <c r="DH277" s="5"/>
      <c r="DI277" s="5"/>
      <c r="DJ277" s="5"/>
      <c r="DK277" s="5"/>
      <c r="DL277" s="5"/>
      <c r="DM277" s="5"/>
      <c r="DN277" s="5"/>
      <c r="DO277" s="5"/>
      <c r="DP277" s="5"/>
      <c r="DQ277" s="5"/>
      <c r="DR277" s="5"/>
      <c r="DS277" s="5"/>
      <c r="DT277" s="5"/>
      <c r="DU277" s="5"/>
      <c r="DV277" s="5"/>
      <c r="DW277" s="5"/>
      <c r="DX277" s="5"/>
      <c r="DY277" s="5"/>
      <c r="DZ277" s="5"/>
      <c r="EA277" s="5"/>
      <c r="EB277" s="5"/>
      <c r="EC277" s="5"/>
      <c r="ED277" s="5"/>
      <c r="EE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c r="DT279" s="5"/>
      <c r="DU279" s="5"/>
      <c r="DV279" s="5"/>
      <c r="DW279" s="5"/>
      <c r="DX279" s="5"/>
      <c r="DY279" s="5"/>
      <c r="DZ279" s="5"/>
      <c r="EA279" s="5"/>
      <c r="EB279" s="5"/>
      <c r="EC279" s="5"/>
      <c r="ED279" s="5"/>
      <c r="EE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c r="DJ280" s="5"/>
      <c r="DK280" s="5"/>
      <c r="DL280" s="5"/>
      <c r="DM280" s="5"/>
      <c r="DN280" s="5"/>
      <c r="DO280" s="5"/>
      <c r="DP280" s="5"/>
      <c r="DQ280" s="5"/>
      <c r="DR280" s="5"/>
      <c r="DS280" s="5"/>
      <c r="DT280" s="5"/>
      <c r="DU280" s="5"/>
      <c r="DV280" s="5"/>
      <c r="DW280" s="5"/>
      <c r="DX280" s="5"/>
      <c r="DY280" s="5"/>
      <c r="DZ280" s="5"/>
      <c r="EA280" s="5"/>
      <c r="EB280" s="5"/>
      <c r="EC280" s="5"/>
      <c r="ED280" s="5"/>
      <c r="EE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5"/>
      <c r="CM281" s="5"/>
      <c r="CN281" s="5"/>
      <c r="CO281" s="5"/>
      <c r="CP281" s="5"/>
      <c r="CQ281" s="5"/>
      <c r="CR281" s="5"/>
      <c r="CS281" s="5"/>
      <c r="CT281" s="5"/>
      <c r="CU281" s="5"/>
      <c r="CV281" s="5"/>
      <c r="CW281" s="5"/>
      <c r="CX281" s="5"/>
      <c r="CY281" s="5"/>
      <c r="CZ281" s="5"/>
      <c r="DA281" s="5"/>
      <c r="DB281" s="5"/>
      <c r="DC281" s="5"/>
      <c r="DD281" s="5"/>
      <c r="DE281" s="5"/>
      <c r="DF281" s="5"/>
      <c r="DG281" s="5"/>
      <c r="DH281" s="5"/>
      <c r="DI281" s="5"/>
      <c r="DJ281" s="5"/>
      <c r="DK281" s="5"/>
      <c r="DL281" s="5"/>
      <c r="DM281" s="5"/>
      <c r="DN281" s="5"/>
      <c r="DO281" s="5"/>
      <c r="DP281" s="5"/>
      <c r="DQ281" s="5"/>
      <c r="DR281" s="5"/>
      <c r="DS281" s="5"/>
      <c r="DT281" s="5"/>
      <c r="DU281" s="5"/>
      <c r="DV281" s="5"/>
      <c r="DW281" s="5"/>
      <c r="DX281" s="5"/>
      <c r="DY281" s="5"/>
      <c r="DZ281" s="5"/>
      <c r="EA281" s="5"/>
      <c r="EB281" s="5"/>
      <c r="EC281" s="5"/>
      <c r="ED281" s="5"/>
      <c r="EE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5"/>
      <c r="CM282" s="5"/>
      <c r="CN282" s="5"/>
      <c r="CO282" s="5"/>
      <c r="CP282" s="5"/>
      <c r="CQ282" s="5"/>
      <c r="CR282" s="5"/>
      <c r="CS282" s="5"/>
      <c r="CT282" s="5"/>
      <c r="CU282" s="5"/>
      <c r="CV282" s="5"/>
      <c r="CW282" s="5"/>
      <c r="CX282" s="5"/>
      <c r="CY282" s="5"/>
      <c r="CZ282" s="5"/>
      <c r="DA282" s="5"/>
      <c r="DB282" s="5"/>
      <c r="DC282" s="5"/>
      <c r="DD282" s="5"/>
      <c r="DE282" s="5"/>
      <c r="DF282" s="5"/>
      <c r="DG282" s="5"/>
      <c r="DH282" s="5"/>
      <c r="DI282" s="5"/>
      <c r="DJ282" s="5"/>
      <c r="DK282" s="5"/>
      <c r="DL282" s="5"/>
      <c r="DM282" s="5"/>
      <c r="DN282" s="5"/>
      <c r="DO282" s="5"/>
      <c r="DP282" s="5"/>
      <c r="DQ282" s="5"/>
      <c r="DR282" s="5"/>
      <c r="DS282" s="5"/>
      <c r="DT282" s="5"/>
      <c r="DU282" s="5"/>
      <c r="DV282" s="5"/>
      <c r="DW282" s="5"/>
      <c r="DX282" s="5"/>
      <c r="DY282" s="5"/>
      <c r="DZ282" s="5"/>
      <c r="EA282" s="5"/>
      <c r="EB282" s="5"/>
      <c r="EC282" s="5"/>
      <c r="ED282" s="5"/>
      <c r="EE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5"/>
      <c r="CM283" s="5"/>
      <c r="CN283" s="5"/>
      <c r="CO283" s="5"/>
      <c r="CP283" s="5"/>
      <c r="CQ283" s="5"/>
      <c r="CR283" s="5"/>
      <c r="CS283" s="5"/>
      <c r="CT283" s="5"/>
      <c r="CU283" s="5"/>
      <c r="CV283" s="5"/>
      <c r="CW283" s="5"/>
      <c r="CX283" s="5"/>
      <c r="CY283" s="5"/>
      <c r="CZ283" s="5"/>
      <c r="DA283" s="5"/>
      <c r="DB283" s="5"/>
      <c r="DC283" s="5"/>
      <c r="DD283" s="5"/>
      <c r="DE283" s="5"/>
      <c r="DF283" s="5"/>
      <c r="DG283" s="5"/>
      <c r="DH283" s="5"/>
      <c r="DI283" s="5"/>
      <c r="DJ283" s="5"/>
      <c r="DK283" s="5"/>
      <c r="DL283" s="5"/>
      <c r="DM283" s="5"/>
      <c r="DN283" s="5"/>
      <c r="DO283" s="5"/>
      <c r="DP283" s="5"/>
      <c r="DQ283" s="5"/>
      <c r="DR283" s="5"/>
      <c r="DS283" s="5"/>
      <c r="DT283" s="5"/>
      <c r="DU283" s="5"/>
      <c r="DV283" s="5"/>
      <c r="DW283" s="5"/>
      <c r="DX283" s="5"/>
      <c r="DY283" s="5"/>
      <c r="DZ283" s="5"/>
      <c r="EA283" s="5"/>
      <c r="EB283" s="5"/>
      <c r="EC283" s="5"/>
      <c r="ED283" s="5"/>
      <c r="EE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5"/>
      <c r="CM284" s="5"/>
      <c r="CN284" s="5"/>
      <c r="CO284" s="5"/>
      <c r="CP284" s="5"/>
      <c r="CQ284" s="5"/>
      <c r="CR284" s="5"/>
      <c r="CS284" s="5"/>
      <c r="CT284" s="5"/>
      <c r="CU284" s="5"/>
      <c r="CV284" s="5"/>
      <c r="CW284" s="5"/>
      <c r="CX284" s="5"/>
      <c r="CY284" s="5"/>
      <c r="CZ284" s="5"/>
      <c r="DA284" s="5"/>
      <c r="DB284" s="5"/>
      <c r="DC284" s="5"/>
      <c r="DD284" s="5"/>
      <c r="DE284" s="5"/>
      <c r="DF284" s="5"/>
      <c r="DG284" s="5"/>
      <c r="DH284" s="5"/>
      <c r="DI284" s="5"/>
      <c r="DJ284" s="5"/>
      <c r="DK284" s="5"/>
      <c r="DL284" s="5"/>
      <c r="DM284" s="5"/>
      <c r="DN284" s="5"/>
      <c r="DO284" s="5"/>
      <c r="DP284" s="5"/>
      <c r="DQ284" s="5"/>
      <c r="DR284" s="5"/>
      <c r="DS284" s="5"/>
      <c r="DT284" s="5"/>
      <c r="DU284" s="5"/>
      <c r="DV284" s="5"/>
      <c r="DW284" s="5"/>
      <c r="DX284" s="5"/>
      <c r="DY284" s="5"/>
      <c r="DZ284" s="5"/>
      <c r="EA284" s="5"/>
      <c r="EB284" s="5"/>
      <c r="EC284" s="5"/>
      <c r="ED284" s="5"/>
      <c r="EE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c r="DT285" s="5"/>
      <c r="DU285" s="5"/>
      <c r="DV285" s="5"/>
      <c r="DW285" s="5"/>
      <c r="DX285" s="5"/>
      <c r="DY285" s="5"/>
      <c r="DZ285" s="5"/>
      <c r="EA285" s="5"/>
      <c r="EB285" s="5"/>
      <c r="EC285" s="5"/>
      <c r="ED285" s="5"/>
      <c r="EE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5"/>
      <c r="CM286" s="5"/>
      <c r="CN286" s="5"/>
      <c r="CO286" s="5"/>
      <c r="CP286" s="5"/>
      <c r="CQ286" s="5"/>
      <c r="CR286" s="5"/>
      <c r="CS286" s="5"/>
      <c r="CT286" s="5"/>
      <c r="CU286" s="5"/>
      <c r="CV286" s="5"/>
      <c r="CW286" s="5"/>
      <c r="CX286" s="5"/>
      <c r="CY286" s="5"/>
      <c r="CZ286" s="5"/>
      <c r="DA286" s="5"/>
      <c r="DB286" s="5"/>
      <c r="DC286" s="5"/>
      <c r="DD286" s="5"/>
      <c r="DE286" s="5"/>
      <c r="DF286" s="5"/>
      <c r="DG286" s="5"/>
      <c r="DH286" s="5"/>
      <c r="DI286" s="5"/>
      <c r="DJ286" s="5"/>
      <c r="DK286" s="5"/>
      <c r="DL286" s="5"/>
      <c r="DM286" s="5"/>
      <c r="DN286" s="5"/>
      <c r="DO286" s="5"/>
      <c r="DP286" s="5"/>
      <c r="DQ286" s="5"/>
      <c r="DR286" s="5"/>
      <c r="DS286" s="5"/>
      <c r="DT286" s="5"/>
      <c r="DU286" s="5"/>
      <c r="DV286" s="5"/>
      <c r="DW286" s="5"/>
      <c r="DX286" s="5"/>
      <c r="DY286" s="5"/>
      <c r="DZ286" s="5"/>
      <c r="EA286" s="5"/>
      <c r="EB286" s="5"/>
      <c r="EC286" s="5"/>
      <c r="ED286" s="5"/>
      <c r="EE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5"/>
      <c r="CM288" s="5"/>
      <c r="CN288" s="5"/>
      <c r="CO288" s="5"/>
      <c r="CP288" s="5"/>
      <c r="CQ288" s="5"/>
      <c r="CR288" s="5"/>
      <c r="CS288" s="5"/>
      <c r="CT288" s="5"/>
      <c r="CU288" s="5"/>
      <c r="CV288" s="5"/>
      <c r="CW288" s="5"/>
      <c r="CX288" s="5"/>
      <c r="CY288" s="5"/>
      <c r="CZ288" s="5"/>
      <c r="DA288" s="5"/>
      <c r="DB288" s="5"/>
      <c r="DC288" s="5"/>
      <c r="DD288" s="5"/>
      <c r="DE288" s="5"/>
      <c r="DF288" s="5"/>
      <c r="DG288" s="5"/>
      <c r="DH288" s="5"/>
      <c r="DI288" s="5"/>
      <c r="DJ288" s="5"/>
      <c r="DK288" s="5"/>
      <c r="DL288" s="5"/>
      <c r="DM288" s="5"/>
      <c r="DN288" s="5"/>
      <c r="DO288" s="5"/>
      <c r="DP288" s="5"/>
      <c r="DQ288" s="5"/>
      <c r="DR288" s="5"/>
      <c r="DS288" s="5"/>
      <c r="DT288" s="5"/>
      <c r="DU288" s="5"/>
      <c r="DV288" s="5"/>
      <c r="DW288" s="5"/>
      <c r="DX288" s="5"/>
      <c r="DY288" s="5"/>
      <c r="DZ288" s="5"/>
      <c r="EA288" s="5"/>
      <c r="EB288" s="5"/>
      <c r="EC288" s="5"/>
      <c r="ED288" s="5"/>
      <c r="EE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5"/>
      <c r="CM289" s="5"/>
      <c r="CN289" s="5"/>
      <c r="CO289" s="5"/>
      <c r="CP289" s="5"/>
      <c r="CQ289" s="5"/>
      <c r="CR289" s="5"/>
      <c r="CS289" s="5"/>
      <c r="CT289" s="5"/>
      <c r="CU289" s="5"/>
      <c r="CV289" s="5"/>
      <c r="CW289" s="5"/>
      <c r="CX289" s="5"/>
      <c r="CY289" s="5"/>
      <c r="CZ289" s="5"/>
      <c r="DA289" s="5"/>
      <c r="DB289" s="5"/>
      <c r="DC289" s="5"/>
      <c r="DD289" s="5"/>
      <c r="DE289" s="5"/>
      <c r="DF289" s="5"/>
      <c r="DG289" s="5"/>
      <c r="DH289" s="5"/>
      <c r="DI289" s="5"/>
      <c r="DJ289" s="5"/>
      <c r="DK289" s="5"/>
      <c r="DL289" s="5"/>
      <c r="DM289" s="5"/>
      <c r="DN289" s="5"/>
      <c r="DO289" s="5"/>
      <c r="DP289" s="5"/>
      <c r="DQ289" s="5"/>
      <c r="DR289" s="5"/>
      <c r="DS289" s="5"/>
      <c r="DT289" s="5"/>
      <c r="DU289" s="5"/>
      <c r="DV289" s="5"/>
      <c r="DW289" s="5"/>
      <c r="DX289" s="5"/>
      <c r="DY289" s="5"/>
      <c r="DZ289" s="5"/>
      <c r="EA289" s="5"/>
      <c r="EB289" s="5"/>
      <c r="EC289" s="5"/>
      <c r="ED289" s="5"/>
      <c r="EE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5"/>
      <c r="CM290" s="5"/>
      <c r="CN290" s="5"/>
      <c r="CO290" s="5"/>
      <c r="CP290" s="5"/>
      <c r="CQ290" s="5"/>
      <c r="CR290" s="5"/>
      <c r="CS290" s="5"/>
      <c r="CT290" s="5"/>
      <c r="CU290" s="5"/>
      <c r="CV290" s="5"/>
      <c r="CW290" s="5"/>
      <c r="CX290" s="5"/>
      <c r="CY290" s="5"/>
      <c r="CZ290" s="5"/>
      <c r="DA290" s="5"/>
      <c r="DB290" s="5"/>
      <c r="DC290" s="5"/>
      <c r="DD290" s="5"/>
      <c r="DE290" s="5"/>
      <c r="DF290" s="5"/>
      <c r="DG290" s="5"/>
      <c r="DH290" s="5"/>
      <c r="DI290" s="5"/>
      <c r="DJ290" s="5"/>
      <c r="DK290" s="5"/>
      <c r="DL290" s="5"/>
      <c r="DM290" s="5"/>
      <c r="DN290" s="5"/>
      <c r="DO290" s="5"/>
      <c r="DP290" s="5"/>
      <c r="DQ290" s="5"/>
      <c r="DR290" s="5"/>
      <c r="DS290" s="5"/>
      <c r="DT290" s="5"/>
      <c r="DU290" s="5"/>
      <c r="DV290" s="5"/>
      <c r="DW290" s="5"/>
      <c r="DX290" s="5"/>
      <c r="DY290" s="5"/>
      <c r="DZ290" s="5"/>
      <c r="EA290" s="5"/>
      <c r="EB290" s="5"/>
      <c r="EC290" s="5"/>
      <c r="ED290" s="5"/>
      <c r="EE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c r="DT291" s="5"/>
      <c r="DU291" s="5"/>
      <c r="DV291" s="5"/>
      <c r="DW291" s="5"/>
      <c r="DX291" s="5"/>
      <c r="DY291" s="5"/>
      <c r="DZ291" s="5"/>
      <c r="EA291" s="5"/>
      <c r="EB291" s="5"/>
      <c r="EC291" s="5"/>
      <c r="ED291" s="5"/>
      <c r="EE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5"/>
      <c r="CM292" s="5"/>
      <c r="CN292" s="5"/>
      <c r="CO292" s="5"/>
      <c r="CP292" s="5"/>
      <c r="CQ292" s="5"/>
      <c r="CR292" s="5"/>
      <c r="CS292" s="5"/>
      <c r="CT292" s="5"/>
      <c r="CU292" s="5"/>
      <c r="CV292" s="5"/>
      <c r="CW292" s="5"/>
      <c r="CX292" s="5"/>
      <c r="CY292" s="5"/>
      <c r="CZ292" s="5"/>
      <c r="DA292" s="5"/>
      <c r="DB292" s="5"/>
      <c r="DC292" s="5"/>
      <c r="DD292" s="5"/>
      <c r="DE292" s="5"/>
      <c r="DF292" s="5"/>
      <c r="DG292" s="5"/>
      <c r="DH292" s="5"/>
      <c r="DI292" s="5"/>
      <c r="DJ292" s="5"/>
      <c r="DK292" s="5"/>
      <c r="DL292" s="5"/>
      <c r="DM292" s="5"/>
      <c r="DN292" s="5"/>
      <c r="DO292" s="5"/>
      <c r="DP292" s="5"/>
      <c r="DQ292" s="5"/>
      <c r="DR292" s="5"/>
      <c r="DS292" s="5"/>
      <c r="DT292" s="5"/>
      <c r="DU292" s="5"/>
      <c r="DV292" s="5"/>
      <c r="DW292" s="5"/>
      <c r="DX292" s="5"/>
      <c r="DY292" s="5"/>
      <c r="DZ292" s="5"/>
      <c r="EA292" s="5"/>
      <c r="EB292" s="5"/>
      <c r="EC292" s="5"/>
      <c r="ED292" s="5"/>
      <c r="EE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5"/>
      <c r="CM293" s="5"/>
      <c r="CN293" s="5"/>
      <c r="CO293" s="5"/>
      <c r="CP293" s="5"/>
      <c r="CQ293" s="5"/>
      <c r="CR293" s="5"/>
      <c r="CS293" s="5"/>
      <c r="CT293" s="5"/>
      <c r="CU293" s="5"/>
      <c r="CV293" s="5"/>
      <c r="CW293" s="5"/>
      <c r="CX293" s="5"/>
      <c r="CY293" s="5"/>
      <c r="CZ293" s="5"/>
      <c r="DA293" s="5"/>
      <c r="DB293" s="5"/>
      <c r="DC293" s="5"/>
      <c r="DD293" s="5"/>
      <c r="DE293" s="5"/>
      <c r="DF293" s="5"/>
      <c r="DG293" s="5"/>
      <c r="DH293" s="5"/>
      <c r="DI293" s="5"/>
      <c r="DJ293" s="5"/>
      <c r="DK293" s="5"/>
      <c r="DL293" s="5"/>
      <c r="DM293" s="5"/>
      <c r="DN293" s="5"/>
      <c r="DO293" s="5"/>
      <c r="DP293" s="5"/>
      <c r="DQ293" s="5"/>
      <c r="DR293" s="5"/>
      <c r="DS293" s="5"/>
      <c r="DT293" s="5"/>
      <c r="DU293" s="5"/>
      <c r="DV293" s="5"/>
      <c r="DW293" s="5"/>
      <c r="DX293" s="5"/>
      <c r="DY293" s="5"/>
      <c r="DZ293" s="5"/>
      <c r="EA293" s="5"/>
      <c r="EB293" s="5"/>
      <c r="EC293" s="5"/>
      <c r="ED293" s="5"/>
      <c r="EE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5"/>
      <c r="CM294" s="5"/>
      <c r="CN294" s="5"/>
      <c r="CO294" s="5"/>
      <c r="CP294" s="5"/>
      <c r="CQ294" s="5"/>
      <c r="CR294" s="5"/>
      <c r="CS294" s="5"/>
      <c r="CT294" s="5"/>
      <c r="CU294" s="5"/>
      <c r="CV294" s="5"/>
      <c r="CW294" s="5"/>
      <c r="CX294" s="5"/>
      <c r="CY294" s="5"/>
      <c r="CZ294" s="5"/>
      <c r="DA294" s="5"/>
      <c r="DB294" s="5"/>
      <c r="DC294" s="5"/>
      <c r="DD294" s="5"/>
      <c r="DE294" s="5"/>
      <c r="DF294" s="5"/>
      <c r="DG294" s="5"/>
      <c r="DH294" s="5"/>
      <c r="DI294" s="5"/>
      <c r="DJ294" s="5"/>
      <c r="DK294" s="5"/>
      <c r="DL294" s="5"/>
      <c r="DM294" s="5"/>
      <c r="DN294" s="5"/>
      <c r="DO294" s="5"/>
      <c r="DP294" s="5"/>
      <c r="DQ294" s="5"/>
      <c r="DR294" s="5"/>
      <c r="DS294" s="5"/>
      <c r="DT294" s="5"/>
      <c r="DU294" s="5"/>
      <c r="DV294" s="5"/>
      <c r="DW294" s="5"/>
      <c r="DX294" s="5"/>
      <c r="DY294" s="5"/>
      <c r="DZ294" s="5"/>
      <c r="EA294" s="5"/>
      <c r="EB294" s="5"/>
      <c r="EC294" s="5"/>
      <c r="ED294" s="5"/>
      <c r="EE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5"/>
      <c r="CM295" s="5"/>
      <c r="CN295" s="5"/>
      <c r="CO295" s="5"/>
      <c r="CP295" s="5"/>
      <c r="CQ295" s="5"/>
      <c r="CR295" s="5"/>
      <c r="CS295" s="5"/>
      <c r="CT295" s="5"/>
      <c r="CU295" s="5"/>
      <c r="CV295" s="5"/>
      <c r="CW295" s="5"/>
      <c r="CX295" s="5"/>
      <c r="CY295" s="5"/>
      <c r="CZ295" s="5"/>
      <c r="DA295" s="5"/>
      <c r="DB295" s="5"/>
      <c r="DC295" s="5"/>
      <c r="DD295" s="5"/>
      <c r="DE295" s="5"/>
      <c r="DF295" s="5"/>
      <c r="DG295" s="5"/>
      <c r="DH295" s="5"/>
      <c r="DI295" s="5"/>
      <c r="DJ295" s="5"/>
      <c r="DK295" s="5"/>
      <c r="DL295" s="5"/>
      <c r="DM295" s="5"/>
      <c r="DN295" s="5"/>
      <c r="DO295" s="5"/>
      <c r="DP295" s="5"/>
      <c r="DQ295" s="5"/>
      <c r="DR295" s="5"/>
      <c r="DS295" s="5"/>
      <c r="DT295" s="5"/>
      <c r="DU295" s="5"/>
      <c r="DV295" s="5"/>
      <c r="DW295" s="5"/>
      <c r="DX295" s="5"/>
      <c r="DY295" s="5"/>
      <c r="DZ295" s="5"/>
      <c r="EA295" s="5"/>
      <c r="EB295" s="5"/>
      <c r="EC295" s="5"/>
      <c r="ED295" s="5"/>
      <c r="EE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5"/>
      <c r="CM296" s="5"/>
      <c r="CN296" s="5"/>
      <c r="CO296" s="5"/>
      <c r="CP296" s="5"/>
      <c r="CQ296" s="5"/>
      <c r="CR296" s="5"/>
      <c r="CS296" s="5"/>
      <c r="CT296" s="5"/>
      <c r="CU296" s="5"/>
      <c r="CV296" s="5"/>
      <c r="CW296" s="5"/>
      <c r="CX296" s="5"/>
      <c r="CY296" s="5"/>
      <c r="CZ296" s="5"/>
      <c r="DA296" s="5"/>
      <c r="DB296" s="5"/>
      <c r="DC296" s="5"/>
      <c r="DD296" s="5"/>
      <c r="DE296" s="5"/>
      <c r="DF296" s="5"/>
      <c r="DG296" s="5"/>
      <c r="DH296" s="5"/>
      <c r="DI296" s="5"/>
      <c r="DJ296" s="5"/>
      <c r="DK296" s="5"/>
      <c r="DL296" s="5"/>
      <c r="DM296" s="5"/>
      <c r="DN296" s="5"/>
      <c r="DO296" s="5"/>
      <c r="DP296" s="5"/>
      <c r="DQ296" s="5"/>
      <c r="DR296" s="5"/>
      <c r="DS296" s="5"/>
      <c r="DT296" s="5"/>
      <c r="DU296" s="5"/>
      <c r="DV296" s="5"/>
      <c r="DW296" s="5"/>
      <c r="DX296" s="5"/>
      <c r="DY296" s="5"/>
      <c r="DZ296" s="5"/>
      <c r="EA296" s="5"/>
      <c r="EB296" s="5"/>
      <c r="EC296" s="5"/>
      <c r="ED296" s="5"/>
      <c r="EE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c r="DT297" s="5"/>
      <c r="DU297" s="5"/>
      <c r="DV297" s="5"/>
      <c r="DW297" s="5"/>
      <c r="DX297" s="5"/>
      <c r="DY297" s="5"/>
      <c r="DZ297" s="5"/>
      <c r="EA297" s="5"/>
      <c r="EB297" s="5"/>
      <c r="EC297" s="5"/>
      <c r="ED297" s="5"/>
      <c r="EE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c r="DJ298" s="5"/>
      <c r="DK298" s="5"/>
      <c r="DL298" s="5"/>
      <c r="DM298" s="5"/>
      <c r="DN298" s="5"/>
      <c r="DO298" s="5"/>
      <c r="DP298" s="5"/>
      <c r="DQ298" s="5"/>
      <c r="DR298" s="5"/>
      <c r="DS298" s="5"/>
      <c r="DT298" s="5"/>
      <c r="DU298" s="5"/>
      <c r="DV298" s="5"/>
      <c r="DW298" s="5"/>
      <c r="DX298" s="5"/>
      <c r="DY298" s="5"/>
      <c r="DZ298" s="5"/>
      <c r="EA298" s="5"/>
      <c r="EB298" s="5"/>
      <c r="EC298" s="5"/>
      <c r="ED298" s="5"/>
      <c r="EE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5"/>
      <c r="CM299" s="5"/>
      <c r="CN299" s="5"/>
      <c r="CO299" s="5"/>
      <c r="CP299" s="5"/>
      <c r="CQ299" s="5"/>
      <c r="CR299" s="5"/>
      <c r="CS299" s="5"/>
      <c r="CT299" s="5"/>
      <c r="CU299" s="5"/>
      <c r="CV299" s="5"/>
      <c r="CW299" s="5"/>
      <c r="CX299" s="5"/>
      <c r="CY299" s="5"/>
      <c r="CZ299" s="5"/>
      <c r="DA299" s="5"/>
      <c r="DB299" s="5"/>
      <c r="DC299" s="5"/>
      <c r="DD299" s="5"/>
      <c r="DE299" s="5"/>
      <c r="DF299" s="5"/>
      <c r="DG299" s="5"/>
      <c r="DH299" s="5"/>
      <c r="DI299" s="5"/>
      <c r="DJ299" s="5"/>
      <c r="DK299" s="5"/>
      <c r="DL299" s="5"/>
      <c r="DM299" s="5"/>
      <c r="DN299" s="5"/>
      <c r="DO299" s="5"/>
      <c r="DP299" s="5"/>
      <c r="DQ299" s="5"/>
      <c r="DR299" s="5"/>
      <c r="DS299" s="5"/>
      <c r="DT299" s="5"/>
      <c r="DU299" s="5"/>
      <c r="DV299" s="5"/>
      <c r="DW299" s="5"/>
      <c r="DX299" s="5"/>
      <c r="DY299" s="5"/>
      <c r="DZ299" s="5"/>
      <c r="EA299" s="5"/>
      <c r="EB299" s="5"/>
      <c r="EC299" s="5"/>
      <c r="ED299" s="5"/>
      <c r="EE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5"/>
      <c r="CM300" s="5"/>
      <c r="CN300" s="5"/>
      <c r="CO300" s="5"/>
      <c r="CP300" s="5"/>
      <c r="CQ300" s="5"/>
      <c r="CR300" s="5"/>
      <c r="CS300" s="5"/>
      <c r="CT300" s="5"/>
      <c r="CU300" s="5"/>
      <c r="CV300" s="5"/>
      <c r="CW300" s="5"/>
      <c r="CX300" s="5"/>
      <c r="CY300" s="5"/>
      <c r="CZ300" s="5"/>
      <c r="DA300" s="5"/>
      <c r="DB300" s="5"/>
      <c r="DC300" s="5"/>
      <c r="DD300" s="5"/>
      <c r="DE300" s="5"/>
      <c r="DF300" s="5"/>
      <c r="DG300" s="5"/>
      <c r="DH300" s="5"/>
      <c r="DI300" s="5"/>
      <c r="DJ300" s="5"/>
      <c r="DK300" s="5"/>
      <c r="DL300" s="5"/>
      <c r="DM300" s="5"/>
      <c r="DN300" s="5"/>
      <c r="DO300" s="5"/>
      <c r="DP300" s="5"/>
      <c r="DQ300" s="5"/>
      <c r="DR300" s="5"/>
      <c r="DS300" s="5"/>
      <c r="DT300" s="5"/>
      <c r="DU300" s="5"/>
      <c r="DV300" s="5"/>
      <c r="DW300" s="5"/>
      <c r="DX300" s="5"/>
      <c r="DY300" s="5"/>
      <c r="DZ300" s="5"/>
      <c r="EA300" s="5"/>
      <c r="EB300" s="5"/>
      <c r="EC300" s="5"/>
      <c r="ED300" s="5"/>
      <c r="EE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c r="DJ301" s="5"/>
      <c r="DK301" s="5"/>
      <c r="DL301" s="5"/>
      <c r="DM301" s="5"/>
      <c r="DN301" s="5"/>
      <c r="DO301" s="5"/>
      <c r="DP301" s="5"/>
      <c r="DQ301" s="5"/>
      <c r="DR301" s="5"/>
      <c r="DS301" s="5"/>
      <c r="DT301" s="5"/>
      <c r="DU301" s="5"/>
      <c r="DV301" s="5"/>
      <c r="DW301" s="5"/>
      <c r="DX301" s="5"/>
      <c r="DY301" s="5"/>
      <c r="DZ301" s="5"/>
      <c r="EA301" s="5"/>
      <c r="EB301" s="5"/>
      <c r="EC301" s="5"/>
      <c r="ED301" s="5"/>
      <c r="EE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5"/>
      <c r="CM302" s="5"/>
      <c r="CN302" s="5"/>
      <c r="CO302" s="5"/>
      <c r="CP302" s="5"/>
      <c r="CQ302" s="5"/>
      <c r="CR302" s="5"/>
      <c r="CS302" s="5"/>
      <c r="CT302" s="5"/>
      <c r="CU302" s="5"/>
      <c r="CV302" s="5"/>
      <c r="CW302" s="5"/>
      <c r="CX302" s="5"/>
      <c r="CY302" s="5"/>
      <c r="CZ302" s="5"/>
      <c r="DA302" s="5"/>
      <c r="DB302" s="5"/>
      <c r="DC302" s="5"/>
      <c r="DD302" s="5"/>
      <c r="DE302" s="5"/>
      <c r="DF302" s="5"/>
      <c r="DG302" s="5"/>
      <c r="DH302" s="5"/>
      <c r="DI302" s="5"/>
      <c r="DJ302" s="5"/>
      <c r="DK302" s="5"/>
      <c r="DL302" s="5"/>
      <c r="DM302" s="5"/>
      <c r="DN302" s="5"/>
      <c r="DO302" s="5"/>
      <c r="DP302" s="5"/>
      <c r="DQ302" s="5"/>
      <c r="DR302" s="5"/>
      <c r="DS302" s="5"/>
      <c r="DT302" s="5"/>
      <c r="DU302" s="5"/>
      <c r="DV302" s="5"/>
      <c r="DW302" s="5"/>
      <c r="DX302" s="5"/>
      <c r="DY302" s="5"/>
      <c r="DZ302" s="5"/>
      <c r="EA302" s="5"/>
      <c r="EB302" s="5"/>
      <c r="EC302" s="5"/>
      <c r="ED302" s="5"/>
      <c r="EE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c r="DT303" s="5"/>
      <c r="DU303" s="5"/>
      <c r="DV303" s="5"/>
      <c r="DW303" s="5"/>
      <c r="DX303" s="5"/>
      <c r="DY303" s="5"/>
      <c r="DZ303" s="5"/>
      <c r="EA303" s="5"/>
      <c r="EB303" s="5"/>
      <c r="EC303" s="5"/>
      <c r="ED303" s="5"/>
      <c r="EE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5"/>
      <c r="CM304" s="5"/>
      <c r="CN304" s="5"/>
      <c r="CO304" s="5"/>
      <c r="CP304" s="5"/>
      <c r="CQ304" s="5"/>
      <c r="CR304" s="5"/>
      <c r="CS304" s="5"/>
      <c r="CT304" s="5"/>
      <c r="CU304" s="5"/>
      <c r="CV304" s="5"/>
      <c r="CW304" s="5"/>
      <c r="CX304" s="5"/>
      <c r="CY304" s="5"/>
      <c r="CZ304" s="5"/>
      <c r="DA304" s="5"/>
      <c r="DB304" s="5"/>
      <c r="DC304" s="5"/>
      <c r="DD304" s="5"/>
      <c r="DE304" s="5"/>
      <c r="DF304" s="5"/>
      <c r="DG304" s="5"/>
      <c r="DH304" s="5"/>
      <c r="DI304" s="5"/>
      <c r="DJ304" s="5"/>
      <c r="DK304" s="5"/>
      <c r="DL304" s="5"/>
      <c r="DM304" s="5"/>
      <c r="DN304" s="5"/>
      <c r="DO304" s="5"/>
      <c r="DP304" s="5"/>
      <c r="DQ304" s="5"/>
      <c r="DR304" s="5"/>
      <c r="DS304" s="5"/>
      <c r="DT304" s="5"/>
      <c r="DU304" s="5"/>
      <c r="DV304" s="5"/>
      <c r="DW304" s="5"/>
      <c r="DX304" s="5"/>
      <c r="DY304" s="5"/>
      <c r="DZ304" s="5"/>
      <c r="EA304" s="5"/>
      <c r="EB304" s="5"/>
      <c r="EC304" s="5"/>
      <c r="ED304" s="5"/>
      <c r="EE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5"/>
      <c r="CM305" s="5"/>
      <c r="CN305" s="5"/>
      <c r="CO305" s="5"/>
      <c r="CP305" s="5"/>
      <c r="CQ305" s="5"/>
      <c r="CR305" s="5"/>
      <c r="CS305" s="5"/>
      <c r="CT305" s="5"/>
      <c r="CU305" s="5"/>
      <c r="CV305" s="5"/>
      <c r="CW305" s="5"/>
      <c r="CX305" s="5"/>
      <c r="CY305" s="5"/>
      <c r="CZ305" s="5"/>
      <c r="DA305" s="5"/>
      <c r="DB305" s="5"/>
      <c r="DC305" s="5"/>
      <c r="DD305" s="5"/>
      <c r="DE305" s="5"/>
      <c r="DF305" s="5"/>
      <c r="DG305" s="5"/>
      <c r="DH305" s="5"/>
      <c r="DI305" s="5"/>
      <c r="DJ305" s="5"/>
      <c r="DK305" s="5"/>
      <c r="DL305" s="5"/>
      <c r="DM305" s="5"/>
      <c r="DN305" s="5"/>
      <c r="DO305" s="5"/>
      <c r="DP305" s="5"/>
      <c r="DQ305" s="5"/>
      <c r="DR305" s="5"/>
      <c r="DS305" s="5"/>
      <c r="DT305" s="5"/>
      <c r="DU305" s="5"/>
      <c r="DV305" s="5"/>
      <c r="DW305" s="5"/>
      <c r="DX305" s="5"/>
      <c r="DY305" s="5"/>
      <c r="DZ305" s="5"/>
      <c r="EA305" s="5"/>
      <c r="EB305" s="5"/>
      <c r="EC305" s="5"/>
      <c r="ED305" s="5"/>
      <c r="EE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5"/>
      <c r="CM306" s="5"/>
      <c r="CN306" s="5"/>
      <c r="CO306" s="5"/>
      <c r="CP306" s="5"/>
      <c r="CQ306" s="5"/>
      <c r="CR306" s="5"/>
      <c r="CS306" s="5"/>
      <c r="CT306" s="5"/>
      <c r="CU306" s="5"/>
      <c r="CV306" s="5"/>
      <c r="CW306" s="5"/>
      <c r="CX306" s="5"/>
      <c r="CY306" s="5"/>
      <c r="CZ306" s="5"/>
      <c r="DA306" s="5"/>
      <c r="DB306" s="5"/>
      <c r="DC306" s="5"/>
      <c r="DD306" s="5"/>
      <c r="DE306" s="5"/>
      <c r="DF306" s="5"/>
      <c r="DG306" s="5"/>
      <c r="DH306" s="5"/>
      <c r="DI306" s="5"/>
      <c r="DJ306" s="5"/>
      <c r="DK306" s="5"/>
      <c r="DL306" s="5"/>
      <c r="DM306" s="5"/>
      <c r="DN306" s="5"/>
      <c r="DO306" s="5"/>
      <c r="DP306" s="5"/>
      <c r="DQ306" s="5"/>
      <c r="DR306" s="5"/>
      <c r="DS306" s="5"/>
      <c r="DT306" s="5"/>
      <c r="DU306" s="5"/>
      <c r="DV306" s="5"/>
      <c r="DW306" s="5"/>
      <c r="DX306" s="5"/>
      <c r="DY306" s="5"/>
      <c r="DZ306" s="5"/>
      <c r="EA306" s="5"/>
      <c r="EB306" s="5"/>
      <c r="EC306" s="5"/>
      <c r="ED306" s="5"/>
      <c r="EE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5"/>
      <c r="CM307" s="5"/>
      <c r="CN307" s="5"/>
      <c r="CO307" s="5"/>
      <c r="CP307" s="5"/>
      <c r="CQ307" s="5"/>
      <c r="CR307" s="5"/>
      <c r="CS307" s="5"/>
      <c r="CT307" s="5"/>
      <c r="CU307" s="5"/>
      <c r="CV307" s="5"/>
      <c r="CW307" s="5"/>
      <c r="CX307" s="5"/>
      <c r="CY307" s="5"/>
      <c r="CZ307" s="5"/>
      <c r="DA307" s="5"/>
      <c r="DB307" s="5"/>
      <c r="DC307" s="5"/>
      <c r="DD307" s="5"/>
      <c r="DE307" s="5"/>
      <c r="DF307" s="5"/>
      <c r="DG307" s="5"/>
      <c r="DH307" s="5"/>
      <c r="DI307" s="5"/>
      <c r="DJ307" s="5"/>
      <c r="DK307" s="5"/>
      <c r="DL307" s="5"/>
      <c r="DM307" s="5"/>
      <c r="DN307" s="5"/>
      <c r="DO307" s="5"/>
      <c r="DP307" s="5"/>
      <c r="DQ307" s="5"/>
      <c r="DR307" s="5"/>
      <c r="DS307" s="5"/>
      <c r="DT307" s="5"/>
      <c r="DU307" s="5"/>
      <c r="DV307" s="5"/>
      <c r="DW307" s="5"/>
      <c r="DX307" s="5"/>
      <c r="DY307" s="5"/>
      <c r="DZ307" s="5"/>
      <c r="EA307" s="5"/>
      <c r="EB307" s="5"/>
      <c r="EC307" s="5"/>
      <c r="ED307" s="5"/>
      <c r="EE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5"/>
      <c r="CM310" s="5"/>
      <c r="CN310" s="5"/>
      <c r="CO310" s="5"/>
      <c r="CP310" s="5"/>
      <c r="CQ310" s="5"/>
      <c r="CR310" s="5"/>
      <c r="CS310" s="5"/>
      <c r="CT310" s="5"/>
      <c r="CU310" s="5"/>
      <c r="CV310" s="5"/>
      <c r="CW310" s="5"/>
      <c r="CX310" s="5"/>
      <c r="CY310" s="5"/>
      <c r="CZ310" s="5"/>
      <c r="DA310" s="5"/>
      <c r="DB310" s="5"/>
      <c r="DC310" s="5"/>
      <c r="DD310" s="5"/>
      <c r="DE310" s="5"/>
      <c r="DF310" s="5"/>
      <c r="DG310" s="5"/>
      <c r="DH310" s="5"/>
      <c r="DI310" s="5"/>
      <c r="DJ310" s="5"/>
      <c r="DK310" s="5"/>
      <c r="DL310" s="5"/>
      <c r="DM310" s="5"/>
      <c r="DN310" s="5"/>
      <c r="DO310" s="5"/>
      <c r="DP310" s="5"/>
      <c r="DQ310" s="5"/>
      <c r="DR310" s="5"/>
      <c r="DS310" s="5"/>
      <c r="DT310" s="5"/>
      <c r="DU310" s="5"/>
      <c r="DV310" s="5"/>
      <c r="DW310" s="5"/>
      <c r="DX310" s="5"/>
      <c r="DY310" s="5"/>
      <c r="DZ310" s="5"/>
      <c r="EA310" s="5"/>
      <c r="EB310" s="5"/>
      <c r="EC310" s="5"/>
      <c r="ED310" s="5"/>
      <c r="EE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c r="DJ311" s="5"/>
      <c r="DK311" s="5"/>
      <c r="DL311" s="5"/>
      <c r="DM311" s="5"/>
      <c r="DN311" s="5"/>
      <c r="DO311" s="5"/>
      <c r="DP311" s="5"/>
      <c r="DQ311" s="5"/>
      <c r="DR311" s="5"/>
      <c r="DS311" s="5"/>
      <c r="DT311" s="5"/>
      <c r="DU311" s="5"/>
      <c r="DV311" s="5"/>
      <c r="DW311" s="5"/>
      <c r="DX311" s="5"/>
      <c r="DY311" s="5"/>
      <c r="DZ311" s="5"/>
      <c r="EA311" s="5"/>
      <c r="EB311" s="5"/>
      <c r="EC311" s="5"/>
      <c r="ED311" s="5"/>
      <c r="EE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c r="DJ312" s="5"/>
      <c r="DK312" s="5"/>
      <c r="DL312" s="5"/>
      <c r="DM312" s="5"/>
      <c r="DN312" s="5"/>
      <c r="DO312" s="5"/>
      <c r="DP312" s="5"/>
      <c r="DQ312" s="5"/>
      <c r="DR312" s="5"/>
      <c r="DS312" s="5"/>
      <c r="DT312" s="5"/>
      <c r="DU312" s="5"/>
      <c r="DV312" s="5"/>
      <c r="DW312" s="5"/>
      <c r="DX312" s="5"/>
      <c r="DY312" s="5"/>
      <c r="DZ312" s="5"/>
      <c r="EA312" s="5"/>
      <c r="EB312" s="5"/>
      <c r="EC312" s="5"/>
      <c r="ED312" s="5"/>
      <c r="EE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5"/>
      <c r="CM313" s="5"/>
      <c r="CN313" s="5"/>
      <c r="CO313" s="5"/>
      <c r="CP313" s="5"/>
      <c r="CQ313" s="5"/>
      <c r="CR313" s="5"/>
      <c r="CS313" s="5"/>
      <c r="CT313" s="5"/>
      <c r="CU313" s="5"/>
      <c r="CV313" s="5"/>
      <c r="CW313" s="5"/>
      <c r="CX313" s="5"/>
      <c r="CY313" s="5"/>
      <c r="CZ313" s="5"/>
      <c r="DA313" s="5"/>
      <c r="DB313" s="5"/>
      <c r="DC313" s="5"/>
      <c r="DD313" s="5"/>
      <c r="DE313" s="5"/>
      <c r="DF313" s="5"/>
      <c r="DG313" s="5"/>
      <c r="DH313" s="5"/>
      <c r="DI313" s="5"/>
      <c r="DJ313" s="5"/>
      <c r="DK313" s="5"/>
      <c r="DL313" s="5"/>
      <c r="DM313" s="5"/>
      <c r="DN313" s="5"/>
      <c r="DO313" s="5"/>
      <c r="DP313" s="5"/>
      <c r="DQ313" s="5"/>
      <c r="DR313" s="5"/>
      <c r="DS313" s="5"/>
      <c r="DT313" s="5"/>
      <c r="DU313" s="5"/>
      <c r="DV313" s="5"/>
      <c r="DW313" s="5"/>
      <c r="DX313" s="5"/>
      <c r="DY313" s="5"/>
      <c r="DZ313" s="5"/>
      <c r="EA313" s="5"/>
      <c r="EB313" s="5"/>
      <c r="EC313" s="5"/>
      <c r="ED313" s="5"/>
      <c r="EE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5"/>
      <c r="CM314" s="5"/>
      <c r="CN314" s="5"/>
      <c r="CO314" s="5"/>
      <c r="CP314" s="5"/>
      <c r="CQ314" s="5"/>
      <c r="CR314" s="5"/>
      <c r="CS314" s="5"/>
      <c r="CT314" s="5"/>
      <c r="CU314" s="5"/>
      <c r="CV314" s="5"/>
      <c r="CW314" s="5"/>
      <c r="CX314" s="5"/>
      <c r="CY314" s="5"/>
      <c r="CZ314" s="5"/>
      <c r="DA314" s="5"/>
      <c r="DB314" s="5"/>
      <c r="DC314" s="5"/>
      <c r="DD314" s="5"/>
      <c r="DE314" s="5"/>
      <c r="DF314" s="5"/>
      <c r="DG314" s="5"/>
      <c r="DH314" s="5"/>
      <c r="DI314" s="5"/>
      <c r="DJ314" s="5"/>
      <c r="DK314" s="5"/>
      <c r="DL314" s="5"/>
      <c r="DM314" s="5"/>
      <c r="DN314" s="5"/>
      <c r="DO314" s="5"/>
      <c r="DP314" s="5"/>
      <c r="DQ314" s="5"/>
      <c r="DR314" s="5"/>
      <c r="DS314" s="5"/>
      <c r="DT314" s="5"/>
      <c r="DU314" s="5"/>
      <c r="DV314" s="5"/>
      <c r="DW314" s="5"/>
      <c r="DX314" s="5"/>
      <c r="DY314" s="5"/>
      <c r="DZ314" s="5"/>
      <c r="EA314" s="5"/>
      <c r="EB314" s="5"/>
      <c r="EC314" s="5"/>
      <c r="ED314" s="5"/>
      <c r="EE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c r="DT315" s="5"/>
      <c r="DU315" s="5"/>
      <c r="DV315" s="5"/>
      <c r="DW315" s="5"/>
      <c r="DX315" s="5"/>
      <c r="DY315" s="5"/>
      <c r="DZ315" s="5"/>
      <c r="EA315" s="5"/>
      <c r="EB315" s="5"/>
      <c r="EC315" s="5"/>
      <c r="ED315" s="5"/>
      <c r="EE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5"/>
      <c r="CM317" s="5"/>
      <c r="CN317" s="5"/>
      <c r="CO317" s="5"/>
      <c r="CP317" s="5"/>
      <c r="CQ317" s="5"/>
      <c r="CR317" s="5"/>
      <c r="CS317" s="5"/>
      <c r="CT317" s="5"/>
      <c r="CU317" s="5"/>
      <c r="CV317" s="5"/>
      <c r="CW317" s="5"/>
      <c r="CX317" s="5"/>
      <c r="CY317" s="5"/>
      <c r="CZ317" s="5"/>
      <c r="DA317" s="5"/>
      <c r="DB317" s="5"/>
      <c r="DC317" s="5"/>
      <c r="DD317" s="5"/>
      <c r="DE317" s="5"/>
      <c r="DF317" s="5"/>
      <c r="DG317" s="5"/>
      <c r="DH317" s="5"/>
      <c r="DI317" s="5"/>
      <c r="DJ317" s="5"/>
      <c r="DK317" s="5"/>
      <c r="DL317" s="5"/>
      <c r="DM317" s="5"/>
      <c r="DN317" s="5"/>
      <c r="DO317" s="5"/>
      <c r="DP317" s="5"/>
      <c r="DQ317" s="5"/>
      <c r="DR317" s="5"/>
      <c r="DS317" s="5"/>
      <c r="DT317" s="5"/>
      <c r="DU317" s="5"/>
      <c r="DV317" s="5"/>
      <c r="DW317" s="5"/>
      <c r="DX317" s="5"/>
      <c r="DY317" s="5"/>
      <c r="DZ317" s="5"/>
      <c r="EA317" s="5"/>
      <c r="EB317" s="5"/>
      <c r="EC317" s="5"/>
      <c r="ED317" s="5"/>
      <c r="EE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c r="DJ318" s="5"/>
      <c r="DK318" s="5"/>
      <c r="DL318" s="5"/>
      <c r="DM318" s="5"/>
      <c r="DN318" s="5"/>
      <c r="DO318" s="5"/>
      <c r="DP318" s="5"/>
      <c r="DQ318" s="5"/>
      <c r="DR318" s="5"/>
      <c r="DS318" s="5"/>
      <c r="DT318" s="5"/>
      <c r="DU318" s="5"/>
      <c r="DV318" s="5"/>
      <c r="DW318" s="5"/>
      <c r="DX318" s="5"/>
      <c r="DY318" s="5"/>
      <c r="DZ318" s="5"/>
      <c r="EA318" s="5"/>
      <c r="EB318" s="5"/>
      <c r="EC318" s="5"/>
      <c r="ED318" s="5"/>
      <c r="EE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5"/>
      <c r="CM319" s="5"/>
      <c r="CN319" s="5"/>
      <c r="CO319" s="5"/>
      <c r="CP319" s="5"/>
      <c r="CQ319" s="5"/>
      <c r="CR319" s="5"/>
      <c r="CS319" s="5"/>
      <c r="CT319" s="5"/>
      <c r="CU319" s="5"/>
      <c r="CV319" s="5"/>
      <c r="CW319" s="5"/>
      <c r="CX319" s="5"/>
      <c r="CY319" s="5"/>
      <c r="CZ319" s="5"/>
      <c r="DA319" s="5"/>
      <c r="DB319" s="5"/>
      <c r="DC319" s="5"/>
      <c r="DD319" s="5"/>
      <c r="DE319" s="5"/>
      <c r="DF319" s="5"/>
      <c r="DG319" s="5"/>
      <c r="DH319" s="5"/>
      <c r="DI319" s="5"/>
      <c r="DJ319" s="5"/>
      <c r="DK319" s="5"/>
      <c r="DL319" s="5"/>
      <c r="DM319" s="5"/>
      <c r="DN319" s="5"/>
      <c r="DO319" s="5"/>
      <c r="DP319" s="5"/>
      <c r="DQ319" s="5"/>
      <c r="DR319" s="5"/>
      <c r="DS319" s="5"/>
      <c r="DT319" s="5"/>
      <c r="DU319" s="5"/>
      <c r="DV319" s="5"/>
      <c r="DW319" s="5"/>
      <c r="DX319" s="5"/>
      <c r="DY319" s="5"/>
      <c r="DZ319" s="5"/>
      <c r="EA319" s="5"/>
      <c r="EB319" s="5"/>
      <c r="EC319" s="5"/>
      <c r="ED319" s="5"/>
      <c r="EE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5"/>
      <c r="CM320" s="5"/>
      <c r="CN320" s="5"/>
      <c r="CO320" s="5"/>
      <c r="CP320" s="5"/>
      <c r="CQ320" s="5"/>
      <c r="CR320" s="5"/>
      <c r="CS320" s="5"/>
      <c r="CT320" s="5"/>
      <c r="CU320" s="5"/>
      <c r="CV320" s="5"/>
      <c r="CW320" s="5"/>
      <c r="CX320" s="5"/>
      <c r="CY320" s="5"/>
      <c r="CZ320" s="5"/>
      <c r="DA320" s="5"/>
      <c r="DB320" s="5"/>
      <c r="DC320" s="5"/>
      <c r="DD320" s="5"/>
      <c r="DE320" s="5"/>
      <c r="DF320" s="5"/>
      <c r="DG320" s="5"/>
      <c r="DH320" s="5"/>
      <c r="DI320" s="5"/>
      <c r="DJ320" s="5"/>
      <c r="DK320" s="5"/>
      <c r="DL320" s="5"/>
      <c r="DM320" s="5"/>
      <c r="DN320" s="5"/>
      <c r="DO320" s="5"/>
      <c r="DP320" s="5"/>
      <c r="DQ320" s="5"/>
      <c r="DR320" s="5"/>
      <c r="DS320" s="5"/>
      <c r="DT320" s="5"/>
      <c r="DU320" s="5"/>
      <c r="DV320" s="5"/>
      <c r="DW320" s="5"/>
      <c r="DX320" s="5"/>
      <c r="DY320" s="5"/>
      <c r="DZ320" s="5"/>
      <c r="EA320" s="5"/>
      <c r="EB320" s="5"/>
      <c r="EC320" s="5"/>
      <c r="ED320" s="5"/>
      <c r="EE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c r="DT321" s="5"/>
      <c r="DU321" s="5"/>
      <c r="DV321" s="5"/>
      <c r="DW321" s="5"/>
      <c r="DX321" s="5"/>
      <c r="DY321" s="5"/>
      <c r="DZ321" s="5"/>
      <c r="EA321" s="5"/>
      <c r="EB321" s="5"/>
      <c r="EC321" s="5"/>
      <c r="ED321" s="5"/>
      <c r="EE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c r="DT322" s="5"/>
      <c r="DU322" s="5"/>
      <c r="DV322" s="5"/>
      <c r="DW322" s="5"/>
      <c r="DX322" s="5"/>
      <c r="DY322" s="5"/>
      <c r="DZ322" s="5"/>
      <c r="EA322" s="5"/>
      <c r="EB322" s="5"/>
      <c r="EC322" s="5"/>
      <c r="ED322" s="5"/>
      <c r="EE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5"/>
      <c r="CM324" s="5"/>
      <c r="CN324" s="5"/>
      <c r="CO324" s="5"/>
      <c r="CP324" s="5"/>
      <c r="CQ324" s="5"/>
      <c r="CR324" s="5"/>
      <c r="CS324" s="5"/>
      <c r="CT324" s="5"/>
      <c r="CU324" s="5"/>
      <c r="CV324" s="5"/>
      <c r="CW324" s="5"/>
      <c r="CX324" s="5"/>
      <c r="CY324" s="5"/>
      <c r="CZ324" s="5"/>
      <c r="DA324" s="5"/>
      <c r="DB324" s="5"/>
      <c r="DC324" s="5"/>
      <c r="DD324" s="5"/>
      <c r="DE324" s="5"/>
      <c r="DF324" s="5"/>
      <c r="DG324" s="5"/>
      <c r="DH324" s="5"/>
      <c r="DI324" s="5"/>
      <c r="DJ324" s="5"/>
      <c r="DK324" s="5"/>
      <c r="DL324" s="5"/>
      <c r="DM324" s="5"/>
      <c r="DN324" s="5"/>
      <c r="DO324" s="5"/>
      <c r="DP324" s="5"/>
      <c r="DQ324" s="5"/>
      <c r="DR324" s="5"/>
      <c r="DS324" s="5"/>
      <c r="DT324" s="5"/>
      <c r="DU324" s="5"/>
      <c r="DV324" s="5"/>
      <c r="DW324" s="5"/>
      <c r="DX324" s="5"/>
      <c r="DY324" s="5"/>
      <c r="DZ324" s="5"/>
      <c r="EA324" s="5"/>
      <c r="EB324" s="5"/>
      <c r="EC324" s="5"/>
      <c r="ED324" s="5"/>
      <c r="EE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c r="DJ325" s="5"/>
      <c r="DK325" s="5"/>
      <c r="DL325" s="5"/>
      <c r="DM325" s="5"/>
      <c r="DN325" s="5"/>
      <c r="DO325" s="5"/>
      <c r="DP325" s="5"/>
      <c r="DQ325" s="5"/>
      <c r="DR325" s="5"/>
      <c r="DS325" s="5"/>
      <c r="DT325" s="5"/>
      <c r="DU325" s="5"/>
      <c r="DV325" s="5"/>
      <c r="DW325" s="5"/>
      <c r="DX325" s="5"/>
      <c r="DY325" s="5"/>
      <c r="DZ325" s="5"/>
      <c r="EA325" s="5"/>
      <c r="EB325" s="5"/>
      <c r="EC325" s="5"/>
      <c r="ED325" s="5"/>
      <c r="EE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5"/>
      <c r="CM326" s="5"/>
      <c r="CN326" s="5"/>
      <c r="CO326" s="5"/>
      <c r="CP326" s="5"/>
      <c r="CQ326" s="5"/>
      <c r="CR326" s="5"/>
      <c r="CS326" s="5"/>
      <c r="CT326" s="5"/>
      <c r="CU326" s="5"/>
      <c r="CV326" s="5"/>
      <c r="CW326" s="5"/>
      <c r="CX326" s="5"/>
      <c r="CY326" s="5"/>
      <c r="CZ326" s="5"/>
      <c r="DA326" s="5"/>
      <c r="DB326" s="5"/>
      <c r="DC326" s="5"/>
      <c r="DD326" s="5"/>
      <c r="DE326" s="5"/>
      <c r="DF326" s="5"/>
      <c r="DG326" s="5"/>
      <c r="DH326" s="5"/>
      <c r="DI326" s="5"/>
      <c r="DJ326" s="5"/>
      <c r="DK326" s="5"/>
      <c r="DL326" s="5"/>
      <c r="DM326" s="5"/>
      <c r="DN326" s="5"/>
      <c r="DO326" s="5"/>
      <c r="DP326" s="5"/>
      <c r="DQ326" s="5"/>
      <c r="DR326" s="5"/>
      <c r="DS326" s="5"/>
      <c r="DT326" s="5"/>
      <c r="DU326" s="5"/>
      <c r="DV326" s="5"/>
      <c r="DW326" s="5"/>
      <c r="DX326" s="5"/>
      <c r="DY326" s="5"/>
      <c r="DZ326" s="5"/>
      <c r="EA326" s="5"/>
      <c r="EB326" s="5"/>
      <c r="EC326" s="5"/>
      <c r="ED326" s="5"/>
      <c r="EE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5"/>
      <c r="CM327" s="5"/>
      <c r="CN327" s="5"/>
      <c r="CO327" s="5"/>
      <c r="CP327" s="5"/>
      <c r="CQ327" s="5"/>
      <c r="CR327" s="5"/>
      <c r="CS327" s="5"/>
      <c r="CT327" s="5"/>
      <c r="CU327" s="5"/>
      <c r="CV327" s="5"/>
      <c r="CW327" s="5"/>
      <c r="CX327" s="5"/>
      <c r="CY327" s="5"/>
      <c r="CZ327" s="5"/>
      <c r="DA327" s="5"/>
      <c r="DB327" s="5"/>
      <c r="DC327" s="5"/>
      <c r="DD327" s="5"/>
      <c r="DE327" s="5"/>
      <c r="DF327" s="5"/>
      <c r="DG327" s="5"/>
      <c r="DH327" s="5"/>
      <c r="DI327" s="5"/>
      <c r="DJ327" s="5"/>
      <c r="DK327" s="5"/>
      <c r="DL327" s="5"/>
      <c r="DM327" s="5"/>
      <c r="DN327" s="5"/>
      <c r="DO327" s="5"/>
      <c r="DP327" s="5"/>
      <c r="DQ327" s="5"/>
      <c r="DR327" s="5"/>
      <c r="DS327" s="5"/>
      <c r="DT327" s="5"/>
      <c r="DU327" s="5"/>
      <c r="DV327" s="5"/>
      <c r="DW327" s="5"/>
      <c r="DX327" s="5"/>
      <c r="DY327" s="5"/>
      <c r="DZ327" s="5"/>
      <c r="EA327" s="5"/>
      <c r="EB327" s="5"/>
      <c r="EC327" s="5"/>
      <c r="ED327" s="5"/>
      <c r="EE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c r="DT328" s="5"/>
      <c r="DU328" s="5"/>
      <c r="DV328" s="5"/>
      <c r="DW328" s="5"/>
      <c r="DX328" s="5"/>
      <c r="DY328" s="5"/>
      <c r="DZ328" s="5"/>
      <c r="EA328" s="5"/>
      <c r="EB328" s="5"/>
      <c r="EC328" s="5"/>
      <c r="ED328" s="5"/>
      <c r="EE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5"/>
      <c r="CM329" s="5"/>
      <c r="CN329" s="5"/>
      <c r="CO329" s="5"/>
      <c r="CP329" s="5"/>
      <c r="CQ329" s="5"/>
      <c r="CR329" s="5"/>
      <c r="CS329" s="5"/>
      <c r="CT329" s="5"/>
      <c r="CU329" s="5"/>
      <c r="CV329" s="5"/>
      <c r="CW329" s="5"/>
      <c r="CX329" s="5"/>
      <c r="CY329" s="5"/>
      <c r="CZ329" s="5"/>
      <c r="DA329" s="5"/>
      <c r="DB329" s="5"/>
      <c r="DC329" s="5"/>
      <c r="DD329" s="5"/>
      <c r="DE329" s="5"/>
      <c r="DF329" s="5"/>
      <c r="DG329" s="5"/>
      <c r="DH329" s="5"/>
      <c r="DI329" s="5"/>
      <c r="DJ329" s="5"/>
      <c r="DK329" s="5"/>
      <c r="DL329" s="5"/>
      <c r="DM329" s="5"/>
      <c r="DN329" s="5"/>
      <c r="DO329" s="5"/>
      <c r="DP329" s="5"/>
      <c r="DQ329" s="5"/>
      <c r="DR329" s="5"/>
      <c r="DS329" s="5"/>
      <c r="DT329" s="5"/>
      <c r="DU329" s="5"/>
      <c r="DV329" s="5"/>
      <c r="DW329" s="5"/>
      <c r="DX329" s="5"/>
      <c r="DY329" s="5"/>
      <c r="DZ329" s="5"/>
      <c r="EA329" s="5"/>
      <c r="EB329" s="5"/>
      <c r="EC329" s="5"/>
      <c r="ED329" s="5"/>
      <c r="EE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5"/>
      <c r="CM331" s="5"/>
      <c r="CN331" s="5"/>
      <c r="CO331" s="5"/>
      <c r="CP331" s="5"/>
      <c r="CQ331" s="5"/>
      <c r="CR331" s="5"/>
      <c r="CS331" s="5"/>
      <c r="CT331" s="5"/>
      <c r="CU331" s="5"/>
      <c r="CV331" s="5"/>
      <c r="CW331" s="5"/>
      <c r="CX331" s="5"/>
      <c r="CY331" s="5"/>
      <c r="CZ331" s="5"/>
      <c r="DA331" s="5"/>
      <c r="DB331" s="5"/>
      <c r="DC331" s="5"/>
      <c r="DD331" s="5"/>
      <c r="DE331" s="5"/>
      <c r="DF331" s="5"/>
      <c r="DG331" s="5"/>
      <c r="DH331" s="5"/>
      <c r="DI331" s="5"/>
      <c r="DJ331" s="5"/>
      <c r="DK331" s="5"/>
      <c r="DL331" s="5"/>
      <c r="DM331" s="5"/>
      <c r="DN331" s="5"/>
      <c r="DO331" s="5"/>
      <c r="DP331" s="5"/>
      <c r="DQ331" s="5"/>
      <c r="DR331" s="5"/>
      <c r="DS331" s="5"/>
      <c r="DT331" s="5"/>
      <c r="DU331" s="5"/>
      <c r="DV331" s="5"/>
      <c r="DW331" s="5"/>
      <c r="DX331" s="5"/>
      <c r="DY331" s="5"/>
      <c r="DZ331" s="5"/>
      <c r="EA331" s="5"/>
      <c r="EB331" s="5"/>
      <c r="EC331" s="5"/>
      <c r="ED331" s="5"/>
      <c r="EE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5"/>
      <c r="CM332" s="5"/>
      <c r="CN332" s="5"/>
      <c r="CO332" s="5"/>
      <c r="CP332" s="5"/>
      <c r="CQ332" s="5"/>
      <c r="CR332" s="5"/>
      <c r="CS332" s="5"/>
      <c r="CT332" s="5"/>
      <c r="CU332" s="5"/>
      <c r="CV332" s="5"/>
      <c r="CW332" s="5"/>
      <c r="CX332" s="5"/>
      <c r="CY332" s="5"/>
      <c r="CZ332" s="5"/>
      <c r="DA332" s="5"/>
      <c r="DB332" s="5"/>
      <c r="DC332" s="5"/>
      <c r="DD332" s="5"/>
      <c r="DE332" s="5"/>
      <c r="DF332" s="5"/>
      <c r="DG332" s="5"/>
      <c r="DH332" s="5"/>
      <c r="DI332" s="5"/>
      <c r="DJ332" s="5"/>
      <c r="DK332" s="5"/>
      <c r="DL332" s="5"/>
      <c r="DM332" s="5"/>
      <c r="DN332" s="5"/>
      <c r="DO332" s="5"/>
      <c r="DP332" s="5"/>
      <c r="DQ332" s="5"/>
      <c r="DR332" s="5"/>
      <c r="DS332" s="5"/>
      <c r="DT332" s="5"/>
      <c r="DU332" s="5"/>
      <c r="DV332" s="5"/>
      <c r="DW332" s="5"/>
      <c r="DX332" s="5"/>
      <c r="DY332" s="5"/>
      <c r="DZ332" s="5"/>
      <c r="EA332" s="5"/>
      <c r="EB332" s="5"/>
      <c r="EC332" s="5"/>
      <c r="ED332" s="5"/>
      <c r="EE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5"/>
      <c r="CM333" s="5"/>
      <c r="CN333" s="5"/>
      <c r="CO333" s="5"/>
      <c r="CP333" s="5"/>
      <c r="CQ333" s="5"/>
      <c r="CR333" s="5"/>
      <c r="CS333" s="5"/>
      <c r="CT333" s="5"/>
      <c r="CU333" s="5"/>
      <c r="CV333" s="5"/>
      <c r="CW333" s="5"/>
      <c r="CX333" s="5"/>
      <c r="CY333" s="5"/>
      <c r="CZ333" s="5"/>
      <c r="DA333" s="5"/>
      <c r="DB333" s="5"/>
      <c r="DC333" s="5"/>
      <c r="DD333" s="5"/>
      <c r="DE333" s="5"/>
      <c r="DF333" s="5"/>
      <c r="DG333" s="5"/>
      <c r="DH333" s="5"/>
      <c r="DI333" s="5"/>
      <c r="DJ333" s="5"/>
      <c r="DK333" s="5"/>
      <c r="DL333" s="5"/>
      <c r="DM333" s="5"/>
      <c r="DN333" s="5"/>
      <c r="DO333" s="5"/>
      <c r="DP333" s="5"/>
      <c r="DQ333" s="5"/>
      <c r="DR333" s="5"/>
      <c r="DS333" s="5"/>
      <c r="DT333" s="5"/>
      <c r="DU333" s="5"/>
      <c r="DV333" s="5"/>
      <c r="DW333" s="5"/>
      <c r="DX333" s="5"/>
      <c r="DY333" s="5"/>
      <c r="DZ333" s="5"/>
      <c r="EA333" s="5"/>
      <c r="EB333" s="5"/>
      <c r="EC333" s="5"/>
      <c r="ED333" s="5"/>
      <c r="EE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c r="DT334" s="5"/>
      <c r="DU334" s="5"/>
      <c r="DV334" s="5"/>
      <c r="DW334" s="5"/>
      <c r="DX334" s="5"/>
      <c r="DY334" s="5"/>
      <c r="DZ334" s="5"/>
      <c r="EA334" s="5"/>
      <c r="EB334" s="5"/>
      <c r="EC334" s="5"/>
      <c r="ED334" s="5"/>
      <c r="EE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5"/>
      <c r="CM335" s="5"/>
      <c r="CN335" s="5"/>
      <c r="CO335" s="5"/>
      <c r="CP335" s="5"/>
      <c r="CQ335" s="5"/>
      <c r="CR335" s="5"/>
      <c r="CS335" s="5"/>
      <c r="CT335" s="5"/>
      <c r="CU335" s="5"/>
      <c r="CV335" s="5"/>
      <c r="CW335" s="5"/>
      <c r="CX335" s="5"/>
      <c r="CY335" s="5"/>
      <c r="CZ335" s="5"/>
      <c r="DA335" s="5"/>
      <c r="DB335" s="5"/>
      <c r="DC335" s="5"/>
      <c r="DD335" s="5"/>
      <c r="DE335" s="5"/>
      <c r="DF335" s="5"/>
      <c r="DG335" s="5"/>
      <c r="DH335" s="5"/>
      <c r="DI335" s="5"/>
      <c r="DJ335" s="5"/>
      <c r="DK335" s="5"/>
      <c r="DL335" s="5"/>
      <c r="DM335" s="5"/>
      <c r="DN335" s="5"/>
      <c r="DO335" s="5"/>
      <c r="DP335" s="5"/>
      <c r="DQ335" s="5"/>
      <c r="DR335" s="5"/>
      <c r="DS335" s="5"/>
      <c r="DT335" s="5"/>
      <c r="DU335" s="5"/>
      <c r="DV335" s="5"/>
      <c r="DW335" s="5"/>
      <c r="DX335" s="5"/>
      <c r="DY335" s="5"/>
      <c r="DZ335" s="5"/>
      <c r="EA335" s="5"/>
      <c r="EB335" s="5"/>
      <c r="EC335" s="5"/>
      <c r="ED335" s="5"/>
      <c r="EE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5"/>
      <c r="CM336" s="5"/>
      <c r="CN336" s="5"/>
      <c r="CO336" s="5"/>
      <c r="CP336" s="5"/>
      <c r="CQ336" s="5"/>
      <c r="CR336" s="5"/>
      <c r="CS336" s="5"/>
      <c r="CT336" s="5"/>
      <c r="CU336" s="5"/>
      <c r="CV336" s="5"/>
      <c r="CW336" s="5"/>
      <c r="CX336" s="5"/>
      <c r="CY336" s="5"/>
      <c r="CZ336" s="5"/>
      <c r="DA336" s="5"/>
      <c r="DB336" s="5"/>
      <c r="DC336" s="5"/>
      <c r="DD336" s="5"/>
      <c r="DE336" s="5"/>
      <c r="DF336" s="5"/>
      <c r="DG336" s="5"/>
      <c r="DH336" s="5"/>
      <c r="DI336" s="5"/>
      <c r="DJ336" s="5"/>
      <c r="DK336" s="5"/>
      <c r="DL336" s="5"/>
      <c r="DM336" s="5"/>
      <c r="DN336" s="5"/>
      <c r="DO336" s="5"/>
      <c r="DP336" s="5"/>
      <c r="DQ336" s="5"/>
      <c r="DR336" s="5"/>
      <c r="DS336" s="5"/>
      <c r="DT336" s="5"/>
      <c r="DU336" s="5"/>
      <c r="DV336" s="5"/>
      <c r="DW336" s="5"/>
      <c r="DX336" s="5"/>
      <c r="DY336" s="5"/>
      <c r="DZ336" s="5"/>
      <c r="EA336" s="5"/>
      <c r="EB336" s="5"/>
      <c r="EC336" s="5"/>
      <c r="ED336" s="5"/>
      <c r="EE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5"/>
      <c r="CM338" s="5"/>
      <c r="CN338" s="5"/>
      <c r="CO338" s="5"/>
      <c r="CP338" s="5"/>
      <c r="CQ338" s="5"/>
      <c r="CR338" s="5"/>
      <c r="CS338" s="5"/>
      <c r="CT338" s="5"/>
      <c r="CU338" s="5"/>
      <c r="CV338" s="5"/>
      <c r="CW338" s="5"/>
      <c r="CX338" s="5"/>
      <c r="CY338" s="5"/>
      <c r="CZ338" s="5"/>
      <c r="DA338" s="5"/>
      <c r="DB338" s="5"/>
      <c r="DC338" s="5"/>
      <c r="DD338" s="5"/>
      <c r="DE338" s="5"/>
      <c r="DF338" s="5"/>
      <c r="DG338" s="5"/>
      <c r="DH338" s="5"/>
      <c r="DI338" s="5"/>
      <c r="DJ338" s="5"/>
      <c r="DK338" s="5"/>
      <c r="DL338" s="5"/>
      <c r="DM338" s="5"/>
      <c r="DN338" s="5"/>
      <c r="DO338" s="5"/>
      <c r="DP338" s="5"/>
      <c r="DQ338" s="5"/>
      <c r="DR338" s="5"/>
      <c r="DS338" s="5"/>
      <c r="DT338" s="5"/>
      <c r="DU338" s="5"/>
      <c r="DV338" s="5"/>
      <c r="DW338" s="5"/>
      <c r="DX338" s="5"/>
      <c r="DY338" s="5"/>
      <c r="DZ338" s="5"/>
      <c r="EA338" s="5"/>
      <c r="EB338" s="5"/>
      <c r="EC338" s="5"/>
      <c r="ED338" s="5"/>
      <c r="EE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5"/>
      <c r="CM339" s="5"/>
      <c r="CN339" s="5"/>
      <c r="CO339" s="5"/>
      <c r="CP339" s="5"/>
      <c r="CQ339" s="5"/>
      <c r="CR339" s="5"/>
      <c r="CS339" s="5"/>
      <c r="CT339" s="5"/>
      <c r="CU339" s="5"/>
      <c r="CV339" s="5"/>
      <c r="CW339" s="5"/>
      <c r="CX339" s="5"/>
      <c r="CY339" s="5"/>
      <c r="CZ339" s="5"/>
      <c r="DA339" s="5"/>
      <c r="DB339" s="5"/>
      <c r="DC339" s="5"/>
      <c r="DD339" s="5"/>
      <c r="DE339" s="5"/>
      <c r="DF339" s="5"/>
      <c r="DG339" s="5"/>
      <c r="DH339" s="5"/>
      <c r="DI339" s="5"/>
      <c r="DJ339" s="5"/>
      <c r="DK339" s="5"/>
      <c r="DL339" s="5"/>
      <c r="DM339" s="5"/>
      <c r="DN339" s="5"/>
      <c r="DO339" s="5"/>
      <c r="DP339" s="5"/>
      <c r="DQ339" s="5"/>
      <c r="DR339" s="5"/>
      <c r="DS339" s="5"/>
      <c r="DT339" s="5"/>
      <c r="DU339" s="5"/>
      <c r="DV339" s="5"/>
      <c r="DW339" s="5"/>
      <c r="DX339" s="5"/>
      <c r="DY339" s="5"/>
      <c r="DZ339" s="5"/>
      <c r="EA339" s="5"/>
      <c r="EB339" s="5"/>
      <c r="EC339" s="5"/>
      <c r="ED339" s="5"/>
      <c r="EE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c r="DT340" s="5"/>
      <c r="DU340" s="5"/>
      <c r="DV340" s="5"/>
      <c r="DW340" s="5"/>
      <c r="DX340" s="5"/>
      <c r="DY340" s="5"/>
      <c r="DZ340" s="5"/>
      <c r="EA340" s="5"/>
      <c r="EB340" s="5"/>
      <c r="EC340" s="5"/>
      <c r="ED340" s="5"/>
      <c r="EE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5"/>
      <c r="CM341" s="5"/>
      <c r="CN341" s="5"/>
      <c r="CO341" s="5"/>
      <c r="CP341" s="5"/>
      <c r="CQ341" s="5"/>
      <c r="CR341" s="5"/>
      <c r="CS341" s="5"/>
      <c r="CT341" s="5"/>
      <c r="CU341" s="5"/>
      <c r="CV341" s="5"/>
      <c r="CW341" s="5"/>
      <c r="CX341" s="5"/>
      <c r="CY341" s="5"/>
      <c r="CZ341" s="5"/>
      <c r="DA341" s="5"/>
      <c r="DB341" s="5"/>
      <c r="DC341" s="5"/>
      <c r="DD341" s="5"/>
      <c r="DE341" s="5"/>
      <c r="DF341" s="5"/>
      <c r="DG341" s="5"/>
      <c r="DH341" s="5"/>
      <c r="DI341" s="5"/>
      <c r="DJ341" s="5"/>
      <c r="DK341" s="5"/>
      <c r="DL341" s="5"/>
      <c r="DM341" s="5"/>
      <c r="DN341" s="5"/>
      <c r="DO341" s="5"/>
      <c r="DP341" s="5"/>
      <c r="DQ341" s="5"/>
      <c r="DR341" s="5"/>
      <c r="DS341" s="5"/>
      <c r="DT341" s="5"/>
      <c r="DU341" s="5"/>
      <c r="DV341" s="5"/>
      <c r="DW341" s="5"/>
      <c r="DX341" s="5"/>
      <c r="DY341" s="5"/>
      <c r="DZ341" s="5"/>
      <c r="EA341" s="5"/>
      <c r="EB341" s="5"/>
      <c r="EC341" s="5"/>
      <c r="ED341" s="5"/>
      <c r="EE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5"/>
      <c r="CM343" s="5"/>
      <c r="CN343" s="5"/>
      <c r="CO343" s="5"/>
      <c r="CP343" s="5"/>
      <c r="CQ343" s="5"/>
      <c r="CR343" s="5"/>
      <c r="CS343" s="5"/>
      <c r="CT343" s="5"/>
      <c r="CU343" s="5"/>
      <c r="CV343" s="5"/>
      <c r="CW343" s="5"/>
      <c r="CX343" s="5"/>
      <c r="CY343" s="5"/>
      <c r="CZ343" s="5"/>
      <c r="DA343" s="5"/>
      <c r="DB343" s="5"/>
      <c r="DC343" s="5"/>
      <c r="DD343" s="5"/>
      <c r="DE343" s="5"/>
      <c r="DF343" s="5"/>
      <c r="DG343" s="5"/>
      <c r="DH343" s="5"/>
      <c r="DI343" s="5"/>
      <c r="DJ343" s="5"/>
      <c r="DK343" s="5"/>
      <c r="DL343" s="5"/>
      <c r="DM343" s="5"/>
      <c r="DN343" s="5"/>
      <c r="DO343" s="5"/>
      <c r="DP343" s="5"/>
      <c r="DQ343" s="5"/>
      <c r="DR343" s="5"/>
      <c r="DS343" s="5"/>
      <c r="DT343" s="5"/>
      <c r="DU343" s="5"/>
      <c r="DV343" s="5"/>
      <c r="DW343" s="5"/>
      <c r="DX343" s="5"/>
      <c r="DY343" s="5"/>
      <c r="DZ343" s="5"/>
      <c r="EA343" s="5"/>
      <c r="EB343" s="5"/>
      <c r="EC343" s="5"/>
      <c r="ED343" s="5"/>
      <c r="EE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5"/>
      <c r="CM344" s="5"/>
      <c r="CN344" s="5"/>
      <c r="CO344" s="5"/>
      <c r="CP344" s="5"/>
      <c r="CQ344" s="5"/>
      <c r="CR344" s="5"/>
      <c r="CS344" s="5"/>
      <c r="CT344" s="5"/>
      <c r="CU344" s="5"/>
      <c r="CV344" s="5"/>
      <c r="CW344" s="5"/>
      <c r="CX344" s="5"/>
      <c r="CY344" s="5"/>
      <c r="CZ344" s="5"/>
      <c r="DA344" s="5"/>
      <c r="DB344" s="5"/>
      <c r="DC344" s="5"/>
      <c r="DD344" s="5"/>
      <c r="DE344" s="5"/>
      <c r="DF344" s="5"/>
      <c r="DG344" s="5"/>
      <c r="DH344" s="5"/>
      <c r="DI344" s="5"/>
      <c r="DJ344" s="5"/>
      <c r="DK344" s="5"/>
      <c r="DL344" s="5"/>
      <c r="DM344" s="5"/>
      <c r="DN344" s="5"/>
      <c r="DO344" s="5"/>
      <c r="DP344" s="5"/>
      <c r="DQ344" s="5"/>
      <c r="DR344" s="5"/>
      <c r="DS344" s="5"/>
      <c r="DT344" s="5"/>
      <c r="DU344" s="5"/>
      <c r="DV344" s="5"/>
      <c r="DW344" s="5"/>
      <c r="DX344" s="5"/>
      <c r="DY344" s="5"/>
      <c r="DZ344" s="5"/>
      <c r="EA344" s="5"/>
      <c r="EB344" s="5"/>
      <c r="EC344" s="5"/>
      <c r="ED344" s="5"/>
      <c r="EE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c r="DT346" s="5"/>
      <c r="DU346" s="5"/>
      <c r="DV346" s="5"/>
      <c r="DW346" s="5"/>
      <c r="DX346" s="5"/>
      <c r="DY346" s="5"/>
      <c r="DZ346" s="5"/>
      <c r="EA346" s="5"/>
      <c r="EB346" s="5"/>
      <c r="EC346" s="5"/>
      <c r="ED346" s="5"/>
      <c r="EE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5"/>
      <c r="CM347" s="5"/>
      <c r="CN347" s="5"/>
      <c r="CO347" s="5"/>
      <c r="CP347" s="5"/>
      <c r="CQ347" s="5"/>
      <c r="CR347" s="5"/>
      <c r="CS347" s="5"/>
      <c r="CT347" s="5"/>
      <c r="CU347" s="5"/>
      <c r="CV347" s="5"/>
      <c r="CW347" s="5"/>
      <c r="CX347" s="5"/>
      <c r="CY347" s="5"/>
      <c r="CZ347" s="5"/>
      <c r="DA347" s="5"/>
      <c r="DB347" s="5"/>
      <c r="DC347" s="5"/>
      <c r="DD347" s="5"/>
      <c r="DE347" s="5"/>
      <c r="DF347" s="5"/>
      <c r="DG347" s="5"/>
      <c r="DH347" s="5"/>
      <c r="DI347" s="5"/>
      <c r="DJ347" s="5"/>
      <c r="DK347" s="5"/>
      <c r="DL347" s="5"/>
      <c r="DM347" s="5"/>
      <c r="DN347" s="5"/>
      <c r="DO347" s="5"/>
      <c r="DP347" s="5"/>
      <c r="DQ347" s="5"/>
      <c r="DR347" s="5"/>
      <c r="DS347" s="5"/>
      <c r="DT347" s="5"/>
      <c r="DU347" s="5"/>
      <c r="DV347" s="5"/>
      <c r="DW347" s="5"/>
      <c r="DX347" s="5"/>
      <c r="DY347" s="5"/>
      <c r="DZ347" s="5"/>
      <c r="EA347" s="5"/>
      <c r="EB347" s="5"/>
      <c r="EC347" s="5"/>
      <c r="ED347" s="5"/>
      <c r="EE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5"/>
      <c r="CM348" s="5"/>
      <c r="CN348" s="5"/>
      <c r="CO348" s="5"/>
      <c r="CP348" s="5"/>
      <c r="CQ348" s="5"/>
      <c r="CR348" s="5"/>
      <c r="CS348" s="5"/>
      <c r="CT348" s="5"/>
      <c r="CU348" s="5"/>
      <c r="CV348" s="5"/>
      <c r="CW348" s="5"/>
      <c r="CX348" s="5"/>
      <c r="CY348" s="5"/>
      <c r="CZ348" s="5"/>
      <c r="DA348" s="5"/>
      <c r="DB348" s="5"/>
      <c r="DC348" s="5"/>
      <c r="DD348" s="5"/>
      <c r="DE348" s="5"/>
      <c r="DF348" s="5"/>
      <c r="DG348" s="5"/>
      <c r="DH348" s="5"/>
      <c r="DI348" s="5"/>
      <c r="DJ348" s="5"/>
      <c r="DK348" s="5"/>
      <c r="DL348" s="5"/>
      <c r="DM348" s="5"/>
      <c r="DN348" s="5"/>
      <c r="DO348" s="5"/>
      <c r="DP348" s="5"/>
      <c r="DQ348" s="5"/>
      <c r="DR348" s="5"/>
      <c r="DS348" s="5"/>
      <c r="DT348" s="5"/>
      <c r="DU348" s="5"/>
      <c r="DV348" s="5"/>
      <c r="DW348" s="5"/>
      <c r="DX348" s="5"/>
      <c r="DY348" s="5"/>
      <c r="DZ348" s="5"/>
      <c r="EA348" s="5"/>
      <c r="EB348" s="5"/>
      <c r="EC348" s="5"/>
      <c r="ED348" s="5"/>
      <c r="EE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5"/>
      <c r="CM349" s="5"/>
      <c r="CN349" s="5"/>
      <c r="CO349" s="5"/>
      <c r="CP349" s="5"/>
      <c r="CQ349" s="5"/>
      <c r="CR349" s="5"/>
      <c r="CS349" s="5"/>
      <c r="CT349" s="5"/>
      <c r="CU349" s="5"/>
      <c r="CV349" s="5"/>
      <c r="CW349" s="5"/>
      <c r="CX349" s="5"/>
      <c r="CY349" s="5"/>
      <c r="CZ349" s="5"/>
      <c r="DA349" s="5"/>
      <c r="DB349" s="5"/>
      <c r="DC349" s="5"/>
      <c r="DD349" s="5"/>
      <c r="DE349" s="5"/>
      <c r="DF349" s="5"/>
      <c r="DG349" s="5"/>
      <c r="DH349" s="5"/>
      <c r="DI349" s="5"/>
      <c r="DJ349" s="5"/>
      <c r="DK349" s="5"/>
      <c r="DL349" s="5"/>
      <c r="DM349" s="5"/>
      <c r="DN349" s="5"/>
      <c r="DO349" s="5"/>
      <c r="DP349" s="5"/>
      <c r="DQ349" s="5"/>
      <c r="DR349" s="5"/>
      <c r="DS349" s="5"/>
      <c r="DT349" s="5"/>
      <c r="DU349" s="5"/>
      <c r="DV349" s="5"/>
      <c r="DW349" s="5"/>
      <c r="DX349" s="5"/>
      <c r="DY349" s="5"/>
      <c r="DZ349" s="5"/>
      <c r="EA349" s="5"/>
      <c r="EB349" s="5"/>
      <c r="EC349" s="5"/>
      <c r="ED349" s="5"/>
      <c r="EE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c r="DJ350" s="5"/>
      <c r="DK350" s="5"/>
      <c r="DL350" s="5"/>
      <c r="DM350" s="5"/>
      <c r="DN350" s="5"/>
      <c r="DO350" s="5"/>
      <c r="DP350" s="5"/>
      <c r="DQ350" s="5"/>
      <c r="DR350" s="5"/>
      <c r="DS350" s="5"/>
      <c r="DT350" s="5"/>
      <c r="DU350" s="5"/>
      <c r="DV350" s="5"/>
      <c r="DW350" s="5"/>
      <c r="DX350" s="5"/>
      <c r="DY350" s="5"/>
      <c r="DZ350" s="5"/>
      <c r="EA350" s="5"/>
      <c r="EB350" s="5"/>
      <c r="EC350" s="5"/>
      <c r="ED350" s="5"/>
      <c r="EE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5"/>
      <c r="CM351" s="5"/>
      <c r="CN351" s="5"/>
      <c r="CO351" s="5"/>
      <c r="CP351" s="5"/>
      <c r="CQ351" s="5"/>
      <c r="CR351" s="5"/>
      <c r="CS351" s="5"/>
      <c r="CT351" s="5"/>
      <c r="CU351" s="5"/>
      <c r="CV351" s="5"/>
      <c r="CW351" s="5"/>
      <c r="CX351" s="5"/>
      <c r="CY351" s="5"/>
      <c r="CZ351" s="5"/>
      <c r="DA351" s="5"/>
      <c r="DB351" s="5"/>
      <c r="DC351" s="5"/>
      <c r="DD351" s="5"/>
      <c r="DE351" s="5"/>
      <c r="DF351" s="5"/>
      <c r="DG351" s="5"/>
      <c r="DH351" s="5"/>
      <c r="DI351" s="5"/>
      <c r="DJ351" s="5"/>
      <c r="DK351" s="5"/>
      <c r="DL351" s="5"/>
      <c r="DM351" s="5"/>
      <c r="DN351" s="5"/>
      <c r="DO351" s="5"/>
      <c r="DP351" s="5"/>
      <c r="DQ351" s="5"/>
      <c r="DR351" s="5"/>
      <c r="DS351" s="5"/>
      <c r="DT351" s="5"/>
      <c r="DU351" s="5"/>
      <c r="DV351" s="5"/>
      <c r="DW351" s="5"/>
      <c r="DX351" s="5"/>
      <c r="DY351" s="5"/>
      <c r="DZ351" s="5"/>
      <c r="EA351" s="5"/>
      <c r="EB351" s="5"/>
      <c r="EC351" s="5"/>
      <c r="ED351" s="5"/>
      <c r="EE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c r="DT352" s="5"/>
      <c r="DU352" s="5"/>
      <c r="DV352" s="5"/>
      <c r="DW352" s="5"/>
      <c r="DX352" s="5"/>
      <c r="DY352" s="5"/>
      <c r="DZ352" s="5"/>
      <c r="EA352" s="5"/>
      <c r="EB352" s="5"/>
      <c r="EC352" s="5"/>
      <c r="ED352" s="5"/>
      <c r="EE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5"/>
      <c r="CM353" s="5"/>
      <c r="CN353" s="5"/>
      <c r="CO353" s="5"/>
      <c r="CP353" s="5"/>
      <c r="CQ353" s="5"/>
      <c r="CR353" s="5"/>
      <c r="CS353" s="5"/>
      <c r="CT353" s="5"/>
      <c r="CU353" s="5"/>
      <c r="CV353" s="5"/>
      <c r="CW353" s="5"/>
      <c r="CX353" s="5"/>
      <c r="CY353" s="5"/>
      <c r="CZ353" s="5"/>
      <c r="DA353" s="5"/>
      <c r="DB353" s="5"/>
      <c r="DC353" s="5"/>
      <c r="DD353" s="5"/>
      <c r="DE353" s="5"/>
      <c r="DF353" s="5"/>
      <c r="DG353" s="5"/>
      <c r="DH353" s="5"/>
      <c r="DI353" s="5"/>
      <c r="DJ353" s="5"/>
      <c r="DK353" s="5"/>
      <c r="DL353" s="5"/>
      <c r="DM353" s="5"/>
      <c r="DN353" s="5"/>
      <c r="DO353" s="5"/>
      <c r="DP353" s="5"/>
      <c r="DQ353" s="5"/>
      <c r="DR353" s="5"/>
      <c r="DS353" s="5"/>
      <c r="DT353" s="5"/>
      <c r="DU353" s="5"/>
      <c r="DV353" s="5"/>
      <c r="DW353" s="5"/>
      <c r="DX353" s="5"/>
      <c r="DY353" s="5"/>
      <c r="DZ353" s="5"/>
      <c r="EA353" s="5"/>
      <c r="EB353" s="5"/>
      <c r="EC353" s="5"/>
      <c r="ED353" s="5"/>
      <c r="EE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5"/>
      <c r="CM355" s="5"/>
      <c r="CN355" s="5"/>
      <c r="CO355" s="5"/>
      <c r="CP355" s="5"/>
      <c r="CQ355" s="5"/>
      <c r="CR355" s="5"/>
      <c r="CS355" s="5"/>
      <c r="CT355" s="5"/>
      <c r="CU355" s="5"/>
      <c r="CV355" s="5"/>
      <c r="CW355" s="5"/>
      <c r="CX355" s="5"/>
      <c r="CY355" s="5"/>
      <c r="CZ355" s="5"/>
      <c r="DA355" s="5"/>
      <c r="DB355" s="5"/>
      <c r="DC355" s="5"/>
      <c r="DD355" s="5"/>
      <c r="DE355" s="5"/>
      <c r="DF355" s="5"/>
      <c r="DG355" s="5"/>
      <c r="DH355" s="5"/>
      <c r="DI355" s="5"/>
      <c r="DJ355" s="5"/>
      <c r="DK355" s="5"/>
      <c r="DL355" s="5"/>
      <c r="DM355" s="5"/>
      <c r="DN355" s="5"/>
      <c r="DO355" s="5"/>
      <c r="DP355" s="5"/>
      <c r="DQ355" s="5"/>
      <c r="DR355" s="5"/>
      <c r="DS355" s="5"/>
      <c r="DT355" s="5"/>
      <c r="DU355" s="5"/>
      <c r="DV355" s="5"/>
      <c r="DW355" s="5"/>
      <c r="DX355" s="5"/>
      <c r="DY355" s="5"/>
      <c r="DZ355" s="5"/>
      <c r="EA355" s="5"/>
      <c r="EB355" s="5"/>
      <c r="EC355" s="5"/>
      <c r="ED355" s="5"/>
      <c r="EE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5"/>
      <c r="CM356" s="5"/>
      <c r="CN356" s="5"/>
      <c r="CO356" s="5"/>
      <c r="CP356" s="5"/>
      <c r="CQ356" s="5"/>
      <c r="CR356" s="5"/>
      <c r="CS356" s="5"/>
      <c r="CT356" s="5"/>
      <c r="CU356" s="5"/>
      <c r="CV356" s="5"/>
      <c r="CW356" s="5"/>
      <c r="CX356" s="5"/>
      <c r="CY356" s="5"/>
      <c r="CZ356" s="5"/>
      <c r="DA356" s="5"/>
      <c r="DB356" s="5"/>
      <c r="DC356" s="5"/>
      <c r="DD356" s="5"/>
      <c r="DE356" s="5"/>
      <c r="DF356" s="5"/>
      <c r="DG356" s="5"/>
      <c r="DH356" s="5"/>
      <c r="DI356" s="5"/>
      <c r="DJ356" s="5"/>
      <c r="DK356" s="5"/>
      <c r="DL356" s="5"/>
      <c r="DM356" s="5"/>
      <c r="DN356" s="5"/>
      <c r="DO356" s="5"/>
      <c r="DP356" s="5"/>
      <c r="DQ356" s="5"/>
      <c r="DR356" s="5"/>
      <c r="DS356" s="5"/>
      <c r="DT356" s="5"/>
      <c r="DU356" s="5"/>
      <c r="DV356" s="5"/>
      <c r="DW356" s="5"/>
      <c r="DX356" s="5"/>
      <c r="DY356" s="5"/>
      <c r="DZ356" s="5"/>
      <c r="EA356" s="5"/>
      <c r="EB356" s="5"/>
      <c r="EC356" s="5"/>
      <c r="ED356" s="5"/>
      <c r="EE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5"/>
      <c r="CM357" s="5"/>
      <c r="CN357" s="5"/>
      <c r="CO357" s="5"/>
      <c r="CP357" s="5"/>
      <c r="CQ357" s="5"/>
      <c r="CR357" s="5"/>
      <c r="CS357" s="5"/>
      <c r="CT357" s="5"/>
      <c r="CU357" s="5"/>
      <c r="CV357" s="5"/>
      <c r="CW357" s="5"/>
      <c r="CX357" s="5"/>
      <c r="CY357" s="5"/>
      <c r="CZ357" s="5"/>
      <c r="DA357" s="5"/>
      <c r="DB357" s="5"/>
      <c r="DC357" s="5"/>
      <c r="DD357" s="5"/>
      <c r="DE357" s="5"/>
      <c r="DF357" s="5"/>
      <c r="DG357" s="5"/>
      <c r="DH357" s="5"/>
      <c r="DI357" s="5"/>
      <c r="DJ357" s="5"/>
      <c r="DK357" s="5"/>
      <c r="DL357" s="5"/>
      <c r="DM357" s="5"/>
      <c r="DN357" s="5"/>
      <c r="DO357" s="5"/>
      <c r="DP357" s="5"/>
      <c r="DQ357" s="5"/>
      <c r="DR357" s="5"/>
      <c r="DS357" s="5"/>
      <c r="DT357" s="5"/>
      <c r="DU357" s="5"/>
      <c r="DV357" s="5"/>
      <c r="DW357" s="5"/>
      <c r="DX357" s="5"/>
      <c r="DY357" s="5"/>
      <c r="DZ357" s="5"/>
      <c r="EA357" s="5"/>
      <c r="EB357" s="5"/>
      <c r="EC357" s="5"/>
      <c r="ED357" s="5"/>
      <c r="EE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c r="DT358" s="5"/>
      <c r="DU358" s="5"/>
      <c r="DV358" s="5"/>
      <c r="DW358" s="5"/>
      <c r="DX358" s="5"/>
      <c r="DY358" s="5"/>
      <c r="DZ358" s="5"/>
      <c r="EA358" s="5"/>
      <c r="EB358" s="5"/>
      <c r="EC358" s="5"/>
      <c r="ED358" s="5"/>
      <c r="EE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c r="DT359" s="5"/>
      <c r="DU359" s="5"/>
      <c r="DV359" s="5"/>
      <c r="DW359" s="5"/>
      <c r="DX359" s="5"/>
      <c r="DY359" s="5"/>
      <c r="DZ359" s="5"/>
      <c r="EA359" s="5"/>
      <c r="EB359" s="5"/>
      <c r="EC359" s="5"/>
      <c r="ED359" s="5"/>
      <c r="EE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5"/>
      <c r="CM360" s="5"/>
      <c r="CN360" s="5"/>
      <c r="CO360" s="5"/>
      <c r="CP360" s="5"/>
      <c r="CQ360" s="5"/>
      <c r="CR360" s="5"/>
      <c r="CS360" s="5"/>
      <c r="CT360" s="5"/>
      <c r="CU360" s="5"/>
      <c r="CV360" s="5"/>
      <c r="CW360" s="5"/>
      <c r="CX360" s="5"/>
      <c r="CY360" s="5"/>
      <c r="CZ360" s="5"/>
      <c r="DA360" s="5"/>
      <c r="DB360" s="5"/>
      <c r="DC360" s="5"/>
      <c r="DD360" s="5"/>
      <c r="DE360" s="5"/>
      <c r="DF360" s="5"/>
      <c r="DG360" s="5"/>
      <c r="DH360" s="5"/>
      <c r="DI360" s="5"/>
      <c r="DJ360" s="5"/>
      <c r="DK360" s="5"/>
      <c r="DL360" s="5"/>
      <c r="DM360" s="5"/>
      <c r="DN360" s="5"/>
      <c r="DO360" s="5"/>
      <c r="DP360" s="5"/>
      <c r="DQ360" s="5"/>
      <c r="DR360" s="5"/>
      <c r="DS360" s="5"/>
      <c r="DT360" s="5"/>
      <c r="DU360" s="5"/>
      <c r="DV360" s="5"/>
      <c r="DW360" s="5"/>
      <c r="DX360" s="5"/>
      <c r="DY360" s="5"/>
      <c r="DZ360" s="5"/>
      <c r="EA360" s="5"/>
      <c r="EB360" s="5"/>
      <c r="EC360" s="5"/>
      <c r="ED360" s="5"/>
      <c r="EE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5"/>
      <c r="CM361" s="5"/>
      <c r="CN361" s="5"/>
      <c r="CO361" s="5"/>
      <c r="CP361" s="5"/>
      <c r="CQ361" s="5"/>
      <c r="CR361" s="5"/>
      <c r="CS361" s="5"/>
      <c r="CT361" s="5"/>
      <c r="CU361" s="5"/>
      <c r="CV361" s="5"/>
      <c r="CW361" s="5"/>
      <c r="CX361" s="5"/>
      <c r="CY361" s="5"/>
      <c r="CZ361" s="5"/>
      <c r="DA361" s="5"/>
      <c r="DB361" s="5"/>
      <c r="DC361" s="5"/>
      <c r="DD361" s="5"/>
      <c r="DE361" s="5"/>
      <c r="DF361" s="5"/>
      <c r="DG361" s="5"/>
      <c r="DH361" s="5"/>
      <c r="DI361" s="5"/>
      <c r="DJ361" s="5"/>
      <c r="DK361" s="5"/>
      <c r="DL361" s="5"/>
      <c r="DM361" s="5"/>
      <c r="DN361" s="5"/>
      <c r="DO361" s="5"/>
      <c r="DP361" s="5"/>
      <c r="DQ361" s="5"/>
      <c r="DR361" s="5"/>
      <c r="DS361" s="5"/>
      <c r="DT361" s="5"/>
      <c r="DU361" s="5"/>
      <c r="DV361" s="5"/>
      <c r="DW361" s="5"/>
      <c r="DX361" s="5"/>
      <c r="DY361" s="5"/>
      <c r="DZ361" s="5"/>
      <c r="EA361" s="5"/>
      <c r="EB361" s="5"/>
      <c r="EC361" s="5"/>
      <c r="ED361" s="5"/>
      <c r="EE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c r="DJ362" s="5"/>
      <c r="DK362" s="5"/>
      <c r="DL362" s="5"/>
      <c r="DM362" s="5"/>
      <c r="DN362" s="5"/>
      <c r="DO362" s="5"/>
      <c r="DP362" s="5"/>
      <c r="DQ362" s="5"/>
      <c r="DR362" s="5"/>
      <c r="DS362" s="5"/>
      <c r="DT362" s="5"/>
      <c r="DU362" s="5"/>
      <c r="DV362" s="5"/>
      <c r="DW362" s="5"/>
      <c r="DX362" s="5"/>
      <c r="DY362" s="5"/>
      <c r="DZ362" s="5"/>
      <c r="EA362" s="5"/>
      <c r="EB362" s="5"/>
      <c r="EC362" s="5"/>
      <c r="ED362" s="5"/>
      <c r="EE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5"/>
      <c r="CM363" s="5"/>
      <c r="CN363" s="5"/>
      <c r="CO363" s="5"/>
      <c r="CP363" s="5"/>
      <c r="CQ363" s="5"/>
      <c r="CR363" s="5"/>
      <c r="CS363" s="5"/>
      <c r="CT363" s="5"/>
      <c r="CU363" s="5"/>
      <c r="CV363" s="5"/>
      <c r="CW363" s="5"/>
      <c r="CX363" s="5"/>
      <c r="CY363" s="5"/>
      <c r="CZ363" s="5"/>
      <c r="DA363" s="5"/>
      <c r="DB363" s="5"/>
      <c r="DC363" s="5"/>
      <c r="DD363" s="5"/>
      <c r="DE363" s="5"/>
      <c r="DF363" s="5"/>
      <c r="DG363" s="5"/>
      <c r="DH363" s="5"/>
      <c r="DI363" s="5"/>
      <c r="DJ363" s="5"/>
      <c r="DK363" s="5"/>
      <c r="DL363" s="5"/>
      <c r="DM363" s="5"/>
      <c r="DN363" s="5"/>
      <c r="DO363" s="5"/>
      <c r="DP363" s="5"/>
      <c r="DQ363" s="5"/>
      <c r="DR363" s="5"/>
      <c r="DS363" s="5"/>
      <c r="DT363" s="5"/>
      <c r="DU363" s="5"/>
      <c r="DV363" s="5"/>
      <c r="DW363" s="5"/>
      <c r="DX363" s="5"/>
      <c r="DY363" s="5"/>
      <c r="DZ363" s="5"/>
      <c r="EA363" s="5"/>
      <c r="EB363" s="5"/>
      <c r="EC363" s="5"/>
      <c r="ED363" s="5"/>
      <c r="EE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5"/>
      <c r="CM364" s="5"/>
      <c r="CN364" s="5"/>
      <c r="CO364" s="5"/>
      <c r="CP364" s="5"/>
      <c r="CQ364" s="5"/>
      <c r="CR364" s="5"/>
      <c r="CS364" s="5"/>
      <c r="CT364" s="5"/>
      <c r="CU364" s="5"/>
      <c r="CV364" s="5"/>
      <c r="CW364" s="5"/>
      <c r="CX364" s="5"/>
      <c r="CY364" s="5"/>
      <c r="CZ364" s="5"/>
      <c r="DA364" s="5"/>
      <c r="DB364" s="5"/>
      <c r="DC364" s="5"/>
      <c r="DD364" s="5"/>
      <c r="DE364" s="5"/>
      <c r="DF364" s="5"/>
      <c r="DG364" s="5"/>
      <c r="DH364" s="5"/>
      <c r="DI364" s="5"/>
      <c r="DJ364" s="5"/>
      <c r="DK364" s="5"/>
      <c r="DL364" s="5"/>
      <c r="DM364" s="5"/>
      <c r="DN364" s="5"/>
      <c r="DO364" s="5"/>
      <c r="DP364" s="5"/>
      <c r="DQ364" s="5"/>
      <c r="DR364" s="5"/>
      <c r="DS364" s="5"/>
      <c r="DT364" s="5"/>
      <c r="DU364" s="5"/>
      <c r="DV364" s="5"/>
      <c r="DW364" s="5"/>
      <c r="DX364" s="5"/>
      <c r="DY364" s="5"/>
      <c r="DZ364" s="5"/>
      <c r="EA364" s="5"/>
      <c r="EB364" s="5"/>
      <c r="EC364" s="5"/>
      <c r="ED364" s="5"/>
      <c r="EE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c r="DT365" s="5"/>
      <c r="DU365" s="5"/>
      <c r="DV365" s="5"/>
      <c r="DW365" s="5"/>
      <c r="DX365" s="5"/>
      <c r="DY365" s="5"/>
      <c r="DZ365" s="5"/>
      <c r="EA365" s="5"/>
      <c r="EB365" s="5"/>
      <c r="EC365" s="5"/>
      <c r="ED365" s="5"/>
      <c r="EE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5"/>
      <c r="CM367" s="5"/>
      <c r="CN367" s="5"/>
      <c r="CO367" s="5"/>
      <c r="CP367" s="5"/>
      <c r="CQ367" s="5"/>
      <c r="CR367" s="5"/>
      <c r="CS367" s="5"/>
      <c r="CT367" s="5"/>
      <c r="CU367" s="5"/>
      <c r="CV367" s="5"/>
      <c r="CW367" s="5"/>
      <c r="CX367" s="5"/>
      <c r="CY367" s="5"/>
      <c r="CZ367" s="5"/>
      <c r="DA367" s="5"/>
      <c r="DB367" s="5"/>
      <c r="DC367" s="5"/>
      <c r="DD367" s="5"/>
      <c r="DE367" s="5"/>
      <c r="DF367" s="5"/>
      <c r="DG367" s="5"/>
      <c r="DH367" s="5"/>
      <c r="DI367" s="5"/>
      <c r="DJ367" s="5"/>
      <c r="DK367" s="5"/>
      <c r="DL367" s="5"/>
      <c r="DM367" s="5"/>
      <c r="DN367" s="5"/>
      <c r="DO367" s="5"/>
      <c r="DP367" s="5"/>
      <c r="DQ367" s="5"/>
      <c r="DR367" s="5"/>
      <c r="DS367" s="5"/>
      <c r="DT367" s="5"/>
      <c r="DU367" s="5"/>
      <c r="DV367" s="5"/>
      <c r="DW367" s="5"/>
      <c r="DX367" s="5"/>
      <c r="DY367" s="5"/>
      <c r="DZ367" s="5"/>
      <c r="EA367" s="5"/>
      <c r="EB367" s="5"/>
      <c r="EC367" s="5"/>
      <c r="ED367" s="5"/>
      <c r="EE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5"/>
      <c r="CM368" s="5"/>
      <c r="CN368" s="5"/>
      <c r="CO368" s="5"/>
      <c r="CP368" s="5"/>
      <c r="CQ368" s="5"/>
      <c r="CR368" s="5"/>
      <c r="CS368" s="5"/>
      <c r="CT368" s="5"/>
      <c r="CU368" s="5"/>
      <c r="CV368" s="5"/>
      <c r="CW368" s="5"/>
      <c r="CX368" s="5"/>
      <c r="CY368" s="5"/>
      <c r="CZ368" s="5"/>
      <c r="DA368" s="5"/>
      <c r="DB368" s="5"/>
      <c r="DC368" s="5"/>
      <c r="DD368" s="5"/>
      <c r="DE368" s="5"/>
      <c r="DF368" s="5"/>
      <c r="DG368" s="5"/>
      <c r="DH368" s="5"/>
      <c r="DI368" s="5"/>
      <c r="DJ368" s="5"/>
      <c r="DK368" s="5"/>
      <c r="DL368" s="5"/>
      <c r="DM368" s="5"/>
      <c r="DN368" s="5"/>
      <c r="DO368" s="5"/>
      <c r="DP368" s="5"/>
      <c r="DQ368" s="5"/>
      <c r="DR368" s="5"/>
      <c r="DS368" s="5"/>
      <c r="DT368" s="5"/>
      <c r="DU368" s="5"/>
      <c r="DV368" s="5"/>
      <c r="DW368" s="5"/>
      <c r="DX368" s="5"/>
      <c r="DY368" s="5"/>
      <c r="DZ368" s="5"/>
      <c r="EA368" s="5"/>
      <c r="EB368" s="5"/>
      <c r="EC368" s="5"/>
      <c r="ED368" s="5"/>
      <c r="EE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5"/>
      <c r="CM369" s="5"/>
      <c r="CN369" s="5"/>
      <c r="CO369" s="5"/>
      <c r="CP369" s="5"/>
      <c r="CQ369" s="5"/>
      <c r="CR369" s="5"/>
      <c r="CS369" s="5"/>
      <c r="CT369" s="5"/>
      <c r="CU369" s="5"/>
      <c r="CV369" s="5"/>
      <c r="CW369" s="5"/>
      <c r="CX369" s="5"/>
      <c r="CY369" s="5"/>
      <c r="CZ369" s="5"/>
      <c r="DA369" s="5"/>
      <c r="DB369" s="5"/>
      <c r="DC369" s="5"/>
      <c r="DD369" s="5"/>
      <c r="DE369" s="5"/>
      <c r="DF369" s="5"/>
      <c r="DG369" s="5"/>
      <c r="DH369" s="5"/>
      <c r="DI369" s="5"/>
      <c r="DJ369" s="5"/>
      <c r="DK369" s="5"/>
      <c r="DL369" s="5"/>
      <c r="DM369" s="5"/>
      <c r="DN369" s="5"/>
      <c r="DO369" s="5"/>
      <c r="DP369" s="5"/>
      <c r="DQ369" s="5"/>
      <c r="DR369" s="5"/>
      <c r="DS369" s="5"/>
      <c r="DT369" s="5"/>
      <c r="DU369" s="5"/>
      <c r="DV369" s="5"/>
      <c r="DW369" s="5"/>
      <c r="DX369" s="5"/>
      <c r="DY369" s="5"/>
      <c r="DZ369" s="5"/>
      <c r="EA369" s="5"/>
      <c r="EB369" s="5"/>
      <c r="EC369" s="5"/>
      <c r="ED369" s="5"/>
      <c r="EE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5"/>
      <c r="CM370" s="5"/>
      <c r="CN370" s="5"/>
      <c r="CO370" s="5"/>
      <c r="CP370" s="5"/>
      <c r="CQ370" s="5"/>
      <c r="CR370" s="5"/>
      <c r="CS370" s="5"/>
      <c r="CT370" s="5"/>
      <c r="CU370" s="5"/>
      <c r="CV370" s="5"/>
      <c r="CW370" s="5"/>
      <c r="CX370" s="5"/>
      <c r="CY370" s="5"/>
      <c r="CZ370" s="5"/>
      <c r="DA370" s="5"/>
      <c r="DB370" s="5"/>
      <c r="DC370" s="5"/>
      <c r="DD370" s="5"/>
      <c r="DE370" s="5"/>
      <c r="DF370" s="5"/>
      <c r="DG370" s="5"/>
      <c r="DH370" s="5"/>
      <c r="DI370" s="5"/>
      <c r="DJ370" s="5"/>
      <c r="DK370" s="5"/>
      <c r="DL370" s="5"/>
      <c r="DM370" s="5"/>
      <c r="DN370" s="5"/>
      <c r="DO370" s="5"/>
      <c r="DP370" s="5"/>
      <c r="DQ370" s="5"/>
      <c r="DR370" s="5"/>
      <c r="DS370" s="5"/>
      <c r="DT370" s="5"/>
      <c r="DU370" s="5"/>
      <c r="DV370" s="5"/>
      <c r="DW370" s="5"/>
      <c r="DX370" s="5"/>
      <c r="DY370" s="5"/>
      <c r="DZ370" s="5"/>
      <c r="EA370" s="5"/>
      <c r="EB370" s="5"/>
      <c r="EC370" s="5"/>
      <c r="ED370" s="5"/>
      <c r="EE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c r="DT371" s="5"/>
      <c r="DU371" s="5"/>
      <c r="DV371" s="5"/>
      <c r="DW371" s="5"/>
      <c r="DX371" s="5"/>
      <c r="DY371" s="5"/>
      <c r="DZ371" s="5"/>
      <c r="EA371" s="5"/>
      <c r="EB371" s="5"/>
      <c r="EC371" s="5"/>
      <c r="ED371" s="5"/>
      <c r="EE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c r="DJ372" s="5"/>
      <c r="DK372" s="5"/>
      <c r="DL372" s="5"/>
      <c r="DM372" s="5"/>
      <c r="DN372" s="5"/>
      <c r="DO372" s="5"/>
      <c r="DP372" s="5"/>
      <c r="DQ372" s="5"/>
      <c r="DR372" s="5"/>
      <c r="DS372" s="5"/>
      <c r="DT372" s="5"/>
      <c r="DU372" s="5"/>
      <c r="DV372" s="5"/>
      <c r="DW372" s="5"/>
      <c r="DX372" s="5"/>
      <c r="DY372" s="5"/>
      <c r="DZ372" s="5"/>
      <c r="EA372" s="5"/>
      <c r="EB372" s="5"/>
      <c r="EC372" s="5"/>
      <c r="ED372" s="5"/>
      <c r="EE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c r="DJ373" s="5"/>
      <c r="DK373" s="5"/>
      <c r="DL373" s="5"/>
      <c r="DM373" s="5"/>
      <c r="DN373" s="5"/>
      <c r="DO373" s="5"/>
      <c r="DP373" s="5"/>
      <c r="DQ373" s="5"/>
      <c r="DR373" s="5"/>
      <c r="DS373" s="5"/>
      <c r="DT373" s="5"/>
      <c r="DU373" s="5"/>
      <c r="DV373" s="5"/>
      <c r="DW373" s="5"/>
      <c r="DX373" s="5"/>
      <c r="DY373" s="5"/>
      <c r="DZ373" s="5"/>
      <c r="EA373" s="5"/>
      <c r="EB373" s="5"/>
      <c r="EC373" s="5"/>
      <c r="ED373" s="5"/>
      <c r="EE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5"/>
      <c r="CM374" s="5"/>
      <c r="CN374" s="5"/>
      <c r="CO374" s="5"/>
      <c r="CP374" s="5"/>
      <c r="CQ374" s="5"/>
      <c r="CR374" s="5"/>
      <c r="CS374" s="5"/>
      <c r="CT374" s="5"/>
      <c r="CU374" s="5"/>
      <c r="CV374" s="5"/>
      <c r="CW374" s="5"/>
      <c r="CX374" s="5"/>
      <c r="CY374" s="5"/>
      <c r="CZ374" s="5"/>
      <c r="DA374" s="5"/>
      <c r="DB374" s="5"/>
      <c r="DC374" s="5"/>
      <c r="DD374" s="5"/>
      <c r="DE374" s="5"/>
      <c r="DF374" s="5"/>
      <c r="DG374" s="5"/>
      <c r="DH374" s="5"/>
      <c r="DI374" s="5"/>
      <c r="DJ374" s="5"/>
      <c r="DK374" s="5"/>
      <c r="DL374" s="5"/>
      <c r="DM374" s="5"/>
      <c r="DN374" s="5"/>
      <c r="DO374" s="5"/>
      <c r="DP374" s="5"/>
      <c r="DQ374" s="5"/>
      <c r="DR374" s="5"/>
      <c r="DS374" s="5"/>
      <c r="DT374" s="5"/>
      <c r="DU374" s="5"/>
      <c r="DV374" s="5"/>
      <c r="DW374" s="5"/>
      <c r="DX374" s="5"/>
      <c r="DY374" s="5"/>
      <c r="DZ374" s="5"/>
      <c r="EA374" s="5"/>
      <c r="EB374" s="5"/>
      <c r="EC374" s="5"/>
      <c r="ED374" s="5"/>
      <c r="EE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5"/>
      <c r="CM375" s="5"/>
      <c r="CN375" s="5"/>
      <c r="CO375" s="5"/>
      <c r="CP375" s="5"/>
      <c r="CQ375" s="5"/>
      <c r="CR375" s="5"/>
      <c r="CS375" s="5"/>
      <c r="CT375" s="5"/>
      <c r="CU375" s="5"/>
      <c r="CV375" s="5"/>
      <c r="CW375" s="5"/>
      <c r="CX375" s="5"/>
      <c r="CY375" s="5"/>
      <c r="CZ375" s="5"/>
      <c r="DA375" s="5"/>
      <c r="DB375" s="5"/>
      <c r="DC375" s="5"/>
      <c r="DD375" s="5"/>
      <c r="DE375" s="5"/>
      <c r="DF375" s="5"/>
      <c r="DG375" s="5"/>
      <c r="DH375" s="5"/>
      <c r="DI375" s="5"/>
      <c r="DJ375" s="5"/>
      <c r="DK375" s="5"/>
      <c r="DL375" s="5"/>
      <c r="DM375" s="5"/>
      <c r="DN375" s="5"/>
      <c r="DO375" s="5"/>
      <c r="DP375" s="5"/>
      <c r="DQ375" s="5"/>
      <c r="DR375" s="5"/>
      <c r="DS375" s="5"/>
      <c r="DT375" s="5"/>
      <c r="DU375" s="5"/>
      <c r="DV375" s="5"/>
      <c r="DW375" s="5"/>
      <c r="DX375" s="5"/>
      <c r="DY375" s="5"/>
      <c r="DZ375" s="5"/>
      <c r="EA375" s="5"/>
      <c r="EB375" s="5"/>
      <c r="EC375" s="5"/>
      <c r="ED375" s="5"/>
      <c r="EE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5"/>
      <c r="CM376" s="5"/>
      <c r="CN376" s="5"/>
      <c r="CO376" s="5"/>
      <c r="CP376" s="5"/>
      <c r="CQ376" s="5"/>
      <c r="CR376" s="5"/>
      <c r="CS376" s="5"/>
      <c r="CT376" s="5"/>
      <c r="CU376" s="5"/>
      <c r="CV376" s="5"/>
      <c r="CW376" s="5"/>
      <c r="CX376" s="5"/>
      <c r="CY376" s="5"/>
      <c r="CZ376" s="5"/>
      <c r="DA376" s="5"/>
      <c r="DB376" s="5"/>
      <c r="DC376" s="5"/>
      <c r="DD376" s="5"/>
      <c r="DE376" s="5"/>
      <c r="DF376" s="5"/>
      <c r="DG376" s="5"/>
      <c r="DH376" s="5"/>
      <c r="DI376" s="5"/>
      <c r="DJ376" s="5"/>
      <c r="DK376" s="5"/>
      <c r="DL376" s="5"/>
      <c r="DM376" s="5"/>
      <c r="DN376" s="5"/>
      <c r="DO376" s="5"/>
      <c r="DP376" s="5"/>
      <c r="DQ376" s="5"/>
      <c r="DR376" s="5"/>
      <c r="DS376" s="5"/>
      <c r="DT376" s="5"/>
      <c r="DU376" s="5"/>
      <c r="DV376" s="5"/>
      <c r="DW376" s="5"/>
      <c r="DX376" s="5"/>
      <c r="DY376" s="5"/>
      <c r="DZ376" s="5"/>
      <c r="EA376" s="5"/>
      <c r="EB376" s="5"/>
      <c r="EC376" s="5"/>
      <c r="ED376" s="5"/>
      <c r="EE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c r="DT377" s="5"/>
      <c r="DU377" s="5"/>
      <c r="DV377" s="5"/>
      <c r="DW377" s="5"/>
      <c r="DX377" s="5"/>
      <c r="DY377" s="5"/>
      <c r="DZ377" s="5"/>
      <c r="EA377" s="5"/>
      <c r="EB377" s="5"/>
      <c r="EC377" s="5"/>
      <c r="ED377" s="5"/>
      <c r="EE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5"/>
      <c r="CM378" s="5"/>
      <c r="CN378" s="5"/>
      <c r="CO378" s="5"/>
      <c r="CP378" s="5"/>
      <c r="CQ378" s="5"/>
      <c r="CR378" s="5"/>
      <c r="CS378" s="5"/>
      <c r="CT378" s="5"/>
      <c r="CU378" s="5"/>
      <c r="CV378" s="5"/>
      <c r="CW378" s="5"/>
      <c r="CX378" s="5"/>
      <c r="CY378" s="5"/>
      <c r="CZ378" s="5"/>
      <c r="DA378" s="5"/>
      <c r="DB378" s="5"/>
      <c r="DC378" s="5"/>
      <c r="DD378" s="5"/>
      <c r="DE378" s="5"/>
      <c r="DF378" s="5"/>
      <c r="DG378" s="5"/>
      <c r="DH378" s="5"/>
      <c r="DI378" s="5"/>
      <c r="DJ378" s="5"/>
      <c r="DK378" s="5"/>
      <c r="DL378" s="5"/>
      <c r="DM378" s="5"/>
      <c r="DN378" s="5"/>
      <c r="DO378" s="5"/>
      <c r="DP378" s="5"/>
      <c r="DQ378" s="5"/>
      <c r="DR378" s="5"/>
      <c r="DS378" s="5"/>
      <c r="DT378" s="5"/>
      <c r="DU378" s="5"/>
      <c r="DV378" s="5"/>
      <c r="DW378" s="5"/>
      <c r="DX378" s="5"/>
      <c r="DY378" s="5"/>
      <c r="DZ378" s="5"/>
      <c r="EA378" s="5"/>
      <c r="EB378" s="5"/>
      <c r="EC378" s="5"/>
      <c r="ED378" s="5"/>
      <c r="EE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c r="DJ379" s="5"/>
      <c r="DK379" s="5"/>
      <c r="DL379" s="5"/>
      <c r="DM379" s="5"/>
      <c r="DN379" s="5"/>
      <c r="DO379" s="5"/>
      <c r="DP379" s="5"/>
      <c r="DQ379" s="5"/>
      <c r="DR379" s="5"/>
      <c r="DS379" s="5"/>
      <c r="DT379" s="5"/>
      <c r="DU379" s="5"/>
      <c r="DV379" s="5"/>
      <c r="DW379" s="5"/>
      <c r="DX379" s="5"/>
      <c r="DY379" s="5"/>
      <c r="DZ379" s="5"/>
      <c r="EA379" s="5"/>
      <c r="EB379" s="5"/>
      <c r="EC379" s="5"/>
      <c r="ED379" s="5"/>
      <c r="EE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5"/>
      <c r="CM380" s="5"/>
      <c r="CN380" s="5"/>
      <c r="CO380" s="5"/>
      <c r="CP380" s="5"/>
      <c r="CQ380" s="5"/>
      <c r="CR380" s="5"/>
      <c r="CS380" s="5"/>
      <c r="CT380" s="5"/>
      <c r="CU380" s="5"/>
      <c r="CV380" s="5"/>
      <c r="CW380" s="5"/>
      <c r="CX380" s="5"/>
      <c r="CY380" s="5"/>
      <c r="CZ380" s="5"/>
      <c r="DA380" s="5"/>
      <c r="DB380" s="5"/>
      <c r="DC380" s="5"/>
      <c r="DD380" s="5"/>
      <c r="DE380" s="5"/>
      <c r="DF380" s="5"/>
      <c r="DG380" s="5"/>
      <c r="DH380" s="5"/>
      <c r="DI380" s="5"/>
      <c r="DJ380" s="5"/>
      <c r="DK380" s="5"/>
      <c r="DL380" s="5"/>
      <c r="DM380" s="5"/>
      <c r="DN380" s="5"/>
      <c r="DO380" s="5"/>
      <c r="DP380" s="5"/>
      <c r="DQ380" s="5"/>
      <c r="DR380" s="5"/>
      <c r="DS380" s="5"/>
      <c r="DT380" s="5"/>
      <c r="DU380" s="5"/>
      <c r="DV380" s="5"/>
      <c r="DW380" s="5"/>
      <c r="DX380" s="5"/>
      <c r="DY380" s="5"/>
      <c r="DZ380" s="5"/>
      <c r="EA380" s="5"/>
      <c r="EB380" s="5"/>
      <c r="EC380" s="5"/>
      <c r="ED380" s="5"/>
      <c r="EE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5"/>
      <c r="CM381" s="5"/>
      <c r="CN381" s="5"/>
      <c r="CO381" s="5"/>
      <c r="CP381" s="5"/>
      <c r="CQ381" s="5"/>
      <c r="CR381" s="5"/>
      <c r="CS381" s="5"/>
      <c r="CT381" s="5"/>
      <c r="CU381" s="5"/>
      <c r="CV381" s="5"/>
      <c r="CW381" s="5"/>
      <c r="CX381" s="5"/>
      <c r="CY381" s="5"/>
      <c r="CZ381" s="5"/>
      <c r="DA381" s="5"/>
      <c r="DB381" s="5"/>
      <c r="DC381" s="5"/>
      <c r="DD381" s="5"/>
      <c r="DE381" s="5"/>
      <c r="DF381" s="5"/>
      <c r="DG381" s="5"/>
      <c r="DH381" s="5"/>
      <c r="DI381" s="5"/>
      <c r="DJ381" s="5"/>
      <c r="DK381" s="5"/>
      <c r="DL381" s="5"/>
      <c r="DM381" s="5"/>
      <c r="DN381" s="5"/>
      <c r="DO381" s="5"/>
      <c r="DP381" s="5"/>
      <c r="DQ381" s="5"/>
      <c r="DR381" s="5"/>
      <c r="DS381" s="5"/>
      <c r="DT381" s="5"/>
      <c r="DU381" s="5"/>
      <c r="DV381" s="5"/>
      <c r="DW381" s="5"/>
      <c r="DX381" s="5"/>
      <c r="DY381" s="5"/>
      <c r="DZ381" s="5"/>
      <c r="EA381" s="5"/>
      <c r="EB381" s="5"/>
      <c r="EC381" s="5"/>
      <c r="ED381" s="5"/>
      <c r="EE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5"/>
      <c r="CM382" s="5"/>
      <c r="CN382" s="5"/>
      <c r="CO382" s="5"/>
      <c r="CP382" s="5"/>
      <c r="CQ382" s="5"/>
      <c r="CR382" s="5"/>
      <c r="CS382" s="5"/>
      <c r="CT382" s="5"/>
      <c r="CU382" s="5"/>
      <c r="CV382" s="5"/>
      <c r="CW382" s="5"/>
      <c r="CX382" s="5"/>
      <c r="CY382" s="5"/>
      <c r="CZ382" s="5"/>
      <c r="DA382" s="5"/>
      <c r="DB382" s="5"/>
      <c r="DC382" s="5"/>
      <c r="DD382" s="5"/>
      <c r="DE382" s="5"/>
      <c r="DF382" s="5"/>
      <c r="DG382" s="5"/>
      <c r="DH382" s="5"/>
      <c r="DI382" s="5"/>
      <c r="DJ382" s="5"/>
      <c r="DK382" s="5"/>
      <c r="DL382" s="5"/>
      <c r="DM382" s="5"/>
      <c r="DN382" s="5"/>
      <c r="DO382" s="5"/>
      <c r="DP382" s="5"/>
      <c r="DQ382" s="5"/>
      <c r="DR382" s="5"/>
      <c r="DS382" s="5"/>
      <c r="DT382" s="5"/>
      <c r="DU382" s="5"/>
      <c r="DV382" s="5"/>
      <c r="DW382" s="5"/>
      <c r="DX382" s="5"/>
      <c r="DY382" s="5"/>
      <c r="DZ382" s="5"/>
      <c r="EA382" s="5"/>
      <c r="EB382" s="5"/>
      <c r="EC382" s="5"/>
      <c r="ED382" s="5"/>
      <c r="EE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c r="DT383" s="5"/>
      <c r="DU383" s="5"/>
      <c r="DV383" s="5"/>
      <c r="DW383" s="5"/>
      <c r="DX383" s="5"/>
      <c r="DY383" s="5"/>
      <c r="DZ383" s="5"/>
      <c r="EA383" s="5"/>
      <c r="EB383" s="5"/>
      <c r="EC383" s="5"/>
      <c r="ED383" s="5"/>
      <c r="EE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5"/>
      <c r="CM384" s="5"/>
      <c r="CN384" s="5"/>
      <c r="CO384" s="5"/>
      <c r="CP384" s="5"/>
      <c r="CQ384" s="5"/>
      <c r="CR384" s="5"/>
      <c r="CS384" s="5"/>
      <c r="CT384" s="5"/>
      <c r="CU384" s="5"/>
      <c r="CV384" s="5"/>
      <c r="CW384" s="5"/>
      <c r="CX384" s="5"/>
      <c r="CY384" s="5"/>
      <c r="CZ384" s="5"/>
      <c r="DA384" s="5"/>
      <c r="DB384" s="5"/>
      <c r="DC384" s="5"/>
      <c r="DD384" s="5"/>
      <c r="DE384" s="5"/>
      <c r="DF384" s="5"/>
      <c r="DG384" s="5"/>
      <c r="DH384" s="5"/>
      <c r="DI384" s="5"/>
      <c r="DJ384" s="5"/>
      <c r="DK384" s="5"/>
      <c r="DL384" s="5"/>
      <c r="DM384" s="5"/>
      <c r="DN384" s="5"/>
      <c r="DO384" s="5"/>
      <c r="DP384" s="5"/>
      <c r="DQ384" s="5"/>
      <c r="DR384" s="5"/>
      <c r="DS384" s="5"/>
      <c r="DT384" s="5"/>
      <c r="DU384" s="5"/>
      <c r="DV384" s="5"/>
      <c r="DW384" s="5"/>
      <c r="DX384" s="5"/>
      <c r="DY384" s="5"/>
      <c r="DZ384" s="5"/>
      <c r="EA384" s="5"/>
      <c r="EB384" s="5"/>
      <c r="EC384" s="5"/>
      <c r="ED384" s="5"/>
      <c r="EE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5"/>
      <c r="CM385" s="5"/>
      <c r="CN385" s="5"/>
      <c r="CO385" s="5"/>
      <c r="CP385" s="5"/>
      <c r="CQ385" s="5"/>
      <c r="CR385" s="5"/>
      <c r="CS385" s="5"/>
      <c r="CT385" s="5"/>
      <c r="CU385" s="5"/>
      <c r="CV385" s="5"/>
      <c r="CW385" s="5"/>
      <c r="CX385" s="5"/>
      <c r="CY385" s="5"/>
      <c r="CZ385" s="5"/>
      <c r="DA385" s="5"/>
      <c r="DB385" s="5"/>
      <c r="DC385" s="5"/>
      <c r="DD385" s="5"/>
      <c r="DE385" s="5"/>
      <c r="DF385" s="5"/>
      <c r="DG385" s="5"/>
      <c r="DH385" s="5"/>
      <c r="DI385" s="5"/>
      <c r="DJ385" s="5"/>
      <c r="DK385" s="5"/>
      <c r="DL385" s="5"/>
      <c r="DM385" s="5"/>
      <c r="DN385" s="5"/>
      <c r="DO385" s="5"/>
      <c r="DP385" s="5"/>
      <c r="DQ385" s="5"/>
      <c r="DR385" s="5"/>
      <c r="DS385" s="5"/>
      <c r="DT385" s="5"/>
      <c r="DU385" s="5"/>
      <c r="DV385" s="5"/>
      <c r="DW385" s="5"/>
      <c r="DX385" s="5"/>
      <c r="DY385" s="5"/>
      <c r="DZ385" s="5"/>
      <c r="EA385" s="5"/>
      <c r="EB385" s="5"/>
      <c r="EC385" s="5"/>
      <c r="ED385" s="5"/>
      <c r="EE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5"/>
      <c r="CM386" s="5"/>
      <c r="CN386" s="5"/>
      <c r="CO386" s="5"/>
      <c r="CP386" s="5"/>
      <c r="CQ386" s="5"/>
      <c r="CR386" s="5"/>
      <c r="CS386" s="5"/>
      <c r="CT386" s="5"/>
      <c r="CU386" s="5"/>
      <c r="CV386" s="5"/>
      <c r="CW386" s="5"/>
      <c r="CX386" s="5"/>
      <c r="CY386" s="5"/>
      <c r="CZ386" s="5"/>
      <c r="DA386" s="5"/>
      <c r="DB386" s="5"/>
      <c r="DC386" s="5"/>
      <c r="DD386" s="5"/>
      <c r="DE386" s="5"/>
      <c r="DF386" s="5"/>
      <c r="DG386" s="5"/>
      <c r="DH386" s="5"/>
      <c r="DI386" s="5"/>
      <c r="DJ386" s="5"/>
      <c r="DK386" s="5"/>
      <c r="DL386" s="5"/>
      <c r="DM386" s="5"/>
      <c r="DN386" s="5"/>
      <c r="DO386" s="5"/>
      <c r="DP386" s="5"/>
      <c r="DQ386" s="5"/>
      <c r="DR386" s="5"/>
      <c r="DS386" s="5"/>
      <c r="DT386" s="5"/>
      <c r="DU386" s="5"/>
      <c r="DV386" s="5"/>
      <c r="DW386" s="5"/>
      <c r="DX386" s="5"/>
      <c r="DY386" s="5"/>
      <c r="DZ386" s="5"/>
      <c r="EA386" s="5"/>
      <c r="EB386" s="5"/>
      <c r="EC386" s="5"/>
      <c r="ED386" s="5"/>
      <c r="EE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5"/>
      <c r="CM388" s="5"/>
      <c r="CN388" s="5"/>
      <c r="CO388" s="5"/>
      <c r="CP388" s="5"/>
      <c r="CQ388" s="5"/>
      <c r="CR388" s="5"/>
      <c r="CS388" s="5"/>
      <c r="CT388" s="5"/>
      <c r="CU388" s="5"/>
      <c r="CV388" s="5"/>
      <c r="CW388" s="5"/>
      <c r="CX388" s="5"/>
      <c r="CY388" s="5"/>
      <c r="CZ388" s="5"/>
      <c r="DA388" s="5"/>
      <c r="DB388" s="5"/>
      <c r="DC388" s="5"/>
      <c r="DD388" s="5"/>
      <c r="DE388" s="5"/>
      <c r="DF388" s="5"/>
      <c r="DG388" s="5"/>
      <c r="DH388" s="5"/>
      <c r="DI388" s="5"/>
      <c r="DJ388" s="5"/>
      <c r="DK388" s="5"/>
      <c r="DL388" s="5"/>
      <c r="DM388" s="5"/>
      <c r="DN388" s="5"/>
      <c r="DO388" s="5"/>
      <c r="DP388" s="5"/>
      <c r="DQ388" s="5"/>
      <c r="DR388" s="5"/>
      <c r="DS388" s="5"/>
      <c r="DT388" s="5"/>
      <c r="DU388" s="5"/>
      <c r="DV388" s="5"/>
      <c r="DW388" s="5"/>
      <c r="DX388" s="5"/>
      <c r="DY388" s="5"/>
      <c r="DZ388" s="5"/>
      <c r="EA388" s="5"/>
      <c r="EB388" s="5"/>
      <c r="EC388" s="5"/>
      <c r="ED388" s="5"/>
      <c r="EE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c r="DT389" s="5"/>
      <c r="DU389" s="5"/>
      <c r="DV389" s="5"/>
      <c r="DW389" s="5"/>
      <c r="DX389" s="5"/>
      <c r="DY389" s="5"/>
      <c r="DZ389" s="5"/>
      <c r="EA389" s="5"/>
      <c r="EB389" s="5"/>
      <c r="EC389" s="5"/>
      <c r="ED389" s="5"/>
      <c r="EE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5"/>
      <c r="CM390" s="5"/>
      <c r="CN390" s="5"/>
      <c r="CO390" s="5"/>
      <c r="CP390" s="5"/>
      <c r="CQ390" s="5"/>
      <c r="CR390" s="5"/>
      <c r="CS390" s="5"/>
      <c r="CT390" s="5"/>
      <c r="CU390" s="5"/>
      <c r="CV390" s="5"/>
      <c r="CW390" s="5"/>
      <c r="CX390" s="5"/>
      <c r="CY390" s="5"/>
      <c r="CZ390" s="5"/>
      <c r="DA390" s="5"/>
      <c r="DB390" s="5"/>
      <c r="DC390" s="5"/>
      <c r="DD390" s="5"/>
      <c r="DE390" s="5"/>
      <c r="DF390" s="5"/>
      <c r="DG390" s="5"/>
      <c r="DH390" s="5"/>
      <c r="DI390" s="5"/>
      <c r="DJ390" s="5"/>
      <c r="DK390" s="5"/>
      <c r="DL390" s="5"/>
      <c r="DM390" s="5"/>
      <c r="DN390" s="5"/>
      <c r="DO390" s="5"/>
      <c r="DP390" s="5"/>
      <c r="DQ390" s="5"/>
      <c r="DR390" s="5"/>
      <c r="DS390" s="5"/>
      <c r="DT390" s="5"/>
      <c r="DU390" s="5"/>
      <c r="DV390" s="5"/>
      <c r="DW390" s="5"/>
      <c r="DX390" s="5"/>
      <c r="DY390" s="5"/>
      <c r="DZ390" s="5"/>
      <c r="EA390" s="5"/>
      <c r="EB390" s="5"/>
      <c r="EC390" s="5"/>
      <c r="ED390" s="5"/>
      <c r="EE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5"/>
      <c r="CM391" s="5"/>
      <c r="CN391" s="5"/>
      <c r="CO391" s="5"/>
      <c r="CP391" s="5"/>
      <c r="CQ391" s="5"/>
      <c r="CR391" s="5"/>
      <c r="CS391" s="5"/>
      <c r="CT391" s="5"/>
      <c r="CU391" s="5"/>
      <c r="CV391" s="5"/>
      <c r="CW391" s="5"/>
      <c r="CX391" s="5"/>
      <c r="CY391" s="5"/>
      <c r="CZ391" s="5"/>
      <c r="DA391" s="5"/>
      <c r="DB391" s="5"/>
      <c r="DC391" s="5"/>
      <c r="DD391" s="5"/>
      <c r="DE391" s="5"/>
      <c r="DF391" s="5"/>
      <c r="DG391" s="5"/>
      <c r="DH391" s="5"/>
      <c r="DI391" s="5"/>
      <c r="DJ391" s="5"/>
      <c r="DK391" s="5"/>
      <c r="DL391" s="5"/>
      <c r="DM391" s="5"/>
      <c r="DN391" s="5"/>
      <c r="DO391" s="5"/>
      <c r="DP391" s="5"/>
      <c r="DQ391" s="5"/>
      <c r="DR391" s="5"/>
      <c r="DS391" s="5"/>
      <c r="DT391" s="5"/>
      <c r="DU391" s="5"/>
      <c r="DV391" s="5"/>
      <c r="DW391" s="5"/>
      <c r="DX391" s="5"/>
      <c r="DY391" s="5"/>
      <c r="DZ391" s="5"/>
      <c r="EA391" s="5"/>
      <c r="EB391" s="5"/>
      <c r="EC391" s="5"/>
      <c r="ED391" s="5"/>
      <c r="EE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5"/>
      <c r="CM392" s="5"/>
      <c r="CN392" s="5"/>
      <c r="CO392" s="5"/>
      <c r="CP392" s="5"/>
      <c r="CQ392" s="5"/>
      <c r="CR392" s="5"/>
      <c r="CS392" s="5"/>
      <c r="CT392" s="5"/>
      <c r="CU392" s="5"/>
      <c r="CV392" s="5"/>
      <c r="CW392" s="5"/>
      <c r="CX392" s="5"/>
      <c r="CY392" s="5"/>
      <c r="CZ392" s="5"/>
      <c r="DA392" s="5"/>
      <c r="DB392" s="5"/>
      <c r="DC392" s="5"/>
      <c r="DD392" s="5"/>
      <c r="DE392" s="5"/>
      <c r="DF392" s="5"/>
      <c r="DG392" s="5"/>
      <c r="DH392" s="5"/>
      <c r="DI392" s="5"/>
      <c r="DJ392" s="5"/>
      <c r="DK392" s="5"/>
      <c r="DL392" s="5"/>
      <c r="DM392" s="5"/>
      <c r="DN392" s="5"/>
      <c r="DO392" s="5"/>
      <c r="DP392" s="5"/>
      <c r="DQ392" s="5"/>
      <c r="DR392" s="5"/>
      <c r="DS392" s="5"/>
      <c r="DT392" s="5"/>
      <c r="DU392" s="5"/>
      <c r="DV392" s="5"/>
      <c r="DW392" s="5"/>
      <c r="DX392" s="5"/>
      <c r="DY392" s="5"/>
      <c r="DZ392" s="5"/>
      <c r="EA392" s="5"/>
      <c r="EB392" s="5"/>
      <c r="EC392" s="5"/>
      <c r="ED392" s="5"/>
      <c r="EE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c r="DJ393" s="5"/>
      <c r="DK393" s="5"/>
      <c r="DL393" s="5"/>
      <c r="DM393" s="5"/>
      <c r="DN393" s="5"/>
      <c r="DO393" s="5"/>
      <c r="DP393" s="5"/>
      <c r="DQ393" s="5"/>
      <c r="DR393" s="5"/>
      <c r="DS393" s="5"/>
      <c r="DT393" s="5"/>
      <c r="DU393" s="5"/>
      <c r="DV393" s="5"/>
      <c r="DW393" s="5"/>
      <c r="DX393" s="5"/>
      <c r="DY393" s="5"/>
      <c r="DZ393" s="5"/>
      <c r="EA393" s="5"/>
      <c r="EB393" s="5"/>
      <c r="EC393" s="5"/>
      <c r="ED393" s="5"/>
      <c r="EE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5"/>
      <c r="CM394" s="5"/>
      <c r="CN394" s="5"/>
      <c r="CO394" s="5"/>
      <c r="CP394" s="5"/>
      <c r="CQ394" s="5"/>
      <c r="CR394" s="5"/>
      <c r="CS394" s="5"/>
      <c r="CT394" s="5"/>
      <c r="CU394" s="5"/>
      <c r="CV394" s="5"/>
      <c r="CW394" s="5"/>
      <c r="CX394" s="5"/>
      <c r="CY394" s="5"/>
      <c r="CZ394" s="5"/>
      <c r="DA394" s="5"/>
      <c r="DB394" s="5"/>
      <c r="DC394" s="5"/>
      <c r="DD394" s="5"/>
      <c r="DE394" s="5"/>
      <c r="DF394" s="5"/>
      <c r="DG394" s="5"/>
      <c r="DH394" s="5"/>
      <c r="DI394" s="5"/>
      <c r="DJ394" s="5"/>
      <c r="DK394" s="5"/>
      <c r="DL394" s="5"/>
      <c r="DM394" s="5"/>
      <c r="DN394" s="5"/>
      <c r="DO394" s="5"/>
      <c r="DP394" s="5"/>
      <c r="DQ394" s="5"/>
      <c r="DR394" s="5"/>
      <c r="DS394" s="5"/>
      <c r="DT394" s="5"/>
      <c r="DU394" s="5"/>
      <c r="DV394" s="5"/>
      <c r="DW394" s="5"/>
      <c r="DX394" s="5"/>
      <c r="DY394" s="5"/>
      <c r="DZ394" s="5"/>
      <c r="EA394" s="5"/>
      <c r="EB394" s="5"/>
      <c r="EC394" s="5"/>
      <c r="ED394" s="5"/>
      <c r="EE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c r="DT395" s="5"/>
      <c r="DU395" s="5"/>
      <c r="DV395" s="5"/>
      <c r="DW395" s="5"/>
      <c r="DX395" s="5"/>
      <c r="DY395" s="5"/>
      <c r="DZ395" s="5"/>
      <c r="EA395" s="5"/>
      <c r="EB395" s="5"/>
      <c r="EC395" s="5"/>
      <c r="ED395" s="5"/>
      <c r="EE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5"/>
      <c r="CM396" s="5"/>
      <c r="CN396" s="5"/>
      <c r="CO396" s="5"/>
      <c r="CP396" s="5"/>
      <c r="CQ396" s="5"/>
      <c r="CR396" s="5"/>
      <c r="CS396" s="5"/>
      <c r="CT396" s="5"/>
      <c r="CU396" s="5"/>
      <c r="CV396" s="5"/>
      <c r="CW396" s="5"/>
      <c r="CX396" s="5"/>
      <c r="CY396" s="5"/>
      <c r="CZ396" s="5"/>
      <c r="DA396" s="5"/>
      <c r="DB396" s="5"/>
      <c r="DC396" s="5"/>
      <c r="DD396" s="5"/>
      <c r="DE396" s="5"/>
      <c r="DF396" s="5"/>
      <c r="DG396" s="5"/>
      <c r="DH396" s="5"/>
      <c r="DI396" s="5"/>
      <c r="DJ396" s="5"/>
      <c r="DK396" s="5"/>
      <c r="DL396" s="5"/>
      <c r="DM396" s="5"/>
      <c r="DN396" s="5"/>
      <c r="DO396" s="5"/>
      <c r="DP396" s="5"/>
      <c r="DQ396" s="5"/>
      <c r="DR396" s="5"/>
      <c r="DS396" s="5"/>
      <c r="DT396" s="5"/>
      <c r="DU396" s="5"/>
      <c r="DV396" s="5"/>
      <c r="DW396" s="5"/>
      <c r="DX396" s="5"/>
      <c r="DY396" s="5"/>
      <c r="DZ396" s="5"/>
      <c r="EA396" s="5"/>
      <c r="EB396" s="5"/>
      <c r="EC396" s="5"/>
      <c r="ED396" s="5"/>
      <c r="EE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5"/>
      <c r="CM397" s="5"/>
      <c r="CN397" s="5"/>
      <c r="CO397" s="5"/>
      <c r="CP397" s="5"/>
      <c r="CQ397" s="5"/>
      <c r="CR397" s="5"/>
      <c r="CS397" s="5"/>
      <c r="CT397" s="5"/>
      <c r="CU397" s="5"/>
      <c r="CV397" s="5"/>
      <c r="CW397" s="5"/>
      <c r="CX397" s="5"/>
      <c r="CY397" s="5"/>
      <c r="CZ397" s="5"/>
      <c r="DA397" s="5"/>
      <c r="DB397" s="5"/>
      <c r="DC397" s="5"/>
      <c r="DD397" s="5"/>
      <c r="DE397" s="5"/>
      <c r="DF397" s="5"/>
      <c r="DG397" s="5"/>
      <c r="DH397" s="5"/>
      <c r="DI397" s="5"/>
      <c r="DJ397" s="5"/>
      <c r="DK397" s="5"/>
      <c r="DL397" s="5"/>
      <c r="DM397" s="5"/>
      <c r="DN397" s="5"/>
      <c r="DO397" s="5"/>
      <c r="DP397" s="5"/>
      <c r="DQ397" s="5"/>
      <c r="DR397" s="5"/>
      <c r="DS397" s="5"/>
      <c r="DT397" s="5"/>
      <c r="DU397" s="5"/>
      <c r="DV397" s="5"/>
      <c r="DW397" s="5"/>
      <c r="DX397" s="5"/>
      <c r="DY397" s="5"/>
      <c r="DZ397" s="5"/>
      <c r="EA397" s="5"/>
      <c r="EB397" s="5"/>
      <c r="EC397" s="5"/>
      <c r="ED397" s="5"/>
      <c r="EE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5"/>
      <c r="CM398" s="5"/>
      <c r="CN398" s="5"/>
      <c r="CO398" s="5"/>
      <c r="CP398" s="5"/>
      <c r="CQ398" s="5"/>
      <c r="CR398" s="5"/>
      <c r="CS398" s="5"/>
      <c r="CT398" s="5"/>
      <c r="CU398" s="5"/>
      <c r="CV398" s="5"/>
      <c r="CW398" s="5"/>
      <c r="CX398" s="5"/>
      <c r="CY398" s="5"/>
      <c r="CZ398" s="5"/>
      <c r="DA398" s="5"/>
      <c r="DB398" s="5"/>
      <c r="DC398" s="5"/>
      <c r="DD398" s="5"/>
      <c r="DE398" s="5"/>
      <c r="DF398" s="5"/>
      <c r="DG398" s="5"/>
      <c r="DH398" s="5"/>
      <c r="DI398" s="5"/>
      <c r="DJ398" s="5"/>
      <c r="DK398" s="5"/>
      <c r="DL398" s="5"/>
      <c r="DM398" s="5"/>
      <c r="DN398" s="5"/>
      <c r="DO398" s="5"/>
      <c r="DP398" s="5"/>
      <c r="DQ398" s="5"/>
      <c r="DR398" s="5"/>
      <c r="DS398" s="5"/>
      <c r="DT398" s="5"/>
      <c r="DU398" s="5"/>
      <c r="DV398" s="5"/>
      <c r="DW398" s="5"/>
      <c r="DX398" s="5"/>
      <c r="DY398" s="5"/>
      <c r="DZ398" s="5"/>
      <c r="EA398" s="5"/>
      <c r="EB398" s="5"/>
      <c r="EC398" s="5"/>
      <c r="ED398" s="5"/>
      <c r="EE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5"/>
      <c r="CM399" s="5"/>
      <c r="CN399" s="5"/>
      <c r="CO399" s="5"/>
      <c r="CP399" s="5"/>
      <c r="CQ399" s="5"/>
      <c r="CR399" s="5"/>
      <c r="CS399" s="5"/>
      <c r="CT399" s="5"/>
      <c r="CU399" s="5"/>
      <c r="CV399" s="5"/>
      <c r="CW399" s="5"/>
      <c r="CX399" s="5"/>
      <c r="CY399" s="5"/>
      <c r="CZ399" s="5"/>
      <c r="DA399" s="5"/>
      <c r="DB399" s="5"/>
      <c r="DC399" s="5"/>
      <c r="DD399" s="5"/>
      <c r="DE399" s="5"/>
      <c r="DF399" s="5"/>
      <c r="DG399" s="5"/>
      <c r="DH399" s="5"/>
      <c r="DI399" s="5"/>
      <c r="DJ399" s="5"/>
      <c r="DK399" s="5"/>
      <c r="DL399" s="5"/>
      <c r="DM399" s="5"/>
      <c r="DN399" s="5"/>
      <c r="DO399" s="5"/>
      <c r="DP399" s="5"/>
      <c r="DQ399" s="5"/>
      <c r="DR399" s="5"/>
      <c r="DS399" s="5"/>
      <c r="DT399" s="5"/>
      <c r="DU399" s="5"/>
      <c r="DV399" s="5"/>
      <c r="DW399" s="5"/>
      <c r="DX399" s="5"/>
      <c r="DY399" s="5"/>
      <c r="DZ399" s="5"/>
      <c r="EA399" s="5"/>
      <c r="EB399" s="5"/>
      <c r="EC399" s="5"/>
      <c r="ED399" s="5"/>
      <c r="EE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5"/>
      <c r="CM400" s="5"/>
      <c r="CN400" s="5"/>
      <c r="CO400" s="5"/>
      <c r="CP400" s="5"/>
      <c r="CQ400" s="5"/>
      <c r="CR400" s="5"/>
      <c r="CS400" s="5"/>
      <c r="CT400" s="5"/>
      <c r="CU400" s="5"/>
      <c r="CV400" s="5"/>
      <c r="CW400" s="5"/>
      <c r="CX400" s="5"/>
      <c r="CY400" s="5"/>
      <c r="CZ400" s="5"/>
      <c r="DA400" s="5"/>
      <c r="DB400" s="5"/>
      <c r="DC400" s="5"/>
      <c r="DD400" s="5"/>
      <c r="DE400" s="5"/>
      <c r="DF400" s="5"/>
      <c r="DG400" s="5"/>
      <c r="DH400" s="5"/>
      <c r="DI400" s="5"/>
      <c r="DJ400" s="5"/>
      <c r="DK400" s="5"/>
      <c r="DL400" s="5"/>
      <c r="DM400" s="5"/>
      <c r="DN400" s="5"/>
      <c r="DO400" s="5"/>
      <c r="DP400" s="5"/>
      <c r="DQ400" s="5"/>
      <c r="DR400" s="5"/>
      <c r="DS400" s="5"/>
      <c r="DT400" s="5"/>
      <c r="DU400" s="5"/>
      <c r="DV400" s="5"/>
      <c r="DW400" s="5"/>
      <c r="DX400" s="5"/>
      <c r="DY400" s="5"/>
      <c r="DZ400" s="5"/>
      <c r="EA400" s="5"/>
      <c r="EB400" s="5"/>
      <c r="EC400" s="5"/>
      <c r="ED400" s="5"/>
      <c r="EE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c r="DT401" s="5"/>
      <c r="DU401" s="5"/>
      <c r="DV401" s="5"/>
      <c r="DW401" s="5"/>
      <c r="DX401" s="5"/>
      <c r="DY401" s="5"/>
      <c r="DZ401" s="5"/>
      <c r="EA401" s="5"/>
      <c r="EB401" s="5"/>
      <c r="EC401" s="5"/>
      <c r="ED401" s="5"/>
      <c r="EE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5"/>
      <c r="CM402" s="5"/>
      <c r="CN402" s="5"/>
      <c r="CO402" s="5"/>
      <c r="CP402" s="5"/>
      <c r="CQ402" s="5"/>
      <c r="CR402" s="5"/>
      <c r="CS402" s="5"/>
      <c r="CT402" s="5"/>
      <c r="CU402" s="5"/>
      <c r="CV402" s="5"/>
      <c r="CW402" s="5"/>
      <c r="CX402" s="5"/>
      <c r="CY402" s="5"/>
      <c r="CZ402" s="5"/>
      <c r="DA402" s="5"/>
      <c r="DB402" s="5"/>
      <c r="DC402" s="5"/>
      <c r="DD402" s="5"/>
      <c r="DE402" s="5"/>
      <c r="DF402" s="5"/>
      <c r="DG402" s="5"/>
      <c r="DH402" s="5"/>
      <c r="DI402" s="5"/>
      <c r="DJ402" s="5"/>
      <c r="DK402" s="5"/>
      <c r="DL402" s="5"/>
      <c r="DM402" s="5"/>
      <c r="DN402" s="5"/>
      <c r="DO402" s="5"/>
      <c r="DP402" s="5"/>
      <c r="DQ402" s="5"/>
      <c r="DR402" s="5"/>
      <c r="DS402" s="5"/>
      <c r="DT402" s="5"/>
      <c r="DU402" s="5"/>
      <c r="DV402" s="5"/>
      <c r="DW402" s="5"/>
      <c r="DX402" s="5"/>
      <c r="DY402" s="5"/>
      <c r="DZ402" s="5"/>
      <c r="EA402" s="5"/>
      <c r="EB402" s="5"/>
      <c r="EC402" s="5"/>
      <c r="ED402" s="5"/>
      <c r="EE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5"/>
      <c r="CM404" s="5"/>
      <c r="CN404" s="5"/>
      <c r="CO404" s="5"/>
      <c r="CP404" s="5"/>
      <c r="CQ404" s="5"/>
      <c r="CR404" s="5"/>
      <c r="CS404" s="5"/>
      <c r="CT404" s="5"/>
      <c r="CU404" s="5"/>
      <c r="CV404" s="5"/>
      <c r="CW404" s="5"/>
      <c r="CX404" s="5"/>
      <c r="CY404" s="5"/>
      <c r="CZ404" s="5"/>
      <c r="DA404" s="5"/>
      <c r="DB404" s="5"/>
      <c r="DC404" s="5"/>
      <c r="DD404" s="5"/>
      <c r="DE404" s="5"/>
      <c r="DF404" s="5"/>
      <c r="DG404" s="5"/>
      <c r="DH404" s="5"/>
      <c r="DI404" s="5"/>
      <c r="DJ404" s="5"/>
      <c r="DK404" s="5"/>
      <c r="DL404" s="5"/>
      <c r="DM404" s="5"/>
      <c r="DN404" s="5"/>
      <c r="DO404" s="5"/>
      <c r="DP404" s="5"/>
      <c r="DQ404" s="5"/>
      <c r="DR404" s="5"/>
      <c r="DS404" s="5"/>
      <c r="DT404" s="5"/>
      <c r="DU404" s="5"/>
      <c r="DV404" s="5"/>
      <c r="DW404" s="5"/>
      <c r="DX404" s="5"/>
      <c r="DY404" s="5"/>
      <c r="DZ404" s="5"/>
      <c r="EA404" s="5"/>
      <c r="EB404" s="5"/>
      <c r="EC404" s="5"/>
      <c r="ED404" s="5"/>
      <c r="EE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c r="DJ405" s="5"/>
      <c r="DK405" s="5"/>
      <c r="DL405" s="5"/>
      <c r="DM405" s="5"/>
      <c r="DN405" s="5"/>
      <c r="DO405" s="5"/>
      <c r="DP405" s="5"/>
      <c r="DQ405" s="5"/>
      <c r="DR405" s="5"/>
      <c r="DS405" s="5"/>
      <c r="DT405" s="5"/>
      <c r="DU405" s="5"/>
      <c r="DV405" s="5"/>
      <c r="DW405" s="5"/>
      <c r="DX405" s="5"/>
      <c r="DY405" s="5"/>
      <c r="DZ405" s="5"/>
      <c r="EA405" s="5"/>
      <c r="EB405" s="5"/>
      <c r="EC405" s="5"/>
      <c r="ED405" s="5"/>
      <c r="EE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c r="DJ406" s="5"/>
      <c r="DK406" s="5"/>
      <c r="DL406" s="5"/>
      <c r="DM406" s="5"/>
      <c r="DN406" s="5"/>
      <c r="DO406" s="5"/>
      <c r="DP406" s="5"/>
      <c r="DQ406" s="5"/>
      <c r="DR406" s="5"/>
      <c r="DS406" s="5"/>
      <c r="DT406" s="5"/>
      <c r="DU406" s="5"/>
      <c r="DV406" s="5"/>
      <c r="DW406" s="5"/>
      <c r="DX406" s="5"/>
      <c r="DY406" s="5"/>
      <c r="DZ406" s="5"/>
      <c r="EA406" s="5"/>
      <c r="EB406" s="5"/>
      <c r="EC406" s="5"/>
      <c r="ED406" s="5"/>
      <c r="EE406" s="5"/>
    </row>
  </sheetData>
  <mergeCells count="1">
    <mergeCell ref="B1:G1"/>
  </mergeCells>
  <dataValidations>
    <dataValidation type="list" allowBlank="1" sqref="B7:BE50 D51:BE200 BW7:EE200">
      <formula1>"1,0,X"</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25"/>
    <col customWidth="1" min="2" max="2" width="21.0"/>
    <col customWidth="1" min="3" max="3" width="21.88"/>
    <col customWidth="1" min="4" max="4" width="19.0"/>
    <col customWidth="1" min="5" max="5" width="18.75"/>
    <col customWidth="1" min="6" max="6" width="14.0"/>
    <col customWidth="1" min="7" max="7" width="21.88"/>
    <col customWidth="1" min="8" max="8" width="17.5"/>
    <col customWidth="1" min="9" max="9" width="14.0"/>
    <col customWidth="1" min="10" max="10" width="19.25"/>
  </cols>
  <sheetData>
    <row r="1" ht="37.5" customHeight="1">
      <c r="A1" s="18" t="s">
        <v>1</v>
      </c>
      <c r="B1" s="19"/>
      <c r="C1" s="19"/>
      <c r="D1" s="19"/>
      <c r="E1" s="19"/>
      <c r="F1" s="19"/>
      <c r="G1" s="19"/>
      <c r="H1" s="19"/>
      <c r="I1" s="20"/>
      <c r="J1" s="5"/>
      <c r="K1" s="5"/>
      <c r="L1" s="5"/>
      <c r="M1" s="5"/>
      <c r="N1" s="5"/>
      <c r="O1" s="5"/>
      <c r="P1" s="5"/>
      <c r="Q1" s="5"/>
      <c r="R1" s="5"/>
      <c r="S1" s="5"/>
      <c r="T1" s="5"/>
      <c r="U1" s="5"/>
      <c r="V1" s="5"/>
      <c r="W1" s="5"/>
      <c r="X1" s="5"/>
      <c r="Y1" s="5"/>
      <c r="Z1" s="5"/>
    </row>
    <row r="2" ht="13.5" customHeight="1">
      <c r="A2" s="5"/>
      <c r="B2" s="5"/>
      <c r="C2" s="5"/>
      <c r="D2" s="5"/>
      <c r="E2" s="5"/>
      <c r="F2" s="23"/>
      <c r="G2" s="5"/>
      <c r="H2" s="5"/>
      <c r="I2" s="5"/>
      <c r="J2" s="5"/>
      <c r="K2" s="5"/>
      <c r="L2" s="5"/>
      <c r="M2" s="5"/>
      <c r="N2" s="5"/>
      <c r="O2" s="5"/>
      <c r="P2" s="5"/>
      <c r="Q2" s="5"/>
      <c r="R2" s="5"/>
      <c r="S2" s="5"/>
      <c r="T2" s="5"/>
      <c r="U2" s="5"/>
      <c r="V2" s="5"/>
      <c r="W2" s="5"/>
      <c r="X2" s="5"/>
      <c r="Y2" s="5"/>
      <c r="Z2" s="5"/>
    </row>
    <row r="3" ht="21.75" customHeight="1">
      <c r="A3" s="25" t="s">
        <v>29</v>
      </c>
      <c r="B3" s="25" t="s">
        <v>32</v>
      </c>
      <c r="C3" s="25" t="s">
        <v>33</v>
      </c>
      <c r="D3" s="25" t="s">
        <v>34</v>
      </c>
      <c r="E3" s="25" t="s">
        <v>35</v>
      </c>
      <c r="F3" s="27"/>
      <c r="G3" s="25"/>
      <c r="H3" s="25"/>
      <c r="I3" s="25"/>
      <c r="J3" s="5"/>
      <c r="K3" s="5"/>
      <c r="L3" s="5"/>
      <c r="M3" s="5"/>
      <c r="N3" s="5"/>
      <c r="O3" s="5"/>
      <c r="P3" s="5"/>
      <c r="Q3" s="5"/>
      <c r="R3" s="5"/>
      <c r="S3" s="5"/>
      <c r="T3" s="5"/>
      <c r="U3" s="5"/>
      <c r="V3" s="5"/>
      <c r="W3" s="5"/>
      <c r="X3" s="5"/>
      <c r="Y3" s="5"/>
      <c r="Z3" s="5"/>
    </row>
    <row r="4" ht="21.75" customHeight="1">
      <c r="A4" s="29">
        <f>SUMIF(D7:D989,"Income",F7:F989)+SUMIF(D7:D989,"Fundraiser",F7:F989)</f>
        <v>22487.2</v>
      </c>
      <c r="B4" s="36">
        <f>SUMIF(D7:D989,"Expense",F7:F989)</f>
        <v>40876.53</v>
      </c>
      <c r="C4" s="38">
        <f>A4-B4</f>
        <v>-18389.33</v>
      </c>
      <c r="D4" s="40">
        <f>IFERROR(AVERAGE(F7:F989),0)</f>
        <v>613.4993548</v>
      </c>
      <c r="E4" s="41">
        <f>COUNTIF(I7:I989,"Pending")</f>
        <v>0</v>
      </c>
      <c r="F4" s="23"/>
      <c r="G4" s="5"/>
      <c r="H4" s="5"/>
      <c r="I4" s="5"/>
      <c r="J4" s="5"/>
      <c r="K4" s="5"/>
      <c r="L4" s="5"/>
      <c r="M4" s="5"/>
      <c r="N4" s="5"/>
      <c r="O4" s="5"/>
      <c r="P4" s="5"/>
      <c r="Q4" s="5"/>
      <c r="R4" s="5"/>
      <c r="S4" s="5"/>
      <c r="T4" s="5"/>
      <c r="U4" s="5"/>
      <c r="V4" s="5"/>
      <c r="W4" s="5"/>
      <c r="X4" s="5"/>
      <c r="Y4" s="5"/>
      <c r="Z4" s="5"/>
    </row>
    <row r="5" ht="7.5" customHeight="1">
      <c r="A5" s="5"/>
      <c r="B5" s="5"/>
      <c r="C5" s="5"/>
      <c r="D5" s="5"/>
      <c r="E5" s="5"/>
      <c r="F5" s="23"/>
      <c r="G5" s="5"/>
      <c r="H5" s="5"/>
      <c r="I5" s="5"/>
      <c r="J5" s="5"/>
      <c r="K5" s="5"/>
      <c r="L5" s="5"/>
      <c r="M5" s="5"/>
      <c r="N5" s="5"/>
      <c r="O5" s="5"/>
      <c r="P5" s="5"/>
      <c r="Q5" s="5"/>
      <c r="R5" s="5"/>
      <c r="S5" s="5"/>
      <c r="T5" s="5"/>
      <c r="U5" s="5"/>
      <c r="V5" s="5"/>
      <c r="W5" s="5"/>
      <c r="X5" s="5"/>
      <c r="Y5" s="5"/>
      <c r="Z5" s="5"/>
    </row>
    <row r="6" ht="21.75" customHeight="1">
      <c r="A6" s="42" t="s">
        <v>53</v>
      </c>
      <c r="B6" s="42" t="s">
        <v>54</v>
      </c>
      <c r="C6" s="42" t="s">
        <v>7</v>
      </c>
      <c r="D6" s="42" t="s">
        <v>55</v>
      </c>
      <c r="E6" s="42" t="s">
        <v>56</v>
      </c>
      <c r="F6" s="43" t="s">
        <v>57</v>
      </c>
      <c r="G6" s="42" t="s">
        <v>58</v>
      </c>
      <c r="H6" s="42" t="s">
        <v>59</v>
      </c>
      <c r="I6" s="42" t="s">
        <v>21</v>
      </c>
      <c r="J6" s="8" t="s">
        <v>60</v>
      </c>
      <c r="K6" s="5"/>
      <c r="L6" s="5"/>
      <c r="M6" s="5"/>
      <c r="N6" s="5"/>
      <c r="O6" s="5"/>
      <c r="P6" s="5"/>
      <c r="Q6" s="5"/>
      <c r="R6" s="5"/>
      <c r="S6" s="5"/>
      <c r="T6" s="5"/>
      <c r="U6" s="5"/>
      <c r="V6" s="5"/>
      <c r="W6" s="5"/>
      <c r="X6" s="5"/>
      <c r="Y6" s="5"/>
      <c r="Z6" s="5"/>
    </row>
    <row r="7" ht="19.5" customHeight="1">
      <c r="A7" s="44"/>
      <c r="B7" s="45" t="s">
        <v>61</v>
      </c>
      <c r="C7" s="45" t="s">
        <v>62</v>
      </c>
      <c r="D7" s="45" t="s">
        <v>63</v>
      </c>
      <c r="E7" s="45" t="s">
        <v>64</v>
      </c>
      <c r="F7" s="46">
        <v>920.0</v>
      </c>
      <c r="G7" s="45" t="s">
        <v>26</v>
      </c>
      <c r="H7" s="45"/>
      <c r="I7" s="45" t="s">
        <v>65</v>
      </c>
      <c r="J7" s="48">
        <f t="array" ref="J7">IF(G7="","",IFERROR(LET(ev_cost,INDEX(Events!$G$5:$G$505,MATCH(G7,Events!$A$5:$A$505,0)),ev_split,INDEX(Events!$I$5:$I$505,MATCH(G7,Events!$A$5:$A$505,0)),att_offset,MATCH(G7,Attendance!$B$3:$AV$3,0),attendees,COUNTIF(INDEX(Attendance!$B$7:$AV$206,0,att_offset),"1"),IF(ev_split="Equal Split",ev_cost/MAX(1,COUNTA(Roster!$A$5:$A$204)),ev_cost/MAX(1,attendees))),"N/A"))</f>
        <v>1310</v>
      </c>
      <c r="K7" s="5"/>
      <c r="L7" s="5"/>
      <c r="M7" s="5"/>
      <c r="N7" s="5"/>
      <c r="O7" s="5"/>
      <c r="P7" s="5"/>
      <c r="Q7" s="5"/>
      <c r="R7" s="5"/>
      <c r="S7" s="5"/>
      <c r="T7" s="5"/>
      <c r="U7" s="5"/>
      <c r="V7" s="5"/>
      <c r="W7" s="5"/>
      <c r="X7" s="5"/>
      <c r="Y7" s="5"/>
      <c r="Z7" s="5"/>
    </row>
    <row r="8" ht="19.5" customHeight="1">
      <c r="A8" s="44"/>
      <c r="B8" s="45" t="s">
        <v>67</v>
      </c>
      <c r="C8" s="45" t="s">
        <v>62</v>
      </c>
      <c r="D8" s="45" t="s">
        <v>63</v>
      </c>
      <c r="E8" s="45" t="s">
        <v>64</v>
      </c>
      <c r="F8" s="46">
        <v>1150.0</v>
      </c>
      <c r="G8" s="45" t="s">
        <v>30</v>
      </c>
      <c r="H8" s="45"/>
      <c r="I8" s="45" t="s">
        <v>65</v>
      </c>
      <c r="J8" s="48">
        <f t="array" ref="J8">IF(G8="","",IFERROR(LET(ev_cost,INDEX(Events!$G$5:$G$505,MATCH(G8,Events!$A$5:$A$505,0)),ev_split,INDEX(Events!$I$5:$I$505,MATCH(G8,Events!$A$5:$A$505,0)),att_offset,MATCH(G8,Attendance!$B$3:$AV$3,0),attendees,COUNTIF(INDEX(Attendance!$B$7:$AV$206,0,att_offset),"1"),IF(ev_split="Equal Split",ev_cost/MAX(1,COUNTA(Roster!$A$5:$A$204)),ev_cost/MAX(1,attendees))),"N/A"))</f>
        <v>1050</v>
      </c>
      <c r="K8" s="5"/>
      <c r="L8" s="5"/>
      <c r="M8" s="5"/>
      <c r="N8" s="5"/>
      <c r="O8" s="5"/>
      <c r="P8" s="5"/>
      <c r="Q8" s="5"/>
      <c r="R8" s="5"/>
      <c r="S8" s="5"/>
      <c r="T8" s="5"/>
      <c r="U8" s="5"/>
      <c r="V8" s="5"/>
      <c r="W8" s="5"/>
      <c r="X8" s="5"/>
      <c r="Y8" s="5"/>
      <c r="Z8" s="5"/>
    </row>
    <row r="9" ht="19.5" customHeight="1">
      <c r="A9" s="44"/>
      <c r="B9" s="45" t="s">
        <v>40</v>
      </c>
      <c r="C9" s="45" t="s">
        <v>68</v>
      </c>
      <c r="D9" s="45" t="s">
        <v>37</v>
      </c>
      <c r="E9" s="45" t="s">
        <v>64</v>
      </c>
      <c r="F9" s="46">
        <v>956.0</v>
      </c>
      <c r="G9" s="45" t="s">
        <v>40</v>
      </c>
      <c r="H9" s="45"/>
      <c r="I9" s="45" t="s">
        <v>65</v>
      </c>
      <c r="J9" s="48">
        <f t="array" ref="J9">IF(G9="","",IFERROR(LET(ev_cost,INDEX(Events!$G$5:$G$505,MATCH(G9,Events!$A$5:$A$505,0)),ev_split,INDEX(Events!$I$5:$I$505,MATCH(G9,Events!$A$5:$A$505,0)),att_offset,MATCH(G9,Attendance!$B$3:$AV$3,0),attendees,COUNTIF(INDEX(Attendance!$B$7:$AV$206,0,att_offset),"1"),IF(ev_split="Equal Split",ev_cost/MAX(1,COUNTA(Roster!$A$5:$A$204)),ev_cost/MAX(1,attendees))),"N/A"))</f>
        <v>-956</v>
      </c>
      <c r="K9" s="5"/>
      <c r="L9" s="5"/>
      <c r="M9" s="5"/>
      <c r="N9" s="5"/>
      <c r="O9" s="5"/>
      <c r="P9" s="5"/>
      <c r="Q9" s="5"/>
      <c r="R9" s="5"/>
      <c r="S9" s="5"/>
      <c r="T9" s="5"/>
      <c r="U9" s="5"/>
      <c r="V9" s="5"/>
      <c r="W9" s="5"/>
      <c r="X9" s="5"/>
      <c r="Y9" s="5"/>
      <c r="Z9" s="5"/>
    </row>
    <row r="10" ht="19.5" customHeight="1">
      <c r="A10" s="49"/>
      <c r="B10" s="50" t="s">
        <v>36</v>
      </c>
      <c r="C10" s="50" t="s">
        <v>68</v>
      </c>
      <c r="D10" s="50" t="s">
        <v>37</v>
      </c>
      <c r="E10" s="50" t="s">
        <v>64</v>
      </c>
      <c r="F10" s="51">
        <v>123.0</v>
      </c>
      <c r="G10" s="50" t="s">
        <v>36</v>
      </c>
      <c r="H10" s="50"/>
      <c r="I10" s="50" t="s">
        <v>65</v>
      </c>
      <c r="J10" s="48">
        <f t="array" ref="J10">IF(G10="","",IFERROR(LET(ev_cost,INDEX(Events!$G$5:$G$505,MATCH(G10,Events!$A$5:$A$505,0)),ev_split,INDEX(Events!$I$5:$I$505,MATCH(G10,Events!$A$5:$A$505,0)),att_offset,MATCH(G10,Attendance!$B$3:$AV$3,0),attendees,COUNTIF(INDEX(Attendance!$B$7:$AV$206,0,att_offset),"1"),IF(ev_split="Equal Split",ev_cost/MAX(1,COUNTA(Roster!$A$5:$A$204)),ev_cost/MAX(1,attendees))),"N/A"))</f>
        <v>-123</v>
      </c>
      <c r="K10" s="5"/>
      <c r="L10" s="5"/>
      <c r="M10" s="5"/>
      <c r="N10" s="5"/>
      <c r="O10" s="5"/>
      <c r="P10" s="5"/>
      <c r="Q10" s="5"/>
      <c r="R10" s="5"/>
      <c r="S10" s="5"/>
      <c r="T10" s="5"/>
      <c r="U10" s="5"/>
      <c r="V10" s="5"/>
      <c r="W10" s="5"/>
      <c r="X10" s="5"/>
      <c r="Y10" s="5"/>
      <c r="Z10" s="5"/>
    </row>
    <row r="11" ht="19.5" customHeight="1">
      <c r="A11" s="52"/>
      <c r="B11" s="53" t="s">
        <v>69</v>
      </c>
      <c r="C11" s="53" t="s">
        <v>68</v>
      </c>
      <c r="D11" s="53" t="s">
        <v>37</v>
      </c>
      <c r="E11" s="53" t="s">
        <v>64</v>
      </c>
      <c r="F11" s="51">
        <v>1030.0</v>
      </c>
      <c r="G11" s="53" t="s">
        <v>41</v>
      </c>
      <c r="H11" s="53"/>
      <c r="I11" s="53" t="s">
        <v>65</v>
      </c>
      <c r="J11" s="48">
        <f t="array" ref="J11">IF(G11="","",IFERROR(LET(ev_cost,INDEX(Events!$G$5:$G$505,MATCH(G11,Events!$A$5:$A$505,0)),ev_split,INDEX(Events!$I$5:$I$505,MATCH(G11,Events!$A$5:$A$505,0)),att_offset,MATCH(G11,Attendance!$B$3:$AV$3,0),attendees,COUNTIF(INDEX(Attendance!$B$7:$AV$206,0,att_offset),"1"),IF(ev_split="Equal Split",ev_cost/MAX(1,COUNTA(Roster!$A$5:$A$204)),ev_cost/MAX(1,attendees))),"N/A"))</f>
        <v>1030</v>
      </c>
      <c r="K11" s="5"/>
      <c r="L11" s="5"/>
      <c r="M11" s="5"/>
      <c r="N11" s="5"/>
      <c r="O11" s="5"/>
      <c r="P11" s="5"/>
      <c r="Q11" s="5"/>
      <c r="R11" s="5"/>
      <c r="S11" s="5"/>
      <c r="T11" s="5"/>
      <c r="U11" s="5"/>
      <c r="V11" s="5"/>
      <c r="W11" s="5"/>
      <c r="X11" s="5"/>
      <c r="Y11" s="5"/>
      <c r="Z11" s="5"/>
    </row>
    <row r="12" ht="19.5" customHeight="1">
      <c r="A12" s="49"/>
      <c r="B12" s="50" t="s">
        <v>70</v>
      </c>
      <c r="C12" s="50" t="s">
        <v>71</v>
      </c>
      <c r="D12" s="50" t="s">
        <v>63</v>
      </c>
      <c r="E12" s="50" t="s">
        <v>64</v>
      </c>
      <c r="F12" s="51">
        <v>69.0</v>
      </c>
      <c r="G12" s="50" t="s">
        <v>13</v>
      </c>
      <c r="H12" s="50"/>
      <c r="I12" s="50" t="s">
        <v>65</v>
      </c>
      <c r="J12" s="48">
        <f t="array" ref="J12">IF(G12="","",IFERROR(LET(ev_cost,INDEX(Events!$G$5:$G$505,MATCH(G12,Events!$A$5:$A$505,0)),ev_split,INDEX(Events!$I$5:$I$505,MATCH(G12,Events!$A$5:$A$505,0)),att_offset,MATCH(G12,Attendance!$B$3:$AV$3,0),attendees,COUNTIF(INDEX(Attendance!$B$7:$AV$206,0,att_offset),"1"),IF(ev_split="Equal Split",ev_cost/MAX(1,COUNTA(Roster!$A$5:$A$204)),ev_cost/MAX(1,attendees))),"N/A"))</f>
        <v>2326</v>
      </c>
      <c r="K12" s="5"/>
      <c r="L12" s="5"/>
      <c r="M12" s="5"/>
      <c r="N12" s="5"/>
      <c r="O12" s="5"/>
      <c r="P12" s="5"/>
      <c r="Q12" s="5"/>
      <c r="R12" s="5"/>
      <c r="S12" s="5"/>
      <c r="T12" s="5"/>
      <c r="U12" s="5"/>
      <c r="V12" s="5"/>
      <c r="W12" s="5"/>
      <c r="X12" s="5"/>
      <c r="Y12" s="5"/>
      <c r="Z12" s="5"/>
    </row>
    <row r="13" ht="19.5" customHeight="1">
      <c r="A13" s="54">
        <v>46192.0</v>
      </c>
      <c r="B13" s="53" t="s">
        <v>72</v>
      </c>
      <c r="C13" s="53" t="s">
        <v>73</v>
      </c>
      <c r="D13" s="53" t="s">
        <v>63</v>
      </c>
      <c r="E13" s="55" t="s">
        <v>74</v>
      </c>
      <c r="F13" s="56">
        <v>185.69</v>
      </c>
      <c r="G13" s="53" t="s">
        <v>26</v>
      </c>
      <c r="H13" s="53"/>
      <c r="I13" s="53" t="s">
        <v>65</v>
      </c>
      <c r="J13" s="48">
        <f t="array" ref="J13">IF(G13="","",IFERROR(LET(ev_cost,INDEX(Events!$G$5:$G$505,MATCH(G13,Events!$A$5:$A$505,0)),ev_split,INDEX(Events!$I$5:$I$505,MATCH(G13,Events!$A$5:$A$505,0)),att_offset,MATCH(G13,Attendance!$B$3:$AV$3,0),attendees,COUNTIF(INDEX(Attendance!$B$7:$AV$206,0,att_offset),"1"),IF(ev_split="Equal Split",ev_cost/MAX(1,COUNTA(Roster!$A$5:$A$204)),ev_cost/MAX(1,attendees))),"N/A"))</f>
        <v>1310</v>
      </c>
      <c r="K13" s="5"/>
      <c r="L13" s="5"/>
      <c r="M13" s="5"/>
      <c r="N13" s="5"/>
      <c r="O13" s="5"/>
      <c r="P13" s="5"/>
      <c r="Q13" s="5"/>
      <c r="R13" s="5"/>
      <c r="S13" s="5"/>
      <c r="T13" s="5"/>
      <c r="U13" s="5"/>
      <c r="V13" s="5"/>
      <c r="W13" s="5"/>
      <c r="X13" s="5"/>
      <c r="Y13" s="5"/>
      <c r="Z13" s="5"/>
    </row>
    <row r="14" ht="19.5" customHeight="1">
      <c r="A14" s="57">
        <v>46195.0</v>
      </c>
      <c r="B14" s="50" t="s">
        <v>75</v>
      </c>
      <c r="C14" s="50" t="s">
        <v>76</v>
      </c>
      <c r="D14" s="50" t="s">
        <v>63</v>
      </c>
      <c r="E14" s="58" t="s">
        <v>64</v>
      </c>
      <c r="F14" s="59">
        <v>228.44</v>
      </c>
      <c r="G14" s="50" t="s">
        <v>26</v>
      </c>
      <c r="H14" s="50"/>
      <c r="I14" s="50" t="s">
        <v>65</v>
      </c>
      <c r="J14" s="48">
        <f t="array" ref="J14">IF(G14="","",IFERROR(LET(ev_cost,INDEX(Events!$G$5:$G$505,MATCH(G14,Events!$A$5:$A$505,0)),ev_split,INDEX(Events!$I$5:$I$505,MATCH(G14,Events!$A$5:$A$505,0)),att_offset,MATCH(G14,Attendance!$B$3:$AV$3,0),attendees,COUNTIF(INDEX(Attendance!$B$7:$AV$206,0,att_offset),"1"),IF(ev_split="Equal Split",ev_cost/MAX(1,COUNTA(Roster!$A$5:$A$204)),ev_cost/MAX(1,attendees))),"N/A"))</f>
        <v>1310</v>
      </c>
      <c r="K14" s="5"/>
      <c r="L14" s="5"/>
      <c r="M14" s="5"/>
      <c r="N14" s="5"/>
      <c r="O14" s="5"/>
      <c r="P14" s="5"/>
      <c r="Q14" s="5"/>
      <c r="R14" s="5"/>
      <c r="S14" s="5"/>
      <c r="T14" s="5"/>
      <c r="U14" s="5"/>
      <c r="V14" s="5"/>
      <c r="W14" s="5"/>
      <c r="X14" s="5"/>
      <c r="Y14" s="5"/>
      <c r="Z14" s="5"/>
    </row>
    <row r="15" ht="19.5" customHeight="1">
      <c r="A15" s="57"/>
      <c r="B15" s="50" t="s">
        <v>77</v>
      </c>
      <c r="C15" s="50" t="s">
        <v>71</v>
      </c>
      <c r="D15" s="58" t="s">
        <v>78</v>
      </c>
      <c r="E15" s="50"/>
      <c r="F15" s="60">
        <v>0.0</v>
      </c>
      <c r="G15" s="50"/>
      <c r="H15" s="50"/>
      <c r="I15" s="50" t="s">
        <v>65</v>
      </c>
      <c r="J15" s="48" t="str">
        <f t="array" ref="J15">IF(G15="","",IFERROR(LET(ev_cost,INDEX(Events!$G$5:$G$505,MATCH(G15,Events!$A$5:$A$505,0)),ev_split,INDEX(Events!$I$5:$I$505,MATCH(G15,Events!$A$5:$A$505,0)),att_offset,MATCH(G15,Attendance!$B$3:$AV$3,0),attendees,COUNTIF(INDEX(Attendance!$B$7:$AV$206,0,att_offset),"1"),IF(ev_split="Equal Split",ev_cost/MAX(1,COUNTA(Roster!$A$5:$A$204)),ev_cost/MAX(1,attendees))),"N/A"))</f>
        <v/>
      </c>
      <c r="K15" s="5"/>
      <c r="L15" s="5"/>
      <c r="M15" s="5"/>
      <c r="N15" s="5"/>
      <c r="O15" s="5"/>
      <c r="P15" s="5"/>
      <c r="Q15" s="5"/>
      <c r="R15" s="5"/>
      <c r="S15" s="5"/>
      <c r="T15" s="5"/>
      <c r="U15" s="5"/>
      <c r="V15" s="5"/>
      <c r="W15" s="5"/>
      <c r="X15" s="5"/>
      <c r="Y15" s="5"/>
      <c r="Z15" s="5"/>
    </row>
    <row r="16" ht="19.5" customHeight="1">
      <c r="A16" s="49">
        <v>46196.0</v>
      </c>
      <c r="B16" s="50" t="s">
        <v>79</v>
      </c>
      <c r="C16" s="50" t="s">
        <v>80</v>
      </c>
      <c r="D16" s="50" t="s">
        <v>78</v>
      </c>
      <c r="E16" s="50" t="s">
        <v>81</v>
      </c>
      <c r="F16" s="51">
        <v>68.75</v>
      </c>
      <c r="G16" s="50"/>
      <c r="H16" s="50" t="s">
        <v>64</v>
      </c>
      <c r="I16" s="50" t="s">
        <v>65</v>
      </c>
      <c r="J16" s="48" t="str">
        <f t="array" ref="J16">IF(G16="","",IFERROR(LET(ev_cost,INDEX(Events!$G$5:$G$505,MATCH(G16,Events!$A$5:$A$505,0)),ev_split,INDEX(Events!$I$5:$I$505,MATCH(G16,Events!$A$5:$A$505,0)),att_offset,MATCH(G16,Attendance!$B$3:$AV$3,0),attendees,COUNTIF(INDEX(Attendance!$B$7:$AV$206,0,att_offset),"1"),IF(ev_split="Equal Split",ev_cost/MAX(1,COUNTA(Roster!$A$5:$A$204)),ev_cost/MAX(1,attendees))),"N/A"))</f>
        <v/>
      </c>
      <c r="K16" s="5"/>
      <c r="L16" s="5"/>
      <c r="M16" s="5"/>
      <c r="N16" s="5"/>
      <c r="O16" s="5"/>
      <c r="P16" s="5"/>
      <c r="Q16" s="5"/>
      <c r="R16" s="5"/>
      <c r="S16" s="5"/>
      <c r="T16" s="5"/>
      <c r="U16" s="5"/>
      <c r="V16" s="5"/>
      <c r="W16" s="5"/>
      <c r="X16" s="5"/>
      <c r="Y16" s="5"/>
      <c r="Z16" s="5"/>
    </row>
    <row r="17" ht="19.5" customHeight="1">
      <c r="A17" s="52">
        <v>46195.0</v>
      </c>
      <c r="B17" s="53" t="s">
        <v>82</v>
      </c>
      <c r="C17" s="53" t="s">
        <v>76</v>
      </c>
      <c r="D17" s="53" t="s">
        <v>63</v>
      </c>
      <c r="E17" s="53" t="s">
        <v>83</v>
      </c>
      <c r="F17" s="61"/>
      <c r="G17" s="53" t="s">
        <v>26</v>
      </c>
      <c r="H17" s="53"/>
      <c r="I17" s="53" t="s">
        <v>65</v>
      </c>
      <c r="J17" s="48">
        <f t="array" ref="J17">IF(G17="","",IFERROR(LET(ev_cost,INDEX(Events!$G$5:$G$505,MATCH(G17,Events!$A$5:$A$505,0)),ev_split,INDEX(Events!$I$5:$I$505,MATCH(G17,Events!$A$5:$A$505,0)),att_offset,MATCH(G17,Attendance!$B$3:$AV$3,0),attendees,COUNTIF(INDEX(Attendance!$B$7:$AV$206,0,att_offset),"1"),IF(ev_split="Equal Split",ev_cost/MAX(1,COUNTA(Roster!$A$5:$A$204)),ev_cost/MAX(1,attendees))),"N/A"))</f>
        <v>1310</v>
      </c>
      <c r="K17" s="62" t="s">
        <v>84</v>
      </c>
      <c r="L17" s="5"/>
      <c r="M17" s="5"/>
      <c r="N17" s="5"/>
      <c r="O17" s="5"/>
      <c r="P17" s="5"/>
      <c r="Q17" s="5"/>
      <c r="R17" s="5"/>
      <c r="S17" s="5"/>
      <c r="T17" s="5"/>
      <c r="U17" s="5"/>
      <c r="V17" s="5"/>
      <c r="W17" s="5"/>
      <c r="X17" s="5"/>
      <c r="Y17" s="5"/>
      <c r="Z17" s="5"/>
    </row>
    <row r="18" ht="19.5" customHeight="1">
      <c r="A18" s="49">
        <v>46201.0</v>
      </c>
      <c r="B18" s="50" t="s">
        <v>85</v>
      </c>
      <c r="C18" s="50" t="s">
        <v>86</v>
      </c>
      <c r="D18" s="50" t="s">
        <v>63</v>
      </c>
      <c r="E18" s="50" t="s">
        <v>87</v>
      </c>
      <c r="F18" s="51">
        <v>3487.59</v>
      </c>
      <c r="G18" s="50" t="s">
        <v>26</v>
      </c>
      <c r="H18" s="50"/>
      <c r="I18" s="50" t="s">
        <v>65</v>
      </c>
      <c r="J18" s="48">
        <f t="array" ref="J18">IF(G18="","",IFERROR(LET(ev_cost,INDEX(Events!$G$5:$G$505,MATCH(G18,Events!$A$5:$A$505,0)),ev_split,INDEX(Events!$I$5:$I$505,MATCH(G18,Events!$A$5:$A$505,0)),att_offset,MATCH(G18,Attendance!$B$3:$AV$3,0),attendees,COUNTIF(INDEX(Attendance!$B$7:$AV$206,0,att_offset),"1"),IF(ev_split="Equal Split",ev_cost/MAX(1,COUNTA(Roster!$A$5:$A$204)),ev_cost/MAX(1,attendees))),"N/A"))</f>
        <v>1310</v>
      </c>
      <c r="K18" s="5"/>
      <c r="L18" s="5"/>
      <c r="M18" s="5"/>
      <c r="N18" s="5"/>
      <c r="O18" s="5"/>
      <c r="P18" s="5"/>
      <c r="Q18" s="5"/>
      <c r="R18" s="5"/>
      <c r="S18" s="5"/>
      <c r="T18" s="5"/>
      <c r="U18" s="5"/>
      <c r="V18" s="5"/>
      <c r="W18" s="5"/>
      <c r="X18" s="5"/>
      <c r="Y18" s="5"/>
      <c r="Z18" s="5"/>
    </row>
    <row r="19" ht="19.5" customHeight="1">
      <c r="A19" s="52"/>
      <c r="B19" s="53" t="s">
        <v>88</v>
      </c>
      <c r="C19" s="53" t="s">
        <v>76</v>
      </c>
      <c r="D19" s="55" t="s">
        <v>89</v>
      </c>
      <c r="E19" s="53" t="s">
        <v>64</v>
      </c>
      <c r="F19" s="63">
        <v>59.99</v>
      </c>
      <c r="G19" s="53" t="s">
        <v>26</v>
      </c>
      <c r="H19" s="53" t="s">
        <v>90</v>
      </c>
      <c r="I19" s="53" t="s">
        <v>65</v>
      </c>
      <c r="J19" s="48">
        <f t="array" ref="J19">IF(G19="","",IFERROR(LET(ev_cost,INDEX(Events!$G$5:$G$505,MATCH(G19,Events!$A$5:$A$505,0)),ev_split,INDEX(Events!$I$5:$I$505,MATCH(G19,Events!$A$5:$A$505,0)),att_offset,MATCH(G19,Attendance!$B$3:$AV$3,0),attendees,COUNTIF(INDEX(Attendance!$B$7:$AV$206,0,att_offset),"1"),IF(ev_split="Equal Split",ev_cost/MAX(1,COUNTA(Roster!$A$5:$A$204)),ev_cost/MAX(1,attendees))),"N/A"))</f>
        <v>1310</v>
      </c>
      <c r="K19" s="5" t="s">
        <v>91</v>
      </c>
      <c r="L19" s="5"/>
      <c r="M19" s="5"/>
      <c r="N19" s="5"/>
      <c r="O19" s="5"/>
      <c r="P19" s="5"/>
      <c r="Q19" s="5"/>
      <c r="R19" s="5"/>
      <c r="S19" s="5"/>
      <c r="T19" s="5"/>
      <c r="U19" s="5"/>
      <c r="V19" s="5"/>
      <c r="W19" s="5"/>
      <c r="X19" s="5"/>
      <c r="Y19" s="5"/>
      <c r="Z19" s="5"/>
    </row>
    <row r="20" ht="19.5" customHeight="1">
      <c r="A20" s="64">
        <v>46201.0</v>
      </c>
      <c r="B20" s="50" t="s">
        <v>92</v>
      </c>
      <c r="C20" s="50" t="s">
        <v>76</v>
      </c>
      <c r="D20" s="50" t="s">
        <v>63</v>
      </c>
      <c r="E20" s="50" t="s">
        <v>93</v>
      </c>
      <c r="F20" s="51">
        <v>15.26</v>
      </c>
      <c r="G20" s="50" t="s">
        <v>26</v>
      </c>
      <c r="H20" s="50"/>
      <c r="I20" s="50" t="s">
        <v>65</v>
      </c>
      <c r="J20" s="48">
        <f t="array" ref="J20">IF(G20="","",IFERROR(LET(ev_cost,INDEX(Events!$G$5:$G$505,MATCH(G20,Events!$A$5:$A$505,0)),ev_split,INDEX(Events!$I$5:$I$505,MATCH(G20,Events!$A$5:$A$505,0)),att_offset,MATCH(G20,Attendance!$B$3:$AV$3,0),attendees,COUNTIF(INDEX(Attendance!$B$7:$AV$206,0,att_offset),"1"),IF(ev_split="Equal Split",ev_cost/MAX(1,COUNTA(Roster!$A$5:$A$204)),ev_cost/MAX(1,attendees))),"N/A"))</f>
        <v>1310</v>
      </c>
      <c r="K20" s="5"/>
      <c r="L20" s="5"/>
      <c r="M20" s="5"/>
      <c r="N20" s="5"/>
      <c r="O20" s="5"/>
      <c r="P20" s="5"/>
      <c r="Q20" s="5"/>
      <c r="R20" s="5"/>
      <c r="S20" s="5"/>
      <c r="T20" s="5"/>
      <c r="U20" s="5"/>
      <c r="V20" s="5"/>
      <c r="W20" s="5"/>
      <c r="X20" s="5"/>
      <c r="Y20" s="5"/>
      <c r="Z20" s="5"/>
    </row>
    <row r="21" ht="19.5" customHeight="1">
      <c r="A21" s="65">
        <v>46201.0</v>
      </c>
      <c r="B21" s="53" t="s">
        <v>94</v>
      </c>
      <c r="C21" s="53" t="s">
        <v>76</v>
      </c>
      <c r="D21" s="53" t="s">
        <v>63</v>
      </c>
      <c r="E21" s="53" t="s">
        <v>93</v>
      </c>
      <c r="F21" s="61">
        <v>83.64</v>
      </c>
      <c r="G21" s="53" t="s">
        <v>26</v>
      </c>
      <c r="H21" s="53"/>
      <c r="I21" s="53" t="s">
        <v>65</v>
      </c>
      <c r="J21" s="48">
        <f t="array" ref="J21">IF(G21="","",IFERROR(LET(ev_cost,INDEX(Events!$G$5:$G$505,MATCH(G21,Events!$A$5:$A$505,0)),ev_split,INDEX(Events!$I$5:$I$505,MATCH(G21,Events!$A$5:$A$505,0)),att_offset,MATCH(G21,Attendance!$B$3:$AV$3,0),attendees,COUNTIF(INDEX(Attendance!$B$7:$AV$206,0,att_offset),"1"),IF(ev_split="Equal Split",ev_cost/MAX(1,COUNTA(Roster!$A$5:$A$204)),ev_cost/MAX(1,attendees))),"N/A"))</f>
        <v>1310</v>
      </c>
      <c r="K21" s="5"/>
      <c r="L21" s="5"/>
      <c r="M21" s="5"/>
      <c r="N21" s="5"/>
      <c r="O21" s="5"/>
      <c r="P21" s="5"/>
      <c r="Q21" s="5"/>
      <c r="R21" s="5"/>
      <c r="S21" s="5"/>
      <c r="T21" s="5"/>
      <c r="U21" s="5"/>
      <c r="V21" s="5"/>
      <c r="W21" s="5"/>
      <c r="X21" s="5"/>
      <c r="Y21" s="5"/>
      <c r="Z21" s="5"/>
    </row>
    <row r="22" ht="19.5" customHeight="1">
      <c r="A22" s="49">
        <v>46930.0</v>
      </c>
      <c r="B22" s="50" t="s">
        <v>96</v>
      </c>
      <c r="C22" s="50" t="s">
        <v>80</v>
      </c>
      <c r="D22" s="50" t="s">
        <v>78</v>
      </c>
      <c r="E22" s="50" t="s">
        <v>97</v>
      </c>
      <c r="F22" s="51">
        <v>68.75</v>
      </c>
      <c r="G22" s="50"/>
      <c r="H22" s="50" t="s">
        <v>64</v>
      </c>
      <c r="I22" s="50" t="s">
        <v>65</v>
      </c>
      <c r="J22" s="48" t="str">
        <f t="array" ref="J22">IF(G22="","",IFERROR(LET(ev_cost,INDEX(Events!$G$5:$G$505,MATCH(G22,Events!$A$5:$A$505,0)),ev_split,INDEX(Events!$I$5:$I$505,MATCH(G22,Events!$A$5:$A$505,0)),att_offset,MATCH(G22,Attendance!$B$3:$AV$3,0),attendees,COUNTIF(INDEX(Attendance!$B$7:$AV$206,0,att_offset),"1"),IF(ev_split="Equal Split",ev_cost/MAX(1,COUNTA(Roster!$A$5:$A$204)),ev_cost/MAX(1,attendees))),"N/A"))</f>
        <v/>
      </c>
      <c r="K22" s="5"/>
      <c r="L22" s="5"/>
      <c r="M22" s="5"/>
      <c r="N22" s="5"/>
      <c r="O22" s="5"/>
      <c r="P22" s="5"/>
      <c r="Q22" s="5"/>
      <c r="R22" s="5"/>
      <c r="S22" s="5"/>
      <c r="T22" s="5"/>
      <c r="U22" s="5"/>
      <c r="V22" s="5"/>
      <c r="W22" s="5"/>
      <c r="X22" s="5"/>
      <c r="Y22" s="5"/>
      <c r="Z22" s="5"/>
    </row>
    <row r="23" ht="19.5" customHeight="1">
      <c r="A23" s="52">
        <v>46201.0</v>
      </c>
      <c r="B23" s="53" t="s">
        <v>98</v>
      </c>
      <c r="C23" s="53" t="s">
        <v>80</v>
      </c>
      <c r="D23" s="53" t="s">
        <v>78</v>
      </c>
      <c r="E23" s="53" t="s">
        <v>99</v>
      </c>
      <c r="F23" s="61">
        <v>400.0</v>
      </c>
      <c r="G23" s="53"/>
      <c r="H23" s="53" t="s">
        <v>64</v>
      </c>
      <c r="I23" s="53" t="s">
        <v>65</v>
      </c>
      <c r="J23" s="48" t="str">
        <f t="array" ref="J23">IF(G23="","",IFERROR(LET(ev_cost,INDEX(Events!$G$5:$G$505,MATCH(G23,Events!$A$5:$A$505,0)),ev_split,INDEX(Events!$I$5:$I$505,MATCH(G23,Events!$A$5:$A$505,0)),att_offset,MATCH(G23,Attendance!$B$3:$AV$3,0),attendees,COUNTIF(INDEX(Attendance!$B$7:$AV$206,0,att_offset),"1"),IF(ev_split="Equal Split",ev_cost/MAX(1,COUNTA(Roster!$A$5:$A$204)),ev_cost/MAX(1,attendees))),"N/A"))</f>
        <v/>
      </c>
      <c r="K23" s="5"/>
      <c r="L23" s="5"/>
      <c r="M23" s="5"/>
      <c r="N23" s="5"/>
      <c r="O23" s="5"/>
      <c r="P23" s="5"/>
      <c r="Q23" s="5"/>
      <c r="R23" s="5"/>
      <c r="S23" s="5"/>
      <c r="T23" s="5"/>
      <c r="U23" s="5"/>
      <c r="V23" s="5"/>
      <c r="W23" s="5"/>
      <c r="X23" s="5"/>
      <c r="Y23" s="5"/>
      <c r="Z23" s="5"/>
    </row>
    <row r="24" ht="19.5" customHeight="1">
      <c r="A24" s="52">
        <v>46201.0</v>
      </c>
      <c r="B24" s="53" t="s">
        <v>100</v>
      </c>
      <c r="C24" s="53" t="s">
        <v>80</v>
      </c>
      <c r="D24" s="53" t="s">
        <v>78</v>
      </c>
      <c r="E24" s="53" t="s">
        <v>101</v>
      </c>
      <c r="F24" s="61">
        <v>400.0</v>
      </c>
      <c r="G24" s="53"/>
      <c r="H24" s="53" t="s">
        <v>64</v>
      </c>
      <c r="I24" s="50" t="s">
        <v>65</v>
      </c>
      <c r="J24" s="48" t="str">
        <f t="array" ref="J24">IF(G24="","",IFERROR(LET(ev_cost,INDEX(Events!$G$5:$G$505,MATCH(G24,Events!$A$5:$A$505,0)),ev_split,INDEX(Events!$I$5:$I$505,MATCH(G24,Events!$A$5:$A$505,0)),att_offset,MATCH(G24,Attendance!$B$3:$AV$3,0),attendees,COUNTIF(INDEX(Attendance!$B$7:$AV$206,0,att_offset),"1"),IF(ev_split="Equal Split",ev_cost/MAX(1,COUNTA(Roster!$A$5:$A$204)),ev_cost/MAX(1,attendees))),"N/A"))</f>
        <v/>
      </c>
      <c r="K24" s="5"/>
      <c r="L24" s="5"/>
      <c r="M24" s="5"/>
      <c r="N24" s="5"/>
      <c r="O24" s="5"/>
      <c r="P24" s="5"/>
      <c r="Q24" s="5"/>
      <c r="R24" s="5"/>
      <c r="S24" s="5"/>
      <c r="T24" s="5"/>
      <c r="U24" s="5"/>
      <c r="V24" s="5"/>
      <c r="W24" s="5"/>
      <c r="X24" s="5"/>
      <c r="Y24" s="5"/>
      <c r="Z24" s="5"/>
    </row>
    <row r="25" ht="19.5" customHeight="1">
      <c r="A25" s="52">
        <v>46203.0</v>
      </c>
      <c r="B25" s="53" t="s">
        <v>102</v>
      </c>
      <c r="C25" s="53" t="s">
        <v>80</v>
      </c>
      <c r="D25" s="53" t="s">
        <v>78</v>
      </c>
      <c r="E25" s="53" t="s">
        <v>103</v>
      </c>
      <c r="F25" s="61">
        <v>202.89</v>
      </c>
      <c r="G25" s="53"/>
      <c r="H25" s="53" t="s">
        <v>64</v>
      </c>
      <c r="I25" s="53" t="s">
        <v>65</v>
      </c>
      <c r="J25" s="48" t="str">
        <f t="array" ref="J25">IF(G25="","",IFERROR(LET(ev_cost,INDEX(Events!$G$5:$G$505,MATCH(G25,Events!$A$5:$A$505,0)),ev_split,INDEX(Events!$I$5:$I$505,MATCH(G25,Events!$A$5:$A$505,0)),att_offset,MATCH(G25,Attendance!$B$3:$AV$3,0),attendees,COUNTIF(INDEX(Attendance!$B$7:$AV$206,0,att_offset),"1"),IF(ev_split="Equal Split",ev_cost/MAX(1,COUNTA(Roster!$A$5:$A$204)),ev_cost/MAX(1,attendees))),"N/A"))</f>
        <v/>
      </c>
      <c r="K25" s="5"/>
      <c r="L25" s="5"/>
      <c r="M25" s="5"/>
      <c r="N25" s="5"/>
      <c r="O25" s="5"/>
      <c r="P25" s="5"/>
      <c r="Q25" s="5"/>
      <c r="R25" s="5"/>
      <c r="S25" s="5"/>
      <c r="T25" s="5"/>
      <c r="U25" s="5"/>
      <c r="V25" s="5"/>
      <c r="W25" s="5"/>
      <c r="X25" s="5"/>
      <c r="Y25" s="5"/>
      <c r="Z25" s="5"/>
    </row>
    <row r="26" ht="19.5" customHeight="1">
      <c r="A26" s="52">
        <v>46203.0</v>
      </c>
      <c r="B26" s="53" t="s">
        <v>104</v>
      </c>
      <c r="C26" s="53" t="s">
        <v>80</v>
      </c>
      <c r="D26" s="53" t="s">
        <v>78</v>
      </c>
      <c r="E26" s="53" t="s">
        <v>105</v>
      </c>
      <c r="F26" s="61">
        <v>202.89</v>
      </c>
      <c r="G26" s="53"/>
      <c r="H26" s="53" t="s">
        <v>64</v>
      </c>
      <c r="I26" s="50" t="s">
        <v>65</v>
      </c>
      <c r="J26" s="48" t="str">
        <f t="array" ref="J26">IF(G26="","",IFERROR(LET(ev_cost,INDEX(Events!$G$5:$G$505,MATCH(G26,Events!$A$5:$A$505,0)),ev_split,INDEX(Events!$I$5:$I$505,MATCH(G26,Events!$A$5:$A$505,0)),att_offset,MATCH(G26,Attendance!$B$3:$AV$3,0),attendees,COUNTIF(INDEX(Attendance!$B$7:$AV$206,0,att_offset),"1"),IF(ev_split="Equal Split",ev_cost/MAX(1,COUNTA(Roster!$A$5:$A$204)),ev_cost/MAX(1,attendees))),"N/A"))</f>
        <v/>
      </c>
      <c r="K26" s="5"/>
      <c r="L26" s="5"/>
      <c r="M26" s="5"/>
      <c r="N26" s="5"/>
      <c r="O26" s="5"/>
      <c r="P26" s="5"/>
      <c r="Q26" s="5"/>
      <c r="R26" s="5"/>
      <c r="S26" s="5"/>
      <c r="T26" s="5"/>
      <c r="U26" s="5"/>
      <c r="V26" s="5"/>
      <c r="W26" s="5"/>
      <c r="X26" s="5"/>
      <c r="Y26" s="5"/>
      <c r="Z26" s="5"/>
    </row>
    <row r="27" ht="19.5" customHeight="1">
      <c r="A27" s="52">
        <v>46203.0</v>
      </c>
      <c r="B27" s="53" t="s">
        <v>106</v>
      </c>
      <c r="C27" s="53" t="s">
        <v>80</v>
      </c>
      <c r="D27" s="53" t="s">
        <v>78</v>
      </c>
      <c r="E27" s="53" t="s">
        <v>107</v>
      </c>
      <c r="F27" s="61">
        <v>202.89</v>
      </c>
      <c r="G27" s="53"/>
      <c r="H27" s="53" t="s">
        <v>64</v>
      </c>
      <c r="I27" s="53" t="s">
        <v>65</v>
      </c>
      <c r="J27" s="48" t="str">
        <f t="array" ref="J27">IF(G27="","",IFERROR(LET(ev_cost,INDEX(Events!$G$5:$G$505,MATCH(G27,Events!$A$5:$A$505,0)),ev_split,INDEX(Events!$I$5:$I$505,MATCH(G27,Events!$A$5:$A$505,0)),att_offset,MATCH(G27,Attendance!$B$3:$AV$3,0),attendees,COUNTIF(INDEX(Attendance!$B$7:$AV$206,0,att_offset),"1"),IF(ev_split="Equal Split",ev_cost/MAX(1,COUNTA(Roster!$A$5:$A$204)),ev_cost/MAX(1,attendees))),"N/A"))</f>
        <v/>
      </c>
      <c r="K27" s="5"/>
      <c r="L27" s="5"/>
      <c r="M27" s="5"/>
      <c r="N27" s="5"/>
      <c r="O27" s="5"/>
      <c r="P27" s="5"/>
      <c r="Q27" s="5"/>
      <c r="R27" s="5"/>
      <c r="S27" s="5"/>
      <c r="T27" s="5"/>
      <c r="U27" s="5"/>
      <c r="V27" s="5"/>
      <c r="W27" s="5"/>
      <c r="X27" s="5"/>
      <c r="Y27" s="5"/>
      <c r="Z27" s="5"/>
    </row>
    <row r="28" ht="19.5" customHeight="1">
      <c r="A28" s="52">
        <v>46203.0</v>
      </c>
      <c r="B28" s="53" t="s">
        <v>108</v>
      </c>
      <c r="C28" s="53" t="s">
        <v>80</v>
      </c>
      <c r="D28" s="53" t="s">
        <v>78</v>
      </c>
      <c r="E28" s="53" t="s">
        <v>109</v>
      </c>
      <c r="F28" s="61">
        <v>202.89</v>
      </c>
      <c r="G28" s="53"/>
      <c r="H28" s="53" t="s">
        <v>64</v>
      </c>
      <c r="I28" s="50" t="s">
        <v>65</v>
      </c>
      <c r="J28" s="48" t="str">
        <f t="array" ref="J28">IF(G28="","",IFERROR(LET(ev_cost,INDEX(Events!$G$5:$G$505,MATCH(G28,Events!$A$5:$A$505,0)),ev_split,INDEX(Events!$I$5:$I$505,MATCH(G28,Events!$A$5:$A$505,0)),att_offset,MATCH(G28,Attendance!$B$3:$AV$3,0),attendees,COUNTIF(INDEX(Attendance!$B$7:$AV$206,0,att_offset),"1"),IF(ev_split="Equal Split",ev_cost/MAX(1,COUNTA(Roster!$A$5:$A$204)),ev_cost/MAX(1,attendees))),"N/A"))</f>
        <v/>
      </c>
      <c r="K28" s="5"/>
      <c r="L28" s="5"/>
      <c r="M28" s="5"/>
      <c r="N28" s="5"/>
      <c r="O28" s="5"/>
      <c r="P28" s="5"/>
      <c r="Q28" s="5"/>
      <c r="R28" s="5"/>
      <c r="S28" s="5"/>
      <c r="T28" s="5"/>
      <c r="U28" s="5"/>
      <c r="V28" s="5"/>
      <c r="W28" s="5"/>
      <c r="X28" s="5"/>
      <c r="Y28" s="5"/>
      <c r="Z28" s="5"/>
    </row>
    <row r="29" ht="19.5" customHeight="1">
      <c r="A29" s="52">
        <v>46204.0</v>
      </c>
      <c r="B29" s="53" t="s">
        <v>110</v>
      </c>
      <c r="C29" s="53" t="s">
        <v>80</v>
      </c>
      <c r="D29" s="53" t="s">
        <v>78</v>
      </c>
      <c r="E29" s="53" t="s">
        <v>111</v>
      </c>
      <c r="F29" s="61">
        <v>28.75</v>
      </c>
      <c r="G29" s="53"/>
      <c r="H29" s="53" t="s">
        <v>64</v>
      </c>
      <c r="I29" s="53" t="s">
        <v>65</v>
      </c>
      <c r="J29" s="48" t="str">
        <f t="array" ref="J29">IF(G29="","",IFERROR(LET(ev_cost,INDEX(Events!$G$5:$G$505,MATCH(G29,Events!$A$5:$A$505,0)),ev_split,INDEX(Events!$I$5:$I$505,MATCH(G29,Events!$A$5:$A$505,0)),att_offset,MATCH(G29,Attendance!$B$3:$AV$3,0),attendees,COUNTIF(INDEX(Attendance!$B$7:$AV$206,0,att_offset),"1"),IF(ev_split="Equal Split",ev_cost/MAX(1,COUNTA(Roster!$A$5:$A$204)),ev_cost/MAX(1,attendees))),"N/A"))</f>
        <v/>
      </c>
      <c r="K29" s="5"/>
      <c r="L29" s="5"/>
      <c r="M29" s="5"/>
      <c r="N29" s="5"/>
      <c r="O29" s="5"/>
      <c r="P29" s="5"/>
      <c r="Q29" s="5"/>
      <c r="R29" s="5"/>
      <c r="S29" s="5"/>
      <c r="T29" s="5"/>
      <c r="U29" s="5"/>
      <c r="V29" s="5"/>
      <c r="W29" s="5"/>
      <c r="X29" s="5"/>
      <c r="Y29" s="5"/>
      <c r="Z29" s="5"/>
    </row>
    <row r="30" ht="19.5" customHeight="1">
      <c r="A30" s="52">
        <v>46206.0</v>
      </c>
      <c r="B30" s="53" t="s">
        <v>112</v>
      </c>
      <c r="C30" s="53" t="s">
        <v>80</v>
      </c>
      <c r="D30" s="53" t="s">
        <v>78</v>
      </c>
      <c r="E30" s="53" t="s">
        <v>112</v>
      </c>
      <c r="F30" s="61">
        <v>202.89</v>
      </c>
      <c r="G30" s="53"/>
      <c r="H30" s="53" t="s">
        <v>64</v>
      </c>
      <c r="I30" s="50" t="s">
        <v>65</v>
      </c>
      <c r="J30" s="48" t="str">
        <f t="array" ref="J30">IF(G30="","",IFERROR(LET(ev_cost,INDEX(Events!$G$5:$G$505,MATCH(G30,Events!$A$5:$A$505,0)),ev_split,INDEX(Events!$I$5:$I$505,MATCH(G30,Events!$A$5:$A$505,0)),att_offset,MATCH(G30,Attendance!$B$3:$AV$3,0),attendees,COUNTIF(INDEX(Attendance!$B$7:$AV$206,0,att_offset),"1"),IF(ev_split="Equal Split",ev_cost/MAX(1,COUNTA(Roster!$A$5:$A$204)),ev_cost/MAX(1,attendees))),"N/A"))</f>
        <v/>
      </c>
      <c r="K30" s="5"/>
      <c r="L30" s="5"/>
      <c r="M30" s="5"/>
      <c r="N30" s="5"/>
      <c r="O30" s="5"/>
      <c r="P30" s="5"/>
      <c r="Q30" s="5"/>
      <c r="R30" s="5"/>
      <c r="S30" s="5"/>
      <c r="T30" s="5"/>
      <c r="U30" s="5"/>
      <c r="V30" s="5"/>
      <c r="W30" s="5"/>
      <c r="X30" s="5"/>
      <c r="Y30" s="5"/>
      <c r="Z30" s="5"/>
    </row>
    <row r="31" ht="19.5" customHeight="1">
      <c r="A31" s="52">
        <v>46206.0</v>
      </c>
      <c r="B31" s="53" t="s">
        <v>113</v>
      </c>
      <c r="C31" s="53" t="s">
        <v>80</v>
      </c>
      <c r="D31" s="53" t="s">
        <v>78</v>
      </c>
      <c r="E31" s="53" t="s">
        <v>114</v>
      </c>
      <c r="F31" s="61">
        <v>202.89</v>
      </c>
      <c r="G31" s="53"/>
      <c r="H31" s="53" t="s">
        <v>64</v>
      </c>
      <c r="I31" s="50" t="s">
        <v>65</v>
      </c>
      <c r="J31" s="48" t="str">
        <f t="array" ref="J31">IF(G31="","",IFERROR(LET(ev_cost,INDEX(Events!$G$5:$G$505,MATCH(G31,Events!$A$5:$A$505,0)),ev_split,INDEX(Events!$I$5:$I$505,MATCH(G31,Events!$A$5:$A$505,0)),att_offset,MATCH(G31,Attendance!$B$3:$AV$3,0),attendees,COUNTIF(INDEX(Attendance!$B$7:$AV$206,0,att_offset),"1"),IF(ev_split="Equal Split",ev_cost/MAX(1,COUNTA(Roster!$A$5:$A$204)),ev_cost/MAX(1,attendees))),"N/A"))</f>
        <v/>
      </c>
      <c r="K31" s="5"/>
      <c r="L31" s="5"/>
      <c r="M31" s="5"/>
      <c r="N31" s="5"/>
      <c r="O31" s="5"/>
      <c r="P31" s="5"/>
      <c r="Q31" s="5"/>
      <c r="R31" s="5"/>
      <c r="S31" s="5"/>
      <c r="T31" s="5"/>
      <c r="U31" s="5"/>
      <c r="V31" s="5"/>
      <c r="W31" s="5"/>
      <c r="X31" s="5"/>
      <c r="Y31" s="5"/>
      <c r="Z31" s="5"/>
    </row>
    <row r="32" ht="19.5" customHeight="1">
      <c r="A32" s="49">
        <v>46203.0</v>
      </c>
      <c r="B32" s="50" t="s">
        <v>115</v>
      </c>
      <c r="C32" s="50" t="s">
        <v>80</v>
      </c>
      <c r="D32" s="50" t="s">
        <v>78</v>
      </c>
      <c r="E32" s="50" t="s">
        <v>116</v>
      </c>
      <c r="F32" s="51">
        <v>202.89</v>
      </c>
      <c r="G32" s="50"/>
      <c r="H32" s="50" t="s">
        <v>64</v>
      </c>
      <c r="I32" s="50" t="s">
        <v>65</v>
      </c>
      <c r="J32" s="48" t="str">
        <f t="array" ref="J32">IF(G32="","",IFERROR(LET(ev_cost,INDEX(Events!$G$5:$G$505,MATCH(G32,Events!$A$5:$A$505,0)),ev_split,INDEX(Events!$I$5:$I$505,MATCH(G32,Events!$A$5:$A$505,0)),att_offset,MATCH(G32,Attendance!$B$3:$AV$3,0),attendees,COUNTIF(INDEX(Attendance!$B$7:$AV$206,0,att_offset),"1"),IF(ev_split="Equal Split",ev_cost/MAX(1,COUNTA(Roster!$A$5:$A$204)),ev_cost/MAX(1,attendees))),"N/A"))</f>
        <v/>
      </c>
      <c r="K32" s="5"/>
      <c r="L32" s="5"/>
      <c r="M32" s="5"/>
      <c r="N32" s="5"/>
      <c r="O32" s="5"/>
      <c r="P32" s="5"/>
      <c r="Q32" s="5"/>
      <c r="R32" s="5"/>
      <c r="S32" s="5"/>
      <c r="T32" s="5"/>
      <c r="U32" s="5"/>
      <c r="V32" s="5"/>
      <c r="W32" s="5"/>
      <c r="X32" s="5"/>
      <c r="Y32" s="5"/>
      <c r="Z32" s="5"/>
    </row>
    <row r="33" ht="19.5" customHeight="1">
      <c r="A33" s="65">
        <v>46198.0</v>
      </c>
      <c r="B33" s="53" t="s">
        <v>117</v>
      </c>
      <c r="C33" s="53" t="s">
        <v>73</v>
      </c>
      <c r="D33" s="53" t="s">
        <v>63</v>
      </c>
      <c r="E33" s="53" t="s">
        <v>118</v>
      </c>
      <c r="F33" s="61">
        <v>152.13</v>
      </c>
      <c r="G33" s="53" t="s">
        <v>26</v>
      </c>
      <c r="H33" s="53"/>
      <c r="I33" s="53" t="s">
        <v>65</v>
      </c>
      <c r="J33" s="48">
        <f t="array" ref="J33">IF(G33="","",IFERROR(LET(ev_cost,INDEX(Events!$G$5:$G$505,MATCH(G33,Events!$A$5:$A$505,0)),ev_split,INDEX(Events!$I$5:$I$505,MATCH(G33,Events!$A$5:$A$505,0)),att_offset,MATCH(G33,Attendance!$B$3:$AV$3,0),attendees,COUNTIF(INDEX(Attendance!$B$7:$AV$206,0,att_offset),"1"),IF(ev_split="Equal Split",ev_cost/MAX(1,COUNTA(Roster!$A$5:$A$204)),ev_cost/MAX(1,attendees))),"N/A"))</f>
        <v>1310</v>
      </c>
      <c r="K33" s="5"/>
      <c r="L33" s="5"/>
      <c r="M33" s="5"/>
      <c r="N33" s="5"/>
      <c r="O33" s="5"/>
      <c r="P33" s="5"/>
      <c r="Q33" s="5"/>
      <c r="R33" s="5"/>
      <c r="S33" s="5"/>
      <c r="T33" s="5"/>
      <c r="U33" s="5"/>
      <c r="V33" s="5"/>
      <c r="W33" s="5"/>
      <c r="X33" s="5"/>
      <c r="Y33" s="5"/>
      <c r="Z33" s="5"/>
    </row>
    <row r="34" ht="19.5" customHeight="1">
      <c r="A34" s="67">
        <v>46209.0</v>
      </c>
      <c r="B34" s="58" t="s">
        <v>119</v>
      </c>
      <c r="C34" s="58" t="s">
        <v>76</v>
      </c>
      <c r="D34" s="58" t="s">
        <v>89</v>
      </c>
      <c r="E34" s="58" t="s">
        <v>120</v>
      </c>
      <c r="F34" s="68">
        <f>17.1+19.7</f>
        <v>36.8</v>
      </c>
      <c r="G34" s="50"/>
      <c r="H34" s="58" t="s">
        <v>97</v>
      </c>
      <c r="I34" s="58" t="s">
        <v>65</v>
      </c>
      <c r="J34" s="48" t="str">
        <f t="array" ref="J34">IF(G34="","",IFERROR(LET(ev_cost,INDEX(Events!$G$5:$G$505,MATCH(G34,Events!$A$5:$A$505,0)),ev_split,INDEX(Events!$I$5:$I$505,MATCH(G34,Events!$A$5:$A$505,0)),att_offset,MATCH(G34,Attendance!$B$3:$AV$3,0),attendees,COUNTIF(INDEX(Attendance!$B$7:$AV$206,0,att_offset),"1"),IF(ev_split="Equal Split",ev_cost/MAX(1,COUNTA(Roster!$A$5:$A$204)),ev_cost/MAX(1,attendees))),"N/A"))</f>
        <v/>
      </c>
      <c r="K34" s="5"/>
      <c r="L34" s="5"/>
      <c r="M34" s="5"/>
      <c r="N34" s="5"/>
      <c r="O34" s="5"/>
      <c r="P34" s="5"/>
      <c r="Q34" s="5"/>
      <c r="R34" s="5"/>
      <c r="S34" s="5"/>
      <c r="T34" s="5"/>
      <c r="U34" s="5"/>
      <c r="V34" s="5"/>
      <c r="W34" s="5"/>
      <c r="X34" s="5"/>
      <c r="Y34" s="5"/>
      <c r="Z34" s="5"/>
    </row>
    <row r="35" ht="19.5" customHeight="1">
      <c r="A35" s="69">
        <v>46209.0</v>
      </c>
      <c r="B35" s="55" t="s">
        <v>121</v>
      </c>
      <c r="C35" s="55" t="s">
        <v>62</v>
      </c>
      <c r="D35" s="55" t="s">
        <v>63</v>
      </c>
      <c r="E35" s="55" t="s">
        <v>120</v>
      </c>
      <c r="F35" s="63">
        <v>1000.0</v>
      </c>
      <c r="G35" s="55" t="s">
        <v>46</v>
      </c>
      <c r="H35" s="53"/>
      <c r="I35" s="55" t="s">
        <v>65</v>
      </c>
      <c r="J35" s="48">
        <f t="array" ref="J35">IF(G35="","",IFERROR(LET(ev_cost,INDEX(Events!$G$5:$G$505,MATCH(G35,Events!$A$5:$A$505,0)),ev_split,INDEX(Events!$I$5:$I$505,MATCH(G35,Events!$A$5:$A$505,0)),att_offset,MATCH(G35,Attendance!$B$3:$AV$3,0),attendees,COUNTIF(INDEX(Attendance!$B$7:$AV$206,0,att_offset),"1"),IF(ev_split="Equal Split",ev_cost/MAX(1,COUNTA(Roster!$A$5:$A$204)),ev_cost/MAX(1,attendees))),"N/A"))</f>
        <v>5345.86</v>
      </c>
      <c r="K35" s="5"/>
      <c r="L35" s="5"/>
      <c r="M35" s="5"/>
      <c r="N35" s="5"/>
      <c r="O35" s="5"/>
      <c r="P35" s="5"/>
      <c r="Q35" s="5"/>
      <c r="R35" s="5"/>
      <c r="S35" s="5"/>
      <c r="T35" s="5"/>
      <c r="U35" s="5"/>
      <c r="V35" s="5"/>
      <c r="W35" s="5"/>
      <c r="X35" s="5"/>
      <c r="Y35" s="5"/>
      <c r="Z35" s="5"/>
    </row>
    <row r="36" ht="19.5" customHeight="1">
      <c r="A36" s="70">
        <v>46208.0</v>
      </c>
      <c r="B36" s="58" t="s">
        <v>122</v>
      </c>
      <c r="C36" s="58" t="s">
        <v>80</v>
      </c>
      <c r="D36" s="58" t="s">
        <v>78</v>
      </c>
      <c r="E36" s="58" t="s">
        <v>123</v>
      </c>
      <c r="F36" s="68">
        <v>500.0</v>
      </c>
      <c r="G36" s="50"/>
      <c r="H36" s="58" t="s">
        <v>64</v>
      </c>
      <c r="I36" s="58" t="s">
        <v>65</v>
      </c>
      <c r="J36" s="48" t="str">
        <f t="array" ref="J36">IF(G36="","",IFERROR(LET(ev_cost,INDEX(Events!$G$5:$G$505,MATCH(G36,Events!$A$5:$A$505,0)),ev_split,INDEX(Events!$I$5:$I$505,MATCH(G36,Events!$A$5:$A$505,0)),att_offset,MATCH(G36,Attendance!$B$3:$AV$3,0),attendees,COUNTIF(INDEX(Attendance!$B$7:$AV$206,0,att_offset),"1"),IF(ev_split="Equal Split",ev_cost/MAX(1,COUNTA(Roster!$A$5:$A$204)),ev_cost/MAX(1,attendees))),"N/A"))</f>
        <v/>
      </c>
      <c r="K36" s="5"/>
      <c r="L36" s="5"/>
      <c r="M36" s="5"/>
      <c r="N36" s="5"/>
      <c r="O36" s="5"/>
      <c r="P36" s="5"/>
      <c r="Q36" s="5"/>
      <c r="R36" s="5"/>
      <c r="S36" s="5"/>
      <c r="T36" s="5"/>
      <c r="U36" s="5"/>
      <c r="V36" s="5"/>
      <c r="W36" s="5"/>
      <c r="X36" s="5"/>
      <c r="Y36" s="5"/>
      <c r="Z36" s="5"/>
    </row>
    <row r="37" ht="19.5" customHeight="1">
      <c r="A37" s="69">
        <v>46209.0</v>
      </c>
      <c r="B37" s="55" t="s">
        <v>124</v>
      </c>
      <c r="C37" s="55" t="s">
        <v>80</v>
      </c>
      <c r="D37" s="55" t="s">
        <v>78</v>
      </c>
      <c r="E37" s="55" t="s">
        <v>118</v>
      </c>
      <c r="F37" s="63">
        <v>56.24</v>
      </c>
      <c r="G37" s="53"/>
      <c r="H37" s="55" t="s">
        <v>64</v>
      </c>
      <c r="I37" s="55" t="s">
        <v>65</v>
      </c>
      <c r="J37" s="48" t="str">
        <f t="array" ref="J37">IF(G37="","",IFERROR(LET(ev_cost,INDEX(Events!$G$5:$G$505,MATCH(G37,Events!$A$5:$A$505,0)),ev_split,INDEX(Events!$I$5:$I$505,MATCH(G37,Events!$A$5:$A$505,0)),att_offset,MATCH(G37,Attendance!$B$3:$AV$3,0),attendees,COUNTIF(INDEX(Attendance!$B$7:$AV$206,0,att_offset),"1"),IF(ev_split="Equal Split",ev_cost/MAX(1,COUNTA(Roster!$A$5:$A$204)),ev_cost/MAX(1,attendees))),"N/A"))</f>
        <v/>
      </c>
      <c r="K37" s="5"/>
      <c r="L37" s="5"/>
      <c r="M37" s="5"/>
      <c r="N37" s="5"/>
      <c r="O37" s="5"/>
      <c r="P37" s="5"/>
      <c r="Q37" s="5"/>
      <c r="R37" s="5"/>
      <c r="S37" s="5"/>
      <c r="T37" s="5"/>
      <c r="U37" s="5"/>
      <c r="V37" s="5"/>
      <c r="W37" s="5"/>
      <c r="X37" s="5"/>
      <c r="Y37" s="5"/>
      <c r="Z37" s="5"/>
    </row>
    <row r="38" ht="19.5" customHeight="1">
      <c r="A38" s="70">
        <v>46218.0</v>
      </c>
      <c r="B38" s="58" t="s">
        <v>125</v>
      </c>
      <c r="C38" s="58" t="s">
        <v>73</v>
      </c>
      <c r="D38" s="58" t="s">
        <v>89</v>
      </c>
      <c r="E38" s="58" t="s">
        <v>120</v>
      </c>
      <c r="F38" s="68">
        <v>58.84</v>
      </c>
      <c r="G38" s="50"/>
      <c r="H38" s="58" t="s">
        <v>64</v>
      </c>
      <c r="I38" s="58" t="s">
        <v>65</v>
      </c>
      <c r="J38" s="48" t="str">
        <f t="array" ref="J38">IF(G38="","",IFERROR(LET(ev_cost,INDEX(Events!$G$5:$G$505,MATCH(G38,Events!$A$5:$A$505,0)),ev_split,INDEX(Events!$I$5:$I$505,MATCH(G38,Events!$A$5:$A$505,0)),att_offset,MATCH(G38,Attendance!$B$3:$AV$3,0),attendees,COUNTIF(INDEX(Attendance!$B$7:$AV$206,0,att_offset),"1"),IF(ev_split="Equal Split",ev_cost/MAX(1,COUNTA(Roster!$A$5:$A$204)),ev_cost/MAX(1,attendees))),"N/A"))</f>
        <v/>
      </c>
      <c r="K38" s="5"/>
      <c r="L38" s="5"/>
      <c r="M38" s="5"/>
      <c r="N38" s="5"/>
      <c r="O38" s="5"/>
      <c r="P38" s="5"/>
      <c r="Q38" s="5"/>
      <c r="R38" s="5"/>
      <c r="S38" s="5"/>
      <c r="T38" s="5"/>
      <c r="U38" s="5"/>
      <c r="V38" s="5"/>
      <c r="W38" s="5"/>
      <c r="X38" s="5"/>
      <c r="Y38" s="5"/>
      <c r="Z38" s="5"/>
    </row>
    <row r="39" ht="19.5" customHeight="1">
      <c r="A39" s="69">
        <v>46230.0</v>
      </c>
      <c r="B39" s="55" t="s">
        <v>127</v>
      </c>
      <c r="C39" s="55" t="s">
        <v>80</v>
      </c>
      <c r="D39" s="55" t="s">
        <v>78</v>
      </c>
      <c r="E39" s="55" t="s">
        <v>81</v>
      </c>
      <c r="F39" s="63">
        <v>139.61</v>
      </c>
      <c r="G39" s="53"/>
      <c r="H39" s="55" t="s">
        <v>64</v>
      </c>
      <c r="I39" s="55" t="s">
        <v>65</v>
      </c>
      <c r="J39" s="48" t="str">
        <f t="array" ref="J39">IF(G39="","",IFERROR(LET(ev_cost,INDEX(Events!$G$5:$G$505,MATCH(G39,Events!$A$5:$A$505,0)),ev_split,INDEX(Events!$I$5:$I$505,MATCH(G39,Events!$A$5:$A$505,0)),att_offset,MATCH(G39,Attendance!$B$3:$AV$3,0),attendees,COUNTIF(INDEX(Attendance!$B$7:$AV$206,0,att_offset),"1"),IF(ev_split="Equal Split",ev_cost/MAX(1,COUNTA(Roster!$A$5:$A$204)),ev_cost/MAX(1,attendees))),"N/A"))</f>
        <v/>
      </c>
      <c r="K39" s="5"/>
      <c r="L39" s="5"/>
      <c r="M39" s="5"/>
      <c r="N39" s="5"/>
      <c r="O39" s="5"/>
      <c r="P39" s="5"/>
      <c r="Q39" s="5"/>
      <c r="R39" s="5"/>
      <c r="S39" s="5"/>
      <c r="T39" s="5"/>
      <c r="U39" s="5"/>
      <c r="V39" s="5"/>
      <c r="W39" s="5"/>
      <c r="X39" s="5"/>
      <c r="Y39" s="5"/>
      <c r="Z39" s="5"/>
    </row>
    <row r="40" ht="19.5" customHeight="1">
      <c r="A40" s="64">
        <v>46227.0</v>
      </c>
      <c r="B40" s="50" t="s">
        <v>128</v>
      </c>
      <c r="C40" s="58" t="s">
        <v>73</v>
      </c>
      <c r="D40" s="50" t="s">
        <v>63</v>
      </c>
      <c r="E40" s="58" t="s">
        <v>116</v>
      </c>
      <c r="F40" s="51">
        <v>202.26</v>
      </c>
      <c r="G40" s="50" t="s">
        <v>30</v>
      </c>
      <c r="H40" s="50"/>
      <c r="I40" s="58" t="s">
        <v>65</v>
      </c>
      <c r="J40" s="48">
        <f t="array" ref="J40">IF(G40="","",IFERROR(LET(ev_cost,INDEX(Events!$G$5:$G$505,MATCH(G40,Events!$A$5:$A$505,0)),ev_split,INDEX(Events!$I$5:$I$505,MATCH(G40,Events!$A$5:$A$505,0)),att_offset,MATCH(G40,Attendance!$B$3:$AV$3,0),attendees,COUNTIF(INDEX(Attendance!$B$7:$AV$206,0,att_offset),"1"),IF(ev_split="Equal Split",ev_cost/MAX(1,COUNTA(Roster!$A$5:$A$204)),ev_cost/MAX(1,attendees))),"N/A"))</f>
        <v>1050</v>
      </c>
      <c r="K40" s="5"/>
      <c r="L40" s="5"/>
      <c r="M40" s="5"/>
      <c r="N40" s="5"/>
      <c r="O40" s="5"/>
      <c r="P40" s="5"/>
      <c r="Q40" s="5"/>
      <c r="R40" s="5"/>
      <c r="S40" s="5"/>
      <c r="T40" s="5"/>
      <c r="U40" s="5"/>
      <c r="V40" s="5"/>
      <c r="W40" s="5"/>
      <c r="X40" s="5"/>
      <c r="Y40" s="5"/>
      <c r="Z40" s="5"/>
    </row>
    <row r="41" ht="19.5" customHeight="1">
      <c r="A41" s="65">
        <v>46227.0</v>
      </c>
      <c r="B41" s="53" t="s">
        <v>129</v>
      </c>
      <c r="C41" s="53" t="s">
        <v>86</v>
      </c>
      <c r="D41" s="53" t="s">
        <v>63</v>
      </c>
      <c r="E41" s="53" t="s">
        <v>83</v>
      </c>
      <c r="F41" s="73">
        <v>2389.2</v>
      </c>
      <c r="G41" s="53" t="s">
        <v>30</v>
      </c>
      <c r="H41" s="53"/>
      <c r="I41" s="55" t="s">
        <v>65</v>
      </c>
      <c r="J41" s="48">
        <f t="array" ref="J41">IF(G41="","",IFERROR(LET(ev_cost,INDEX(Events!$G$5:$G$505,MATCH(G41,Events!$A$5:$A$505,0)),ev_split,INDEX(Events!$I$5:$I$505,MATCH(G41,Events!$A$5:$A$505,0)),att_offset,MATCH(G41,Attendance!$B$3:$AV$3,0),attendees,COUNTIF(INDEX(Attendance!$B$7:$AV$206,0,att_offset),"1"),IF(ev_split="Equal Split",ev_cost/MAX(1,COUNTA(Roster!$A$5:$A$204)),ev_cost/MAX(1,attendees))),"N/A"))</f>
        <v>1050</v>
      </c>
      <c r="K41" s="5"/>
      <c r="L41" s="5"/>
      <c r="M41" s="5"/>
      <c r="N41" s="5"/>
      <c r="O41" s="5"/>
      <c r="P41" s="5"/>
      <c r="Q41" s="5"/>
      <c r="R41" s="5"/>
      <c r="S41" s="5"/>
      <c r="T41" s="5"/>
      <c r="U41" s="5"/>
      <c r="V41" s="5"/>
      <c r="W41" s="5"/>
      <c r="X41" s="5"/>
      <c r="Y41" s="5"/>
      <c r="Z41" s="5"/>
    </row>
    <row r="42" ht="19.5" customHeight="1">
      <c r="A42" s="64">
        <v>46201.0</v>
      </c>
      <c r="B42" s="50" t="s">
        <v>131</v>
      </c>
      <c r="C42" s="50" t="s">
        <v>76</v>
      </c>
      <c r="D42" s="50" t="s">
        <v>63</v>
      </c>
      <c r="E42" s="50" t="s">
        <v>83</v>
      </c>
      <c r="F42" s="51">
        <v>27.42</v>
      </c>
      <c r="G42" s="50" t="s">
        <v>26</v>
      </c>
      <c r="H42" s="50"/>
      <c r="I42" s="58" t="s">
        <v>65</v>
      </c>
      <c r="J42" s="48">
        <f t="array" ref="J42">IF(G42="","",IFERROR(LET(ev_cost,INDEX(Events!$G$5:$G$505,MATCH(G42,Events!$A$5:$A$505,0)),ev_split,INDEX(Events!$I$5:$I$505,MATCH(G42,Events!$A$5:$A$505,0)),att_offset,MATCH(G42,Attendance!$B$3:$AV$3,0),attendees,COUNTIF(INDEX(Attendance!$B$7:$AV$206,0,att_offset),"1"),IF(ev_split="Equal Split",ev_cost/MAX(1,COUNTA(Roster!$A$5:$A$204)),ev_cost/MAX(1,attendees))),"N/A"))</f>
        <v>1310</v>
      </c>
      <c r="K42" s="5"/>
      <c r="L42" s="5"/>
      <c r="M42" s="5"/>
      <c r="N42" s="5"/>
      <c r="O42" s="5"/>
      <c r="P42" s="5"/>
      <c r="Q42" s="5"/>
      <c r="R42" s="5"/>
      <c r="S42" s="5"/>
      <c r="T42" s="5"/>
      <c r="U42" s="5"/>
      <c r="V42" s="5"/>
      <c r="W42" s="5"/>
      <c r="X42" s="5"/>
      <c r="Y42" s="5"/>
      <c r="Z42" s="5"/>
    </row>
    <row r="43" ht="19.5" customHeight="1">
      <c r="A43" s="69">
        <v>46238.0</v>
      </c>
      <c r="B43" s="55" t="s">
        <v>132</v>
      </c>
      <c r="C43" s="55" t="s">
        <v>71</v>
      </c>
      <c r="D43" s="55" t="s">
        <v>63</v>
      </c>
      <c r="E43" s="55" t="s">
        <v>64</v>
      </c>
      <c r="F43" s="63">
        <v>2257.0</v>
      </c>
      <c r="G43" s="55" t="s">
        <v>13</v>
      </c>
      <c r="H43" s="53"/>
      <c r="I43" s="55" t="s">
        <v>65</v>
      </c>
      <c r="J43" s="48">
        <f t="array" ref="J43">IF(G43="","",IFERROR(LET(ev_cost,INDEX(Events!$G$5:$G$505,MATCH(G43,Events!$A$5:$A$505,0)),ev_split,INDEX(Events!$I$5:$I$505,MATCH(G43,Events!$A$5:$A$505,0)),att_offset,MATCH(G43,Attendance!$B$3:$AV$3,0),attendees,COUNTIF(INDEX(Attendance!$B$7:$AV$206,0,att_offset),"1"),IF(ev_split="Equal Split",ev_cost/MAX(1,COUNTA(Roster!$A$5:$A$204)),ev_cost/MAX(1,attendees))),"N/A"))</f>
        <v>2326</v>
      </c>
      <c r="K43" s="5"/>
      <c r="L43" s="5"/>
      <c r="M43" s="5"/>
      <c r="N43" s="5"/>
      <c r="O43" s="5"/>
      <c r="P43" s="5"/>
      <c r="Q43" s="5"/>
      <c r="R43" s="5"/>
      <c r="S43" s="5"/>
      <c r="T43" s="5"/>
      <c r="U43" s="5"/>
      <c r="V43" s="5"/>
      <c r="W43" s="5"/>
      <c r="X43" s="5"/>
      <c r="Y43" s="5"/>
      <c r="Z43" s="5"/>
    </row>
    <row r="44" ht="19.5" customHeight="1">
      <c r="A44" s="70">
        <v>46238.0</v>
      </c>
      <c r="B44" s="58" t="s">
        <v>133</v>
      </c>
      <c r="C44" s="58" t="s">
        <v>80</v>
      </c>
      <c r="D44" s="58" t="s">
        <v>134</v>
      </c>
      <c r="E44" s="58" t="s">
        <v>64</v>
      </c>
      <c r="F44" s="68">
        <v>2005.28</v>
      </c>
      <c r="G44" s="50"/>
      <c r="H44" s="58" t="s">
        <v>83</v>
      </c>
      <c r="I44" s="58" t="s">
        <v>65</v>
      </c>
      <c r="J44" s="48" t="str">
        <f t="array" ref="J44">IF(G44="","",IFERROR(LET(ev_cost,INDEX(Events!$G$5:$G$505,MATCH(G44,Events!$A$5:$A$505,0)),ev_split,INDEX(Events!$I$5:$I$505,MATCH(G44,Events!$A$5:$A$505,0)),att_offset,MATCH(G44,Attendance!$B$3:$AV$3,0),attendees,COUNTIF(INDEX(Attendance!$B$7:$AV$206,0,att_offset),"1"),IF(ev_split="Equal Split",ev_cost/MAX(1,COUNTA(Roster!$A$5:$A$204)),ev_cost/MAX(1,attendees))),"N/A"))</f>
        <v/>
      </c>
      <c r="K44" s="5"/>
      <c r="L44" s="5"/>
      <c r="M44" s="5"/>
      <c r="N44" s="5"/>
      <c r="O44" s="5"/>
      <c r="P44" s="5"/>
      <c r="Q44" s="5"/>
      <c r="R44" s="5"/>
      <c r="S44" s="5"/>
      <c r="T44" s="5"/>
      <c r="U44" s="5"/>
      <c r="V44" s="5"/>
      <c r="W44" s="5"/>
      <c r="X44" s="5"/>
      <c r="Y44" s="5"/>
      <c r="Z44" s="5"/>
    </row>
    <row r="45" ht="19.5" customHeight="1">
      <c r="A45" s="69">
        <v>46239.0</v>
      </c>
      <c r="B45" s="55" t="s">
        <v>135</v>
      </c>
      <c r="C45" s="55" t="s">
        <v>80</v>
      </c>
      <c r="D45" s="55" t="s">
        <v>78</v>
      </c>
      <c r="E45" s="53" t="s">
        <v>130</v>
      </c>
      <c r="F45" s="63">
        <v>411.34</v>
      </c>
      <c r="G45" s="53"/>
      <c r="H45" s="55" t="s">
        <v>64</v>
      </c>
      <c r="I45" s="55" t="s">
        <v>65</v>
      </c>
      <c r="J45" s="48" t="str">
        <f t="array" ref="J45">IF(G45="","",IFERROR(LET(ev_cost,INDEX(Events!$G$5:$G$505,MATCH(G45,Events!$A$5:$A$505,0)),ev_split,INDEX(Events!$I$5:$I$505,MATCH(G45,Events!$A$5:$A$505,0)),att_offset,MATCH(G45,Attendance!$B$3:$AV$3,0),attendees,COUNTIF(INDEX(Attendance!$B$7:$AV$206,0,att_offset),"1"),IF(ev_split="Equal Split",ev_cost/MAX(1,COUNTA(Roster!$A$5:$A$204)),ev_cost/MAX(1,attendees))),"N/A"))</f>
        <v/>
      </c>
      <c r="K45" s="5"/>
      <c r="L45" s="5"/>
      <c r="M45" s="5"/>
      <c r="N45" s="5"/>
      <c r="O45" s="5"/>
      <c r="P45" s="5"/>
      <c r="Q45" s="5"/>
      <c r="R45" s="5"/>
      <c r="S45" s="5"/>
      <c r="T45" s="5"/>
      <c r="U45" s="5"/>
      <c r="V45" s="5"/>
      <c r="W45" s="5"/>
      <c r="X45" s="5"/>
      <c r="Y45" s="5"/>
      <c r="Z45" s="5"/>
    </row>
    <row r="46" ht="19.5" customHeight="1">
      <c r="A46" s="70">
        <v>46244.0</v>
      </c>
      <c r="B46" s="58" t="s">
        <v>102</v>
      </c>
      <c r="C46" s="58" t="s">
        <v>80</v>
      </c>
      <c r="D46" s="58" t="s">
        <v>78</v>
      </c>
      <c r="E46" s="58" t="s">
        <v>103</v>
      </c>
      <c r="F46" s="68">
        <v>200.0</v>
      </c>
      <c r="G46" s="50"/>
      <c r="H46" s="58" t="s">
        <v>64</v>
      </c>
      <c r="I46" s="58" t="s">
        <v>65</v>
      </c>
      <c r="J46" s="48" t="str">
        <f t="array" ref="J46">IF(G46="","",IFERROR(LET(ev_cost,INDEX(Events!$G$5:$G$505,MATCH(G46,Events!$A$5:$A$505,0)),ev_split,INDEX(Events!$I$5:$I$505,MATCH(G46,Events!$A$5:$A$505,0)),att_offset,MATCH(G46,Attendance!$B$3:$AV$3,0),attendees,COUNTIF(INDEX(Attendance!$B$7:$AV$206,0,att_offset),"1"),IF(ev_split="Equal Split",ev_cost/MAX(1,COUNTA(Roster!$A$5:$A$204)),ev_cost/MAX(1,attendees))),"N/A"))</f>
        <v/>
      </c>
      <c r="K46" s="5"/>
      <c r="L46" s="5"/>
      <c r="M46" s="5"/>
      <c r="N46" s="5"/>
      <c r="O46" s="5"/>
      <c r="P46" s="5"/>
      <c r="Q46" s="5"/>
      <c r="R46" s="5"/>
      <c r="S46" s="5"/>
      <c r="T46" s="5"/>
      <c r="U46" s="5"/>
      <c r="V46" s="5"/>
      <c r="W46" s="5"/>
      <c r="X46" s="5"/>
      <c r="Y46" s="5"/>
      <c r="Z46" s="5"/>
    </row>
    <row r="47" ht="19.5" customHeight="1">
      <c r="A47" s="69">
        <v>46246.0</v>
      </c>
      <c r="B47" s="55" t="s">
        <v>136</v>
      </c>
      <c r="C47" s="55" t="s">
        <v>80</v>
      </c>
      <c r="D47" s="55" t="s">
        <v>78</v>
      </c>
      <c r="E47" s="55" t="s">
        <v>137</v>
      </c>
      <c r="F47" s="63">
        <v>470.58</v>
      </c>
      <c r="G47" s="53"/>
      <c r="H47" s="55" t="s">
        <v>64</v>
      </c>
      <c r="I47" s="55" t="s">
        <v>65</v>
      </c>
      <c r="J47" s="48" t="str">
        <f t="array" ref="J47">IF(G47="","",IFERROR(LET(ev_cost,INDEX(Events!$G$5:$G$505,MATCH(G47,Events!$A$5:$A$505,0)),ev_split,INDEX(Events!$I$5:$I$505,MATCH(G47,Events!$A$5:$A$505,0)),att_offset,MATCH(G47,Attendance!$B$3:$AV$3,0),attendees,COUNTIF(INDEX(Attendance!$B$7:$AV$206,0,att_offset),"1"),IF(ev_split="Equal Split",ev_cost/MAX(1,COUNTA(Roster!$A$5:$A$204)),ev_cost/MAX(1,attendees))),"N/A"))</f>
        <v/>
      </c>
      <c r="K47" s="5"/>
      <c r="L47" s="5"/>
      <c r="M47" s="5"/>
      <c r="N47" s="5"/>
      <c r="O47" s="5"/>
      <c r="P47" s="5"/>
      <c r="Q47" s="5"/>
      <c r="R47" s="5"/>
      <c r="S47" s="5"/>
      <c r="T47" s="5"/>
      <c r="U47" s="5"/>
      <c r="V47" s="5"/>
      <c r="W47" s="5"/>
      <c r="X47" s="5"/>
      <c r="Y47" s="5"/>
      <c r="Z47" s="5"/>
    </row>
    <row r="48" ht="19.5" customHeight="1">
      <c r="A48" s="70">
        <v>46247.0</v>
      </c>
      <c r="B48" s="58" t="s">
        <v>138</v>
      </c>
      <c r="C48" s="58" t="s">
        <v>80</v>
      </c>
      <c r="D48" s="58" t="s">
        <v>78</v>
      </c>
      <c r="E48" s="58" t="s">
        <v>112</v>
      </c>
      <c r="F48" s="68">
        <v>206.16</v>
      </c>
      <c r="G48" s="50"/>
      <c r="H48" s="58" t="s">
        <v>64</v>
      </c>
      <c r="I48" s="58" t="s">
        <v>65</v>
      </c>
      <c r="J48" s="48" t="str">
        <f t="array" ref="J48">IF(G48="","",IFERROR(LET(ev_cost,INDEX(Events!$G$5:$G$505,MATCH(G48,Events!$A$5:$A$505,0)),ev_split,INDEX(Events!$I$5:$I$505,MATCH(G48,Events!$A$5:$A$505,0)),att_offset,MATCH(G48,Attendance!$B$3:$AV$3,0),attendees,COUNTIF(INDEX(Attendance!$B$7:$AV$206,0,att_offset),"1"),IF(ev_split="Equal Split",ev_cost/MAX(1,COUNTA(Roster!$A$5:$A$204)),ev_cost/MAX(1,attendees))),"N/A"))</f>
        <v/>
      </c>
      <c r="K48" s="5"/>
      <c r="L48" s="5"/>
      <c r="M48" s="5"/>
      <c r="N48" s="5"/>
      <c r="O48" s="5"/>
      <c r="P48" s="5"/>
      <c r="Q48" s="5"/>
      <c r="R48" s="5"/>
      <c r="S48" s="5"/>
      <c r="T48" s="5"/>
      <c r="U48" s="5"/>
      <c r="V48" s="5"/>
      <c r="W48" s="5"/>
      <c r="X48" s="5"/>
      <c r="Y48" s="5"/>
      <c r="Z48" s="5"/>
    </row>
    <row r="49" ht="19.5" customHeight="1">
      <c r="A49" s="69">
        <v>46266.0</v>
      </c>
      <c r="B49" s="55" t="s">
        <v>139</v>
      </c>
      <c r="C49" s="55" t="s">
        <v>62</v>
      </c>
      <c r="D49" s="55" t="s">
        <v>63</v>
      </c>
      <c r="E49" s="55" t="s">
        <v>64</v>
      </c>
      <c r="F49" s="63">
        <v>550.0</v>
      </c>
      <c r="G49" s="55" t="s">
        <v>47</v>
      </c>
      <c r="H49" s="53"/>
      <c r="I49" s="55" t="s">
        <v>65</v>
      </c>
      <c r="J49" s="48">
        <f t="array" ref="J49">IF(G49="","",IFERROR(LET(ev_cost,INDEX(Events!$G$5:$G$505,MATCH(G49,Events!$A$5:$A$505,0)),ev_split,INDEX(Events!$I$5:$I$505,MATCH(G49,Events!$A$5:$A$505,0)),att_offset,MATCH(G49,Attendance!$B$3:$AV$3,0),attendees,COUNTIF(INDEX(Attendance!$B$7:$AV$206,0,att_offset),"1"),IF(ev_split="Equal Split",ev_cost/MAX(1,COUNTA(Roster!$A$5:$A$204)),ev_cost/MAX(1,attendees))),"N/A"))</f>
        <v>560.85</v>
      </c>
      <c r="K49" s="5"/>
      <c r="L49" s="5"/>
      <c r="M49" s="5"/>
      <c r="N49" s="5"/>
      <c r="O49" s="5"/>
      <c r="P49" s="5"/>
      <c r="Q49" s="5"/>
      <c r="R49" s="5"/>
      <c r="S49" s="5"/>
      <c r="T49" s="5"/>
      <c r="U49" s="5"/>
      <c r="V49" s="5"/>
      <c r="W49" s="5"/>
      <c r="X49" s="5"/>
      <c r="Y49" s="5"/>
      <c r="Z49" s="5"/>
    </row>
    <row r="50" ht="19.5" customHeight="1">
      <c r="A50" s="70">
        <v>46255.0</v>
      </c>
      <c r="B50" s="58" t="s">
        <v>140</v>
      </c>
      <c r="C50" s="58" t="s">
        <v>86</v>
      </c>
      <c r="D50" s="58" t="s">
        <v>63</v>
      </c>
      <c r="E50" s="58" t="s">
        <v>83</v>
      </c>
      <c r="F50" s="68">
        <v>3027.12</v>
      </c>
      <c r="G50" s="58" t="s">
        <v>46</v>
      </c>
      <c r="H50" s="50"/>
      <c r="I50" s="58" t="s">
        <v>65</v>
      </c>
      <c r="J50" s="48">
        <f t="array" ref="J50">IF(G50="","",IFERROR(LET(ev_cost,INDEX(Events!$G$5:$G$505,MATCH(G50,Events!$A$5:$A$505,0)),ev_split,INDEX(Events!$I$5:$I$505,MATCH(G50,Events!$A$5:$A$505,0)),att_offset,MATCH(G50,Attendance!$B$3:$AV$3,0),attendees,COUNTIF(INDEX(Attendance!$B$7:$AV$206,0,att_offset),"1"),IF(ev_split="Equal Split",ev_cost/MAX(1,COUNTA(Roster!$A$5:$A$204)),ev_cost/MAX(1,attendees))),"N/A"))</f>
        <v>5345.86</v>
      </c>
      <c r="K50" s="5"/>
      <c r="L50" s="5"/>
      <c r="M50" s="5"/>
      <c r="N50" s="5"/>
      <c r="O50" s="5"/>
      <c r="P50" s="5"/>
      <c r="Q50" s="5"/>
      <c r="R50" s="5"/>
      <c r="S50" s="5"/>
      <c r="T50" s="5"/>
      <c r="U50" s="5"/>
      <c r="V50" s="5"/>
      <c r="W50" s="5"/>
      <c r="X50" s="5"/>
      <c r="Y50" s="5"/>
      <c r="Z50" s="5"/>
    </row>
    <row r="51" ht="19.5" customHeight="1">
      <c r="A51" s="69">
        <v>46255.0</v>
      </c>
      <c r="B51" s="55" t="s">
        <v>141</v>
      </c>
      <c r="C51" s="55" t="s">
        <v>73</v>
      </c>
      <c r="D51" s="55" t="s">
        <v>89</v>
      </c>
      <c r="E51" s="55" t="s">
        <v>64</v>
      </c>
      <c r="F51" s="63">
        <v>20.12</v>
      </c>
      <c r="G51" s="50"/>
      <c r="H51" s="58" t="s">
        <v>83</v>
      </c>
      <c r="I51" s="58" t="s">
        <v>65</v>
      </c>
      <c r="J51" s="48" t="str">
        <f t="array" ref="J51">IF(G51="","",IFERROR(LET(ev_cost,INDEX(Events!$G$5:$G$505,MATCH(G51,Events!$A$5:$A$505,0)),ev_split,INDEX(Events!$I$5:$I$505,MATCH(G51,Events!$A$5:$A$505,0)),att_offset,MATCH(G51,Attendance!$B$3:$AV$3,0),attendees,COUNTIF(INDEX(Attendance!$B$7:$AV$206,0,att_offset),"1"),IF(ev_split="Equal Split",ev_cost/MAX(1,COUNTA(Roster!$A$5:$A$204)),ev_cost/MAX(1,attendees))),"N/A"))</f>
        <v/>
      </c>
      <c r="K51" s="5"/>
      <c r="L51" s="5"/>
      <c r="M51" s="5"/>
      <c r="N51" s="5"/>
      <c r="O51" s="5"/>
      <c r="P51" s="5"/>
      <c r="Q51" s="5"/>
      <c r="R51" s="5"/>
      <c r="S51" s="5"/>
      <c r="T51" s="5"/>
      <c r="U51" s="5"/>
      <c r="V51" s="5"/>
      <c r="W51" s="5"/>
      <c r="X51" s="5"/>
      <c r="Y51" s="5"/>
      <c r="Z51" s="5"/>
    </row>
    <row r="52" ht="19.5" customHeight="1">
      <c r="A52" s="69"/>
      <c r="B52" s="55"/>
      <c r="C52" s="55"/>
      <c r="D52" s="55"/>
      <c r="E52" s="55"/>
      <c r="F52" s="63"/>
      <c r="G52" s="50"/>
      <c r="H52" s="58"/>
      <c r="I52" s="58"/>
      <c r="J52" s="48"/>
      <c r="K52" s="5"/>
      <c r="L52" s="5"/>
      <c r="M52" s="5"/>
      <c r="N52" s="5"/>
      <c r="O52" s="5"/>
      <c r="P52" s="5"/>
      <c r="Q52" s="5"/>
      <c r="R52" s="5"/>
      <c r="S52" s="5"/>
      <c r="T52" s="5"/>
      <c r="U52" s="5"/>
      <c r="V52" s="5"/>
      <c r="W52" s="5"/>
      <c r="X52" s="5"/>
      <c r="Y52" s="5"/>
      <c r="Z52" s="5"/>
    </row>
    <row r="53" ht="19.5" customHeight="1">
      <c r="A53" s="69">
        <v>46253.0</v>
      </c>
      <c r="B53" s="55" t="s">
        <v>142</v>
      </c>
      <c r="C53" s="55" t="s">
        <v>73</v>
      </c>
      <c r="D53" s="55" t="s">
        <v>63</v>
      </c>
      <c r="E53" s="55" t="s">
        <v>118</v>
      </c>
      <c r="F53" s="63">
        <v>170.28</v>
      </c>
      <c r="G53" s="55" t="s">
        <v>46</v>
      </c>
      <c r="H53" s="53"/>
      <c r="I53" s="58" t="s">
        <v>65</v>
      </c>
      <c r="J53" s="48">
        <f t="array" ref="J53">IF(G53="","",IFERROR(LET(ev_cost,INDEX(Events!$G$5:$G$505,MATCH(G53,Events!$A$5:$A$505,0)),ev_split,INDEX(Events!$I$5:$I$505,MATCH(G53,Events!$A$5:$A$505,0)),att_offset,MATCH(G53,Attendance!$B$3:$AV$3,0),attendees,COUNTIF(INDEX(Attendance!$B$7:$AV$206,0,att_offset),"1"),IF(ev_split="Equal Split",ev_cost/MAX(1,COUNTA(Roster!$A$5:$A$204)),ev_cost/MAX(1,attendees))),"N/A"))</f>
        <v>5345.86</v>
      </c>
      <c r="K53" s="5"/>
      <c r="L53" s="5"/>
      <c r="M53" s="5"/>
      <c r="N53" s="5"/>
      <c r="O53" s="5"/>
      <c r="P53" s="5"/>
      <c r="Q53" s="5"/>
      <c r="R53" s="5"/>
      <c r="S53" s="5"/>
      <c r="T53" s="5"/>
      <c r="U53" s="5"/>
      <c r="V53" s="5"/>
      <c r="W53" s="5"/>
      <c r="X53" s="5"/>
      <c r="Y53" s="5"/>
      <c r="Z53" s="5"/>
    </row>
    <row r="54" ht="19.5" customHeight="1">
      <c r="A54" s="64">
        <v>46259.0</v>
      </c>
      <c r="B54" s="50" t="s">
        <v>143</v>
      </c>
      <c r="C54" s="58" t="s">
        <v>144</v>
      </c>
      <c r="D54" s="58" t="s">
        <v>89</v>
      </c>
      <c r="E54" s="58" t="s">
        <v>64</v>
      </c>
      <c r="F54" s="51">
        <v>28.0</v>
      </c>
      <c r="G54" s="50"/>
      <c r="H54" s="58" t="s">
        <v>145</v>
      </c>
      <c r="I54" s="58" t="s">
        <v>65</v>
      </c>
      <c r="J54" s="48" t="str">
        <f t="array" ref="J54">IF(G54="","",IFERROR(LET(ev_cost,INDEX(Events!$G$5:$G$505,MATCH(G54,Events!$A$5:$A$505,0)),ev_split,INDEX(Events!$I$5:$I$505,MATCH(G54,Events!$A$5:$A$505,0)),att_offset,MATCH(G54,Attendance!$B$3:$AV$3,0),attendees,COUNTIF(INDEX(Attendance!$B$7:$AV$206,0,att_offset),"1"),IF(ev_split="Equal Split",ev_cost/MAX(1,COUNTA(Roster!$A$5:$A$204)),ev_cost/MAX(1,attendees))),"N/A"))</f>
        <v/>
      </c>
      <c r="K54" s="5"/>
      <c r="L54" s="5"/>
      <c r="M54" s="5"/>
      <c r="N54" s="5"/>
      <c r="O54" s="5"/>
      <c r="P54" s="5"/>
      <c r="Q54" s="5"/>
      <c r="R54" s="5"/>
      <c r="S54" s="5"/>
      <c r="T54" s="5"/>
      <c r="U54" s="5"/>
      <c r="V54" s="5"/>
      <c r="W54" s="5"/>
      <c r="X54" s="5"/>
      <c r="Y54" s="5"/>
      <c r="Z54" s="5"/>
    </row>
    <row r="55" ht="19.5" customHeight="1">
      <c r="A55" s="69">
        <v>46260.0</v>
      </c>
      <c r="B55" s="55" t="s">
        <v>146</v>
      </c>
      <c r="C55" s="55" t="s">
        <v>68</v>
      </c>
      <c r="D55" s="55" t="s">
        <v>37</v>
      </c>
      <c r="E55" s="55" t="s">
        <v>64</v>
      </c>
      <c r="F55" s="63">
        <v>359.25</v>
      </c>
      <c r="G55" s="55" t="s">
        <v>52</v>
      </c>
      <c r="H55" s="55"/>
      <c r="I55" s="58" t="s">
        <v>65</v>
      </c>
      <c r="J55" s="48">
        <f t="array" ref="J55">IF(G55="","",IFERROR(LET(ev_cost,INDEX(Events!$G$5:$G$505,MATCH(G55,Events!$A$5:$A$505,0)),ev_split,INDEX(Events!$I$5:$I$505,MATCH(G55,Events!$A$5:$A$505,0)),att_offset,MATCH(G55,Attendance!$B$3:$AV$3,0),attendees,COUNTIF(INDEX(Attendance!$B$7:$AV$206,0,att_offset),"1"),IF(ev_split="Equal Split",ev_cost/MAX(1,COUNTA(Roster!$A$5:$A$204)),ev_cost/MAX(1,attendees))),"N/A"))</f>
        <v>0</v>
      </c>
      <c r="K55" s="5"/>
      <c r="L55" s="5"/>
      <c r="M55" s="5"/>
      <c r="N55" s="5"/>
      <c r="O55" s="5"/>
      <c r="P55" s="5"/>
      <c r="Q55" s="5"/>
      <c r="R55" s="5"/>
      <c r="S55" s="5"/>
      <c r="T55" s="5"/>
      <c r="U55" s="5"/>
      <c r="V55" s="5"/>
      <c r="W55" s="5"/>
      <c r="X55" s="5"/>
      <c r="Y55" s="5"/>
      <c r="Z55" s="5"/>
    </row>
    <row r="56" ht="19.5" customHeight="1">
      <c r="A56" s="69">
        <v>46236.0</v>
      </c>
      <c r="B56" s="55" t="s">
        <v>147</v>
      </c>
      <c r="C56" s="55" t="s">
        <v>76</v>
      </c>
      <c r="D56" s="55" t="s">
        <v>63</v>
      </c>
      <c r="E56" s="55" t="s">
        <v>109</v>
      </c>
      <c r="F56" s="63">
        <v>21.0</v>
      </c>
      <c r="G56" s="55" t="s">
        <v>26</v>
      </c>
      <c r="H56" s="55"/>
      <c r="I56" s="58" t="s">
        <v>65</v>
      </c>
      <c r="J56" s="48">
        <f t="array" ref="J56">IF(G56="","",IFERROR(LET(ev_cost,INDEX(Events!$G$5:$G$505,MATCH(G56,Events!$A$5:$A$505,0)),ev_split,INDEX(Events!$I$5:$I$505,MATCH(G56,Events!$A$5:$A$505,0)),att_offset,MATCH(G56,Attendance!$B$3:$AV$3,0),attendees,COUNTIF(INDEX(Attendance!$B$7:$AV$206,0,att_offset),"1"),IF(ev_split="Equal Split",ev_cost/MAX(1,COUNTA(Roster!$A$5:$A$204)),ev_cost/MAX(1,attendees))),"N/A"))</f>
        <v>1310</v>
      </c>
      <c r="K56" s="5"/>
      <c r="L56" s="5"/>
      <c r="M56" s="5"/>
      <c r="N56" s="5"/>
      <c r="O56" s="5"/>
      <c r="P56" s="5"/>
      <c r="Q56" s="5"/>
      <c r="R56" s="5"/>
      <c r="S56" s="5"/>
      <c r="T56" s="5"/>
      <c r="U56" s="5"/>
      <c r="V56" s="5"/>
      <c r="W56" s="5"/>
      <c r="X56" s="5"/>
      <c r="Y56" s="5"/>
      <c r="Z56" s="5"/>
    </row>
    <row r="57" ht="19.5" customHeight="1">
      <c r="A57" s="70">
        <v>46236.0</v>
      </c>
      <c r="B57" s="55" t="s">
        <v>147</v>
      </c>
      <c r="C57" s="58" t="s">
        <v>76</v>
      </c>
      <c r="D57" s="58" t="s">
        <v>63</v>
      </c>
      <c r="E57" s="58" t="s">
        <v>148</v>
      </c>
      <c r="F57" s="68">
        <v>21.0</v>
      </c>
      <c r="G57" s="58" t="s">
        <v>26</v>
      </c>
      <c r="H57" s="58"/>
      <c r="I57" s="58" t="s">
        <v>65</v>
      </c>
      <c r="J57" s="48">
        <f t="array" ref="J57">IF(G57="","",IFERROR(LET(ev_cost,INDEX(Events!$G$5:$G$505,MATCH(G57,Events!$A$5:$A$505,0)),ev_split,INDEX(Events!$I$5:$I$505,MATCH(G57,Events!$A$5:$A$505,0)),att_offset,MATCH(G57,Attendance!$B$3:$AV$3,0),attendees,COUNTIF(INDEX(Attendance!$B$7:$AV$206,0,att_offset),"1"),IF(ev_split="Equal Split",ev_cost/MAX(1,COUNTA(Roster!$A$5:$A$204)),ev_cost/MAX(1,attendees))),"N/A"))</f>
        <v>1310</v>
      </c>
      <c r="K57" s="5"/>
      <c r="L57" s="5"/>
      <c r="M57" s="5"/>
      <c r="N57" s="5"/>
      <c r="O57" s="5"/>
      <c r="P57" s="5"/>
      <c r="Q57" s="5"/>
      <c r="R57" s="5"/>
      <c r="S57" s="5"/>
      <c r="T57" s="5"/>
      <c r="U57" s="5"/>
      <c r="V57" s="5"/>
      <c r="W57" s="5"/>
      <c r="X57" s="5"/>
      <c r="Y57" s="5"/>
      <c r="Z57" s="5"/>
    </row>
    <row r="58" ht="19.5" customHeight="1">
      <c r="A58" s="70">
        <v>46236.0</v>
      </c>
      <c r="B58" s="55" t="s">
        <v>147</v>
      </c>
      <c r="C58" s="58" t="s">
        <v>76</v>
      </c>
      <c r="D58" s="58" t="s">
        <v>63</v>
      </c>
      <c r="E58" s="58" t="s">
        <v>107</v>
      </c>
      <c r="F58" s="68">
        <v>21.0</v>
      </c>
      <c r="G58" s="58" t="s">
        <v>26</v>
      </c>
      <c r="H58" s="58"/>
      <c r="I58" s="58" t="s">
        <v>65</v>
      </c>
      <c r="J58" s="48">
        <f t="array" ref="J58">IF(G58="","",IFERROR(LET(ev_cost,INDEX(Events!$G$5:$G$505,MATCH(G58,Events!$A$5:$A$505,0)),ev_split,INDEX(Events!$I$5:$I$505,MATCH(G58,Events!$A$5:$A$505,0)),att_offset,MATCH(G58,Attendance!$B$3:$AV$3,0),attendees,COUNTIF(INDEX(Attendance!$B$7:$AV$206,0,att_offset),"1"),IF(ev_split="Equal Split",ev_cost/MAX(1,COUNTA(Roster!$A$5:$A$204)),ev_cost/MAX(1,attendees))),"N/A"))</f>
        <v>1310</v>
      </c>
      <c r="K58" s="5"/>
      <c r="L58" s="5"/>
      <c r="M58" s="5"/>
      <c r="N58" s="5"/>
      <c r="O58" s="5"/>
      <c r="P58" s="5"/>
      <c r="Q58" s="5"/>
      <c r="R58" s="5"/>
      <c r="S58" s="5"/>
      <c r="T58" s="5"/>
      <c r="U58" s="5"/>
      <c r="V58" s="5"/>
      <c r="W58" s="5"/>
      <c r="X58" s="5"/>
      <c r="Y58" s="5"/>
      <c r="Z58" s="5"/>
    </row>
    <row r="59" ht="19.5" customHeight="1">
      <c r="A59" s="70">
        <v>46236.0</v>
      </c>
      <c r="B59" s="55" t="s">
        <v>147</v>
      </c>
      <c r="C59" s="58" t="s">
        <v>76</v>
      </c>
      <c r="D59" s="58" t="s">
        <v>63</v>
      </c>
      <c r="E59" s="58" t="s">
        <v>118</v>
      </c>
      <c r="F59" s="68">
        <v>21.0</v>
      </c>
      <c r="G59" s="58" t="s">
        <v>26</v>
      </c>
      <c r="H59" s="58"/>
      <c r="I59" s="58" t="s">
        <v>65</v>
      </c>
      <c r="J59" s="48">
        <f t="array" ref="J59">IF(G59="","",IFERROR(LET(ev_cost,INDEX(Events!$G$5:$G$505,MATCH(G59,Events!$A$5:$A$505,0)),ev_split,INDEX(Events!$I$5:$I$505,MATCH(G59,Events!$A$5:$A$505,0)),att_offset,MATCH(G59,Attendance!$B$3:$AV$3,0),attendees,COUNTIF(INDEX(Attendance!$B$7:$AV$206,0,att_offset),"1"),IF(ev_split="Equal Split",ev_cost/MAX(1,COUNTA(Roster!$A$5:$A$204)),ev_cost/MAX(1,attendees))),"N/A"))</f>
        <v>1310</v>
      </c>
      <c r="K59" s="5"/>
      <c r="L59" s="5"/>
      <c r="M59" s="5"/>
      <c r="N59" s="5"/>
      <c r="O59" s="5"/>
      <c r="P59" s="5"/>
      <c r="Q59" s="5"/>
      <c r="R59" s="5"/>
      <c r="S59" s="5"/>
      <c r="T59" s="5"/>
      <c r="U59" s="5"/>
      <c r="V59" s="5"/>
      <c r="W59" s="5"/>
      <c r="X59" s="5"/>
      <c r="Y59" s="5"/>
      <c r="Z59" s="5"/>
    </row>
    <row r="60" ht="19.5" customHeight="1">
      <c r="A60" s="69">
        <v>46267.0</v>
      </c>
      <c r="B60" s="55" t="s">
        <v>149</v>
      </c>
      <c r="C60" s="55" t="s">
        <v>76</v>
      </c>
      <c r="D60" s="55" t="s">
        <v>63</v>
      </c>
      <c r="E60" s="53"/>
      <c r="F60" s="74">
        <v>293.02</v>
      </c>
      <c r="G60" s="55" t="s">
        <v>26</v>
      </c>
      <c r="H60" s="53"/>
      <c r="I60" s="58" t="s">
        <v>65</v>
      </c>
      <c r="J60" s="48">
        <f t="array" ref="J60">IF(G60="","",IFERROR(LET(ev_cost,INDEX(Events!$G$5:$G$505,MATCH(G60,Events!$A$5:$A$505,0)),ev_split,INDEX(Events!$I$5:$I$505,MATCH(G60,Events!$A$5:$A$505,0)),att_offset,MATCH(G60,Attendance!$B$3:$AV$3,0),attendees,COUNTIF(INDEX(Attendance!$B$7:$AV$206,0,att_offset),"1"),IF(ev_split="Equal Split",ev_cost/MAX(1,COUNTA(Roster!$A$5:$A$204)),ev_cost/MAX(1,attendees))),"N/A"))</f>
        <v>1310</v>
      </c>
      <c r="K60" s="5"/>
      <c r="L60" s="5"/>
      <c r="M60" s="5"/>
      <c r="N60" s="5"/>
      <c r="O60" s="5"/>
      <c r="P60" s="5"/>
      <c r="Q60" s="5"/>
      <c r="R60" s="5"/>
      <c r="S60" s="5"/>
      <c r="T60" s="5"/>
      <c r="U60" s="5"/>
      <c r="V60" s="5"/>
      <c r="W60" s="5"/>
      <c r="X60" s="5"/>
      <c r="Y60" s="5"/>
      <c r="Z60" s="5"/>
    </row>
    <row r="61" ht="19.5" customHeight="1">
      <c r="A61" s="69">
        <v>46267.0</v>
      </c>
      <c r="B61" s="55" t="s">
        <v>150</v>
      </c>
      <c r="C61" s="55" t="s">
        <v>76</v>
      </c>
      <c r="D61" s="55" t="s">
        <v>63</v>
      </c>
      <c r="E61" s="53"/>
      <c r="F61" s="74">
        <v>523.2</v>
      </c>
      <c r="G61" s="55" t="s">
        <v>30</v>
      </c>
      <c r="H61" s="53"/>
      <c r="I61" s="58" t="s">
        <v>65</v>
      </c>
      <c r="J61" s="48">
        <f t="array" ref="J61">IF(G61="","",IFERROR(LET(ev_cost,INDEX(Events!$G$5:$G$505,MATCH(G61,Events!$A$5:$A$505,0)),ev_split,INDEX(Events!$I$5:$I$505,MATCH(G61,Events!$A$5:$A$505,0)),att_offset,MATCH(G61,Attendance!$B$3:$AV$3,0),attendees,COUNTIF(INDEX(Attendance!$B$7:$AV$206,0,att_offset),"1"),IF(ev_split="Equal Split",ev_cost/MAX(1,COUNTA(Roster!$A$5:$A$204)),ev_cost/MAX(1,attendees))),"N/A"))</f>
        <v>1050</v>
      </c>
      <c r="K61" s="5"/>
      <c r="L61" s="5"/>
      <c r="M61" s="5"/>
      <c r="N61" s="5"/>
      <c r="O61" s="5"/>
      <c r="P61" s="5"/>
      <c r="Q61" s="5"/>
      <c r="R61" s="5"/>
      <c r="S61" s="5"/>
      <c r="T61" s="5"/>
      <c r="U61" s="5"/>
      <c r="V61" s="5"/>
      <c r="W61" s="5"/>
      <c r="X61" s="5"/>
      <c r="Y61" s="5"/>
      <c r="Z61" s="5"/>
    </row>
    <row r="62" ht="19.5" customHeight="1">
      <c r="A62" s="69">
        <v>46267.0</v>
      </c>
      <c r="B62" s="55" t="s">
        <v>151</v>
      </c>
      <c r="C62" s="55" t="s">
        <v>76</v>
      </c>
      <c r="D62" s="55" t="s">
        <v>63</v>
      </c>
      <c r="E62" s="53"/>
      <c r="F62" s="74">
        <v>574.23</v>
      </c>
      <c r="G62" s="55" t="s">
        <v>46</v>
      </c>
      <c r="H62" s="53"/>
      <c r="I62" s="58" t="s">
        <v>65</v>
      </c>
      <c r="J62" s="48">
        <f t="array" ref="J62">IF(G62="","",IFERROR(LET(ev_cost,INDEX(Events!$G$5:$G$505,MATCH(G62,Events!$A$5:$A$505,0)),ev_split,INDEX(Events!$I$5:$I$505,MATCH(G62,Events!$A$5:$A$505,0)),att_offset,MATCH(G62,Attendance!$B$3:$AV$3,0),attendees,COUNTIF(INDEX(Attendance!$B$7:$AV$206,0,att_offset),"1"),IF(ev_split="Equal Split",ev_cost/MAX(1,COUNTA(Roster!$A$5:$A$204)),ev_cost/MAX(1,attendees))),"N/A"))</f>
        <v>5345.86</v>
      </c>
      <c r="K62" s="5"/>
      <c r="L62" s="5"/>
      <c r="M62" s="5"/>
      <c r="N62" s="5"/>
      <c r="O62" s="5"/>
      <c r="P62" s="5"/>
      <c r="Q62" s="5"/>
      <c r="R62" s="5"/>
      <c r="S62" s="5"/>
      <c r="T62" s="5"/>
      <c r="U62" s="5"/>
      <c r="V62" s="5"/>
      <c r="W62" s="5"/>
      <c r="X62" s="5"/>
      <c r="Y62" s="5"/>
      <c r="Z62" s="5"/>
    </row>
    <row r="63" ht="19.5" customHeight="1">
      <c r="A63" s="65">
        <v>46199.0</v>
      </c>
      <c r="B63" s="53" t="s">
        <v>152</v>
      </c>
      <c r="C63" s="53" t="s">
        <v>76</v>
      </c>
      <c r="D63" s="53" t="s">
        <v>63</v>
      </c>
      <c r="E63" s="55" t="s">
        <v>123</v>
      </c>
      <c r="F63" s="61">
        <v>100.8</v>
      </c>
      <c r="G63" s="53" t="s">
        <v>26</v>
      </c>
      <c r="H63" s="53"/>
      <c r="I63" s="58" t="s">
        <v>65</v>
      </c>
      <c r="J63" s="48">
        <f t="array" ref="J63">IF(G63="","",IFERROR(LET(ev_cost,INDEX(Events!$G$5:$G$505,MATCH(G63,Events!$A$5:$A$505,0)),ev_split,INDEX(Events!$I$5:$I$505,MATCH(G63,Events!$A$5:$A$505,0)),att_offset,MATCH(G63,Attendance!$B$3:$AV$3,0),attendees,COUNTIF(INDEX(Attendance!$B$7:$AV$206,0,att_offset),"1"),IF(ev_split="Equal Split",ev_cost/MAX(1,COUNTA(Roster!$A$5:$A$204)),ev_cost/MAX(1,attendees))),"N/A"))</f>
        <v>1310</v>
      </c>
      <c r="K63" s="5"/>
      <c r="L63" s="5"/>
      <c r="M63" s="5"/>
      <c r="N63" s="5"/>
      <c r="O63" s="5"/>
      <c r="P63" s="5"/>
      <c r="Q63" s="5"/>
      <c r="R63" s="5"/>
      <c r="S63" s="5"/>
      <c r="T63" s="5"/>
      <c r="U63" s="5"/>
      <c r="V63" s="5"/>
      <c r="W63" s="5"/>
      <c r="X63" s="5"/>
      <c r="Y63" s="5"/>
      <c r="Z63" s="5"/>
    </row>
    <row r="64" ht="19.5" customHeight="1">
      <c r="A64" s="64">
        <v>46228.0</v>
      </c>
      <c r="B64" s="50" t="s">
        <v>153</v>
      </c>
      <c r="C64" s="50" t="s">
        <v>76</v>
      </c>
      <c r="D64" s="50" t="s">
        <v>63</v>
      </c>
      <c r="E64" s="50" t="s">
        <v>64</v>
      </c>
      <c r="F64" s="51">
        <v>116.63</v>
      </c>
      <c r="G64" s="50" t="s">
        <v>30</v>
      </c>
      <c r="H64" s="50"/>
      <c r="I64" s="58" t="s">
        <v>65</v>
      </c>
      <c r="J64" s="48">
        <f t="array" ref="J64">IF(G64="","",IFERROR(LET(ev_cost,INDEX(Events!$G$5:$G$505,MATCH(G64,Events!$A$5:$A$505,0)),ev_split,INDEX(Events!$I$5:$I$505,MATCH(G64,Events!$A$5:$A$505,0)),att_offset,MATCH(G64,Attendance!$B$3:$AV$3,0),attendees,COUNTIF(INDEX(Attendance!$B$7:$AV$206,0,att_offset),"1"),IF(ev_split="Equal Split",ev_cost/MAX(1,COUNTA(Roster!$A$5:$A$204)),ev_cost/MAX(1,attendees))),"N/A"))</f>
        <v>1050</v>
      </c>
      <c r="K64" s="5"/>
      <c r="L64" s="5"/>
      <c r="M64" s="5"/>
      <c r="N64" s="5"/>
      <c r="O64" s="5"/>
      <c r="P64" s="5"/>
      <c r="Q64" s="5"/>
      <c r="R64" s="5"/>
      <c r="S64" s="5"/>
      <c r="T64" s="5"/>
      <c r="U64" s="5"/>
      <c r="V64" s="5"/>
      <c r="W64" s="5"/>
      <c r="X64" s="5"/>
      <c r="Y64" s="5"/>
      <c r="Z64" s="5"/>
    </row>
    <row r="65" ht="19.5" customHeight="1">
      <c r="A65" s="65">
        <v>46228.0</v>
      </c>
      <c r="B65" s="53" t="s">
        <v>154</v>
      </c>
      <c r="C65" s="58" t="s">
        <v>76</v>
      </c>
      <c r="D65" s="58" t="s">
        <v>63</v>
      </c>
      <c r="E65" s="58" t="s">
        <v>107</v>
      </c>
      <c r="F65" s="61">
        <v>106.02</v>
      </c>
      <c r="G65" s="53" t="s">
        <v>30</v>
      </c>
      <c r="H65" s="53"/>
      <c r="I65" s="58" t="s">
        <v>65</v>
      </c>
      <c r="J65" s="48">
        <f t="array" ref="J65">IF(G65="","",IFERROR(LET(ev_cost,INDEX(Events!$G$5:$G$505,MATCH(G65,Events!$A$5:$A$505,0)),ev_split,INDEX(Events!$I$5:$I$505,MATCH(G65,Events!$A$5:$A$505,0)),att_offset,MATCH(G65,Attendance!$B$3:$AV$3,0),attendees,COUNTIF(INDEX(Attendance!$B$7:$AV$206,0,att_offset),"1"),IF(ev_split="Equal Split",ev_cost/MAX(1,COUNTA(Roster!$A$5:$A$204)),ev_cost/MAX(1,attendees))),"N/A"))</f>
        <v>1050</v>
      </c>
      <c r="K65" s="5"/>
      <c r="L65" s="5"/>
      <c r="M65" s="5"/>
      <c r="N65" s="5"/>
      <c r="O65" s="5"/>
      <c r="P65" s="5"/>
      <c r="Q65" s="5"/>
      <c r="R65" s="5"/>
      <c r="S65" s="5"/>
      <c r="T65" s="5"/>
      <c r="U65" s="5"/>
      <c r="V65" s="5"/>
      <c r="W65" s="5"/>
      <c r="X65" s="5"/>
      <c r="Y65" s="5"/>
      <c r="Z65" s="5"/>
    </row>
    <row r="66" ht="19.5" customHeight="1">
      <c r="A66" s="64">
        <v>46227.0</v>
      </c>
      <c r="B66" s="50" t="s">
        <v>155</v>
      </c>
      <c r="C66" s="50" t="s">
        <v>76</v>
      </c>
      <c r="D66" s="50" t="s">
        <v>63</v>
      </c>
      <c r="E66" s="58" t="s">
        <v>105</v>
      </c>
      <c r="F66" s="51">
        <v>55.5</v>
      </c>
      <c r="G66" s="50" t="s">
        <v>30</v>
      </c>
      <c r="H66" s="50"/>
      <c r="I66" s="58" t="s">
        <v>65</v>
      </c>
      <c r="J66" s="48">
        <f t="array" ref="J66">IF(G66="","",IFERROR(LET(ev_cost,INDEX(Events!$G$5:$G$505,MATCH(G66,Events!$A$5:$A$505,0)),ev_split,INDEX(Events!$I$5:$I$505,MATCH(G66,Events!$A$5:$A$505,0)),att_offset,MATCH(G66,Attendance!$B$3:$AV$3,0),attendees,COUNTIF(INDEX(Attendance!$B$7:$AV$206,0,att_offset),"1"),IF(ev_split="Equal Split",ev_cost/MAX(1,COUNTA(Roster!$A$5:$A$204)),ev_cost/MAX(1,attendees))),"N/A"))</f>
        <v>1050</v>
      </c>
      <c r="K66" s="5"/>
      <c r="L66" s="5"/>
      <c r="M66" s="5"/>
      <c r="N66" s="5"/>
      <c r="O66" s="5"/>
      <c r="P66" s="5"/>
      <c r="Q66" s="5"/>
      <c r="R66" s="5"/>
      <c r="S66" s="5"/>
      <c r="T66" s="5"/>
      <c r="U66" s="5"/>
      <c r="V66" s="5"/>
      <c r="W66" s="5"/>
      <c r="X66" s="5"/>
      <c r="Y66" s="5"/>
      <c r="Z66" s="5"/>
    </row>
    <row r="67" ht="19.5" customHeight="1">
      <c r="A67" s="65">
        <v>46239.0</v>
      </c>
      <c r="B67" s="53" t="s">
        <v>156</v>
      </c>
      <c r="C67" s="53" t="s">
        <v>76</v>
      </c>
      <c r="D67" s="53" t="s">
        <v>63</v>
      </c>
      <c r="E67" s="53" t="s">
        <v>130</v>
      </c>
      <c r="F67" s="61">
        <v>80.0</v>
      </c>
      <c r="G67" s="53" t="s">
        <v>30</v>
      </c>
      <c r="H67" s="53"/>
      <c r="I67" s="58" t="s">
        <v>65</v>
      </c>
      <c r="J67" s="48">
        <f t="array" ref="J67">IF(G67="","",IFERROR(LET(ev_cost,INDEX(Events!$G$5:$G$505,MATCH(G67,Events!$A$5:$A$505,0)),ev_split,INDEX(Events!$I$5:$I$505,MATCH(G67,Events!$A$5:$A$505,0)),att_offset,MATCH(G67,Attendance!$B$3:$AV$3,0),attendees,COUNTIF(INDEX(Attendance!$B$7:$AV$206,0,att_offset),"1"),IF(ev_split="Equal Split",ev_cost/MAX(1,COUNTA(Roster!$A$5:$A$204)),ev_cost/MAX(1,attendees))),"N/A"))</f>
        <v>1050</v>
      </c>
      <c r="K67" s="5"/>
      <c r="L67" s="5"/>
      <c r="M67" s="5"/>
      <c r="N67" s="5"/>
      <c r="O67" s="5"/>
      <c r="P67" s="5"/>
      <c r="Q67" s="5"/>
      <c r="R67" s="5"/>
      <c r="S67" s="5"/>
      <c r="T67" s="5"/>
      <c r="U67" s="5"/>
      <c r="V67" s="5"/>
      <c r="W67" s="5"/>
      <c r="X67" s="5"/>
      <c r="Y67" s="5"/>
      <c r="Z67" s="5"/>
    </row>
    <row r="68" ht="19.5" customHeight="1">
      <c r="A68" s="64">
        <v>46258.0</v>
      </c>
      <c r="B68" s="50" t="s">
        <v>157</v>
      </c>
      <c r="C68" s="50" t="s">
        <v>76</v>
      </c>
      <c r="D68" s="50" t="s">
        <v>63</v>
      </c>
      <c r="E68" s="58" t="s">
        <v>145</v>
      </c>
      <c r="F68" s="51">
        <v>90.0</v>
      </c>
      <c r="G68" s="50" t="s">
        <v>46</v>
      </c>
      <c r="H68" s="50"/>
      <c r="I68" s="58" t="s">
        <v>65</v>
      </c>
      <c r="J68" s="48">
        <f t="array" ref="J68">IF(G68="","",IFERROR(LET(ev_cost,INDEX(Events!$G$5:$G$505,MATCH(G68,Events!$A$5:$A$505,0)),ev_split,INDEX(Events!$I$5:$I$505,MATCH(G68,Events!$A$5:$A$505,0)),att_offset,MATCH(G68,Attendance!$B$3:$AV$3,0),attendees,COUNTIF(INDEX(Attendance!$B$7:$AV$206,0,att_offset),"1"),IF(ev_split="Equal Split",ev_cost/MAX(1,COUNTA(Roster!$A$5:$A$204)),ev_cost/MAX(1,attendees))),"N/A"))</f>
        <v>5345.86</v>
      </c>
      <c r="K68" s="5"/>
      <c r="L68" s="5"/>
      <c r="M68" s="5"/>
      <c r="N68" s="5"/>
      <c r="O68" s="5"/>
      <c r="P68" s="5"/>
      <c r="Q68" s="5"/>
      <c r="R68" s="5"/>
      <c r="S68" s="5"/>
      <c r="T68" s="5"/>
      <c r="U68" s="5"/>
      <c r="V68" s="5"/>
      <c r="W68" s="5"/>
      <c r="X68" s="5"/>
      <c r="Y68" s="5"/>
      <c r="Z68" s="5"/>
    </row>
    <row r="69" ht="19.5" customHeight="1">
      <c r="A69" s="65">
        <v>46258.0</v>
      </c>
      <c r="B69" s="53" t="s">
        <v>158</v>
      </c>
      <c r="C69" s="53" t="s">
        <v>76</v>
      </c>
      <c r="D69" s="53" t="s">
        <v>63</v>
      </c>
      <c r="E69" s="53" t="s">
        <v>159</v>
      </c>
      <c r="F69" s="61">
        <v>95.83</v>
      </c>
      <c r="G69" s="53" t="s">
        <v>46</v>
      </c>
      <c r="H69" s="53"/>
      <c r="I69" s="58" t="s">
        <v>65</v>
      </c>
      <c r="J69" s="48">
        <f t="array" ref="J69">IF(G69="","",IFERROR(LET(ev_cost,INDEX(Events!$G$5:$G$505,MATCH(G69,Events!$A$5:$A$505,0)),ev_split,INDEX(Events!$I$5:$I$505,MATCH(G69,Events!$A$5:$A$505,0)),att_offset,MATCH(G69,Attendance!$B$3:$AV$3,0),attendees,COUNTIF(INDEX(Attendance!$B$7:$AV$206,0,att_offset),"1"),IF(ev_split="Equal Split",ev_cost/MAX(1,COUNTA(Roster!$A$5:$A$204)),ev_cost/MAX(1,attendees))),"N/A"))</f>
        <v>5345.86</v>
      </c>
      <c r="K69" s="5"/>
      <c r="L69" s="5"/>
      <c r="M69" s="5"/>
      <c r="N69" s="5"/>
      <c r="O69" s="5"/>
      <c r="P69" s="5"/>
      <c r="Q69" s="5"/>
      <c r="R69" s="5"/>
      <c r="S69" s="5"/>
      <c r="T69" s="5"/>
      <c r="U69" s="5"/>
      <c r="V69" s="5"/>
      <c r="W69" s="5"/>
      <c r="X69" s="5"/>
      <c r="Y69" s="5"/>
      <c r="Z69" s="5"/>
    </row>
    <row r="70" ht="19.5" customHeight="1">
      <c r="A70" s="64">
        <v>46255.0</v>
      </c>
      <c r="B70" s="50" t="s">
        <v>160</v>
      </c>
      <c r="C70" s="50" t="s">
        <v>76</v>
      </c>
      <c r="D70" s="50" t="s">
        <v>63</v>
      </c>
      <c r="E70" s="50" t="s">
        <v>83</v>
      </c>
      <c r="F70" s="51">
        <v>133.19</v>
      </c>
      <c r="G70" s="50" t="s">
        <v>46</v>
      </c>
      <c r="H70" s="50"/>
      <c r="I70" s="58" t="s">
        <v>65</v>
      </c>
      <c r="J70" s="48">
        <f t="array" ref="J70">IF(G70="","",IFERROR(LET(ev_cost,INDEX(Events!$G$5:$G$505,MATCH(G70,Events!$A$5:$A$505,0)),ev_split,INDEX(Events!$I$5:$I$505,MATCH(G70,Events!$A$5:$A$505,0)),att_offset,MATCH(G70,Attendance!$B$3:$AV$3,0),attendees,COUNTIF(INDEX(Attendance!$B$7:$AV$206,0,att_offset),"1"),IF(ev_split="Equal Split",ev_cost/MAX(1,COUNTA(Roster!$A$5:$A$204)),ev_cost/MAX(1,attendees))),"N/A"))</f>
        <v>5345.86</v>
      </c>
      <c r="K70" s="5"/>
      <c r="L70" s="5"/>
      <c r="M70" s="5"/>
      <c r="N70" s="5"/>
      <c r="O70" s="5"/>
      <c r="P70" s="5"/>
      <c r="Q70" s="5"/>
      <c r="R70" s="5"/>
      <c r="S70" s="5"/>
      <c r="T70" s="5"/>
      <c r="U70" s="5"/>
      <c r="V70" s="5"/>
      <c r="W70" s="5"/>
      <c r="X70" s="5"/>
      <c r="Y70" s="5"/>
      <c r="Z70" s="5"/>
    </row>
    <row r="71" ht="19.5" customHeight="1">
      <c r="A71" s="65">
        <v>46260.0</v>
      </c>
      <c r="B71" s="53" t="s">
        <v>161</v>
      </c>
      <c r="C71" s="53" t="s">
        <v>76</v>
      </c>
      <c r="D71" s="53" t="s">
        <v>63</v>
      </c>
      <c r="E71" s="55" t="s">
        <v>162</v>
      </c>
      <c r="F71" s="61">
        <v>96.57</v>
      </c>
      <c r="G71" s="53" t="s">
        <v>46</v>
      </c>
      <c r="H71" s="53"/>
      <c r="I71" s="58" t="s">
        <v>65</v>
      </c>
      <c r="J71" s="48">
        <f t="array" ref="J71">IF(G71="","",IFERROR(LET(ev_cost,INDEX(Events!$G$5:$G$505,MATCH(G71,Events!$A$5:$A$505,0)),ev_split,INDEX(Events!$I$5:$I$505,MATCH(G71,Events!$A$5:$A$505,0)),att_offset,MATCH(G71,Attendance!$B$3:$AV$3,0),attendees,COUNTIF(INDEX(Attendance!$B$7:$AV$206,0,att_offset),"1"),IF(ev_split="Equal Split",ev_cost/MAX(1,COUNTA(Roster!$A$5:$A$204)),ev_cost/MAX(1,attendees))),"N/A"))</f>
        <v>5345.86</v>
      </c>
      <c r="K71" s="5"/>
      <c r="L71" s="5"/>
      <c r="M71" s="5"/>
      <c r="N71" s="5"/>
      <c r="O71" s="5"/>
      <c r="P71" s="5"/>
      <c r="Q71" s="5"/>
      <c r="R71" s="5"/>
      <c r="S71" s="5"/>
      <c r="T71" s="5"/>
      <c r="U71" s="5"/>
      <c r="V71" s="5"/>
      <c r="W71" s="5"/>
      <c r="X71" s="5"/>
      <c r="Y71" s="5"/>
      <c r="Z71" s="5"/>
    </row>
    <row r="72" ht="19.5" customHeight="1">
      <c r="A72" s="70">
        <v>46267.0</v>
      </c>
      <c r="B72" s="58" t="s">
        <v>163</v>
      </c>
      <c r="C72" s="58" t="s">
        <v>164</v>
      </c>
      <c r="D72" s="58" t="s">
        <v>63</v>
      </c>
      <c r="E72" s="58" t="s">
        <v>99</v>
      </c>
      <c r="F72" s="68">
        <v>3780.0</v>
      </c>
      <c r="G72" s="58" t="s">
        <v>49</v>
      </c>
      <c r="H72" s="50"/>
      <c r="I72" s="58" t="s">
        <v>65</v>
      </c>
      <c r="J72" s="48">
        <f t="array" ref="J72">IF(G72="","",IFERROR(LET(ev_cost,INDEX(Events!$G$5:$G$505,MATCH(G72,Events!$A$5:$A$505,0)),ev_split,INDEX(Events!$I$5:$I$505,MATCH(G72,Events!$A$5:$A$505,0)),att_offset,MATCH(G72,Attendance!$B$3:$AV$3,0),attendees,COUNTIF(INDEX(Attendance!$B$7:$AV$206,0,att_offset),"1"),IF(ev_split="Equal Split",ev_cost/MAX(1,COUNTA(Roster!$A$5:$A$204)),ev_cost/MAX(1,attendees))),"N/A"))</f>
        <v>9054.59</v>
      </c>
      <c r="K72" s="5"/>
      <c r="L72" s="5"/>
      <c r="M72" s="5"/>
      <c r="N72" s="5"/>
      <c r="O72" s="5"/>
      <c r="P72" s="5"/>
      <c r="Q72" s="5"/>
      <c r="R72" s="5"/>
      <c r="S72" s="5"/>
      <c r="T72" s="5"/>
      <c r="U72" s="5"/>
      <c r="V72" s="5"/>
      <c r="W72" s="5"/>
      <c r="X72" s="5"/>
      <c r="Y72" s="5"/>
      <c r="Z72" s="5"/>
    </row>
    <row r="73" ht="19.5" customHeight="1">
      <c r="A73" s="70">
        <v>46267.0</v>
      </c>
      <c r="B73" s="58" t="s">
        <v>165</v>
      </c>
      <c r="C73" s="58" t="s">
        <v>164</v>
      </c>
      <c r="D73" s="58" t="s">
        <v>63</v>
      </c>
      <c r="E73" s="55" t="s">
        <v>166</v>
      </c>
      <c r="F73" s="63">
        <v>51.0</v>
      </c>
      <c r="G73" s="58" t="s">
        <v>49</v>
      </c>
      <c r="H73" s="53"/>
      <c r="I73" s="58" t="s">
        <v>65</v>
      </c>
      <c r="J73" s="48">
        <f t="array" ref="J73">IF(G73="","",IFERROR(LET(ev_cost,INDEX(Events!$G$5:$G$505,MATCH(G73,Events!$A$5:$A$505,0)),ev_split,INDEX(Events!$I$5:$I$505,MATCH(G73,Events!$A$5:$A$505,0)),att_offset,MATCH(G73,Attendance!$B$3:$AV$3,0),attendees,COUNTIF(INDEX(Attendance!$B$7:$AV$206,0,att_offset),"1"),IF(ev_split="Equal Split",ev_cost/MAX(1,COUNTA(Roster!$A$5:$A$204)),ev_cost/MAX(1,attendees))),"N/A"))</f>
        <v>9054.59</v>
      </c>
      <c r="K73" s="5"/>
      <c r="L73" s="5"/>
      <c r="M73" s="5"/>
      <c r="N73" s="5"/>
      <c r="O73" s="5"/>
      <c r="P73" s="5"/>
      <c r="Q73" s="5"/>
      <c r="R73" s="5"/>
      <c r="S73" s="5"/>
      <c r="T73" s="5"/>
      <c r="U73" s="5"/>
      <c r="V73" s="5"/>
      <c r="W73" s="5"/>
      <c r="X73" s="5"/>
      <c r="Y73" s="5"/>
      <c r="Z73" s="5"/>
    </row>
    <row r="74" ht="19.5" customHeight="1">
      <c r="A74" s="70">
        <v>46267.0</v>
      </c>
      <c r="B74" s="58" t="s">
        <v>167</v>
      </c>
      <c r="C74" s="58" t="s">
        <v>164</v>
      </c>
      <c r="D74" s="58" t="s">
        <v>63</v>
      </c>
      <c r="E74" s="50" t="s">
        <v>168</v>
      </c>
      <c r="F74" s="68">
        <v>92.39</v>
      </c>
      <c r="G74" s="58" t="s">
        <v>49</v>
      </c>
      <c r="H74" s="50"/>
      <c r="I74" s="58" t="s">
        <v>65</v>
      </c>
      <c r="J74" s="48">
        <f t="array" ref="J74">IF(G74="","",IFERROR(LET(ev_cost,INDEX(Events!$G$5:$G$505,MATCH(G74,Events!$A$5:$A$505,0)),ev_split,INDEX(Events!$I$5:$I$505,MATCH(G74,Events!$A$5:$A$505,0)),att_offset,MATCH(G74,Attendance!$B$3:$AV$3,0),attendees,COUNTIF(INDEX(Attendance!$B$7:$AV$206,0,att_offset),"1"),IF(ev_split="Equal Split",ev_cost/MAX(1,COUNTA(Roster!$A$5:$A$204)),ev_cost/MAX(1,attendees))),"N/A"))</f>
        <v>9054.59</v>
      </c>
      <c r="K74" s="5"/>
      <c r="L74" s="5"/>
      <c r="M74" s="5"/>
      <c r="N74" s="5"/>
      <c r="O74" s="5"/>
      <c r="P74" s="5"/>
      <c r="Q74" s="5"/>
      <c r="R74" s="5"/>
      <c r="S74" s="5"/>
      <c r="T74" s="5"/>
      <c r="U74" s="5"/>
      <c r="V74" s="5"/>
      <c r="W74" s="5"/>
      <c r="X74" s="5"/>
      <c r="Y74" s="5"/>
      <c r="Z74" s="5"/>
    </row>
    <row r="75" ht="19.5" customHeight="1">
      <c r="A75" s="70">
        <v>46267.0</v>
      </c>
      <c r="B75" s="58" t="s">
        <v>169</v>
      </c>
      <c r="C75" s="58" t="s">
        <v>164</v>
      </c>
      <c r="D75" s="58" t="s">
        <v>63</v>
      </c>
      <c r="E75" s="53" t="s">
        <v>162</v>
      </c>
      <c r="F75" s="63">
        <v>43.75</v>
      </c>
      <c r="G75" s="58" t="s">
        <v>49</v>
      </c>
      <c r="H75" s="53"/>
      <c r="I75" s="58" t="s">
        <v>65</v>
      </c>
      <c r="J75" s="48">
        <f t="array" ref="J75">IF(G75="","",IFERROR(LET(ev_cost,INDEX(Events!$G$5:$G$505,MATCH(G75,Events!$A$5:$A$505,0)),ev_split,INDEX(Events!$I$5:$I$505,MATCH(G75,Events!$A$5:$A$505,0)),att_offset,MATCH(G75,Attendance!$B$3:$AV$3,0),attendees,COUNTIF(INDEX(Attendance!$B$7:$AV$206,0,att_offset),"1"),IF(ev_split="Equal Split",ev_cost/MAX(1,COUNTA(Roster!$A$5:$A$204)),ev_cost/MAX(1,attendees))),"N/A"))</f>
        <v>9054.59</v>
      </c>
      <c r="K75" s="5"/>
      <c r="L75" s="5"/>
      <c r="M75" s="5"/>
      <c r="N75" s="5"/>
      <c r="O75" s="5"/>
      <c r="P75" s="5"/>
      <c r="Q75" s="5"/>
      <c r="R75" s="5"/>
      <c r="S75" s="5"/>
      <c r="T75" s="5"/>
      <c r="U75" s="5"/>
      <c r="V75" s="5"/>
      <c r="W75" s="5"/>
      <c r="X75" s="5"/>
      <c r="Y75" s="5"/>
      <c r="Z75" s="5"/>
    </row>
    <row r="76" ht="19.5" customHeight="1">
      <c r="A76" s="70">
        <v>46267.0</v>
      </c>
      <c r="B76" s="58" t="s">
        <v>170</v>
      </c>
      <c r="C76" s="58" t="s">
        <v>164</v>
      </c>
      <c r="D76" s="58" t="s">
        <v>63</v>
      </c>
      <c r="E76" s="58" t="s">
        <v>101</v>
      </c>
      <c r="F76" s="51">
        <f>38.41+198.54</f>
        <v>236.95</v>
      </c>
      <c r="G76" s="58" t="s">
        <v>49</v>
      </c>
      <c r="H76" s="50"/>
      <c r="I76" s="58" t="s">
        <v>65</v>
      </c>
      <c r="J76" s="48">
        <f t="array" ref="J76">IF(G76="","",IFERROR(LET(ev_cost,INDEX(Events!$G$5:$G$505,MATCH(G76,Events!$A$5:$A$505,0)),ev_split,INDEX(Events!$I$5:$I$505,MATCH(G76,Events!$A$5:$A$505,0)),att_offset,MATCH(G76,Attendance!$B$3:$AV$3,0),attendees,COUNTIF(INDEX(Attendance!$B$7:$AV$206,0,att_offset),"1"),IF(ev_split="Equal Split",ev_cost/MAX(1,COUNTA(Roster!$A$5:$A$204)),ev_cost/MAX(1,attendees))),"N/A"))</f>
        <v>9054.59</v>
      </c>
      <c r="K76" s="5"/>
      <c r="L76" s="5"/>
      <c r="M76" s="5"/>
      <c r="N76" s="5"/>
      <c r="O76" s="5"/>
      <c r="P76" s="5"/>
      <c r="Q76" s="5"/>
      <c r="R76" s="5"/>
      <c r="S76" s="5"/>
      <c r="T76" s="5"/>
      <c r="U76" s="5"/>
      <c r="V76" s="5"/>
      <c r="W76" s="5"/>
      <c r="X76" s="5"/>
      <c r="Y76" s="5"/>
      <c r="Z76" s="5"/>
    </row>
    <row r="77" ht="19.5" customHeight="1">
      <c r="A77" s="70">
        <v>46267.0</v>
      </c>
      <c r="B77" s="58" t="s">
        <v>171</v>
      </c>
      <c r="C77" s="58" t="s">
        <v>164</v>
      </c>
      <c r="D77" s="58" t="s">
        <v>63</v>
      </c>
      <c r="E77" s="55" t="s">
        <v>172</v>
      </c>
      <c r="F77" s="63">
        <v>23.87</v>
      </c>
      <c r="G77" s="58" t="s">
        <v>49</v>
      </c>
      <c r="H77" s="53"/>
      <c r="I77" s="58" t="s">
        <v>65</v>
      </c>
      <c r="J77" s="48">
        <f t="array" ref="J77">IF(G77="","",IFERROR(LET(ev_cost,INDEX(Events!$G$5:$G$505,MATCH(G77,Events!$A$5:$A$505,0)),ev_split,INDEX(Events!$I$5:$I$505,MATCH(G77,Events!$A$5:$A$505,0)),att_offset,MATCH(G77,Attendance!$B$3:$AV$3,0),attendees,COUNTIF(INDEX(Attendance!$B$7:$AV$206,0,att_offset),"1"),IF(ev_split="Equal Split",ev_cost/MAX(1,COUNTA(Roster!$A$5:$A$204)),ev_cost/MAX(1,attendees))),"N/A"))</f>
        <v>9054.59</v>
      </c>
      <c r="K77" s="5"/>
      <c r="L77" s="5"/>
      <c r="M77" s="5"/>
      <c r="N77" s="5"/>
      <c r="O77" s="5"/>
      <c r="P77" s="5"/>
      <c r="Q77" s="5"/>
      <c r="R77" s="5"/>
      <c r="S77" s="5"/>
      <c r="T77" s="5"/>
      <c r="U77" s="5"/>
      <c r="V77" s="5"/>
      <c r="W77" s="5"/>
      <c r="X77" s="5"/>
      <c r="Y77" s="5"/>
      <c r="Z77" s="5"/>
    </row>
    <row r="78" ht="19.5" customHeight="1">
      <c r="A78" s="70">
        <v>46267.0</v>
      </c>
      <c r="B78" s="58" t="s">
        <v>173</v>
      </c>
      <c r="C78" s="58" t="s">
        <v>164</v>
      </c>
      <c r="D78" s="58" t="s">
        <v>63</v>
      </c>
      <c r="E78" s="58" t="s">
        <v>174</v>
      </c>
      <c r="F78" s="68">
        <v>180.0</v>
      </c>
      <c r="G78" s="58" t="s">
        <v>49</v>
      </c>
      <c r="H78" s="50"/>
      <c r="I78" s="58" t="s">
        <v>65</v>
      </c>
      <c r="J78" s="48">
        <f t="array" ref="J78">IF(G78="","",IFERROR(LET(ev_cost,INDEX(Events!$G$5:$G$505,MATCH(G78,Events!$A$5:$A$505,0)),ev_split,INDEX(Events!$I$5:$I$505,MATCH(G78,Events!$A$5:$A$505,0)),att_offset,MATCH(G78,Attendance!$B$3:$AV$3,0),attendees,COUNTIF(INDEX(Attendance!$B$7:$AV$206,0,att_offset),"1"),IF(ev_split="Equal Split",ev_cost/MAX(1,COUNTA(Roster!$A$5:$A$204)),ev_cost/MAX(1,attendees))),"N/A"))</f>
        <v>9054.59</v>
      </c>
      <c r="K78" s="5"/>
      <c r="L78" s="5"/>
      <c r="M78" s="5"/>
      <c r="N78" s="5"/>
      <c r="O78" s="5"/>
      <c r="P78" s="5"/>
      <c r="Q78" s="5"/>
      <c r="R78" s="5"/>
      <c r="S78" s="5"/>
      <c r="T78" s="5"/>
      <c r="U78" s="5"/>
      <c r="V78" s="5"/>
      <c r="W78" s="5"/>
      <c r="X78" s="5"/>
      <c r="Y78" s="5"/>
      <c r="Z78" s="5"/>
    </row>
    <row r="79" ht="19.5" customHeight="1">
      <c r="A79" s="70">
        <v>46267.0</v>
      </c>
      <c r="B79" s="58" t="s">
        <v>175</v>
      </c>
      <c r="C79" s="58" t="s">
        <v>164</v>
      </c>
      <c r="D79" s="58" t="s">
        <v>63</v>
      </c>
      <c r="E79" s="53" t="s">
        <v>130</v>
      </c>
      <c r="F79" s="63">
        <v>121.45</v>
      </c>
      <c r="G79" s="58" t="s">
        <v>49</v>
      </c>
      <c r="H79" s="53"/>
      <c r="I79" s="58" t="s">
        <v>65</v>
      </c>
      <c r="J79" s="48">
        <f t="array" ref="J79">IF(G79="","",IFERROR(LET(ev_cost,INDEX(Events!$G$5:$G$505,MATCH(G79,Events!$A$5:$A$505,0)),ev_split,INDEX(Events!$I$5:$I$505,MATCH(G79,Events!$A$5:$A$505,0)),att_offset,MATCH(G79,Attendance!$B$3:$AV$3,0),attendees,COUNTIF(INDEX(Attendance!$B$7:$AV$206,0,att_offset),"1"),IF(ev_split="Equal Split",ev_cost/MAX(1,COUNTA(Roster!$A$5:$A$204)),ev_cost/MAX(1,attendees))),"N/A"))</f>
        <v>9054.59</v>
      </c>
      <c r="K79" s="5"/>
      <c r="L79" s="5"/>
      <c r="M79" s="5"/>
      <c r="N79" s="5"/>
      <c r="O79" s="5"/>
      <c r="P79" s="5"/>
      <c r="Q79" s="5"/>
      <c r="R79" s="5"/>
      <c r="S79" s="5"/>
      <c r="T79" s="5"/>
      <c r="U79" s="5"/>
      <c r="V79" s="5"/>
      <c r="W79" s="5"/>
      <c r="X79" s="5"/>
      <c r="Y79" s="5"/>
      <c r="Z79" s="5"/>
    </row>
    <row r="80" ht="19.5" customHeight="1">
      <c r="A80" s="70">
        <v>46267.0</v>
      </c>
      <c r="B80" s="58" t="s">
        <v>176</v>
      </c>
      <c r="C80" s="58" t="s">
        <v>164</v>
      </c>
      <c r="D80" s="58" t="s">
        <v>63</v>
      </c>
      <c r="E80" s="50"/>
      <c r="F80" s="68">
        <v>3417.82</v>
      </c>
      <c r="G80" s="58" t="s">
        <v>49</v>
      </c>
      <c r="H80" s="50"/>
      <c r="I80" s="58" t="s">
        <v>65</v>
      </c>
      <c r="J80" s="48">
        <f t="array" ref="J80">IF(G80="","",IFERROR(LET(ev_cost,INDEX(Events!$G$5:$G$505,MATCH(G80,Events!$A$5:$A$505,0)),ev_split,INDEX(Events!$I$5:$I$505,MATCH(G80,Events!$A$5:$A$505,0)),att_offset,MATCH(G80,Attendance!$B$3:$AV$3,0),attendees,COUNTIF(INDEX(Attendance!$B$7:$AV$206,0,att_offset),"1"),IF(ev_split="Equal Split",ev_cost/MAX(1,COUNTA(Roster!$A$5:$A$204)),ev_cost/MAX(1,attendees))),"N/A"))</f>
        <v>9054.59</v>
      </c>
      <c r="K80" s="5"/>
      <c r="L80" s="5"/>
      <c r="M80" s="5"/>
      <c r="N80" s="5"/>
      <c r="O80" s="5"/>
      <c r="P80" s="5"/>
      <c r="Q80" s="5"/>
      <c r="R80" s="5"/>
      <c r="S80" s="5"/>
      <c r="T80" s="5"/>
      <c r="U80" s="5"/>
      <c r="V80" s="5"/>
      <c r="W80" s="5"/>
      <c r="X80" s="5"/>
      <c r="Y80" s="5"/>
      <c r="Z80" s="5"/>
    </row>
    <row r="81" ht="19.5" customHeight="1">
      <c r="A81" s="70">
        <v>46267.0</v>
      </c>
      <c r="B81" s="58" t="s">
        <v>177</v>
      </c>
      <c r="C81" s="58" t="s">
        <v>164</v>
      </c>
      <c r="D81" s="58" t="s">
        <v>63</v>
      </c>
      <c r="E81" s="50"/>
      <c r="F81" s="68">
        <v>834.42</v>
      </c>
      <c r="G81" s="58" t="s">
        <v>49</v>
      </c>
      <c r="H81" s="53"/>
      <c r="I81" s="58" t="s">
        <v>65</v>
      </c>
      <c r="J81" s="48">
        <f t="array" ref="J81">IF(G81="","",IFERROR(LET(ev_cost,INDEX(Events!$G$5:$G$505,MATCH(G81,Events!$A$5:$A$505,0)),ev_split,INDEX(Events!$I$5:$I$505,MATCH(G81,Events!$A$5:$A$505,0)),att_offset,MATCH(G81,Attendance!$B$3:$AV$3,0),attendees,COUNTIF(INDEX(Attendance!$B$7:$AV$206,0,att_offset),"1"),IF(ev_split="Equal Split",ev_cost/MAX(1,COUNTA(Roster!$A$5:$A$204)),ev_cost/MAX(1,attendees))),"N/A"))</f>
        <v>9054.59</v>
      </c>
      <c r="K81" s="5"/>
      <c r="L81" s="5"/>
      <c r="M81" s="5"/>
      <c r="N81" s="5"/>
      <c r="O81" s="5"/>
      <c r="P81" s="5"/>
      <c r="Q81" s="5"/>
      <c r="R81" s="5"/>
      <c r="S81" s="5"/>
      <c r="T81" s="5"/>
      <c r="U81" s="5"/>
      <c r="V81" s="5"/>
      <c r="W81" s="5"/>
      <c r="X81" s="5"/>
      <c r="Y81" s="5"/>
      <c r="Z81" s="5"/>
    </row>
    <row r="82" ht="19.5" customHeight="1">
      <c r="A82" s="70">
        <v>46267.0</v>
      </c>
      <c r="B82" s="58" t="s">
        <v>178</v>
      </c>
      <c r="C82" s="58" t="s">
        <v>164</v>
      </c>
      <c r="D82" s="58" t="s">
        <v>63</v>
      </c>
      <c r="E82" s="50"/>
      <c r="F82" s="68">
        <v>107.94</v>
      </c>
      <c r="G82" s="58" t="s">
        <v>49</v>
      </c>
      <c r="H82" s="50"/>
      <c r="I82" s="58" t="s">
        <v>65</v>
      </c>
      <c r="J82" s="48">
        <f t="array" ref="J82">IF(G82="","",IFERROR(LET(ev_cost,INDEX(Events!$G$5:$G$505,MATCH(G82,Events!$A$5:$A$505,0)),ev_split,INDEX(Events!$I$5:$I$505,MATCH(G82,Events!$A$5:$A$505,0)),att_offset,MATCH(G82,Attendance!$B$3:$AV$3,0),attendees,COUNTIF(INDEX(Attendance!$B$7:$AV$206,0,att_offset),"1"),IF(ev_split="Equal Split",ev_cost/MAX(1,COUNTA(Roster!$A$5:$A$204)),ev_cost/MAX(1,attendees))),"N/A"))</f>
        <v>9054.59</v>
      </c>
      <c r="K82" s="5"/>
      <c r="L82" s="5"/>
      <c r="M82" s="5"/>
      <c r="N82" s="5"/>
      <c r="O82" s="5"/>
      <c r="P82" s="5"/>
      <c r="Q82" s="5"/>
      <c r="R82" s="5"/>
      <c r="S82" s="5"/>
      <c r="T82" s="5"/>
      <c r="U82" s="5"/>
      <c r="V82" s="5"/>
      <c r="W82" s="5"/>
      <c r="X82" s="5"/>
      <c r="Y82" s="5"/>
      <c r="Z82" s="5"/>
    </row>
    <row r="83" ht="19.5" customHeight="1">
      <c r="A83" s="70">
        <v>46267.0</v>
      </c>
      <c r="B83" s="58" t="s">
        <v>221</v>
      </c>
      <c r="C83" s="58" t="s">
        <v>164</v>
      </c>
      <c r="D83" s="58" t="s">
        <v>63</v>
      </c>
      <c r="E83" s="50"/>
      <c r="F83" s="68">
        <v>140.0</v>
      </c>
      <c r="G83" s="58" t="s">
        <v>49</v>
      </c>
      <c r="H83" s="53"/>
      <c r="I83" s="58" t="s">
        <v>65</v>
      </c>
      <c r="J83" s="48">
        <f t="array" ref="J83">IF(G83="","",IFERROR(LET(ev_cost,INDEX(Events!$G$5:$G$505,MATCH(G83,Events!$A$5:$A$505,0)),ev_split,INDEX(Events!$I$5:$I$505,MATCH(G83,Events!$A$5:$A$505,0)),att_offset,MATCH(G83,Attendance!$B$3:$AV$3,0),attendees,COUNTIF(INDEX(Attendance!$B$7:$AV$206,0,att_offset),"1"),IF(ev_split="Equal Split",ev_cost/MAX(1,COUNTA(Roster!$A$5:$A$204)),ev_cost/MAX(1,attendees))),"N/A"))</f>
        <v>9054.59</v>
      </c>
      <c r="K83" s="5"/>
      <c r="L83" s="5"/>
      <c r="M83" s="5"/>
      <c r="N83" s="5"/>
      <c r="O83" s="5"/>
      <c r="P83" s="5"/>
      <c r="Q83" s="5"/>
      <c r="R83" s="5"/>
      <c r="S83" s="5"/>
      <c r="T83" s="5"/>
      <c r="U83" s="5"/>
      <c r="V83" s="5"/>
      <c r="W83" s="5"/>
      <c r="X83" s="5"/>
      <c r="Y83" s="5"/>
      <c r="Z83" s="5"/>
    </row>
    <row r="84" ht="19.5" customHeight="1">
      <c r="A84" s="70">
        <v>46267.0</v>
      </c>
      <c r="B84" s="58" t="s">
        <v>273</v>
      </c>
      <c r="C84" s="58" t="s">
        <v>164</v>
      </c>
      <c r="D84" s="58" t="s">
        <v>63</v>
      </c>
      <c r="E84" s="50"/>
      <c r="F84" s="68">
        <v>25.0</v>
      </c>
      <c r="G84" s="58" t="s">
        <v>49</v>
      </c>
      <c r="H84" s="50"/>
      <c r="I84" s="58" t="s">
        <v>65</v>
      </c>
      <c r="J84" s="48">
        <f t="array" ref="J84">IF(G84="","",IFERROR(LET(ev_cost,INDEX(Events!$G$5:$G$505,MATCH(G84,Events!$A$5:$A$505,0)),ev_split,INDEX(Events!$I$5:$I$505,MATCH(G84,Events!$A$5:$A$505,0)),att_offset,MATCH(G84,Attendance!$B$3:$AV$3,0),attendees,COUNTIF(INDEX(Attendance!$B$7:$AV$206,0,att_offset),"1"),IF(ev_split="Equal Split",ev_cost/MAX(1,COUNTA(Roster!$A$5:$A$204)),ev_cost/MAX(1,attendees))),"N/A"))</f>
        <v>9054.59</v>
      </c>
      <c r="K84" s="5"/>
      <c r="L84" s="5"/>
      <c r="M84" s="5"/>
      <c r="N84" s="5"/>
      <c r="O84" s="5"/>
      <c r="P84" s="5"/>
      <c r="Q84" s="5"/>
      <c r="R84" s="5"/>
      <c r="S84" s="5"/>
      <c r="T84" s="5"/>
      <c r="U84" s="5"/>
      <c r="V84" s="5"/>
      <c r="W84" s="5"/>
      <c r="X84" s="5"/>
      <c r="Y84" s="5"/>
      <c r="Z84" s="5"/>
    </row>
    <row r="85" ht="19.5" customHeight="1">
      <c r="A85" s="69">
        <v>46267.0</v>
      </c>
      <c r="B85" s="55" t="s">
        <v>274</v>
      </c>
      <c r="C85" s="55" t="s">
        <v>80</v>
      </c>
      <c r="D85" s="55" t="s">
        <v>78</v>
      </c>
      <c r="E85" s="55" t="s">
        <v>74</v>
      </c>
      <c r="F85" s="63">
        <v>300.0</v>
      </c>
      <c r="G85" s="53"/>
      <c r="H85" s="55" t="s">
        <v>64</v>
      </c>
      <c r="I85" s="55" t="s">
        <v>65</v>
      </c>
      <c r="J85" s="48" t="str">
        <f t="array" ref="J85">IF(G85="","",IFERROR(LET(ev_cost,INDEX(Events!$G$5:$G$505,MATCH(G85,Events!$A$5:$A$505,0)),ev_split,INDEX(Events!$I$5:$I$505,MATCH(G85,Events!$A$5:$A$505,0)),att_offset,MATCH(G85,Attendance!$B$3:$AV$3,0),attendees,COUNTIF(INDEX(Attendance!$B$7:$AV$206,0,att_offset),"1"),IF(ev_split="Equal Split",ev_cost/MAX(1,COUNTA(Roster!$A$5:$A$204)),ev_cost/MAX(1,attendees))),"N/A"))</f>
        <v/>
      </c>
      <c r="K85" s="5"/>
      <c r="L85" s="5"/>
      <c r="M85" s="5"/>
      <c r="N85" s="5"/>
      <c r="O85" s="5"/>
      <c r="P85" s="5"/>
      <c r="Q85" s="5"/>
      <c r="R85" s="5"/>
      <c r="S85" s="5"/>
      <c r="T85" s="5"/>
      <c r="U85" s="5"/>
      <c r="V85" s="5"/>
      <c r="W85" s="5"/>
      <c r="X85" s="5"/>
      <c r="Y85" s="5"/>
      <c r="Z85" s="5"/>
    </row>
    <row r="86" ht="19.5" customHeight="1">
      <c r="A86" s="70">
        <v>46267.0</v>
      </c>
      <c r="B86" s="58" t="s">
        <v>275</v>
      </c>
      <c r="C86" s="58" t="s">
        <v>80</v>
      </c>
      <c r="D86" s="58" t="s">
        <v>134</v>
      </c>
      <c r="E86" s="58" t="s">
        <v>64</v>
      </c>
      <c r="F86" s="68">
        <v>3027.12</v>
      </c>
      <c r="G86" s="50"/>
      <c r="H86" s="58" t="s">
        <v>83</v>
      </c>
      <c r="I86" s="58" t="s">
        <v>65</v>
      </c>
      <c r="J86" s="48" t="str">
        <f t="array" ref="J86">IF(G86="","",IFERROR(LET(ev_cost,INDEX(Events!$G$5:$G$505,MATCH(G86,Events!$A$5:$A$505,0)),ev_split,INDEX(Events!$I$5:$I$505,MATCH(G86,Events!$A$5:$A$505,0)),att_offset,MATCH(G86,Attendance!$B$3:$AV$3,0),attendees,COUNTIF(INDEX(Attendance!$B$7:$AV$206,0,att_offset),"1"),IF(ev_split="Equal Split",ev_cost/MAX(1,COUNTA(Roster!$A$5:$A$204)),ev_cost/MAX(1,attendees))),"N/A"))</f>
        <v/>
      </c>
      <c r="K86" s="5"/>
      <c r="L86" s="5"/>
      <c r="M86" s="5"/>
      <c r="N86" s="5"/>
      <c r="O86" s="5"/>
      <c r="P86" s="5"/>
      <c r="Q86" s="5"/>
      <c r="R86" s="5"/>
      <c r="S86" s="5"/>
      <c r="T86" s="5"/>
      <c r="U86" s="5"/>
      <c r="V86" s="5"/>
      <c r="W86" s="5"/>
      <c r="X86" s="5"/>
      <c r="Y86" s="5"/>
      <c r="Z86" s="5"/>
    </row>
    <row r="87" ht="19.5" customHeight="1">
      <c r="A87" s="65">
        <v>46201.0</v>
      </c>
      <c r="B87" s="53" t="s">
        <v>276</v>
      </c>
      <c r="C87" s="53" t="s">
        <v>76</v>
      </c>
      <c r="D87" s="53" t="s">
        <v>63</v>
      </c>
      <c r="E87" s="58" t="s">
        <v>112</v>
      </c>
      <c r="F87" s="61">
        <v>108.22</v>
      </c>
      <c r="G87" s="53" t="s">
        <v>26</v>
      </c>
      <c r="H87" s="53"/>
      <c r="I87" s="55" t="s">
        <v>65</v>
      </c>
      <c r="J87" s="48">
        <f t="array" ref="J87">IF(G87="","",IFERROR(LET(ev_cost,INDEX(Events!$G$5:$G$505,MATCH(G87,Events!$A$5:$A$505,0)),ev_split,INDEX(Events!$I$5:$I$505,MATCH(G87,Events!$A$5:$A$505,0)),att_offset,MATCH(G87,Attendance!$B$3:$AV$3,0),attendees,COUNTIF(INDEX(Attendance!$B$7:$AV$206,0,att_offset),"1"),IF(ev_split="Equal Split",ev_cost/MAX(1,COUNTA(Roster!$A$5:$A$204)),ev_cost/MAX(1,attendees))),"N/A"))</f>
        <v>1310</v>
      </c>
      <c r="K87" s="5"/>
      <c r="L87" s="5"/>
      <c r="M87" s="5"/>
      <c r="N87" s="5"/>
      <c r="O87" s="5"/>
      <c r="P87" s="5"/>
      <c r="Q87" s="5"/>
      <c r="R87" s="5"/>
      <c r="S87" s="5"/>
      <c r="T87" s="5"/>
      <c r="U87" s="5"/>
      <c r="V87" s="5"/>
      <c r="W87" s="5"/>
      <c r="X87" s="5"/>
      <c r="Y87" s="5"/>
      <c r="Z87" s="5"/>
    </row>
    <row r="88" ht="19.5" customHeight="1">
      <c r="A88" s="64">
        <v>46227.0</v>
      </c>
      <c r="B88" s="50" t="s">
        <v>288</v>
      </c>
      <c r="C88" s="50" t="s">
        <v>76</v>
      </c>
      <c r="D88" s="50" t="s">
        <v>63</v>
      </c>
      <c r="E88" s="58" t="s">
        <v>112</v>
      </c>
      <c r="F88" s="51">
        <v>37.22</v>
      </c>
      <c r="G88" s="50" t="s">
        <v>30</v>
      </c>
      <c r="H88" s="50"/>
      <c r="I88" s="58" t="s">
        <v>65</v>
      </c>
      <c r="J88" s="48">
        <f t="array" ref="J88">IF(G88="","",IFERROR(LET(ev_cost,INDEX(Events!$G$5:$G$505,MATCH(G88,Events!$A$5:$A$505,0)),ev_split,INDEX(Events!$I$5:$I$505,MATCH(G88,Events!$A$5:$A$505,0)),att_offset,MATCH(G88,Attendance!$B$3:$AV$3,0),attendees,COUNTIF(INDEX(Attendance!$B$7:$AV$206,0,att_offset),"1"),IF(ev_split="Equal Split",ev_cost/MAX(1,COUNTA(Roster!$A$5:$A$204)),ev_cost/MAX(1,attendees))),"N/A"))</f>
        <v>1050</v>
      </c>
      <c r="K88" s="5"/>
      <c r="L88" s="5"/>
      <c r="M88" s="5"/>
      <c r="N88" s="5"/>
      <c r="O88" s="5"/>
      <c r="P88" s="5"/>
      <c r="Q88" s="5"/>
      <c r="R88" s="5"/>
      <c r="S88" s="5"/>
      <c r="T88" s="5"/>
      <c r="U88" s="5"/>
      <c r="V88" s="5"/>
      <c r="W88" s="5"/>
      <c r="X88" s="5"/>
      <c r="Y88" s="5"/>
      <c r="Z88" s="5"/>
    </row>
    <row r="89" ht="19.5" customHeight="1">
      <c r="A89" s="65">
        <v>46228.0</v>
      </c>
      <c r="B89" s="53" t="s">
        <v>289</v>
      </c>
      <c r="C89" s="53" t="s">
        <v>76</v>
      </c>
      <c r="D89" s="53" t="s">
        <v>63</v>
      </c>
      <c r="E89" s="55" t="s">
        <v>123</v>
      </c>
      <c r="F89" s="61">
        <v>127.83</v>
      </c>
      <c r="G89" s="53" t="s">
        <v>30</v>
      </c>
      <c r="H89" s="53"/>
      <c r="I89" s="55" t="s">
        <v>65</v>
      </c>
      <c r="J89" s="48">
        <f t="array" ref="J89">IF(G89="","",IFERROR(LET(ev_cost,INDEX(Events!$G$5:$G$505,MATCH(G89,Events!$A$5:$A$505,0)),ev_split,INDEX(Events!$I$5:$I$505,MATCH(G89,Events!$A$5:$A$505,0)),att_offset,MATCH(G89,Attendance!$B$3:$AV$3,0),attendees,COUNTIF(INDEX(Attendance!$B$7:$AV$206,0,att_offset),"1"),IF(ev_split="Equal Split",ev_cost/MAX(1,COUNTA(Roster!$A$5:$A$204)),ev_cost/MAX(1,attendees))),"N/A"))</f>
        <v>1050</v>
      </c>
      <c r="K89" s="5"/>
      <c r="L89" s="5"/>
      <c r="M89" s="5"/>
      <c r="N89" s="5"/>
      <c r="O89" s="5"/>
      <c r="P89" s="5"/>
      <c r="Q89" s="5"/>
      <c r="R89" s="5"/>
      <c r="S89" s="5"/>
      <c r="T89" s="5"/>
      <c r="U89" s="5"/>
      <c r="V89" s="5"/>
      <c r="W89" s="5"/>
      <c r="X89" s="5"/>
      <c r="Y89" s="5"/>
      <c r="Z89" s="5"/>
    </row>
    <row r="90" ht="19.5" customHeight="1">
      <c r="A90" s="64">
        <v>46257.0</v>
      </c>
      <c r="B90" s="50" t="s">
        <v>290</v>
      </c>
      <c r="C90" s="50" t="s">
        <v>76</v>
      </c>
      <c r="D90" s="50" t="s">
        <v>63</v>
      </c>
      <c r="E90" s="58" t="s">
        <v>123</v>
      </c>
      <c r="F90" s="51">
        <v>43.52</v>
      </c>
      <c r="G90" s="50" t="s">
        <v>46</v>
      </c>
      <c r="H90" s="50"/>
      <c r="I90" s="58" t="s">
        <v>65</v>
      </c>
      <c r="J90" s="48">
        <f t="array" ref="J90">IF(G90="","",IFERROR(LET(ev_cost,INDEX(Events!$G$5:$G$505,MATCH(G90,Events!$A$5:$A$505,0)),ev_split,INDEX(Events!$I$5:$I$505,MATCH(G90,Events!$A$5:$A$505,0)),att_offset,MATCH(G90,Attendance!$B$3:$AV$3,0),attendees,COUNTIF(INDEX(Attendance!$B$7:$AV$206,0,att_offset),"1"),IF(ev_split="Equal Split",ev_cost/MAX(1,COUNTA(Roster!$A$5:$A$204)),ev_cost/MAX(1,attendees))),"N/A"))</f>
        <v>5345.86</v>
      </c>
      <c r="K90" s="5"/>
      <c r="L90" s="5"/>
      <c r="M90" s="5"/>
      <c r="N90" s="5"/>
      <c r="O90" s="5"/>
      <c r="P90" s="5"/>
      <c r="Q90" s="5"/>
      <c r="R90" s="5"/>
      <c r="S90" s="5"/>
      <c r="T90" s="5"/>
      <c r="U90" s="5"/>
      <c r="V90" s="5"/>
      <c r="W90" s="5"/>
      <c r="X90" s="5"/>
      <c r="Y90" s="5"/>
      <c r="Z90" s="5"/>
    </row>
    <row r="91" ht="19.5" customHeight="1">
      <c r="A91" s="65">
        <v>46278.0</v>
      </c>
      <c r="B91" s="53" t="s">
        <v>291</v>
      </c>
      <c r="C91" s="55" t="s">
        <v>164</v>
      </c>
      <c r="D91" s="55" t="s">
        <v>89</v>
      </c>
      <c r="E91" s="55" t="s">
        <v>64</v>
      </c>
      <c r="F91" s="61">
        <v>185.53</v>
      </c>
      <c r="G91" s="55" t="s">
        <v>50</v>
      </c>
      <c r="H91" s="53" t="s">
        <v>118</v>
      </c>
      <c r="I91" s="55" t="s">
        <v>65</v>
      </c>
      <c r="J91" s="48">
        <f t="array" ref="J91">IF(G91="","",IFERROR(LET(ev_cost,INDEX(Events!$G$5:$G$505,MATCH(G91,Events!$A$5:$A$505,0)),ev_split,INDEX(Events!$I$5:$I$505,MATCH(G91,Events!$A$5:$A$505,0)),att_offset,MATCH(G91,Attendance!$B$3:$AV$3,0),attendees,COUNTIF(INDEX(Attendance!$B$7:$AV$206,0,att_offset),"1"),IF(ev_split="Equal Split",ev_cost/MAX(1,COUNTA(Roster!$A$5:$A$204)),ev_cost/MAX(1,attendees))),"N/A"))</f>
        <v>0</v>
      </c>
      <c r="K91" s="5"/>
      <c r="L91" s="5"/>
      <c r="M91" s="5"/>
      <c r="N91" s="5"/>
      <c r="O91" s="5"/>
      <c r="P91" s="5"/>
      <c r="Q91" s="5"/>
      <c r="R91" s="5"/>
      <c r="S91" s="5"/>
      <c r="T91" s="5"/>
      <c r="U91" s="5"/>
      <c r="V91" s="5"/>
      <c r="W91" s="5"/>
      <c r="X91" s="5"/>
      <c r="Y91" s="5"/>
      <c r="Z91" s="5"/>
    </row>
    <row r="92" ht="19.5" customHeight="1">
      <c r="A92" s="64">
        <v>46277.0</v>
      </c>
      <c r="B92" s="50" t="s">
        <v>292</v>
      </c>
      <c r="C92" s="58" t="s">
        <v>73</v>
      </c>
      <c r="D92" s="50" t="s">
        <v>63</v>
      </c>
      <c r="E92" s="53" t="s">
        <v>118</v>
      </c>
      <c r="F92" s="51">
        <v>10.85</v>
      </c>
      <c r="G92" s="58" t="s">
        <v>47</v>
      </c>
      <c r="H92" s="50"/>
      <c r="I92" s="50"/>
      <c r="J92" s="48">
        <f t="array" ref="J92">IF(G92="","",IFERROR(LET(ev_cost,INDEX(Events!$G$5:$G$505,MATCH(G92,Events!$A$5:$A$505,0)),ev_split,INDEX(Events!$I$5:$I$505,MATCH(G92,Events!$A$5:$A$505,0)),att_offset,MATCH(G92,Attendance!$B$3:$AV$3,0),attendees,COUNTIF(INDEX(Attendance!$B$7:$AV$206,0,att_offset),"1"),IF(ev_split="Equal Split",ev_cost/MAX(1,COUNTA(Roster!$A$5:$A$204)),ev_cost/MAX(1,attendees))),"N/A"))</f>
        <v>560.85</v>
      </c>
      <c r="K92" s="5"/>
      <c r="L92" s="5"/>
      <c r="M92" s="5"/>
      <c r="N92" s="5"/>
      <c r="O92" s="5"/>
      <c r="P92" s="5"/>
      <c r="Q92" s="5"/>
      <c r="R92" s="5"/>
      <c r="S92" s="5"/>
      <c r="T92" s="5"/>
      <c r="U92" s="5"/>
      <c r="V92" s="5"/>
      <c r="W92" s="5"/>
      <c r="X92" s="5"/>
      <c r="Y92" s="5"/>
      <c r="Z92" s="5"/>
    </row>
    <row r="93" ht="19.5" customHeight="1">
      <c r="A93" s="65">
        <v>46288.0</v>
      </c>
      <c r="B93" s="53" t="s">
        <v>293</v>
      </c>
      <c r="C93" s="55" t="s">
        <v>73</v>
      </c>
      <c r="D93" s="53" t="s">
        <v>63</v>
      </c>
      <c r="E93" s="53" t="s">
        <v>118</v>
      </c>
      <c r="F93" s="90">
        <v>84.36</v>
      </c>
      <c r="G93" s="55" t="s">
        <v>48</v>
      </c>
      <c r="H93" s="53"/>
      <c r="I93" s="53"/>
      <c r="J93" s="48">
        <f t="array" ref="J93">IF(G93="","",IFERROR(LET(ev_cost,INDEX(Events!$G$5:$G$505,MATCH(G93,Events!$A$5:$A$505,0)),ev_split,INDEX(Events!$I$5:$I$505,MATCH(G93,Events!$A$5:$A$505,0)),att_offset,MATCH(G93,Attendance!$B$3:$AV$3,0),attendees,COUNTIF(INDEX(Attendance!$B$7:$AV$206,0,att_offset),"1"),IF(ev_split="Equal Split",ev_cost/MAX(1,COUNTA(Roster!$A$5:$A$204)),ev_cost/MAX(1,attendees))),"N/A"))</f>
        <v>5965.16</v>
      </c>
      <c r="K93" s="5"/>
      <c r="L93" s="5"/>
      <c r="M93" s="5"/>
      <c r="N93" s="5"/>
      <c r="O93" s="5"/>
      <c r="P93" s="5"/>
      <c r="Q93" s="5"/>
      <c r="R93" s="5"/>
      <c r="S93" s="5"/>
      <c r="T93" s="5"/>
      <c r="U93" s="5"/>
      <c r="V93" s="5"/>
      <c r="W93" s="5"/>
      <c r="X93" s="5"/>
      <c r="Y93" s="5"/>
      <c r="Z93" s="5"/>
    </row>
    <row r="94" ht="19.5" customHeight="1">
      <c r="A94" s="49"/>
      <c r="B94" s="58" t="s">
        <v>294</v>
      </c>
      <c r="C94" s="58" t="s">
        <v>86</v>
      </c>
      <c r="D94" s="58" t="s">
        <v>63</v>
      </c>
      <c r="E94" s="58" t="s">
        <v>87</v>
      </c>
      <c r="F94" s="68">
        <v>4741.06</v>
      </c>
      <c r="G94" s="58" t="s">
        <v>48</v>
      </c>
      <c r="H94" s="50"/>
      <c r="I94" s="50"/>
      <c r="J94" s="48">
        <f t="array" ref="J94">IF(G94="","",IFERROR(LET(ev_cost,INDEX(Events!$G$5:$G$505,MATCH(G94,Events!$A$5:$A$505,0)),ev_split,INDEX(Events!$I$5:$I$505,MATCH(G94,Events!$A$5:$A$505,0)),att_offset,MATCH(G94,Attendance!$B$3:$AV$3,0),attendees,COUNTIF(INDEX(Attendance!$B$7:$AV$206,0,att_offset),"1"),IF(ev_split="Equal Split",ev_cost/MAX(1,COUNTA(Roster!$A$5:$A$204)),ev_cost/MAX(1,attendees))),"N/A"))</f>
        <v>5965.16</v>
      </c>
      <c r="K94" s="5"/>
      <c r="L94" s="5"/>
      <c r="M94" s="5"/>
      <c r="N94" s="5"/>
      <c r="O94" s="5"/>
      <c r="P94" s="5"/>
      <c r="Q94" s="5"/>
      <c r="R94" s="5"/>
      <c r="S94" s="5"/>
      <c r="T94" s="5"/>
      <c r="U94" s="5"/>
      <c r="V94" s="5"/>
      <c r="W94" s="5"/>
      <c r="X94" s="5"/>
      <c r="Y94" s="5"/>
      <c r="Z94" s="5"/>
    </row>
    <row r="95" ht="19.5" customHeight="1">
      <c r="A95" s="65">
        <v>46295.0</v>
      </c>
      <c r="B95" s="53" t="s">
        <v>295</v>
      </c>
      <c r="C95" s="53" t="s">
        <v>164</v>
      </c>
      <c r="D95" s="53" t="s">
        <v>63</v>
      </c>
      <c r="E95" s="53" t="s">
        <v>162</v>
      </c>
      <c r="F95" s="61">
        <v>8.5</v>
      </c>
      <c r="G95" s="55" t="s">
        <v>48</v>
      </c>
      <c r="H95" s="53"/>
      <c r="I95" s="53"/>
      <c r="J95" s="48">
        <f t="array" ref="J95">IF(G95="","",IFERROR(LET(ev_cost,INDEX(Events!$G$5:$G$505,MATCH(G95,Events!$A$5:$A$505,0)),ev_split,INDEX(Events!$I$5:$I$505,MATCH(G95,Events!$A$5:$A$505,0)),att_offset,MATCH(G95,Attendance!$B$3:$AV$3,0),attendees,COUNTIF(INDEX(Attendance!$B$7:$AV$206,0,att_offset),"1"),IF(ev_split="Equal Split",ev_cost/MAX(1,COUNTA(Roster!$A$5:$A$204)),ev_cost/MAX(1,attendees))),"N/A"))</f>
        <v>5965.16</v>
      </c>
      <c r="K95" s="5"/>
      <c r="L95" s="5"/>
      <c r="M95" s="5"/>
      <c r="N95" s="5"/>
      <c r="O95" s="5"/>
      <c r="P95" s="5"/>
      <c r="Q95" s="5"/>
      <c r="R95" s="5"/>
      <c r="S95" s="5"/>
      <c r="T95" s="5"/>
      <c r="U95" s="5"/>
      <c r="V95" s="5"/>
      <c r="W95" s="5"/>
      <c r="X95" s="5"/>
      <c r="Y95" s="5"/>
      <c r="Z95" s="5"/>
    </row>
    <row r="96" ht="19.5" customHeight="1">
      <c r="A96" s="49"/>
      <c r="B96" s="58" t="s">
        <v>296</v>
      </c>
      <c r="C96" s="58" t="s">
        <v>76</v>
      </c>
      <c r="D96" s="58" t="s">
        <v>63</v>
      </c>
      <c r="E96" s="58" t="s">
        <v>87</v>
      </c>
      <c r="F96" s="91">
        <v>117.91</v>
      </c>
      <c r="G96" s="58" t="s">
        <v>48</v>
      </c>
      <c r="H96" s="50"/>
      <c r="I96" s="50"/>
      <c r="J96" s="48">
        <f t="array" ref="J96">IF(G96="","",IFERROR(LET(ev_cost,INDEX(Events!$G$5:$G$505,MATCH(G96,Events!$A$5:$A$505,0)),ev_split,INDEX(Events!$I$5:$I$505,MATCH(G96,Events!$A$5:$A$505,0)),att_offset,MATCH(G96,Attendance!$B$3:$AV$3,0),attendees,COUNTIF(INDEX(Attendance!$B$7:$AV$206,0,att_offset),"1"),IF(ev_split="Equal Split",ev_cost/MAX(1,COUNTA(Roster!$A$5:$A$204)),ev_cost/MAX(1,attendees))),"N/A"))</f>
        <v>5965.16</v>
      </c>
      <c r="K96" s="5"/>
      <c r="L96" s="5"/>
      <c r="M96" s="5"/>
      <c r="N96" s="5"/>
      <c r="O96" s="5"/>
      <c r="P96" s="5"/>
      <c r="Q96" s="5"/>
      <c r="R96" s="5"/>
      <c r="S96" s="5"/>
      <c r="T96" s="5"/>
      <c r="U96" s="5"/>
      <c r="V96" s="5"/>
      <c r="W96" s="5"/>
      <c r="X96" s="5"/>
      <c r="Y96" s="5"/>
      <c r="Z96" s="5"/>
    </row>
    <row r="97" ht="19.5" customHeight="1">
      <c r="A97" s="52"/>
      <c r="B97" s="55" t="s">
        <v>297</v>
      </c>
      <c r="C97" s="55" t="s">
        <v>76</v>
      </c>
      <c r="D97" s="55" t="s">
        <v>63</v>
      </c>
      <c r="E97" s="55" t="s">
        <v>87</v>
      </c>
      <c r="F97" s="92">
        <v>32.78</v>
      </c>
      <c r="G97" s="55" t="s">
        <v>48</v>
      </c>
      <c r="H97" s="53"/>
      <c r="I97" s="53"/>
      <c r="J97" s="48">
        <f t="array" ref="J97">IF(G97="","",IFERROR(LET(ev_cost,INDEX(Events!$G$5:$G$505,MATCH(G97,Events!$A$5:$A$505,0)),ev_split,INDEX(Events!$I$5:$I$505,MATCH(G97,Events!$A$5:$A$505,0)),att_offset,MATCH(G97,Attendance!$B$3:$AV$3,0),attendees,COUNTIF(INDEX(Attendance!$B$7:$AV$206,0,att_offset),"1"),IF(ev_split="Equal Split",ev_cost/MAX(1,COUNTA(Roster!$A$5:$A$204)),ev_cost/MAX(1,attendees))),"N/A"))</f>
        <v>5965.16</v>
      </c>
      <c r="K97" s="5"/>
      <c r="L97" s="5"/>
      <c r="M97" s="5"/>
      <c r="N97" s="5"/>
      <c r="O97" s="5"/>
      <c r="P97" s="5"/>
      <c r="Q97" s="5"/>
      <c r="R97" s="5"/>
      <c r="S97" s="5"/>
      <c r="T97" s="5"/>
      <c r="U97" s="5"/>
      <c r="V97" s="5"/>
      <c r="W97" s="5"/>
      <c r="X97" s="5"/>
      <c r="Y97" s="5"/>
      <c r="Z97" s="5"/>
    </row>
    <row r="98" ht="19.5" customHeight="1">
      <c r="A98" s="49"/>
      <c r="B98" s="58" t="s">
        <v>298</v>
      </c>
      <c r="C98" s="58" t="s">
        <v>76</v>
      </c>
      <c r="D98" s="58" t="s">
        <v>63</v>
      </c>
      <c r="E98" s="58" t="s">
        <v>87</v>
      </c>
      <c r="F98" s="91">
        <v>30.55</v>
      </c>
      <c r="G98" s="58" t="s">
        <v>48</v>
      </c>
      <c r="H98" s="50"/>
      <c r="I98" s="50"/>
      <c r="J98" s="48">
        <f t="array" ref="J98">IF(G98="","",IFERROR(LET(ev_cost,INDEX(Events!$G$5:$G$505,MATCH(G98,Events!$A$5:$A$505,0)),ev_split,INDEX(Events!$I$5:$I$505,MATCH(G98,Events!$A$5:$A$505,0)),att_offset,MATCH(G98,Attendance!$B$3:$AV$3,0),attendees,COUNTIF(INDEX(Attendance!$B$7:$AV$206,0,att_offset),"1"),IF(ev_split="Equal Split",ev_cost/MAX(1,COUNTA(Roster!$A$5:$A$204)),ev_cost/MAX(1,attendees))),"N/A"))</f>
        <v>5965.16</v>
      </c>
      <c r="K98" s="5"/>
      <c r="L98" s="5"/>
      <c r="M98" s="5"/>
      <c r="N98" s="5"/>
      <c r="O98" s="5"/>
      <c r="P98" s="5"/>
      <c r="Q98" s="5"/>
      <c r="R98" s="5"/>
      <c r="S98" s="5"/>
      <c r="T98" s="5"/>
      <c r="U98" s="5"/>
      <c r="V98" s="5"/>
      <c r="W98" s="5"/>
      <c r="X98" s="5"/>
      <c r="Y98" s="5"/>
      <c r="Z98" s="5"/>
    </row>
    <row r="99" ht="19.5" customHeight="1">
      <c r="A99" s="52"/>
      <c r="B99" s="55" t="s">
        <v>299</v>
      </c>
      <c r="C99" s="55" t="s">
        <v>86</v>
      </c>
      <c r="D99" s="55" t="s">
        <v>300</v>
      </c>
      <c r="E99" s="55"/>
      <c r="F99" s="61">
        <f>(121 + 100) / 2</f>
        <v>110.5</v>
      </c>
      <c r="G99" s="55" t="s">
        <v>46</v>
      </c>
      <c r="H99" s="55" t="s">
        <v>105</v>
      </c>
      <c r="I99" s="53"/>
      <c r="J99" s="48">
        <f t="array" ref="J99">IF(G99="","",IFERROR(LET(ev_cost,INDEX(Events!$G$5:$G$505,MATCH(G99,Events!$A$5:$A$505,0)),ev_split,INDEX(Events!$I$5:$I$505,MATCH(G99,Events!$A$5:$A$505,0)),att_offset,MATCH(G99,Attendance!$B$3:$AV$3,0),attendees,COUNTIF(INDEX(Attendance!$B$7:$AV$206,0,att_offset),"1"),IF(ev_split="Equal Split",ev_cost/MAX(1,COUNTA(Roster!$A$5:$A$204)),ev_cost/MAX(1,attendees))),"N/A"))</f>
        <v>5345.86</v>
      </c>
      <c r="K99" s="5"/>
      <c r="L99" s="5"/>
      <c r="M99" s="5"/>
      <c r="N99" s="5"/>
      <c r="O99" s="5"/>
      <c r="P99" s="5"/>
      <c r="Q99" s="5"/>
      <c r="R99" s="5"/>
      <c r="S99" s="5"/>
      <c r="T99" s="5"/>
      <c r="U99" s="5"/>
      <c r="V99" s="5"/>
      <c r="W99" s="5"/>
      <c r="X99" s="5"/>
      <c r="Y99" s="5"/>
      <c r="Z99" s="5"/>
    </row>
    <row r="100" ht="19.5" customHeight="1">
      <c r="A100" s="70">
        <v>46303.0</v>
      </c>
      <c r="B100" s="58" t="s">
        <v>301</v>
      </c>
      <c r="C100" s="58" t="s">
        <v>62</v>
      </c>
      <c r="D100" s="58" t="s">
        <v>63</v>
      </c>
      <c r="E100" s="58" t="s">
        <v>64</v>
      </c>
      <c r="F100" s="68">
        <v>7150.0</v>
      </c>
      <c r="G100" s="58" t="s">
        <v>51</v>
      </c>
      <c r="H100" s="50"/>
      <c r="I100" s="50"/>
      <c r="J100" s="48">
        <f t="array" ref="J100">IF(G100="","",IFERROR(LET(ev_cost,INDEX(Events!$G$5:$G$505,MATCH(G100,Events!$A$5:$A$505,0)),ev_split,INDEX(Events!$I$5:$I$505,MATCH(G100,Events!$A$5:$A$505,0)),att_offset,MATCH(G100,Attendance!$B$3:$AV$3,0),attendees,COUNTIF(INDEX(Attendance!$B$7:$AV$206,0,att_offset),"1"),IF(ev_split="Equal Split",ev_cost/MAX(1,COUNTA(Roster!$A$5:$A$204)),ev_cost/MAX(1,attendees))),"N/A"))</f>
        <v>7150</v>
      </c>
      <c r="K100" s="5"/>
      <c r="L100" s="5"/>
      <c r="M100" s="5"/>
      <c r="N100" s="5"/>
      <c r="O100" s="5"/>
      <c r="P100" s="5"/>
      <c r="Q100" s="5"/>
      <c r="R100" s="5"/>
      <c r="S100" s="5"/>
      <c r="T100" s="5"/>
      <c r="U100" s="5"/>
      <c r="V100" s="5"/>
      <c r="W100" s="5"/>
      <c r="X100" s="5"/>
      <c r="Y100" s="5"/>
      <c r="Z100" s="5"/>
    </row>
    <row r="101" ht="19.5" customHeight="1">
      <c r="A101" s="69">
        <v>46267.0</v>
      </c>
      <c r="B101" s="55" t="s">
        <v>302</v>
      </c>
      <c r="C101" s="55" t="s">
        <v>80</v>
      </c>
      <c r="D101" s="55" t="s">
        <v>78</v>
      </c>
      <c r="E101" s="55" t="s">
        <v>303</v>
      </c>
      <c r="F101" s="63">
        <v>781.37</v>
      </c>
      <c r="G101" s="53"/>
      <c r="H101" s="55" t="s">
        <v>64</v>
      </c>
      <c r="I101" s="53"/>
      <c r="J101" s="48" t="str">
        <f t="array" ref="J101">IF(G101="","",IFERROR(LET(ev_cost,INDEX(Events!$G$5:$G$505,MATCH(G101,Events!$A$5:$A$505,0)),ev_split,INDEX(Events!$I$5:$I$505,MATCH(G101,Events!$A$5:$A$505,0)),att_offset,MATCH(G101,Attendance!$B$3:$AV$3,0),attendees,COUNTIF(INDEX(Attendance!$B$7:$AV$206,0,att_offset),"1"),IF(ev_split="Equal Split",ev_cost/MAX(1,COUNTA(Roster!$A$5:$A$204)),ev_cost/MAX(1,attendees))),"N/A"))</f>
        <v/>
      </c>
      <c r="K101" s="5"/>
      <c r="L101" s="5"/>
      <c r="M101" s="5"/>
      <c r="N101" s="5"/>
      <c r="O101" s="5"/>
      <c r="P101" s="5"/>
      <c r="Q101" s="5"/>
      <c r="R101" s="5"/>
      <c r="S101" s="5"/>
      <c r="T101" s="5"/>
      <c r="U101" s="5"/>
      <c r="V101" s="5"/>
      <c r="W101" s="5"/>
      <c r="X101" s="5"/>
      <c r="Y101" s="5"/>
      <c r="Z101" s="5"/>
    </row>
    <row r="102" ht="19.5" customHeight="1">
      <c r="A102" s="70">
        <v>46268.0</v>
      </c>
      <c r="B102" s="58" t="s">
        <v>124</v>
      </c>
      <c r="C102" s="58" t="s">
        <v>80</v>
      </c>
      <c r="D102" s="58" t="s">
        <v>78</v>
      </c>
      <c r="E102" s="58" t="s">
        <v>118</v>
      </c>
      <c r="F102" s="68">
        <v>327.18</v>
      </c>
      <c r="G102" s="50"/>
      <c r="H102" s="58" t="s">
        <v>64</v>
      </c>
      <c r="I102" s="50"/>
      <c r="J102" s="48" t="str">
        <f t="array" ref="J102">IF(G102="","",IFERROR(LET(ev_cost,INDEX(Events!$G$5:$G$505,MATCH(G102,Events!$A$5:$A$505,0)),ev_split,INDEX(Events!$I$5:$I$505,MATCH(G102,Events!$A$5:$A$505,0)),att_offset,MATCH(G102,Attendance!$B$3:$AV$3,0),attendees,COUNTIF(INDEX(Attendance!$B$7:$AV$206,0,att_offset),"1"),IF(ev_split="Equal Split",ev_cost/MAX(1,COUNTA(Roster!$A$5:$A$204)),ev_cost/MAX(1,attendees))),"N/A"))</f>
        <v/>
      </c>
      <c r="K102" s="5"/>
      <c r="L102" s="5"/>
      <c r="M102" s="5"/>
      <c r="N102" s="5"/>
      <c r="O102" s="5"/>
      <c r="P102" s="5"/>
      <c r="Q102" s="5"/>
      <c r="R102" s="5"/>
      <c r="S102" s="5"/>
      <c r="T102" s="5"/>
      <c r="U102" s="5"/>
      <c r="V102" s="5"/>
      <c r="W102" s="5"/>
      <c r="X102" s="5"/>
      <c r="Y102" s="5"/>
      <c r="Z102" s="5"/>
    </row>
    <row r="103" ht="19.5" customHeight="1">
      <c r="A103" s="69">
        <v>46269.0</v>
      </c>
      <c r="B103" s="55" t="s">
        <v>304</v>
      </c>
      <c r="C103" s="55" t="s">
        <v>80</v>
      </c>
      <c r="D103" s="55" t="s">
        <v>78</v>
      </c>
      <c r="E103" s="55" t="s">
        <v>103</v>
      </c>
      <c r="F103" s="63">
        <v>200.0</v>
      </c>
      <c r="G103" s="53"/>
      <c r="H103" s="55" t="s">
        <v>64</v>
      </c>
      <c r="I103" s="53"/>
      <c r="J103" s="48" t="str">
        <f t="array" ref="J103">IF(G103="","",IFERROR(LET(ev_cost,INDEX(Events!$G$5:$G$505,MATCH(G103,Events!$A$5:$A$505,0)),ev_split,INDEX(Events!$I$5:$I$505,MATCH(G103,Events!$A$5:$A$505,0)),att_offset,MATCH(G103,Attendance!$B$3:$AV$3,0),attendees,COUNTIF(INDEX(Attendance!$B$7:$AV$206,0,att_offset),"1"),IF(ev_split="Equal Split",ev_cost/MAX(1,COUNTA(Roster!$A$5:$A$204)),ev_cost/MAX(1,attendees))),"N/A"))</f>
        <v/>
      </c>
      <c r="K103" s="5"/>
      <c r="L103" s="5"/>
      <c r="M103" s="5"/>
      <c r="N103" s="5"/>
      <c r="O103" s="5"/>
      <c r="P103" s="5"/>
      <c r="Q103" s="5"/>
      <c r="R103" s="5"/>
      <c r="S103" s="5"/>
      <c r="T103" s="5"/>
      <c r="U103" s="5"/>
      <c r="V103" s="5"/>
      <c r="W103" s="5"/>
      <c r="X103" s="5"/>
      <c r="Y103" s="5"/>
      <c r="Z103" s="5"/>
    </row>
    <row r="104" ht="19.5" customHeight="1">
      <c r="A104" s="70">
        <v>46272.0</v>
      </c>
      <c r="B104" s="58" t="s">
        <v>305</v>
      </c>
      <c r="C104" s="58" t="s">
        <v>80</v>
      </c>
      <c r="D104" s="58" t="s">
        <v>78</v>
      </c>
      <c r="E104" s="58" t="s">
        <v>109</v>
      </c>
      <c r="F104" s="68">
        <v>46.5</v>
      </c>
      <c r="G104" s="50"/>
      <c r="H104" s="58" t="s">
        <v>64</v>
      </c>
      <c r="I104" s="50"/>
      <c r="J104" s="48" t="str">
        <f t="array" ref="J104">IF(G104="","",IFERROR(LET(ev_cost,INDEX(Events!$G$5:$G$505,MATCH(G104,Events!$A$5:$A$505,0)),ev_split,INDEX(Events!$I$5:$I$505,MATCH(G104,Events!$A$5:$A$505,0)),att_offset,MATCH(G104,Attendance!$B$3:$AV$3,0),attendees,COUNTIF(INDEX(Attendance!$B$7:$AV$206,0,att_offset),"1"),IF(ev_split="Equal Split",ev_cost/MAX(1,COUNTA(Roster!$A$5:$A$204)),ev_cost/MAX(1,attendees))),"N/A"))</f>
        <v/>
      </c>
      <c r="K104" s="5"/>
      <c r="L104" s="5"/>
      <c r="M104" s="5"/>
      <c r="N104" s="5"/>
      <c r="O104" s="5"/>
      <c r="P104" s="5"/>
      <c r="Q104" s="5"/>
      <c r="R104" s="5"/>
      <c r="S104" s="5"/>
      <c r="T104" s="5"/>
      <c r="U104" s="5"/>
      <c r="V104" s="5"/>
      <c r="W104" s="5"/>
      <c r="X104" s="5"/>
      <c r="Y104" s="5"/>
      <c r="Z104" s="5"/>
    </row>
    <row r="105" ht="19.5" customHeight="1">
      <c r="A105" s="69">
        <v>46278.0</v>
      </c>
      <c r="B105" s="55" t="s">
        <v>306</v>
      </c>
      <c r="C105" s="55" t="s">
        <v>80</v>
      </c>
      <c r="D105" s="55" t="s">
        <v>78</v>
      </c>
      <c r="E105" s="55" t="s">
        <v>97</v>
      </c>
      <c r="F105" s="63">
        <v>150.0</v>
      </c>
      <c r="G105" s="53"/>
      <c r="H105" s="55" t="s">
        <v>64</v>
      </c>
      <c r="I105" s="53"/>
      <c r="J105" s="48" t="str">
        <f t="array" ref="J105">IF(G105="","",IFERROR(LET(ev_cost,INDEX(Events!$G$5:$G$505,MATCH(G105,Events!$A$5:$A$505,0)),ev_split,INDEX(Events!$I$5:$I$505,MATCH(G105,Events!$A$5:$A$505,0)),att_offset,MATCH(G105,Attendance!$B$3:$AV$3,0),attendees,COUNTIF(INDEX(Attendance!$B$7:$AV$206,0,att_offset),"1"),IF(ev_split="Equal Split",ev_cost/MAX(1,COUNTA(Roster!$A$5:$A$204)),ev_cost/MAX(1,attendees))),"N/A"))</f>
        <v/>
      </c>
      <c r="K105" s="5"/>
      <c r="L105" s="5"/>
      <c r="M105" s="5"/>
      <c r="N105" s="5"/>
      <c r="O105" s="5"/>
      <c r="P105" s="5"/>
      <c r="Q105" s="5"/>
      <c r="R105" s="5"/>
      <c r="S105" s="5"/>
      <c r="T105" s="5"/>
      <c r="U105" s="5"/>
      <c r="V105" s="5"/>
      <c r="W105" s="5"/>
      <c r="X105" s="5"/>
      <c r="Y105" s="5"/>
      <c r="Z105" s="5"/>
    </row>
    <row r="106" ht="19.5" customHeight="1">
      <c r="A106" s="64">
        <v>46257.0</v>
      </c>
      <c r="B106" s="50" t="s">
        <v>307</v>
      </c>
      <c r="C106" s="50" t="s">
        <v>76</v>
      </c>
      <c r="D106" s="50" t="s">
        <v>63</v>
      </c>
      <c r="E106" s="58" t="s">
        <v>168</v>
      </c>
      <c r="F106" s="93">
        <v>115.12</v>
      </c>
      <c r="G106" s="50" t="s">
        <v>46</v>
      </c>
      <c r="H106" s="50"/>
      <c r="I106" s="50"/>
      <c r="J106" s="48">
        <f t="array" ref="J106">IF(G106="","",IFERROR(LET(ev_cost,INDEX(Events!$G$5:$G$505,MATCH(G106,Events!$A$5:$A$505,0)),ev_split,INDEX(Events!$I$5:$I$505,MATCH(G106,Events!$A$5:$A$505,0)),att_offset,MATCH(G106,Attendance!$B$3:$AV$3,0),attendees,COUNTIF(INDEX(Attendance!$B$7:$AV$206,0,att_offset),"1"),IF(ev_split="Equal Split",ev_cost/MAX(1,COUNTA(Roster!$A$5:$A$204)),ev_cost/MAX(1,attendees))),"N/A"))</f>
        <v>5345.86</v>
      </c>
      <c r="K106" s="5"/>
      <c r="L106" s="5"/>
      <c r="M106" s="5"/>
      <c r="N106" s="5"/>
      <c r="O106" s="5"/>
      <c r="P106" s="5"/>
      <c r="Q106" s="5"/>
      <c r="R106" s="5"/>
      <c r="S106" s="5"/>
      <c r="T106" s="5"/>
      <c r="U106" s="5"/>
      <c r="V106" s="5"/>
      <c r="W106" s="5"/>
      <c r="X106" s="5"/>
      <c r="Y106" s="5"/>
      <c r="Z106" s="5"/>
    </row>
    <row r="107" ht="19.5" customHeight="1">
      <c r="A107" s="69">
        <v>46278.0</v>
      </c>
      <c r="B107" s="55" t="s">
        <v>308</v>
      </c>
      <c r="C107" s="55" t="s">
        <v>80</v>
      </c>
      <c r="D107" s="55" t="s">
        <v>78</v>
      </c>
      <c r="E107" s="55" t="s">
        <v>168</v>
      </c>
      <c r="F107" s="63">
        <v>336.74</v>
      </c>
      <c r="G107" s="53"/>
      <c r="H107" s="55" t="s">
        <v>64</v>
      </c>
      <c r="I107" s="53"/>
      <c r="J107" s="48" t="str">
        <f t="array" ref="J107">IF(G107="","",IFERROR(LET(ev_cost,INDEX(Events!$G$5:$G$505,MATCH(G107,Events!$A$5:$A$505,0)),ev_split,INDEX(Events!$I$5:$I$505,MATCH(G107,Events!$A$5:$A$505,0)),att_offset,MATCH(G107,Attendance!$B$3:$AV$3,0),attendees,COUNTIF(INDEX(Attendance!$B$7:$AV$206,0,att_offset),"1"),IF(ev_split="Equal Split",ev_cost/MAX(1,COUNTA(Roster!$A$5:$A$204)),ev_cost/MAX(1,attendees))),"N/A"))</f>
        <v/>
      </c>
      <c r="K107" s="5"/>
      <c r="L107" s="5"/>
      <c r="M107" s="5"/>
      <c r="N107" s="5"/>
      <c r="O107" s="5"/>
      <c r="P107" s="5"/>
      <c r="Q107" s="5"/>
      <c r="R107" s="5"/>
      <c r="S107" s="5"/>
      <c r="T107" s="5"/>
      <c r="U107" s="5"/>
      <c r="V107" s="5"/>
      <c r="W107" s="5"/>
      <c r="X107" s="5"/>
      <c r="Y107" s="5"/>
      <c r="Z107" s="5"/>
    </row>
    <row r="108" ht="19.5" customHeight="1">
      <c r="A108" s="70">
        <v>46278.0</v>
      </c>
      <c r="B108" s="58" t="s">
        <v>309</v>
      </c>
      <c r="C108" s="58" t="s">
        <v>62</v>
      </c>
      <c r="D108" s="58" t="s">
        <v>63</v>
      </c>
      <c r="E108" s="58" t="s">
        <v>64</v>
      </c>
      <c r="F108" s="68">
        <v>950.0</v>
      </c>
      <c r="G108" s="58" t="s">
        <v>48</v>
      </c>
      <c r="H108" s="50"/>
      <c r="I108" s="50"/>
      <c r="J108" s="48">
        <f t="array" ref="J108">IF(G108="","",IFERROR(LET(ev_cost,INDEX(Events!$G$5:$G$505,MATCH(G108,Events!$A$5:$A$505,0)),ev_split,INDEX(Events!$I$5:$I$505,MATCH(G108,Events!$A$5:$A$505,0)),att_offset,MATCH(G108,Attendance!$B$3:$AV$3,0),attendees,COUNTIF(INDEX(Attendance!$B$7:$AV$206,0,att_offset),"1"),IF(ev_split="Equal Split",ev_cost/MAX(1,COUNTA(Roster!$A$5:$A$204)),ev_cost/MAX(1,attendees))),"N/A"))</f>
        <v>5965.16</v>
      </c>
      <c r="K108" s="5"/>
      <c r="L108" s="5"/>
      <c r="M108" s="5"/>
      <c r="N108" s="5"/>
      <c r="O108" s="5"/>
      <c r="P108" s="5"/>
      <c r="Q108" s="5"/>
      <c r="R108" s="5"/>
      <c r="S108" s="5"/>
      <c r="T108" s="5"/>
      <c r="U108" s="5"/>
      <c r="V108" s="5"/>
      <c r="W108" s="5"/>
      <c r="X108" s="5"/>
      <c r="Y108" s="5"/>
      <c r="Z108" s="5"/>
    </row>
    <row r="109" ht="19.5" customHeight="1">
      <c r="A109" s="52"/>
      <c r="B109" s="55" t="s">
        <v>310</v>
      </c>
      <c r="C109" s="55" t="s">
        <v>80</v>
      </c>
      <c r="D109" s="55" t="s">
        <v>78</v>
      </c>
      <c r="E109" s="55" t="s">
        <v>107</v>
      </c>
      <c r="F109" s="63">
        <v>463.58</v>
      </c>
      <c r="G109" s="53"/>
      <c r="H109" s="55" t="s">
        <v>64</v>
      </c>
      <c r="I109" s="53"/>
      <c r="J109" s="48" t="str">
        <f t="array" ref="J109">IF(G109="","",IFERROR(LET(ev_cost,INDEX(Events!$G$5:$G$505,MATCH(G109,Events!$A$5:$A$505,0)),ev_split,INDEX(Events!$I$5:$I$505,MATCH(G109,Events!$A$5:$A$505,0)),att_offset,MATCH(G109,Attendance!$B$3:$AV$3,0),attendees,COUNTIF(INDEX(Attendance!$B$7:$AV$206,0,att_offset),"1"),IF(ev_split="Equal Split",ev_cost/MAX(1,COUNTA(Roster!$A$5:$A$204)),ev_cost/MAX(1,attendees))),"N/A"))</f>
        <v/>
      </c>
      <c r="K109" s="5"/>
      <c r="L109" s="5"/>
      <c r="M109" s="5"/>
      <c r="N109" s="5"/>
      <c r="O109" s="5"/>
      <c r="P109" s="5"/>
      <c r="Q109" s="5"/>
      <c r="R109" s="5"/>
      <c r="S109" s="5"/>
      <c r="T109" s="5"/>
      <c r="U109" s="5"/>
      <c r="V109" s="5"/>
      <c r="W109" s="5"/>
      <c r="X109" s="5"/>
      <c r="Y109" s="5"/>
      <c r="Z109" s="5"/>
    </row>
    <row r="110" ht="19.5" customHeight="1">
      <c r="A110" s="49"/>
      <c r="B110" s="58" t="s">
        <v>312</v>
      </c>
      <c r="C110" s="58" t="s">
        <v>80</v>
      </c>
      <c r="D110" s="58" t="s">
        <v>78</v>
      </c>
      <c r="E110" s="58" t="s">
        <v>81</v>
      </c>
      <c r="F110" s="68">
        <v>150.0</v>
      </c>
      <c r="G110" s="50"/>
      <c r="H110" s="58" t="s">
        <v>64</v>
      </c>
      <c r="I110" s="50"/>
      <c r="J110" s="48" t="str">
        <f t="array" ref="J110">IF(G110="","",IFERROR(LET(ev_cost,INDEX(Events!$G$5:$G$505,MATCH(G110,Events!$A$5:$A$505,0)),ev_split,INDEX(Events!$I$5:$I$505,MATCH(G110,Events!$A$5:$A$505,0)),att_offset,MATCH(G110,Attendance!$B$3:$AV$3,0),attendees,COUNTIF(INDEX(Attendance!$B$7:$AV$206,0,att_offset),"1"),IF(ev_split="Equal Split",ev_cost/MAX(1,COUNTA(Roster!$A$5:$A$204)),ev_cost/MAX(1,attendees))),"N/A"))</f>
        <v/>
      </c>
      <c r="K110" s="5"/>
      <c r="L110" s="5"/>
      <c r="M110" s="5"/>
      <c r="N110" s="5"/>
      <c r="O110" s="5"/>
      <c r="P110" s="5"/>
      <c r="Q110" s="5"/>
      <c r="R110" s="5"/>
      <c r="S110" s="5"/>
      <c r="T110" s="5"/>
      <c r="U110" s="5"/>
      <c r="V110" s="5"/>
      <c r="W110" s="5"/>
      <c r="X110" s="5"/>
      <c r="Y110" s="5"/>
      <c r="Z110" s="5"/>
    </row>
    <row r="111" ht="19.5" customHeight="1">
      <c r="A111" s="52"/>
      <c r="B111" s="55" t="s">
        <v>312</v>
      </c>
      <c r="C111" s="55" t="s">
        <v>80</v>
      </c>
      <c r="D111" s="55" t="s">
        <v>78</v>
      </c>
      <c r="E111" s="55" t="s">
        <v>81</v>
      </c>
      <c r="F111" s="63">
        <v>100.0</v>
      </c>
      <c r="G111" s="53"/>
      <c r="H111" s="55" t="s">
        <v>64</v>
      </c>
      <c r="I111" s="53"/>
      <c r="J111" s="48" t="str">
        <f t="array" ref="J111">IF(G111="","",IFERROR(LET(ev_cost,INDEX(Events!$G$5:$G$505,MATCH(G111,Events!$A$5:$A$505,0)),ev_split,INDEX(Events!$I$5:$I$505,MATCH(G111,Events!$A$5:$A$505,0)),att_offset,MATCH(G111,Attendance!$B$3:$AV$3,0),attendees,COUNTIF(INDEX(Attendance!$B$7:$AV$206,0,att_offset),"1"),IF(ev_split="Equal Split",ev_cost/MAX(1,COUNTA(Roster!$A$5:$A$204)),ev_cost/MAX(1,attendees))),"N/A"))</f>
        <v/>
      </c>
      <c r="K111" s="5"/>
      <c r="L111" s="5"/>
      <c r="M111" s="5"/>
      <c r="N111" s="5"/>
      <c r="O111" s="5"/>
      <c r="P111" s="5"/>
      <c r="Q111" s="5"/>
      <c r="R111" s="5"/>
      <c r="S111" s="5"/>
      <c r="T111" s="5"/>
      <c r="U111" s="5"/>
      <c r="V111" s="5"/>
      <c r="W111" s="5"/>
      <c r="X111" s="5"/>
      <c r="Y111" s="5"/>
      <c r="Z111" s="5"/>
    </row>
    <row r="112" ht="19.5" customHeight="1">
      <c r="A112" s="49"/>
      <c r="B112" s="58" t="s">
        <v>274</v>
      </c>
      <c r="C112" s="58" t="s">
        <v>80</v>
      </c>
      <c r="D112" s="58" t="s">
        <v>78</v>
      </c>
      <c r="E112" s="58" t="s">
        <v>74</v>
      </c>
      <c r="F112" s="68">
        <v>200.0</v>
      </c>
      <c r="G112" s="50"/>
      <c r="H112" s="58" t="s">
        <v>64</v>
      </c>
      <c r="I112" s="50"/>
      <c r="J112" s="48" t="str">
        <f t="array" ref="J112">IF(G112="","",IFERROR(LET(ev_cost,INDEX(Events!$G$5:$G$505,MATCH(G112,Events!$A$5:$A$505,0)),ev_split,INDEX(Events!$I$5:$I$505,MATCH(G112,Events!$A$5:$A$505,0)),att_offset,MATCH(G112,Attendance!$B$3:$AV$3,0),attendees,COUNTIF(INDEX(Attendance!$B$7:$AV$206,0,att_offset),"1"),IF(ev_split="Equal Split",ev_cost/MAX(1,COUNTA(Roster!$A$5:$A$204)),ev_cost/MAX(1,attendees))),"N/A"))</f>
        <v/>
      </c>
      <c r="K112" s="5"/>
      <c r="L112" s="5"/>
      <c r="M112" s="5"/>
      <c r="N112" s="5"/>
      <c r="O112" s="5"/>
      <c r="P112" s="5"/>
      <c r="Q112" s="5"/>
      <c r="R112" s="5"/>
      <c r="S112" s="5"/>
      <c r="T112" s="5"/>
      <c r="U112" s="5"/>
      <c r="V112" s="5"/>
      <c r="W112" s="5"/>
      <c r="X112" s="5"/>
      <c r="Y112" s="5"/>
      <c r="Z112" s="5"/>
    </row>
    <row r="113" ht="19.5" customHeight="1">
      <c r="A113" s="52"/>
      <c r="B113" s="55" t="s">
        <v>316</v>
      </c>
      <c r="C113" s="55" t="s">
        <v>68</v>
      </c>
      <c r="D113" s="55" t="s">
        <v>37</v>
      </c>
      <c r="E113" s="55" t="s">
        <v>64</v>
      </c>
      <c r="F113" s="63">
        <v>124.99</v>
      </c>
      <c r="G113" s="55" t="s">
        <v>51</v>
      </c>
      <c r="H113" s="53"/>
      <c r="I113" s="55" t="s">
        <v>65</v>
      </c>
      <c r="J113" s="48">
        <f t="array" ref="J113">IF(G113="","",IFERROR(LET(ev_cost,INDEX(Events!$G$5:$G$505,MATCH(G113,Events!$A$5:$A$505,0)),ev_split,INDEX(Events!$I$5:$I$505,MATCH(G113,Events!$A$5:$A$505,0)),att_offset,MATCH(G113,Attendance!$B$3:$AV$3,0),attendees,COUNTIF(INDEX(Attendance!$B$7:$AV$206,0,att_offset),"1"),IF(ev_split="Equal Split",ev_cost/MAX(1,COUNTA(Roster!$A$5:$A$204)),ev_cost/MAX(1,attendees))),"N/A"))</f>
        <v>7150</v>
      </c>
      <c r="K113" s="5"/>
      <c r="L113" s="5"/>
      <c r="M113" s="5"/>
      <c r="N113" s="5"/>
      <c r="O113" s="5"/>
      <c r="P113" s="5"/>
      <c r="Q113" s="5"/>
      <c r="R113" s="5"/>
      <c r="S113" s="5"/>
      <c r="T113" s="5"/>
      <c r="U113" s="5"/>
      <c r="V113" s="5"/>
      <c r="W113" s="5"/>
      <c r="X113" s="5"/>
      <c r="Y113" s="5"/>
      <c r="Z113" s="5"/>
    </row>
    <row r="114" ht="19.5" customHeight="1">
      <c r="A114" s="49"/>
      <c r="B114" s="58" t="s">
        <v>320</v>
      </c>
      <c r="C114" s="58" t="s">
        <v>68</v>
      </c>
      <c r="D114" s="58" t="s">
        <v>37</v>
      </c>
      <c r="E114" s="58" t="s">
        <v>64</v>
      </c>
      <c r="F114" s="68">
        <f>'Nationals Fundraising'!K3</f>
        <v>735</v>
      </c>
      <c r="G114" s="58" t="s">
        <v>51</v>
      </c>
      <c r="H114" s="50"/>
      <c r="I114" s="58" t="s">
        <v>65</v>
      </c>
      <c r="J114" s="48">
        <f t="array" ref="J114">IF(G114="","",IFERROR(LET(ev_cost,INDEX(Events!$G$5:$G$505,MATCH(G114,Events!$A$5:$A$505,0)),ev_split,INDEX(Events!$I$5:$I$505,MATCH(G114,Events!$A$5:$A$505,0)),att_offset,MATCH(G114,Attendance!$B$3:$AV$3,0),attendees,COUNTIF(INDEX(Attendance!$B$7:$AV$206,0,att_offset),"1"),IF(ev_split="Equal Split",ev_cost/MAX(1,COUNTA(Roster!$A$5:$A$204)),ev_cost/MAX(1,attendees))),"N/A"))</f>
        <v>7150</v>
      </c>
      <c r="K114" s="5"/>
      <c r="L114" s="5"/>
      <c r="M114" s="5"/>
      <c r="N114" s="5"/>
      <c r="O114" s="5"/>
      <c r="P114" s="5"/>
      <c r="Q114" s="5"/>
      <c r="R114" s="5"/>
      <c r="S114" s="5"/>
      <c r="T114" s="5"/>
      <c r="U114" s="5"/>
      <c r="V114" s="5"/>
      <c r="W114" s="5"/>
      <c r="X114" s="5"/>
      <c r="Y114" s="5"/>
      <c r="Z114" s="5"/>
    </row>
    <row r="115" ht="19.5" customHeight="1">
      <c r="A115" s="69">
        <v>46304.0</v>
      </c>
      <c r="B115" s="55" t="s">
        <v>274</v>
      </c>
      <c r="C115" s="55" t="s">
        <v>80</v>
      </c>
      <c r="D115" s="55" t="s">
        <v>78</v>
      </c>
      <c r="E115" s="55" t="s">
        <v>74</v>
      </c>
      <c r="F115" s="63">
        <v>400.0</v>
      </c>
      <c r="G115" s="53"/>
      <c r="H115" s="55" t="s">
        <v>64</v>
      </c>
      <c r="I115" s="55" t="s">
        <v>65</v>
      </c>
      <c r="J115" s="48" t="str">
        <f t="array" ref="J115">IF(G115="","",IFERROR(LET(ev_cost,INDEX(Events!$G$5:$G$505,MATCH(G115,Events!$A$5:$A$505,0)),ev_split,INDEX(Events!$I$5:$I$505,MATCH(G115,Events!$A$5:$A$505,0)),att_offset,MATCH(G115,Attendance!$B$3:$AV$3,0),attendees,COUNTIF(INDEX(Attendance!$B$7:$AV$206,0,att_offset),"1"),IF(ev_split="Equal Split",ev_cost/MAX(1,COUNTA(Roster!$A$5:$A$204)),ev_cost/MAX(1,attendees))),"N/A"))</f>
        <v/>
      </c>
      <c r="K115" s="5"/>
      <c r="L115" s="5"/>
      <c r="M115" s="5"/>
      <c r="N115" s="5"/>
      <c r="O115" s="5"/>
      <c r="P115" s="5"/>
      <c r="Q115" s="5"/>
      <c r="R115" s="5"/>
      <c r="S115" s="5"/>
      <c r="T115" s="5"/>
      <c r="U115" s="5"/>
      <c r="V115" s="5"/>
      <c r="W115" s="5"/>
      <c r="X115" s="5"/>
      <c r="Y115" s="5"/>
      <c r="Z115" s="5"/>
    </row>
    <row r="116" ht="19.5" customHeight="1">
      <c r="A116" s="69">
        <v>46305.0</v>
      </c>
      <c r="B116" s="55" t="s">
        <v>312</v>
      </c>
      <c r="C116" s="55" t="s">
        <v>80</v>
      </c>
      <c r="D116" s="55" t="s">
        <v>78</v>
      </c>
      <c r="E116" s="55" t="s">
        <v>81</v>
      </c>
      <c r="F116" s="63">
        <v>150.0</v>
      </c>
      <c r="G116" s="53"/>
      <c r="H116" s="55" t="s">
        <v>64</v>
      </c>
      <c r="I116" s="55" t="s">
        <v>65</v>
      </c>
      <c r="J116" s="48" t="str">
        <f t="array" ref="J116">IF(G116="","",IFERROR(LET(ev_cost,INDEX(Events!$G$5:$G$505,MATCH(G116,Events!$A$5:$A$505,0)),ev_split,INDEX(Events!$I$5:$I$505,MATCH(G116,Events!$A$5:$A$505,0)),att_offset,MATCH(G116,Attendance!$B$3:$AV$3,0),attendees,COUNTIF(INDEX(Attendance!$B$7:$AV$206,0,att_offset),"1"),IF(ev_split="Equal Split",ev_cost/MAX(1,COUNTA(Roster!$A$5:$A$204)),ev_cost/MAX(1,attendees))),"N/A"))</f>
        <v/>
      </c>
      <c r="K116" s="5"/>
      <c r="L116" s="5"/>
      <c r="M116" s="5"/>
      <c r="N116" s="5"/>
      <c r="O116" s="5"/>
      <c r="P116" s="5"/>
      <c r="Q116" s="5"/>
      <c r="R116" s="5"/>
      <c r="S116" s="5"/>
      <c r="T116" s="5"/>
      <c r="U116" s="5"/>
      <c r="V116" s="5"/>
      <c r="W116" s="5"/>
      <c r="X116" s="5"/>
      <c r="Y116" s="5"/>
      <c r="Z116" s="5"/>
    </row>
    <row r="117" ht="19.5" customHeight="1">
      <c r="A117" s="69">
        <v>46306.0</v>
      </c>
      <c r="B117" s="55" t="s">
        <v>308</v>
      </c>
      <c r="C117" s="55" t="s">
        <v>80</v>
      </c>
      <c r="D117" s="55" t="s">
        <v>78</v>
      </c>
      <c r="E117" s="55" t="s">
        <v>168</v>
      </c>
      <c r="F117" s="63">
        <v>115.12</v>
      </c>
      <c r="G117" s="53"/>
      <c r="H117" s="55" t="s">
        <v>64</v>
      </c>
      <c r="I117" s="55" t="s">
        <v>65</v>
      </c>
      <c r="J117" s="48" t="str">
        <f t="array" ref="J117">IF(G117="","",IFERROR(LET(ev_cost,INDEX(Events!$G$5:$G$505,MATCH(G117,Events!$A$5:$A$505,0)),ev_split,INDEX(Events!$I$5:$I$505,MATCH(G117,Events!$A$5:$A$505,0)),att_offset,MATCH(G117,Attendance!$B$3:$AV$3,0),attendees,COUNTIF(INDEX(Attendance!$B$7:$AV$206,0,att_offset),"1"),IF(ev_split="Equal Split",ev_cost/MAX(1,COUNTA(Roster!$A$5:$A$204)),ev_cost/MAX(1,attendees))),"N/A"))</f>
        <v/>
      </c>
      <c r="K117" s="5"/>
      <c r="L117" s="5"/>
      <c r="M117" s="5"/>
      <c r="N117" s="5"/>
      <c r="O117" s="5"/>
      <c r="P117" s="5"/>
      <c r="Q117" s="5"/>
      <c r="R117" s="5"/>
      <c r="S117" s="5"/>
      <c r="T117" s="5"/>
      <c r="U117" s="5"/>
      <c r="V117" s="5"/>
      <c r="W117" s="5"/>
      <c r="X117" s="5"/>
      <c r="Y117" s="5"/>
      <c r="Z117" s="5"/>
    </row>
    <row r="118" ht="19.5" customHeight="1">
      <c r="A118" s="69">
        <v>46308.0</v>
      </c>
      <c r="B118" s="55" t="s">
        <v>328</v>
      </c>
      <c r="C118" s="55" t="s">
        <v>68</v>
      </c>
      <c r="D118" s="55" t="s">
        <v>37</v>
      </c>
      <c r="E118" s="55" t="s">
        <v>64</v>
      </c>
      <c r="F118" s="109">
        <v>3668.0</v>
      </c>
      <c r="G118" s="55" t="s">
        <v>51</v>
      </c>
      <c r="H118" s="53"/>
      <c r="I118" s="55" t="s">
        <v>65</v>
      </c>
      <c r="J118" s="48">
        <f t="array" ref="J118">IF(G118="","",IFERROR(LET(ev_cost,INDEX(Events!$G$5:$G$505,MATCH(G118,Events!$A$5:$A$505,0)),ev_split,INDEX(Events!$I$5:$I$505,MATCH(G118,Events!$A$5:$A$505,0)),att_offset,MATCH(G118,Attendance!$B$3:$AV$3,0),attendees,COUNTIF(INDEX(Attendance!$B$7:$AV$206,0,att_offset),"1"),IF(ev_split="Equal Split",ev_cost/MAX(1,COUNTA(Roster!$A$5:$A$204)),ev_cost/MAX(1,attendees))),"N/A"))</f>
        <v>7150</v>
      </c>
      <c r="K118" s="5"/>
      <c r="L118" s="5"/>
      <c r="M118" s="5"/>
      <c r="N118" s="5"/>
      <c r="O118" s="5"/>
      <c r="P118" s="5"/>
      <c r="Q118" s="5"/>
      <c r="R118" s="5"/>
      <c r="S118" s="5"/>
      <c r="T118" s="5"/>
      <c r="U118" s="5"/>
      <c r="V118" s="5"/>
      <c r="W118" s="5"/>
      <c r="X118" s="5"/>
      <c r="Y118" s="5"/>
      <c r="Z118" s="5"/>
    </row>
    <row r="119" ht="19.5" customHeight="1">
      <c r="A119" s="67">
        <v>46308.0</v>
      </c>
      <c r="B119" s="58" t="s">
        <v>330</v>
      </c>
      <c r="C119" s="58" t="s">
        <v>80</v>
      </c>
      <c r="D119" s="58" t="s">
        <v>78</v>
      </c>
      <c r="E119" s="58" t="s">
        <v>105</v>
      </c>
      <c r="F119" s="68">
        <v>751.73</v>
      </c>
      <c r="G119" s="50"/>
      <c r="H119" s="58" t="s">
        <v>64</v>
      </c>
      <c r="I119" s="58" t="s">
        <v>65</v>
      </c>
      <c r="J119" s="48" t="str">
        <f t="array" ref="J119">IF(G119="","",IFERROR(LET(ev_cost,INDEX(Events!$G$5:$G$505,MATCH(G119,Events!$A$5:$A$505,0)),ev_split,INDEX(Events!$I$5:$I$505,MATCH(G119,Events!$A$5:$A$505,0)),att_offset,MATCH(G119,Attendance!$B$3:$AV$3,0),attendees,COUNTIF(INDEX(Attendance!$B$7:$AV$206,0,att_offset),"1"),IF(ev_split="Equal Split",ev_cost/MAX(1,COUNTA(Roster!$A$5:$A$204)),ev_cost/MAX(1,attendees))),"N/A"))</f>
        <v/>
      </c>
      <c r="K119" s="5"/>
      <c r="L119" s="5"/>
      <c r="M119" s="5"/>
      <c r="N119" s="5"/>
      <c r="O119" s="5"/>
      <c r="P119" s="5"/>
      <c r="Q119" s="5"/>
      <c r="R119" s="5"/>
      <c r="S119" s="5"/>
      <c r="T119" s="5"/>
      <c r="U119" s="5"/>
      <c r="V119" s="5"/>
      <c r="W119" s="5"/>
      <c r="X119" s="5"/>
      <c r="Y119" s="5"/>
      <c r="Z119" s="5"/>
    </row>
    <row r="120" ht="19.5" customHeight="1">
      <c r="A120" s="69">
        <v>46308.0</v>
      </c>
      <c r="B120" s="55" t="s">
        <v>331</v>
      </c>
      <c r="C120" s="55" t="s">
        <v>80</v>
      </c>
      <c r="D120" s="55" t="s">
        <v>134</v>
      </c>
      <c r="E120" s="55" t="s">
        <v>64</v>
      </c>
      <c r="F120" s="63">
        <v>7178.01</v>
      </c>
      <c r="G120" s="53"/>
      <c r="H120" s="55" t="s">
        <v>87</v>
      </c>
      <c r="I120" s="55" t="s">
        <v>65</v>
      </c>
      <c r="J120" s="48" t="str">
        <f t="array" ref="J120">IF(G120="","",IFERROR(LET(ev_cost,INDEX(Events!$G$5:$G$505,MATCH(G120,Events!$A$5:$A$505,0)),ev_split,INDEX(Events!$I$5:$I$505,MATCH(G120,Events!$A$5:$A$505,0)),att_offset,MATCH(G120,Attendance!$B$3:$AV$3,0),attendees,COUNTIF(INDEX(Attendance!$B$7:$AV$206,0,att_offset),"1"),IF(ev_split="Equal Split",ev_cost/MAX(1,COUNTA(Roster!$A$5:$A$204)),ev_cost/MAX(1,attendees))),"N/A"))</f>
        <v/>
      </c>
      <c r="K120" s="5"/>
      <c r="L120" s="5"/>
      <c r="M120" s="5"/>
      <c r="N120" s="5"/>
      <c r="O120" s="5"/>
      <c r="P120" s="5"/>
      <c r="Q120" s="5"/>
      <c r="R120" s="5"/>
      <c r="S120" s="5"/>
      <c r="T120" s="5"/>
      <c r="U120" s="5"/>
      <c r="V120" s="5"/>
      <c r="W120" s="5"/>
      <c r="X120" s="5"/>
      <c r="Y120" s="5"/>
      <c r="Z120" s="5"/>
    </row>
    <row r="121" ht="19.5" customHeight="1">
      <c r="A121" s="70">
        <v>46308.0</v>
      </c>
      <c r="B121" s="58" t="s">
        <v>332</v>
      </c>
      <c r="C121" s="58" t="s">
        <v>80</v>
      </c>
      <c r="D121" s="58" t="s">
        <v>78</v>
      </c>
      <c r="E121" s="58" t="s">
        <v>172</v>
      </c>
      <c r="F121" s="68">
        <v>1264.2</v>
      </c>
      <c r="G121" s="50"/>
      <c r="H121" s="58" t="s">
        <v>64</v>
      </c>
      <c r="I121" s="58" t="s">
        <v>65</v>
      </c>
      <c r="J121" s="48" t="str">
        <f t="array" ref="J121">IF(G121="","",IFERROR(LET(ev_cost,INDEX(Events!$G$5:$G$505,MATCH(G121,Events!$A$5:$A$505,0)),ev_split,INDEX(Events!$I$5:$I$505,MATCH(G121,Events!$A$5:$A$505,0)),att_offset,MATCH(G121,Attendance!$B$3:$AV$3,0),attendees,COUNTIF(INDEX(Attendance!$B$7:$AV$206,0,att_offset),"1"),IF(ev_split="Equal Split",ev_cost/MAX(1,COUNTA(Roster!$A$5:$A$204)),ev_cost/MAX(1,attendees))),"N/A"))</f>
        <v/>
      </c>
      <c r="K121" s="5"/>
      <c r="L121" s="5"/>
      <c r="M121" s="5"/>
      <c r="N121" s="5"/>
      <c r="O121" s="5"/>
      <c r="P121" s="5"/>
      <c r="Q121" s="5"/>
      <c r="R121" s="5"/>
      <c r="S121" s="5"/>
      <c r="T121" s="5"/>
      <c r="U121" s="5"/>
      <c r="V121" s="5"/>
      <c r="W121" s="5"/>
      <c r="X121" s="5"/>
      <c r="Y121" s="5"/>
      <c r="Z121" s="5"/>
    </row>
    <row r="122" ht="19.5" customHeight="1">
      <c r="A122" s="110">
        <v>46308.0</v>
      </c>
      <c r="B122" s="55" t="s">
        <v>310</v>
      </c>
      <c r="C122" s="55" t="s">
        <v>80</v>
      </c>
      <c r="D122" s="55" t="s">
        <v>78</v>
      </c>
      <c r="E122" s="55" t="s">
        <v>107</v>
      </c>
      <c r="F122" s="63">
        <v>521.7</v>
      </c>
      <c r="G122" s="53"/>
      <c r="H122" s="55" t="s">
        <v>64</v>
      </c>
      <c r="I122" s="55" t="s">
        <v>65</v>
      </c>
      <c r="J122" s="48" t="str">
        <f t="array" ref="J122">IF(G122="","",IFERROR(LET(ev_cost,INDEX(Events!$G$5:$G$505,MATCH(G122,Events!$A$5:$A$505,0)),ev_split,INDEX(Events!$I$5:$I$505,MATCH(G122,Events!$A$5:$A$505,0)),att_offset,MATCH(G122,Attendance!$B$3:$AV$3,0),attendees,COUNTIF(INDEX(Attendance!$B$7:$AV$206,0,att_offset),"1"),IF(ev_split="Equal Split",ev_cost/MAX(1,COUNTA(Roster!$A$5:$A$204)),ev_cost/MAX(1,attendees))),"N/A"))</f>
        <v/>
      </c>
      <c r="K122" s="5"/>
      <c r="L122" s="5"/>
      <c r="M122" s="5"/>
      <c r="N122" s="5"/>
      <c r="O122" s="5"/>
      <c r="P122" s="5"/>
      <c r="Q122" s="5"/>
      <c r="R122" s="5"/>
      <c r="S122" s="5"/>
      <c r="T122" s="5"/>
      <c r="U122" s="5"/>
      <c r="V122" s="5"/>
      <c r="W122" s="5"/>
      <c r="X122" s="5"/>
      <c r="Y122" s="5"/>
      <c r="Z122" s="5"/>
    </row>
    <row r="123" ht="19.5" customHeight="1">
      <c r="A123" s="111">
        <v>46308.0</v>
      </c>
      <c r="B123" s="58" t="s">
        <v>333</v>
      </c>
      <c r="C123" s="58" t="s">
        <v>80</v>
      </c>
      <c r="D123" s="58" t="s">
        <v>78</v>
      </c>
      <c r="E123" s="58" t="s">
        <v>116</v>
      </c>
      <c r="F123" s="68">
        <v>471.0</v>
      </c>
      <c r="G123" s="50"/>
      <c r="H123" s="58" t="s">
        <v>64</v>
      </c>
      <c r="I123" s="58" t="s">
        <v>65</v>
      </c>
      <c r="J123" s="48" t="str">
        <f t="array" ref="J123">IF(G123="","",IFERROR(LET(ev_cost,INDEX(Events!$G$5:$G$505,MATCH(G123,Events!$A$5:$A$505,0)),ev_split,INDEX(Events!$I$5:$I$505,MATCH(G123,Events!$A$5:$A$505,0)),att_offset,MATCH(G123,Attendance!$B$3:$AV$3,0),attendees,COUNTIF(INDEX(Attendance!$B$7:$AV$206,0,att_offset),"1"),IF(ev_split="Equal Split",ev_cost/MAX(1,COUNTA(Roster!$A$5:$A$204)),ev_cost/MAX(1,attendees))),"N/A"))</f>
        <v/>
      </c>
      <c r="K123" s="5"/>
      <c r="L123" s="5"/>
      <c r="M123" s="5"/>
      <c r="N123" s="5"/>
      <c r="O123" s="5"/>
      <c r="P123" s="5"/>
      <c r="Q123" s="5"/>
      <c r="R123" s="5"/>
      <c r="S123" s="5"/>
      <c r="T123" s="5"/>
      <c r="U123" s="5"/>
      <c r="V123" s="5"/>
      <c r="W123" s="5"/>
      <c r="X123" s="5"/>
      <c r="Y123" s="5"/>
      <c r="Z123" s="5"/>
    </row>
    <row r="124" ht="19.5" customHeight="1">
      <c r="A124" s="110">
        <v>46308.0</v>
      </c>
      <c r="B124" s="55" t="s">
        <v>135</v>
      </c>
      <c r="C124" s="55" t="s">
        <v>80</v>
      </c>
      <c r="D124" s="55" t="s">
        <v>78</v>
      </c>
      <c r="E124" s="55" t="s">
        <v>130</v>
      </c>
      <c r="F124" s="63">
        <v>1035.7</v>
      </c>
      <c r="G124" s="53"/>
      <c r="H124" s="55" t="s">
        <v>64</v>
      </c>
      <c r="I124" s="55" t="s">
        <v>65</v>
      </c>
      <c r="J124" s="48" t="str">
        <f t="array" ref="J124">IF(G124="","",IFERROR(LET(ev_cost,INDEX(Events!$G$5:$G$505,MATCH(G124,Events!$A$5:$A$505,0)),ev_split,INDEX(Events!$I$5:$I$505,MATCH(G124,Events!$A$5:$A$505,0)),att_offset,MATCH(G124,Attendance!$B$3:$AV$3,0),attendees,COUNTIF(INDEX(Attendance!$B$7:$AV$206,0,att_offset),"1"),IF(ev_split="Equal Split",ev_cost/MAX(1,COUNTA(Roster!$A$5:$A$204)),ev_cost/MAX(1,attendees))),"N/A"))</f>
        <v/>
      </c>
      <c r="K124" s="5"/>
      <c r="L124" s="5"/>
      <c r="M124" s="5"/>
      <c r="N124" s="5"/>
      <c r="O124" s="5"/>
      <c r="P124" s="5"/>
      <c r="Q124" s="5"/>
      <c r="R124" s="5"/>
      <c r="S124" s="5"/>
      <c r="T124" s="5"/>
      <c r="U124" s="5"/>
      <c r="V124" s="5"/>
      <c r="W124" s="5"/>
      <c r="X124" s="5"/>
      <c r="Y124" s="5"/>
      <c r="Z124" s="5"/>
    </row>
    <row r="125" ht="19.5" customHeight="1">
      <c r="A125" s="111">
        <v>46308.0</v>
      </c>
      <c r="B125" s="58" t="s">
        <v>138</v>
      </c>
      <c r="C125" s="58" t="s">
        <v>80</v>
      </c>
      <c r="D125" s="58" t="s">
        <v>78</v>
      </c>
      <c r="E125" s="58" t="s">
        <v>112</v>
      </c>
      <c r="F125" s="68">
        <v>301.28</v>
      </c>
      <c r="G125" s="50"/>
      <c r="H125" s="58" t="s">
        <v>64</v>
      </c>
      <c r="I125" s="58" t="s">
        <v>65</v>
      </c>
      <c r="J125" s="48" t="str">
        <f t="array" ref="J125">IF(G125="","",IFERROR(LET(ev_cost,INDEX(Events!$G$5:$G$505,MATCH(G125,Events!$A$5:$A$505,0)),ev_split,INDEX(Events!$I$5:$I$505,MATCH(G125,Events!$A$5:$A$505,0)),att_offset,MATCH(G125,Attendance!$B$3:$AV$3,0),attendees,COUNTIF(INDEX(Attendance!$B$7:$AV$206,0,att_offset),"1"),IF(ev_split="Equal Split",ev_cost/MAX(1,COUNTA(Roster!$A$5:$A$204)),ev_cost/MAX(1,attendees))),"N/A"))</f>
        <v/>
      </c>
      <c r="K125" s="5"/>
      <c r="L125" s="5"/>
      <c r="M125" s="5"/>
      <c r="N125" s="5"/>
      <c r="O125" s="5"/>
      <c r="P125" s="5"/>
      <c r="Q125" s="5"/>
      <c r="R125" s="5"/>
      <c r="S125" s="5"/>
      <c r="T125" s="5"/>
      <c r="U125" s="5"/>
      <c r="V125" s="5"/>
      <c r="W125" s="5"/>
      <c r="X125" s="5"/>
      <c r="Y125" s="5"/>
      <c r="Z125" s="5"/>
    </row>
    <row r="126" ht="19.5" customHeight="1">
      <c r="A126" s="110">
        <v>46308.0</v>
      </c>
      <c r="B126" s="55" t="s">
        <v>124</v>
      </c>
      <c r="C126" s="55" t="s">
        <v>80</v>
      </c>
      <c r="D126" s="55" t="s">
        <v>78</v>
      </c>
      <c r="E126" s="55" t="s">
        <v>118</v>
      </c>
      <c r="F126" s="63">
        <v>245.39</v>
      </c>
      <c r="G126" s="53"/>
      <c r="H126" s="55" t="s">
        <v>64</v>
      </c>
      <c r="I126" s="55" t="s">
        <v>65</v>
      </c>
      <c r="J126" s="48" t="str">
        <f t="array" ref="J126">IF(G126="","",IFERROR(LET(ev_cost,INDEX(Events!$G$5:$G$505,MATCH(G126,Events!$A$5:$A$505,0)),ev_split,INDEX(Events!$I$5:$I$505,MATCH(G126,Events!$A$5:$A$505,0)),att_offset,MATCH(G126,Attendance!$B$3:$AV$3,0),attendees,COUNTIF(INDEX(Attendance!$B$7:$AV$206,0,att_offset),"1"),IF(ev_split="Equal Split",ev_cost/MAX(1,COUNTA(Roster!$A$5:$A$204)),ev_cost/MAX(1,attendees))),"N/A"))</f>
        <v/>
      </c>
      <c r="K126" s="5"/>
      <c r="L126" s="5"/>
      <c r="M126" s="5"/>
      <c r="N126" s="5"/>
      <c r="O126" s="5"/>
      <c r="P126" s="5"/>
      <c r="Q126" s="5"/>
      <c r="R126" s="5"/>
      <c r="S126" s="5"/>
      <c r="T126" s="5"/>
      <c r="U126" s="5"/>
      <c r="V126" s="5"/>
      <c r="W126" s="5"/>
      <c r="X126" s="5"/>
      <c r="Y126" s="5"/>
      <c r="Z126" s="5"/>
    </row>
    <row r="127" ht="19.5" customHeight="1">
      <c r="A127" s="111">
        <v>46308.0</v>
      </c>
      <c r="B127" s="58" t="s">
        <v>334</v>
      </c>
      <c r="C127" s="58" t="s">
        <v>80</v>
      </c>
      <c r="D127" s="58" t="s">
        <v>78</v>
      </c>
      <c r="E127" s="58" t="s">
        <v>101</v>
      </c>
      <c r="F127" s="68">
        <v>679.85</v>
      </c>
      <c r="G127" s="50"/>
      <c r="H127" s="58" t="s">
        <v>64</v>
      </c>
      <c r="I127" s="58" t="s">
        <v>65</v>
      </c>
      <c r="J127" s="48" t="str">
        <f t="array" ref="J127">IF(G127="","",IFERROR(LET(ev_cost,INDEX(Events!$G$5:$G$505,MATCH(G127,Events!$A$5:$A$505,0)),ev_split,INDEX(Events!$I$5:$I$505,MATCH(G127,Events!$A$5:$A$505,0)),att_offset,MATCH(G127,Attendance!$B$3:$AV$3,0),attendees,COUNTIF(INDEX(Attendance!$B$7:$AV$206,0,att_offset),"1"),IF(ev_split="Equal Split",ev_cost/MAX(1,COUNTA(Roster!$A$5:$A$204)),ev_cost/MAX(1,attendees))),"N/A"))</f>
        <v/>
      </c>
      <c r="K127" s="5"/>
      <c r="L127" s="5"/>
      <c r="M127" s="5"/>
      <c r="N127" s="5"/>
      <c r="O127" s="5"/>
      <c r="P127" s="5"/>
      <c r="Q127" s="5"/>
      <c r="R127" s="5"/>
      <c r="S127" s="5"/>
      <c r="T127" s="5"/>
      <c r="U127" s="5"/>
      <c r="V127" s="5"/>
      <c r="W127" s="5"/>
      <c r="X127" s="5"/>
      <c r="Y127" s="5"/>
      <c r="Z127" s="5"/>
    </row>
    <row r="128" ht="19.5" customHeight="1">
      <c r="A128" s="110">
        <v>46308.0</v>
      </c>
      <c r="B128" s="55" t="s">
        <v>335</v>
      </c>
      <c r="C128" s="55" t="s">
        <v>80</v>
      </c>
      <c r="D128" s="55" t="s">
        <v>78</v>
      </c>
      <c r="E128" s="55" t="s">
        <v>162</v>
      </c>
      <c r="F128" s="63">
        <v>69.31</v>
      </c>
      <c r="G128" s="53"/>
      <c r="H128" s="55" t="s">
        <v>64</v>
      </c>
      <c r="I128" s="55" t="s">
        <v>65</v>
      </c>
      <c r="J128" s="48" t="str">
        <f t="array" ref="J128">IF(G128="","",IFERROR(LET(ev_cost,INDEX(Events!$G$5:$G$505,MATCH(G128,Events!$A$5:$A$505,0)),ev_split,INDEX(Events!$I$5:$I$505,MATCH(G128,Events!$A$5:$A$505,0)),att_offset,MATCH(G128,Attendance!$B$3:$AV$3,0),attendees,COUNTIF(INDEX(Attendance!$B$7:$AV$206,0,att_offset),"1"),IF(ev_split="Equal Split",ev_cost/MAX(1,COUNTA(Roster!$A$5:$A$204)),ev_cost/MAX(1,attendees))),"N/A"))</f>
        <v/>
      </c>
      <c r="K128" s="5"/>
      <c r="L128" s="5"/>
      <c r="M128" s="5"/>
      <c r="N128" s="5"/>
      <c r="O128" s="5"/>
      <c r="P128" s="5"/>
      <c r="Q128" s="5"/>
      <c r="R128" s="5"/>
      <c r="S128" s="5"/>
      <c r="T128" s="5"/>
      <c r="U128" s="5"/>
      <c r="V128" s="5"/>
      <c r="W128" s="5"/>
      <c r="X128" s="5"/>
      <c r="Y128" s="5"/>
      <c r="Z128" s="5"/>
    </row>
    <row r="129" ht="19.5" customHeight="1">
      <c r="A129" s="111">
        <v>46309.0</v>
      </c>
      <c r="B129" s="58" t="s">
        <v>336</v>
      </c>
      <c r="C129" s="58" t="s">
        <v>80</v>
      </c>
      <c r="D129" s="58" t="s">
        <v>78</v>
      </c>
      <c r="E129" s="58" t="s">
        <v>114</v>
      </c>
      <c r="F129" s="68">
        <v>1134.04</v>
      </c>
      <c r="G129" s="50"/>
      <c r="H129" s="58" t="s">
        <v>64</v>
      </c>
      <c r="I129" s="58" t="s">
        <v>65</v>
      </c>
      <c r="J129" s="48" t="str">
        <f t="array" ref="J129">IF(G129="","",IFERROR(LET(ev_cost,INDEX(Events!$G$5:$G$505,MATCH(G129,Events!$A$5:$A$505,0)),ev_split,INDEX(Events!$I$5:$I$505,MATCH(G129,Events!$A$5:$A$505,0)),att_offset,MATCH(G129,Attendance!$B$3:$AV$3,0),attendees,COUNTIF(INDEX(Attendance!$B$7:$AV$206,0,att_offset),"1"),IF(ev_split="Equal Split",ev_cost/MAX(1,COUNTA(Roster!$A$5:$A$204)),ev_cost/MAX(1,attendees))),"N/A"))</f>
        <v/>
      </c>
      <c r="K129" s="5"/>
      <c r="L129" s="5"/>
      <c r="M129" s="5"/>
      <c r="N129" s="5"/>
      <c r="O129" s="5"/>
      <c r="P129" s="5"/>
      <c r="Q129" s="5"/>
      <c r="R129" s="5"/>
      <c r="S129" s="5"/>
      <c r="T129" s="5"/>
      <c r="U129" s="5"/>
      <c r="V129" s="5"/>
      <c r="W129" s="5"/>
      <c r="X129" s="5"/>
      <c r="Y129" s="5"/>
      <c r="Z129" s="5"/>
    </row>
    <row r="130" ht="19.5" customHeight="1">
      <c r="A130" s="110">
        <v>46309.0</v>
      </c>
      <c r="B130" s="55" t="s">
        <v>337</v>
      </c>
      <c r="C130" s="55" t="s">
        <v>80</v>
      </c>
      <c r="D130" s="55" t="s">
        <v>78</v>
      </c>
      <c r="E130" s="55" t="s">
        <v>83</v>
      </c>
      <c r="F130" s="63">
        <v>568.37</v>
      </c>
      <c r="G130" s="53"/>
      <c r="H130" s="55" t="s">
        <v>64</v>
      </c>
      <c r="I130" s="55" t="s">
        <v>65</v>
      </c>
      <c r="J130" s="48" t="str">
        <f t="array" ref="J130">IF(G130="","",IFERROR(LET(ev_cost,INDEX(Events!$G$5:$G$505,MATCH(G130,Events!$A$5:$A$505,0)),ev_split,INDEX(Events!$I$5:$I$505,MATCH(G130,Events!$A$5:$A$505,0)),att_offset,MATCH(G130,Attendance!$B$3:$AV$3,0),attendees,COUNTIF(INDEX(Attendance!$B$7:$AV$206,0,att_offset),"1"),IF(ev_split="Equal Split",ev_cost/MAX(1,COUNTA(Roster!$A$5:$A$204)),ev_cost/MAX(1,attendees))),"N/A"))</f>
        <v/>
      </c>
      <c r="K130" s="5"/>
      <c r="L130" s="5"/>
      <c r="M130" s="5"/>
      <c r="N130" s="5"/>
      <c r="O130" s="5"/>
      <c r="P130" s="5"/>
      <c r="Q130" s="5"/>
      <c r="R130" s="5"/>
      <c r="S130" s="5"/>
      <c r="T130" s="5"/>
      <c r="U130" s="5"/>
      <c r="V130" s="5"/>
      <c r="W130" s="5"/>
      <c r="X130" s="5"/>
      <c r="Y130" s="5"/>
      <c r="Z130" s="5"/>
    </row>
    <row r="131" ht="19.5" customHeight="1">
      <c r="A131" s="111">
        <v>46310.0</v>
      </c>
      <c r="B131" s="58" t="s">
        <v>338</v>
      </c>
      <c r="C131" s="58" t="s">
        <v>80</v>
      </c>
      <c r="D131" s="58" t="s">
        <v>78</v>
      </c>
      <c r="E131" s="58" t="s">
        <v>166</v>
      </c>
      <c r="F131" s="68">
        <v>180.13</v>
      </c>
      <c r="G131" s="50"/>
      <c r="H131" s="58" t="s">
        <v>64</v>
      </c>
      <c r="I131" s="58" t="s">
        <v>65</v>
      </c>
      <c r="J131" s="48" t="str">
        <f t="array" ref="J131">IF(G131="","",IFERROR(LET(ev_cost,INDEX(Events!$G$5:$G$505,MATCH(G131,Events!$A$5:$A$505,0)),ev_split,INDEX(Events!$I$5:$I$505,MATCH(G131,Events!$A$5:$A$505,0)),att_offset,MATCH(G131,Attendance!$B$3:$AV$3,0),attendees,COUNTIF(INDEX(Attendance!$B$7:$AV$206,0,att_offset),"1"),IF(ev_split="Equal Split",ev_cost/MAX(1,COUNTA(Roster!$A$5:$A$204)),ev_cost/MAX(1,attendees))),"N/A"))</f>
        <v/>
      </c>
      <c r="K131" s="5"/>
      <c r="L131" s="5"/>
      <c r="M131" s="5"/>
      <c r="N131" s="5"/>
      <c r="O131" s="5"/>
      <c r="P131" s="5"/>
      <c r="Q131" s="5"/>
      <c r="R131" s="5"/>
      <c r="S131" s="5"/>
      <c r="T131" s="5"/>
      <c r="U131" s="5"/>
      <c r="V131" s="5"/>
      <c r="W131" s="5"/>
      <c r="X131" s="5"/>
      <c r="Y131" s="5"/>
      <c r="Z131" s="5"/>
    </row>
    <row r="132" ht="19.5" customHeight="1">
      <c r="A132" s="110">
        <v>46310.0</v>
      </c>
      <c r="B132" s="55" t="s">
        <v>339</v>
      </c>
      <c r="C132" s="55" t="s">
        <v>68</v>
      </c>
      <c r="D132" s="55" t="s">
        <v>37</v>
      </c>
      <c r="E132" s="55" t="s">
        <v>64</v>
      </c>
      <c r="F132" s="63">
        <v>177.36</v>
      </c>
      <c r="G132" s="55" t="s">
        <v>52</v>
      </c>
      <c r="H132" s="53"/>
      <c r="I132" s="55" t="s">
        <v>65</v>
      </c>
      <c r="J132" s="48">
        <f t="array" ref="J132">IF(G132="","",IFERROR(LET(ev_cost,INDEX(Events!$G$5:$G$505,MATCH(G132,Events!$A$5:$A$505,0)),ev_split,INDEX(Events!$I$5:$I$505,MATCH(G132,Events!$A$5:$A$505,0)),att_offset,MATCH(G132,Attendance!$B$3:$AV$3,0),attendees,COUNTIF(INDEX(Attendance!$B$7:$AV$206,0,att_offset),"1"),IF(ev_split="Equal Split",ev_cost/MAX(1,COUNTA(Roster!$A$5:$A$204)),ev_cost/MAX(1,attendees))),"N/A"))</f>
        <v>0</v>
      </c>
      <c r="K132" s="5"/>
      <c r="L132" s="5"/>
      <c r="M132" s="5"/>
      <c r="N132" s="5"/>
      <c r="O132" s="5"/>
      <c r="P132" s="5"/>
      <c r="Q132" s="5"/>
      <c r="R132" s="5"/>
      <c r="S132" s="5"/>
      <c r="T132" s="5"/>
      <c r="U132" s="5"/>
      <c r="V132" s="5"/>
      <c r="W132" s="5"/>
      <c r="X132" s="5"/>
      <c r="Y132" s="5"/>
      <c r="Z132" s="5"/>
    </row>
    <row r="133" ht="19.5" customHeight="1">
      <c r="A133" s="58" t="s">
        <v>340</v>
      </c>
      <c r="B133" s="58" t="s">
        <v>340</v>
      </c>
      <c r="C133" s="58" t="s">
        <v>340</v>
      </c>
      <c r="D133" s="58" t="s">
        <v>340</v>
      </c>
      <c r="E133" s="58" t="s">
        <v>340</v>
      </c>
      <c r="F133" s="91" t="s">
        <v>340</v>
      </c>
      <c r="G133" s="58" t="s">
        <v>340</v>
      </c>
      <c r="H133" s="58" t="s">
        <v>340</v>
      </c>
      <c r="I133" s="58" t="s">
        <v>340</v>
      </c>
      <c r="J133" s="48" t="str">
        <f t="array" ref="J133">IF(G133="","",IFERROR(LET(ev_cost,INDEX(Events!$G$5:$G$505,MATCH(G133,Events!$A$5:$A$505,0)),ev_split,INDEX(Events!$I$5:$I$505,MATCH(G133,Events!$A$5:$A$505,0)),att_offset,MATCH(G133,Attendance!$B$3:$AV$3,0),attendees,COUNTIF(INDEX(Attendance!$B$7:$AV$206,0,att_offset),"1"),IF(ev_split="Equal Split",ev_cost/MAX(1,COUNTA(Roster!$A$5:$A$204)),ev_cost/MAX(1,attendees))),"N/A"))</f>
        <v/>
      </c>
      <c r="K133" s="5"/>
      <c r="L133" s="5"/>
      <c r="M133" s="5"/>
      <c r="N133" s="5"/>
      <c r="O133" s="5"/>
      <c r="P133" s="5"/>
      <c r="Q133" s="5"/>
      <c r="R133" s="5"/>
      <c r="S133" s="5"/>
      <c r="T133" s="5"/>
      <c r="U133" s="5"/>
      <c r="V133" s="5"/>
      <c r="W133" s="5"/>
      <c r="X133" s="5"/>
      <c r="Y133" s="5"/>
      <c r="Z133" s="5"/>
    </row>
    <row r="134" ht="19.5" customHeight="1">
      <c r="A134" s="52"/>
      <c r="B134" s="53"/>
      <c r="C134" s="53"/>
      <c r="D134" s="53"/>
      <c r="E134" s="53"/>
      <c r="F134" s="61"/>
      <c r="G134" s="53"/>
      <c r="H134" s="53"/>
      <c r="I134" s="53"/>
      <c r="J134" s="48" t="str">
        <f t="array" ref="J134">IF(G134="","",IFERROR(LET(ev_cost,INDEX(Events!$G$5:$G$505,MATCH(G134,Events!$A$5:$A$505,0)),ev_split,INDEX(Events!$I$5:$I$505,MATCH(G134,Events!$A$5:$A$505,0)),att_offset,MATCH(G134,Attendance!$B$3:$AV$3,0),attendees,COUNTIF(INDEX(Attendance!$B$7:$AV$206,0,att_offset),"1"),IF(ev_split="Equal Split",ev_cost/MAX(1,COUNTA(Roster!$A$5:$A$204)),ev_cost/MAX(1,attendees))),"N/A"))</f>
        <v/>
      </c>
      <c r="K134" s="5"/>
      <c r="L134" s="5"/>
      <c r="M134" s="5"/>
      <c r="N134" s="5"/>
      <c r="O134" s="5"/>
      <c r="P134" s="5"/>
      <c r="Q134" s="5"/>
      <c r="R134" s="5"/>
      <c r="S134" s="5"/>
      <c r="T134" s="5"/>
      <c r="U134" s="5"/>
      <c r="V134" s="5"/>
      <c r="W134" s="5"/>
      <c r="X134" s="5"/>
      <c r="Y134" s="5"/>
      <c r="Z134" s="5"/>
    </row>
    <row r="135" ht="19.5" customHeight="1">
      <c r="A135" s="49"/>
      <c r="B135" s="50"/>
      <c r="C135" s="50"/>
      <c r="D135" s="50"/>
      <c r="E135" s="50"/>
      <c r="F135" s="51"/>
      <c r="G135" s="50"/>
      <c r="H135" s="50"/>
      <c r="I135" s="50"/>
      <c r="J135" s="48" t="str">
        <f t="array" ref="J135">IF(G135="","",IFERROR(LET(ev_cost,INDEX(Events!$G$5:$G$505,MATCH(G135,Events!$A$5:$A$505,0)),ev_split,INDEX(Events!$I$5:$I$505,MATCH(G135,Events!$A$5:$A$505,0)),att_offset,MATCH(G135,Attendance!$B$3:$AV$3,0),attendees,COUNTIF(INDEX(Attendance!$B$7:$AV$206,0,att_offset),"1"),IF(ev_split="Equal Split",ev_cost/MAX(1,COUNTA(Roster!$A$5:$A$204)),ev_cost/MAX(1,attendees))),"N/A"))</f>
        <v/>
      </c>
      <c r="K135" s="5"/>
      <c r="L135" s="5"/>
      <c r="M135" s="5"/>
      <c r="N135" s="5"/>
      <c r="O135" s="5"/>
      <c r="P135" s="5"/>
      <c r="Q135" s="5"/>
      <c r="R135" s="5"/>
      <c r="S135" s="5"/>
      <c r="T135" s="5"/>
      <c r="U135" s="5"/>
      <c r="V135" s="5"/>
      <c r="W135" s="5"/>
      <c r="X135" s="5"/>
      <c r="Y135" s="5"/>
      <c r="Z135" s="5"/>
    </row>
    <row r="136" ht="19.5" customHeight="1">
      <c r="A136" s="52"/>
      <c r="B136" s="53"/>
      <c r="C136" s="53"/>
      <c r="D136" s="53"/>
      <c r="E136" s="53"/>
      <c r="F136" s="61"/>
      <c r="G136" s="53"/>
      <c r="H136" s="53"/>
      <c r="I136" s="53"/>
      <c r="J136" s="48" t="str">
        <f t="array" ref="J136">IF(G136="","",IFERROR(LET(ev_cost,INDEX(Events!$G$5:$G$505,MATCH(G136,Events!$A$5:$A$505,0)),ev_split,INDEX(Events!$I$5:$I$505,MATCH(G136,Events!$A$5:$A$505,0)),att_offset,MATCH(G136,Attendance!$B$3:$AV$3,0),attendees,COUNTIF(INDEX(Attendance!$B$7:$AV$206,0,att_offset),"1"),IF(ev_split="Equal Split",ev_cost/MAX(1,COUNTA(Roster!$A$5:$A$204)),ev_cost/MAX(1,attendees))),"N/A"))</f>
        <v/>
      </c>
      <c r="K136" s="5"/>
      <c r="L136" s="5"/>
      <c r="M136" s="5"/>
      <c r="N136" s="5"/>
      <c r="O136" s="5"/>
      <c r="P136" s="5"/>
      <c r="Q136" s="5"/>
      <c r="R136" s="5"/>
      <c r="S136" s="5"/>
      <c r="T136" s="5"/>
      <c r="U136" s="5"/>
      <c r="V136" s="5"/>
      <c r="W136" s="5"/>
      <c r="X136" s="5"/>
      <c r="Y136" s="5"/>
      <c r="Z136" s="5"/>
    </row>
    <row r="137" ht="19.5" customHeight="1">
      <c r="A137" s="49"/>
      <c r="B137" s="50"/>
      <c r="C137" s="50"/>
      <c r="D137" s="50"/>
      <c r="E137" s="50"/>
      <c r="F137" s="51"/>
      <c r="G137" s="50"/>
      <c r="H137" s="50"/>
      <c r="I137" s="50"/>
      <c r="J137" s="48" t="str">
        <f t="array" ref="J137">IF(G137="","",IFERROR(LET(ev_cost,INDEX(Events!$G$5:$G$505,MATCH(G137,Events!$A$5:$A$505,0)),ev_split,INDEX(Events!$I$5:$I$505,MATCH(G137,Events!$A$5:$A$505,0)),att_offset,MATCH(G137,Attendance!$B$3:$AV$3,0),attendees,COUNTIF(INDEX(Attendance!$B$7:$AV$206,0,att_offset),"1"),IF(ev_split="Equal Split",ev_cost/MAX(1,COUNTA(Roster!$A$5:$A$204)),ev_cost/MAX(1,attendees))),"N/A"))</f>
        <v/>
      </c>
      <c r="K137" s="5"/>
      <c r="L137" s="5"/>
      <c r="M137" s="5"/>
      <c r="N137" s="5"/>
      <c r="O137" s="5"/>
      <c r="P137" s="5"/>
      <c r="Q137" s="5"/>
      <c r="R137" s="5"/>
      <c r="S137" s="5"/>
      <c r="T137" s="5"/>
      <c r="U137" s="5"/>
      <c r="V137" s="5"/>
      <c r="W137" s="5"/>
      <c r="X137" s="5"/>
      <c r="Y137" s="5"/>
      <c r="Z137" s="5"/>
    </row>
    <row r="138" ht="19.5" customHeight="1">
      <c r="A138" s="52"/>
      <c r="B138" s="53"/>
      <c r="C138" s="53"/>
      <c r="D138" s="53"/>
      <c r="E138" s="53"/>
      <c r="F138" s="61"/>
      <c r="G138" s="53"/>
      <c r="H138" s="53"/>
      <c r="I138" s="53"/>
      <c r="J138" s="48" t="str">
        <f t="array" ref="J138">IF(G138="","",IFERROR(LET(ev_cost,INDEX(Events!$G$5:$G$505,MATCH(G138,Events!$A$5:$A$505,0)),ev_split,INDEX(Events!$I$5:$I$505,MATCH(G138,Events!$A$5:$A$505,0)),att_offset,MATCH(G138,Attendance!$B$3:$AV$3,0),attendees,COUNTIF(INDEX(Attendance!$B$7:$AV$206,0,att_offset),"1"),IF(ev_split="Equal Split",ev_cost/MAX(1,COUNTA(Roster!$A$5:$A$204)),ev_cost/MAX(1,attendees))),"N/A"))</f>
        <v/>
      </c>
      <c r="K138" s="5"/>
      <c r="L138" s="5"/>
      <c r="M138" s="5"/>
      <c r="N138" s="5"/>
      <c r="O138" s="5"/>
      <c r="P138" s="5"/>
      <c r="Q138" s="5"/>
      <c r="R138" s="5"/>
      <c r="S138" s="5"/>
      <c r="T138" s="5"/>
      <c r="U138" s="5"/>
      <c r="V138" s="5"/>
      <c r="W138" s="5"/>
      <c r="X138" s="5"/>
      <c r="Y138" s="5"/>
      <c r="Z138" s="5"/>
    </row>
    <row r="139" ht="19.5" customHeight="1">
      <c r="A139" s="49"/>
      <c r="B139" s="50"/>
      <c r="C139" s="50"/>
      <c r="D139" s="50"/>
      <c r="E139" s="50"/>
      <c r="F139" s="51"/>
      <c r="G139" s="50"/>
      <c r="H139" s="50"/>
      <c r="I139" s="50"/>
      <c r="J139" s="48" t="str">
        <f t="array" ref="J139">IF(G139="","",IFERROR(LET(ev_cost,INDEX(Events!$G$5:$G$505,MATCH(G139,Events!$A$5:$A$505,0)),ev_split,INDEX(Events!$I$5:$I$505,MATCH(G139,Events!$A$5:$A$505,0)),att_offset,MATCH(G139,Attendance!$B$3:$AV$3,0),attendees,COUNTIF(INDEX(Attendance!$B$7:$AV$206,0,att_offset),"1"),IF(ev_split="Equal Split",ev_cost/MAX(1,COUNTA(Roster!$A$5:$A$204)),ev_cost/MAX(1,attendees))),"N/A"))</f>
        <v/>
      </c>
      <c r="K139" s="5"/>
      <c r="L139" s="5"/>
      <c r="M139" s="5"/>
      <c r="N139" s="5"/>
      <c r="O139" s="5"/>
      <c r="P139" s="5"/>
      <c r="Q139" s="5"/>
      <c r="R139" s="5"/>
      <c r="S139" s="5"/>
      <c r="T139" s="5"/>
      <c r="U139" s="5"/>
      <c r="V139" s="5"/>
      <c r="W139" s="5"/>
      <c r="X139" s="5"/>
      <c r="Y139" s="5"/>
      <c r="Z139" s="5"/>
    </row>
    <row r="140" ht="19.5" customHeight="1">
      <c r="A140" s="52"/>
      <c r="B140" s="53"/>
      <c r="C140" s="53"/>
      <c r="D140" s="53"/>
      <c r="E140" s="53"/>
      <c r="F140" s="61"/>
      <c r="G140" s="53"/>
      <c r="H140" s="53"/>
      <c r="I140" s="53"/>
      <c r="J140" s="48" t="str">
        <f t="array" ref="J140">IF(G140="","",IFERROR(LET(ev_cost,INDEX(Events!$G$5:$G$505,MATCH(G140,Events!$A$5:$A$505,0)),ev_split,INDEX(Events!$I$5:$I$505,MATCH(G140,Events!$A$5:$A$505,0)),att_offset,MATCH(G140,Attendance!$B$3:$AV$3,0),attendees,COUNTIF(INDEX(Attendance!$B$7:$AV$206,0,att_offset),"1"),IF(ev_split="Equal Split",ev_cost/MAX(1,COUNTA(Roster!$A$5:$A$204)),ev_cost/MAX(1,attendees))),"N/A"))</f>
        <v/>
      </c>
      <c r="K140" s="5"/>
      <c r="L140" s="5"/>
      <c r="M140" s="5"/>
      <c r="N140" s="5"/>
      <c r="O140" s="5"/>
      <c r="P140" s="5"/>
      <c r="Q140" s="5"/>
      <c r="R140" s="5"/>
      <c r="S140" s="5"/>
      <c r="T140" s="5"/>
      <c r="U140" s="5"/>
      <c r="V140" s="5"/>
      <c r="W140" s="5"/>
      <c r="X140" s="5"/>
      <c r="Y140" s="5"/>
      <c r="Z140" s="5"/>
    </row>
    <row r="141" ht="19.5" customHeight="1">
      <c r="A141" s="49"/>
      <c r="B141" s="50"/>
      <c r="C141" s="50"/>
      <c r="D141" s="50"/>
      <c r="E141" s="50"/>
      <c r="F141" s="51"/>
      <c r="G141" s="50"/>
      <c r="H141" s="50"/>
      <c r="I141" s="50"/>
      <c r="J141" s="48" t="str">
        <f t="array" ref="J141">IF(G141="","",IFERROR(LET(ev_cost,INDEX(Events!$G$5:$G$505,MATCH(G141,Events!$A$5:$A$505,0)),ev_split,INDEX(Events!$I$5:$I$505,MATCH(G141,Events!$A$5:$A$505,0)),att_offset,MATCH(G141,Attendance!$B$3:$AV$3,0),attendees,COUNTIF(INDEX(Attendance!$B$7:$AV$206,0,att_offset),"1"),IF(ev_split="Equal Split",ev_cost/MAX(1,COUNTA(Roster!$A$5:$A$204)),ev_cost/MAX(1,attendees))),"N/A"))</f>
        <v/>
      </c>
      <c r="K141" s="5"/>
      <c r="L141" s="5"/>
      <c r="M141" s="5"/>
      <c r="N141" s="5"/>
      <c r="O141" s="5"/>
      <c r="P141" s="5"/>
      <c r="Q141" s="5"/>
      <c r="R141" s="5"/>
      <c r="S141" s="5"/>
      <c r="T141" s="5"/>
      <c r="U141" s="5"/>
      <c r="V141" s="5"/>
      <c r="W141" s="5"/>
      <c r="X141" s="5"/>
      <c r="Y141" s="5"/>
      <c r="Z141" s="5"/>
    </row>
    <row r="142" ht="19.5" customHeight="1">
      <c r="A142" s="52"/>
      <c r="B142" s="53"/>
      <c r="C142" s="53"/>
      <c r="D142" s="53"/>
      <c r="E142" s="53"/>
      <c r="F142" s="61"/>
      <c r="G142" s="53"/>
      <c r="H142" s="53"/>
      <c r="I142" s="53"/>
      <c r="J142" s="48" t="str">
        <f t="array" ref="J142">IF(G142="","",IFERROR(LET(ev_cost,INDEX(Events!$G$5:$G$505,MATCH(G142,Events!$A$5:$A$505,0)),ev_split,INDEX(Events!$I$5:$I$505,MATCH(G142,Events!$A$5:$A$505,0)),att_offset,MATCH(G142,Attendance!$B$3:$AV$3,0),attendees,COUNTIF(INDEX(Attendance!$B$7:$AV$206,0,att_offset),"1"),IF(ev_split="Equal Split",ev_cost/MAX(1,COUNTA(Roster!$A$5:$A$204)),ev_cost/MAX(1,attendees))),"N/A"))</f>
        <v/>
      </c>
      <c r="K142" s="5"/>
      <c r="L142" s="5"/>
      <c r="M142" s="5"/>
      <c r="N142" s="5"/>
      <c r="O142" s="5"/>
      <c r="P142" s="5"/>
      <c r="Q142" s="5"/>
      <c r="R142" s="5"/>
      <c r="S142" s="5"/>
      <c r="T142" s="5"/>
      <c r="U142" s="5"/>
      <c r="V142" s="5"/>
      <c r="W142" s="5"/>
      <c r="X142" s="5"/>
      <c r="Y142" s="5"/>
      <c r="Z142" s="5"/>
    </row>
    <row r="143" ht="19.5" customHeight="1">
      <c r="A143" s="49"/>
      <c r="B143" s="50"/>
      <c r="C143" s="50"/>
      <c r="D143" s="50"/>
      <c r="E143" s="50"/>
      <c r="F143" s="51"/>
      <c r="G143" s="50"/>
      <c r="H143" s="50"/>
      <c r="I143" s="50"/>
      <c r="J143" s="48" t="str">
        <f t="array" ref="J143">IF(G143="","",IFERROR(LET(ev_cost,INDEX(Events!$G$5:$G$505,MATCH(G143,Events!$A$5:$A$505,0)),ev_split,INDEX(Events!$I$5:$I$505,MATCH(G143,Events!$A$5:$A$505,0)),att_offset,MATCH(G143,Attendance!$B$3:$AV$3,0),attendees,COUNTIF(INDEX(Attendance!$B$7:$AV$206,0,att_offset),"1"),IF(ev_split="Equal Split",ev_cost/MAX(1,COUNTA(Roster!$A$5:$A$204)),ev_cost/MAX(1,attendees))),"N/A"))</f>
        <v/>
      </c>
      <c r="K143" s="5"/>
      <c r="L143" s="5"/>
      <c r="M143" s="5"/>
      <c r="N143" s="5"/>
      <c r="O143" s="5"/>
      <c r="P143" s="5"/>
      <c r="Q143" s="5"/>
      <c r="R143" s="5"/>
      <c r="S143" s="5"/>
      <c r="T143" s="5"/>
      <c r="U143" s="5"/>
      <c r="V143" s="5"/>
      <c r="W143" s="5"/>
      <c r="X143" s="5"/>
      <c r="Y143" s="5"/>
      <c r="Z143" s="5"/>
    </row>
    <row r="144" ht="19.5" customHeight="1">
      <c r="A144" s="52"/>
      <c r="B144" s="53"/>
      <c r="C144" s="53"/>
      <c r="D144" s="53"/>
      <c r="E144" s="53"/>
      <c r="F144" s="61"/>
      <c r="G144" s="53"/>
      <c r="H144" s="53"/>
      <c r="I144" s="53"/>
      <c r="J144" s="48" t="str">
        <f t="array" ref="J144">IF(G144="","",IFERROR(LET(ev_cost,INDEX(Events!$G$5:$G$505,MATCH(G144,Events!$A$5:$A$505,0)),ev_split,INDEX(Events!$I$5:$I$505,MATCH(G144,Events!$A$5:$A$505,0)),att_offset,MATCH(G144,Attendance!$B$3:$AV$3,0),attendees,COUNTIF(INDEX(Attendance!$B$7:$AV$206,0,att_offset),"1"),IF(ev_split="Equal Split",ev_cost/MAX(1,COUNTA(Roster!$A$5:$A$204)),ev_cost/MAX(1,attendees))),"N/A"))</f>
        <v/>
      </c>
      <c r="K144" s="5"/>
      <c r="L144" s="5"/>
      <c r="M144" s="5"/>
      <c r="N144" s="5"/>
      <c r="O144" s="5"/>
      <c r="P144" s="5"/>
      <c r="Q144" s="5"/>
      <c r="R144" s="5"/>
      <c r="S144" s="5"/>
      <c r="T144" s="5"/>
      <c r="U144" s="5"/>
      <c r="V144" s="5"/>
      <c r="W144" s="5"/>
      <c r="X144" s="5"/>
      <c r="Y144" s="5"/>
      <c r="Z144" s="5"/>
    </row>
    <row r="145" ht="19.5" customHeight="1">
      <c r="A145" s="49"/>
      <c r="B145" s="50"/>
      <c r="C145" s="50"/>
      <c r="D145" s="50"/>
      <c r="E145" s="50"/>
      <c r="F145" s="51"/>
      <c r="G145" s="50"/>
      <c r="H145" s="50"/>
      <c r="I145" s="50"/>
      <c r="J145" s="48" t="str">
        <f t="array" ref="J145">IF(G145="","",IFERROR(LET(ev_cost,INDEX(Events!$G$5:$G$505,MATCH(G145,Events!$A$5:$A$505,0)),ev_split,INDEX(Events!$I$5:$I$505,MATCH(G145,Events!$A$5:$A$505,0)),att_offset,MATCH(G145,Attendance!$B$3:$AV$3,0),attendees,COUNTIF(INDEX(Attendance!$B$7:$AV$206,0,att_offset),"1"),IF(ev_split="Equal Split",ev_cost/MAX(1,COUNTA(Roster!$A$5:$A$204)),ev_cost/MAX(1,attendees))),"N/A"))</f>
        <v/>
      </c>
      <c r="K145" s="5"/>
      <c r="L145" s="5"/>
      <c r="M145" s="5"/>
      <c r="N145" s="5"/>
      <c r="O145" s="5"/>
      <c r="P145" s="5"/>
      <c r="Q145" s="5"/>
      <c r="R145" s="5"/>
      <c r="S145" s="5"/>
      <c r="T145" s="5"/>
      <c r="U145" s="5"/>
      <c r="V145" s="5"/>
      <c r="W145" s="5"/>
      <c r="X145" s="5"/>
      <c r="Y145" s="5"/>
      <c r="Z145" s="5"/>
    </row>
    <row r="146" ht="19.5" customHeight="1">
      <c r="A146" s="52"/>
      <c r="B146" s="53"/>
      <c r="C146" s="53"/>
      <c r="D146" s="53"/>
      <c r="E146" s="53"/>
      <c r="F146" s="61"/>
      <c r="G146" s="53"/>
      <c r="H146" s="53"/>
      <c r="I146" s="53"/>
      <c r="J146" s="48" t="str">
        <f t="array" ref="J146">IF(G146="","",IFERROR(LET(ev_cost,INDEX(Events!$G$5:$G$505,MATCH(G146,Events!$A$5:$A$505,0)),ev_split,INDEX(Events!$I$5:$I$505,MATCH(G146,Events!$A$5:$A$505,0)),att_offset,MATCH(G146,Attendance!$B$3:$AV$3,0),attendees,COUNTIF(INDEX(Attendance!$B$7:$AV$206,0,att_offset),"1"),IF(ev_split="Equal Split",ev_cost/MAX(1,COUNTA(Roster!$A$5:$A$204)),ev_cost/MAX(1,attendees))),"N/A"))</f>
        <v/>
      </c>
      <c r="K146" s="5"/>
      <c r="L146" s="5"/>
      <c r="M146" s="5"/>
      <c r="N146" s="5"/>
      <c r="O146" s="5"/>
      <c r="P146" s="5"/>
      <c r="Q146" s="5"/>
      <c r="R146" s="5"/>
      <c r="S146" s="5"/>
      <c r="T146" s="5"/>
      <c r="U146" s="5"/>
      <c r="V146" s="5"/>
      <c r="W146" s="5"/>
      <c r="X146" s="5"/>
      <c r="Y146" s="5"/>
      <c r="Z146" s="5"/>
    </row>
    <row r="147" ht="19.5" customHeight="1">
      <c r="A147" s="49"/>
      <c r="B147" s="50"/>
      <c r="C147" s="50"/>
      <c r="D147" s="50"/>
      <c r="E147" s="50"/>
      <c r="F147" s="51"/>
      <c r="G147" s="50"/>
      <c r="H147" s="50"/>
      <c r="I147" s="50"/>
      <c r="J147" s="48" t="str">
        <f t="array" ref="J147">IF(G147="","",IFERROR(LET(ev_cost,INDEX(Events!$G$5:$G$505,MATCH(G147,Events!$A$5:$A$505,0)),ev_split,INDEX(Events!$I$5:$I$505,MATCH(G147,Events!$A$5:$A$505,0)),att_offset,MATCH(G147,Attendance!$B$3:$AV$3,0),attendees,COUNTIF(INDEX(Attendance!$B$7:$AV$206,0,att_offset),"1"),IF(ev_split="Equal Split",ev_cost/MAX(1,COUNTA(Roster!$A$5:$A$204)),ev_cost/MAX(1,attendees))),"N/A"))</f>
        <v/>
      </c>
      <c r="K147" s="5"/>
      <c r="L147" s="5"/>
      <c r="M147" s="5"/>
      <c r="N147" s="5"/>
      <c r="O147" s="5"/>
      <c r="P147" s="5"/>
      <c r="Q147" s="5"/>
      <c r="R147" s="5"/>
      <c r="S147" s="5"/>
      <c r="T147" s="5"/>
      <c r="U147" s="5"/>
      <c r="V147" s="5"/>
      <c r="W147" s="5"/>
      <c r="X147" s="5"/>
      <c r="Y147" s="5"/>
      <c r="Z147" s="5"/>
    </row>
    <row r="148" ht="19.5" customHeight="1">
      <c r="A148" s="52"/>
      <c r="B148" s="53"/>
      <c r="C148" s="53"/>
      <c r="D148" s="53"/>
      <c r="E148" s="53"/>
      <c r="F148" s="61"/>
      <c r="G148" s="53"/>
      <c r="H148" s="53"/>
      <c r="I148" s="53"/>
      <c r="J148" s="48" t="str">
        <f t="array" ref="J148">IF(G148="","",IFERROR(LET(ev_cost,INDEX(Events!$G$5:$G$505,MATCH(G148,Events!$A$5:$A$505,0)),ev_split,INDEX(Events!$I$5:$I$505,MATCH(G148,Events!$A$5:$A$505,0)),att_offset,MATCH(G148,Attendance!$B$3:$AV$3,0),attendees,COUNTIF(INDEX(Attendance!$B$7:$AV$206,0,att_offset),"1"),IF(ev_split="Equal Split",ev_cost/MAX(1,COUNTA(Roster!$A$5:$A$204)),ev_cost/MAX(1,attendees))),"N/A"))</f>
        <v/>
      </c>
      <c r="K148" s="5"/>
      <c r="L148" s="5"/>
      <c r="M148" s="5"/>
      <c r="N148" s="5"/>
      <c r="O148" s="5"/>
      <c r="P148" s="5"/>
      <c r="Q148" s="5"/>
      <c r="R148" s="5"/>
      <c r="S148" s="5"/>
      <c r="T148" s="5"/>
      <c r="U148" s="5"/>
      <c r="V148" s="5"/>
      <c r="W148" s="5"/>
      <c r="X148" s="5"/>
      <c r="Y148" s="5"/>
      <c r="Z148" s="5"/>
    </row>
    <row r="149" ht="19.5" customHeight="1">
      <c r="A149" s="49"/>
      <c r="B149" s="50"/>
      <c r="C149" s="50"/>
      <c r="D149" s="50"/>
      <c r="E149" s="50"/>
      <c r="F149" s="51"/>
      <c r="G149" s="50"/>
      <c r="H149" s="50"/>
      <c r="I149" s="50"/>
      <c r="J149" s="48" t="str">
        <f t="array" ref="J149">IF(G149="","",IFERROR(LET(ev_cost,INDEX(Events!$G$5:$G$505,MATCH(G149,Events!$A$5:$A$505,0)),ev_split,INDEX(Events!$I$5:$I$505,MATCH(G149,Events!$A$5:$A$505,0)),att_offset,MATCH(G149,Attendance!$B$3:$AV$3,0),attendees,COUNTIF(INDEX(Attendance!$B$7:$AV$206,0,att_offset),"1"),IF(ev_split="Equal Split",ev_cost/MAX(1,COUNTA(Roster!$A$5:$A$204)),ev_cost/MAX(1,attendees))),"N/A"))</f>
        <v/>
      </c>
      <c r="K149" s="5"/>
      <c r="L149" s="5"/>
      <c r="M149" s="5"/>
      <c r="N149" s="5"/>
      <c r="O149" s="5"/>
      <c r="P149" s="5"/>
      <c r="Q149" s="5"/>
      <c r="R149" s="5"/>
      <c r="S149" s="5"/>
      <c r="T149" s="5"/>
      <c r="U149" s="5"/>
      <c r="V149" s="5"/>
      <c r="W149" s="5"/>
      <c r="X149" s="5"/>
      <c r="Y149" s="5"/>
      <c r="Z149" s="5"/>
    </row>
    <row r="150" ht="19.5" customHeight="1">
      <c r="A150" s="52"/>
      <c r="B150" s="53"/>
      <c r="C150" s="53"/>
      <c r="D150" s="53"/>
      <c r="E150" s="53"/>
      <c r="F150" s="61"/>
      <c r="G150" s="53"/>
      <c r="H150" s="53"/>
      <c r="I150" s="53"/>
      <c r="J150" s="48" t="str">
        <f t="array" ref="J150">IF(G150="","",IFERROR(LET(ev_cost,INDEX(Events!$G$5:$G$505,MATCH(G150,Events!$A$5:$A$505,0)),ev_split,INDEX(Events!$I$5:$I$505,MATCH(G150,Events!$A$5:$A$505,0)),att_offset,MATCH(G150,Attendance!$B$3:$AV$3,0),attendees,COUNTIF(INDEX(Attendance!$B$7:$AV$206,0,att_offset),"1"),IF(ev_split="Equal Split",ev_cost/MAX(1,COUNTA(Roster!$A$5:$A$204)),ev_cost/MAX(1,attendees))),"N/A"))</f>
        <v/>
      </c>
      <c r="K150" s="5"/>
      <c r="L150" s="5"/>
      <c r="M150" s="5"/>
      <c r="N150" s="5"/>
      <c r="O150" s="5"/>
      <c r="P150" s="5"/>
      <c r="Q150" s="5"/>
      <c r="R150" s="5"/>
      <c r="S150" s="5"/>
      <c r="T150" s="5"/>
      <c r="U150" s="5"/>
      <c r="V150" s="5"/>
      <c r="W150" s="5"/>
      <c r="X150" s="5"/>
      <c r="Y150" s="5"/>
      <c r="Z150" s="5"/>
    </row>
    <row r="151" ht="19.5" customHeight="1">
      <c r="A151" s="49"/>
      <c r="B151" s="50"/>
      <c r="C151" s="50"/>
      <c r="D151" s="50"/>
      <c r="E151" s="50"/>
      <c r="F151" s="51"/>
      <c r="G151" s="50"/>
      <c r="H151" s="50"/>
      <c r="I151" s="50"/>
      <c r="J151" s="48" t="str">
        <f t="array" ref="J151">IF(G151="","",IFERROR(LET(ev_cost,INDEX(Events!$G$5:$G$505,MATCH(G151,Events!$A$5:$A$505,0)),ev_split,INDEX(Events!$I$5:$I$505,MATCH(G151,Events!$A$5:$A$505,0)),att_offset,MATCH(G151,Attendance!$B$3:$AV$3,0),attendees,COUNTIF(INDEX(Attendance!$B$7:$AV$206,0,att_offset),"1"),IF(ev_split="Equal Split",ev_cost/MAX(1,COUNTA(Roster!$A$5:$A$204)),ev_cost/MAX(1,attendees))),"N/A"))</f>
        <v/>
      </c>
      <c r="K151" s="5"/>
      <c r="L151" s="5"/>
      <c r="M151" s="5"/>
      <c r="N151" s="5"/>
      <c r="O151" s="5"/>
      <c r="P151" s="5"/>
      <c r="Q151" s="5"/>
      <c r="R151" s="5"/>
      <c r="S151" s="5"/>
      <c r="T151" s="5"/>
      <c r="U151" s="5"/>
      <c r="V151" s="5"/>
      <c r="W151" s="5"/>
      <c r="X151" s="5"/>
      <c r="Y151" s="5"/>
      <c r="Z151" s="5"/>
    </row>
    <row r="152" ht="19.5" customHeight="1">
      <c r="A152" s="52"/>
      <c r="B152" s="53"/>
      <c r="C152" s="53"/>
      <c r="D152" s="53"/>
      <c r="E152" s="53"/>
      <c r="F152" s="61"/>
      <c r="G152" s="53"/>
      <c r="H152" s="53"/>
      <c r="I152" s="53"/>
      <c r="J152" s="48" t="str">
        <f t="array" ref="J152">IF(G152="","",IFERROR(LET(ev_cost,INDEX(Events!$G$5:$G$505,MATCH(G152,Events!$A$5:$A$505,0)),ev_split,INDEX(Events!$I$5:$I$505,MATCH(G152,Events!$A$5:$A$505,0)),att_offset,MATCH(G152,Attendance!$B$3:$AV$3,0),attendees,COUNTIF(INDEX(Attendance!$B$7:$AV$206,0,att_offset),"1"),IF(ev_split="Equal Split",ev_cost/MAX(1,COUNTA(Roster!$A$5:$A$204)),ev_cost/MAX(1,attendees))),"N/A"))</f>
        <v/>
      </c>
      <c r="K152" s="5"/>
      <c r="L152" s="5"/>
      <c r="M152" s="5"/>
      <c r="N152" s="5"/>
      <c r="O152" s="5"/>
      <c r="P152" s="5"/>
      <c r="Q152" s="5"/>
      <c r="R152" s="5"/>
      <c r="S152" s="5"/>
      <c r="T152" s="5"/>
      <c r="U152" s="5"/>
      <c r="V152" s="5"/>
      <c r="W152" s="5"/>
      <c r="X152" s="5"/>
      <c r="Y152" s="5"/>
      <c r="Z152" s="5"/>
    </row>
    <row r="153" ht="19.5" customHeight="1">
      <c r="A153" s="49"/>
      <c r="B153" s="50"/>
      <c r="C153" s="50"/>
      <c r="D153" s="50"/>
      <c r="E153" s="50"/>
      <c r="F153" s="51"/>
      <c r="G153" s="50"/>
      <c r="H153" s="50"/>
      <c r="I153" s="50"/>
      <c r="J153" s="48" t="str">
        <f t="array" ref="J153">IF(G153="","",IFERROR(LET(ev_cost,INDEX(Events!$G$5:$G$505,MATCH(G153,Events!$A$5:$A$505,0)),ev_split,INDEX(Events!$I$5:$I$505,MATCH(G153,Events!$A$5:$A$505,0)),att_offset,MATCH(G153,Attendance!$B$3:$AV$3,0),attendees,COUNTIF(INDEX(Attendance!$B$7:$AV$206,0,att_offset),"1"),IF(ev_split="Equal Split",ev_cost/MAX(1,COUNTA(Roster!$A$5:$A$204)),ev_cost/MAX(1,attendees))),"N/A"))</f>
        <v/>
      </c>
      <c r="K153" s="5"/>
      <c r="L153" s="5"/>
      <c r="M153" s="5"/>
      <c r="N153" s="5"/>
      <c r="O153" s="5"/>
      <c r="P153" s="5"/>
      <c r="Q153" s="5"/>
      <c r="R153" s="5"/>
      <c r="S153" s="5"/>
      <c r="T153" s="5"/>
      <c r="U153" s="5"/>
      <c r="V153" s="5"/>
      <c r="W153" s="5"/>
      <c r="X153" s="5"/>
      <c r="Y153" s="5"/>
      <c r="Z153" s="5"/>
    </row>
    <row r="154" ht="19.5" customHeight="1">
      <c r="A154" s="52"/>
      <c r="B154" s="53"/>
      <c r="C154" s="53"/>
      <c r="D154" s="53"/>
      <c r="E154" s="53"/>
      <c r="F154" s="61"/>
      <c r="G154" s="53"/>
      <c r="H154" s="53"/>
      <c r="I154" s="53"/>
      <c r="J154" s="48" t="str">
        <f t="array" ref="J154">IF(G154="","",IFERROR(LET(ev_cost,INDEX(Events!$G$5:$G$505,MATCH(G154,Events!$A$5:$A$505,0)),ev_split,INDEX(Events!$I$5:$I$505,MATCH(G154,Events!$A$5:$A$505,0)),att_offset,MATCH(G154,Attendance!$B$3:$AV$3,0),attendees,COUNTIF(INDEX(Attendance!$B$7:$AV$206,0,att_offset),"1"),IF(ev_split="Equal Split",ev_cost/MAX(1,COUNTA(Roster!$A$5:$A$204)),ev_cost/MAX(1,attendees))),"N/A"))</f>
        <v/>
      </c>
      <c r="K154" s="5"/>
      <c r="L154" s="5"/>
      <c r="M154" s="5"/>
      <c r="N154" s="5"/>
      <c r="O154" s="5"/>
      <c r="P154" s="5"/>
      <c r="Q154" s="5"/>
      <c r="R154" s="5"/>
      <c r="S154" s="5"/>
      <c r="T154" s="5"/>
      <c r="U154" s="5"/>
      <c r="V154" s="5"/>
      <c r="W154" s="5"/>
      <c r="X154" s="5"/>
      <c r="Y154" s="5"/>
      <c r="Z154" s="5"/>
    </row>
    <row r="155" ht="19.5" customHeight="1">
      <c r="A155" s="49"/>
      <c r="B155" s="50"/>
      <c r="C155" s="50"/>
      <c r="D155" s="50"/>
      <c r="E155" s="50"/>
      <c r="F155" s="51"/>
      <c r="G155" s="50"/>
      <c r="H155" s="50"/>
      <c r="I155" s="50"/>
      <c r="J155" s="48" t="str">
        <f t="array" ref="J155">IF(G155="","",IFERROR(LET(ev_cost,INDEX(Events!$G$5:$G$505,MATCH(G155,Events!$A$5:$A$505,0)),ev_split,INDEX(Events!$I$5:$I$505,MATCH(G155,Events!$A$5:$A$505,0)),att_offset,MATCH(G155,Attendance!$B$3:$AV$3,0),attendees,COUNTIF(INDEX(Attendance!$B$7:$AV$206,0,att_offset),"1"),IF(ev_split="Equal Split",ev_cost/MAX(1,COUNTA(Roster!$A$5:$A$204)),ev_cost/MAX(1,attendees))),"N/A"))</f>
        <v/>
      </c>
      <c r="K155" s="5"/>
      <c r="L155" s="5"/>
      <c r="M155" s="5"/>
      <c r="N155" s="5"/>
      <c r="O155" s="5"/>
      <c r="P155" s="5"/>
      <c r="Q155" s="5"/>
      <c r="R155" s="5"/>
      <c r="S155" s="5"/>
      <c r="T155" s="5"/>
      <c r="U155" s="5"/>
      <c r="V155" s="5"/>
      <c r="W155" s="5"/>
      <c r="X155" s="5"/>
      <c r="Y155" s="5"/>
      <c r="Z155" s="5"/>
    </row>
    <row r="156" ht="19.5" customHeight="1">
      <c r="A156" s="52"/>
      <c r="B156" s="53"/>
      <c r="C156" s="53"/>
      <c r="D156" s="53"/>
      <c r="E156" s="53"/>
      <c r="F156" s="61"/>
      <c r="G156" s="53"/>
      <c r="H156" s="53"/>
      <c r="I156" s="53"/>
      <c r="J156" s="48" t="str">
        <f t="array" ref="J156">IF(G156="","",IFERROR(LET(ev_cost,INDEX(Events!$G$5:$G$505,MATCH(G156,Events!$A$5:$A$505,0)),ev_split,INDEX(Events!$I$5:$I$505,MATCH(G156,Events!$A$5:$A$505,0)),att_offset,MATCH(G156,Attendance!$B$3:$AV$3,0),attendees,COUNTIF(INDEX(Attendance!$B$7:$AV$206,0,att_offset),"1"),IF(ev_split="Equal Split",ev_cost/MAX(1,COUNTA(Roster!$A$5:$A$204)),ev_cost/MAX(1,attendees))),"N/A"))</f>
        <v/>
      </c>
      <c r="K156" s="5"/>
      <c r="L156" s="5"/>
      <c r="M156" s="5"/>
      <c r="N156" s="5"/>
      <c r="O156" s="5"/>
      <c r="P156" s="5"/>
      <c r="Q156" s="5"/>
      <c r="R156" s="5"/>
      <c r="S156" s="5"/>
      <c r="T156" s="5"/>
      <c r="U156" s="5"/>
      <c r="V156" s="5"/>
      <c r="W156" s="5"/>
      <c r="X156" s="5"/>
      <c r="Y156" s="5"/>
      <c r="Z156" s="5"/>
    </row>
    <row r="157" ht="19.5" customHeight="1">
      <c r="A157" s="49"/>
      <c r="B157" s="50"/>
      <c r="C157" s="50"/>
      <c r="D157" s="50"/>
      <c r="E157" s="50"/>
      <c r="F157" s="51"/>
      <c r="G157" s="50"/>
      <c r="H157" s="50"/>
      <c r="I157" s="50"/>
      <c r="J157" s="48" t="str">
        <f t="array" ref="J157">IF(G157="","",IFERROR(LET(ev_cost,INDEX(Events!$G$5:$G$505,MATCH(G157,Events!$A$5:$A$505,0)),ev_split,INDEX(Events!$I$5:$I$505,MATCH(G157,Events!$A$5:$A$505,0)),att_offset,MATCH(G157,Attendance!$B$3:$AV$3,0),attendees,COUNTIF(INDEX(Attendance!$B$7:$AV$206,0,att_offset),"1"),IF(ev_split="Equal Split",ev_cost/MAX(1,COUNTA(Roster!$A$5:$A$204)),ev_cost/MAX(1,attendees))),"N/A"))</f>
        <v/>
      </c>
      <c r="K157" s="5"/>
      <c r="L157" s="5"/>
      <c r="M157" s="5"/>
      <c r="N157" s="5"/>
      <c r="O157" s="5"/>
      <c r="P157" s="5"/>
      <c r="Q157" s="5"/>
      <c r="R157" s="5"/>
      <c r="S157" s="5"/>
      <c r="T157" s="5"/>
      <c r="U157" s="5"/>
      <c r="V157" s="5"/>
      <c r="W157" s="5"/>
      <c r="X157" s="5"/>
      <c r="Y157" s="5"/>
      <c r="Z157" s="5"/>
    </row>
    <row r="158" ht="19.5" customHeight="1">
      <c r="A158" s="52"/>
      <c r="B158" s="53"/>
      <c r="C158" s="53"/>
      <c r="D158" s="53"/>
      <c r="E158" s="53"/>
      <c r="F158" s="61"/>
      <c r="G158" s="53"/>
      <c r="H158" s="53"/>
      <c r="I158" s="53"/>
      <c r="J158" s="48" t="str">
        <f t="array" ref="J158">IF(G158="","",IFERROR(LET(ev_cost,INDEX(Events!$G$5:$G$505,MATCH(G158,Events!$A$5:$A$505,0)),ev_split,INDEX(Events!$I$5:$I$505,MATCH(G158,Events!$A$5:$A$505,0)),att_offset,MATCH(G158,Attendance!$B$3:$AV$3,0),attendees,COUNTIF(INDEX(Attendance!$B$7:$AV$206,0,att_offset),"1"),IF(ev_split="Equal Split",ev_cost/MAX(1,COUNTA(Roster!$A$5:$A$204)),ev_cost/MAX(1,attendees))),"N/A"))</f>
        <v/>
      </c>
      <c r="K158" s="5"/>
      <c r="L158" s="5"/>
      <c r="M158" s="5"/>
      <c r="N158" s="5"/>
      <c r="O158" s="5"/>
      <c r="P158" s="5"/>
      <c r="Q158" s="5"/>
      <c r="R158" s="5"/>
      <c r="S158" s="5"/>
      <c r="T158" s="5"/>
      <c r="U158" s="5"/>
      <c r="V158" s="5"/>
      <c r="W158" s="5"/>
      <c r="X158" s="5"/>
      <c r="Y158" s="5"/>
      <c r="Z158" s="5"/>
    </row>
    <row r="159" ht="19.5" customHeight="1">
      <c r="A159" s="49"/>
      <c r="B159" s="50"/>
      <c r="C159" s="50"/>
      <c r="D159" s="50"/>
      <c r="E159" s="50"/>
      <c r="F159" s="51"/>
      <c r="G159" s="50"/>
      <c r="H159" s="50"/>
      <c r="I159" s="50"/>
      <c r="J159" s="48" t="str">
        <f t="array" ref="J159">IF(G159="","",IFERROR(LET(ev_cost,INDEX(Events!$G$5:$G$505,MATCH(G159,Events!$A$5:$A$505,0)),ev_split,INDEX(Events!$I$5:$I$505,MATCH(G159,Events!$A$5:$A$505,0)),att_offset,MATCH(G159,Attendance!$B$3:$AV$3,0),attendees,COUNTIF(INDEX(Attendance!$B$7:$AV$206,0,att_offset),"1"),IF(ev_split="Equal Split",ev_cost/MAX(1,COUNTA(Roster!$A$5:$A$204)),ev_cost/MAX(1,attendees))),"N/A"))</f>
        <v/>
      </c>
      <c r="K159" s="5"/>
      <c r="L159" s="5"/>
      <c r="M159" s="5"/>
      <c r="N159" s="5"/>
      <c r="O159" s="5"/>
      <c r="P159" s="5"/>
      <c r="Q159" s="5"/>
      <c r="R159" s="5"/>
      <c r="S159" s="5"/>
      <c r="T159" s="5"/>
      <c r="U159" s="5"/>
      <c r="V159" s="5"/>
      <c r="W159" s="5"/>
      <c r="X159" s="5"/>
      <c r="Y159" s="5"/>
      <c r="Z159" s="5"/>
    </row>
    <row r="160" ht="19.5" customHeight="1">
      <c r="A160" s="52"/>
      <c r="B160" s="53"/>
      <c r="C160" s="53"/>
      <c r="D160" s="53"/>
      <c r="E160" s="53"/>
      <c r="F160" s="61"/>
      <c r="G160" s="53"/>
      <c r="H160" s="53"/>
      <c r="I160" s="53"/>
      <c r="J160" s="48" t="str">
        <f t="array" ref="J160">IF(G160="","",IFERROR(LET(ev_cost,INDEX(Events!$G$5:$G$505,MATCH(G160,Events!$A$5:$A$505,0)),ev_split,INDEX(Events!$I$5:$I$505,MATCH(G160,Events!$A$5:$A$505,0)),att_offset,MATCH(G160,Attendance!$B$3:$AV$3,0),attendees,COUNTIF(INDEX(Attendance!$B$7:$AV$206,0,att_offset),"1"),IF(ev_split="Equal Split",ev_cost/MAX(1,COUNTA(Roster!$A$5:$A$204)),ev_cost/MAX(1,attendees))),"N/A"))</f>
        <v/>
      </c>
      <c r="K160" s="5"/>
      <c r="L160" s="5"/>
      <c r="M160" s="5"/>
      <c r="N160" s="5"/>
      <c r="O160" s="5"/>
      <c r="P160" s="5"/>
      <c r="Q160" s="5"/>
      <c r="R160" s="5"/>
      <c r="S160" s="5"/>
      <c r="T160" s="5"/>
      <c r="U160" s="5"/>
      <c r="V160" s="5"/>
      <c r="W160" s="5"/>
      <c r="X160" s="5"/>
      <c r="Y160" s="5"/>
      <c r="Z160" s="5"/>
    </row>
    <row r="161" ht="19.5" customHeight="1">
      <c r="A161" s="49"/>
      <c r="B161" s="50"/>
      <c r="C161" s="50"/>
      <c r="D161" s="50"/>
      <c r="E161" s="50"/>
      <c r="F161" s="51"/>
      <c r="G161" s="50"/>
      <c r="H161" s="50"/>
      <c r="I161" s="50"/>
      <c r="J161" s="48" t="str">
        <f t="array" ref="J161">IF(G161="","",IFERROR(LET(ev_cost,INDEX(Events!$G$5:$G$505,MATCH(G161,Events!$A$5:$A$505,0)),ev_split,INDEX(Events!$I$5:$I$505,MATCH(G161,Events!$A$5:$A$505,0)),att_offset,MATCH(G161,Attendance!$B$3:$AV$3,0),attendees,COUNTIF(INDEX(Attendance!$B$7:$AV$206,0,att_offset),"1"),IF(ev_split="Equal Split",ev_cost/MAX(1,COUNTA(Roster!$A$5:$A$204)),ev_cost/MAX(1,attendees))),"N/A"))</f>
        <v/>
      </c>
      <c r="K161" s="5"/>
      <c r="L161" s="5"/>
      <c r="M161" s="5"/>
      <c r="N161" s="5"/>
      <c r="O161" s="5"/>
      <c r="P161" s="5"/>
      <c r="Q161" s="5"/>
      <c r="R161" s="5"/>
      <c r="S161" s="5"/>
      <c r="T161" s="5"/>
      <c r="U161" s="5"/>
      <c r="V161" s="5"/>
      <c r="W161" s="5"/>
      <c r="X161" s="5"/>
      <c r="Y161" s="5"/>
      <c r="Z161" s="5"/>
    </row>
    <row r="162" ht="19.5" customHeight="1">
      <c r="A162" s="52"/>
      <c r="B162" s="53"/>
      <c r="C162" s="53"/>
      <c r="D162" s="53"/>
      <c r="E162" s="53"/>
      <c r="F162" s="61"/>
      <c r="G162" s="53"/>
      <c r="H162" s="53"/>
      <c r="I162" s="53"/>
      <c r="J162" s="48" t="str">
        <f t="array" ref="J162">IF(G162="","",IFERROR(LET(ev_cost,INDEX(Events!$G$5:$G$505,MATCH(G162,Events!$A$5:$A$505,0)),ev_split,INDEX(Events!$I$5:$I$505,MATCH(G162,Events!$A$5:$A$505,0)),att_offset,MATCH(G162,Attendance!$B$3:$AV$3,0),attendees,COUNTIF(INDEX(Attendance!$B$7:$AV$206,0,att_offset),"1"),IF(ev_split="Equal Split",ev_cost/MAX(1,COUNTA(Roster!$A$5:$A$204)),ev_cost/MAX(1,attendees))),"N/A"))</f>
        <v/>
      </c>
      <c r="K162" s="5"/>
      <c r="L162" s="5"/>
      <c r="M162" s="5"/>
      <c r="N162" s="5"/>
      <c r="O162" s="5"/>
      <c r="P162" s="5"/>
      <c r="Q162" s="5"/>
      <c r="R162" s="5"/>
      <c r="S162" s="5"/>
      <c r="T162" s="5"/>
      <c r="U162" s="5"/>
      <c r="V162" s="5"/>
      <c r="W162" s="5"/>
      <c r="X162" s="5"/>
      <c r="Y162" s="5"/>
      <c r="Z162" s="5"/>
    </row>
    <row r="163" ht="19.5" customHeight="1">
      <c r="A163" s="49"/>
      <c r="B163" s="50"/>
      <c r="C163" s="50"/>
      <c r="D163" s="50"/>
      <c r="E163" s="50"/>
      <c r="F163" s="51"/>
      <c r="G163" s="50"/>
      <c r="H163" s="50"/>
      <c r="I163" s="50"/>
      <c r="J163" s="48" t="str">
        <f t="array" ref="J163">IF(G163="","",IFERROR(LET(ev_cost,INDEX(Events!$G$5:$G$505,MATCH(G163,Events!$A$5:$A$505,0)),ev_split,INDEX(Events!$I$5:$I$505,MATCH(G163,Events!$A$5:$A$505,0)),att_offset,MATCH(G163,Attendance!$B$3:$AV$3,0),attendees,COUNTIF(INDEX(Attendance!$B$7:$AV$206,0,att_offset),"1"),IF(ev_split="Equal Split",ev_cost/MAX(1,COUNTA(Roster!$A$5:$A$204)),ev_cost/MAX(1,attendees))),"N/A"))</f>
        <v/>
      </c>
      <c r="K163" s="5"/>
      <c r="L163" s="5"/>
      <c r="M163" s="5"/>
      <c r="N163" s="5"/>
      <c r="O163" s="5"/>
      <c r="P163" s="5"/>
      <c r="Q163" s="5"/>
      <c r="R163" s="5"/>
      <c r="S163" s="5"/>
      <c r="T163" s="5"/>
      <c r="U163" s="5"/>
      <c r="V163" s="5"/>
      <c r="W163" s="5"/>
      <c r="X163" s="5"/>
      <c r="Y163" s="5"/>
      <c r="Z163" s="5"/>
    </row>
    <row r="164" ht="19.5" customHeight="1">
      <c r="A164" s="52"/>
      <c r="B164" s="53"/>
      <c r="C164" s="53"/>
      <c r="D164" s="53"/>
      <c r="E164" s="53"/>
      <c r="F164" s="61"/>
      <c r="G164" s="53"/>
      <c r="H164" s="53"/>
      <c r="I164" s="53"/>
      <c r="J164" s="48" t="str">
        <f t="array" ref="J164">IF(G164="","",IFERROR(LET(ev_cost,INDEX(Events!$G$5:$G$505,MATCH(G164,Events!$A$5:$A$505,0)),ev_split,INDEX(Events!$I$5:$I$505,MATCH(G164,Events!$A$5:$A$505,0)),att_offset,MATCH(G164,Attendance!$B$3:$AV$3,0),attendees,COUNTIF(INDEX(Attendance!$B$7:$AV$206,0,att_offset),"1"),IF(ev_split="Equal Split",ev_cost/MAX(1,COUNTA(Roster!$A$5:$A$204)),ev_cost/MAX(1,attendees))),"N/A"))</f>
        <v/>
      </c>
      <c r="K164" s="5"/>
      <c r="L164" s="5"/>
      <c r="M164" s="5"/>
      <c r="N164" s="5"/>
      <c r="O164" s="5"/>
      <c r="P164" s="5"/>
      <c r="Q164" s="5"/>
      <c r="R164" s="5"/>
      <c r="S164" s="5"/>
      <c r="T164" s="5"/>
      <c r="U164" s="5"/>
      <c r="V164" s="5"/>
      <c r="W164" s="5"/>
      <c r="X164" s="5"/>
      <c r="Y164" s="5"/>
      <c r="Z164" s="5"/>
    </row>
    <row r="165" ht="19.5" customHeight="1">
      <c r="A165" s="49"/>
      <c r="B165" s="50"/>
      <c r="C165" s="50"/>
      <c r="D165" s="50"/>
      <c r="E165" s="50"/>
      <c r="F165" s="51"/>
      <c r="G165" s="50"/>
      <c r="H165" s="50"/>
      <c r="I165" s="50"/>
      <c r="J165" s="48" t="str">
        <f t="array" ref="J165">IF(G165="","",IFERROR(LET(ev_cost,INDEX(Events!$G$5:$G$505,MATCH(G165,Events!$A$5:$A$505,0)),ev_split,INDEX(Events!$I$5:$I$505,MATCH(G165,Events!$A$5:$A$505,0)),att_offset,MATCH(G165,Attendance!$B$3:$AV$3,0),attendees,COUNTIF(INDEX(Attendance!$B$7:$AV$206,0,att_offset),"1"),IF(ev_split="Equal Split",ev_cost/MAX(1,COUNTA(Roster!$A$5:$A$204)),ev_cost/MAX(1,attendees))),"N/A"))</f>
        <v/>
      </c>
      <c r="K165" s="5"/>
      <c r="L165" s="5"/>
      <c r="M165" s="5"/>
      <c r="N165" s="5"/>
      <c r="O165" s="5"/>
      <c r="P165" s="5"/>
      <c r="Q165" s="5"/>
      <c r="R165" s="5"/>
      <c r="S165" s="5"/>
      <c r="T165" s="5"/>
      <c r="U165" s="5"/>
      <c r="V165" s="5"/>
      <c r="W165" s="5"/>
      <c r="X165" s="5"/>
      <c r="Y165" s="5"/>
      <c r="Z165" s="5"/>
    </row>
    <row r="166" ht="19.5" customHeight="1">
      <c r="A166" s="52"/>
      <c r="B166" s="53"/>
      <c r="C166" s="53"/>
      <c r="D166" s="53"/>
      <c r="E166" s="53"/>
      <c r="F166" s="61"/>
      <c r="G166" s="53"/>
      <c r="H166" s="53"/>
      <c r="I166" s="53"/>
      <c r="J166" s="48" t="str">
        <f t="array" ref="J166">IF(G166="","",IFERROR(LET(ev_cost,INDEX(Events!$G$5:$G$505,MATCH(G166,Events!$A$5:$A$505,0)),ev_split,INDEX(Events!$I$5:$I$505,MATCH(G166,Events!$A$5:$A$505,0)),att_offset,MATCH(G166,Attendance!$B$3:$AV$3,0),attendees,COUNTIF(INDEX(Attendance!$B$7:$AV$206,0,att_offset),"1"),IF(ev_split="Equal Split",ev_cost/MAX(1,COUNTA(Roster!$A$5:$A$204)),ev_cost/MAX(1,attendees))),"N/A"))</f>
        <v/>
      </c>
      <c r="K166" s="5"/>
      <c r="L166" s="5"/>
      <c r="M166" s="5"/>
      <c r="N166" s="5"/>
      <c r="O166" s="5"/>
      <c r="P166" s="5"/>
      <c r="Q166" s="5"/>
      <c r="R166" s="5"/>
      <c r="S166" s="5"/>
      <c r="T166" s="5"/>
      <c r="U166" s="5"/>
      <c r="V166" s="5"/>
      <c r="W166" s="5"/>
      <c r="X166" s="5"/>
      <c r="Y166" s="5"/>
      <c r="Z166" s="5"/>
    </row>
    <row r="167" ht="19.5" customHeight="1">
      <c r="A167" s="49"/>
      <c r="B167" s="50"/>
      <c r="C167" s="50"/>
      <c r="D167" s="50"/>
      <c r="E167" s="50"/>
      <c r="F167" s="51"/>
      <c r="G167" s="50"/>
      <c r="H167" s="50"/>
      <c r="I167" s="50"/>
      <c r="J167" s="48" t="str">
        <f t="array" ref="J167">IF(G167="","",IFERROR(LET(ev_cost,INDEX(Events!$G$5:$G$505,MATCH(G167,Events!$A$5:$A$505,0)),ev_split,INDEX(Events!$I$5:$I$505,MATCH(G167,Events!$A$5:$A$505,0)),att_offset,MATCH(G167,Attendance!$B$3:$AV$3,0),attendees,COUNTIF(INDEX(Attendance!$B$7:$AV$206,0,att_offset),"1"),IF(ev_split="Equal Split",ev_cost/MAX(1,COUNTA(Roster!$A$5:$A$204)),ev_cost/MAX(1,attendees))),"N/A"))</f>
        <v/>
      </c>
      <c r="K167" s="5"/>
      <c r="L167" s="5"/>
      <c r="M167" s="5"/>
      <c r="N167" s="5"/>
      <c r="O167" s="5"/>
      <c r="P167" s="5"/>
      <c r="Q167" s="5"/>
      <c r="R167" s="5"/>
      <c r="S167" s="5"/>
      <c r="T167" s="5"/>
      <c r="U167" s="5"/>
      <c r="V167" s="5"/>
      <c r="W167" s="5"/>
      <c r="X167" s="5"/>
      <c r="Y167" s="5"/>
      <c r="Z167" s="5"/>
    </row>
    <row r="168" ht="19.5" customHeight="1">
      <c r="A168" s="52"/>
      <c r="B168" s="53"/>
      <c r="C168" s="53"/>
      <c r="D168" s="53"/>
      <c r="E168" s="53"/>
      <c r="F168" s="61"/>
      <c r="G168" s="53"/>
      <c r="H168" s="53"/>
      <c r="I168" s="53"/>
      <c r="J168" s="48" t="str">
        <f t="array" ref="J168">IF(G168="","",IFERROR(LET(ev_cost,INDEX(Events!$G$5:$G$505,MATCH(G168,Events!$A$5:$A$505,0)),ev_split,INDEX(Events!$I$5:$I$505,MATCH(G168,Events!$A$5:$A$505,0)),att_offset,MATCH(G168,Attendance!$B$3:$AV$3,0),attendees,COUNTIF(INDEX(Attendance!$B$7:$AV$206,0,att_offset),"1"),IF(ev_split="Equal Split",ev_cost/MAX(1,COUNTA(Roster!$A$5:$A$204)),ev_cost/MAX(1,attendees))),"N/A"))</f>
        <v/>
      </c>
      <c r="K168" s="5"/>
      <c r="L168" s="5"/>
      <c r="M168" s="5"/>
      <c r="N168" s="5"/>
      <c r="O168" s="5"/>
      <c r="P168" s="5"/>
      <c r="Q168" s="5"/>
      <c r="R168" s="5"/>
      <c r="S168" s="5"/>
      <c r="T168" s="5"/>
      <c r="U168" s="5"/>
      <c r="V168" s="5"/>
      <c r="W168" s="5"/>
      <c r="X168" s="5"/>
      <c r="Y168" s="5"/>
      <c r="Z168" s="5"/>
    </row>
    <row r="169" ht="19.5" customHeight="1">
      <c r="A169" s="49"/>
      <c r="B169" s="50"/>
      <c r="C169" s="50"/>
      <c r="D169" s="50"/>
      <c r="E169" s="50"/>
      <c r="F169" s="51"/>
      <c r="G169" s="50"/>
      <c r="H169" s="50"/>
      <c r="I169" s="50"/>
      <c r="J169" s="48" t="str">
        <f t="array" ref="J169">IF(G169="","",IFERROR(LET(ev_cost,INDEX(Events!$G$5:$G$505,MATCH(G169,Events!$A$5:$A$505,0)),ev_split,INDEX(Events!$I$5:$I$505,MATCH(G169,Events!$A$5:$A$505,0)),att_offset,MATCH(G169,Attendance!$B$3:$AV$3,0),attendees,COUNTIF(INDEX(Attendance!$B$7:$AV$206,0,att_offset),"1"),IF(ev_split="Equal Split",ev_cost/MAX(1,COUNTA(Roster!$A$5:$A$204)),ev_cost/MAX(1,attendees))),"N/A"))</f>
        <v/>
      </c>
      <c r="K169" s="5"/>
      <c r="L169" s="5"/>
      <c r="M169" s="5"/>
      <c r="N169" s="5"/>
      <c r="O169" s="5"/>
      <c r="P169" s="5"/>
      <c r="Q169" s="5"/>
      <c r="R169" s="5"/>
      <c r="S169" s="5"/>
      <c r="T169" s="5"/>
      <c r="U169" s="5"/>
      <c r="V169" s="5"/>
      <c r="W169" s="5"/>
      <c r="X169" s="5"/>
      <c r="Y169" s="5"/>
      <c r="Z169" s="5"/>
    </row>
    <row r="170" ht="19.5" customHeight="1">
      <c r="A170" s="52"/>
      <c r="B170" s="53"/>
      <c r="C170" s="53"/>
      <c r="D170" s="53"/>
      <c r="E170" s="53"/>
      <c r="F170" s="61"/>
      <c r="G170" s="53"/>
      <c r="H170" s="53"/>
      <c r="I170" s="53"/>
      <c r="J170" s="48" t="str">
        <f t="array" ref="J170">IF(G170="","",IFERROR(LET(ev_cost,INDEX(Events!$G$5:$G$505,MATCH(G170,Events!$A$5:$A$505,0)),ev_split,INDEX(Events!$I$5:$I$505,MATCH(G170,Events!$A$5:$A$505,0)),att_offset,MATCH(G170,Attendance!$B$3:$AV$3,0),attendees,COUNTIF(INDEX(Attendance!$B$7:$AV$206,0,att_offset),"1"),IF(ev_split="Equal Split",ev_cost/MAX(1,COUNTA(Roster!$A$5:$A$204)),ev_cost/MAX(1,attendees))),"N/A"))</f>
        <v/>
      </c>
      <c r="K170" s="5"/>
      <c r="L170" s="5"/>
      <c r="M170" s="5"/>
      <c r="N170" s="5"/>
      <c r="O170" s="5"/>
      <c r="P170" s="5"/>
      <c r="Q170" s="5"/>
      <c r="R170" s="5"/>
      <c r="S170" s="5"/>
      <c r="T170" s="5"/>
      <c r="U170" s="5"/>
      <c r="V170" s="5"/>
      <c r="W170" s="5"/>
      <c r="X170" s="5"/>
      <c r="Y170" s="5"/>
      <c r="Z170" s="5"/>
    </row>
    <row r="171" ht="19.5" customHeight="1">
      <c r="A171" s="49"/>
      <c r="B171" s="50"/>
      <c r="C171" s="50"/>
      <c r="D171" s="50"/>
      <c r="E171" s="50"/>
      <c r="F171" s="51"/>
      <c r="G171" s="50"/>
      <c r="H171" s="50"/>
      <c r="I171" s="50"/>
      <c r="J171" s="48" t="str">
        <f t="array" ref="J171">IF(G171="","",IFERROR(LET(ev_cost,INDEX(Events!$G$5:$G$505,MATCH(G171,Events!$A$5:$A$505,0)),ev_split,INDEX(Events!$I$5:$I$505,MATCH(G171,Events!$A$5:$A$505,0)),att_offset,MATCH(G171,Attendance!$B$3:$AV$3,0),attendees,COUNTIF(INDEX(Attendance!$B$7:$AV$206,0,att_offset),"1"),IF(ev_split="Equal Split",ev_cost/MAX(1,COUNTA(Roster!$A$5:$A$204)),ev_cost/MAX(1,attendees))),"N/A"))</f>
        <v/>
      </c>
      <c r="K171" s="5"/>
      <c r="L171" s="5"/>
      <c r="M171" s="5"/>
      <c r="N171" s="5"/>
      <c r="O171" s="5"/>
      <c r="P171" s="5"/>
      <c r="Q171" s="5"/>
      <c r="R171" s="5"/>
      <c r="S171" s="5"/>
      <c r="T171" s="5"/>
      <c r="U171" s="5"/>
      <c r="V171" s="5"/>
      <c r="W171" s="5"/>
      <c r="X171" s="5"/>
      <c r="Y171" s="5"/>
      <c r="Z171" s="5"/>
    </row>
    <row r="172" ht="19.5" customHeight="1">
      <c r="A172" s="52"/>
      <c r="B172" s="53"/>
      <c r="C172" s="53"/>
      <c r="D172" s="53"/>
      <c r="E172" s="53"/>
      <c r="F172" s="61"/>
      <c r="G172" s="53"/>
      <c r="H172" s="53"/>
      <c r="I172" s="53"/>
      <c r="J172" s="48" t="str">
        <f t="array" ref="J172">IF(G172="","",IFERROR(LET(ev_cost,INDEX(Events!$G$5:$G$505,MATCH(G172,Events!$A$5:$A$505,0)),ev_split,INDEX(Events!$I$5:$I$505,MATCH(G172,Events!$A$5:$A$505,0)),att_offset,MATCH(G172,Attendance!$B$3:$AV$3,0),attendees,COUNTIF(INDEX(Attendance!$B$7:$AV$206,0,att_offset),"1"),IF(ev_split="Equal Split",ev_cost/MAX(1,COUNTA(Roster!$A$5:$A$204)),ev_cost/MAX(1,attendees))),"N/A"))</f>
        <v/>
      </c>
      <c r="K172" s="5"/>
      <c r="L172" s="5"/>
      <c r="M172" s="5"/>
      <c r="N172" s="5"/>
      <c r="O172" s="5"/>
      <c r="P172" s="5"/>
      <c r="Q172" s="5"/>
      <c r="R172" s="5"/>
      <c r="S172" s="5"/>
      <c r="T172" s="5"/>
      <c r="U172" s="5"/>
      <c r="V172" s="5"/>
      <c r="W172" s="5"/>
      <c r="X172" s="5"/>
      <c r="Y172" s="5"/>
      <c r="Z172" s="5"/>
    </row>
    <row r="173" ht="19.5" customHeight="1">
      <c r="A173" s="49"/>
      <c r="B173" s="50"/>
      <c r="C173" s="50"/>
      <c r="D173" s="50"/>
      <c r="E173" s="50"/>
      <c r="F173" s="51"/>
      <c r="G173" s="50"/>
      <c r="H173" s="50"/>
      <c r="I173" s="50"/>
      <c r="J173" s="48" t="str">
        <f t="array" ref="J173">IF(G173="","",IFERROR(LET(ev_cost,INDEX(Events!$G$5:$G$505,MATCH(G173,Events!$A$5:$A$505,0)),ev_split,INDEX(Events!$I$5:$I$505,MATCH(G173,Events!$A$5:$A$505,0)),att_offset,MATCH(G173,Attendance!$B$3:$AV$3,0),attendees,COUNTIF(INDEX(Attendance!$B$7:$AV$206,0,att_offset),"1"),IF(ev_split="Equal Split",ev_cost/MAX(1,COUNTA(Roster!$A$5:$A$204)),ev_cost/MAX(1,attendees))),"N/A"))</f>
        <v/>
      </c>
      <c r="K173" s="5"/>
      <c r="L173" s="5"/>
      <c r="M173" s="5"/>
      <c r="N173" s="5"/>
      <c r="O173" s="5"/>
      <c r="P173" s="5"/>
      <c r="Q173" s="5"/>
      <c r="R173" s="5"/>
      <c r="S173" s="5"/>
      <c r="T173" s="5"/>
      <c r="U173" s="5"/>
      <c r="V173" s="5"/>
      <c r="W173" s="5"/>
      <c r="X173" s="5"/>
      <c r="Y173" s="5"/>
      <c r="Z173" s="5"/>
    </row>
    <row r="174" ht="19.5" customHeight="1">
      <c r="A174" s="52"/>
      <c r="B174" s="53"/>
      <c r="C174" s="53"/>
      <c r="D174" s="53"/>
      <c r="E174" s="53"/>
      <c r="F174" s="61"/>
      <c r="G174" s="53"/>
      <c r="H174" s="53"/>
      <c r="I174" s="53"/>
      <c r="J174" s="48" t="str">
        <f t="array" ref="J174">IF(G174="","",IFERROR(LET(ev_cost,INDEX(Events!$G$5:$G$505,MATCH(G174,Events!$A$5:$A$505,0)),ev_split,INDEX(Events!$I$5:$I$505,MATCH(G174,Events!$A$5:$A$505,0)),att_offset,MATCH(G174,Attendance!$B$3:$AV$3,0),attendees,COUNTIF(INDEX(Attendance!$B$7:$AV$206,0,att_offset),"1"),IF(ev_split="Equal Split",ev_cost/MAX(1,COUNTA(Roster!$A$5:$A$204)),ev_cost/MAX(1,attendees))),"N/A"))</f>
        <v/>
      </c>
      <c r="K174" s="5"/>
      <c r="L174" s="5"/>
      <c r="M174" s="5"/>
      <c r="N174" s="5"/>
      <c r="O174" s="5"/>
      <c r="P174" s="5"/>
      <c r="Q174" s="5"/>
      <c r="R174" s="5"/>
      <c r="S174" s="5"/>
      <c r="T174" s="5"/>
      <c r="U174" s="5"/>
      <c r="V174" s="5"/>
      <c r="W174" s="5"/>
      <c r="X174" s="5"/>
      <c r="Y174" s="5"/>
      <c r="Z174" s="5"/>
    </row>
    <row r="175" ht="19.5" customHeight="1">
      <c r="A175" s="49"/>
      <c r="B175" s="50"/>
      <c r="C175" s="50"/>
      <c r="D175" s="50"/>
      <c r="E175" s="50"/>
      <c r="F175" s="51"/>
      <c r="G175" s="50"/>
      <c r="H175" s="50"/>
      <c r="I175" s="50"/>
      <c r="J175" s="48" t="str">
        <f t="array" ref="J175">IF(G175="","",IFERROR(LET(ev_cost,INDEX(Events!$G$5:$G$505,MATCH(G175,Events!$A$5:$A$505,0)),ev_split,INDEX(Events!$I$5:$I$505,MATCH(G175,Events!$A$5:$A$505,0)),att_offset,MATCH(G175,Attendance!$B$3:$AV$3,0),attendees,COUNTIF(INDEX(Attendance!$B$7:$AV$206,0,att_offset),"1"),IF(ev_split="Equal Split",ev_cost/MAX(1,COUNTA(Roster!$A$5:$A$204)),ev_cost/MAX(1,attendees))),"N/A"))</f>
        <v/>
      </c>
      <c r="K175" s="5"/>
      <c r="L175" s="5"/>
      <c r="M175" s="5"/>
      <c r="N175" s="5"/>
      <c r="O175" s="5"/>
      <c r="P175" s="5"/>
      <c r="Q175" s="5"/>
      <c r="R175" s="5"/>
      <c r="S175" s="5"/>
      <c r="T175" s="5"/>
      <c r="U175" s="5"/>
      <c r="V175" s="5"/>
      <c r="W175" s="5"/>
      <c r="X175" s="5"/>
      <c r="Y175" s="5"/>
      <c r="Z175" s="5"/>
    </row>
    <row r="176" ht="19.5" customHeight="1">
      <c r="A176" s="52"/>
      <c r="B176" s="53"/>
      <c r="C176" s="53"/>
      <c r="D176" s="53"/>
      <c r="E176" s="53"/>
      <c r="F176" s="61"/>
      <c r="G176" s="53"/>
      <c r="H176" s="53"/>
      <c r="I176" s="53"/>
      <c r="J176" s="48" t="str">
        <f t="array" ref="J176">IF(G176="","",IFERROR(LET(ev_cost,INDEX(Events!$G$5:$G$505,MATCH(G176,Events!$A$5:$A$505,0)),ev_split,INDEX(Events!$I$5:$I$505,MATCH(G176,Events!$A$5:$A$505,0)),att_offset,MATCH(G176,Attendance!$B$3:$AV$3,0),attendees,COUNTIF(INDEX(Attendance!$B$7:$AV$206,0,att_offset),"1"),IF(ev_split="Equal Split",ev_cost/MAX(1,COUNTA(Roster!$A$5:$A$204)),ev_cost/MAX(1,attendees))),"N/A"))</f>
        <v/>
      </c>
      <c r="K176" s="5"/>
      <c r="L176" s="5"/>
      <c r="M176" s="5"/>
      <c r="N176" s="5"/>
      <c r="O176" s="5"/>
      <c r="P176" s="5"/>
      <c r="Q176" s="5"/>
      <c r="R176" s="5"/>
      <c r="S176" s="5"/>
      <c r="T176" s="5"/>
      <c r="U176" s="5"/>
      <c r="V176" s="5"/>
      <c r="W176" s="5"/>
      <c r="X176" s="5"/>
      <c r="Y176" s="5"/>
      <c r="Z176" s="5"/>
    </row>
    <row r="177" ht="19.5" customHeight="1">
      <c r="A177" s="49"/>
      <c r="B177" s="50"/>
      <c r="C177" s="50"/>
      <c r="D177" s="50"/>
      <c r="E177" s="50"/>
      <c r="F177" s="51"/>
      <c r="G177" s="50"/>
      <c r="H177" s="50"/>
      <c r="I177" s="50"/>
      <c r="J177" s="48" t="str">
        <f t="array" ref="J177">IF(G177="","",IFERROR(LET(ev_cost,INDEX(Events!$G$5:$G$505,MATCH(G177,Events!$A$5:$A$505,0)),ev_split,INDEX(Events!$I$5:$I$505,MATCH(G177,Events!$A$5:$A$505,0)),att_offset,MATCH(G177,Attendance!$B$3:$AV$3,0),attendees,COUNTIF(INDEX(Attendance!$B$7:$AV$206,0,att_offset),"1"),IF(ev_split="Equal Split",ev_cost/MAX(1,COUNTA(Roster!$A$5:$A$204)),ev_cost/MAX(1,attendees))),"N/A"))</f>
        <v/>
      </c>
      <c r="K177" s="5"/>
      <c r="L177" s="5"/>
      <c r="M177" s="5"/>
      <c r="N177" s="5"/>
      <c r="O177" s="5"/>
      <c r="P177" s="5"/>
      <c r="Q177" s="5"/>
      <c r="R177" s="5"/>
      <c r="S177" s="5"/>
      <c r="T177" s="5"/>
      <c r="U177" s="5"/>
      <c r="V177" s="5"/>
      <c r="W177" s="5"/>
      <c r="X177" s="5"/>
      <c r="Y177" s="5"/>
      <c r="Z177" s="5"/>
    </row>
    <row r="178" ht="19.5" customHeight="1">
      <c r="A178" s="52"/>
      <c r="B178" s="53"/>
      <c r="C178" s="53"/>
      <c r="D178" s="53"/>
      <c r="E178" s="53"/>
      <c r="F178" s="61"/>
      <c r="G178" s="53"/>
      <c r="H178" s="53"/>
      <c r="I178" s="53"/>
      <c r="J178" s="48" t="str">
        <f t="array" ref="J178">IF(G178="","",IFERROR(LET(ev_cost,INDEX(Events!$G$5:$G$505,MATCH(G178,Events!$A$5:$A$505,0)),ev_split,INDEX(Events!$I$5:$I$505,MATCH(G178,Events!$A$5:$A$505,0)),att_offset,MATCH(G178,Attendance!$B$3:$AV$3,0),attendees,COUNTIF(INDEX(Attendance!$B$7:$AV$206,0,att_offset),"1"),IF(ev_split="Equal Split",ev_cost/MAX(1,COUNTA(Roster!$A$5:$A$204)),ev_cost/MAX(1,attendees))),"N/A"))</f>
        <v/>
      </c>
      <c r="K178" s="5"/>
      <c r="L178" s="5"/>
      <c r="M178" s="5"/>
      <c r="N178" s="5"/>
      <c r="O178" s="5"/>
      <c r="P178" s="5"/>
      <c r="Q178" s="5"/>
      <c r="R178" s="5"/>
      <c r="S178" s="5"/>
      <c r="T178" s="5"/>
      <c r="U178" s="5"/>
      <c r="V178" s="5"/>
      <c r="W178" s="5"/>
      <c r="X178" s="5"/>
      <c r="Y178" s="5"/>
      <c r="Z178" s="5"/>
    </row>
    <row r="179" ht="19.5" customHeight="1">
      <c r="A179" s="49"/>
      <c r="B179" s="50"/>
      <c r="C179" s="50"/>
      <c r="D179" s="50"/>
      <c r="E179" s="50"/>
      <c r="F179" s="51"/>
      <c r="G179" s="50"/>
      <c r="H179" s="50"/>
      <c r="I179" s="50"/>
      <c r="J179" s="48" t="str">
        <f t="array" ref="J179">IF(G179="","",IFERROR(LET(ev_cost,INDEX(Events!$G$5:$G$505,MATCH(G179,Events!$A$5:$A$505,0)),ev_split,INDEX(Events!$I$5:$I$505,MATCH(G179,Events!$A$5:$A$505,0)),att_offset,MATCH(G179,Attendance!$B$3:$AV$3,0),attendees,COUNTIF(INDEX(Attendance!$B$7:$AV$206,0,att_offset),"1"),IF(ev_split="Equal Split",ev_cost/MAX(1,COUNTA(Roster!$A$5:$A$204)),ev_cost/MAX(1,attendees))),"N/A"))</f>
        <v/>
      </c>
      <c r="K179" s="5"/>
      <c r="L179" s="5"/>
      <c r="M179" s="5"/>
      <c r="N179" s="5"/>
      <c r="O179" s="5"/>
      <c r="P179" s="5"/>
      <c r="Q179" s="5"/>
      <c r="R179" s="5"/>
      <c r="S179" s="5"/>
      <c r="T179" s="5"/>
      <c r="U179" s="5"/>
      <c r="V179" s="5"/>
      <c r="W179" s="5"/>
      <c r="X179" s="5"/>
      <c r="Y179" s="5"/>
      <c r="Z179" s="5"/>
    </row>
    <row r="180" ht="19.5" customHeight="1">
      <c r="A180" s="52"/>
      <c r="B180" s="53"/>
      <c r="C180" s="53"/>
      <c r="D180" s="53"/>
      <c r="E180" s="53"/>
      <c r="F180" s="61"/>
      <c r="G180" s="53"/>
      <c r="H180" s="53"/>
      <c r="I180" s="53"/>
      <c r="J180" s="48" t="str">
        <f t="array" ref="J180">IF(G180="","",IFERROR(LET(ev_cost,INDEX(Events!$G$5:$G$505,MATCH(G180,Events!$A$5:$A$505,0)),ev_split,INDEX(Events!$I$5:$I$505,MATCH(G180,Events!$A$5:$A$505,0)),att_offset,MATCH(G180,Attendance!$B$3:$AV$3,0),attendees,COUNTIF(INDEX(Attendance!$B$7:$AV$206,0,att_offset),"1"),IF(ev_split="Equal Split",ev_cost/MAX(1,COUNTA(Roster!$A$5:$A$204)),ev_cost/MAX(1,attendees))),"N/A"))</f>
        <v/>
      </c>
      <c r="K180" s="5"/>
      <c r="L180" s="5"/>
      <c r="M180" s="5"/>
      <c r="N180" s="5"/>
      <c r="O180" s="5"/>
      <c r="P180" s="5"/>
      <c r="Q180" s="5"/>
      <c r="R180" s="5"/>
      <c r="S180" s="5"/>
      <c r="T180" s="5"/>
      <c r="U180" s="5"/>
      <c r="V180" s="5"/>
      <c r="W180" s="5"/>
      <c r="X180" s="5"/>
      <c r="Y180" s="5"/>
      <c r="Z180" s="5"/>
    </row>
    <row r="181" ht="19.5" customHeight="1">
      <c r="A181" s="49"/>
      <c r="B181" s="50"/>
      <c r="C181" s="50"/>
      <c r="D181" s="50"/>
      <c r="E181" s="50"/>
      <c r="F181" s="51"/>
      <c r="G181" s="50"/>
      <c r="H181" s="50"/>
      <c r="I181" s="50"/>
      <c r="J181" s="48" t="str">
        <f t="array" ref="J181">IF(G181="","",IFERROR(LET(ev_cost,INDEX(Events!$G$5:$G$505,MATCH(G181,Events!$A$5:$A$505,0)),ev_split,INDEX(Events!$I$5:$I$505,MATCH(G181,Events!$A$5:$A$505,0)),att_offset,MATCH(G181,Attendance!$B$3:$AV$3,0),attendees,COUNTIF(INDEX(Attendance!$B$7:$AV$206,0,att_offset),"1"),IF(ev_split="Equal Split",ev_cost/MAX(1,COUNTA(Roster!$A$5:$A$204)),ev_cost/MAX(1,attendees))),"N/A"))</f>
        <v/>
      </c>
      <c r="K181" s="5"/>
      <c r="L181" s="5"/>
      <c r="M181" s="5"/>
      <c r="N181" s="5"/>
      <c r="O181" s="5"/>
      <c r="P181" s="5"/>
      <c r="Q181" s="5"/>
      <c r="R181" s="5"/>
      <c r="S181" s="5"/>
      <c r="T181" s="5"/>
      <c r="U181" s="5"/>
      <c r="V181" s="5"/>
      <c r="W181" s="5"/>
      <c r="X181" s="5"/>
      <c r="Y181" s="5"/>
      <c r="Z181" s="5"/>
    </row>
    <row r="182" ht="19.5" customHeight="1">
      <c r="A182" s="52"/>
      <c r="B182" s="53"/>
      <c r="C182" s="53"/>
      <c r="D182" s="53"/>
      <c r="E182" s="53"/>
      <c r="F182" s="61"/>
      <c r="G182" s="53"/>
      <c r="H182" s="53"/>
      <c r="I182" s="53"/>
      <c r="J182" s="48" t="str">
        <f t="array" ref="J182">IF(G182="","",IFERROR(LET(ev_cost,INDEX(Events!$G$5:$G$505,MATCH(G182,Events!$A$5:$A$505,0)),ev_split,INDEX(Events!$I$5:$I$505,MATCH(G182,Events!$A$5:$A$505,0)),att_offset,MATCH(G182,Attendance!$B$3:$AV$3,0),attendees,COUNTIF(INDEX(Attendance!$B$7:$AV$206,0,att_offset),"1"),IF(ev_split="Equal Split",ev_cost/MAX(1,COUNTA(Roster!$A$5:$A$204)),ev_cost/MAX(1,attendees))),"N/A"))</f>
        <v/>
      </c>
      <c r="K182" s="5"/>
      <c r="L182" s="5"/>
      <c r="M182" s="5"/>
      <c r="N182" s="5"/>
      <c r="O182" s="5"/>
      <c r="P182" s="5"/>
      <c r="Q182" s="5"/>
      <c r="R182" s="5"/>
      <c r="S182" s="5"/>
      <c r="T182" s="5"/>
      <c r="U182" s="5"/>
      <c r="V182" s="5"/>
      <c r="W182" s="5"/>
      <c r="X182" s="5"/>
      <c r="Y182" s="5"/>
      <c r="Z182" s="5"/>
    </row>
    <row r="183" ht="19.5" customHeight="1">
      <c r="A183" s="49"/>
      <c r="B183" s="50"/>
      <c r="C183" s="50"/>
      <c r="D183" s="50"/>
      <c r="E183" s="50"/>
      <c r="F183" s="51"/>
      <c r="G183" s="50"/>
      <c r="H183" s="50"/>
      <c r="I183" s="50"/>
      <c r="J183" s="48" t="str">
        <f t="array" ref="J183">IF(G183="","",IFERROR(LET(ev_cost,INDEX(Events!$G$5:$G$505,MATCH(G183,Events!$A$5:$A$505,0)),ev_split,INDEX(Events!$I$5:$I$505,MATCH(G183,Events!$A$5:$A$505,0)),att_offset,MATCH(G183,Attendance!$B$3:$AV$3,0),attendees,COUNTIF(INDEX(Attendance!$B$7:$AV$206,0,att_offset),"1"),IF(ev_split="Equal Split",ev_cost/MAX(1,COUNTA(Roster!$A$5:$A$204)),ev_cost/MAX(1,attendees))),"N/A"))</f>
        <v/>
      </c>
      <c r="K183" s="5"/>
      <c r="L183" s="5"/>
      <c r="M183" s="5"/>
      <c r="N183" s="5"/>
      <c r="O183" s="5"/>
      <c r="P183" s="5"/>
      <c r="Q183" s="5"/>
      <c r="R183" s="5"/>
      <c r="S183" s="5"/>
      <c r="T183" s="5"/>
      <c r="U183" s="5"/>
      <c r="V183" s="5"/>
      <c r="W183" s="5"/>
      <c r="X183" s="5"/>
      <c r="Y183" s="5"/>
      <c r="Z183" s="5"/>
    </row>
    <row r="184" ht="19.5" customHeight="1">
      <c r="A184" s="52"/>
      <c r="B184" s="53"/>
      <c r="C184" s="53"/>
      <c r="D184" s="53"/>
      <c r="E184" s="53"/>
      <c r="F184" s="61"/>
      <c r="G184" s="53"/>
      <c r="H184" s="53"/>
      <c r="I184" s="53"/>
      <c r="J184" s="48" t="str">
        <f t="array" ref="J184">IF(G184="","",IFERROR(LET(ev_cost,INDEX(Events!$G$5:$G$505,MATCH(G184,Events!$A$5:$A$505,0)),ev_split,INDEX(Events!$I$5:$I$505,MATCH(G184,Events!$A$5:$A$505,0)),att_offset,MATCH(G184,Attendance!$B$3:$AV$3,0),attendees,COUNTIF(INDEX(Attendance!$B$7:$AV$206,0,att_offset),"1"),IF(ev_split="Equal Split",ev_cost/MAX(1,COUNTA(Roster!$A$5:$A$204)),ev_cost/MAX(1,attendees))),"N/A"))</f>
        <v/>
      </c>
      <c r="K184" s="5"/>
      <c r="L184" s="5"/>
      <c r="M184" s="5"/>
      <c r="N184" s="5"/>
      <c r="O184" s="5"/>
      <c r="P184" s="5"/>
      <c r="Q184" s="5"/>
      <c r="R184" s="5"/>
      <c r="S184" s="5"/>
      <c r="T184" s="5"/>
      <c r="U184" s="5"/>
      <c r="V184" s="5"/>
      <c r="W184" s="5"/>
      <c r="X184" s="5"/>
      <c r="Y184" s="5"/>
      <c r="Z184" s="5"/>
    </row>
    <row r="185" ht="19.5" customHeight="1">
      <c r="A185" s="49"/>
      <c r="B185" s="50"/>
      <c r="C185" s="50"/>
      <c r="D185" s="50"/>
      <c r="E185" s="50"/>
      <c r="F185" s="51"/>
      <c r="G185" s="50"/>
      <c r="H185" s="50"/>
      <c r="I185" s="50"/>
      <c r="J185" s="48" t="str">
        <f t="array" ref="J185">IF(G185="","",IFERROR(LET(ev_cost,INDEX(Events!$G$5:$G$505,MATCH(G185,Events!$A$5:$A$505,0)),ev_split,INDEX(Events!$I$5:$I$505,MATCH(G185,Events!$A$5:$A$505,0)),att_offset,MATCH(G185,Attendance!$B$3:$AV$3,0),attendees,COUNTIF(INDEX(Attendance!$B$7:$AV$206,0,att_offset),"1"),IF(ev_split="Equal Split",ev_cost/MAX(1,COUNTA(Roster!$A$5:$A$204)),ev_cost/MAX(1,attendees))),"N/A"))</f>
        <v/>
      </c>
      <c r="K185" s="5"/>
      <c r="L185" s="5"/>
      <c r="M185" s="5"/>
      <c r="N185" s="5"/>
      <c r="O185" s="5"/>
      <c r="P185" s="5"/>
      <c r="Q185" s="5"/>
      <c r="R185" s="5"/>
      <c r="S185" s="5"/>
      <c r="T185" s="5"/>
      <c r="U185" s="5"/>
      <c r="V185" s="5"/>
      <c r="W185" s="5"/>
      <c r="X185" s="5"/>
      <c r="Y185" s="5"/>
      <c r="Z185" s="5"/>
    </row>
    <row r="186" ht="19.5" customHeight="1">
      <c r="A186" s="52"/>
      <c r="B186" s="53"/>
      <c r="C186" s="53"/>
      <c r="D186" s="53"/>
      <c r="E186" s="53"/>
      <c r="F186" s="61"/>
      <c r="G186" s="53"/>
      <c r="H186" s="53"/>
      <c r="I186" s="53"/>
      <c r="J186" s="48" t="str">
        <f t="array" ref="J186">IF(G186="","",IFERROR(LET(ev_cost,INDEX(Events!$G$5:$G$505,MATCH(G186,Events!$A$5:$A$505,0)),ev_split,INDEX(Events!$I$5:$I$505,MATCH(G186,Events!$A$5:$A$505,0)),att_offset,MATCH(G186,Attendance!$B$3:$AV$3,0),attendees,COUNTIF(INDEX(Attendance!$B$7:$AV$206,0,att_offset),"1"),IF(ev_split="Equal Split",ev_cost/MAX(1,COUNTA(Roster!$A$5:$A$204)),ev_cost/MAX(1,attendees))),"N/A"))</f>
        <v/>
      </c>
      <c r="K186" s="5"/>
      <c r="L186" s="5"/>
      <c r="M186" s="5"/>
      <c r="N186" s="5"/>
      <c r="O186" s="5"/>
      <c r="P186" s="5"/>
      <c r="Q186" s="5"/>
      <c r="R186" s="5"/>
      <c r="S186" s="5"/>
      <c r="T186" s="5"/>
      <c r="U186" s="5"/>
      <c r="V186" s="5"/>
      <c r="W186" s="5"/>
      <c r="X186" s="5"/>
      <c r="Y186" s="5"/>
      <c r="Z186" s="5"/>
    </row>
    <row r="187" ht="19.5" customHeight="1">
      <c r="A187" s="49"/>
      <c r="B187" s="50"/>
      <c r="C187" s="50"/>
      <c r="D187" s="50"/>
      <c r="E187" s="50"/>
      <c r="F187" s="51"/>
      <c r="G187" s="50"/>
      <c r="H187" s="50"/>
      <c r="I187" s="50"/>
      <c r="J187" s="48" t="str">
        <f t="array" ref="J187">IF(G187="","",IFERROR(LET(ev_cost,INDEX(Events!$G$5:$G$505,MATCH(G187,Events!$A$5:$A$505,0)),ev_split,INDEX(Events!$I$5:$I$505,MATCH(G187,Events!$A$5:$A$505,0)),att_offset,MATCH(G187,Attendance!$B$3:$AV$3,0),attendees,COUNTIF(INDEX(Attendance!$B$7:$AV$206,0,att_offset),"1"),IF(ev_split="Equal Split",ev_cost/MAX(1,COUNTA(Roster!$A$5:$A$204)),ev_cost/MAX(1,attendees))),"N/A"))</f>
        <v/>
      </c>
      <c r="K187" s="5"/>
      <c r="L187" s="5"/>
      <c r="M187" s="5"/>
      <c r="N187" s="5"/>
      <c r="O187" s="5"/>
      <c r="P187" s="5"/>
      <c r="Q187" s="5"/>
      <c r="R187" s="5"/>
      <c r="S187" s="5"/>
      <c r="T187" s="5"/>
      <c r="U187" s="5"/>
      <c r="V187" s="5"/>
      <c r="W187" s="5"/>
      <c r="X187" s="5"/>
      <c r="Y187" s="5"/>
      <c r="Z187" s="5"/>
    </row>
    <row r="188" ht="19.5" customHeight="1">
      <c r="A188" s="52"/>
      <c r="B188" s="53"/>
      <c r="C188" s="53"/>
      <c r="D188" s="53"/>
      <c r="E188" s="53"/>
      <c r="F188" s="61"/>
      <c r="G188" s="53"/>
      <c r="H188" s="53"/>
      <c r="I188" s="53"/>
      <c r="J188" s="48" t="str">
        <f t="array" ref="J188">IF(G188="","",IFERROR(LET(ev_cost,INDEX(Events!$G$5:$G$505,MATCH(G188,Events!$A$5:$A$505,0)),ev_split,INDEX(Events!$I$5:$I$505,MATCH(G188,Events!$A$5:$A$505,0)),att_offset,MATCH(G188,Attendance!$B$3:$AV$3,0),attendees,COUNTIF(INDEX(Attendance!$B$7:$AV$206,0,att_offset),"1"),IF(ev_split="Equal Split",ev_cost/MAX(1,COUNTA(Roster!$A$5:$A$204)),ev_cost/MAX(1,attendees))),"N/A"))</f>
        <v/>
      </c>
      <c r="K188" s="5"/>
      <c r="L188" s="5"/>
      <c r="M188" s="5"/>
      <c r="N188" s="5"/>
      <c r="O188" s="5"/>
      <c r="P188" s="5"/>
      <c r="Q188" s="5"/>
      <c r="R188" s="5"/>
      <c r="S188" s="5"/>
      <c r="T188" s="5"/>
      <c r="U188" s="5"/>
      <c r="V188" s="5"/>
      <c r="W188" s="5"/>
      <c r="X188" s="5"/>
      <c r="Y188" s="5"/>
      <c r="Z188" s="5"/>
    </row>
    <row r="189" ht="19.5" customHeight="1">
      <c r="A189" s="49"/>
      <c r="B189" s="50"/>
      <c r="C189" s="50"/>
      <c r="D189" s="50"/>
      <c r="E189" s="50"/>
      <c r="F189" s="51"/>
      <c r="G189" s="50"/>
      <c r="H189" s="50"/>
      <c r="I189" s="50"/>
      <c r="J189" s="48" t="str">
        <f t="array" ref="J189">IF(G189="","",IFERROR(LET(ev_cost,INDEX(Events!$G$5:$G$505,MATCH(G189,Events!$A$5:$A$505,0)),ev_split,INDEX(Events!$I$5:$I$505,MATCH(G189,Events!$A$5:$A$505,0)),att_offset,MATCH(G189,Attendance!$B$3:$AV$3,0),attendees,COUNTIF(INDEX(Attendance!$B$7:$AV$206,0,att_offset),"1"),IF(ev_split="Equal Split",ev_cost/MAX(1,COUNTA(Roster!$A$5:$A$204)),ev_cost/MAX(1,attendees))),"N/A"))</f>
        <v/>
      </c>
      <c r="K189" s="5"/>
      <c r="L189" s="5"/>
      <c r="M189" s="5"/>
      <c r="N189" s="5"/>
      <c r="O189" s="5"/>
      <c r="P189" s="5"/>
      <c r="Q189" s="5"/>
      <c r="R189" s="5"/>
      <c r="S189" s="5"/>
      <c r="T189" s="5"/>
      <c r="U189" s="5"/>
      <c r="V189" s="5"/>
      <c r="W189" s="5"/>
      <c r="X189" s="5"/>
      <c r="Y189" s="5"/>
      <c r="Z189" s="5"/>
    </row>
    <row r="190" ht="19.5" customHeight="1">
      <c r="A190" s="52"/>
      <c r="B190" s="53"/>
      <c r="C190" s="53"/>
      <c r="D190" s="53"/>
      <c r="E190" s="53"/>
      <c r="F190" s="61"/>
      <c r="G190" s="53"/>
      <c r="H190" s="53"/>
      <c r="I190" s="53"/>
      <c r="J190" s="48" t="str">
        <f t="array" ref="J190">IF(G190="","",IFERROR(LET(ev_cost,INDEX(Events!$G$5:$G$505,MATCH(G190,Events!$A$5:$A$505,0)),ev_split,INDEX(Events!$I$5:$I$505,MATCH(G190,Events!$A$5:$A$505,0)),att_offset,MATCH(G190,Attendance!$B$3:$AV$3,0),attendees,COUNTIF(INDEX(Attendance!$B$7:$AV$206,0,att_offset),"1"),IF(ev_split="Equal Split",ev_cost/MAX(1,COUNTA(Roster!$A$5:$A$204)),ev_cost/MAX(1,attendees))),"N/A"))</f>
        <v/>
      </c>
      <c r="K190" s="5"/>
      <c r="L190" s="5"/>
      <c r="M190" s="5"/>
      <c r="N190" s="5"/>
      <c r="O190" s="5"/>
      <c r="P190" s="5"/>
      <c r="Q190" s="5"/>
      <c r="R190" s="5"/>
      <c r="S190" s="5"/>
      <c r="T190" s="5"/>
      <c r="U190" s="5"/>
      <c r="V190" s="5"/>
      <c r="W190" s="5"/>
      <c r="X190" s="5"/>
      <c r="Y190" s="5"/>
      <c r="Z190" s="5"/>
    </row>
    <row r="191" ht="19.5" customHeight="1">
      <c r="A191" s="49"/>
      <c r="B191" s="50"/>
      <c r="C191" s="50"/>
      <c r="D191" s="50"/>
      <c r="E191" s="50"/>
      <c r="F191" s="51"/>
      <c r="G191" s="50"/>
      <c r="H191" s="50"/>
      <c r="I191" s="50"/>
      <c r="J191" s="48" t="str">
        <f t="array" ref="J191">IF(G191="","",IFERROR(LET(ev_cost,INDEX(Events!$G$5:$G$505,MATCH(G191,Events!$A$5:$A$505,0)),ev_split,INDEX(Events!$I$5:$I$505,MATCH(G191,Events!$A$5:$A$505,0)),att_offset,MATCH(G191,Attendance!$B$3:$AV$3,0),attendees,COUNTIF(INDEX(Attendance!$B$7:$AV$206,0,att_offset),"1"),IF(ev_split="Equal Split",ev_cost/MAX(1,COUNTA(Roster!$A$5:$A$204)),ev_cost/MAX(1,attendees))),"N/A"))</f>
        <v/>
      </c>
      <c r="K191" s="5"/>
      <c r="L191" s="5"/>
      <c r="M191" s="5"/>
      <c r="N191" s="5"/>
      <c r="O191" s="5"/>
      <c r="P191" s="5"/>
      <c r="Q191" s="5"/>
      <c r="R191" s="5"/>
      <c r="S191" s="5"/>
      <c r="T191" s="5"/>
      <c r="U191" s="5"/>
      <c r="V191" s="5"/>
      <c r="W191" s="5"/>
      <c r="X191" s="5"/>
      <c r="Y191" s="5"/>
      <c r="Z191" s="5"/>
    </row>
    <row r="192" ht="19.5" customHeight="1">
      <c r="A192" s="52"/>
      <c r="B192" s="53"/>
      <c r="C192" s="53"/>
      <c r="D192" s="53"/>
      <c r="E192" s="53"/>
      <c r="F192" s="61"/>
      <c r="G192" s="53"/>
      <c r="H192" s="53"/>
      <c r="I192" s="53"/>
      <c r="J192" s="48" t="str">
        <f t="array" ref="J192">IF(G192="","",IFERROR(LET(ev_cost,INDEX(Events!$G$5:$G$505,MATCH(G192,Events!$A$5:$A$505,0)),ev_split,INDEX(Events!$I$5:$I$505,MATCH(G192,Events!$A$5:$A$505,0)),att_offset,MATCH(G192,Attendance!$B$3:$AV$3,0),attendees,COUNTIF(INDEX(Attendance!$B$7:$AV$206,0,att_offset),"1"),IF(ev_split="Equal Split",ev_cost/MAX(1,COUNTA(Roster!$A$5:$A$204)),ev_cost/MAX(1,attendees))),"N/A"))</f>
        <v/>
      </c>
      <c r="K192" s="5"/>
      <c r="L192" s="5"/>
      <c r="M192" s="5"/>
      <c r="N192" s="5"/>
      <c r="O192" s="5"/>
      <c r="P192" s="5"/>
      <c r="Q192" s="5"/>
      <c r="R192" s="5"/>
      <c r="S192" s="5"/>
      <c r="T192" s="5"/>
      <c r="U192" s="5"/>
      <c r="V192" s="5"/>
      <c r="W192" s="5"/>
      <c r="X192" s="5"/>
      <c r="Y192" s="5"/>
      <c r="Z192" s="5"/>
    </row>
    <row r="193" ht="19.5" customHeight="1">
      <c r="A193" s="49"/>
      <c r="B193" s="50"/>
      <c r="C193" s="50"/>
      <c r="D193" s="50"/>
      <c r="E193" s="50"/>
      <c r="F193" s="51"/>
      <c r="G193" s="50"/>
      <c r="H193" s="50"/>
      <c r="I193" s="50"/>
      <c r="J193" s="48" t="str">
        <f t="array" ref="J193">IF(G193="","",IFERROR(LET(ev_cost,INDEX(Events!$G$5:$G$505,MATCH(G193,Events!$A$5:$A$505,0)),ev_split,INDEX(Events!$I$5:$I$505,MATCH(G193,Events!$A$5:$A$505,0)),att_offset,MATCH(G193,Attendance!$B$3:$AV$3,0),attendees,COUNTIF(INDEX(Attendance!$B$7:$AV$206,0,att_offset),"1"),IF(ev_split="Equal Split",ev_cost/MAX(1,COUNTA(Roster!$A$5:$A$204)),ev_cost/MAX(1,attendees))),"N/A"))</f>
        <v/>
      </c>
      <c r="K193" s="5"/>
      <c r="L193" s="5"/>
      <c r="M193" s="5"/>
      <c r="N193" s="5"/>
      <c r="O193" s="5"/>
      <c r="P193" s="5"/>
      <c r="Q193" s="5"/>
      <c r="R193" s="5"/>
      <c r="S193" s="5"/>
      <c r="T193" s="5"/>
      <c r="U193" s="5"/>
      <c r="V193" s="5"/>
      <c r="W193" s="5"/>
      <c r="X193" s="5"/>
      <c r="Y193" s="5"/>
      <c r="Z193" s="5"/>
    </row>
    <row r="194" ht="19.5" customHeight="1">
      <c r="A194" s="52"/>
      <c r="B194" s="53"/>
      <c r="C194" s="53"/>
      <c r="D194" s="53"/>
      <c r="E194" s="53"/>
      <c r="F194" s="61"/>
      <c r="G194" s="53"/>
      <c r="H194" s="53"/>
      <c r="I194" s="53"/>
      <c r="J194" s="48" t="str">
        <f t="array" ref="J194">IF(G194="","",IFERROR(LET(ev_cost,INDEX(Events!$G$5:$G$505,MATCH(G194,Events!$A$5:$A$505,0)),ev_split,INDEX(Events!$I$5:$I$505,MATCH(G194,Events!$A$5:$A$505,0)),att_offset,MATCH(G194,Attendance!$B$3:$AV$3,0),attendees,COUNTIF(INDEX(Attendance!$B$7:$AV$206,0,att_offset),"1"),IF(ev_split="Equal Split",ev_cost/MAX(1,COUNTA(Roster!$A$5:$A$204)),ev_cost/MAX(1,attendees))),"N/A"))</f>
        <v/>
      </c>
      <c r="K194" s="5"/>
      <c r="L194" s="5"/>
      <c r="M194" s="5"/>
      <c r="N194" s="5"/>
      <c r="O194" s="5"/>
      <c r="P194" s="5"/>
      <c r="Q194" s="5"/>
      <c r="R194" s="5"/>
      <c r="S194" s="5"/>
      <c r="T194" s="5"/>
      <c r="U194" s="5"/>
      <c r="V194" s="5"/>
      <c r="W194" s="5"/>
      <c r="X194" s="5"/>
      <c r="Y194" s="5"/>
      <c r="Z194" s="5"/>
    </row>
    <row r="195" ht="19.5" customHeight="1">
      <c r="A195" s="49"/>
      <c r="B195" s="50"/>
      <c r="C195" s="50"/>
      <c r="D195" s="50"/>
      <c r="E195" s="50"/>
      <c r="F195" s="51"/>
      <c r="G195" s="50"/>
      <c r="H195" s="50"/>
      <c r="I195" s="50"/>
      <c r="J195" s="48" t="str">
        <f t="array" ref="J195">IF(G195="","",IFERROR(LET(ev_cost,INDEX(Events!$G$5:$G$505,MATCH(G195,Events!$A$5:$A$505,0)),ev_split,INDEX(Events!$I$5:$I$505,MATCH(G195,Events!$A$5:$A$505,0)),att_offset,MATCH(G195,Attendance!$B$3:$AV$3,0),attendees,COUNTIF(INDEX(Attendance!$B$7:$AV$206,0,att_offset),"1"),IF(ev_split="Equal Split",ev_cost/MAX(1,COUNTA(Roster!$A$5:$A$204)),ev_cost/MAX(1,attendees))),"N/A"))</f>
        <v/>
      </c>
      <c r="K195" s="5"/>
      <c r="L195" s="5"/>
      <c r="M195" s="5"/>
      <c r="N195" s="5"/>
      <c r="O195" s="5"/>
      <c r="P195" s="5"/>
      <c r="Q195" s="5"/>
      <c r="R195" s="5"/>
      <c r="S195" s="5"/>
      <c r="T195" s="5"/>
      <c r="U195" s="5"/>
      <c r="V195" s="5"/>
      <c r="W195" s="5"/>
      <c r="X195" s="5"/>
      <c r="Y195" s="5"/>
      <c r="Z195" s="5"/>
    </row>
    <row r="196" ht="19.5" customHeight="1">
      <c r="A196" s="52"/>
      <c r="B196" s="53"/>
      <c r="C196" s="53"/>
      <c r="D196" s="53"/>
      <c r="E196" s="53"/>
      <c r="F196" s="61"/>
      <c r="G196" s="53"/>
      <c r="H196" s="53"/>
      <c r="I196" s="53"/>
      <c r="J196" s="48" t="str">
        <f t="array" ref="J196">IF(G196="","",IFERROR(LET(ev_cost,INDEX(Events!$G$5:$G$505,MATCH(G196,Events!$A$5:$A$505,0)),ev_split,INDEX(Events!$I$5:$I$505,MATCH(G196,Events!$A$5:$A$505,0)),att_offset,MATCH(G196,Attendance!$B$3:$AV$3,0),attendees,COUNTIF(INDEX(Attendance!$B$7:$AV$206,0,att_offset),"1"),IF(ev_split="Equal Split",ev_cost/MAX(1,COUNTA(Roster!$A$5:$A$204)),ev_cost/MAX(1,attendees))),"N/A"))</f>
        <v/>
      </c>
      <c r="K196" s="5"/>
      <c r="L196" s="5"/>
      <c r="M196" s="5"/>
      <c r="N196" s="5"/>
      <c r="O196" s="5"/>
      <c r="P196" s="5"/>
      <c r="Q196" s="5"/>
      <c r="R196" s="5"/>
      <c r="S196" s="5"/>
      <c r="T196" s="5"/>
      <c r="U196" s="5"/>
      <c r="V196" s="5"/>
      <c r="W196" s="5"/>
      <c r="X196" s="5"/>
      <c r="Y196" s="5"/>
      <c r="Z196" s="5"/>
    </row>
    <row r="197" ht="19.5" customHeight="1">
      <c r="A197" s="49"/>
      <c r="B197" s="50"/>
      <c r="C197" s="50"/>
      <c r="D197" s="50"/>
      <c r="E197" s="50"/>
      <c r="F197" s="51"/>
      <c r="G197" s="50"/>
      <c r="H197" s="50"/>
      <c r="I197" s="50"/>
      <c r="J197" s="48" t="str">
        <f t="array" ref="J197">IF(G197="","",IFERROR(LET(ev_cost,INDEX(Events!$G$5:$G$505,MATCH(G197,Events!$A$5:$A$505,0)),ev_split,INDEX(Events!$I$5:$I$505,MATCH(G197,Events!$A$5:$A$505,0)),att_offset,MATCH(G197,Attendance!$B$3:$AV$3,0),attendees,COUNTIF(INDEX(Attendance!$B$7:$AV$206,0,att_offset),"1"),IF(ev_split="Equal Split",ev_cost/MAX(1,COUNTA(Roster!$A$5:$A$204)),ev_cost/MAX(1,attendees))),"N/A"))</f>
        <v/>
      </c>
      <c r="K197" s="5"/>
      <c r="L197" s="5"/>
      <c r="M197" s="5"/>
      <c r="N197" s="5"/>
      <c r="O197" s="5"/>
      <c r="P197" s="5"/>
      <c r="Q197" s="5"/>
      <c r="R197" s="5"/>
      <c r="S197" s="5"/>
      <c r="T197" s="5"/>
      <c r="U197" s="5"/>
      <c r="V197" s="5"/>
      <c r="W197" s="5"/>
      <c r="X197" s="5"/>
      <c r="Y197" s="5"/>
      <c r="Z197" s="5"/>
    </row>
    <row r="198" ht="19.5" customHeight="1">
      <c r="A198" s="52"/>
      <c r="B198" s="53"/>
      <c r="C198" s="53"/>
      <c r="D198" s="53"/>
      <c r="E198" s="53"/>
      <c r="F198" s="61"/>
      <c r="G198" s="53"/>
      <c r="H198" s="53"/>
      <c r="I198" s="53"/>
      <c r="J198" s="48" t="str">
        <f t="array" ref="J198">IF(G198="","",IFERROR(LET(ev_cost,INDEX(Events!$G$5:$G$505,MATCH(G198,Events!$A$5:$A$505,0)),ev_split,INDEX(Events!$I$5:$I$505,MATCH(G198,Events!$A$5:$A$505,0)),att_offset,MATCH(G198,Attendance!$B$3:$AV$3,0),attendees,COUNTIF(INDEX(Attendance!$B$7:$AV$206,0,att_offset),"1"),IF(ev_split="Equal Split",ev_cost/MAX(1,COUNTA(Roster!$A$5:$A$204)),ev_cost/MAX(1,attendees))),"N/A"))</f>
        <v/>
      </c>
      <c r="K198" s="5"/>
      <c r="L198" s="5"/>
      <c r="M198" s="5"/>
      <c r="N198" s="5"/>
      <c r="O198" s="5"/>
      <c r="P198" s="5"/>
      <c r="Q198" s="5"/>
      <c r="R198" s="5"/>
      <c r="S198" s="5"/>
      <c r="T198" s="5"/>
      <c r="U198" s="5"/>
      <c r="V198" s="5"/>
      <c r="W198" s="5"/>
      <c r="X198" s="5"/>
      <c r="Y198" s="5"/>
      <c r="Z198" s="5"/>
    </row>
    <row r="199" ht="19.5" customHeight="1">
      <c r="A199" s="49"/>
      <c r="B199" s="50"/>
      <c r="C199" s="50"/>
      <c r="D199" s="50"/>
      <c r="E199" s="50"/>
      <c r="F199" s="51"/>
      <c r="G199" s="50"/>
      <c r="H199" s="50"/>
      <c r="I199" s="50"/>
      <c r="J199" s="48" t="str">
        <f t="array" ref="J199">IF(G199="","",IFERROR(LET(ev_cost,INDEX(Events!$G$5:$G$505,MATCH(G199,Events!$A$5:$A$505,0)),ev_split,INDEX(Events!$I$5:$I$505,MATCH(G199,Events!$A$5:$A$505,0)),att_offset,MATCH(G199,Attendance!$B$3:$AV$3,0),attendees,COUNTIF(INDEX(Attendance!$B$7:$AV$206,0,att_offset),"1"),IF(ev_split="Equal Split",ev_cost/MAX(1,COUNTA(Roster!$A$5:$A$204)),ev_cost/MAX(1,attendees))),"N/A"))</f>
        <v/>
      </c>
      <c r="K199" s="5"/>
      <c r="L199" s="5"/>
      <c r="M199" s="5"/>
      <c r="N199" s="5"/>
      <c r="O199" s="5"/>
      <c r="P199" s="5"/>
      <c r="Q199" s="5"/>
      <c r="R199" s="5"/>
      <c r="S199" s="5"/>
      <c r="T199" s="5"/>
      <c r="U199" s="5"/>
      <c r="V199" s="5"/>
      <c r="W199" s="5"/>
      <c r="X199" s="5"/>
      <c r="Y199" s="5"/>
      <c r="Z199" s="5"/>
    </row>
    <row r="200" ht="19.5" customHeight="1">
      <c r="A200" s="52"/>
      <c r="B200" s="53"/>
      <c r="C200" s="53"/>
      <c r="D200" s="53"/>
      <c r="E200" s="53"/>
      <c r="F200" s="61"/>
      <c r="G200" s="53"/>
      <c r="H200" s="53"/>
      <c r="I200" s="53"/>
      <c r="J200" s="48" t="str">
        <f t="array" ref="J200">IF(G200="","",IFERROR(LET(ev_cost,INDEX(Events!$G$5:$G$505,MATCH(G200,Events!$A$5:$A$505,0)),ev_split,INDEX(Events!$I$5:$I$505,MATCH(G200,Events!$A$5:$A$505,0)),att_offset,MATCH(G200,Attendance!$B$3:$AV$3,0),attendees,COUNTIF(INDEX(Attendance!$B$7:$AV$206,0,att_offset),"1"),IF(ev_split="Equal Split",ev_cost/MAX(1,COUNTA(Roster!$A$5:$A$204)),ev_cost/MAX(1,attendees))),"N/A"))</f>
        <v/>
      </c>
      <c r="K200" s="5"/>
      <c r="L200" s="5"/>
      <c r="M200" s="5"/>
      <c r="N200" s="5"/>
      <c r="O200" s="5"/>
      <c r="P200" s="5"/>
      <c r="Q200" s="5"/>
      <c r="R200" s="5"/>
      <c r="S200" s="5"/>
      <c r="T200" s="5"/>
      <c r="U200" s="5"/>
      <c r="V200" s="5"/>
      <c r="W200" s="5"/>
      <c r="X200" s="5"/>
      <c r="Y200" s="5"/>
      <c r="Z200" s="5"/>
    </row>
    <row r="201" ht="19.5" customHeight="1">
      <c r="A201" s="49"/>
      <c r="B201" s="50"/>
      <c r="C201" s="50"/>
      <c r="D201" s="50"/>
      <c r="E201" s="50"/>
      <c r="F201" s="51"/>
      <c r="G201" s="50"/>
      <c r="H201" s="50"/>
      <c r="I201" s="50"/>
      <c r="J201" s="48" t="str">
        <f t="array" ref="J201">IF(G201="","",IFERROR(LET(ev_cost,INDEX(Events!$G$5:$G$505,MATCH(G201,Events!$A$5:$A$505,0)),ev_split,INDEX(Events!$I$5:$I$505,MATCH(G201,Events!$A$5:$A$505,0)),att_offset,MATCH(G201,Attendance!$B$3:$AV$3,0),attendees,COUNTIF(INDEX(Attendance!$B$7:$AV$206,0,att_offset),"1"),IF(ev_split="Equal Split",ev_cost/MAX(1,COUNTA(Roster!$A$5:$A$204)),ev_cost/MAX(1,attendees))),"N/A"))</f>
        <v/>
      </c>
      <c r="K201" s="5"/>
      <c r="L201" s="5"/>
      <c r="M201" s="5"/>
      <c r="N201" s="5"/>
      <c r="O201" s="5"/>
      <c r="P201" s="5"/>
      <c r="Q201" s="5"/>
      <c r="R201" s="5"/>
      <c r="S201" s="5"/>
      <c r="T201" s="5"/>
      <c r="U201" s="5"/>
      <c r="V201" s="5"/>
      <c r="W201" s="5"/>
      <c r="X201" s="5"/>
      <c r="Y201" s="5"/>
      <c r="Z201" s="5"/>
    </row>
    <row r="202" ht="19.5" customHeight="1">
      <c r="A202" s="52"/>
      <c r="B202" s="53"/>
      <c r="C202" s="53"/>
      <c r="D202" s="53"/>
      <c r="E202" s="53"/>
      <c r="F202" s="61"/>
      <c r="G202" s="53"/>
      <c r="H202" s="53"/>
      <c r="I202" s="53"/>
      <c r="J202" s="48" t="str">
        <f t="array" ref="J202">IF(G202="","",IFERROR(LET(ev_cost,INDEX(Events!$G$5:$G$505,MATCH(G202,Events!$A$5:$A$505,0)),ev_split,INDEX(Events!$I$5:$I$505,MATCH(G202,Events!$A$5:$A$505,0)),att_offset,MATCH(G202,Attendance!$B$3:$AV$3,0),attendees,COUNTIF(INDEX(Attendance!$B$7:$AV$206,0,att_offset),"1"),IF(ev_split="Equal Split",ev_cost/MAX(1,COUNTA(Roster!$A$5:$A$204)),ev_cost/MAX(1,attendees))),"N/A"))</f>
        <v/>
      </c>
      <c r="K202" s="5"/>
      <c r="L202" s="5"/>
      <c r="M202" s="5"/>
      <c r="N202" s="5"/>
      <c r="O202" s="5"/>
      <c r="P202" s="5"/>
      <c r="Q202" s="5"/>
      <c r="R202" s="5"/>
      <c r="S202" s="5"/>
      <c r="T202" s="5"/>
      <c r="U202" s="5"/>
      <c r="V202" s="5"/>
      <c r="W202" s="5"/>
      <c r="X202" s="5"/>
      <c r="Y202" s="5"/>
      <c r="Z202" s="5"/>
    </row>
    <row r="203" ht="19.5" customHeight="1">
      <c r="A203" s="49"/>
      <c r="B203" s="50"/>
      <c r="C203" s="50"/>
      <c r="D203" s="50"/>
      <c r="E203" s="50"/>
      <c r="F203" s="51"/>
      <c r="G203" s="50"/>
      <c r="H203" s="50"/>
      <c r="I203" s="50"/>
      <c r="J203" s="48" t="str">
        <f t="array" ref="J203">IF(G203="","",IFERROR(LET(ev_cost,INDEX(Events!$G$5:$G$505,MATCH(G203,Events!$A$5:$A$505,0)),ev_split,INDEX(Events!$I$5:$I$505,MATCH(G203,Events!$A$5:$A$505,0)),att_offset,MATCH(G203,Attendance!$B$3:$AV$3,0),attendees,COUNTIF(INDEX(Attendance!$B$7:$AV$206,0,att_offset),"1"),IF(ev_split="Equal Split",ev_cost/MAX(1,COUNTA(Roster!$A$5:$A$204)),ev_cost/MAX(1,attendees))),"N/A"))</f>
        <v/>
      </c>
      <c r="K203" s="5"/>
      <c r="L203" s="5"/>
      <c r="M203" s="5"/>
      <c r="N203" s="5"/>
      <c r="O203" s="5"/>
      <c r="P203" s="5"/>
      <c r="Q203" s="5"/>
      <c r="R203" s="5"/>
      <c r="S203" s="5"/>
      <c r="T203" s="5"/>
      <c r="U203" s="5"/>
      <c r="V203" s="5"/>
      <c r="W203" s="5"/>
      <c r="X203" s="5"/>
      <c r="Y203" s="5"/>
      <c r="Z203" s="5"/>
    </row>
    <row r="204" ht="19.5" customHeight="1">
      <c r="A204" s="52"/>
      <c r="B204" s="53"/>
      <c r="C204" s="53"/>
      <c r="D204" s="53"/>
      <c r="E204" s="53"/>
      <c r="F204" s="61"/>
      <c r="G204" s="53"/>
      <c r="H204" s="53"/>
      <c r="I204" s="53"/>
      <c r="J204" s="48" t="str">
        <f t="array" ref="J204">IF(G204="","",IFERROR(LET(ev_cost,INDEX(Events!$G$5:$G$505,MATCH(G204,Events!$A$5:$A$505,0)),ev_split,INDEX(Events!$I$5:$I$505,MATCH(G204,Events!$A$5:$A$505,0)),att_offset,MATCH(G204,Attendance!$B$3:$AV$3,0),attendees,COUNTIF(INDEX(Attendance!$B$7:$AV$206,0,att_offset),"1"),IF(ev_split="Equal Split",ev_cost/MAX(1,COUNTA(Roster!$A$5:$A$204)),ev_cost/MAX(1,attendees))),"N/A"))</f>
        <v/>
      </c>
      <c r="K204" s="5"/>
      <c r="L204" s="5"/>
      <c r="M204" s="5"/>
      <c r="N204" s="5"/>
      <c r="O204" s="5"/>
      <c r="P204" s="5"/>
      <c r="Q204" s="5"/>
      <c r="R204" s="5"/>
      <c r="S204" s="5"/>
      <c r="T204" s="5"/>
      <c r="U204" s="5"/>
      <c r="V204" s="5"/>
      <c r="W204" s="5"/>
      <c r="X204" s="5"/>
      <c r="Y204" s="5"/>
      <c r="Z204" s="5"/>
    </row>
    <row r="205" ht="19.5" customHeight="1">
      <c r="A205" s="49"/>
      <c r="B205" s="50"/>
      <c r="C205" s="50"/>
      <c r="D205" s="50"/>
      <c r="E205" s="50"/>
      <c r="F205" s="51"/>
      <c r="G205" s="50"/>
      <c r="H205" s="50"/>
      <c r="I205" s="50"/>
      <c r="J205" s="48" t="str">
        <f t="array" ref="J205">IF(G205="","",IFERROR(LET(ev_cost,INDEX(Events!$G$5:$G$505,MATCH(G205,Events!$A$5:$A$505,0)),ev_split,INDEX(Events!$I$5:$I$505,MATCH(G205,Events!$A$5:$A$505,0)),att_offset,MATCH(G205,Attendance!$B$3:$AV$3,0),attendees,COUNTIF(INDEX(Attendance!$B$7:$AV$206,0,att_offset),"1"),IF(ev_split="Equal Split",ev_cost/MAX(1,COUNTA(Roster!$A$5:$A$204)),ev_cost/MAX(1,attendees))),"N/A"))</f>
        <v/>
      </c>
      <c r="K205" s="5"/>
      <c r="L205" s="5"/>
      <c r="M205" s="5"/>
      <c r="N205" s="5"/>
      <c r="O205" s="5"/>
      <c r="P205" s="5"/>
      <c r="Q205" s="5"/>
      <c r="R205" s="5"/>
      <c r="S205" s="5"/>
      <c r="T205" s="5"/>
      <c r="U205" s="5"/>
      <c r="V205" s="5"/>
      <c r="W205" s="5"/>
      <c r="X205" s="5"/>
      <c r="Y205" s="5"/>
      <c r="Z205" s="5"/>
    </row>
    <row r="206" ht="19.5" customHeight="1">
      <c r="A206" s="52"/>
      <c r="B206" s="53"/>
      <c r="C206" s="53"/>
      <c r="D206" s="53"/>
      <c r="E206" s="53"/>
      <c r="F206" s="61"/>
      <c r="G206" s="53"/>
      <c r="H206" s="53"/>
      <c r="I206" s="53"/>
      <c r="J206" s="48" t="str">
        <f t="array" ref="J206">IF(G206="","",IFERROR(LET(ev_cost,INDEX(Events!$G$5:$G$505,MATCH(G206,Events!$A$5:$A$505,0)),ev_split,INDEX(Events!$I$5:$I$505,MATCH(G206,Events!$A$5:$A$505,0)),att_offset,MATCH(G206,Attendance!$B$3:$AV$3,0),attendees,COUNTIF(INDEX(Attendance!$B$7:$AV$206,0,att_offset),"1"),IF(ev_split="Equal Split",ev_cost/MAX(1,COUNTA(Roster!$A$5:$A$204)),ev_cost/MAX(1,attendees))),"N/A"))</f>
        <v/>
      </c>
      <c r="K206" s="5"/>
      <c r="L206" s="5"/>
      <c r="M206" s="5"/>
      <c r="N206" s="5"/>
      <c r="O206" s="5"/>
      <c r="P206" s="5"/>
      <c r="Q206" s="5"/>
      <c r="R206" s="5"/>
      <c r="S206" s="5"/>
      <c r="T206" s="5"/>
      <c r="U206" s="5"/>
      <c r="V206" s="5"/>
      <c r="W206" s="5"/>
      <c r="X206" s="5"/>
      <c r="Y206" s="5"/>
      <c r="Z206" s="5"/>
    </row>
    <row r="207" ht="19.5" customHeight="1">
      <c r="A207" s="49"/>
      <c r="B207" s="50"/>
      <c r="C207" s="50"/>
      <c r="D207" s="50"/>
      <c r="E207" s="50"/>
      <c r="F207" s="51"/>
      <c r="G207" s="50"/>
      <c r="H207" s="50"/>
      <c r="I207" s="50"/>
      <c r="J207" s="48" t="str">
        <f t="array" ref="J207">IF(G207="","",IFERROR(LET(ev_cost,INDEX(Events!$G$5:$G$505,MATCH(G207,Events!$A$5:$A$505,0)),ev_split,INDEX(Events!$I$5:$I$505,MATCH(G207,Events!$A$5:$A$505,0)),att_offset,MATCH(G207,Attendance!$B$3:$AV$3,0),attendees,COUNTIF(INDEX(Attendance!$B$7:$AV$206,0,att_offset),"1"),IF(ev_split="Equal Split",ev_cost/MAX(1,COUNTA(Roster!$A$5:$A$204)),ev_cost/MAX(1,attendees))),"N/A"))</f>
        <v/>
      </c>
      <c r="K207" s="5"/>
      <c r="L207" s="5"/>
      <c r="M207" s="5"/>
      <c r="N207" s="5"/>
      <c r="O207" s="5"/>
      <c r="P207" s="5"/>
      <c r="Q207" s="5"/>
      <c r="R207" s="5"/>
      <c r="S207" s="5"/>
      <c r="T207" s="5"/>
      <c r="U207" s="5"/>
      <c r="V207" s="5"/>
      <c r="W207" s="5"/>
      <c r="X207" s="5"/>
      <c r="Y207" s="5"/>
      <c r="Z207" s="5"/>
    </row>
    <row r="208" ht="19.5" customHeight="1">
      <c r="A208" s="52"/>
      <c r="B208" s="53"/>
      <c r="C208" s="53"/>
      <c r="D208" s="53"/>
      <c r="E208" s="53"/>
      <c r="F208" s="61"/>
      <c r="G208" s="53"/>
      <c r="H208" s="53"/>
      <c r="I208" s="53"/>
      <c r="J208" s="48" t="str">
        <f t="array" ref="J208">IF(G208="","",IFERROR(LET(ev_cost,INDEX(Events!$G$5:$G$505,MATCH(G208,Events!$A$5:$A$505,0)),ev_split,INDEX(Events!$I$5:$I$505,MATCH(G208,Events!$A$5:$A$505,0)),att_offset,MATCH(G208,Attendance!$B$3:$AV$3,0),attendees,COUNTIF(INDEX(Attendance!$B$7:$AV$206,0,att_offset),"1"),IF(ev_split="Equal Split",ev_cost/MAX(1,COUNTA(Roster!$A$5:$A$204)),ev_cost/MAX(1,attendees))),"N/A"))</f>
        <v/>
      </c>
      <c r="K208" s="5"/>
      <c r="L208" s="5"/>
      <c r="M208" s="5"/>
      <c r="N208" s="5"/>
      <c r="O208" s="5"/>
      <c r="P208" s="5"/>
      <c r="Q208" s="5"/>
      <c r="R208" s="5"/>
      <c r="S208" s="5"/>
      <c r="T208" s="5"/>
      <c r="U208" s="5"/>
      <c r="V208" s="5"/>
      <c r="W208" s="5"/>
      <c r="X208" s="5"/>
      <c r="Y208" s="5"/>
      <c r="Z208" s="5"/>
    </row>
    <row r="209" ht="19.5" customHeight="1">
      <c r="A209" s="49"/>
      <c r="B209" s="50"/>
      <c r="C209" s="50"/>
      <c r="D209" s="50"/>
      <c r="E209" s="50"/>
      <c r="F209" s="51"/>
      <c r="G209" s="50"/>
      <c r="H209" s="50"/>
      <c r="I209" s="50"/>
      <c r="J209" s="48" t="str">
        <f t="array" ref="J209">IF(G209="","",IFERROR(LET(ev_cost,INDEX(Events!$G$5:$G$505,MATCH(G209,Events!$A$5:$A$505,0)),ev_split,INDEX(Events!$I$5:$I$505,MATCH(G209,Events!$A$5:$A$505,0)),att_offset,MATCH(G209,Attendance!$B$3:$AV$3,0),attendees,COUNTIF(INDEX(Attendance!$B$7:$AV$206,0,att_offset),"1"),IF(ev_split="Equal Split",ev_cost/MAX(1,COUNTA(Roster!$A$5:$A$204)),ev_cost/MAX(1,attendees))),"N/A"))</f>
        <v/>
      </c>
      <c r="K209" s="5"/>
      <c r="L209" s="5"/>
      <c r="M209" s="5"/>
      <c r="N209" s="5"/>
      <c r="O209" s="5"/>
      <c r="P209" s="5"/>
      <c r="Q209" s="5"/>
      <c r="R209" s="5"/>
      <c r="S209" s="5"/>
      <c r="T209" s="5"/>
      <c r="U209" s="5"/>
      <c r="V209" s="5"/>
      <c r="W209" s="5"/>
      <c r="X209" s="5"/>
      <c r="Y209" s="5"/>
      <c r="Z209" s="5"/>
    </row>
    <row r="210" ht="19.5" customHeight="1">
      <c r="A210" s="52"/>
      <c r="B210" s="53"/>
      <c r="C210" s="53"/>
      <c r="D210" s="53"/>
      <c r="E210" s="53"/>
      <c r="F210" s="61"/>
      <c r="G210" s="53"/>
      <c r="H210" s="53"/>
      <c r="I210" s="53"/>
      <c r="J210" s="48" t="str">
        <f t="array" ref="J210">IF(G210="","",IFERROR(LET(ev_cost,INDEX(Events!$G$5:$G$505,MATCH(G210,Events!$A$5:$A$505,0)),ev_split,INDEX(Events!$I$5:$I$505,MATCH(G210,Events!$A$5:$A$505,0)),att_offset,MATCH(G210,Attendance!$B$3:$AV$3,0),attendees,COUNTIF(INDEX(Attendance!$B$7:$AV$206,0,att_offset),"1"),IF(ev_split="Equal Split",ev_cost/MAX(1,COUNTA(Roster!$A$5:$A$204)),ev_cost/MAX(1,attendees))),"N/A"))</f>
        <v/>
      </c>
      <c r="K210" s="5"/>
      <c r="L210" s="5"/>
      <c r="M210" s="5"/>
      <c r="N210" s="5"/>
      <c r="O210" s="5"/>
      <c r="P210" s="5"/>
      <c r="Q210" s="5"/>
      <c r="R210" s="5"/>
      <c r="S210" s="5"/>
      <c r="T210" s="5"/>
      <c r="U210" s="5"/>
      <c r="V210" s="5"/>
      <c r="W210" s="5"/>
      <c r="X210" s="5"/>
      <c r="Y210" s="5"/>
      <c r="Z210" s="5"/>
    </row>
    <row r="211" ht="19.5" customHeight="1">
      <c r="A211" s="49"/>
      <c r="B211" s="50"/>
      <c r="C211" s="50"/>
      <c r="D211" s="50"/>
      <c r="E211" s="50"/>
      <c r="F211" s="51"/>
      <c r="G211" s="50"/>
      <c r="H211" s="50"/>
      <c r="I211" s="50"/>
      <c r="J211" s="48" t="str">
        <f t="array" ref="J211">IF(G211="","",IFERROR(LET(ev_cost,INDEX(Events!$G$5:$G$505,MATCH(G211,Events!$A$5:$A$505,0)),ev_split,INDEX(Events!$I$5:$I$505,MATCH(G211,Events!$A$5:$A$505,0)),att_offset,MATCH(G211,Attendance!$B$3:$AV$3,0),attendees,COUNTIF(INDEX(Attendance!$B$7:$AV$206,0,att_offset),"1"),IF(ev_split="Equal Split",ev_cost/MAX(1,COUNTA(Roster!$A$5:$A$204)),ev_cost/MAX(1,attendees))),"N/A"))</f>
        <v/>
      </c>
      <c r="K211" s="5"/>
      <c r="L211" s="5"/>
      <c r="M211" s="5"/>
      <c r="N211" s="5"/>
      <c r="O211" s="5"/>
      <c r="P211" s="5"/>
      <c r="Q211" s="5"/>
      <c r="R211" s="5"/>
      <c r="S211" s="5"/>
      <c r="T211" s="5"/>
      <c r="U211" s="5"/>
      <c r="V211" s="5"/>
      <c r="W211" s="5"/>
      <c r="X211" s="5"/>
      <c r="Y211" s="5"/>
      <c r="Z211" s="5"/>
    </row>
    <row r="212" ht="19.5" customHeight="1">
      <c r="A212" s="52"/>
      <c r="B212" s="53"/>
      <c r="C212" s="53"/>
      <c r="D212" s="53"/>
      <c r="E212" s="53"/>
      <c r="F212" s="61"/>
      <c r="G212" s="53"/>
      <c r="H212" s="53"/>
      <c r="I212" s="53"/>
      <c r="J212" s="48" t="str">
        <f t="array" ref="J212">IF(G212="","",IFERROR(LET(ev_cost,INDEX(Events!$G$5:$G$505,MATCH(G212,Events!$A$5:$A$505,0)),ev_split,INDEX(Events!$I$5:$I$505,MATCH(G212,Events!$A$5:$A$505,0)),att_offset,MATCH(G212,Attendance!$B$3:$AV$3,0),attendees,COUNTIF(INDEX(Attendance!$B$7:$AV$206,0,att_offset),"1"),IF(ev_split="Equal Split",ev_cost/MAX(1,COUNTA(Roster!$A$5:$A$204)),ev_cost/MAX(1,attendees))),"N/A"))</f>
        <v/>
      </c>
      <c r="K212" s="5"/>
      <c r="L212" s="5"/>
      <c r="M212" s="5"/>
      <c r="N212" s="5"/>
      <c r="O212" s="5"/>
      <c r="P212" s="5"/>
      <c r="Q212" s="5"/>
      <c r="R212" s="5"/>
      <c r="S212" s="5"/>
      <c r="T212" s="5"/>
      <c r="U212" s="5"/>
      <c r="V212" s="5"/>
      <c r="W212" s="5"/>
      <c r="X212" s="5"/>
      <c r="Y212" s="5"/>
      <c r="Z212" s="5"/>
    </row>
    <row r="213" ht="19.5" customHeight="1">
      <c r="A213" s="49"/>
      <c r="B213" s="50"/>
      <c r="C213" s="50"/>
      <c r="D213" s="50"/>
      <c r="E213" s="50"/>
      <c r="F213" s="51"/>
      <c r="G213" s="50"/>
      <c r="H213" s="50"/>
      <c r="I213" s="50"/>
      <c r="J213" s="48" t="str">
        <f t="array" ref="J213">IF(G213="","",IFERROR(LET(ev_cost,INDEX(Events!$G$5:$G$505,MATCH(G213,Events!$A$5:$A$505,0)),ev_split,INDEX(Events!$I$5:$I$505,MATCH(G213,Events!$A$5:$A$505,0)),att_offset,MATCH(G213,Attendance!$B$3:$AV$3,0),attendees,COUNTIF(INDEX(Attendance!$B$7:$AV$206,0,att_offset),"1"),IF(ev_split="Equal Split",ev_cost/MAX(1,COUNTA(Roster!$A$5:$A$204)),ev_cost/MAX(1,attendees))),"N/A"))</f>
        <v/>
      </c>
      <c r="K213" s="5"/>
      <c r="L213" s="5"/>
      <c r="M213" s="5"/>
      <c r="N213" s="5"/>
      <c r="O213" s="5"/>
      <c r="P213" s="5"/>
      <c r="Q213" s="5"/>
      <c r="R213" s="5"/>
      <c r="S213" s="5"/>
      <c r="T213" s="5"/>
      <c r="U213" s="5"/>
      <c r="V213" s="5"/>
      <c r="W213" s="5"/>
      <c r="X213" s="5"/>
      <c r="Y213" s="5"/>
      <c r="Z213" s="5"/>
    </row>
    <row r="214" ht="19.5" customHeight="1">
      <c r="A214" s="52"/>
      <c r="B214" s="53"/>
      <c r="C214" s="53"/>
      <c r="D214" s="53"/>
      <c r="E214" s="53"/>
      <c r="F214" s="61"/>
      <c r="G214" s="53"/>
      <c r="H214" s="53"/>
      <c r="I214" s="53"/>
      <c r="J214" s="48" t="str">
        <f t="array" ref="J214">IF(G214="","",IFERROR(LET(ev_cost,INDEX(Events!$G$5:$G$505,MATCH(G214,Events!$A$5:$A$505,0)),ev_split,INDEX(Events!$I$5:$I$505,MATCH(G214,Events!$A$5:$A$505,0)),att_offset,MATCH(G214,Attendance!$B$3:$AV$3,0),attendees,COUNTIF(INDEX(Attendance!$B$7:$AV$206,0,att_offset),"1"),IF(ev_split="Equal Split",ev_cost/MAX(1,COUNTA(Roster!$A$5:$A$204)),ev_cost/MAX(1,attendees))),"N/A"))</f>
        <v/>
      </c>
      <c r="K214" s="5"/>
      <c r="L214" s="5"/>
      <c r="M214" s="5"/>
      <c r="N214" s="5"/>
      <c r="O214" s="5"/>
      <c r="P214" s="5"/>
      <c r="Q214" s="5"/>
      <c r="R214" s="5"/>
      <c r="S214" s="5"/>
      <c r="T214" s="5"/>
      <c r="U214" s="5"/>
      <c r="V214" s="5"/>
      <c r="W214" s="5"/>
      <c r="X214" s="5"/>
      <c r="Y214" s="5"/>
      <c r="Z214" s="5"/>
    </row>
    <row r="215" ht="19.5" customHeight="1">
      <c r="A215" s="49"/>
      <c r="B215" s="50"/>
      <c r="C215" s="50"/>
      <c r="D215" s="50"/>
      <c r="E215" s="50"/>
      <c r="F215" s="51"/>
      <c r="G215" s="50"/>
      <c r="H215" s="50"/>
      <c r="I215" s="50"/>
      <c r="J215" s="48" t="str">
        <f t="array" ref="J215">IF(G215="","",IFERROR(LET(ev_cost,INDEX(Events!$G$5:$G$505,MATCH(G215,Events!$A$5:$A$505,0)),ev_split,INDEX(Events!$I$5:$I$505,MATCH(G215,Events!$A$5:$A$505,0)),att_offset,MATCH(G215,Attendance!$B$3:$AV$3,0),attendees,COUNTIF(INDEX(Attendance!$B$7:$AV$206,0,att_offset),"1"),IF(ev_split="Equal Split",ev_cost/MAX(1,COUNTA(Roster!$A$5:$A$204)),ev_cost/MAX(1,attendees))),"N/A"))</f>
        <v/>
      </c>
      <c r="K215" s="5"/>
      <c r="L215" s="5"/>
      <c r="M215" s="5"/>
      <c r="N215" s="5"/>
      <c r="O215" s="5"/>
      <c r="P215" s="5"/>
      <c r="Q215" s="5"/>
      <c r="R215" s="5"/>
      <c r="S215" s="5"/>
      <c r="T215" s="5"/>
      <c r="U215" s="5"/>
      <c r="V215" s="5"/>
      <c r="W215" s="5"/>
      <c r="X215" s="5"/>
      <c r="Y215" s="5"/>
      <c r="Z215" s="5"/>
    </row>
    <row r="216" ht="19.5" customHeight="1">
      <c r="A216" s="52"/>
      <c r="B216" s="53"/>
      <c r="C216" s="53"/>
      <c r="D216" s="53"/>
      <c r="E216" s="53"/>
      <c r="F216" s="61"/>
      <c r="G216" s="53"/>
      <c r="H216" s="53"/>
      <c r="I216" s="53"/>
      <c r="J216" s="48" t="str">
        <f t="array" ref="J216">IF(G216="","",IFERROR(LET(ev_cost,INDEX(Events!$G$5:$G$505,MATCH(G216,Events!$A$5:$A$505,0)),ev_split,INDEX(Events!$I$5:$I$505,MATCH(G216,Events!$A$5:$A$505,0)),att_offset,MATCH(G216,Attendance!$B$3:$AV$3,0),attendees,COUNTIF(INDEX(Attendance!$B$7:$AV$206,0,att_offset),"1"),IF(ev_split="Equal Split",ev_cost/MAX(1,COUNTA(Roster!$A$5:$A$204)),ev_cost/MAX(1,attendees))),"N/A"))</f>
        <v/>
      </c>
      <c r="K216" s="5"/>
      <c r="L216" s="5"/>
      <c r="M216" s="5"/>
      <c r="N216" s="5"/>
      <c r="O216" s="5"/>
      <c r="P216" s="5"/>
      <c r="Q216" s="5"/>
      <c r="R216" s="5"/>
      <c r="S216" s="5"/>
      <c r="T216" s="5"/>
      <c r="U216" s="5"/>
      <c r="V216" s="5"/>
      <c r="W216" s="5"/>
      <c r="X216" s="5"/>
      <c r="Y216" s="5"/>
      <c r="Z216" s="5"/>
    </row>
    <row r="217" ht="19.5" customHeight="1">
      <c r="A217" s="49"/>
      <c r="B217" s="50"/>
      <c r="C217" s="50"/>
      <c r="D217" s="50"/>
      <c r="E217" s="50"/>
      <c r="F217" s="51"/>
      <c r="G217" s="50"/>
      <c r="H217" s="50"/>
      <c r="I217" s="50"/>
      <c r="J217" s="48" t="str">
        <f t="array" ref="J217">IF(G217="","",IFERROR(LET(ev_cost,INDEX(Events!$G$5:$G$505,MATCH(G217,Events!$A$5:$A$505,0)),ev_split,INDEX(Events!$I$5:$I$505,MATCH(G217,Events!$A$5:$A$505,0)),att_offset,MATCH(G217,Attendance!$B$3:$AV$3,0),attendees,COUNTIF(INDEX(Attendance!$B$7:$AV$206,0,att_offset),"1"),IF(ev_split="Equal Split",ev_cost/MAX(1,COUNTA(Roster!$A$5:$A$204)),ev_cost/MAX(1,attendees))),"N/A"))</f>
        <v/>
      </c>
      <c r="K217" s="5"/>
      <c r="L217" s="5"/>
      <c r="M217" s="5"/>
      <c r="N217" s="5"/>
      <c r="O217" s="5"/>
      <c r="P217" s="5"/>
      <c r="Q217" s="5"/>
      <c r="R217" s="5"/>
      <c r="S217" s="5"/>
      <c r="T217" s="5"/>
      <c r="U217" s="5"/>
      <c r="V217" s="5"/>
      <c r="W217" s="5"/>
      <c r="X217" s="5"/>
      <c r="Y217" s="5"/>
      <c r="Z217" s="5"/>
    </row>
    <row r="218" ht="19.5" customHeight="1">
      <c r="A218" s="52"/>
      <c r="B218" s="53"/>
      <c r="C218" s="53"/>
      <c r="D218" s="53"/>
      <c r="E218" s="53"/>
      <c r="F218" s="61"/>
      <c r="G218" s="53"/>
      <c r="H218" s="53"/>
      <c r="I218" s="53"/>
      <c r="J218" s="48" t="str">
        <f t="array" ref="J218">IF(G218="","",IFERROR(LET(ev_cost,INDEX(Events!$G$5:$G$505,MATCH(G218,Events!$A$5:$A$505,0)),ev_split,INDEX(Events!$I$5:$I$505,MATCH(G218,Events!$A$5:$A$505,0)),att_offset,MATCH(G218,Attendance!$B$3:$AV$3,0),attendees,COUNTIF(INDEX(Attendance!$B$7:$AV$206,0,att_offset),"1"),IF(ev_split="Equal Split",ev_cost/MAX(1,COUNTA(Roster!$A$5:$A$204)),ev_cost/MAX(1,attendees))),"N/A"))</f>
        <v/>
      </c>
      <c r="K218" s="5"/>
      <c r="L218" s="5"/>
      <c r="M218" s="5"/>
      <c r="N218" s="5"/>
      <c r="O218" s="5"/>
      <c r="P218" s="5"/>
      <c r="Q218" s="5"/>
      <c r="R218" s="5"/>
      <c r="S218" s="5"/>
      <c r="T218" s="5"/>
      <c r="U218" s="5"/>
      <c r="V218" s="5"/>
      <c r="W218" s="5"/>
      <c r="X218" s="5"/>
      <c r="Y218" s="5"/>
      <c r="Z218" s="5"/>
    </row>
    <row r="219" ht="19.5" customHeight="1">
      <c r="A219" s="49"/>
      <c r="B219" s="50"/>
      <c r="C219" s="50"/>
      <c r="D219" s="50"/>
      <c r="E219" s="50"/>
      <c r="F219" s="51"/>
      <c r="G219" s="50"/>
      <c r="H219" s="50"/>
      <c r="I219" s="50"/>
      <c r="J219" s="48" t="str">
        <f t="array" ref="J219">IF(G219="","",IFERROR(LET(ev_cost,INDEX(Events!$G$5:$G$505,MATCH(G219,Events!$A$5:$A$505,0)),ev_split,INDEX(Events!$I$5:$I$505,MATCH(G219,Events!$A$5:$A$505,0)),att_offset,MATCH(G219,Attendance!$B$3:$AV$3,0),attendees,COUNTIF(INDEX(Attendance!$B$7:$AV$206,0,att_offset),"1"),IF(ev_split="Equal Split",ev_cost/MAX(1,COUNTA(Roster!$A$5:$A$204)),ev_cost/MAX(1,attendees))),"N/A"))</f>
        <v/>
      </c>
      <c r="K219" s="5"/>
      <c r="L219" s="5"/>
      <c r="M219" s="5"/>
      <c r="N219" s="5"/>
      <c r="O219" s="5"/>
      <c r="P219" s="5"/>
      <c r="Q219" s="5"/>
      <c r="R219" s="5"/>
      <c r="S219" s="5"/>
      <c r="T219" s="5"/>
      <c r="U219" s="5"/>
      <c r="V219" s="5"/>
      <c r="W219" s="5"/>
      <c r="X219" s="5"/>
      <c r="Y219" s="5"/>
      <c r="Z219" s="5"/>
    </row>
    <row r="220" ht="19.5" customHeight="1">
      <c r="A220" s="52"/>
      <c r="B220" s="53"/>
      <c r="C220" s="53"/>
      <c r="D220" s="53"/>
      <c r="E220" s="53"/>
      <c r="F220" s="61"/>
      <c r="G220" s="53"/>
      <c r="H220" s="53"/>
      <c r="I220" s="53"/>
      <c r="J220" s="48" t="str">
        <f t="array" ref="J220">IF(G220="","",IFERROR(LET(ev_cost,INDEX(Events!$G$5:$G$505,MATCH(G220,Events!$A$5:$A$505,0)),ev_split,INDEX(Events!$I$5:$I$505,MATCH(G220,Events!$A$5:$A$505,0)),att_offset,MATCH(G220,Attendance!$B$3:$AV$3,0),attendees,COUNTIF(INDEX(Attendance!$B$7:$AV$206,0,att_offset),"1"),IF(ev_split="Equal Split",ev_cost/MAX(1,COUNTA(Roster!$A$5:$A$204)),ev_cost/MAX(1,attendees))),"N/A"))</f>
        <v/>
      </c>
      <c r="K220" s="5"/>
      <c r="L220" s="5"/>
      <c r="M220" s="5"/>
      <c r="N220" s="5"/>
      <c r="O220" s="5"/>
      <c r="P220" s="5"/>
      <c r="Q220" s="5"/>
      <c r="R220" s="5"/>
      <c r="S220" s="5"/>
      <c r="T220" s="5"/>
      <c r="U220" s="5"/>
      <c r="V220" s="5"/>
      <c r="W220" s="5"/>
      <c r="X220" s="5"/>
      <c r="Y220" s="5"/>
      <c r="Z220" s="5"/>
    </row>
    <row r="221" ht="19.5" customHeight="1">
      <c r="A221" s="49"/>
      <c r="B221" s="50"/>
      <c r="C221" s="50"/>
      <c r="D221" s="50"/>
      <c r="E221" s="50"/>
      <c r="F221" s="51"/>
      <c r="G221" s="50"/>
      <c r="H221" s="50"/>
      <c r="I221" s="50"/>
      <c r="J221" s="48" t="str">
        <f t="array" ref="J221">IF(G221="","",IFERROR(LET(ev_cost,INDEX(Events!$G$5:$G$505,MATCH(G221,Events!$A$5:$A$505,0)),ev_split,INDEX(Events!$I$5:$I$505,MATCH(G221,Events!$A$5:$A$505,0)),att_offset,MATCH(G221,Attendance!$B$3:$AV$3,0),attendees,COUNTIF(INDEX(Attendance!$B$7:$AV$206,0,att_offset),"1"),IF(ev_split="Equal Split",ev_cost/MAX(1,COUNTA(Roster!$A$5:$A$204)),ev_cost/MAX(1,attendees))),"N/A"))</f>
        <v/>
      </c>
      <c r="K221" s="5"/>
      <c r="L221" s="5"/>
      <c r="M221" s="5"/>
      <c r="N221" s="5"/>
      <c r="O221" s="5"/>
      <c r="P221" s="5"/>
      <c r="Q221" s="5"/>
      <c r="R221" s="5"/>
      <c r="S221" s="5"/>
      <c r="T221" s="5"/>
      <c r="U221" s="5"/>
      <c r="V221" s="5"/>
      <c r="W221" s="5"/>
      <c r="X221" s="5"/>
      <c r="Y221" s="5"/>
      <c r="Z221" s="5"/>
    </row>
    <row r="222" ht="19.5" customHeight="1">
      <c r="A222" s="52"/>
      <c r="B222" s="53"/>
      <c r="C222" s="53"/>
      <c r="D222" s="53"/>
      <c r="E222" s="53"/>
      <c r="F222" s="61"/>
      <c r="G222" s="53"/>
      <c r="H222" s="53"/>
      <c r="I222" s="53"/>
      <c r="J222" s="48" t="str">
        <f t="array" ref="J222">IF(G222="","",IFERROR(LET(ev_cost,INDEX(Events!$G$5:$G$505,MATCH(G222,Events!$A$5:$A$505,0)),ev_split,INDEX(Events!$I$5:$I$505,MATCH(G222,Events!$A$5:$A$505,0)),att_offset,MATCH(G222,Attendance!$B$3:$AV$3,0),attendees,COUNTIF(INDEX(Attendance!$B$7:$AV$206,0,att_offset),"1"),IF(ev_split="Equal Split",ev_cost/MAX(1,COUNTA(Roster!$A$5:$A$204)),ev_cost/MAX(1,attendees))),"N/A"))</f>
        <v/>
      </c>
      <c r="K222" s="5"/>
      <c r="L222" s="5"/>
      <c r="M222" s="5"/>
      <c r="N222" s="5"/>
      <c r="O222" s="5"/>
      <c r="P222" s="5"/>
      <c r="Q222" s="5"/>
      <c r="R222" s="5"/>
      <c r="S222" s="5"/>
      <c r="T222" s="5"/>
      <c r="U222" s="5"/>
      <c r="V222" s="5"/>
      <c r="W222" s="5"/>
      <c r="X222" s="5"/>
      <c r="Y222" s="5"/>
      <c r="Z222" s="5"/>
    </row>
    <row r="223" ht="19.5" customHeight="1">
      <c r="A223" s="49"/>
      <c r="B223" s="50"/>
      <c r="C223" s="50"/>
      <c r="D223" s="50"/>
      <c r="E223" s="50"/>
      <c r="F223" s="51"/>
      <c r="G223" s="50"/>
      <c r="H223" s="50"/>
      <c r="I223" s="50"/>
      <c r="J223" s="48" t="str">
        <f t="array" ref="J223">IF(G223="","",IFERROR(LET(ev_cost,INDEX(Events!$G$5:$G$505,MATCH(G223,Events!$A$5:$A$505,0)),ev_split,INDEX(Events!$I$5:$I$505,MATCH(G223,Events!$A$5:$A$505,0)),att_offset,MATCH(G223,Attendance!$B$3:$AV$3,0),attendees,COUNTIF(INDEX(Attendance!$B$7:$AV$206,0,att_offset),"1"),IF(ev_split="Equal Split",ev_cost/MAX(1,COUNTA(Roster!$A$5:$A$204)),ev_cost/MAX(1,attendees))),"N/A"))</f>
        <v/>
      </c>
      <c r="K223" s="5"/>
      <c r="L223" s="5"/>
      <c r="M223" s="5"/>
      <c r="N223" s="5"/>
      <c r="O223" s="5"/>
      <c r="P223" s="5"/>
      <c r="Q223" s="5"/>
      <c r="R223" s="5"/>
      <c r="S223" s="5"/>
      <c r="T223" s="5"/>
      <c r="U223" s="5"/>
      <c r="V223" s="5"/>
      <c r="W223" s="5"/>
      <c r="X223" s="5"/>
      <c r="Y223" s="5"/>
      <c r="Z223" s="5"/>
    </row>
    <row r="224" ht="19.5" customHeight="1">
      <c r="A224" s="52"/>
      <c r="B224" s="53"/>
      <c r="C224" s="53"/>
      <c r="D224" s="53"/>
      <c r="E224" s="53"/>
      <c r="F224" s="61"/>
      <c r="G224" s="53"/>
      <c r="H224" s="53"/>
      <c r="I224" s="53"/>
      <c r="J224" s="48" t="str">
        <f t="array" ref="J224">IF(G224="","",IFERROR(LET(ev_cost,INDEX(Events!$G$5:$G$505,MATCH(G224,Events!$A$5:$A$505,0)),ev_split,INDEX(Events!$I$5:$I$505,MATCH(G224,Events!$A$5:$A$505,0)),att_offset,MATCH(G224,Attendance!$B$3:$AV$3,0),attendees,COUNTIF(INDEX(Attendance!$B$7:$AV$206,0,att_offset),"1"),IF(ev_split="Equal Split",ev_cost/MAX(1,COUNTA(Roster!$A$5:$A$204)),ev_cost/MAX(1,attendees))),"N/A"))</f>
        <v/>
      </c>
      <c r="K224" s="5"/>
      <c r="L224" s="5"/>
      <c r="M224" s="5"/>
      <c r="N224" s="5"/>
      <c r="O224" s="5"/>
      <c r="P224" s="5"/>
      <c r="Q224" s="5"/>
      <c r="R224" s="5"/>
      <c r="S224" s="5"/>
      <c r="T224" s="5"/>
      <c r="U224" s="5"/>
      <c r="V224" s="5"/>
      <c r="W224" s="5"/>
      <c r="X224" s="5"/>
      <c r="Y224" s="5"/>
      <c r="Z224" s="5"/>
    </row>
    <row r="225" ht="19.5" customHeight="1">
      <c r="A225" s="49"/>
      <c r="B225" s="50"/>
      <c r="C225" s="50"/>
      <c r="D225" s="50"/>
      <c r="E225" s="50"/>
      <c r="F225" s="51"/>
      <c r="G225" s="50"/>
      <c r="H225" s="50"/>
      <c r="I225" s="50"/>
      <c r="J225" s="48" t="str">
        <f t="array" ref="J225">IF(G225="","",IFERROR(LET(ev_cost,INDEX(Events!$G$5:$G$505,MATCH(G225,Events!$A$5:$A$505,0)),ev_split,INDEX(Events!$I$5:$I$505,MATCH(G225,Events!$A$5:$A$505,0)),att_offset,MATCH(G225,Attendance!$B$3:$AV$3,0),attendees,COUNTIF(INDEX(Attendance!$B$7:$AV$206,0,att_offset),"1"),IF(ev_split="Equal Split",ev_cost/MAX(1,COUNTA(Roster!$A$5:$A$204)),ev_cost/MAX(1,attendees))),"N/A"))</f>
        <v/>
      </c>
      <c r="K225" s="5"/>
      <c r="L225" s="5"/>
      <c r="M225" s="5"/>
      <c r="N225" s="5"/>
      <c r="O225" s="5"/>
      <c r="P225" s="5"/>
      <c r="Q225" s="5"/>
      <c r="R225" s="5"/>
      <c r="S225" s="5"/>
      <c r="T225" s="5"/>
      <c r="U225" s="5"/>
      <c r="V225" s="5"/>
      <c r="W225" s="5"/>
      <c r="X225" s="5"/>
      <c r="Y225" s="5"/>
      <c r="Z225" s="5"/>
    </row>
    <row r="226" ht="19.5" customHeight="1">
      <c r="A226" s="52"/>
      <c r="B226" s="53"/>
      <c r="C226" s="53"/>
      <c r="D226" s="53"/>
      <c r="E226" s="53"/>
      <c r="F226" s="61"/>
      <c r="G226" s="53"/>
      <c r="H226" s="53"/>
      <c r="I226" s="53"/>
      <c r="J226" s="48" t="str">
        <f t="array" ref="J226">IF(G226="","",IFERROR(LET(ev_cost,INDEX(Events!$G$5:$G$505,MATCH(G226,Events!$A$5:$A$505,0)),ev_split,INDEX(Events!$I$5:$I$505,MATCH(G226,Events!$A$5:$A$505,0)),att_offset,MATCH(G226,Attendance!$B$3:$AV$3,0),attendees,COUNTIF(INDEX(Attendance!$B$7:$AV$206,0,att_offset),"1"),IF(ev_split="Equal Split",ev_cost/MAX(1,COUNTA(Roster!$A$5:$A$204)),ev_cost/MAX(1,attendees))),"N/A"))</f>
        <v/>
      </c>
      <c r="K226" s="5"/>
      <c r="L226" s="5"/>
      <c r="M226" s="5"/>
      <c r="N226" s="5"/>
      <c r="O226" s="5"/>
      <c r="P226" s="5"/>
      <c r="Q226" s="5"/>
      <c r="R226" s="5"/>
      <c r="S226" s="5"/>
      <c r="T226" s="5"/>
      <c r="U226" s="5"/>
      <c r="V226" s="5"/>
      <c r="W226" s="5"/>
      <c r="X226" s="5"/>
      <c r="Y226" s="5"/>
      <c r="Z226" s="5"/>
    </row>
    <row r="227" ht="19.5" customHeight="1">
      <c r="A227" s="49"/>
      <c r="B227" s="50"/>
      <c r="C227" s="50"/>
      <c r="D227" s="50"/>
      <c r="E227" s="50"/>
      <c r="F227" s="51"/>
      <c r="G227" s="50"/>
      <c r="H227" s="50"/>
      <c r="I227" s="50"/>
      <c r="J227" s="48" t="str">
        <f t="array" ref="J227">IF(G227="","",IFERROR(LET(ev_cost,INDEX(Events!$G$5:$G$505,MATCH(G227,Events!$A$5:$A$505,0)),ev_split,INDEX(Events!$I$5:$I$505,MATCH(G227,Events!$A$5:$A$505,0)),att_offset,MATCH(G227,Attendance!$B$3:$AV$3,0),attendees,COUNTIF(INDEX(Attendance!$B$7:$AV$206,0,att_offset),"1"),IF(ev_split="Equal Split",ev_cost/MAX(1,COUNTA(Roster!$A$5:$A$204)),ev_cost/MAX(1,attendees))),"N/A"))</f>
        <v/>
      </c>
      <c r="K227" s="5"/>
      <c r="L227" s="5"/>
      <c r="M227" s="5"/>
      <c r="N227" s="5"/>
      <c r="O227" s="5"/>
      <c r="P227" s="5"/>
      <c r="Q227" s="5"/>
      <c r="R227" s="5"/>
      <c r="S227" s="5"/>
      <c r="T227" s="5"/>
      <c r="U227" s="5"/>
      <c r="V227" s="5"/>
      <c r="W227" s="5"/>
      <c r="X227" s="5"/>
      <c r="Y227" s="5"/>
      <c r="Z227" s="5"/>
    </row>
    <row r="228" ht="19.5" customHeight="1">
      <c r="A228" s="52"/>
      <c r="B228" s="53"/>
      <c r="C228" s="53"/>
      <c r="D228" s="53"/>
      <c r="E228" s="53"/>
      <c r="F228" s="61"/>
      <c r="G228" s="53"/>
      <c r="H228" s="53"/>
      <c r="I228" s="53"/>
      <c r="J228" s="48" t="str">
        <f t="array" ref="J228">IF(G228="","",IFERROR(LET(ev_cost,INDEX(Events!$G$5:$G$505,MATCH(G228,Events!$A$5:$A$505,0)),ev_split,INDEX(Events!$I$5:$I$505,MATCH(G228,Events!$A$5:$A$505,0)),att_offset,MATCH(G228,Attendance!$B$3:$AV$3,0),attendees,COUNTIF(INDEX(Attendance!$B$7:$AV$206,0,att_offset),"1"),IF(ev_split="Equal Split",ev_cost/MAX(1,COUNTA(Roster!$A$5:$A$204)),ev_cost/MAX(1,attendees))),"N/A"))</f>
        <v/>
      </c>
      <c r="K228" s="5"/>
      <c r="L228" s="5"/>
      <c r="M228" s="5"/>
      <c r="N228" s="5"/>
      <c r="O228" s="5"/>
      <c r="P228" s="5"/>
      <c r="Q228" s="5"/>
      <c r="R228" s="5"/>
      <c r="S228" s="5"/>
      <c r="T228" s="5"/>
      <c r="U228" s="5"/>
      <c r="V228" s="5"/>
      <c r="W228" s="5"/>
      <c r="X228" s="5"/>
      <c r="Y228" s="5"/>
      <c r="Z228" s="5"/>
    </row>
    <row r="229" ht="19.5" customHeight="1">
      <c r="A229" s="49"/>
      <c r="B229" s="50"/>
      <c r="C229" s="50"/>
      <c r="D229" s="50"/>
      <c r="E229" s="50"/>
      <c r="F229" s="51"/>
      <c r="G229" s="50"/>
      <c r="H229" s="50"/>
      <c r="I229" s="50"/>
      <c r="J229" s="48" t="str">
        <f t="array" ref="J229">IF(G229="","",IFERROR(LET(ev_cost,INDEX(Events!$G$5:$G$505,MATCH(G229,Events!$A$5:$A$505,0)),ev_split,INDEX(Events!$I$5:$I$505,MATCH(G229,Events!$A$5:$A$505,0)),att_offset,MATCH(G229,Attendance!$B$3:$AV$3,0),attendees,COUNTIF(INDEX(Attendance!$B$7:$AV$206,0,att_offset),"1"),IF(ev_split="Equal Split",ev_cost/MAX(1,COUNTA(Roster!$A$5:$A$204)),ev_cost/MAX(1,attendees))),"N/A"))</f>
        <v/>
      </c>
      <c r="K229" s="5"/>
      <c r="L229" s="5"/>
      <c r="M229" s="5"/>
      <c r="N229" s="5"/>
      <c r="O229" s="5"/>
      <c r="P229" s="5"/>
      <c r="Q229" s="5"/>
      <c r="R229" s="5"/>
      <c r="S229" s="5"/>
      <c r="T229" s="5"/>
      <c r="U229" s="5"/>
      <c r="V229" s="5"/>
      <c r="W229" s="5"/>
      <c r="X229" s="5"/>
      <c r="Y229" s="5"/>
      <c r="Z229" s="5"/>
    </row>
    <row r="230" ht="19.5" customHeight="1">
      <c r="A230" s="52"/>
      <c r="B230" s="53"/>
      <c r="C230" s="53"/>
      <c r="D230" s="53"/>
      <c r="E230" s="53"/>
      <c r="F230" s="61"/>
      <c r="G230" s="53"/>
      <c r="H230" s="53"/>
      <c r="I230" s="53"/>
      <c r="J230" s="48" t="str">
        <f t="array" ref="J230">IF(G230="","",IFERROR(LET(ev_cost,INDEX(Events!$G$5:$G$505,MATCH(G230,Events!$A$5:$A$505,0)),ev_split,INDEX(Events!$I$5:$I$505,MATCH(G230,Events!$A$5:$A$505,0)),att_offset,MATCH(G230,Attendance!$B$3:$AV$3,0),attendees,COUNTIF(INDEX(Attendance!$B$7:$AV$206,0,att_offset),"1"),IF(ev_split="Equal Split",ev_cost/MAX(1,COUNTA(Roster!$A$5:$A$204)),ev_cost/MAX(1,attendees))),"N/A"))</f>
        <v/>
      </c>
      <c r="K230" s="5"/>
      <c r="L230" s="5"/>
      <c r="M230" s="5"/>
      <c r="N230" s="5"/>
      <c r="O230" s="5"/>
      <c r="P230" s="5"/>
      <c r="Q230" s="5"/>
      <c r="R230" s="5"/>
      <c r="S230" s="5"/>
      <c r="T230" s="5"/>
      <c r="U230" s="5"/>
      <c r="V230" s="5"/>
      <c r="W230" s="5"/>
      <c r="X230" s="5"/>
      <c r="Y230" s="5"/>
      <c r="Z230" s="5"/>
    </row>
    <row r="231" ht="19.5" customHeight="1">
      <c r="A231" s="49"/>
      <c r="B231" s="50"/>
      <c r="C231" s="50"/>
      <c r="D231" s="50"/>
      <c r="E231" s="50"/>
      <c r="F231" s="51"/>
      <c r="G231" s="50"/>
      <c r="H231" s="50"/>
      <c r="I231" s="50"/>
      <c r="J231" s="48" t="str">
        <f t="array" ref="J231">IF(G231="","",IFERROR(LET(ev_cost,INDEX(Events!$G$5:$G$505,MATCH(G231,Events!$A$5:$A$505,0)),ev_split,INDEX(Events!$I$5:$I$505,MATCH(G231,Events!$A$5:$A$505,0)),att_offset,MATCH(G231,Attendance!$B$3:$AV$3,0),attendees,COUNTIF(INDEX(Attendance!$B$7:$AV$206,0,att_offset),"1"),IF(ev_split="Equal Split",ev_cost/MAX(1,COUNTA(Roster!$A$5:$A$204)),ev_cost/MAX(1,attendees))),"N/A"))</f>
        <v/>
      </c>
      <c r="K231" s="5"/>
      <c r="L231" s="5"/>
      <c r="M231" s="5"/>
      <c r="N231" s="5"/>
      <c r="O231" s="5"/>
      <c r="P231" s="5"/>
      <c r="Q231" s="5"/>
      <c r="R231" s="5"/>
      <c r="S231" s="5"/>
      <c r="T231" s="5"/>
      <c r="U231" s="5"/>
      <c r="V231" s="5"/>
      <c r="W231" s="5"/>
      <c r="X231" s="5"/>
      <c r="Y231" s="5"/>
      <c r="Z231" s="5"/>
    </row>
    <row r="232" ht="19.5" customHeight="1">
      <c r="A232" s="52"/>
      <c r="B232" s="53"/>
      <c r="C232" s="53"/>
      <c r="D232" s="53"/>
      <c r="E232" s="53"/>
      <c r="F232" s="61"/>
      <c r="G232" s="53"/>
      <c r="H232" s="53"/>
      <c r="I232" s="53"/>
      <c r="J232" s="48" t="str">
        <f t="array" ref="J232">IF(G232="","",IFERROR(LET(ev_cost,INDEX(Events!$G$5:$G$505,MATCH(G232,Events!$A$5:$A$505,0)),ev_split,INDEX(Events!$I$5:$I$505,MATCH(G232,Events!$A$5:$A$505,0)),att_offset,MATCH(G232,Attendance!$B$3:$AV$3,0),attendees,COUNTIF(INDEX(Attendance!$B$7:$AV$206,0,att_offset),"1"),IF(ev_split="Equal Split",ev_cost/MAX(1,COUNTA(Roster!$A$5:$A$204)),ev_cost/MAX(1,attendees))),"N/A"))</f>
        <v/>
      </c>
      <c r="K232" s="5"/>
      <c r="L232" s="5"/>
      <c r="M232" s="5"/>
      <c r="N232" s="5"/>
      <c r="O232" s="5"/>
      <c r="P232" s="5"/>
      <c r="Q232" s="5"/>
      <c r="R232" s="5"/>
      <c r="S232" s="5"/>
      <c r="T232" s="5"/>
      <c r="U232" s="5"/>
      <c r="V232" s="5"/>
      <c r="W232" s="5"/>
      <c r="X232" s="5"/>
      <c r="Y232" s="5"/>
      <c r="Z232" s="5"/>
    </row>
    <row r="233" ht="19.5" customHeight="1">
      <c r="A233" s="49"/>
      <c r="B233" s="50"/>
      <c r="C233" s="50"/>
      <c r="D233" s="50"/>
      <c r="E233" s="50"/>
      <c r="F233" s="51"/>
      <c r="G233" s="50"/>
      <c r="H233" s="50"/>
      <c r="I233" s="50"/>
      <c r="J233" s="48" t="str">
        <f t="array" ref="J233">IF(G233="","",IFERROR(LET(ev_cost,INDEX(Events!$G$5:$G$505,MATCH(G233,Events!$A$5:$A$505,0)),ev_split,INDEX(Events!$I$5:$I$505,MATCH(G233,Events!$A$5:$A$505,0)),att_offset,MATCH(G233,Attendance!$B$3:$AV$3,0),attendees,COUNTIF(INDEX(Attendance!$B$7:$AV$206,0,att_offset),"1"),IF(ev_split="Equal Split",ev_cost/MAX(1,COUNTA(Roster!$A$5:$A$204)),ev_cost/MAX(1,attendees))),"N/A"))</f>
        <v/>
      </c>
      <c r="K233" s="5"/>
      <c r="L233" s="5"/>
      <c r="M233" s="5"/>
      <c r="N233" s="5"/>
      <c r="O233" s="5"/>
      <c r="P233" s="5"/>
      <c r="Q233" s="5"/>
      <c r="R233" s="5"/>
      <c r="S233" s="5"/>
      <c r="T233" s="5"/>
      <c r="U233" s="5"/>
      <c r="V233" s="5"/>
      <c r="W233" s="5"/>
      <c r="X233" s="5"/>
      <c r="Y233" s="5"/>
      <c r="Z233" s="5"/>
    </row>
    <row r="234" ht="19.5" customHeight="1">
      <c r="A234" s="52"/>
      <c r="B234" s="53"/>
      <c r="C234" s="53"/>
      <c r="D234" s="53"/>
      <c r="E234" s="53"/>
      <c r="F234" s="61"/>
      <c r="G234" s="53"/>
      <c r="H234" s="53"/>
      <c r="I234" s="53"/>
      <c r="J234" s="48" t="str">
        <f t="array" ref="J234">IF(G234="","",IFERROR(LET(ev_cost,INDEX(Events!$G$5:$G$505,MATCH(G234,Events!$A$5:$A$505,0)),ev_split,INDEX(Events!$I$5:$I$505,MATCH(G234,Events!$A$5:$A$505,0)),att_offset,MATCH(G234,Attendance!$B$3:$AV$3,0),attendees,COUNTIF(INDEX(Attendance!$B$7:$AV$206,0,att_offset),"1"),IF(ev_split="Equal Split",ev_cost/MAX(1,COUNTA(Roster!$A$5:$A$204)),ev_cost/MAX(1,attendees))),"N/A"))</f>
        <v/>
      </c>
      <c r="K234" s="5"/>
      <c r="L234" s="5"/>
      <c r="M234" s="5"/>
      <c r="N234" s="5"/>
      <c r="O234" s="5"/>
      <c r="P234" s="5"/>
      <c r="Q234" s="5"/>
      <c r="R234" s="5"/>
      <c r="S234" s="5"/>
      <c r="T234" s="5"/>
      <c r="U234" s="5"/>
      <c r="V234" s="5"/>
      <c r="W234" s="5"/>
      <c r="X234" s="5"/>
      <c r="Y234" s="5"/>
      <c r="Z234" s="5"/>
    </row>
    <row r="235" ht="19.5" customHeight="1">
      <c r="A235" s="49"/>
      <c r="B235" s="50"/>
      <c r="C235" s="50"/>
      <c r="D235" s="50"/>
      <c r="E235" s="50"/>
      <c r="F235" s="51"/>
      <c r="G235" s="50"/>
      <c r="H235" s="50"/>
      <c r="I235" s="50"/>
      <c r="J235" s="48" t="str">
        <f t="array" ref="J235">IF(G235="","",IFERROR(LET(ev_cost,INDEX(Events!$G$5:$G$505,MATCH(G235,Events!$A$5:$A$505,0)),ev_split,INDEX(Events!$I$5:$I$505,MATCH(G235,Events!$A$5:$A$505,0)),att_offset,MATCH(G235,Attendance!$B$3:$AV$3,0),attendees,COUNTIF(INDEX(Attendance!$B$7:$AV$206,0,att_offset),"1"),IF(ev_split="Equal Split",ev_cost/MAX(1,COUNTA(Roster!$A$5:$A$204)),ev_cost/MAX(1,attendees))),"N/A"))</f>
        <v/>
      </c>
      <c r="K235" s="5"/>
      <c r="L235" s="5"/>
      <c r="M235" s="5"/>
      <c r="N235" s="5"/>
      <c r="O235" s="5"/>
      <c r="P235" s="5"/>
      <c r="Q235" s="5"/>
      <c r="R235" s="5"/>
      <c r="S235" s="5"/>
      <c r="T235" s="5"/>
      <c r="U235" s="5"/>
      <c r="V235" s="5"/>
      <c r="W235" s="5"/>
      <c r="X235" s="5"/>
      <c r="Y235" s="5"/>
      <c r="Z235" s="5"/>
    </row>
    <row r="236" ht="19.5" customHeight="1">
      <c r="A236" s="52"/>
      <c r="B236" s="53"/>
      <c r="C236" s="53"/>
      <c r="D236" s="53"/>
      <c r="E236" s="53"/>
      <c r="F236" s="61"/>
      <c r="G236" s="53"/>
      <c r="H236" s="53"/>
      <c r="I236" s="53"/>
      <c r="J236" s="48" t="str">
        <f t="array" ref="J236">IF(G236="","",IFERROR(LET(ev_cost,INDEX(Events!$G$5:$G$505,MATCH(G236,Events!$A$5:$A$505,0)),ev_split,INDEX(Events!$I$5:$I$505,MATCH(G236,Events!$A$5:$A$505,0)),att_offset,MATCH(G236,Attendance!$B$3:$AV$3,0),attendees,COUNTIF(INDEX(Attendance!$B$7:$AV$206,0,att_offset),"1"),IF(ev_split="Equal Split",ev_cost/MAX(1,COUNTA(Roster!$A$5:$A$204)),ev_cost/MAX(1,attendees))),"N/A"))</f>
        <v/>
      </c>
      <c r="K236" s="5"/>
      <c r="L236" s="5"/>
      <c r="M236" s="5"/>
      <c r="N236" s="5"/>
      <c r="O236" s="5"/>
      <c r="P236" s="5"/>
      <c r="Q236" s="5"/>
      <c r="R236" s="5"/>
      <c r="S236" s="5"/>
      <c r="T236" s="5"/>
      <c r="U236" s="5"/>
      <c r="V236" s="5"/>
      <c r="W236" s="5"/>
      <c r="X236" s="5"/>
      <c r="Y236" s="5"/>
      <c r="Z236" s="5"/>
    </row>
    <row r="237" ht="19.5" customHeight="1">
      <c r="A237" s="49"/>
      <c r="B237" s="50"/>
      <c r="C237" s="50"/>
      <c r="D237" s="50"/>
      <c r="E237" s="50"/>
      <c r="F237" s="51"/>
      <c r="G237" s="50"/>
      <c r="H237" s="50"/>
      <c r="I237" s="50"/>
      <c r="J237" s="48" t="str">
        <f t="array" ref="J237">IF(G237="","",IFERROR(LET(ev_cost,INDEX(Events!$G$5:$G$505,MATCH(G237,Events!$A$5:$A$505,0)),ev_split,INDEX(Events!$I$5:$I$505,MATCH(G237,Events!$A$5:$A$505,0)),att_offset,MATCH(G237,Attendance!$B$3:$AV$3,0),attendees,COUNTIF(INDEX(Attendance!$B$7:$AV$206,0,att_offset),"1"),IF(ev_split="Equal Split",ev_cost/MAX(1,COUNTA(Roster!$A$5:$A$204)),ev_cost/MAX(1,attendees))),"N/A"))</f>
        <v/>
      </c>
      <c r="K237" s="5"/>
      <c r="L237" s="5"/>
      <c r="M237" s="5"/>
      <c r="N237" s="5"/>
      <c r="O237" s="5"/>
      <c r="P237" s="5"/>
      <c r="Q237" s="5"/>
      <c r="R237" s="5"/>
      <c r="S237" s="5"/>
      <c r="T237" s="5"/>
      <c r="U237" s="5"/>
      <c r="V237" s="5"/>
      <c r="W237" s="5"/>
      <c r="X237" s="5"/>
      <c r="Y237" s="5"/>
      <c r="Z237" s="5"/>
    </row>
    <row r="238" ht="19.5" customHeight="1">
      <c r="A238" s="52"/>
      <c r="B238" s="53"/>
      <c r="C238" s="53"/>
      <c r="D238" s="53"/>
      <c r="E238" s="53"/>
      <c r="F238" s="61"/>
      <c r="G238" s="53"/>
      <c r="H238" s="53"/>
      <c r="I238" s="53"/>
      <c r="J238" s="48" t="str">
        <f t="array" ref="J238">IF(G238="","",IFERROR(LET(ev_cost,INDEX(Events!$G$5:$G$505,MATCH(G238,Events!$A$5:$A$505,0)),ev_split,INDEX(Events!$I$5:$I$505,MATCH(G238,Events!$A$5:$A$505,0)),att_offset,MATCH(G238,Attendance!$B$3:$AV$3,0),attendees,COUNTIF(INDEX(Attendance!$B$7:$AV$206,0,att_offset),"1"),IF(ev_split="Equal Split",ev_cost/MAX(1,COUNTA(Roster!$A$5:$A$204)),ev_cost/MAX(1,attendees))),"N/A"))</f>
        <v/>
      </c>
      <c r="K238" s="5"/>
      <c r="L238" s="5"/>
      <c r="M238" s="5"/>
      <c r="N238" s="5"/>
      <c r="O238" s="5"/>
      <c r="P238" s="5"/>
      <c r="Q238" s="5"/>
      <c r="R238" s="5"/>
      <c r="S238" s="5"/>
      <c r="T238" s="5"/>
      <c r="U238" s="5"/>
      <c r="V238" s="5"/>
      <c r="W238" s="5"/>
      <c r="X238" s="5"/>
      <c r="Y238" s="5"/>
      <c r="Z238" s="5"/>
    </row>
    <row r="239" ht="19.5" customHeight="1">
      <c r="A239" s="49"/>
      <c r="B239" s="50"/>
      <c r="C239" s="50"/>
      <c r="D239" s="50"/>
      <c r="E239" s="50"/>
      <c r="F239" s="51"/>
      <c r="G239" s="50"/>
      <c r="H239" s="50"/>
      <c r="I239" s="50"/>
      <c r="J239" s="48" t="str">
        <f t="array" ref="J239">IF(G239="","",IFERROR(LET(ev_cost,INDEX(Events!$G$5:$G$505,MATCH(G239,Events!$A$5:$A$505,0)),ev_split,INDEX(Events!$I$5:$I$505,MATCH(G239,Events!$A$5:$A$505,0)),att_offset,MATCH(G239,Attendance!$B$3:$AV$3,0),attendees,COUNTIF(INDEX(Attendance!$B$7:$AV$206,0,att_offset),"1"),IF(ev_split="Equal Split",ev_cost/MAX(1,COUNTA(Roster!$A$5:$A$204)),ev_cost/MAX(1,attendees))),"N/A"))</f>
        <v/>
      </c>
      <c r="K239" s="5"/>
      <c r="L239" s="5"/>
      <c r="M239" s="5"/>
      <c r="N239" s="5"/>
      <c r="O239" s="5"/>
      <c r="P239" s="5"/>
      <c r="Q239" s="5"/>
      <c r="R239" s="5"/>
      <c r="S239" s="5"/>
      <c r="T239" s="5"/>
      <c r="U239" s="5"/>
      <c r="V239" s="5"/>
      <c r="W239" s="5"/>
      <c r="X239" s="5"/>
      <c r="Y239" s="5"/>
      <c r="Z239" s="5"/>
    </row>
    <row r="240" ht="19.5" customHeight="1">
      <c r="A240" s="52"/>
      <c r="B240" s="53"/>
      <c r="C240" s="53"/>
      <c r="D240" s="53"/>
      <c r="E240" s="53"/>
      <c r="F240" s="61"/>
      <c r="G240" s="53"/>
      <c r="H240" s="53"/>
      <c r="I240" s="53"/>
      <c r="J240" s="48" t="str">
        <f t="array" ref="J240">IF(G240="","",IFERROR(LET(ev_cost,INDEX(Events!$G$5:$G$505,MATCH(G240,Events!$A$5:$A$505,0)),ev_split,INDEX(Events!$I$5:$I$505,MATCH(G240,Events!$A$5:$A$505,0)),att_offset,MATCH(G240,Attendance!$B$3:$AV$3,0),attendees,COUNTIF(INDEX(Attendance!$B$7:$AV$206,0,att_offset),"1"),IF(ev_split="Equal Split",ev_cost/MAX(1,COUNTA(Roster!$A$5:$A$204)),ev_cost/MAX(1,attendees))),"N/A"))</f>
        <v/>
      </c>
      <c r="K240" s="5"/>
      <c r="L240" s="5"/>
      <c r="M240" s="5"/>
      <c r="N240" s="5"/>
      <c r="O240" s="5"/>
      <c r="P240" s="5"/>
      <c r="Q240" s="5"/>
      <c r="R240" s="5"/>
      <c r="S240" s="5"/>
      <c r="T240" s="5"/>
      <c r="U240" s="5"/>
      <c r="V240" s="5"/>
      <c r="W240" s="5"/>
      <c r="X240" s="5"/>
      <c r="Y240" s="5"/>
      <c r="Z240" s="5"/>
    </row>
    <row r="241" ht="19.5" customHeight="1">
      <c r="A241" s="49"/>
      <c r="B241" s="50"/>
      <c r="C241" s="50"/>
      <c r="D241" s="50"/>
      <c r="E241" s="50"/>
      <c r="F241" s="51"/>
      <c r="G241" s="50"/>
      <c r="H241" s="50"/>
      <c r="I241" s="50"/>
      <c r="J241" s="48" t="str">
        <f t="array" ref="J241">IF(G241="","",IFERROR(LET(ev_cost,INDEX(Events!$G$5:$G$505,MATCH(G241,Events!$A$5:$A$505,0)),ev_split,INDEX(Events!$I$5:$I$505,MATCH(G241,Events!$A$5:$A$505,0)),att_offset,MATCH(G241,Attendance!$B$3:$AV$3,0),attendees,COUNTIF(INDEX(Attendance!$B$7:$AV$206,0,att_offset),"1"),IF(ev_split="Equal Split",ev_cost/MAX(1,COUNTA(Roster!$A$5:$A$204)),ev_cost/MAX(1,attendees))),"N/A"))</f>
        <v/>
      </c>
      <c r="K241" s="5"/>
      <c r="L241" s="5"/>
      <c r="M241" s="5"/>
      <c r="N241" s="5"/>
      <c r="O241" s="5"/>
      <c r="P241" s="5"/>
      <c r="Q241" s="5"/>
      <c r="R241" s="5"/>
      <c r="S241" s="5"/>
      <c r="T241" s="5"/>
      <c r="U241" s="5"/>
      <c r="V241" s="5"/>
      <c r="W241" s="5"/>
      <c r="X241" s="5"/>
      <c r="Y241" s="5"/>
      <c r="Z241" s="5"/>
    </row>
    <row r="242" ht="19.5" customHeight="1">
      <c r="A242" s="52"/>
      <c r="B242" s="53"/>
      <c r="C242" s="53"/>
      <c r="D242" s="53"/>
      <c r="E242" s="53"/>
      <c r="F242" s="61"/>
      <c r="G242" s="53"/>
      <c r="H242" s="53"/>
      <c r="I242" s="53"/>
      <c r="J242" s="48" t="str">
        <f t="array" ref="J242">IF(G242="","",IFERROR(LET(ev_cost,INDEX(Events!$G$5:$G$505,MATCH(G242,Events!$A$5:$A$505,0)),ev_split,INDEX(Events!$I$5:$I$505,MATCH(G242,Events!$A$5:$A$505,0)),att_offset,MATCH(G242,Attendance!$B$3:$AV$3,0),attendees,COUNTIF(INDEX(Attendance!$B$7:$AV$206,0,att_offset),"1"),IF(ev_split="Equal Split",ev_cost/MAX(1,COUNTA(Roster!$A$5:$A$204)),ev_cost/MAX(1,attendees))),"N/A"))</f>
        <v/>
      </c>
      <c r="K242" s="5"/>
      <c r="L242" s="5"/>
      <c r="M242" s="5"/>
      <c r="N242" s="5"/>
      <c r="O242" s="5"/>
      <c r="P242" s="5"/>
      <c r="Q242" s="5"/>
      <c r="R242" s="5"/>
      <c r="S242" s="5"/>
      <c r="T242" s="5"/>
      <c r="U242" s="5"/>
      <c r="V242" s="5"/>
      <c r="W242" s="5"/>
      <c r="X242" s="5"/>
      <c r="Y242" s="5"/>
      <c r="Z242" s="5"/>
    </row>
    <row r="243" ht="19.5" customHeight="1">
      <c r="A243" s="49"/>
      <c r="B243" s="50"/>
      <c r="C243" s="50"/>
      <c r="D243" s="50"/>
      <c r="E243" s="50"/>
      <c r="F243" s="51"/>
      <c r="G243" s="50"/>
      <c r="H243" s="50"/>
      <c r="I243" s="50"/>
      <c r="J243" s="48" t="str">
        <f t="array" ref="J243">IF(G243="","",IFERROR(LET(ev_cost,INDEX(Events!$G$5:$G$505,MATCH(G243,Events!$A$5:$A$505,0)),ev_split,INDEX(Events!$I$5:$I$505,MATCH(G243,Events!$A$5:$A$505,0)),att_offset,MATCH(G243,Attendance!$B$3:$AV$3,0),attendees,COUNTIF(INDEX(Attendance!$B$7:$AV$206,0,att_offset),"1"),IF(ev_split="Equal Split",ev_cost/MAX(1,COUNTA(Roster!$A$5:$A$204)),ev_cost/MAX(1,attendees))),"N/A"))</f>
        <v/>
      </c>
      <c r="K243" s="5"/>
      <c r="L243" s="5"/>
      <c r="M243" s="5"/>
      <c r="N243" s="5"/>
      <c r="O243" s="5"/>
      <c r="P243" s="5"/>
      <c r="Q243" s="5"/>
      <c r="R243" s="5"/>
      <c r="S243" s="5"/>
      <c r="T243" s="5"/>
      <c r="U243" s="5"/>
      <c r="V243" s="5"/>
      <c r="W243" s="5"/>
      <c r="X243" s="5"/>
      <c r="Y243" s="5"/>
      <c r="Z243" s="5"/>
    </row>
    <row r="244" ht="19.5" customHeight="1">
      <c r="A244" s="52"/>
      <c r="B244" s="53"/>
      <c r="C244" s="53"/>
      <c r="D244" s="53"/>
      <c r="E244" s="53"/>
      <c r="F244" s="61"/>
      <c r="G244" s="53"/>
      <c r="H244" s="53"/>
      <c r="I244" s="53"/>
      <c r="J244" s="48" t="str">
        <f t="array" ref="J244">IF(G244="","",IFERROR(LET(ev_cost,INDEX(Events!$G$5:$G$505,MATCH(G244,Events!$A$5:$A$505,0)),ev_split,INDEX(Events!$I$5:$I$505,MATCH(G244,Events!$A$5:$A$505,0)),att_offset,MATCH(G244,Attendance!$B$3:$AV$3,0),attendees,COUNTIF(INDEX(Attendance!$B$7:$AV$206,0,att_offset),"1"),IF(ev_split="Equal Split",ev_cost/MAX(1,COUNTA(Roster!$A$5:$A$204)),ev_cost/MAX(1,attendees))),"N/A"))</f>
        <v/>
      </c>
      <c r="K244" s="5"/>
      <c r="L244" s="5"/>
      <c r="M244" s="5"/>
      <c r="N244" s="5"/>
      <c r="O244" s="5"/>
      <c r="P244" s="5"/>
      <c r="Q244" s="5"/>
      <c r="R244" s="5"/>
      <c r="S244" s="5"/>
      <c r="T244" s="5"/>
      <c r="U244" s="5"/>
      <c r="V244" s="5"/>
      <c r="W244" s="5"/>
      <c r="X244" s="5"/>
      <c r="Y244" s="5"/>
      <c r="Z244" s="5"/>
    </row>
    <row r="245" ht="19.5" customHeight="1">
      <c r="A245" s="49"/>
      <c r="B245" s="50"/>
      <c r="C245" s="50"/>
      <c r="D245" s="50"/>
      <c r="E245" s="50"/>
      <c r="F245" s="51"/>
      <c r="G245" s="50"/>
      <c r="H245" s="50"/>
      <c r="I245" s="50"/>
      <c r="J245" s="48" t="str">
        <f t="array" ref="J245">IF(G245="","",IFERROR(LET(ev_cost,INDEX(Events!$G$5:$G$505,MATCH(G245,Events!$A$5:$A$505,0)),ev_split,INDEX(Events!$I$5:$I$505,MATCH(G245,Events!$A$5:$A$505,0)),att_offset,MATCH(G245,Attendance!$B$3:$AV$3,0),attendees,COUNTIF(INDEX(Attendance!$B$7:$AV$206,0,att_offset),"1"),IF(ev_split="Equal Split",ev_cost/MAX(1,COUNTA(Roster!$A$5:$A$204)),ev_cost/MAX(1,attendees))),"N/A"))</f>
        <v/>
      </c>
      <c r="K245" s="5"/>
      <c r="L245" s="5"/>
      <c r="M245" s="5"/>
      <c r="N245" s="5"/>
      <c r="O245" s="5"/>
      <c r="P245" s="5"/>
      <c r="Q245" s="5"/>
      <c r="R245" s="5"/>
      <c r="S245" s="5"/>
      <c r="T245" s="5"/>
      <c r="U245" s="5"/>
      <c r="V245" s="5"/>
      <c r="W245" s="5"/>
      <c r="X245" s="5"/>
      <c r="Y245" s="5"/>
      <c r="Z245" s="5"/>
    </row>
    <row r="246" ht="19.5" customHeight="1">
      <c r="A246" s="52"/>
      <c r="B246" s="53"/>
      <c r="C246" s="53"/>
      <c r="D246" s="53"/>
      <c r="E246" s="53"/>
      <c r="F246" s="61"/>
      <c r="G246" s="53"/>
      <c r="H246" s="53"/>
      <c r="I246" s="53"/>
      <c r="J246" s="48" t="str">
        <f t="array" ref="J246">IF(G246="","",IFERROR(LET(ev_cost,INDEX(Events!$G$5:$G$505,MATCH(G246,Events!$A$5:$A$505,0)),ev_split,INDEX(Events!$I$5:$I$505,MATCH(G246,Events!$A$5:$A$505,0)),att_offset,MATCH(G246,Attendance!$B$3:$AV$3,0),attendees,COUNTIF(INDEX(Attendance!$B$7:$AV$206,0,att_offset),"1"),IF(ev_split="Equal Split",ev_cost/MAX(1,COUNTA(Roster!$A$5:$A$204)),ev_cost/MAX(1,attendees))),"N/A"))</f>
        <v/>
      </c>
      <c r="K246" s="5"/>
      <c r="L246" s="5"/>
      <c r="M246" s="5"/>
      <c r="N246" s="5"/>
      <c r="O246" s="5"/>
      <c r="P246" s="5"/>
      <c r="Q246" s="5"/>
      <c r="R246" s="5"/>
      <c r="S246" s="5"/>
      <c r="T246" s="5"/>
      <c r="U246" s="5"/>
      <c r="V246" s="5"/>
      <c r="W246" s="5"/>
      <c r="X246" s="5"/>
      <c r="Y246" s="5"/>
      <c r="Z246" s="5"/>
    </row>
    <row r="247" ht="19.5" customHeight="1">
      <c r="A247" s="49"/>
      <c r="B247" s="50"/>
      <c r="C247" s="50"/>
      <c r="D247" s="50"/>
      <c r="E247" s="50"/>
      <c r="F247" s="51"/>
      <c r="G247" s="50"/>
      <c r="H247" s="50"/>
      <c r="I247" s="50"/>
      <c r="J247" s="48" t="str">
        <f t="array" ref="J247">IF(G247="","",IFERROR(LET(ev_cost,INDEX(Events!$G$5:$G$505,MATCH(G247,Events!$A$5:$A$505,0)),ev_split,INDEX(Events!$I$5:$I$505,MATCH(G247,Events!$A$5:$A$505,0)),att_offset,MATCH(G247,Attendance!$B$3:$AV$3,0),attendees,COUNTIF(INDEX(Attendance!$B$7:$AV$206,0,att_offset),"1"),IF(ev_split="Equal Split",ev_cost/MAX(1,COUNTA(Roster!$A$5:$A$204)),ev_cost/MAX(1,attendees))),"N/A"))</f>
        <v/>
      </c>
      <c r="K247" s="5"/>
      <c r="L247" s="5"/>
      <c r="M247" s="5"/>
      <c r="N247" s="5"/>
      <c r="O247" s="5"/>
      <c r="P247" s="5"/>
      <c r="Q247" s="5"/>
      <c r="R247" s="5"/>
      <c r="S247" s="5"/>
      <c r="T247" s="5"/>
      <c r="U247" s="5"/>
      <c r="V247" s="5"/>
      <c r="W247" s="5"/>
      <c r="X247" s="5"/>
      <c r="Y247" s="5"/>
      <c r="Z247" s="5"/>
    </row>
    <row r="248" ht="19.5" customHeight="1">
      <c r="A248" s="52"/>
      <c r="B248" s="53"/>
      <c r="C248" s="53"/>
      <c r="D248" s="53"/>
      <c r="E248" s="53"/>
      <c r="F248" s="61"/>
      <c r="G248" s="53"/>
      <c r="H248" s="53"/>
      <c r="I248" s="53"/>
      <c r="J248" s="48" t="str">
        <f t="array" ref="J248">IF(G248="","",IFERROR(LET(ev_cost,INDEX(Events!$G$5:$G$505,MATCH(G248,Events!$A$5:$A$505,0)),ev_split,INDEX(Events!$I$5:$I$505,MATCH(G248,Events!$A$5:$A$505,0)),att_offset,MATCH(G248,Attendance!$B$3:$AV$3,0),attendees,COUNTIF(INDEX(Attendance!$B$7:$AV$206,0,att_offset),"1"),IF(ev_split="Equal Split",ev_cost/MAX(1,COUNTA(Roster!$A$5:$A$204)),ev_cost/MAX(1,attendees))),"N/A"))</f>
        <v/>
      </c>
      <c r="K248" s="5"/>
      <c r="L248" s="5"/>
      <c r="M248" s="5"/>
      <c r="N248" s="5"/>
      <c r="O248" s="5"/>
      <c r="P248" s="5"/>
      <c r="Q248" s="5"/>
      <c r="R248" s="5"/>
      <c r="S248" s="5"/>
      <c r="T248" s="5"/>
      <c r="U248" s="5"/>
      <c r="V248" s="5"/>
      <c r="W248" s="5"/>
      <c r="X248" s="5"/>
      <c r="Y248" s="5"/>
      <c r="Z248" s="5"/>
    </row>
    <row r="249" ht="19.5" customHeight="1">
      <c r="A249" s="49"/>
      <c r="B249" s="50"/>
      <c r="C249" s="50"/>
      <c r="D249" s="50"/>
      <c r="E249" s="50"/>
      <c r="F249" s="51"/>
      <c r="G249" s="50"/>
      <c r="H249" s="50"/>
      <c r="I249" s="50"/>
      <c r="J249" s="48" t="str">
        <f t="array" ref="J249">IF(G249="","",IFERROR(LET(ev_cost,INDEX(Events!$G$5:$G$505,MATCH(G249,Events!$A$5:$A$505,0)),ev_split,INDEX(Events!$I$5:$I$505,MATCH(G249,Events!$A$5:$A$505,0)),att_offset,MATCH(G249,Attendance!$B$3:$AV$3,0),attendees,COUNTIF(INDEX(Attendance!$B$7:$AV$206,0,att_offset),"1"),IF(ev_split="Equal Split",ev_cost/MAX(1,COUNTA(Roster!$A$5:$A$204)),ev_cost/MAX(1,attendees))),"N/A"))</f>
        <v/>
      </c>
      <c r="K249" s="5"/>
      <c r="L249" s="5"/>
      <c r="M249" s="5"/>
      <c r="N249" s="5"/>
      <c r="O249" s="5"/>
      <c r="P249" s="5"/>
      <c r="Q249" s="5"/>
      <c r="R249" s="5"/>
      <c r="S249" s="5"/>
      <c r="T249" s="5"/>
      <c r="U249" s="5"/>
      <c r="V249" s="5"/>
      <c r="W249" s="5"/>
      <c r="X249" s="5"/>
      <c r="Y249" s="5"/>
      <c r="Z249" s="5"/>
    </row>
    <row r="250" ht="19.5" customHeight="1">
      <c r="A250" s="52"/>
      <c r="B250" s="53"/>
      <c r="C250" s="53"/>
      <c r="D250" s="53"/>
      <c r="E250" s="53"/>
      <c r="F250" s="61"/>
      <c r="G250" s="53"/>
      <c r="H250" s="53"/>
      <c r="I250" s="53"/>
      <c r="J250" s="48" t="str">
        <f t="array" ref="J250">IF(G250="","",IFERROR(LET(ev_cost,INDEX(Events!$G$5:$G$505,MATCH(G250,Events!$A$5:$A$505,0)),ev_split,INDEX(Events!$I$5:$I$505,MATCH(G250,Events!$A$5:$A$505,0)),att_offset,MATCH(G250,Attendance!$B$3:$AV$3,0),attendees,COUNTIF(INDEX(Attendance!$B$7:$AV$206,0,att_offset),"1"),IF(ev_split="Equal Split",ev_cost/MAX(1,COUNTA(Roster!$A$5:$A$204)),ev_cost/MAX(1,attendees))),"N/A"))</f>
        <v/>
      </c>
      <c r="K250" s="5"/>
      <c r="L250" s="5"/>
      <c r="M250" s="5"/>
      <c r="N250" s="5"/>
      <c r="O250" s="5"/>
      <c r="P250" s="5"/>
      <c r="Q250" s="5"/>
      <c r="R250" s="5"/>
      <c r="S250" s="5"/>
      <c r="T250" s="5"/>
      <c r="U250" s="5"/>
      <c r="V250" s="5"/>
      <c r="W250" s="5"/>
      <c r="X250" s="5"/>
      <c r="Y250" s="5"/>
      <c r="Z250" s="5"/>
    </row>
    <row r="251" ht="19.5" customHeight="1">
      <c r="A251" s="49"/>
      <c r="B251" s="50"/>
      <c r="C251" s="50"/>
      <c r="D251" s="50"/>
      <c r="E251" s="50"/>
      <c r="F251" s="51"/>
      <c r="G251" s="50"/>
      <c r="H251" s="50"/>
      <c r="I251" s="50"/>
      <c r="J251" s="48" t="str">
        <f t="array" ref="J251">IF(G251="","",IFERROR(LET(ev_cost,INDEX(Events!$G$5:$G$505,MATCH(G251,Events!$A$5:$A$505,0)),ev_split,INDEX(Events!$I$5:$I$505,MATCH(G251,Events!$A$5:$A$505,0)),att_offset,MATCH(G251,Attendance!$B$3:$AV$3,0),attendees,COUNTIF(INDEX(Attendance!$B$7:$AV$206,0,att_offset),"1"),IF(ev_split="Equal Split",ev_cost/MAX(1,COUNTA(Roster!$A$5:$A$204)),ev_cost/MAX(1,attendees))),"N/A"))</f>
        <v/>
      </c>
      <c r="K251" s="5"/>
      <c r="L251" s="5"/>
      <c r="M251" s="5"/>
      <c r="N251" s="5"/>
      <c r="O251" s="5"/>
      <c r="P251" s="5"/>
      <c r="Q251" s="5"/>
      <c r="R251" s="5"/>
      <c r="S251" s="5"/>
      <c r="T251" s="5"/>
      <c r="U251" s="5"/>
      <c r="V251" s="5"/>
      <c r="W251" s="5"/>
      <c r="X251" s="5"/>
      <c r="Y251" s="5"/>
      <c r="Z251" s="5"/>
    </row>
    <row r="252" ht="19.5" customHeight="1">
      <c r="A252" s="52"/>
      <c r="B252" s="53"/>
      <c r="C252" s="53"/>
      <c r="D252" s="53"/>
      <c r="E252" s="53"/>
      <c r="F252" s="61"/>
      <c r="G252" s="53"/>
      <c r="H252" s="53"/>
      <c r="I252" s="53"/>
      <c r="J252" s="48" t="str">
        <f t="array" ref="J252">IF(G252="","",IFERROR(LET(ev_cost,INDEX(Events!$G$5:$G$505,MATCH(G252,Events!$A$5:$A$505,0)),ev_split,INDEX(Events!$I$5:$I$505,MATCH(G252,Events!$A$5:$A$505,0)),att_offset,MATCH(G252,Attendance!$B$3:$AV$3,0),attendees,COUNTIF(INDEX(Attendance!$B$7:$AV$206,0,att_offset),"1"),IF(ev_split="Equal Split",ev_cost/MAX(1,COUNTA(Roster!$A$5:$A$204)),ev_cost/MAX(1,attendees))),"N/A"))</f>
        <v/>
      </c>
      <c r="K252" s="5"/>
      <c r="L252" s="5"/>
      <c r="M252" s="5"/>
      <c r="N252" s="5"/>
      <c r="O252" s="5"/>
      <c r="P252" s="5"/>
      <c r="Q252" s="5"/>
      <c r="R252" s="5"/>
      <c r="S252" s="5"/>
      <c r="T252" s="5"/>
      <c r="U252" s="5"/>
      <c r="V252" s="5"/>
      <c r="W252" s="5"/>
      <c r="X252" s="5"/>
      <c r="Y252" s="5"/>
      <c r="Z252" s="5"/>
    </row>
    <row r="253" ht="19.5" customHeight="1">
      <c r="A253" s="49"/>
      <c r="B253" s="50"/>
      <c r="C253" s="50"/>
      <c r="D253" s="50"/>
      <c r="E253" s="50"/>
      <c r="F253" s="51"/>
      <c r="G253" s="50"/>
      <c r="H253" s="50"/>
      <c r="I253" s="50"/>
      <c r="J253" s="48" t="str">
        <f t="array" ref="J253">IF(G253="","",IFERROR(LET(ev_cost,INDEX(Events!$G$5:$G$505,MATCH(G253,Events!$A$5:$A$505,0)),ev_split,INDEX(Events!$I$5:$I$505,MATCH(G253,Events!$A$5:$A$505,0)),att_offset,MATCH(G253,Attendance!$B$3:$AV$3,0),attendees,COUNTIF(INDEX(Attendance!$B$7:$AV$206,0,att_offset),"1"),IF(ev_split="Equal Split",ev_cost/MAX(1,COUNTA(Roster!$A$5:$A$204)),ev_cost/MAX(1,attendees))),"N/A"))</f>
        <v/>
      </c>
      <c r="K253" s="5"/>
      <c r="L253" s="5"/>
      <c r="M253" s="5"/>
      <c r="N253" s="5"/>
      <c r="O253" s="5"/>
      <c r="P253" s="5"/>
      <c r="Q253" s="5"/>
      <c r="R253" s="5"/>
      <c r="S253" s="5"/>
      <c r="T253" s="5"/>
      <c r="U253" s="5"/>
      <c r="V253" s="5"/>
      <c r="W253" s="5"/>
      <c r="X253" s="5"/>
      <c r="Y253" s="5"/>
      <c r="Z253" s="5"/>
    </row>
    <row r="254" ht="19.5" customHeight="1">
      <c r="A254" s="52"/>
      <c r="B254" s="53"/>
      <c r="C254" s="53"/>
      <c r="D254" s="53"/>
      <c r="E254" s="53"/>
      <c r="F254" s="61"/>
      <c r="G254" s="53"/>
      <c r="H254" s="53"/>
      <c r="I254" s="53"/>
      <c r="J254" s="48" t="str">
        <f t="array" ref="J254">IF(G254="","",IFERROR(LET(ev_cost,INDEX(Events!$G$5:$G$505,MATCH(G254,Events!$A$5:$A$505,0)),ev_split,INDEX(Events!$I$5:$I$505,MATCH(G254,Events!$A$5:$A$505,0)),att_offset,MATCH(G254,Attendance!$B$3:$AV$3,0),attendees,COUNTIF(INDEX(Attendance!$B$7:$AV$206,0,att_offset),"1"),IF(ev_split="Equal Split",ev_cost/MAX(1,COUNTA(Roster!$A$5:$A$204)),ev_cost/MAX(1,attendees))),"N/A"))</f>
        <v/>
      </c>
      <c r="K254" s="5"/>
      <c r="L254" s="5"/>
      <c r="M254" s="5"/>
      <c r="N254" s="5"/>
      <c r="O254" s="5"/>
      <c r="P254" s="5"/>
      <c r="Q254" s="5"/>
      <c r="R254" s="5"/>
      <c r="S254" s="5"/>
      <c r="T254" s="5"/>
      <c r="U254" s="5"/>
      <c r="V254" s="5"/>
      <c r="W254" s="5"/>
      <c r="X254" s="5"/>
      <c r="Y254" s="5"/>
      <c r="Z254" s="5"/>
    </row>
    <row r="255" ht="19.5" customHeight="1">
      <c r="A255" s="49"/>
      <c r="B255" s="50"/>
      <c r="C255" s="50"/>
      <c r="D255" s="50"/>
      <c r="E255" s="50"/>
      <c r="F255" s="51"/>
      <c r="G255" s="50"/>
      <c r="H255" s="50"/>
      <c r="I255" s="50"/>
      <c r="J255" s="48" t="str">
        <f t="array" ref="J255">IF(G255="","",IFERROR(LET(ev_cost,INDEX(Events!$G$5:$G$505,MATCH(G255,Events!$A$5:$A$505,0)),ev_split,INDEX(Events!$I$5:$I$505,MATCH(G255,Events!$A$5:$A$505,0)),att_offset,MATCH(G255,Attendance!$B$3:$AV$3,0),attendees,COUNTIF(INDEX(Attendance!$B$7:$AV$206,0,att_offset),"1"),IF(ev_split="Equal Split",ev_cost/MAX(1,COUNTA(Roster!$A$5:$A$204)),ev_cost/MAX(1,attendees))),"N/A"))</f>
        <v/>
      </c>
      <c r="K255" s="5"/>
      <c r="L255" s="5"/>
      <c r="M255" s="5"/>
      <c r="N255" s="5"/>
      <c r="O255" s="5"/>
      <c r="P255" s="5"/>
      <c r="Q255" s="5"/>
      <c r="R255" s="5"/>
      <c r="S255" s="5"/>
      <c r="T255" s="5"/>
      <c r="U255" s="5"/>
      <c r="V255" s="5"/>
      <c r="W255" s="5"/>
      <c r="X255" s="5"/>
      <c r="Y255" s="5"/>
      <c r="Z255" s="5"/>
    </row>
    <row r="256" ht="19.5" customHeight="1">
      <c r="A256" s="52"/>
      <c r="B256" s="53"/>
      <c r="C256" s="53"/>
      <c r="D256" s="53"/>
      <c r="E256" s="53"/>
      <c r="F256" s="61"/>
      <c r="G256" s="53"/>
      <c r="H256" s="53"/>
      <c r="I256" s="53"/>
      <c r="J256" s="48" t="str">
        <f t="array" ref="J256">IF(G256="","",IFERROR(LET(ev_cost,INDEX(Events!$G$5:$G$505,MATCH(G256,Events!$A$5:$A$505,0)),ev_split,INDEX(Events!$I$5:$I$505,MATCH(G256,Events!$A$5:$A$505,0)),att_offset,MATCH(G256,Attendance!$B$3:$AV$3,0),attendees,COUNTIF(INDEX(Attendance!$B$7:$AV$206,0,att_offset),"1"),IF(ev_split="Equal Split",ev_cost/MAX(1,COUNTA(Roster!$A$5:$A$204)),ev_cost/MAX(1,attendees))),"N/A"))</f>
        <v/>
      </c>
      <c r="K256" s="5"/>
      <c r="L256" s="5"/>
      <c r="M256" s="5"/>
      <c r="N256" s="5"/>
      <c r="O256" s="5"/>
      <c r="P256" s="5"/>
      <c r="Q256" s="5"/>
      <c r="R256" s="5"/>
      <c r="S256" s="5"/>
      <c r="T256" s="5"/>
      <c r="U256" s="5"/>
      <c r="V256" s="5"/>
      <c r="W256" s="5"/>
      <c r="X256" s="5"/>
      <c r="Y256" s="5"/>
      <c r="Z256" s="5"/>
    </row>
    <row r="257" ht="19.5" customHeight="1">
      <c r="A257" s="49"/>
      <c r="B257" s="50"/>
      <c r="C257" s="50"/>
      <c r="D257" s="50"/>
      <c r="E257" s="50"/>
      <c r="F257" s="51"/>
      <c r="G257" s="50"/>
      <c r="H257" s="50"/>
      <c r="I257" s="50"/>
      <c r="J257" s="48" t="str">
        <f t="array" ref="J257">IF(G257="","",IFERROR(LET(ev_cost,INDEX(Events!$G$5:$G$505,MATCH(G257,Events!$A$5:$A$505,0)),ev_split,INDEX(Events!$I$5:$I$505,MATCH(G257,Events!$A$5:$A$505,0)),att_offset,MATCH(G257,Attendance!$B$3:$AV$3,0),attendees,COUNTIF(INDEX(Attendance!$B$7:$AV$206,0,att_offset),"1"),IF(ev_split="Equal Split",ev_cost/MAX(1,COUNTA(Roster!$A$5:$A$204)),ev_cost/MAX(1,attendees))),"N/A"))</f>
        <v/>
      </c>
      <c r="K257" s="5"/>
      <c r="L257" s="5"/>
      <c r="M257" s="5"/>
      <c r="N257" s="5"/>
      <c r="O257" s="5"/>
      <c r="P257" s="5"/>
      <c r="Q257" s="5"/>
      <c r="R257" s="5"/>
      <c r="S257" s="5"/>
      <c r="T257" s="5"/>
      <c r="U257" s="5"/>
      <c r="V257" s="5"/>
      <c r="W257" s="5"/>
      <c r="X257" s="5"/>
      <c r="Y257" s="5"/>
      <c r="Z257" s="5"/>
    </row>
    <row r="258" ht="19.5" customHeight="1">
      <c r="A258" s="52"/>
      <c r="B258" s="53"/>
      <c r="C258" s="53"/>
      <c r="D258" s="53"/>
      <c r="E258" s="53"/>
      <c r="F258" s="61"/>
      <c r="G258" s="53"/>
      <c r="H258" s="53"/>
      <c r="I258" s="53"/>
      <c r="J258" s="48" t="str">
        <f t="array" ref="J258">IF(G258="","",IFERROR(LET(ev_cost,INDEX(Events!$G$5:$G$505,MATCH(G258,Events!$A$5:$A$505,0)),ev_split,INDEX(Events!$I$5:$I$505,MATCH(G258,Events!$A$5:$A$505,0)),att_offset,MATCH(G258,Attendance!$B$3:$AV$3,0),attendees,COUNTIF(INDEX(Attendance!$B$7:$AV$206,0,att_offset),"1"),IF(ev_split="Equal Split",ev_cost/MAX(1,COUNTA(Roster!$A$5:$A$204)),ev_cost/MAX(1,attendees))),"N/A"))</f>
        <v/>
      </c>
      <c r="K258" s="5"/>
      <c r="L258" s="5"/>
      <c r="M258" s="5"/>
      <c r="N258" s="5"/>
      <c r="O258" s="5"/>
      <c r="P258" s="5"/>
      <c r="Q258" s="5"/>
      <c r="R258" s="5"/>
      <c r="S258" s="5"/>
      <c r="T258" s="5"/>
      <c r="U258" s="5"/>
      <c r="V258" s="5"/>
      <c r="W258" s="5"/>
      <c r="X258" s="5"/>
      <c r="Y258" s="5"/>
      <c r="Z258" s="5"/>
    </row>
    <row r="259" ht="19.5" customHeight="1">
      <c r="A259" s="49"/>
      <c r="B259" s="50"/>
      <c r="C259" s="50"/>
      <c r="D259" s="50"/>
      <c r="E259" s="50"/>
      <c r="F259" s="51"/>
      <c r="G259" s="50"/>
      <c r="H259" s="50"/>
      <c r="I259" s="50"/>
      <c r="J259" s="48" t="str">
        <f t="array" ref="J259">IF(G259="","",IFERROR(LET(ev_cost,INDEX(Events!$G$5:$G$505,MATCH(G259,Events!$A$5:$A$505,0)),ev_split,INDEX(Events!$I$5:$I$505,MATCH(G259,Events!$A$5:$A$505,0)),att_offset,MATCH(G259,Attendance!$B$3:$AV$3,0),attendees,COUNTIF(INDEX(Attendance!$B$7:$AV$206,0,att_offset),"1"),IF(ev_split="Equal Split",ev_cost/MAX(1,COUNTA(Roster!$A$5:$A$204)),ev_cost/MAX(1,attendees))),"N/A"))</f>
        <v/>
      </c>
      <c r="K259" s="5"/>
      <c r="L259" s="5"/>
      <c r="M259" s="5"/>
      <c r="N259" s="5"/>
      <c r="O259" s="5"/>
      <c r="P259" s="5"/>
      <c r="Q259" s="5"/>
      <c r="R259" s="5"/>
      <c r="S259" s="5"/>
      <c r="T259" s="5"/>
      <c r="U259" s="5"/>
      <c r="V259" s="5"/>
      <c r="W259" s="5"/>
      <c r="X259" s="5"/>
      <c r="Y259" s="5"/>
      <c r="Z259" s="5"/>
    </row>
    <row r="260" ht="19.5" customHeight="1">
      <c r="A260" s="52"/>
      <c r="B260" s="53"/>
      <c r="C260" s="53"/>
      <c r="D260" s="53"/>
      <c r="E260" s="53"/>
      <c r="F260" s="61"/>
      <c r="G260" s="53"/>
      <c r="H260" s="53"/>
      <c r="I260" s="53"/>
      <c r="J260" s="48" t="str">
        <f t="array" ref="J260">IF(G260="","",IFERROR(LET(ev_cost,INDEX(Events!$G$5:$G$505,MATCH(G260,Events!$A$5:$A$505,0)),ev_split,INDEX(Events!$I$5:$I$505,MATCH(G260,Events!$A$5:$A$505,0)),att_offset,MATCH(G260,Attendance!$B$3:$AV$3,0),attendees,COUNTIF(INDEX(Attendance!$B$7:$AV$206,0,att_offset),"1"),IF(ev_split="Equal Split",ev_cost/MAX(1,COUNTA(Roster!$A$5:$A$204)),ev_cost/MAX(1,attendees))),"N/A"))</f>
        <v/>
      </c>
      <c r="K260" s="5"/>
      <c r="L260" s="5"/>
      <c r="M260" s="5"/>
      <c r="N260" s="5"/>
      <c r="O260" s="5"/>
      <c r="P260" s="5"/>
      <c r="Q260" s="5"/>
      <c r="R260" s="5"/>
      <c r="S260" s="5"/>
      <c r="T260" s="5"/>
      <c r="U260" s="5"/>
      <c r="V260" s="5"/>
      <c r="W260" s="5"/>
      <c r="X260" s="5"/>
      <c r="Y260" s="5"/>
      <c r="Z260" s="5"/>
    </row>
    <row r="261" ht="19.5" customHeight="1">
      <c r="A261" s="49"/>
      <c r="B261" s="50"/>
      <c r="C261" s="50"/>
      <c r="D261" s="50"/>
      <c r="E261" s="50"/>
      <c r="F261" s="51"/>
      <c r="G261" s="50"/>
      <c r="H261" s="50"/>
      <c r="I261" s="50"/>
      <c r="J261" s="48" t="str">
        <f t="array" ref="J261">IF(G261="","",IFERROR(LET(ev_cost,INDEX(Events!$G$5:$G$505,MATCH(G261,Events!$A$5:$A$505,0)),ev_split,INDEX(Events!$I$5:$I$505,MATCH(G261,Events!$A$5:$A$505,0)),att_offset,MATCH(G261,Attendance!$B$3:$AV$3,0),attendees,COUNTIF(INDEX(Attendance!$B$7:$AV$206,0,att_offset),"1"),IF(ev_split="Equal Split",ev_cost/MAX(1,COUNTA(Roster!$A$5:$A$204)),ev_cost/MAX(1,attendees))),"N/A"))</f>
        <v/>
      </c>
      <c r="K261" s="5"/>
      <c r="L261" s="5"/>
      <c r="M261" s="5"/>
      <c r="N261" s="5"/>
      <c r="O261" s="5"/>
      <c r="P261" s="5"/>
      <c r="Q261" s="5"/>
      <c r="R261" s="5"/>
      <c r="S261" s="5"/>
      <c r="T261" s="5"/>
      <c r="U261" s="5"/>
      <c r="V261" s="5"/>
      <c r="W261" s="5"/>
      <c r="X261" s="5"/>
      <c r="Y261" s="5"/>
      <c r="Z261" s="5"/>
    </row>
    <row r="262" ht="19.5" customHeight="1">
      <c r="A262" s="52"/>
      <c r="B262" s="53"/>
      <c r="C262" s="53"/>
      <c r="D262" s="53"/>
      <c r="E262" s="53"/>
      <c r="F262" s="61"/>
      <c r="G262" s="53"/>
      <c r="H262" s="53"/>
      <c r="I262" s="53"/>
      <c r="J262" s="48" t="str">
        <f t="array" ref="J262">IF(G262="","",IFERROR(LET(ev_cost,INDEX(Events!$G$5:$G$505,MATCH(G262,Events!$A$5:$A$505,0)),ev_split,INDEX(Events!$I$5:$I$505,MATCH(G262,Events!$A$5:$A$505,0)),att_offset,MATCH(G262,Attendance!$B$3:$AV$3,0),attendees,COUNTIF(INDEX(Attendance!$B$7:$AV$206,0,att_offset),"1"),IF(ev_split="Equal Split",ev_cost/MAX(1,COUNTA(Roster!$A$5:$A$204)),ev_cost/MAX(1,attendees))),"N/A"))</f>
        <v/>
      </c>
      <c r="K262" s="5"/>
      <c r="L262" s="5"/>
      <c r="M262" s="5"/>
      <c r="N262" s="5"/>
      <c r="O262" s="5"/>
      <c r="P262" s="5"/>
      <c r="Q262" s="5"/>
      <c r="R262" s="5"/>
      <c r="S262" s="5"/>
      <c r="T262" s="5"/>
      <c r="U262" s="5"/>
      <c r="V262" s="5"/>
      <c r="W262" s="5"/>
      <c r="X262" s="5"/>
      <c r="Y262" s="5"/>
      <c r="Z262" s="5"/>
    </row>
    <row r="263" ht="19.5" customHeight="1">
      <c r="A263" s="49"/>
      <c r="B263" s="50"/>
      <c r="C263" s="50"/>
      <c r="D263" s="50"/>
      <c r="E263" s="50"/>
      <c r="F263" s="51"/>
      <c r="G263" s="50"/>
      <c r="H263" s="50"/>
      <c r="I263" s="50"/>
      <c r="J263" s="48" t="str">
        <f t="array" ref="J263">IF(G263="","",IFERROR(LET(ev_cost,INDEX(Events!$G$5:$G$505,MATCH(G263,Events!$A$5:$A$505,0)),ev_split,INDEX(Events!$I$5:$I$505,MATCH(G263,Events!$A$5:$A$505,0)),att_offset,MATCH(G263,Attendance!$B$3:$AV$3,0),attendees,COUNTIF(INDEX(Attendance!$B$7:$AV$206,0,att_offset),"1"),IF(ev_split="Equal Split",ev_cost/MAX(1,COUNTA(Roster!$A$5:$A$204)),ev_cost/MAX(1,attendees))),"N/A"))</f>
        <v/>
      </c>
      <c r="K263" s="5"/>
      <c r="L263" s="5"/>
      <c r="M263" s="5"/>
      <c r="N263" s="5"/>
      <c r="O263" s="5"/>
      <c r="P263" s="5"/>
      <c r="Q263" s="5"/>
      <c r="R263" s="5"/>
      <c r="S263" s="5"/>
      <c r="T263" s="5"/>
      <c r="U263" s="5"/>
      <c r="V263" s="5"/>
      <c r="W263" s="5"/>
      <c r="X263" s="5"/>
      <c r="Y263" s="5"/>
      <c r="Z263" s="5"/>
    </row>
    <row r="264" ht="19.5" customHeight="1">
      <c r="A264" s="52"/>
      <c r="B264" s="53"/>
      <c r="C264" s="53"/>
      <c r="D264" s="53"/>
      <c r="E264" s="53"/>
      <c r="F264" s="61"/>
      <c r="G264" s="53"/>
      <c r="H264" s="53"/>
      <c r="I264" s="53"/>
      <c r="J264" s="48" t="str">
        <f t="array" ref="J264">IF(G264="","",IFERROR(LET(ev_cost,INDEX(Events!$G$5:$G$505,MATCH(G264,Events!$A$5:$A$505,0)),ev_split,INDEX(Events!$I$5:$I$505,MATCH(G264,Events!$A$5:$A$505,0)),att_offset,MATCH(G264,Attendance!$B$3:$AV$3,0),attendees,COUNTIF(INDEX(Attendance!$B$7:$AV$206,0,att_offset),"1"),IF(ev_split="Equal Split",ev_cost/MAX(1,COUNTA(Roster!$A$5:$A$204)),ev_cost/MAX(1,attendees))),"N/A"))</f>
        <v/>
      </c>
      <c r="K264" s="5"/>
      <c r="L264" s="5"/>
      <c r="M264" s="5"/>
      <c r="N264" s="5"/>
      <c r="O264" s="5"/>
      <c r="P264" s="5"/>
      <c r="Q264" s="5"/>
      <c r="R264" s="5"/>
      <c r="S264" s="5"/>
      <c r="T264" s="5"/>
      <c r="U264" s="5"/>
      <c r="V264" s="5"/>
      <c r="W264" s="5"/>
      <c r="X264" s="5"/>
      <c r="Y264" s="5"/>
      <c r="Z264" s="5"/>
    </row>
    <row r="265" ht="19.5" customHeight="1">
      <c r="A265" s="49"/>
      <c r="B265" s="50"/>
      <c r="C265" s="50"/>
      <c r="D265" s="50"/>
      <c r="E265" s="50"/>
      <c r="F265" s="51"/>
      <c r="G265" s="50"/>
      <c r="H265" s="50"/>
      <c r="I265" s="50"/>
      <c r="J265" s="48" t="str">
        <f t="array" ref="J265">IF(G265="","",IFERROR(LET(ev_cost,INDEX(Events!$G$5:$G$505,MATCH(G265,Events!$A$5:$A$505,0)),ev_split,INDEX(Events!$I$5:$I$505,MATCH(G265,Events!$A$5:$A$505,0)),att_offset,MATCH(G265,Attendance!$B$3:$AV$3,0),attendees,COUNTIF(INDEX(Attendance!$B$7:$AV$206,0,att_offset),"1"),IF(ev_split="Equal Split",ev_cost/MAX(1,COUNTA(Roster!$A$5:$A$204)),ev_cost/MAX(1,attendees))),"N/A"))</f>
        <v/>
      </c>
      <c r="K265" s="5"/>
      <c r="L265" s="5"/>
      <c r="M265" s="5"/>
      <c r="N265" s="5"/>
      <c r="O265" s="5"/>
      <c r="P265" s="5"/>
      <c r="Q265" s="5"/>
      <c r="R265" s="5"/>
      <c r="S265" s="5"/>
      <c r="T265" s="5"/>
      <c r="U265" s="5"/>
      <c r="V265" s="5"/>
      <c r="W265" s="5"/>
      <c r="X265" s="5"/>
      <c r="Y265" s="5"/>
      <c r="Z265" s="5"/>
    </row>
    <row r="266" ht="19.5" customHeight="1">
      <c r="A266" s="52"/>
      <c r="B266" s="53"/>
      <c r="C266" s="53"/>
      <c r="D266" s="53"/>
      <c r="E266" s="53"/>
      <c r="F266" s="61"/>
      <c r="G266" s="53"/>
      <c r="H266" s="53"/>
      <c r="I266" s="53"/>
      <c r="J266" s="48" t="str">
        <f t="array" ref="J266">IF(G266="","",IFERROR(LET(ev_cost,INDEX(Events!$G$5:$G$505,MATCH(G266,Events!$A$5:$A$505,0)),ev_split,INDEX(Events!$I$5:$I$505,MATCH(G266,Events!$A$5:$A$505,0)),att_offset,MATCH(G266,Attendance!$B$3:$AV$3,0),attendees,COUNTIF(INDEX(Attendance!$B$7:$AV$206,0,att_offset),"1"),IF(ev_split="Equal Split",ev_cost/MAX(1,COUNTA(Roster!$A$5:$A$204)),ev_cost/MAX(1,attendees))),"N/A"))</f>
        <v/>
      </c>
      <c r="K266" s="5"/>
      <c r="L266" s="5"/>
      <c r="M266" s="5"/>
      <c r="N266" s="5"/>
      <c r="O266" s="5"/>
      <c r="P266" s="5"/>
      <c r="Q266" s="5"/>
      <c r="R266" s="5"/>
      <c r="S266" s="5"/>
      <c r="T266" s="5"/>
      <c r="U266" s="5"/>
      <c r="V266" s="5"/>
      <c r="W266" s="5"/>
      <c r="X266" s="5"/>
      <c r="Y266" s="5"/>
      <c r="Z266" s="5"/>
    </row>
    <row r="267" ht="19.5" customHeight="1">
      <c r="A267" s="49"/>
      <c r="B267" s="50"/>
      <c r="C267" s="50"/>
      <c r="D267" s="50"/>
      <c r="E267" s="50"/>
      <c r="F267" s="51"/>
      <c r="G267" s="50"/>
      <c r="H267" s="50"/>
      <c r="I267" s="50"/>
      <c r="J267" s="48" t="str">
        <f t="array" ref="J267">IF(G267="","",IFERROR(LET(ev_cost,INDEX(Events!$G$5:$G$505,MATCH(G267,Events!$A$5:$A$505,0)),ev_split,INDEX(Events!$I$5:$I$505,MATCH(G267,Events!$A$5:$A$505,0)),att_offset,MATCH(G267,Attendance!$B$3:$AV$3,0),attendees,COUNTIF(INDEX(Attendance!$B$7:$AV$206,0,att_offset),"1"),IF(ev_split="Equal Split",ev_cost/MAX(1,COUNTA(Roster!$A$5:$A$204)),ev_cost/MAX(1,attendees))),"N/A"))</f>
        <v/>
      </c>
      <c r="K267" s="5"/>
      <c r="L267" s="5"/>
      <c r="M267" s="5"/>
      <c r="N267" s="5"/>
      <c r="O267" s="5"/>
      <c r="P267" s="5"/>
      <c r="Q267" s="5"/>
      <c r="R267" s="5"/>
      <c r="S267" s="5"/>
      <c r="T267" s="5"/>
      <c r="U267" s="5"/>
      <c r="V267" s="5"/>
      <c r="W267" s="5"/>
      <c r="X267" s="5"/>
      <c r="Y267" s="5"/>
      <c r="Z267" s="5"/>
    </row>
    <row r="268" ht="19.5" customHeight="1">
      <c r="A268" s="52"/>
      <c r="B268" s="53"/>
      <c r="C268" s="53"/>
      <c r="D268" s="53"/>
      <c r="E268" s="53"/>
      <c r="F268" s="61"/>
      <c r="G268" s="53"/>
      <c r="H268" s="53"/>
      <c r="I268" s="53"/>
      <c r="J268" s="48" t="str">
        <f t="array" ref="J268">IF(G268="","",IFERROR(LET(ev_cost,INDEX(Events!$G$5:$G$505,MATCH(G268,Events!$A$5:$A$505,0)),ev_split,INDEX(Events!$I$5:$I$505,MATCH(G268,Events!$A$5:$A$505,0)),att_offset,MATCH(G268,Attendance!$B$3:$AV$3,0),attendees,COUNTIF(INDEX(Attendance!$B$7:$AV$206,0,att_offset),"1"),IF(ev_split="Equal Split",ev_cost/MAX(1,COUNTA(Roster!$A$5:$A$204)),ev_cost/MAX(1,attendees))),"N/A"))</f>
        <v/>
      </c>
      <c r="K268" s="5"/>
      <c r="L268" s="5"/>
      <c r="M268" s="5"/>
      <c r="N268" s="5"/>
      <c r="O268" s="5"/>
      <c r="P268" s="5"/>
      <c r="Q268" s="5"/>
      <c r="R268" s="5"/>
      <c r="S268" s="5"/>
      <c r="T268" s="5"/>
      <c r="U268" s="5"/>
      <c r="V268" s="5"/>
      <c r="W268" s="5"/>
      <c r="X268" s="5"/>
      <c r="Y268" s="5"/>
      <c r="Z268" s="5"/>
    </row>
    <row r="269" ht="19.5" customHeight="1">
      <c r="A269" s="49"/>
      <c r="B269" s="50"/>
      <c r="C269" s="50"/>
      <c r="D269" s="50"/>
      <c r="E269" s="50"/>
      <c r="F269" s="51"/>
      <c r="G269" s="50"/>
      <c r="H269" s="50"/>
      <c r="I269" s="50"/>
      <c r="J269" s="48" t="str">
        <f t="array" ref="J269">IF(G269="","",IFERROR(LET(ev_cost,INDEX(Events!$G$5:$G$505,MATCH(G269,Events!$A$5:$A$505,0)),ev_split,INDEX(Events!$I$5:$I$505,MATCH(G269,Events!$A$5:$A$505,0)),att_offset,MATCH(G269,Attendance!$B$3:$AV$3,0),attendees,COUNTIF(INDEX(Attendance!$B$7:$AV$206,0,att_offset),"1"),IF(ev_split="Equal Split",ev_cost/MAX(1,COUNTA(Roster!$A$5:$A$204)),ev_cost/MAX(1,attendees))),"N/A"))</f>
        <v/>
      </c>
      <c r="K269" s="5"/>
      <c r="L269" s="5"/>
      <c r="M269" s="5"/>
      <c r="N269" s="5"/>
      <c r="O269" s="5"/>
      <c r="P269" s="5"/>
      <c r="Q269" s="5"/>
      <c r="R269" s="5"/>
      <c r="S269" s="5"/>
      <c r="T269" s="5"/>
      <c r="U269" s="5"/>
      <c r="V269" s="5"/>
      <c r="W269" s="5"/>
      <c r="X269" s="5"/>
      <c r="Y269" s="5"/>
      <c r="Z269" s="5"/>
    </row>
    <row r="270" ht="19.5" customHeight="1">
      <c r="A270" s="52"/>
      <c r="B270" s="53"/>
      <c r="C270" s="53"/>
      <c r="D270" s="53"/>
      <c r="E270" s="53"/>
      <c r="F270" s="61"/>
      <c r="G270" s="53"/>
      <c r="H270" s="53"/>
      <c r="I270" s="53"/>
      <c r="J270" s="48" t="str">
        <f t="array" ref="J270">IF(G270="","",IFERROR(LET(ev_cost,INDEX(Events!$G$5:$G$505,MATCH(G270,Events!$A$5:$A$505,0)),ev_split,INDEX(Events!$I$5:$I$505,MATCH(G270,Events!$A$5:$A$505,0)),att_offset,MATCH(G270,Attendance!$B$3:$AV$3,0),attendees,COUNTIF(INDEX(Attendance!$B$7:$AV$206,0,att_offset),"1"),IF(ev_split="Equal Split",ev_cost/MAX(1,COUNTA(Roster!$A$5:$A$204)),ev_cost/MAX(1,attendees))),"N/A"))</f>
        <v/>
      </c>
      <c r="K270" s="5"/>
      <c r="L270" s="5"/>
      <c r="M270" s="5"/>
      <c r="N270" s="5"/>
      <c r="O270" s="5"/>
      <c r="P270" s="5"/>
      <c r="Q270" s="5"/>
      <c r="R270" s="5"/>
      <c r="S270" s="5"/>
      <c r="T270" s="5"/>
      <c r="U270" s="5"/>
      <c r="V270" s="5"/>
      <c r="W270" s="5"/>
      <c r="X270" s="5"/>
      <c r="Y270" s="5"/>
      <c r="Z270" s="5"/>
    </row>
    <row r="271" ht="19.5" customHeight="1">
      <c r="A271" s="49"/>
      <c r="B271" s="50"/>
      <c r="C271" s="50"/>
      <c r="D271" s="50"/>
      <c r="E271" s="50"/>
      <c r="F271" s="51"/>
      <c r="G271" s="50"/>
      <c r="H271" s="50"/>
      <c r="I271" s="50"/>
      <c r="J271" s="48" t="str">
        <f t="array" ref="J271">IF(G271="","",IFERROR(LET(ev_cost,INDEX(Events!$G$5:$G$505,MATCH(G271,Events!$A$5:$A$505,0)),ev_split,INDEX(Events!$I$5:$I$505,MATCH(G271,Events!$A$5:$A$505,0)),att_offset,MATCH(G271,Attendance!$B$3:$AV$3,0),attendees,COUNTIF(INDEX(Attendance!$B$7:$AV$206,0,att_offset),"1"),IF(ev_split="Equal Split",ev_cost/MAX(1,COUNTA(Roster!$A$5:$A$204)),ev_cost/MAX(1,attendees))),"N/A"))</f>
        <v/>
      </c>
      <c r="K271" s="5"/>
      <c r="L271" s="5"/>
      <c r="M271" s="5"/>
      <c r="N271" s="5"/>
      <c r="O271" s="5"/>
      <c r="P271" s="5"/>
      <c r="Q271" s="5"/>
      <c r="R271" s="5"/>
      <c r="S271" s="5"/>
      <c r="T271" s="5"/>
      <c r="U271" s="5"/>
      <c r="V271" s="5"/>
      <c r="W271" s="5"/>
      <c r="X271" s="5"/>
      <c r="Y271" s="5"/>
      <c r="Z271" s="5"/>
    </row>
    <row r="272" ht="19.5" customHeight="1">
      <c r="A272" s="52"/>
      <c r="B272" s="53"/>
      <c r="C272" s="53"/>
      <c r="D272" s="53"/>
      <c r="E272" s="53"/>
      <c r="F272" s="61"/>
      <c r="G272" s="53"/>
      <c r="H272" s="53"/>
      <c r="I272" s="53"/>
      <c r="J272" s="48" t="str">
        <f t="array" ref="J272">IF(G272="","",IFERROR(LET(ev_cost,INDEX(Events!$G$5:$G$505,MATCH(G272,Events!$A$5:$A$505,0)),ev_split,INDEX(Events!$I$5:$I$505,MATCH(G272,Events!$A$5:$A$505,0)),att_offset,MATCH(G272,Attendance!$B$3:$AV$3,0),attendees,COUNTIF(INDEX(Attendance!$B$7:$AV$206,0,att_offset),"1"),IF(ev_split="Equal Split",ev_cost/MAX(1,COUNTA(Roster!$A$5:$A$204)),ev_cost/MAX(1,attendees))),"N/A"))</f>
        <v/>
      </c>
      <c r="K272" s="5"/>
      <c r="L272" s="5"/>
      <c r="M272" s="5"/>
      <c r="N272" s="5"/>
      <c r="O272" s="5"/>
      <c r="P272" s="5"/>
      <c r="Q272" s="5"/>
      <c r="R272" s="5"/>
      <c r="S272" s="5"/>
      <c r="T272" s="5"/>
      <c r="U272" s="5"/>
      <c r="V272" s="5"/>
      <c r="W272" s="5"/>
      <c r="X272" s="5"/>
      <c r="Y272" s="5"/>
      <c r="Z272" s="5"/>
    </row>
    <row r="273" ht="19.5" customHeight="1">
      <c r="A273" s="49"/>
      <c r="B273" s="50"/>
      <c r="C273" s="50"/>
      <c r="D273" s="50"/>
      <c r="E273" s="50"/>
      <c r="F273" s="51"/>
      <c r="G273" s="50"/>
      <c r="H273" s="50"/>
      <c r="I273" s="50"/>
      <c r="J273" s="48" t="str">
        <f t="array" ref="J273">IF(G273="","",IFERROR(LET(ev_cost,INDEX(Events!$G$5:$G$505,MATCH(G273,Events!$A$5:$A$505,0)),ev_split,INDEX(Events!$I$5:$I$505,MATCH(G273,Events!$A$5:$A$505,0)),att_offset,MATCH(G273,Attendance!$B$3:$AV$3,0),attendees,COUNTIF(INDEX(Attendance!$B$7:$AV$206,0,att_offset),"1"),IF(ev_split="Equal Split",ev_cost/MAX(1,COUNTA(Roster!$A$5:$A$204)),ev_cost/MAX(1,attendees))),"N/A"))</f>
        <v/>
      </c>
      <c r="K273" s="5"/>
      <c r="L273" s="5"/>
      <c r="M273" s="5"/>
      <c r="N273" s="5"/>
      <c r="O273" s="5"/>
      <c r="P273" s="5"/>
      <c r="Q273" s="5"/>
      <c r="R273" s="5"/>
      <c r="S273" s="5"/>
      <c r="T273" s="5"/>
      <c r="U273" s="5"/>
      <c r="V273" s="5"/>
      <c r="W273" s="5"/>
      <c r="X273" s="5"/>
      <c r="Y273" s="5"/>
      <c r="Z273" s="5"/>
    </row>
    <row r="274" ht="19.5" customHeight="1">
      <c r="A274" s="52"/>
      <c r="B274" s="53"/>
      <c r="C274" s="53"/>
      <c r="D274" s="53"/>
      <c r="E274" s="53"/>
      <c r="F274" s="61"/>
      <c r="G274" s="53"/>
      <c r="H274" s="53"/>
      <c r="I274" s="53"/>
      <c r="J274" s="48" t="str">
        <f t="array" ref="J274">IF(G274="","",IFERROR(LET(ev_cost,INDEX(Events!$G$5:$G$505,MATCH(G274,Events!$A$5:$A$505,0)),ev_split,INDEX(Events!$I$5:$I$505,MATCH(G274,Events!$A$5:$A$505,0)),att_offset,MATCH(G274,Attendance!$B$3:$AV$3,0),attendees,COUNTIF(INDEX(Attendance!$B$7:$AV$206,0,att_offset),"1"),IF(ev_split="Equal Split",ev_cost/MAX(1,COUNTA(Roster!$A$5:$A$204)),ev_cost/MAX(1,attendees))),"N/A"))</f>
        <v/>
      </c>
      <c r="K274" s="5"/>
      <c r="L274" s="5"/>
      <c r="M274" s="5"/>
      <c r="N274" s="5"/>
      <c r="O274" s="5"/>
      <c r="P274" s="5"/>
      <c r="Q274" s="5"/>
      <c r="R274" s="5"/>
      <c r="S274" s="5"/>
      <c r="T274" s="5"/>
      <c r="U274" s="5"/>
      <c r="V274" s="5"/>
      <c r="W274" s="5"/>
      <c r="X274" s="5"/>
      <c r="Y274" s="5"/>
      <c r="Z274" s="5"/>
    </row>
    <row r="275" ht="19.5" customHeight="1">
      <c r="A275" s="49"/>
      <c r="B275" s="50"/>
      <c r="C275" s="50"/>
      <c r="D275" s="50"/>
      <c r="E275" s="50"/>
      <c r="F275" s="51"/>
      <c r="G275" s="50"/>
      <c r="H275" s="50"/>
      <c r="I275" s="50"/>
      <c r="J275" s="48" t="str">
        <f t="array" ref="J275">IF(G275="","",IFERROR(LET(ev_cost,INDEX(Events!$G$5:$G$505,MATCH(G275,Events!$A$5:$A$505,0)),ev_split,INDEX(Events!$I$5:$I$505,MATCH(G275,Events!$A$5:$A$505,0)),att_offset,MATCH(G275,Attendance!$B$3:$AV$3,0),attendees,COUNTIF(INDEX(Attendance!$B$7:$AV$206,0,att_offset),"1"),IF(ev_split="Equal Split",ev_cost/MAX(1,COUNTA(Roster!$A$5:$A$204)),ev_cost/MAX(1,attendees))),"N/A"))</f>
        <v/>
      </c>
      <c r="K275" s="5"/>
      <c r="L275" s="5"/>
      <c r="M275" s="5"/>
      <c r="N275" s="5"/>
      <c r="O275" s="5"/>
      <c r="P275" s="5"/>
      <c r="Q275" s="5"/>
      <c r="R275" s="5"/>
      <c r="S275" s="5"/>
      <c r="T275" s="5"/>
      <c r="U275" s="5"/>
      <c r="V275" s="5"/>
      <c r="W275" s="5"/>
      <c r="X275" s="5"/>
      <c r="Y275" s="5"/>
      <c r="Z275" s="5"/>
    </row>
    <row r="276" ht="19.5" customHeight="1">
      <c r="A276" s="52"/>
      <c r="B276" s="53"/>
      <c r="C276" s="53"/>
      <c r="D276" s="53"/>
      <c r="E276" s="53"/>
      <c r="F276" s="61"/>
      <c r="G276" s="53"/>
      <c r="H276" s="53"/>
      <c r="I276" s="53"/>
      <c r="J276" s="48" t="str">
        <f t="array" ref="J276">IF(G276="","",IFERROR(LET(ev_cost,INDEX(Events!$G$5:$G$505,MATCH(G276,Events!$A$5:$A$505,0)),ev_split,INDEX(Events!$I$5:$I$505,MATCH(G276,Events!$A$5:$A$505,0)),att_offset,MATCH(G276,Attendance!$B$3:$AV$3,0),attendees,COUNTIF(INDEX(Attendance!$B$7:$AV$206,0,att_offset),"1"),IF(ev_split="Equal Split",ev_cost/MAX(1,COUNTA(Roster!$A$5:$A$204)),ev_cost/MAX(1,attendees))),"N/A"))</f>
        <v/>
      </c>
      <c r="K276" s="5"/>
      <c r="L276" s="5"/>
      <c r="M276" s="5"/>
      <c r="N276" s="5"/>
      <c r="O276" s="5"/>
      <c r="P276" s="5"/>
      <c r="Q276" s="5"/>
      <c r="R276" s="5"/>
      <c r="S276" s="5"/>
      <c r="T276" s="5"/>
      <c r="U276" s="5"/>
      <c r="V276" s="5"/>
      <c r="W276" s="5"/>
      <c r="X276" s="5"/>
      <c r="Y276" s="5"/>
      <c r="Z276" s="5"/>
    </row>
    <row r="277" ht="19.5" customHeight="1">
      <c r="A277" s="49"/>
      <c r="B277" s="50"/>
      <c r="C277" s="50"/>
      <c r="D277" s="50"/>
      <c r="E277" s="50"/>
      <c r="F277" s="51"/>
      <c r="G277" s="50"/>
      <c r="H277" s="50"/>
      <c r="I277" s="50"/>
      <c r="J277" s="48" t="str">
        <f t="array" ref="J277">IF(G277="","",IFERROR(LET(ev_cost,INDEX(Events!$G$5:$G$505,MATCH(G277,Events!$A$5:$A$505,0)),ev_split,INDEX(Events!$I$5:$I$505,MATCH(G277,Events!$A$5:$A$505,0)),att_offset,MATCH(G277,Attendance!$B$3:$AV$3,0),attendees,COUNTIF(INDEX(Attendance!$B$7:$AV$206,0,att_offset),"1"),IF(ev_split="Equal Split",ev_cost/MAX(1,COUNTA(Roster!$A$5:$A$204)),ev_cost/MAX(1,attendees))),"N/A"))</f>
        <v/>
      </c>
      <c r="K277" s="5"/>
      <c r="L277" s="5"/>
      <c r="M277" s="5"/>
      <c r="N277" s="5"/>
      <c r="O277" s="5"/>
      <c r="P277" s="5"/>
      <c r="Q277" s="5"/>
      <c r="R277" s="5"/>
      <c r="S277" s="5"/>
      <c r="T277" s="5"/>
      <c r="U277" s="5"/>
      <c r="V277" s="5"/>
      <c r="W277" s="5"/>
      <c r="X277" s="5"/>
      <c r="Y277" s="5"/>
      <c r="Z277" s="5"/>
    </row>
    <row r="278" ht="19.5" customHeight="1">
      <c r="A278" s="52"/>
      <c r="B278" s="53"/>
      <c r="C278" s="53"/>
      <c r="D278" s="53"/>
      <c r="E278" s="53"/>
      <c r="F278" s="61"/>
      <c r="G278" s="53"/>
      <c r="H278" s="53"/>
      <c r="I278" s="53"/>
      <c r="J278" s="48" t="str">
        <f t="array" ref="J278">IF(G278="","",IFERROR(LET(ev_cost,INDEX(Events!$G$5:$G$505,MATCH(G278,Events!$A$5:$A$505,0)),ev_split,INDEX(Events!$I$5:$I$505,MATCH(G278,Events!$A$5:$A$505,0)),att_offset,MATCH(G278,Attendance!$B$3:$AV$3,0),attendees,COUNTIF(INDEX(Attendance!$B$7:$AV$206,0,att_offset),"1"),IF(ev_split="Equal Split",ev_cost/MAX(1,COUNTA(Roster!$A$5:$A$204)),ev_cost/MAX(1,attendees))),"N/A"))</f>
        <v/>
      </c>
      <c r="K278" s="5"/>
      <c r="L278" s="5"/>
      <c r="M278" s="5"/>
      <c r="N278" s="5"/>
      <c r="O278" s="5"/>
      <c r="P278" s="5"/>
      <c r="Q278" s="5"/>
      <c r="R278" s="5"/>
      <c r="S278" s="5"/>
      <c r="T278" s="5"/>
      <c r="U278" s="5"/>
      <c r="V278" s="5"/>
      <c r="W278" s="5"/>
      <c r="X278" s="5"/>
      <c r="Y278" s="5"/>
      <c r="Z278" s="5"/>
    </row>
    <row r="279" ht="19.5" customHeight="1">
      <c r="A279" s="49"/>
      <c r="B279" s="50"/>
      <c r="C279" s="50"/>
      <c r="D279" s="50"/>
      <c r="E279" s="50"/>
      <c r="F279" s="51"/>
      <c r="G279" s="50"/>
      <c r="H279" s="50"/>
      <c r="I279" s="50"/>
      <c r="J279" s="48" t="str">
        <f t="array" ref="J279">IF(G279="","",IFERROR(LET(ev_cost,INDEX(Events!$G$5:$G$505,MATCH(G279,Events!$A$5:$A$505,0)),ev_split,INDEX(Events!$I$5:$I$505,MATCH(G279,Events!$A$5:$A$505,0)),att_offset,MATCH(G279,Attendance!$B$3:$AV$3,0),attendees,COUNTIF(INDEX(Attendance!$B$7:$AV$206,0,att_offset),"1"),IF(ev_split="Equal Split",ev_cost/MAX(1,COUNTA(Roster!$A$5:$A$204)),ev_cost/MAX(1,attendees))),"N/A"))</f>
        <v/>
      </c>
      <c r="K279" s="5"/>
      <c r="L279" s="5"/>
      <c r="M279" s="5"/>
      <c r="N279" s="5"/>
      <c r="O279" s="5"/>
      <c r="P279" s="5"/>
      <c r="Q279" s="5"/>
      <c r="R279" s="5"/>
      <c r="S279" s="5"/>
      <c r="T279" s="5"/>
      <c r="U279" s="5"/>
      <c r="V279" s="5"/>
      <c r="W279" s="5"/>
      <c r="X279" s="5"/>
      <c r="Y279" s="5"/>
      <c r="Z279" s="5"/>
    </row>
    <row r="280" ht="19.5" customHeight="1">
      <c r="A280" s="52"/>
      <c r="B280" s="53"/>
      <c r="C280" s="53"/>
      <c r="D280" s="53"/>
      <c r="E280" s="53"/>
      <c r="F280" s="61"/>
      <c r="G280" s="53"/>
      <c r="H280" s="53"/>
      <c r="I280" s="53"/>
      <c r="J280" s="48" t="str">
        <f t="array" ref="J280">IF(G280="","",IFERROR(LET(ev_cost,INDEX(Events!$G$5:$G$505,MATCH(G280,Events!$A$5:$A$505,0)),ev_split,INDEX(Events!$I$5:$I$505,MATCH(G280,Events!$A$5:$A$505,0)),att_offset,MATCH(G280,Attendance!$B$3:$AV$3,0),attendees,COUNTIF(INDEX(Attendance!$B$7:$AV$206,0,att_offset),"1"),IF(ev_split="Equal Split",ev_cost/MAX(1,COUNTA(Roster!$A$5:$A$204)),ev_cost/MAX(1,attendees))),"N/A"))</f>
        <v/>
      </c>
      <c r="K280" s="5"/>
      <c r="L280" s="5"/>
      <c r="M280" s="5"/>
      <c r="N280" s="5"/>
      <c r="O280" s="5"/>
      <c r="P280" s="5"/>
      <c r="Q280" s="5"/>
      <c r="R280" s="5"/>
      <c r="S280" s="5"/>
      <c r="T280" s="5"/>
      <c r="U280" s="5"/>
      <c r="V280" s="5"/>
      <c r="W280" s="5"/>
      <c r="X280" s="5"/>
      <c r="Y280" s="5"/>
      <c r="Z280" s="5"/>
    </row>
    <row r="281" ht="19.5" customHeight="1">
      <c r="A281" s="49"/>
      <c r="B281" s="50"/>
      <c r="C281" s="50"/>
      <c r="D281" s="50"/>
      <c r="E281" s="50"/>
      <c r="F281" s="51"/>
      <c r="G281" s="50"/>
      <c r="H281" s="50"/>
      <c r="I281" s="50"/>
      <c r="J281" s="48" t="str">
        <f t="array" ref="J281">IF(G281="","",IFERROR(LET(ev_cost,INDEX(Events!$G$5:$G$505,MATCH(G281,Events!$A$5:$A$505,0)),ev_split,INDEX(Events!$I$5:$I$505,MATCH(G281,Events!$A$5:$A$505,0)),att_offset,MATCH(G281,Attendance!$B$3:$AV$3,0),attendees,COUNTIF(INDEX(Attendance!$B$7:$AV$206,0,att_offset),"1"),IF(ev_split="Equal Split",ev_cost/MAX(1,COUNTA(Roster!$A$5:$A$204)),ev_cost/MAX(1,attendees))),"N/A"))</f>
        <v/>
      </c>
      <c r="K281" s="5"/>
      <c r="L281" s="5"/>
      <c r="M281" s="5"/>
      <c r="N281" s="5"/>
      <c r="O281" s="5"/>
      <c r="P281" s="5"/>
      <c r="Q281" s="5"/>
      <c r="R281" s="5"/>
      <c r="S281" s="5"/>
      <c r="T281" s="5"/>
      <c r="U281" s="5"/>
      <c r="V281" s="5"/>
      <c r="W281" s="5"/>
      <c r="X281" s="5"/>
      <c r="Y281" s="5"/>
      <c r="Z281" s="5"/>
    </row>
    <row r="282" ht="19.5" customHeight="1">
      <c r="A282" s="52"/>
      <c r="B282" s="53"/>
      <c r="C282" s="53"/>
      <c r="D282" s="53"/>
      <c r="E282" s="53"/>
      <c r="F282" s="61"/>
      <c r="G282" s="53"/>
      <c r="H282" s="53"/>
      <c r="I282" s="53"/>
      <c r="J282" s="48" t="str">
        <f t="array" ref="J282">IF(G282="","",IFERROR(LET(ev_cost,INDEX(Events!$G$5:$G$505,MATCH(G282,Events!$A$5:$A$505,0)),ev_split,INDEX(Events!$I$5:$I$505,MATCH(G282,Events!$A$5:$A$505,0)),att_offset,MATCH(G282,Attendance!$B$3:$AV$3,0),attendees,COUNTIF(INDEX(Attendance!$B$7:$AV$206,0,att_offset),"1"),IF(ev_split="Equal Split",ev_cost/MAX(1,COUNTA(Roster!$A$5:$A$204)),ev_cost/MAX(1,attendees))),"N/A"))</f>
        <v/>
      </c>
      <c r="K282" s="5"/>
      <c r="L282" s="5"/>
      <c r="M282" s="5"/>
      <c r="N282" s="5"/>
      <c r="O282" s="5"/>
      <c r="P282" s="5"/>
      <c r="Q282" s="5"/>
      <c r="R282" s="5"/>
      <c r="S282" s="5"/>
      <c r="T282" s="5"/>
      <c r="U282" s="5"/>
      <c r="V282" s="5"/>
      <c r="W282" s="5"/>
      <c r="X282" s="5"/>
      <c r="Y282" s="5"/>
      <c r="Z282" s="5"/>
    </row>
    <row r="283" ht="19.5" customHeight="1">
      <c r="A283" s="49"/>
      <c r="B283" s="50"/>
      <c r="C283" s="50"/>
      <c r="D283" s="50"/>
      <c r="E283" s="50"/>
      <c r="F283" s="51"/>
      <c r="G283" s="50"/>
      <c r="H283" s="50"/>
      <c r="I283" s="50"/>
      <c r="J283" s="48" t="str">
        <f t="array" ref="J283">IF(G283="","",IFERROR(LET(ev_cost,INDEX(Events!$G$5:$G$505,MATCH(G283,Events!$A$5:$A$505,0)),ev_split,INDEX(Events!$I$5:$I$505,MATCH(G283,Events!$A$5:$A$505,0)),att_offset,MATCH(G283,Attendance!$B$3:$AV$3,0),attendees,COUNTIF(INDEX(Attendance!$B$7:$AV$206,0,att_offset),"1"),IF(ev_split="Equal Split",ev_cost/MAX(1,COUNTA(Roster!$A$5:$A$204)),ev_cost/MAX(1,attendees))),"N/A"))</f>
        <v/>
      </c>
      <c r="K283" s="5"/>
      <c r="L283" s="5"/>
      <c r="M283" s="5"/>
      <c r="N283" s="5"/>
      <c r="O283" s="5"/>
      <c r="P283" s="5"/>
      <c r="Q283" s="5"/>
      <c r="R283" s="5"/>
      <c r="S283" s="5"/>
      <c r="T283" s="5"/>
      <c r="U283" s="5"/>
      <c r="V283" s="5"/>
      <c r="W283" s="5"/>
      <c r="X283" s="5"/>
      <c r="Y283" s="5"/>
      <c r="Z283" s="5"/>
    </row>
    <row r="284" ht="19.5" customHeight="1">
      <c r="A284" s="52"/>
      <c r="B284" s="53"/>
      <c r="C284" s="53"/>
      <c r="D284" s="53"/>
      <c r="E284" s="53"/>
      <c r="F284" s="61"/>
      <c r="G284" s="53"/>
      <c r="H284" s="53"/>
      <c r="I284" s="53"/>
      <c r="J284" s="48" t="str">
        <f t="array" ref="J284">IF(G284="","",IFERROR(LET(ev_cost,INDEX(Events!$G$5:$G$505,MATCH(G284,Events!$A$5:$A$505,0)),ev_split,INDEX(Events!$I$5:$I$505,MATCH(G284,Events!$A$5:$A$505,0)),att_offset,MATCH(G284,Attendance!$B$3:$AV$3,0),attendees,COUNTIF(INDEX(Attendance!$B$7:$AV$206,0,att_offset),"1"),IF(ev_split="Equal Split",ev_cost/MAX(1,COUNTA(Roster!$A$5:$A$204)),ev_cost/MAX(1,attendees))),"N/A"))</f>
        <v/>
      </c>
      <c r="K284" s="5"/>
      <c r="L284" s="5"/>
      <c r="M284" s="5"/>
      <c r="N284" s="5"/>
      <c r="O284" s="5"/>
      <c r="P284" s="5"/>
      <c r="Q284" s="5"/>
      <c r="R284" s="5"/>
      <c r="S284" s="5"/>
      <c r="T284" s="5"/>
      <c r="U284" s="5"/>
      <c r="V284" s="5"/>
      <c r="W284" s="5"/>
      <c r="X284" s="5"/>
      <c r="Y284" s="5"/>
      <c r="Z284" s="5"/>
    </row>
    <row r="285" ht="19.5" customHeight="1">
      <c r="A285" s="49"/>
      <c r="B285" s="50"/>
      <c r="C285" s="50"/>
      <c r="D285" s="50"/>
      <c r="E285" s="50"/>
      <c r="F285" s="51"/>
      <c r="G285" s="50"/>
      <c r="H285" s="50"/>
      <c r="I285" s="50"/>
      <c r="J285" s="48" t="str">
        <f t="array" ref="J285">IF(G285="","",IFERROR(LET(ev_cost,INDEX(Events!$G$5:$G$505,MATCH(G285,Events!$A$5:$A$505,0)),ev_split,INDEX(Events!$I$5:$I$505,MATCH(G285,Events!$A$5:$A$505,0)),att_offset,MATCH(G285,Attendance!$B$3:$AV$3,0),attendees,COUNTIF(INDEX(Attendance!$B$7:$AV$206,0,att_offset),"1"),IF(ev_split="Equal Split",ev_cost/MAX(1,COUNTA(Roster!$A$5:$A$204)),ev_cost/MAX(1,attendees))),"N/A"))</f>
        <v/>
      </c>
      <c r="K285" s="5"/>
      <c r="L285" s="5"/>
      <c r="M285" s="5"/>
      <c r="N285" s="5"/>
      <c r="O285" s="5"/>
      <c r="P285" s="5"/>
      <c r="Q285" s="5"/>
      <c r="R285" s="5"/>
      <c r="S285" s="5"/>
      <c r="T285" s="5"/>
      <c r="U285" s="5"/>
      <c r="V285" s="5"/>
      <c r="W285" s="5"/>
      <c r="X285" s="5"/>
      <c r="Y285" s="5"/>
      <c r="Z285" s="5"/>
    </row>
    <row r="286" ht="19.5" customHeight="1">
      <c r="A286" s="52"/>
      <c r="B286" s="53"/>
      <c r="C286" s="53"/>
      <c r="D286" s="53"/>
      <c r="E286" s="53"/>
      <c r="F286" s="61"/>
      <c r="G286" s="53"/>
      <c r="H286" s="53"/>
      <c r="I286" s="53"/>
      <c r="J286" s="48" t="str">
        <f t="array" ref="J286">IF(G286="","",IFERROR(LET(ev_cost,INDEX(Events!$G$5:$G$505,MATCH(G286,Events!$A$5:$A$505,0)),ev_split,INDEX(Events!$I$5:$I$505,MATCH(G286,Events!$A$5:$A$505,0)),att_offset,MATCH(G286,Attendance!$B$3:$AV$3,0),attendees,COUNTIF(INDEX(Attendance!$B$7:$AV$206,0,att_offset),"1"),IF(ev_split="Equal Split",ev_cost/MAX(1,COUNTA(Roster!$A$5:$A$204)),ev_cost/MAX(1,attendees))),"N/A"))</f>
        <v/>
      </c>
      <c r="K286" s="5"/>
      <c r="L286" s="5"/>
      <c r="M286" s="5"/>
      <c r="N286" s="5"/>
      <c r="O286" s="5"/>
      <c r="P286" s="5"/>
      <c r="Q286" s="5"/>
      <c r="R286" s="5"/>
      <c r="S286" s="5"/>
      <c r="T286" s="5"/>
      <c r="U286" s="5"/>
      <c r="V286" s="5"/>
      <c r="W286" s="5"/>
      <c r="X286" s="5"/>
      <c r="Y286" s="5"/>
      <c r="Z286" s="5"/>
    </row>
    <row r="287" ht="19.5" customHeight="1">
      <c r="A287" s="49"/>
      <c r="B287" s="50"/>
      <c r="C287" s="50"/>
      <c r="D287" s="50"/>
      <c r="E287" s="50"/>
      <c r="F287" s="51"/>
      <c r="G287" s="50"/>
      <c r="H287" s="50"/>
      <c r="I287" s="50"/>
      <c r="J287" s="48" t="str">
        <f t="array" ref="J287">IF(G287="","",IFERROR(LET(ev_cost,INDEX(Events!$G$5:$G$505,MATCH(G287,Events!$A$5:$A$505,0)),ev_split,INDEX(Events!$I$5:$I$505,MATCH(G287,Events!$A$5:$A$505,0)),att_offset,MATCH(G287,Attendance!$B$3:$AV$3,0),attendees,COUNTIF(INDEX(Attendance!$B$7:$AV$206,0,att_offset),"1"),IF(ev_split="Equal Split",ev_cost/MAX(1,COUNTA(Roster!$A$5:$A$204)),ev_cost/MAX(1,attendees))),"N/A"))</f>
        <v/>
      </c>
      <c r="K287" s="5"/>
      <c r="L287" s="5"/>
      <c r="M287" s="5"/>
      <c r="N287" s="5"/>
      <c r="O287" s="5"/>
      <c r="P287" s="5"/>
      <c r="Q287" s="5"/>
      <c r="R287" s="5"/>
      <c r="S287" s="5"/>
      <c r="T287" s="5"/>
      <c r="U287" s="5"/>
      <c r="V287" s="5"/>
      <c r="W287" s="5"/>
      <c r="X287" s="5"/>
      <c r="Y287" s="5"/>
      <c r="Z287" s="5"/>
    </row>
    <row r="288" ht="19.5" customHeight="1">
      <c r="A288" s="52"/>
      <c r="B288" s="53"/>
      <c r="C288" s="53"/>
      <c r="D288" s="53"/>
      <c r="E288" s="53"/>
      <c r="F288" s="61"/>
      <c r="G288" s="53"/>
      <c r="H288" s="53"/>
      <c r="I288" s="53"/>
      <c r="J288" s="48" t="str">
        <f t="array" ref="J288">IF(G288="","",IFERROR(LET(ev_cost,INDEX(Events!$G$5:$G$505,MATCH(G288,Events!$A$5:$A$505,0)),ev_split,INDEX(Events!$I$5:$I$505,MATCH(G288,Events!$A$5:$A$505,0)),att_offset,MATCH(G288,Attendance!$B$3:$AV$3,0),attendees,COUNTIF(INDEX(Attendance!$B$7:$AV$206,0,att_offset),"1"),IF(ev_split="Equal Split",ev_cost/MAX(1,COUNTA(Roster!$A$5:$A$204)),ev_cost/MAX(1,attendees))),"N/A"))</f>
        <v/>
      </c>
      <c r="K288" s="5"/>
      <c r="L288" s="5"/>
      <c r="M288" s="5"/>
      <c r="N288" s="5"/>
      <c r="O288" s="5"/>
      <c r="P288" s="5"/>
      <c r="Q288" s="5"/>
      <c r="R288" s="5"/>
      <c r="S288" s="5"/>
      <c r="T288" s="5"/>
      <c r="U288" s="5"/>
      <c r="V288" s="5"/>
      <c r="W288" s="5"/>
      <c r="X288" s="5"/>
      <c r="Y288" s="5"/>
      <c r="Z288" s="5"/>
    </row>
    <row r="289" ht="19.5" customHeight="1">
      <c r="A289" s="49"/>
      <c r="B289" s="50"/>
      <c r="C289" s="50"/>
      <c r="D289" s="50"/>
      <c r="E289" s="50"/>
      <c r="F289" s="51"/>
      <c r="G289" s="50"/>
      <c r="H289" s="50"/>
      <c r="I289" s="50"/>
      <c r="J289" s="48" t="str">
        <f t="array" ref="J289">IF(G289="","",IFERROR(LET(ev_cost,INDEX(Events!$G$5:$G$505,MATCH(G289,Events!$A$5:$A$505,0)),ev_split,INDEX(Events!$I$5:$I$505,MATCH(G289,Events!$A$5:$A$505,0)),att_offset,MATCH(G289,Attendance!$B$3:$AV$3,0),attendees,COUNTIF(INDEX(Attendance!$B$7:$AV$206,0,att_offset),"1"),IF(ev_split="Equal Split",ev_cost/MAX(1,COUNTA(Roster!$A$5:$A$204)),ev_cost/MAX(1,attendees))),"N/A"))</f>
        <v/>
      </c>
      <c r="K289" s="5"/>
      <c r="L289" s="5"/>
      <c r="M289" s="5"/>
      <c r="N289" s="5"/>
      <c r="O289" s="5"/>
      <c r="P289" s="5"/>
      <c r="Q289" s="5"/>
      <c r="R289" s="5"/>
      <c r="S289" s="5"/>
      <c r="T289" s="5"/>
      <c r="U289" s="5"/>
      <c r="V289" s="5"/>
      <c r="W289" s="5"/>
      <c r="X289" s="5"/>
      <c r="Y289" s="5"/>
      <c r="Z289" s="5"/>
    </row>
    <row r="290" ht="19.5" customHeight="1">
      <c r="A290" s="52"/>
      <c r="B290" s="53"/>
      <c r="C290" s="53"/>
      <c r="D290" s="53"/>
      <c r="E290" s="53"/>
      <c r="F290" s="61"/>
      <c r="G290" s="53"/>
      <c r="H290" s="53"/>
      <c r="I290" s="53"/>
      <c r="J290" s="48" t="str">
        <f t="array" ref="J290">IF(G290="","",IFERROR(LET(ev_cost,INDEX(Events!$G$5:$G$505,MATCH(G290,Events!$A$5:$A$505,0)),ev_split,INDEX(Events!$I$5:$I$505,MATCH(G290,Events!$A$5:$A$505,0)),att_offset,MATCH(G290,Attendance!$B$3:$AV$3,0),attendees,COUNTIF(INDEX(Attendance!$B$7:$AV$206,0,att_offset),"1"),IF(ev_split="Equal Split",ev_cost/MAX(1,COUNTA(Roster!$A$5:$A$204)),ev_cost/MAX(1,attendees))),"N/A"))</f>
        <v/>
      </c>
      <c r="K290" s="5"/>
      <c r="L290" s="5"/>
      <c r="M290" s="5"/>
      <c r="N290" s="5"/>
      <c r="O290" s="5"/>
      <c r="P290" s="5"/>
      <c r="Q290" s="5"/>
      <c r="R290" s="5"/>
      <c r="S290" s="5"/>
      <c r="T290" s="5"/>
      <c r="U290" s="5"/>
      <c r="V290" s="5"/>
      <c r="W290" s="5"/>
      <c r="X290" s="5"/>
      <c r="Y290" s="5"/>
      <c r="Z290" s="5"/>
    </row>
    <row r="291" ht="19.5" customHeight="1">
      <c r="A291" s="49"/>
      <c r="B291" s="50"/>
      <c r="C291" s="50"/>
      <c r="D291" s="50"/>
      <c r="E291" s="50"/>
      <c r="F291" s="51"/>
      <c r="G291" s="50"/>
      <c r="H291" s="50"/>
      <c r="I291" s="50"/>
      <c r="J291" s="48" t="str">
        <f t="array" ref="J291">IF(G291="","",IFERROR(LET(ev_cost,INDEX(Events!$G$5:$G$505,MATCH(G291,Events!$A$5:$A$505,0)),ev_split,INDEX(Events!$I$5:$I$505,MATCH(G291,Events!$A$5:$A$505,0)),att_offset,MATCH(G291,Attendance!$B$3:$AV$3,0),attendees,COUNTIF(INDEX(Attendance!$B$7:$AV$206,0,att_offset),"1"),IF(ev_split="Equal Split",ev_cost/MAX(1,COUNTA(Roster!$A$5:$A$204)),ev_cost/MAX(1,attendees))),"N/A"))</f>
        <v/>
      </c>
      <c r="K291" s="5"/>
      <c r="L291" s="5"/>
      <c r="M291" s="5"/>
      <c r="N291" s="5"/>
      <c r="O291" s="5"/>
      <c r="P291" s="5"/>
      <c r="Q291" s="5"/>
      <c r="R291" s="5"/>
      <c r="S291" s="5"/>
      <c r="T291" s="5"/>
      <c r="U291" s="5"/>
      <c r="V291" s="5"/>
      <c r="W291" s="5"/>
      <c r="X291" s="5"/>
      <c r="Y291" s="5"/>
      <c r="Z291" s="5"/>
    </row>
    <row r="292" ht="19.5" customHeight="1">
      <c r="A292" s="52"/>
      <c r="B292" s="53"/>
      <c r="C292" s="53"/>
      <c r="D292" s="53"/>
      <c r="E292" s="53"/>
      <c r="F292" s="61"/>
      <c r="G292" s="53"/>
      <c r="H292" s="53"/>
      <c r="I292" s="53"/>
      <c r="J292" s="48" t="str">
        <f t="array" ref="J292">IF(G292="","",IFERROR(LET(ev_cost,INDEX(Events!$G$5:$G$505,MATCH(G292,Events!$A$5:$A$505,0)),ev_split,INDEX(Events!$I$5:$I$505,MATCH(G292,Events!$A$5:$A$505,0)),att_offset,MATCH(G292,Attendance!$B$3:$AV$3,0),attendees,COUNTIF(INDEX(Attendance!$B$7:$AV$206,0,att_offset),"1"),IF(ev_split="Equal Split",ev_cost/MAX(1,COUNTA(Roster!$A$5:$A$204)),ev_cost/MAX(1,attendees))),"N/A"))</f>
        <v/>
      </c>
      <c r="K292" s="5"/>
      <c r="L292" s="5"/>
      <c r="M292" s="5"/>
      <c r="N292" s="5"/>
      <c r="O292" s="5"/>
      <c r="P292" s="5"/>
      <c r="Q292" s="5"/>
      <c r="R292" s="5"/>
      <c r="S292" s="5"/>
      <c r="T292" s="5"/>
      <c r="U292" s="5"/>
      <c r="V292" s="5"/>
      <c r="W292" s="5"/>
      <c r="X292" s="5"/>
      <c r="Y292" s="5"/>
      <c r="Z292" s="5"/>
    </row>
    <row r="293" ht="19.5" customHeight="1">
      <c r="A293" s="49"/>
      <c r="B293" s="50"/>
      <c r="C293" s="50"/>
      <c r="D293" s="50"/>
      <c r="E293" s="50"/>
      <c r="F293" s="51"/>
      <c r="G293" s="50"/>
      <c r="H293" s="50"/>
      <c r="I293" s="50"/>
      <c r="J293" s="48" t="str">
        <f t="array" ref="J293">IF(G293="","",IFERROR(LET(ev_cost,INDEX(Events!$G$5:$G$505,MATCH(G293,Events!$A$5:$A$505,0)),ev_split,INDEX(Events!$I$5:$I$505,MATCH(G293,Events!$A$5:$A$505,0)),att_offset,MATCH(G293,Attendance!$B$3:$AV$3,0),attendees,COUNTIF(INDEX(Attendance!$B$7:$AV$206,0,att_offset),"1"),IF(ev_split="Equal Split",ev_cost/MAX(1,COUNTA(Roster!$A$5:$A$204)),ev_cost/MAX(1,attendees))),"N/A"))</f>
        <v/>
      </c>
      <c r="K293" s="5"/>
      <c r="L293" s="5"/>
      <c r="M293" s="5"/>
      <c r="N293" s="5"/>
      <c r="O293" s="5"/>
      <c r="P293" s="5"/>
      <c r="Q293" s="5"/>
      <c r="R293" s="5"/>
      <c r="S293" s="5"/>
      <c r="T293" s="5"/>
      <c r="U293" s="5"/>
      <c r="V293" s="5"/>
      <c r="W293" s="5"/>
      <c r="X293" s="5"/>
      <c r="Y293" s="5"/>
      <c r="Z293" s="5"/>
    </row>
    <row r="294" ht="19.5" customHeight="1">
      <c r="A294" s="52"/>
      <c r="B294" s="53"/>
      <c r="C294" s="53"/>
      <c r="D294" s="53"/>
      <c r="E294" s="53"/>
      <c r="F294" s="61"/>
      <c r="G294" s="53"/>
      <c r="H294" s="53"/>
      <c r="I294" s="53"/>
      <c r="J294" s="48" t="str">
        <f t="array" ref="J294">IF(G294="","",IFERROR(LET(ev_cost,INDEX(Events!$G$5:$G$505,MATCH(G294,Events!$A$5:$A$505,0)),ev_split,INDEX(Events!$I$5:$I$505,MATCH(G294,Events!$A$5:$A$505,0)),att_offset,MATCH(G294,Attendance!$B$3:$AV$3,0),attendees,COUNTIF(INDEX(Attendance!$B$7:$AV$206,0,att_offset),"1"),IF(ev_split="Equal Split",ev_cost/MAX(1,COUNTA(Roster!$A$5:$A$204)),ev_cost/MAX(1,attendees))),"N/A"))</f>
        <v/>
      </c>
      <c r="K294" s="5"/>
      <c r="L294" s="5"/>
      <c r="M294" s="5"/>
      <c r="N294" s="5"/>
      <c r="O294" s="5"/>
      <c r="P294" s="5"/>
      <c r="Q294" s="5"/>
      <c r="R294" s="5"/>
      <c r="S294" s="5"/>
      <c r="T294" s="5"/>
      <c r="U294" s="5"/>
      <c r="V294" s="5"/>
      <c r="W294" s="5"/>
      <c r="X294" s="5"/>
      <c r="Y294" s="5"/>
      <c r="Z294" s="5"/>
    </row>
    <row r="295" ht="19.5" customHeight="1">
      <c r="A295" s="49"/>
      <c r="B295" s="50"/>
      <c r="C295" s="50"/>
      <c r="D295" s="50"/>
      <c r="E295" s="50"/>
      <c r="F295" s="51"/>
      <c r="G295" s="50"/>
      <c r="H295" s="50"/>
      <c r="I295" s="50"/>
      <c r="J295" s="48" t="str">
        <f t="array" ref="J295">IF(G295="","",IFERROR(LET(ev_cost,INDEX(Events!$G$5:$G$505,MATCH(G295,Events!$A$5:$A$505,0)),ev_split,INDEX(Events!$I$5:$I$505,MATCH(G295,Events!$A$5:$A$505,0)),att_offset,MATCH(G295,Attendance!$B$3:$AV$3,0),attendees,COUNTIF(INDEX(Attendance!$B$7:$AV$206,0,att_offset),"1"),IF(ev_split="Equal Split",ev_cost/MAX(1,COUNTA(Roster!$A$5:$A$204)),ev_cost/MAX(1,attendees))),"N/A"))</f>
        <v/>
      </c>
      <c r="K295" s="5"/>
      <c r="L295" s="5"/>
      <c r="M295" s="5"/>
      <c r="N295" s="5"/>
      <c r="O295" s="5"/>
      <c r="P295" s="5"/>
      <c r="Q295" s="5"/>
      <c r="R295" s="5"/>
      <c r="S295" s="5"/>
      <c r="T295" s="5"/>
      <c r="U295" s="5"/>
      <c r="V295" s="5"/>
      <c r="W295" s="5"/>
      <c r="X295" s="5"/>
      <c r="Y295" s="5"/>
      <c r="Z295" s="5"/>
    </row>
    <row r="296" ht="19.5" customHeight="1">
      <c r="A296" s="52"/>
      <c r="B296" s="53"/>
      <c r="C296" s="53"/>
      <c r="D296" s="53"/>
      <c r="E296" s="53"/>
      <c r="F296" s="61"/>
      <c r="G296" s="53"/>
      <c r="H296" s="53"/>
      <c r="I296" s="53"/>
      <c r="J296" s="48" t="str">
        <f t="array" ref="J296">IF(G296="","",IFERROR(LET(ev_cost,INDEX(Events!$G$5:$G$505,MATCH(G296,Events!$A$5:$A$505,0)),ev_split,INDEX(Events!$I$5:$I$505,MATCH(G296,Events!$A$5:$A$505,0)),att_offset,MATCH(G296,Attendance!$B$3:$AV$3,0),attendees,COUNTIF(INDEX(Attendance!$B$7:$AV$206,0,att_offset),"1"),IF(ev_split="Equal Split",ev_cost/MAX(1,COUNTA(Roster!$A$5:$A$204)),ev_cost/MAX(1,attendees))),"N/A"))</f>
        <v/>
      </c>
      <c r="K296" s="5"/>
      <c r="L296" s="5"/>
      <c r="M296" s="5"/>
      <c r="N296" s="5"/>
      <c r="O296" s="5"/>
      <c r="P296" s="5"/>
      <c r="Q296" s="5"/>
      <c r="R296" s="5"/>
      <c r="S296" s="5"/>
      <c r="T296" s="5"/>
      <c r="U296" s="5"/>
      <c r="V296" s="5"/>
      <c r="W296" s="5"/>
      <c r="X296" s="5"/>
      <c r="Y296" s="5"/>
      <c r="Z296" s="5"/>
    </row>
    <row r="297" ht="19.5" customHeight="1">
      <c r="A297" s="49"/>
      <c r="B297" s="50"/>
      <c r="C297" s="50"/>
      <c r="D297" s="50"/>
      <c r="E297" s="50"/>
      <c r="F297" s="51"/>
      <c r="G297" s="50"/>
      <c r="H297" s="50"/>
      <c r="I297" s="50"/>
      <c r="J297" s="48" t="str">
        <f t="array" ref="J297">IF(G297="","",IFERROR(LET(ev_cost,INDEX(Events!$G$5:$G$505,MATCH(G297,Events!$A$5:$A$505,0)),ev_split,INDEX(Events!$I$5:$I$505,MATCH(G297,Events!$A$5:$A$505,0)),att_offset,MATCH(G297,Attendance!$B$3:$AV$3,0),attendees,COUNTIF(INDEX(Attendance!$B$7:$AV$206,0,att_offset),"1"),IF(ev_split="Equal Split",ev_cost/MAX(1,COUNTA(Roster!$A$5:$A$204)),ev_cost/MAX(1,attendees))),"N/A"))</f>
        <v/>
      </c>
      <c r="K297" s="5"/>
      <c r="L297" s="5"/>
      <c r="M297" s="5"/>
      <c r="N297" s="5"/>
      <c r="O297" s="5"/>
      <c r="P297" s="5"/>
      <c r="Q297" s="5"/>
      <c r="R297" s="5"/>
      <c r="S297" s="5"/>
      <c r="T297" s="5"/>
      <c r="U297" s="5"/>
      <c r="V297" s="5"/>
      <c r="W297" s="5"/>
      <c r="X297" s="5"/>
      <c r="Y297" s="5"/>
      <c r="Z297" s="5"/>
    </row>
    <row r="298" ht="19.5" customHeight="1">
      <c r="A298" s="52"/>
      <c r="B298" s="53"/>
      <c r="C298" s="53"/>
      <c r="D298" s="53"/>
      <c r="E298" s="53"/>
      <c r="F298" s="61"/>
      <c r="G298" s="53"/>
      <c r="H298" s="53"/>
      <c r="I298" s="53"/>
      <c r="J298" s="48" t="str">
        <f t="array" ref="J298">IF(G298="","",IFERROR(LET(ev_cost,INDEX(Events!$G$5:$G$505,MATCH(G298,Events!$A$5:$A$505,0)),ev_split,INDEX(Events!$I$5:$I$505,MATCH(G298,Events!$A$5:$A$505,0)),att_offset,MATCH(G298,Attendance!$B$3:$AV$3,0),attendees,COUNTIF(INDEX(Attendance!$B$7:$AV$206,0,att_offset),"1"),IF(ev_split="Equal Split",ev_cost/MAX(1,COUNTA(Roster!$A$5:$A$204)),ev_cost/MAX(1,attendees))),"N/A"))</f>
        <v/>
      </c>
      <c r="K298" s="5"/>
      <c r="L298" s="5"/>
      <c r="M298" s="5"/>
      <c r="N298" s="5"/>
      <c r="O298" s="5"/>
      <c r="P298" s="5"/>
      <c r="Q298" s="5"/>
      <c r="R298" s="5"/>
      <c r="S298" s="5"/>
      <c r="T298" s="5"/>
      <c r="U298" s="5"/>
      <c r="V298" s="5"/>
      <c r="W298" s="5"/>
      <c r="X298" s="5"/>
      <c r="Y298" s="5"/>
      <c r="Z298" s="5"/>
    </row>
    <row r="299" ht="19.5" customHeight="1">
      <c r="A299" s="49"/>
      <c r="B299" s="50"/>
      <c r="C299" s="50"/>
      <c r="D299" s="50"/>
      <c r="E299" s="50"/>
      <c r="F299" s="51"/>
      <c r="G299" s="50"/>
      <c r="H299" s="50"/>
      <c r="I299" s="50"/>
      <c r="J299" s="48" t="str">
        <f t="array" ref="J299">IF(G299="","",IFERROR(LET(ev_cost,INDEX(Events!$G$5:$G$505,MATCH(G299,Events!$A$5:$A$505,0)),ev_split,INDEX(Events!$I$5:$I$505,MATCH(G299,Events!$A$5:$A$505,0)),att_offset,MATCH(G299,Attendance!$B$3:$AV$3,0),attendees,COUNTIF(INDEX(Attendance!$B$7:$AV$206,0,att_offset),"1"),IF(ev_split="Equal Split",ev_cost/MAX(1,COUNTA(Roster!$A$5:$A$204)),ev_cost/MAX(1,attendees))),"N/A"))</f>
        <v/>
      </c>
      <c r="K299" s="5"/>
      <c r="L299" s="5"/>
      <c r="M299" s="5"/>
      <c r="N299" s="5"/>
      <c r="O299" s="5"/>
      <c r="P299" s="5"/>
      <c r="Q299" s="5"/>
      <c r="R299" s="5"/>
      <c r="S299" s="5"/>
      <c r="T299" s="5"/>
      <c r="U299" s="5"/>
      <c r="V299" s="5"/>
      <c r="W299" s="5"/>
      <c r="X299" s="5"/>
      <c r="Y299" s="5"/>
      <c r="Z299" s="5"/>
    </row>
    <row r="300" ht="19.5" customHeight="1">
      <c r="A300" s="52"/>
      <c r="B300" s="53"/>
      <c r="C300" s="53"/>
      <c r="D300" s="53"/>
      <c r="E300" s="53"/>
      <c r="F300" s="61"/>
      <c r="G300" s="53"/>
      <c r="H300" s="53"/>
      <c r="I300" s="53"/>
      <c r="J300" s="48" t="str">
        <f t="array" ref="J300">IF(G300="","",IFERROR(LET(ev_cost,INDEX(Events!$G$5:$G$505,MATCH(G300,Events!$A$5:$A$505,0)),ev_split,INDEX(Events!$I$5:$I$505,MATCH(G300,Events!$A$5:$A$505,0)),att_offset,MATCH(G300,Attendance!$B$3:$AV$3,0),attendees,COUNTIF(INDEX(Attendance!$B$7:$AV$206,0,att_offset),"1"),IF(ev_split="Equal Split",ev_cost/MAX(1,COUNTA(Roster!$A$5:$A$204)),ev_cost/MAX(1,attendees))),"N/A"))</f>
        <v/>
      </c>
      <c r="K300" s="5"/>
      <c r="L300" s="5"/>
      <c r="M300" s="5"/>
      <c r="N300" s="5"/>
      <c r="O300" s="5"/>
      <c r="P300" s="5"/>
      <c r="Q300" s="5"/>
      <c r="R300" s="5"/>
      <c r="S300" s="5"/>
      <c r="T300" s="5"/>
      <c r="U300" s="5"/>
      <c r="V300" s="5"/>
      <c r="W300" s="5"/>
      <c r="X300" s="5"/>
      <c r="Y300" s="5"/>
      <c r="Z300" s="5"/>
    </row>
    <row r="301" ht="19.5" customHeight="1">
      <c r="A301" s="49"/>
      <c r="B301" s="50"/>
      <c r="C301" s="50"/>
      <c r="D301" s="50"/>
      <c r="E301" s="50"/>
      <c r="F301" s="51"/>
      <c r="G301" s="50"/>
      <c r="H301" s="50"/>
      <c r="I301" s="50"/>
      <c r="J301" s="48" t="str">
        <f t="array" ref="J301">IF(G301="","",IFERROR(LET(ev_cost,INDEX(Events!$G$5:$G$505,MATCH(G301,Events!$A$5:$A$505,0)),ev_split,INDEX(Events!$I$5:$I$505,MATCH(G301,Events!$A$5:$A$505,0)),att_offset,MATCH(G301,Attendance!$B$3:$AV$3,0),attendees,COUNTIF(INDEX(Attendance!$B$7:$AV$206,0,att_offset),"1"),IF(ev_split="Equal Split",ev_cost/MAX(1,COUNTA(Roster!$A$5:$A$204)),ev_cost/MAX(1,attendees))),"N/A"))</f>
        <v/>
      </c>
      <c r="K301" s="5"/>
      <c r="L301" s="5"/>
      <c r="M301" s="5"/>
      <c r="N301" s="5"/>
      <c r="O301" s="5"/>
      <c r="P301" s="5"/>
      <c r="Q301" s="5"/>
      <c r="R301" s="5"/>
      <c r="S301" s="5"/>
      <c r="T301" s="5"/>
      <c r="U301" s="5"/>
      <c r="V301" s="5"/>
      <c r="W301" s="5"/>
      <c r="X301" s="5"/>
      <c r="Y301" s="5"/>
      <c r="Z301" s="5"/>
    </row>
    <row r="302" ht="19.5" customHeight="1">
      <c r="A302" s="52"/>
      <c r="B302" s="53"/>
      <c r="C302" s="53"/>
      <c r="D302" s="53"/>
      <c r="E302" s="53"/>
      <c r="F302" s="61"/>
      <c r="G302" s="53"/>
      <c r="H302" s="53"/>
      <c r="I302" s="53"/>
      <c r="J302" s="48" t="str">
        <f t="array" ref="J302">IF(G302="","",IFERROR(LET(ev_cost,INDEX(Events!$G$5:$G$505,MATCH(G302,Events!$A$5:$A$505,0)),ev_split,INDEX(Events!$I$5:$I$505,MATCH(G302,Events!$A$5:$A$505,0)),att_offset,MATCH(G302,Attendance!$B$3:$AV$3,0),attendees,COUNTIF(INDEX(Attendance!$B$7:$AV$206,0,att_offset),"1"),IF(ev_split="Equal Split",ev_cost/MAX(1,COUNTA(Roster!$A$5:$A$204)),ev_cost/MAX(1,attendees))),"N/A"))</f>
        <v/>
      </c>
      <c r="K302" s="5"/>
      <c r="L302" s="5"/>
      <c r="M302" s="5"/>
      <c r="N302" s="5"/>
      <c r="O302" s="5"/>
      <c r="P302" s="5"/>
      <c r="Q302" s="5"/>
      <c r="R302" s="5"/>
      <c r="S302" s="5"/>
      <c r="T302" s="5"/>
      <c r="U302" s="5"/>
      <c r="V302" s="5"/>
      <c r="W302" s="5"/>
      <c r="X302" s="5"/>
      <c r="Y302" s="5"/>
      <c r="Z302" s="5"/>
    </row>
    <row r="303" ht="19.5" customHeight="1">
      <c r="A303" s="49"/>
      <c r="B303" s="50"/>
      <c r="C303" s="50"/>
      <c r="D303" s="50"/>
      <c r="E303" s="50"/>
      <c r="F303" s="51"/>
      <c r="G303" s="50"/>
      <c r="H303" s="50"/>
      <c r="I303" s="50"/>
      <c r="J303" s="48" t="str">
        <f t="array" ref="J303">IF(G303="","",IFERROR(LET(ev_cost,INDEX(Events!$G$5:$G$505,MATCH(G303,Events!$A$5:$A$505,0)),ev_split,INDEX(Events!$I$5:$I$505,MATCH(G303,Events!$A$5:$A$505,0)),att_offset,MATCH(G303,Attendance!$B$3:$AV$3,0),attendees,COUNTIF(INDEX(Attendance!$B$7:$AV$206,0,att_offset),"1"),IF(ev_split="Equal Split",ev_cost/MAX(1,COUNTA(Roster!$A$5:$A$204)),ev_cost/MAX(1,attendees))),"N/A"))</f>
        <v/>
      </c>
      <c r="K303" s="5"/>
      <c r="L303" s="5"/>
      <c r="M303" s="5"/>
      <c r="N303" s="5"/>
      <c r="O303" s="5"/>
      <c r="P303" s="5"/>
      <c r="Q303" s="5"/>
      <c r="R303" s="5"/>
      <c r="S303" s="5"/>
      <c r="T303" s="5"/>
      <c r="U303" s="5"/>
      <c r="V303" s="5"/>
      <c r="W303" s="5"/>
      <c r="X303" s="5"/>
      <c r="Y303" s="5"/>
      <c r="Z303" s="5"/>
    </row>
    <row r="304" ht="19.5" customHeight="1">
      <c r="A304" s="52"/>
      <c r="B304" s="53"/>
      <c r="C304" s="53"/>
      <c r="D304" s="53"/>
      <c r="E304" s="53"/>
      <c r="F304" s="61"/>
      <c r="G304" s="53"/>
      <c r="H304" s="53"/>
      <c r="I304" s="53"/>
      <c r="J304" s="48" t="str">
        <f t="array" ref="J304">IF(G304="","",IFERROR(LET(ev_cost,INDEX(Events!$G$5:$G$505,MATCH(G304,Events!$A$5:$A$505,0)),ev_split,INDEX(Events!$I$5:$I$505,MATCH(G304,Events!$A$5:$A$505,0)),att_offset,MATCH(G304,Attendance!$B$3:$AV$3,0),attendees,COUNTIF(INDEX(Attendance!$B$7:$AV$206,0,att_offset),"1"),IF(ev_split="Equal Split",ev_cost/MAX(1,COUNTA(Roster!$A$5:$A$204)),ev_cost/MAX(1,attendees))),"N/A"))</f>
        <v/>
      </c>
      <c r="K304" s="5"/>
      <c r="L304" s="5"/>
      <c r="M304" s="5"/>
      <c r="N304" s="5"/>
      <c r="O304" s="5"/>
      <c r="P304" s="5"/>
      <c r="Q304" s="5"/>
      <c r="R304" s="5"/>
      <c r="S304" s="5"/>
      <c r="T304" s="5"/>
      <c r="U304" s="5"/>
      <c r="V304" s="5"/>
      <c r="W304" s="5"/>
      <c r="X304" s="5"/>
      <c r="Y304" s="5"/>
      <c r="Z304" s="5"/>
    </row>
    <row r="305" ht="19.5" customHeight="1">
      <c r="A305" s="49"/>
      <c r="B305" s="50"/>
      <c r="C305" s="50"/>
      <c r="D305" s="50"/>
      <c r="E305" s="50"/>
      <c r="F305" s="51"/>
      <c r="G305" s="50"/>
      <c r="H305" s="50"/>
      <c r="I305" s="50"/>
      <c r="J305" s="48" t="str">
        <f t="array" ref="J305">IF(G305="","",IFERROR(LET(ev_cost,INDEX(Events!$G$5:$G$505,MATCH(G305,Events!$A$5:$A$505,0)),ev_split,INDEX(Events!$I$5:$I$505,MATCH(G305,Events!$A$5:$A$505,0)),att_offset,MATCH(G305,Attendance!$B$3:$AV$3,0),attendees,COUNTIF(INDEX(Attendance!$B$7:$AV$206,0,att_offset),"1"),IF(ev_split="Equal Split",ev_cost/MAX(1,COUNTA(Roster!$A$5:$A$204)),ev_cost/MAX(1,attendees))),"N/A"))</f>
        <v/>
      </c>
      <c r="K305" s="5"/>
      <c r="L305" s="5"/>
      <c r="M305" s="5"/>
      <c r="N305" s="5"/>
      <c r="O305" s="5"/>
      <c r="P305" s="5"/>
      <c r="Q305" s="5"/>
      <c r="R305" s="5"/>
      <c r="S305" s="5"/>
      <c r="T305" s="5"/>
      <c r="U305" s="5"/>
      <c r="V305" s="5"/>
      <c r="W305" s="5"/>
      <c r="X305" s="5"/>
      <c r="Y305" s="5"/>
      <c r="Z305" s="5"/>
    </row>
    <row r="306" ht="19.5" customHeight="1">
      <c r="A306" s="52"/>
      <c r="B306" s="53"/>
      <c r="C306" s="53"/>
      <c r="D306" s="53"/>
      <c r="E306" s="53"/>
      <c r="F306" s="61"/>
      <c r="G306" s="53"/>
      <c r="H306" s="53"/>
      <c r="I306" s="53"/>
      <c r="J306" s="48" t="str">
        <f t="array" ref="J306">IF(G306="","",IFERROR(LET(ev_cost,INDEX(Events!$G$5:$G$505,MATCH(G306,Events!$A$5:$A$505,0)),ev_split,INDEX(Events!$I$5:$I$505,MATCH(G306,Events!$A$5:$A$505,0)),att_offset,MATCH(G306,Attendance!$B$3:$AV$3,0),attendees,COUNTIF(INDEX(Attendance!$B$7:$AV$206,0,att_offset),"1"),IF(ev_split="Equal Split",ev_cost/MAX(1,COUNTA(Roster!$A$5:$A$204)),ev_cost/MAX(1,attendees))),"N/A"))</f>
        <v/>
      </c>
      <c r="K306" s="5"/>
      <c r="L306" s="5"/>
      <c r="M306" s="5"/>
      <c r="N306" s="5"/>
      <c r="O306" s="5"/>
      <c r="P306" s="5"/>
      <c r="Q306" s="5"/>
      <c r="R306" s="5"/>
      <c r="S306" s="5"/>
      <c r="T306" s="5"/>
      <c r="U306" s="5"/>
      <c r="V306" s="5"/>
      <c r="W306" s="5"/>
      <c r="X306" s="5"/>
      <c r="Y306" s="5"/>
      <c r="Z306" s="5"/>
    </row>
    <row r="307" ht="19.5" customHeight="1">
      <c r="A307" s="49"/>
      <c r="B307" s="50"/>
      <c r="C307" s="50"/>
      <c r="D307" s="50"/>
      <c r="E307" s="50"/>
      <c r="F307" s="51"/>
      <c r="G307" s="50"/>
      <c r="H307" s="50"/>
      <c r="I307" s="50"/>
      <c r="J307" s="48" t="str">
        <f t="array" ref="J307">IF(G307="","",IFERROR(LET(ev_cost,INDEX(Events!$G$5:$G$505,MATCH(G307,Events!$A$5:$A$505,0)),ev_split,INDEX(Events!$I$5:$I$505,MATCH(G307,Events!$A$5:$A$505,0)),att_offset,MATCH(G307,Attendance!$B$3:$AV$3,0),attendees,COUNTIF(INDEX(Attendance!$B$7:$AV$206,0,att_offset),"1"),IF(ev_split="Equal Split",ev_cost/MAX(1,COUNTA(Roster!$A$5:$A$204)),ev_cost/MAX(1,attendees))),"N/A"))</f>
        <v/>
      </c>
      <c r="K307" s="5"/>
      <c r="L307" s="5"/>
      <c r="M307" s="5"/>
      <c r="N307" s="5"/>
      <c r="O307" s="5"/>
      <c r="P307" s="5"/>
      <c r="Q307" s="5"/>
      <c r="R307" s="5"/>
      <c r="S307" s="5"/>
      <c r="T307" s="5"/>
      <c r="U307" s="5"/>
      <c r="V307" s="5"/>
      <c r="W307" s="5"/>
      <c r="X307" s="5"/>
      <c r="Y307" s="5"/>
      <c r="Z307" s="5"/>
    </row>
    <row r="308" ht="19.5" customHeight="1">
      <c r="A308" s="52"/>
      <c r="B308" s="53"/>
      <c r="C308" s="53"/>
      <c r="D308" s="53"/>
      <c r="E308" s="53"/>
      <c r="F308" s="61"/>
      <c r="G308" s="53"/>
      <c r="H308" s="53"/>
      <c r="I308" s="53"/>
      <c r="J308" s="48" t="str">
        <f t="array" ref="J308">IF(G308="","",IFERROR(LET(ev_cost,INDEX(Events!$G$5:$G$505,MATCH(G308,Events!$A$5:$A$505,0)),ev_split,INDEX(Events!$I$5:$I$505,MATCH(G308,Events!$A$5:$A$505,0)),att_offset,MATCH(G308,Attendance!$B$3:$AV$3,0),attendees,COUNTIF(INDEX(Attendance!$B$7:$AV$206,0,att_offset),"1"),IF(ev_split="Equal Split",ev_cost/MAX(1,COUNTA(Roster!$A$5:$A$204)),ev_cost/MAX(1,attendees))),"N/A"))</f>
        <v/>
      </c>
      <c r="K308" s="5"/>
      <c r="L308" s="5"/>
      <c r="M308" s="5"/>
      <c r="N308" s="5"/>
      <c r="O308" s="5"/>
      <c r="P308" s="5"/>
      <c r="Q308" s="5"/>
      <c r="R308" s="5"/>
      <c r="S308" s="5"/>
      <c r="T308" s="5"/>
      <c r="U308" s="5"/>
      <c r="V308" s="5"/>
      <c r="W308" s="5"/>
      <c r="X308" s="5"/>
      <c r="Y308" s="5"/>
      <c r="Z308" s="5"/>
    </row>
    <row r="309" ht="19.5" customHeight="1">
      <c r="A309" s="49"/>
      <c r="B309" s="50"/>
      <c r="C309" s="50"/>
      <c r="D309" s="50"/>
      <c r="E309" s="50"/>
      <c r="F309" s="51"/>
      <c r="G309" s="50"/>
      <c r="H309" s="50"/>
      <c r="I309" s="50"/>
      <c r="J309" s="48" t="str">
        <f t="array" ref="J309">IF(G309="","",IFERROR(LET(ev_cost,INDEX(Events!$G$5:$G$505,MATCH(G309,Events!$A$5:$A$505,0)),ev_split,INDEX(Events!$I$5:$I$505,MATCH(G309,Events!$A$5:$A$505,0)),att_offset,MATCH(G309,Attendance!$B$3:$AV$3,0),attendees,COUNTIF(INDEX(Attendance!$B$7:$AV$206,0,att_offset),"1"),IF(ev_split="Equal Split",ev_cost/MAX(1,COUNTA(Roster!$A$5:$A$204)),ev_cost/MAX(1,attendees))),"N/A"))</f>
        <v/>
      </c>
      <c r="K309" s="5"/>
      <c r="L309" s="5"/>
      <c r="M309" s="5"/>
      <c r="N309" s="5"/>
      <c r="O309" s="5"/>
      <c r="P309" s="5"/>
      <c r="Q309" s="5"/>
      <c r="R309" s="5"/>
      <c r="S309" s="5"/>
      <c r="T309" s="5"/>
      <c r="U309" s="5"/>
      <c r="V309" s="5"/>
      <c r="W309" s="5"/>
      <c r="X309" s="5"/>
      <c r="Y309" s="5"/>
      <c r="Z309" s="5"/>
    </row>
    <row r="310" ht="19.5" customHeight="1">
      <c r="A310" s="52"/>
      <c r="B310" s="53"/>
      <c r="C310" s="53"/>
      <c r="D310" s="53"/>
      <c r="E310" s="53"/>
      <c r="F310" s="61"/>
      <c r="G310" s="53"/>
      <c r="H310" s="53"/>
      <c r="I310" s="53"/>
      <c r="J310" s="48" t="str">
        <f t="array" ref="J310">IF(G310="","",IFERROR(LET(ev_cost,INDEX(Events!$G$5:$G$505,MATCH(G310,Events!$A$5:$A$505,0)),ev_split,INDEX(Events!$I$5:$I$505,MATCH(G310,Events!$A$5:$A$505,0)),att_offset,MATCH(G310,Attendance!$B$3:$AV$3,0),attendees,COUNTIF(INDEX(Attendance!$B$7:$AV$206,0,att_offset),"1"),IF(ev_split="Equal Split",ev_cost/MAX(1,COUNTA(Roster!$A$5:$A$204)),ev_cost/MAX(1,attendees))),"N/A"))</f>
        <v/>
      </c>
      <c r="K310" s="5"/>
      <c r="L310" s="5"/>
      <c r="M310" s="5"/>
      <c r="N310" s="5"/>
      <c r="O310" s="5"/>
      <c r="P310" s="5"/>
      <c r="Q310" s="5"/>
      <c r="R310" s="5"/>
      <c r="S310" s="5"/>
      <c r="T310" s="5"/>
      <c r="U310" s="5"/>
      <c r="V310" s="5"/>
      <c r="W310" s="5"/>
      <c r="X310" s="5"/>
      <c r="Y310" s="5"/>
      <c r="Z310" s="5"/>
    </row>
    <row r="311" ht="19.5" customHeight="1">
      <c r="A311" s="49"/>
      <c r="B311" s="50"/>
      <c r="C311" s="50"/>
      <c r="D311" s="50"/>
      <c r="E311" s="50"/>
      <c r="F311" s="51"/>
      <c r="G311" s="50"/>
      <c r="H311" s="50"/>
      <c r="I311" s="50"/>
      <c r="J311" s="48" t="str">
        <f t="array" ref="J311">IF(G311="","",IFERROR(LET(ev_cost,INDEX(Events!$G$5:$G$505,MATCH(G311,Events!$A$5:$A$505,0)),ev_split,INDEX(Events!$I$5:$I$505,MATCH(G311,Events!$A$5:$A$505,0)),att_offset,MATCH(G311,Attendance!$B$3:$AV$3,0),attendees,COUNTIF(INDEX(Attendance!$B$7:$AV$206,0,att_offset),"1"),IF(ev_split="Equal Split",ev_cost/MAX(1,COUNTA(Roster!$A$5:$A$204)),ev_cost/MAX(1,attendees))),"N/A"))</f>
        <v/>
      </c>
      <c r="K311" s="5"/>
      <c r="L311" s="5"/>
      <c r="M311" s="5"/>
      <c r="N311" s="5"/>
      <c r="O311" s="5"/>
      <c r="P311" s="5"/>
      <c r="Q311" s="5"/>
      <c r="R311" s="5"/>
      <c r="S311" s="5"/>
      <c r="T311" s="5"/>
      <c r="U311" s="5"/>
      <c r="V311" s="5"/>
      <c r="W311" s="5"/>
      <c r="X311" s="5"/>
      <c r="Y311" s="5"/>
      <c r="Z311" s="5"/>
    </row>
    <row r="312" ht="19.5" customHeight="1">
      <c r="A312" s="52"/>
      <c r="B312" s="53"/>
      <c r="C312" s="53"/>
      <c r="D312" s="53"/>
      <c r="E312" s="53"/>
      <c r="F312" s="61"/>
      <c r="G312" s="53"/>
      <c r="H312" s="53"/>
      <c r="I312" s="53"/>
      <c r="J312" s="48" t="str">
        <f t="array" ref="J312">IF(G312="","",IFERROR(LET(ev_cost,INDEX(Events!$G$5:$G$505,MATCH(G312,Events!$A$5:$A$505,0)),ev_split,INDEX(Events!$I$5:$I$505,MATCH(G312,Events!$A$5:$A$505,0)),att_offset,MATCH(G312,Attendance!$B$3:$AV$3,0),attendees,COUNTIF(INDEX(Attendance!$B$7:$AV$206,0,att_offset),"1"),IF(ev_split="Equal Split",ev_cost/MAX(1,COUNTA(Roster!$A$5:$A$204)),ev_cost/MAX(1,attendees))),"N/A"))</f>
        <v/>
      </c>
      <c r="K312" s="5"/>
      <c r="L312" s="5"/>
      <c r="M312" s="5"/>
      <c r="N312" s="5"/>
      <c r="O312" s="5"/>
      <c r="P312" s="5"/>
      <c r="Q312" s="5"/>
      <c r="R312" s="5"/>
      <c r="S312" s="5"/>
      <c r="T312" s="5"/>
      <c r="U312" s="5"/>
      <c r="V312" s="5"/>
      <c r="W312" s="5"/>
      <c r="X312" s="5"/>
      <c r="Y312" s="5"/>
      <c r="Z312" s="5"/>
    </row>
    <row r="313" ht="19.5" customHeight="1">
      <c r="A313" s="49"/>
      <c r="B313" s="50"/>
      <c r="C313" s="50"/>
      <c r="D313" s="50"/>
      <c r="E313" s="50"/>
      <c r="F313" s="51"/>
      <c r="G313" s="50"/>
      <c r="H313" s="50"/>
      <c r="I313" s="50"/>
      <c r="J313" s="48" t="str">
        <f t="array" ref="J313">IF(G313="","",IFERROR(LET(ev_cost,INDEX(Events!$G$5:$G$505,MATCH(G313,Events!$A$5:$A$505,0)),ev_split,INDEX(Events!$I$5:$I$505,MATCH(G313,Events!$A$5:$A$505,0)),att_offset,MATCH(G313,Attendance!$B$3:$AV$3,0),attendees,COUNTIF(INDEX(Attendance!$B$7:$AV$206,0,att_offset),"1"),IF(ev_split="Equal Split",ev_cost/MAX(1,COUNTA(Roster!$A$5:$A$204)),ev_cost/MAX(1,attendees))),"N/A"))</f>
        <v/>
      </c>
      <c r="K313" s="5"/>
      <c r="L313" s="5"/>
      <c r="M313" s="5"/>
      <c r="N313" s="5"/>
      <c r="O313" s="5"/>
      <c r="P313" s="5"/>
      <c r="Q313" s="5"/>
      <c r="R313" s="5"/>
      <c r="S313" s="5"/>
      <c r="T313" s="5"/>
      <c r="U313" s="5"/>
      <c r="V313" s="5"/>
      <c r="W313" s="5"/>
      <c r="X313" s="5"/>
      <c r="Y313" s="5"/>
      <c r="Z313" s="5"/>
    </row>
    <row r="314" ht="19.5" customHeight="1">
      <c r="A314" s="52"/>
      <c r="B314" s="53"/>
      <c r="C314" s="53"/>
      <c r="D314" s="53"/>
      <c r="E314" s="53"/>
      <c r="F314" s="61"/>
      <c r="G314" s="53"/>
      <c r="H314" s="53"/>
      <c r="I314" s="53"/>
      <c r="J314" s="48" t="str">
        <f t="array" ref="J314">IF(G314="","",IFERROR(LET(ev_cost,INDEX(Events!$G$5:$G$505,MATCH(G314,Events!$A$5:$A$505,0)),ev_split,INDEX(Events!$I$5:$I$505,MATCH(G314,Events!$A$5:$A$505,0)),att_offset,MATCH(G314,Attendance!$B$3:$AV$3,0),attendees,COUNTIF(INDEX(Attendance!$B$7:$AV$206,0,att_offset),"1"),IF(ev_split="Equal Split",ev_cost/MAX(1,COUNTA(Roster!$A$5:$A$204)),ev_cost/MAX(1,attendees))),"N/A"))</f>
        <v/>
      </c>
      <c r="K314" s="5"/>
      <c r="L314" s="5"/>
      <c r="M314" s="5"/>
      <c r="N314" s="5"/>
      <c r="O314" s="5"/>
      <c r="P314" s="5"/>
      <c r="Q314" s="5"/>
      <c r="R314" s="5"/>
      <c r="S314" s="5"/>
      <c r="T314" s="5"/>
      <c r="U314" s="5"/>
      <c r="V314" s="5"/>
      <c r="W314" s="5"/>
      <c r="X314" s="5"/>
      <c r="Y314" s="5"/>
      <c r="Z314" s="5"/>
    </row>
    <row r="315" ht="19.5" customHeight="1">
      <c r="A315" s="49"/>
      <c r="B315" s="50"/>
      <c r="C315" s="50"/>
      <c r="D315" s="50"/>
      <c r="E315" s="50"/>
      <c r="F315" s="51"/>
      <c r="G315" s="50"/>
      <c r="H315" s="50"/>
      <c r="I315" s="50"/>
      <c r="J315" s="48" t="str">
        <f t="array" ref="J315">IF(G315="","",IFERROR(LET(ev_cost,INDEX(Events!$G$5:$G$505,MATCH(G315,Events!$A$5:$A$505,0)),ev_split,INDEX(Events!$I$5:$I$505,MATCH(G315,Events!$A$5:$A$505,0)),att_offset,MATCH(G315,Attendance!$B$3:$AV$3,0),attendees,COUNTIF(INDEX(Attendance!$B$7:$AV$206,0,att_offset),"1"),IF(ev_split="Equal Split",ev_cost/MAX(1,COUNTA(Roster!$A$5:$A$204)),ev_cost/MAX(1,attendees))),"N/A"))</f>
        <v/>
      </c>
      <c r="K315" s="5"/>
      <c r="L315" s="5"/>
      <c r="M315" s="5"/>
      <c r="N315" s="5"/>
      <c r="O315" s="5"/>
      <c r="P315" s="5"/>
      <c r="Q315" s="5"/>
      <c r="R315" s="5"/>
      <c r="S315" s="5"/>
      <c r="T315" s="5"/>
      <c r="U315" s="5"/>
      <c r="V315" s="5"/>
      <c r="W315" s="5"/>
      <c r="X315" s="5"/>
      <c r="Y315" s="5"/>
      <c r="Z315" s="5"/>
    </row>
    <row r="316" ht="19.5" customHeight="1">
      <c r="A316" s="52"/>
      <c r="B316" s="53"/>
      <c r="C316" s="53"/>
      <c r="D316" s="53"/>
      <c r="E316" s="53"/>
      <c r="F316" s="61"/>
      <c r="G316" s="53"/>
      <c r="H316" s="53"/>
      <c r="I316" s="53"/>
      <c r="J316" s="48" t="str">
        <f t="array" ref="J316">IF(G316="","",IFERROR(LET(ev_cost,INDEX(Events!$G$5:$G$505,MATCH(G316,Events!$A$5:$A$505,0)),ev_split,INDEX(Events!$I$5:$I$505,MATCH(G316,Events!$A$5:$A$505,0)),att_offset,MATCH(G316,Attendance!$B$3:$AV$3,0),attendees,COUNTIF(INDEX(Attendance!$B$7:$AV$206,0,att_offset),"1"),IF(ev_split="Equal Split",ev_cost/MAX(1,COUNTA(Roster!$A$5:$A$204)),ev_cost/MAX(1,attendees))),"N/A"))</f>
        <v/>
      </c>
      <c r="K316" s="5"/>
      <c r="L316" s="5"/>
      <c r="M316" s="5"/>
      <c r="N316" s="5"/>
      <c r="O316" s="5"/>
      <c r="P316" s="5"/>
      <c r="Q316" s="5"/>
      <c r="R316" s="5"/>
      <c r="S316" s="5"/>
      <c r="T316" s="5"/>
      <c r="U316" s="5"/>
      <c r="V316" s="5"/>
      <c r="W316" s="5"/>
      <c r="X316" s="5"/>
      <c r="Y316" s="5"/>
      <c r="Z316" s="5"/>
    </row>
    <row r="317" ht="19.5" customHeight="1">
      <c r="A317" s="49"/>
      <c r="B317" s="50"/>
      <c r="C317" s="50"/>
      <c r="D317" s="50"/>
      <c r="E317" s="50"/>
      <c r="F317" s="51"/>
      <c r="G317" s="50"/>
      <c r="H317" s="50"/>
      <c r="I317" s="50"/>
      <c r="J317" s="48" t="str">
        <f t="array" ref="J317">IF(G317="","",IFERROR(LET(ev_cost,INDEX(Events!$G$5:$G$505,MATCH(G317,Events!$A$5:$A$505,0)),ev_split,INDEX(Events!$I$5:$I$505,MATCH(G317,Events!$A$5:$A$505,0)),att_offset,MATCH(G317,Attendance!$B$3:$AV$3,0),attendees,COUNTIF(INDEX(Attendance!$B$7:$AV$206,0,att_offset),"1"),IF(ev_split="Equal Split",ev_cost/MAX(1,COUNTA(Roster!$A$5:$A$204)),ev_cost/MAX(1,attendees))),"N/A"))</f>
        <v/>
      </c>
      <c r="K317" s="5"/>
      <c r="L317" s="5"/>
      <c r="M317" s="5"/>
      <c r="N317" s="5"/>
      <c r="O317" s="5"/>
      <c r="P317" s="5"/>
      <c r="Q317" s="5"/>
      <c r="R317" s="5"/>
      <c r="S317" s="5"/>
      <c r="T317" s="5"/>
      <c r="U317" s="5"/>
      <c r="V317" s="5"/>
      <c r="W317" s="5"/>
      <c r="X317" s="5"/>
      <c r="Y317" s="5"/>
      <c r="Z317" s="5"/>
    </row>
    <row r="318" ht="19.5" customHeight="1">
      <c r="A318" s="52"/>
      <c r="B318" s="53"/>
      <c r="C318" s="53"/>
      <c r="D318" s="53"/>
      <c r="E318" s="53"/>
      <c r="F318" s="61"/>
      <c r="G318" s="53"/>
      <c r="H318" s="53"/>
      <c r="I318" s="53"/>
      <c r="J318" s="48" t="str">
        <f t="array" ref="J318">IF(G318="","",IFERROR(LET(ev_cost,INDEX(Events!$G$5:$G$505,MATCH(G318,Events!$A$5:$A$505,0)),ev_split,INDEX(Events!$I$5:$I$505,MATCH(G318,Events!$A$5:$A$505,0)),att_offset,MATCH(G318,Attendance!$B$3:$AV$3,0),attendees,COUNTIF(INDEX(Attendance!$B$7:$AV$206,0,att_offset),"1"),IF(ev_split="Equal Split",ev_cost/MAX(1,COUNTA(Roster!$A$5:$A$204)),ev_cost/MAX(1,attendees))),"N/A"))</f>
        <v/>
      </c>
      <c r="K318" s="5"/>
      <c r="L318" s="5"/>
      <c r="M318" s="5"/>
      <c r="N318" s="5"/>
      <c r="O318" s="5"/>
      <c r="P318" s="5"/>
      <c r="Q318" s="5"/>
      <c r="R318" s="5"/>
      <c r="S318" s="5"/>
      <c r="T318" s="5"/>
      <c r="U318" s="5"/>
      <c r="V318" s="5"/>
      <c r="W318" s="5"/>
      <c r="X318" s="5"/>
      <c r="Y318" s="5"/>
      <c r="Z318" s="5"/>
    </row>
    <row r="319" ht="19.5" customHeight="1">
      <c r="A319" s="49"/>
      <c r="B319" s="50"/>
      <c r="C319" s="50"/>
      <c r="D319" s="50"/>
      <c r="E319" s="50"/>
      <c r="F319" s="51"/>
      <c r="G319" s="50"/>
      <c r="H319" s="50"/>
      <c r="I319" s="50"/>
      <c r="J319" s="48" t="str">
        <f t="array" ref="J319">IF(G319="","",IFERROR(LET(ev_cost,INDEX(Events!$G$5:$G$505,MATCH(G319,Events!$A$5:$A$505,0)),ev_split,INDEX(Events!$I$5:$I$505,MATCH(G319,Events!$A$5:$A$505,0)),att_offset,MATCH(G319,Attendance!$B$3:$AV$3,0),attendees,COUNTIF(INDEX(Attendance!$B$7:$AV$206,0,att_offset),"1"),IF(ev_split="Equal Split",ev_cost/MAX(1,COUNTA(Roster!$A$5:$A$204)),ev_cost/MAX(1,attendees))),"N/A"))</f>
        <v/>
      </c>
      <c r="K319" s="5"/>
      <c r="L319" s="5"/>
      <c r="M319" s="5"/>
      <c r="N319" s="5"/>
      <c r="O319" s="5"/>
      <c r="P319" s="5"/>
      <c r="Q319" s="5"/>
      <c r="R319" s="5"/>
      <c r="S319" s="5"/>
      <c r="T319" s="5"/>
      <c r="U319" s="5"/>
      <c r="V319" s="5"/>
      <c r="W319" s="5"/>
      <c r="X319" s="5"/>
      <c r="Y319" s="5"/>
      <c r="Z319" s="5"/>
    </row>
    <row r="320" ht="19.5" customHeight="1">
      <c r="A320" s="52"/>
      <c r="B320" s="53"/>
      <c r="C320" s="53"/>
      <c r="D320" s="53"/>
      <c r="E320" s="53"/>
      <c r="F320" s="61"/>
      <c r="G320" s="53"/>
      <c r="H320" s="53"/>
      <c r="I320" s="53"/>
      <c r="J320" s="48" t="str">
        <f t="array" ref="J320">IF(G320="","",IFERROR(LET(ev_cost,INDEX(Events!$G$5:$G$505,MATCH(G320,Events!$A$5:$A$505,0)),ev_split,INDEX(Events!$I$5:$I$505,MATCH(G320,Events!$A$5:$A$505,0)),att_offset,MATCH(G320,Attendance!$B$3:$AV$3,0),attendees,COUNTIF(INDEX(Attendance!$B$7:$AV$206,0,att_offset),"1"),IF(ev_split="Equal Split",ev_cost/MAX(1,COUNTA(Roster!$A$5:$A$204)),ev_cost/MAX(1,attendees))),"N/A"))</f>
        <v/>
      </c>
      <c r="K320" s="5"/>
      <c r="L320" s="5"/>
      <c r="M320" s="5"/>
      <c r="N320" s="5"/>
      <c r="O320" s="5"/>
      <c r="P320" s="5"/>
      <c r="Q320" s="5"/>
      <c r="R320" s="5"/>
      <c r="S320" s="5"/>
      <c r="T320" s="5"/>
      <c r="U320" s="5"/>
      <c r="V320" s="5"/>
      <c r="W320" s="5"/>
      <c r="X320" s="5"/>
      <c r="Y320" s="5"/>
      <c r="Z320" s="5"/>
    </row>
    <row r="321" ht="19.5" customHeight="1">
      <c r="A321" s="49"/>
      <c r="B321" s="50"/>
      <c r="C321" s="50"/>
      <c r="D321" s="50"/>
      <c r="E321" s="50"/>
      <c r="F321" s="51"/>
      <c r="G321" s="50"/>
      <c r="H321" s="50"/>
      <c r="I321" s="50"/>
      <c r="J321" s="48" t="str">
        <f t="array" ref="J321">IF(G321="","",IFERROR(LET(ev_cost,INDEX(Events!$G$5:$G$505,MATCH(G321,Events!$A$5:$A$505,0)),ev_split,INDEX(Events!$I$5:$I$505,MATCH(G321,Events!$A$5:$A$505,0)),att_offset,MATCH(G321,Attendance!$B$3:$AV$3,0),attendees,COUNTIF(INDEX(Attendance!$B$7:$AV$206,0,att_offset),"1"),IF(ev_split="Equal Split",ev_cost/MAX(1,COUNTA(Roster!$A$5:$A$204)),ev_cost/MAX(1,attendees))),"N/A"))</f>
        <v/>
      </c>
      <c r="K321" s="5"/>
      <c r="L321" s="5"/>
      <c r="M321" s="5"/>
      <c r="N321" s="5"/>
      <c r="O321" s="5"/>
      <c r="P321" s="5"/>
      <c r="Q321" s="5"/>
      <c r="R321" s="5"/>
      <c r="S321" s="5"/>
      <c r="T321" s="5"/>
      <c r="U321" s="5"/>
      <c r="V321" s="5"/>
      <c r="W321" s="5"/>
      <c r="X321" s="5"/>
      <c r="Y321" s="5"/>
      <c r="Z321" s="5"/>
    </row>
    <row r="322" ht="19.5" customHeight="1">
      <c r="A322" s="52"/>
      <c r="B322" s="53"/>
      <c r="C322" s="53"/>
      <c r="D322" s="53"/>
      <c r="E322" s="53"/>
      <c r="F322" s="61"/>
      <c r="G322" s="53"/>
      <c r="H322" s="53"/>
      <c r="I322" s="53"/>
      <c r="J322" s="48" t="str">
        <f t="array" ref="J322">IF(G322="","",IFERROR(LET(ev_cost,INDEX(Events!$G$5:$G$505,MATCH(G322,Events!$A$5:$A$505,0)),ev_split,INDEX(Events!$I$5:$I$505,MATCH(G322,Events!$A$5:$A$505,0)),att_offset,MATCH(G322,Attendance!$B$3:$AV$3,0),attendees,COUNTIF(INDEX(Attendance!$B$7:$AV$206,0,att_offset),"1"),IF(ev_split="Equal Split",ev_cost/MAX(1,COUNTA(Roster!$A$5:$A$204)),ev_cost/MAX(1,attendees))),"N/A"))</f>
        <v/>
      </c>
      <c r="K322" s="5"/>
      <c r="L322" s="5"/>
      <c r="M322" s="5"/>
      <c r="N322" s="5"/>
      <c r="O322" s="5"/>
      <c r="P322" s="5"/>
      <c r="Q322" s="5"/>
      <c r="R322" s="5"/>
      <c r="S322" s="5"/>
      <c r="T322" s="5"/>
      <c r="U322" s="5"/>
      <c r="V322" s="5"/>
      <c r="W322" s="5"/>
      <c r="X322" s="5"/>
      <c r="Y322" s="5"/>
      <c r="Z322" s="5"/>
    </row>
    <row r="323" ht="19.5" customHeight="1">
      <c r="A323" s="49"/>
      <c r="B323" s="50"/>
      <c r="C323" s="50"/>
      <c r="D323" s="50"/>
      <c r="E323" s="50"/>
      <c r="F323" s="51"/>
      <c r="G323" s="50"/>
      <c r="H323" s="50"/>
      <c r="I323" s="50"/>
      <c r="J323" s="48" t="str">
        <f t="array" ref="J323">IF(G323="","",IFERROR(LET(ev_cost,INDEX(Events!$G$5:$G$505,MATCH(G323,Events!$A$5:$A$505,0)),ev_split,INDEX(Events!$I$5:$I$505,MATCH(G323,Events!$A$5:$A$505,0)),att_offset,MATCH(G323,Attendance!$B$3:$AV$3,0),attendees,COUNTIF(INDEX(Attendance!$B$7:$AV$206,0,att_offset),"1"),IF(ev_split="Equal Split",ev_cost/MAX(1,COUNTA(Roster!$A$5:$A$204)),ev_cost/MAX(1,attendees))),"N/A"))</f>
        <v/>
      </c>
      <c r="K323" s="5"/>
      <c r="L323" s="5"/>
      <c r="M323" s="5"/>
      <c r="N323" s="5"/>
      <c r="O323" s="5"/>
      <c r="P323" s="5"/>
      <c r="Q323" s="5"/>
      <c r="R323" s="5"/>
      <c r="S323" s="5"/>
      <c r="T323" s="5"/>
      <c r="U323" s="5"/>
      <c r="V323" s="5"/>
      <c r="W323" s="5"/>
      <c r="X323" s="5"/>
      <c r="Y323" s="5"/>
      <c r="Z323" s="5"/>
    </row>
    <row r="324" ht="19.5" customHeight="1">
      <c r="A324" s="52"/>
      <c r="B324" s="53"/>
      <c r="C324" s="53"/>
      <c r="D324" s="53"/>
      <c r="E324" s="53"/>
      <c r="F324" s="61"/>
      <c r="G324" s="53"/>
      <c r="H324" s="53"/>
      <c r="I324" s="53"/>
      <c r="J324" s="48" t="str">
        <f t="array" ref="J324">IF(G324="","",IFERROR(LET(ev_cost,INDEX(Events!$G$5:$G$505,MATCH(G324,Events!$A$5:$A$505,0)),ev_split,INDEX(Events!$I$5:$I$505,MATCH(G324,Events!$A$5:$A$505,0)),att_offset,MATCH(G324,Attendance!$B$3:$AV$3,0),attendees,COUNTIF(INDEX(Attendance!$B$7:$AV$206,0,att_offset),"1"),IF(ev_split="Equal Split",ev_cost/MAX(1,COUNTA(Roster!$A$5:$A$204)),ev_cost/MAX(1,attendees))),"N/A"))</f>
        <v/>
      </c>
      <c r="K324" s="5"/>
      <c r="L324" s="5"/>
      <c r="M324" s="5"/>
      <c r="N324" s="5"/>
      <c r="O324" s="5"/>
      <c r="P324" s="5"/>
      <c r="Q324" s="5"/>
      <c r="R324" s="5"/>
      <c r="S324" s="5"/>
      <c r="T324" s="5"/>
      <c r="U324" s="5"/>
      <c r="V324" s="5"/>
      <c r="W324" s="5"/>
      <c r="X324" s="5"/>
      <c r="Y324" s="5"/>
      <c r="Z324" s="5"/>
    </row>
    <row r="325" ht="19.5" customHeight="1">
      <c r="A325" s="49"/>
      <c r="B325" s="50"/>
      <c r="C325" s="50"/>
      <c r="D325" s="50"/>
      <c r="E325" s="50"/>
      <c r="F325" s="51"/>
      <c r="G325" s="50"/>
      <c r="H325" s="50"/>
      <c r="I325" s="50"/>
      <c r="J325" s="48" t="str">
        <f t="array" ref="J325">IF(G325="","",IFERROR(LET(ev_cost,INDEX(Events!$G$5:$G$505,MATCH(G325,Events!$A$5:$A$505,0)),ev_split,INDEX(Events!$I$5:$I$505,MATCH(G325,Events!$A$5:$A$505,0)),att_offset,MATCH(G325,Attendance!$B$3:$AV$3,0),attendees,COUNTIF(INDEX(Attendance!$B$7:$AV$206,0,att_offset),"1"),IF(ev_split="Equal Split",ev_cost/MAX(1,COUNTA(Roster!$A$5:$A$204)),ev_cost/MAX(1,attendees))),"N/A"))</f>
        <v/>
      </c>
      <c r="K325" s="5"/>
      <c r="L325" s="5"/>
      <c r="M325" s="5"/>
      <c r="N325" s="5"/>
      <c r="O325" s="5"/>
      <c r="P325" s="5"/>
      <c r="Q325" s="5"/>
      <c r="R325" s="5"/>
      <c r="S325" s="5"/>
      <c r="T325" s="5"/>
      <c r="U325" s="5"/>
      <c r="V325" s="5"/>
      <c r="W325" s="5"/>
      <c r="X325" s="5"/>
      <c r="Y325" s="5"/>
      <c r="Z325" s="5"/>
    </row>
    <row r="326" ht="19.5" customHeight="1">
      <c r="A326" s="52"/>
      <c r="B326" s="53"/>
      <c r="C326" s="53"/>
      <c r="D326" s="53"/>
      <c r="E326" s="53"/>
      <c r="F326" s="61"/>
      <c r="G326" s="53"/>
      <c r="H326" s="53"/>
      <c r="I326" s="53"/>
      <c r="J326" s="48" t="str">
        <f t="array" ref="J326">IF(G326="","",IFERROR(LET(ev_cost,INDEX(Events!$G$5:$G$505,MATCH(G326,Events!$A$5:$A$505,0)),ev_split,INDEX(Events!$I$5:$I$505,MATCH(G326,Events!$A$5:$A$505,0)),att_offset,MATCH(G326,Attendance!$B$3:$AV$3,0),attendees,COUNTIF(INDEX(Attendance!$B$7:$AV$206,0,att_offset),"1"),IF(ev_split="Equal Split",ev_cost/MAX(1,COUNTA(Roster!$A$5:$A$204)),ev_cost/MAX(1,attendees))),"N/A"))</f>
        <v/>
      </c>
      <c r="K326" s="5"/>
      <c r="L326" s="5"/>
      <c r="M326" s="5"/>
      <c r="N326" s="5"/>
      <c r="O326" s="5"/>
      <c r="P326" s="5"/>
      <c r="Q326" s="5"/>
      <c r="R326" s="5"/>
      <c r="S326" s="5"/>
      <c r="T326" s="5"/>
      <c r="U326" s="5"/>
      <c r="V326" s="5"/>
      <c r="W326" s="5"/>
      <c r="X326" s="5"/>
      <c r="Y326" s="5"/>
      <c r="Z326" s="5"/>
    </row>
    <row r="327" ht="19.5" customHeight="1">
      <c r="A327" s="49"/>
      <c r="B327" s="50"/>
      <c r="C327" s="50"/>
      <c r="D327" s="50"/>
      <c r="E327" s="50"/>
      <c r="F327" s="51"/>
      <c r="G327" s="50"/>
      <c r="H327" s="50"/>
      <c r="I327" s="50"/>
      <c r="J327" s="48" t="str">
        <f t="array" ref="J327">IF(G327="","",IFERROR(LET(ev_cost,INDEX(Events!$G$5:$G$505,MATCH(G327,Events!$A$5:$A$505,0)),ev_split,INDEX(Events!$I$5:$I$505,MATCH(G327,Events!$A$5:$A$505,0)),att_offset,MATCH(G327,Attendance!$B$3:$AV$3,0),attendees,COUNTIF(INDEX(Attendance!$B$7:$AV$206,0,att_offset),"1"),IF(ev_split="Equal Split",ev_cost/MAX(1,COUNTA(Roster!$A$5:$A$204)),ev_cost/MAX(1,attendees))),"N/A"))</f>
        <v/>
      </c>
      <c r="K327" s="5"/>
      <c r="L327" s="5"/>
      <c r="M327" s="5"/>
      <c r="N327" s="5"/>
      <c r="O327" s="5"/>
      <c r="P327" s="5"/>
      <c r="Q327" s="5"/>
      <c r="R327" s="5"/>
      <c r="S327" s="5"/>
      <c r="T327" s="5"/>
      <c r="U327" s="5"/>
      <c r="V327" s="5"/>
      <c r="W327" s="5"/>
      <c r="X327" s="5"/>
      <c r="Y327" s="5"/>
      <c r="Z327" s="5"/>
    </row>
    <row r="328" ht="19.5" customHeight="1">
      <c r="A328" s="52"/>
      <c r="B328" s="53"/>
      <c r="C328" s="53"/>
      <c r="D328" s="53"/>
      <c r="E328" s="53"/>
      <c r="F328" s="61"/>
      <c r="G328" s="53"/>
      <c r="H328" s="53"/>
      <c r="I328" s="53"/>
      <c r="J328" s="48" t="str">
        <f t="array" ref="J328">IF(G328="","",IFERROR(LET(ev_cost,INDEX(Events!$G$5:$G$505,MATCH(G328,Events!$A$5:$A$505,0)),ev_split,INDEX(Events!$I$5:$I$505,MATCH(G328,Events!$A$5:$A$505,0)),att_offset,MATCH(G328,Attendance!$B$3:$AV$3,0),attendees,COUNTIF(INDEX(Attendance!$B$7:$AV$206,0,att_offset),"1"),IF(ev_split="Equal Split",ev_cost/MAX(1,COUNTA(Roster!$A$5:$A$204)),ev_cost/MAX(1,attendees))),"N/A"))</f>
        <v/>
      </c>
      <c r="K328" s="5"/>
      <c r="L328" s="5"/>
      <c r="M328" s="5"/>
      <c r="N328" s="5"/>
      <c r="O328" s="5"/>
      <c r="P328" s="5"/>
      <c r="Q328" s="5"/>
      <c r="R328" s="5"/>
      <c r="S328" s="5"/>
      <c r="T328" s="5"/>
      <c r="U328" s="5"/>
      <c r="V328" s="5"/>
      <c r="W328" s="5"/>
      <c r="X328" s="5"/>
      <c r="Y328" s="5"/>
      <c r="Z328" s="5"/>
    </row>
    <row r="329" ht="19.5" customHeight="1">
      <c r="A329" s="49"/>
      <c r="B329" s="50"/>
      <c r="C329" s="50"/>
      <c r="D329" s="50"/>
      <c r="E329" s="50"/>
      <c r="F329" s="51"/>
      <c r="G329" s="50"/>
      <c r="H329" s="50"/>
      <c r="I329" s="50"/>
      <c r="J329" s="48" t="str">
        <f t="array" ref="J329">IF(G329="","",IFERROR(LET(ev_cost,INDEX(Events!$G$5:$G$505,MATCH(G329,Events!$A$5:$A$505,0)),ev_split,INDEX(Events!$I$5:$I$505,MATCH(G329,Events!$A$5:$A$505,0)),att_offset,MATCH(G329,Attendance!$B$3:$AV$3,0),attendees,COUNTIF(INDEX(Attendance!$B$7:$AV$206,0,att_offset),"1"),IF(ev_split="Equal Split",ev_cost/MAX(1,COUNTA(Roster!$A$5:$A$204)),ev_cost/MAX(1,attendees))),"N/A"))</f>
        <v/>
      </c>
      <c r="K329" s="5"/>
      <c r="L329" s="5"/>
      <c r="M329" s="5"/>
      <c r="N329" s="5"/>
      <c r="O329" s="5"/>
      <c r="P329" s="5"/>
      <c r="Q329" s="5"/>
      <c r="R329" s="5"/>
      <c r="S329" s="5"/>
      <c r="T329" s="5"/>
      <c r="U329" s="5"/>
      <c r="V329" s="5"/>
      <c r="W329" s="5"/>
      <c r="X329" s="5"/>
      <c r="Y329" s="5"/>
      <c r="Z329" s="5"/>
    </row>
    <row r="330" ht="19.5" customHeight="1">
      <c r="A330" s="52"/>
      <c r="B330" s="53"/>
      <c r="C330" s="53"/>
      <c r="D330" s="53"/>
      <c r="E330" s="53"/>
      <c r="F330" s="61"/>
      <c r="G330" s="53"/>
      <c r="H330" s="53"/>
      <c r="I330" s="53"/>
      <c r="J330" s="48" t="str">
        <f t="array" ref="J330">IF(G330="","",IFERROR(LET(ev_cost,INDEX(Events!$G$5:$G$505,MATCH(G330,Events!$A$5:$A$505,0)),ev_split,INDEX(Events!$I$5:$I$505,MATCH(G330,Events!$A$5:$A$505,0)),att_offset,MATCH(G330,Attendance!$B$3:$AV$3,0),attendees,COUNTIF(INDEX(Attendance!$B$7:$AV$206,0,att_offset),"1"),IF(ev_split="Equal Split",ev_cost/MAX(1,COUNTA(Roster!$A$5:$A$204)),ev_cost/MAX(1,attendees))),"N/A"))</f>
        <v/>
      </c>
      <c r="K330" s="5"/>
      <c r="L330" s="5"/>
      <c r="M330" s="5"/>
      <c r="N330" s="5"/>
      <c r="O330" s="5"/>
      <c r="P330" s="5"/>
      <c r="Q330" s="5"/>
      <c r="R330" s="5"/>
      <c r="S330" s="5"/>
      <c r="T330" s="5"/>
      <c r="U330" s="5"/>
      <c r="V330" s="5"/>
      <c r="W330" s="5"/>
      <c r="X330" s="5"/>
      <c r="Y330" s="5"/>
      <c r="Z330" s="5"/>
    </row>
    <row r="331" ht="19.5" customHeight="1">
      <c r="A331" s="49"/>
      <c r="B331" s="50"/>
      <c r="C331" s="50"/>
      <c r="D331" s="50"/>
      <c r="E331" s="50"/>
      <c r="F331" s="51"/>
      <c r="G331" s="50"/>
      <c r="H331" s="50"/>
      <c r="I331" s="50"/>
      <c r="J331" s="48" t="str">
        <f t="array" ref="J331">IF(G331="","",IFERROR(LET(ev_cost,INDEX(Events!$G$5:$G$505,MATCH(G331,Events!$A$5:$A$505,0)),ev_split,INDEX(Events!$I$5:$I$505,MATCH(G331,Events!$A$5:$A$505,0)),att_offset,MATCH(G331,Attendance!$B$3:$AV$3,0),attendees,COUNTIF(INDEX(Attendance!$B$7:$AV$206,0,att_offset),"1"),IF(ev_split="Equal Split",ev_cost/MAX(1,COUNTA(Roster!$A$5:$A$204)),ev_cost/MAX(1,attendees))),"N/A"))</f>
        <v/>
      </c>
      <c r="K331" s="5"/>
      <c r="L331" s="5"/>
      <c r="M331" s="5"/>
      <c r="N331" s="5"/>
      <c r="O331" s="5"/>
      <c r="P331" s="5"/>
      <c r="Q331" s="5"/>
      <c r="R331" s="5"/>
      <c r="S331" s="5"/>
      <c r="T331" s="5"/>
      <c r="U331" s="5"/>
      <c r="V331" s="5"/>
      <c r="W331" s="5"/>
      <c r="X331" s="5"/>
      <c r="Y331" s="5"/>
      <c r="Z331" s="5"/>
    </row>
    <row r="332" ht="19.5" customHeight="1">
      <c r="A332" s="52"/>
      <c r="B332" s="53"/>
      <c r="C332" s="53"/>
      <c r="D332" s="53"/>
      <c r="E332" s="53"/>
      <c r="F332" s="61"/>
      <c r="G332" s="53"/>
      <c r="H332" s="53"/>
      <c r="I332" s="53"/>
      <c r="J332" s="48" t="str">
        <f t="array" ref="J332">IF(G332="","",IFERROR(LET(ev_cost,INDEX(Events!$G$5:$G$505,MATCH(G332,Events!$A$5:$A$505,0)),ev_split,INDEX(Events!$I$5:$I$505,MATCH(G332,Events!$A$5:$A$505,0)),att_offset,MATCH(G332,Attendance!$B$3:$AV$3,0),attendees,COUNTIF(INDEX(Attendance!$B$7:$AV$206,0,att_offset),"1"),IF(ev_split="Equal Split",ev_cost/MAX(1,COUNTA(Roster!$A$5:$A$204)),ev_cost/MAX(1,attendees))),"N/A"))</f>
        <v/>
      </c>
      <c r="K332" s="5"/>
      <c r="L332" s="5"/>
      <c r="M332" s="5"/>
      <c r="N332" s="5"/>
      <c r="O332" s="5"/>
      <c r="P332" s="5"/>
      <c r="Q332" s="5"/>
      <c r="R332" s="5"/>
      <c r="S332" s="5"/>
      <c r="T332" s="5"/>
      <c r="U332" s="5"/>
      <c r="V332" s="5"/>
      <c r="W332" s="5"/>
      <c r="X332" s="5"/>
      <c r="Y332" s="5"/>
      <c r="Z332" s="5"/>
    </row>
    <row r="333" ht="19.5" customHeight="1">
      <c r="A333" s="49"/>
      <c r="B333" s="50"/>
      <c r="C333" s="50"/>
      <c r="D333" s="50"/>
      <c r="E333" s="50"/>
      <c r="F333" s="51"/>
      <c r="G333" s="50"/>
      <c r="H333" s="50"/>
      <c r="I333" s="50"/>
      <c r="J333" s="48" t="str">
        <f t="array" ref="J333">IF(G333="","",IFERROR(LET(ev_cost,INDEX(Events!$G$5:$G$505,MATCH(G333,Events!$A$5:$A$505,0)),ev_split,INDEX(Events!$I$5:$I$505,MATCH(G333,Events!$A$5:$A$505,0)),att_offset,MATCH(G333,Attendance!$B$3:$AV$3,0),attendees,COUNTIF(INDEX(Attendance!$B$7:$AV$206,0,att_offset),"1"),IF(ev_split="Equal Split",ev_cost/MAX(1,COUNTA(Roster!$A$5:$A$204)),ev_cost/MAX(1,attendees))),"N/A"))</f>
        <v/>
      </c>
      <c r="K333" s="5"/>
      <c r="L333" s="5"/>
      <c r="M333" s="5"/>
      <c r="N333" s="5"/>
      <c r="O333" s="5"/>
      <c r="P333" s="5"/>
      <c r="Q333" s="5"/>
      <c r="R333" s="5"/>
      <c r="S333" s="5"/>
      <c r="T333" s="5"/>
      <c r="U333" s="5"/>
      <c r="V333" s="5"/>
      <c r="W333" s="5"/>
      <c r="X333" s="5"/>
      <c r="Y333" s="5"/>
      <c r="Z333" s="5"/>
    </row>
    <row r="334" ht="19.5" customHeight="1">
      <c r="A334" s="52"/>
      <c r="B334" s="53"/>
      <c r="C334" s="53"/>
      <c r="D334" s="53"/>
      <c r="E334" s="53"/>
      <c r="F334" s="61"/>
      <c r="G334" s="53"/>
      <c r="H334" s="53"/>
      <c r="I334" s="53"/>
      <c r="J334" s="48" t="str">
        <f t="array" ref="J334">IF(G334="","",IFERROR(LET(ev_cost,INDEX(Events!$G$5:$G$505,MATCH(G334,Events!$A$5:$A$505,0)),ev_split,INDEX(Events!$I$5:$I$505,MATCH(G334,Events!$A$5:$A$505,0)),att_offset,MATCH(G334,Attendance!$B$3:$AV$3,0),attendees,COUNTIF(INDEX(Attendance!$B$7:$AV$206,0,att_offset),"1"),IF(ev_split="Equal Split",ev_cost/MAX(1,COUNTA(Roster!$A$5:$A$204)),ev_cost/MAX(1,attendees))),"N/A"))</f>
        <v/>
      </c>
      <c r="K334" s="5"/>
      <c r="L334" s="5"/>
      <c r="M334" s="5"/>
      <c r="N334" s="5"/>
      <c r="O334" s="5"/>
      <c r="P334" s="5"/>
      <c r="Q334" s="5"/>
      <c r="R334" s="5"/>
      <c r="S334" s="5"/>
      <c r="T334" s="5"/>
      <c r="U334" s="5"/>
      <c r="V334" s="5"/>
      <c r="W334" s="5"/>
      <c r="X334" s="5"/>
      <c r="Y334" s="5"/>
      <c r="Z334" s="5"/>
    </row>
    <row r="335" ht="19.5" customHeight="1">
      <c r="A335" s="49"/>
      <c r="B335" s="50"/>
      <c r="C335" s="50"/>
      <c r="D335" s="50"/>
      <c r="E335" s="50"/>
      <c r="F335" s="51"/>
      <c r="G335" s="50"/>
      <c r="H335" s="50"/>
      <c r="I335" s="50"/>
      <c r="J335" s="48" t="str">
        <f t="array" ref="J335">IF(G335="","",IFERROR(LET(ev_cost,INDEX(Events!$G$5:$G$505,MATCH(G335,Events!$A$5:$A$505,0)),ev_split,INDEX(Events!$I$5:$I$505,MATCH(G335,Events!$A$5:$A$505,0)),att_offset,MATCH(G335,Attendance!$B$3:$AV$3,0),attendees,COUNTIF(INDEX(Attendance!$B$7:$AV$206,0,att_offset),"1"),IF(ev_split="Equal Split",ev_cost/MAX(1,COUNTA(Roster!$A$5:$A$204)),ev_cost/MAX(1,attendees))),"N/A"))</f>
        <v/>
      </c>
      <c r="K335" s="5"/>
      <c r="L335" s="5"/>
      <c r="M335" s="5"/>
      <c r="N335" s="5"/>
      <c r="O335" s="5"/>
      <c r="P335" s="5"/>
      <c r="Q335" s="5"/>
      <c r="R335" s="5"/>
      <c r="S335" s="5"/>
      <c r="T335" s="5"/>
      <c r="U335" s="5"/>
      <c r="V335" s="5"/>
      <c r="W335" s="5"/>
      <c r="X335" s="5"/>
      <c r="Y335" s="5"/>
      <c r="Z335" s="5"/>
    </row>
    <row r="336" ht="19.5" customHeight="1">
      <c r="A336" s="52"/>
      <c r="B336" s="53"/>
      <c r="C336" s="53"/>
      <c r="D336" s="53"/>
      <c r="E336" s="53"/>
      <c r="F336" s="61"/>
      <c r="G336" s="53"/>
      <c r="H336" s="53"/>
      <c r="I336" s="53"/>
      <c r="J336" s="48" t="str">
        <f t="array" ref="J336">IF(G336="","",IFERROR(LET(ev_cost,INDEX(Events!$G$5:$G$505,MATCH(G336,Events!$A$5:$A$505,0)),ev_split,INDEX(Events!$I$5:$I$505,MATCH(G336,Events!$A$5:$A$505,0)),att_offset,MATCH(G336,Attendance!$B$3:$AV$3,0),attendees,COUNTIF(INDEX(Attendance!$B$7:$AV$206,0,att_offset),"1"),IF(ev_split="Equal Split",ev_cost/MAX(1,COUNTA(Roster!$A$5:$A$204)),ev_cost/MAX(1,attendees))),"N/A"))</f>
        <v/>
      </c>
      <c r="K336" s="5"/>
      <c r="L336" s="5"/>
      <c r="M336" s="5"/>
      <c r="N336" s="5"/>
      <c r="O336" s="5"/>
      <c r="P336" s="5"/>
      <c r="Q336" s="5"/>
      <c r="R336" s="5"/>
      <c r="S336" s="5"/>
      <c r="T336" s="5"/>
      <c r="U336" s="5"/>
      <c r="V336" s="5"/>
      <c r="W336" s="5"/>
      <c r="X336" s="5"/>
      <c r="Y336" s="5"/>
      <c r="Z336" s="5"/>
    </row>
    <row r="337" ht="19.5" customHeight="1">
      <c r="A337" s="49"/>
      <c r="B337" s="50"/>
      <c r="C337" s="50"/>
      <c r="D337" s="50"/>
      <c r="E337" s="50"/>
      <c r="F337" s="51"/>
      <c r="G337" s="50"/>
      <c r="H337" s="50"/>
      <c r="I337" s="50"/>
      <c r="J337" s="48" t="str">
        <f t="array" ref="J337">IF(G337="","",IFERROR(LET(ev_cost,INDEX(Events!$G$5:$G$505,MATCH(G337,Events!$A$5:$A$505,0)),ev_split,INDEX(Events!$I$5:$I$505,MATCH(G337,Events!$A$5:$A$505,0)),att_offset,MATCH(G337,Attendance!$B$3:$AV$3,0),attendees,COUNTIF(INDEX(Attendance!$B$7:$AV$206,0,att_offset),"1"),IF(ev_split="Equal Split",ev_cost/MAX(1,COUNTA(Roster!$A$5:$A$204)),ev_cost/MAX(1,attendees))),"N/A"))</f>
        <v/>
      </c>
      <c r="K337" s="5"/>
      <c r="L337" s="5"/>
      <c r="M337" s="5"/>
      <c r="N337" s="5"/>
      <c r="O337" s="5"/>
      <c r="P337" s="5"/>
      <c r="Q337" s="5"/>
      <c r="R337" s="5"/>
      <c r="S337" s="5"/>
      <c r="T337" s="5"/>
      <c r="U337" s="5"/>
      <c r="V337" s="5"/>
      <c r="W337" s="5"/>
      <c r="X337" s="5"/>
      <c r="Y337" s="5"/>
      <c r="Z337" s="5"/>
    </row>
    <row r="338" ht="19.5" customHeight="1">
      <c r="A338" s="52"/>
      <c r="B338" s="53"/>
      <c r="C338" s="53"/>
      <c r="D338" s="53"/>
      <c r="E338" s="53"/>
      <c r="F338" s="61"/>
      <c r="G338" s="53"/>
      <c r="H338" s="53"/>
      <c r="I338" s="53"/>
      <c r="J338" s="48" t="str">
        <f t="array" ref="J338">IF(G338="","",IFERROR(LET(ev_cost,INDEX(Events!$G$5:$G$505,MATCH(G338,Events!$A$5:$A$505,0)),ev_split,INDEX(Events!$I$5:$I$505,MATCH(G338,Events!$A$5:$A$505,0)),att_offset,MATCH(G338,Attendance!$B$3:$AV$3,0),attendees,COUNTIF(INDEX(Attendance!$B$7:$AV$206,0,att_offset),"1"),IF(ev_split="Equal Split",ev_cost/MAX(1,COUNTA(Roster!$A$5:$A$204)),ev_cost/MAX(1,attendees))),"N/A"))</f>
        <v/>
      </c>
      <c r="K338" s="5"/>
      <c r="L338" s="5"/>
      <c r="M338" s="5"/>
      <c r="N338" s="5"/>
      <c r="O338" s="5"/>
      <c r="P338" s="5"/>
      <c r="Q338" s="5"/>
      <c r="R338" s="5"/>
      <c r="S338" s="5"/>
      <c r="T338" s="5"/>
      <c r="U338" s="5"/>
      <c r="V338" s="5"/>
      <c r="W338" s="5"/>
      <c r="X338" s="5"/>
      <c r="Y338" s="5"/>
      <c r="Z338" s="5"/>
    </row>
    <row r="339" ht="19.5" customHeight="1">
      <c r="A339" s="49"/>
      <c r="B339" s="50"/>
      <c r="C339" s="50"/>
      <c r="D339" s="50"/>
      <c r="E339" s="50"/>
      <c r="F339" s="51"/>
      <c r="G339" s="50"/>
      <c r="H339" s="50"/>
      <c r="I339" s="50"/>
      <c r="J339" s="48" t="str">
        <f t="array" ref="J339">IF(G339="","",IFERROR(LET(ev_cost,INDEX(Events!$G$5:$G$505,MATCH(G339,Events!$A$5:$A$505,0)),ev_split,INDEX(Events!$I$5:$I$505,MATCH(G339,Events!$A$5:$A$505,0)),att_offset,MATCH(G339,Attendance!$B$3:$AV$3,0),attendees,COUNTIF(INDEX(Attendance!$B$7:$AV$206,0,att_offset),"1"),IF(ev_split="Equal Split",ev_cost/MAX(1,COUNTA(Roster!$A$5:$A$204)),ev_cost/MAX(1,attendees))),"N/A"))</f>
        <v/>
      </c>
      <c r="K339" s="5"/>
      <c r="L339" s="5"/>
      <c r="M339" s="5"/>
      <c r="N339" s="5"/>
      <c r="O339" s="5"/>
      <c r="P339" s="5"/>
      <c r="Q339" s="5"/>
      <c r="R339" s="5"/>
      <c r="S339" s="5"/>
      <c r="T339" s="5"/>
      <c r="U339" s="5"/>
      <c r="V339" s="5"/>
      <c r="W339" s="5"/>
      <c r="X339" s="5"/>
      <c r="Y339" s="5"/>
      <c r="Z339" s="5"/>
    </row>
    <row r="340" ht="19.5" customHeight="1">
      <c r="A340" s="52"/>
      <c r="B340" s="53"/>
      <c r="C340" s="53"/>
      <c r="D340" s="53"/>
      <c r="E340" s="53"/>
      <c r="F340" s="61"/>
      <c r="G340" s="53"/>
      <c r="H340" s="53"/>
      <c r="I340" s="53"/>
      <c r="J340" s="48" t="str">
        <f t="array" ref="J340">IF(G340="","",IFERROR(LET(ev_cost,INDEX(Events!$G$5:$G$505,MATCH(G340,Events!$A$5:$A$505,0)),ev_split,INDEX(Events!$I$5:$I$505,MATCH(G340,Events!$A$5:$A$505,0)),att_offset,MATCH(G340,Attendance!$B$3:$AV$3,0),attendees,COUNTIF(INDEX(Attendance!$B$7:$AV$206,0,att_offset),"1"),IF(ev_split="Equal Split",ev_cost/MAX(1,COUNTA(Roster!$A$5:$A$204)),ev_cost/MAX(1,attendees))),"N/A"))</f>
        <v/>
      </c>
      <c r="K340" s="5"/>
      <c r="L340" s="5"/>
      <c r="M340" s="5"/>
      <c r="N340" s="5"/>
      <c r="O340" s="5"/>
      <c r="P340" s="5"/>
      <c r="Q340" s="5"/>
      <c r="R340" s="5"/>
      <c r="S340" s="5"/>
      <c r="T340" s="5"/>
      <c r="U340" s="5"/>
      <c r="V340" s="5"/>
      <c r="W340" s="5"/>
      <c r="X340" s="5"/>
      <c r="Y340" s="5"/>
      <c r="Z340" s="5"/>
    </row>
    <row r="341" ht="19.5" customHeight="1">
      <c r="A341" s="49"/>
      <c r="B341" s="50"/>
      <c r="C341" s="50"/>
      <c r="D341" s="50"/>
      <c r="E341" s="50"/>
      <c r="F341" s="51"/>
      <c r="G341" s="50"/>
      <c r="H341" s="50"/>
      <c r="I341" s="50"/>
      <c r="J341" s="48" t="str">
        <f t="array" ref="J341">IF(G341="","",IFERROR(LET(ev_cost,INDEX(Events!$G$5:$G$505,MATCH(G341,Events!$A$5:$A$505,0)),ev_split,INDEX(Events!$I$5:$I$505,MATCH(G341,Events!$A$5:$A$505,0)),att_offset,MATCH(G341,Attendance!$B$3:$AV$3,0),attendees,COUNTIF(INDEX(Attendance!$B$7:$AV$206,0,att_offset),"1"),IF(ev_split="Equal Split",ev_cost/MAX(1,COUNTA(Roster!$A$5:$A$204)),ev_cost/MAX(1,attendees))),"N/A"))</f>
        <v/>
      </c>
      <c r="K341" s="5"/>
      <c r="L341" s="5"/>
      <c r="M341" s="5"/>
      <c r="N341" s="5"/>
      <c r="O341" s="5"/>
      <c r="P341" s="5"/>
      <c r="Q341" s="5"/>
      <c r="R341" s="5"/>
      <c r="S341" s="5"/>
      <c r="T341" s="5"/>
      <c r="U341" s="5"/>
      <c r="V341" s="5"/>
      <c r="W341" s="5"/>
      <c r="X341" s="5"/>
      <c r="Y341" s="5"/>
      <c r="Z341" s="5"/>
    </row>
    <row r="342" ht="19.5" customHeight="1">
      <c r="A342" s="52"/>
      <c r="B342" s="53"/>
      <c r="C342" s="53"/>
      <c r="D342" s="53"/>
      <c r="E342" s="53"/>
      <c r="F342" s="61"/>
      <c r="G342" s="53"/>
      <c r="H342" s="53"/>
      <c r="I342" s="53"/>
      <c r="J342" s="48" t="str">
        <f t="array" ref="J342">IF(G342="","",IFERROR(LET(ev_cost,INDEX(Events!$G$5:$G$505,MATCH(G342,Events!$A$5:$A$505,0)),ev_split,INDEX(Events!$I$5:$I$505,MATCH(G342,Events!$A$5:$A$505,0)),att_offset,MATCH(G342,Attendance!$B$3:$AV$3,0),attendees,COUNTIF(INDEX(Attendance!$B$7:$AV$206,0,att_offset),"1"),IF(ev_split="Equal Split",ev_cost/MAX(1,COUNTA(Roster!$A$5:$A$204)),ev_cost/MAX(1,attendees))),"N/A"))</f>
        <v/>
      </c>
      <c r="K342" s="5"/>
      <c r="L342" s="5"/>
      <c r="M342" s="5"/>
      <c r="N342" s="5"/>
      <c r="O342" s="5"/>
      <c r="P342" s="5"/>
      <c r="Q342" s="5"/>
      <c r="R342" s="5"/>
      <c r="S342" s="5"/>
      <c r="T342" s="5"/>
      <c r="U342" s="5"/>
      <c r="V342" s="5"/>
      <c r="W342" s="5"/>
      <c r="X342" s="5"/>
      <c r="Y342" s="5"/>
      <c r="Z342" s="5"/>
    </row>
    <row r="343" ht="19.5" customHeight="1">
      <c r="A343" s="49"/>
      <c r="B343" s="50"/>
      <c r="C343" s="50"/>
      <c r="D343" s="50"/>
      <c r="E343" s="50"/>
      <c r="F343" s="51"/>
      <c r="G343" s="50"/>
      <c r="H343" s="50"/>
      <c r="I343" s="50"/>
      <c r="J343" s="48" t="str">
        <f t="array" ref="J343">IF(G343="","",IFERROR(LET(ev_cost,INDEX(Events!$G$5:$G$505,MATCH(G343,Events!$A$5:$A$505,0)),ev_split,INDEX(Events!$I$5:$I$505,MATCH(G343,Events!$A$5:$A$505,0)),att_offset,MATCH(G343,Attendance!$B$3:$AV$3,0),attendees,COUNTIF(INDEX(Attendance!$B$7:$AV$206,0,att_offset),"1"),IF(ev_split="Equal Split",ev_cost/MAX(1,COUNTA(Roster!$A$5:$A$204)),ev_cost/MAX(1,attendees))),"N/A"))</f>
        <v/>
      </c>
      <c r="K343" s="5"/>
      <c r="L343" s="5"/>
      <c r="M343" s="5"/>
      <c r="N343" s="5"/>
      <c r="O343" s="5"/>
      <c r="P343" s="5"/>
      <c r="Q343" s="5"/>
      <c r="R343" s="5"/>
      <c r="S343" s="5"/>
      <c r="T343" s="5"/>
      <c r="U343" s="5"/>
      <c r="V343" s="5"/>
      <c r="W343" s="5"/>
      <c r="X343" s="5"/>
      <c r="Y343" s="5"/>
      <c r="Z343" s="5"/>
    </row>
    <row r="344" ht="19.5" customHeight="1">
      <c r="A344" s="52"/>
      <c r="B344" s="53"/>
      <c r="C344" s="53"/>
      <c r="D344" s="53"/>
      <c r="E344" s="53"/>
      <c r="F344" s="61"/>
      <c r="G344" s="53"/>
      <c r="H344" s="53"/>
      <c r="I344" s="53"/>
      <c r="J344" s="48" t="str">
        <f t="array" ref="J344">IF(G344="","",IFERROR(LET(ev_cost,INDEX(Events!$G$5:$G$505,MATCH(G344,Events!$A$5:$A$505,0)),ev_split,INDEX(Events!$I$5:$I$505,MATCH(G344,Events!$A$5:$A$505,0)),att_offset,MATCH(G344,Attendance!$B$3:$AV$3,0),attendees,COUNTIF(INDEX(Attendance!$B$7:$AV$206,0,att_offset),"1"),IF(ev_split="Equal Split",ev_cost/MAX(1,COUNTA(Roster!$A$5:$A$204)),ev_cost/MAX(1,attendees))),"N/A"))</f>
        <v/>
      </c>
      <c r="K344" s="5"/>
      <c r="L344" s="5"/>
      <c r="M344" s="5"/>
      <c r="N344" s="5"/>
      <c r="O344" s="5"/>
      <c r="P344" s="5"/>
      <c r="Q344" s="5"/>
      <c r="R344" s="5"/>
      <c r="S344" s="5"/>
      <c r="T344" s="5"/>
      <c r="U344" s="5"/>
      <c r="V344" s="5"/>
      <c r="W344" s="5"/>
      <c r="X344" s="5"/>
      <c r="Y344" s="5"/>
      <c r="Z344" s="5"/>
    </row>
    <row r="345" ht="19.5" customHeight="1">
      <c r="A345" s="49"/>
      <c r="B345" s="50"/>
      <c r="C345" s="50"/>
      <c r="D345" s="50"/>
      <c r="E345" s="50"/>
      <c r="F345" s="51"/>
      <c r="G345" s="50"/>
      <c r="H345" s="50"/>
      <c r="I345" s="50"/>
      <c r="J345" s="48" t="str">
        <f t="array" ref="J345">IF(G345="","",IFERROR(LET(ev_cost,INDEX(Events!$G$5:$G$505,MATCH(G345,Events!$A$5:$A$505,0)),ev_split,INDEX(Events!$I$5:$I$505,MATCH(G345,Events!$A$5:$A$505,0)),att_offset,MATCH(G345,Attendance!$B$3:$AV$3,0),attendees,COUNTIF(INDEX(Attendance!$B$7:$AV$206,0,att_offset),"1"),IF(ev_split="Equal Split",ev_cost/MAX(1,COUNTA(Roster!$A$5:$A$204)),ev_cost/MAX(1,attendees))),"N/A"))</f>
        <v/>
      </c>
      <c r="K345" s="5"/>
      <c r="L345" s="5"/>
      <c r="M345" s="5"/>
      <c r="N345" s="5"/>
      <c r="O345" s="5"/>
      <c r="P345" s="5"/>
      <c r="Q345" s="5"/>
      <c r="R345" s="5"/>
      <c r="S345" s="5"/>
      <c r="T345" s="5"/>
      <c r="U345" s="5"/>
      <c r="V345" s="5"/>
      <c r="W345" s="5"/>
      <c r="X345" s="5"/>
      <c r="Y345" s="5"/>
      <c r="Z345" s="5"/>
    </row>
    <row r="346" ht="19.5" customHeight="1">
      <c r="A346" s="52"/>
      <c r="B346" s="53"/>
      <c r="C346" s="53"/>
      <c r="D346" s="53"/>
      <c r="E346" s="53"/>
      <c r="F346" s="61"/>
      <c r="G346" s="53"/>
      <c r="H346" s="53"/>
      <c r="I346" s="53"/>
      <c r="J346" s="48" t="str">
        <f t="array" ref="J346">IF(G346="","",IFERROR(LET(ev_cost,INDEX(Events!$G$5:$G$505,MATCH(G346,Events!$A$5:$A$505,0)),ev_split,INDEX(Events!$I$5:$I$505,MATCH(G346,Events!$A$5:$A$505,0)),att_offset,MATCH(G346,Attendance!$B$3:$AV$3,0),attendees,COUNTIF(INDEX(Attendance!$B$7:$AV$206,0,att_offset),"1"),IF(ev_split="Equal Split",ev_cost/MAX(1,COUNTA(Roster!$A$5:$A$204)),ev_cost/MAX(1,attendees))),"N/A"))</f>
        <v/>
      </c>
      <c r="K346" s="5"/>
      <c r="L346" s="5"/>
      <c r="M346" s="5"/>
      <c r="N346" s="5"/>
      <c r="O346" s="5"/>
      <c r="P346" s="5"/>
      <c r="Q346" s="5"/>
      <c r="R346" s="5"/>
      <c r="S346" s="5"/>
      <c r="T346" s="5"/>
      <c r="U346" s="5"/>
      <c r="V346" s="5"/>
      <c r="W346" s="5"/>
      <c r="X346" s="5"/>
      <c r="Y346" s="5"/>
      <c r="Z346" s="5"/>
    </row>
    <row r="347" ht="19.5" customHeight="1">
      <c r="A347" s="49"/>
      <c r="B347" s="50"/>
      <c r="C347" s="50"/>
      <c r="D347" s="50"/>
      <c r="E347" s="50"/>
      <c r="F347" s="51"/>
      <c r="G347" s="50"/>
      <c r="H347" s="50"/>
      <c r="I347" s="50"/>
      <c r="J347" s="48" t="str">
        <f t="array" ref="J347">IF(G347="","",IFERROR(LET(ev_cost,INDEX(Events!$G$5:$G$505,MATCH(G347,Events!$A$5:$A$505,0)),ev_split,INDEX(Events!$I$5:$I$505,MATCH(G347,Events!$A$5:$A$505,0)),att_offset,MATCH(G347,Attendance!$B$3:$AV$3,0),attendees,COUNTIF(INDEX(Attendance!$B$7:$AV$206,0,att_offset),"1"),IF(ev_split="Equal Split",ev_cost/MAX(1,COUNTA(Roster!$A$5:$A$204)),ev_cost/MAX(1,attendees))),"N/A"))</f>
        <v/>
      </c>
      <c r="K347" s="5"/>
      <c r="L347" s="5"/>
      <c r="M347" s="5"/>
      <c r="N347" s="5"/>
      <c r="O347" s="5"/>
      <c r="P347" s="5"/>
      <c r="Q347" s="5"/>
      <c r="R347" s="5"/>
      <c r="S347" s="5"/>
      <c r="T347" s="5"/>
      <c r="U347" s="5"/>
      <c r="V347" s="5"/>
      <c r="W347" s="5"/>
      <c r="X347" s="5"/>
      <c r="Y347" s="5"/>
      <c r="Z347" s="5"/>
    </row>
    <row r="348" ht="19.5" customHeight="1">
      <c r="A348" s="52"/>
      <c r="B348" s="53"/>
      <c r="C348" s="53"/>
      <c r="D348" s="53"/>
      <c r="E348" s="53"/>
      <c r="F348" s="61"/>
      <c r="G348" s="53"/>
      <c r="H348" s="53"/>
      <c r="I348" s="53"/>
      <c r="J348" s="48" t="str">
        <f t="array" ref="J348">IF(G348="","",IFERROR(LET(ev_cost,INDEX(Events!$G$5:$G$505,MATCH(G348,Events!$A$5:$A$505,0)),ev_split,INDEX(Events!$I$5:$I$505,MATCH(G348,Events!$A$5:$A$505,0)),att_offset,MATCH(G348,Attendance!$B$3:$AV$3,0),attendees,COUNTIF(INDEX(Attendance!$B$7:$AV$206,0,att_offset),"1"),IF(ev_split="Equal Split",ev_cost/MAX(1,COUNTA(Roster!$A$5:$A$204)),ev_cost/MAX(1,attendees))),"N/A"))</f>
        <v/>
      </c>
      <c r="K348" s="5"/>
      <c r="L348" s="5"/>
      <c r="M348" s="5"/>
      <c r="N348" s="5"/>
      <c r="O348" s="5"/>
      <c r="P348" s="5"/>
      <c r="Q348" s="5"/>
      <c r="R348" s="5"/>
      <c r="S348" s="5"/>
      <c r="T348" s="5"/>
      <c r="U348" s="5"/>
      <c r="V348" s="5"/>
      <c r="W348" s="5"/>
      <c r="X348" s="5"/>
      <c r="Y348" s="5"/>
      <c r="Z348" s="5"/>
    </row>
    <row r="349" ht="19.5" customHeight="1">
      <c r="A349" s="49"/>
      <c r="B349" s="50"/>
      <c r="C349" s="50"/>
      <c r="D349" s="50"/>
      <c r="E349" s="50"/>
      <c r="F349" s="51"/>
      <c r="G349" s="50"/>
      <c r="H349" s="50"/>
      <c r="I349" s="50"/>
      <c r="J349" s="48" t="str">
        <f t="array" ref="J349">IF(G349="","",IFERROR(LET(ev_cost,INDEX(Events!$G$5:$G$505,MATCH(G349,Events!$A$5:$A$505,0)),ev_split,INDEX(Events!$I$5:$I$505,MATCH(G349,Events!$A$5:$A$505,0)),att_offset,MATCH(G349,Attendance!$B$3:$AV$3,0),attendees,COUNTIF(INDEX(Attendance!$B$7:$AV$206,0,att_offset),"1"),IF(ev_split="Equal Split",ev_cost/MAX(1,COUNTA(Roster!$A$5:$A$204)),ev_cost/MAX(1,attendees))),"N/A"))</f>
        <v/>
      </c>
      <c r="K349" s="5"/>
      <c r="L349" s="5"/>
      <c r="M349" s="5"/>
      <c r="N349" s="5"/>
      <c r="O349" s="5"/>
      <c r="P349" s="5"/>
      <c r="Q349" s="5"/>
      <c r="R349" s="5"/>
      <c r="S349" s="5"/>
      <c r="T349" s="5"/>
      <c r="U349" s="5"/>
      <c r="V349" s="5"/>
      <c r="W349" s="5"/>
      <c r="X349" s="5"/>
      <c r="Y349" s="5"/>
      <c r="Z349" s="5"/>
    </row>
    <row r="350" ht="19.5" customHeight="1">
      <c r="A350" s="52"/>
      <c r="B350" s="53"/>
      <c r="C350" s="53"/>
      <c r="D350" s="53"/>
      <c r="E350" s="53"/>
      <c r="F350" s="61"/>
      <c r="G350" s="53"/>
      <c r="H350" s="53"/>
      <c r="I350" s="53"/>
      <c r="J350" s="48" t="str">
        <f t="array" ref="J350">IF(G350="","",IFERROR(LET(ev_cost,INDEX(Events!$G$5:$G$505,MATCH(G350,Events!$A$5:$A$505,0)),ev_split,INDEX(Events!$I$5:$I$505,MATCH(G350,Events!$A$5:$A$505,0)),att_offset,MATCH(G350,Attendance!$B$3:$AV$3,0),attendees,COUNTIF(INDEX(Attendance!$B$7:$AV$206,0,att_offset),"1"),IF(ev_split="Equal Split",ev_cost/MAX(1,COUNTA(Roster!$A$5:$A$204)),ev_cost/MAX(1,attendees))),"N/A"))</f>
        <v/>
      </c>
      <c r="K350" s="5"/>
      <c r="L350" s="5"/>
      <c r="M350" s="5"/>
      <c r="N350" s="5"/>
      <c r="O350" s="5"/>
      <c r="P350" s="5"/>
      <c r="Q350" s="5"/>
      <c r="R350" s="5"/>
      <c r="S350" s="5"/>
      <c r="T350" s="5"/>
      <c r="U350" s="5"/>
      <c r="V350" s="5"/>
      <c r="W350" s="5"/>
      <c r="X350" s="5"/>
      <c r="Y350" s="5"/>
      <c r="Z350" s="5"/>
    </row>
    <row r="351" ht="19.5" customHeight="1">
      <c r="A351" s="49"/>
      <c r="B351" s="50"/>
      <c r="C351" s="50"/>
      <c r="D351" s="50"/>
      <c r="E351" s="50"/>
      <c r="F351" s="51"/>
      <c r="G351" s="50"/>
      <c r="H351" s="50"/>
      <c r="I351" s="50"/>
      <c r="J351" s="48" t="str">
        <f t="array" ref="J351">IF(G351="","",IFERROR(LET(ev_cost,INDEX(Events!$G$5:$G$505,MATCH(G351,Events!$A$5:$A$505,0)),ev_split,INDEX(Events!$I$5:$I$505,MATCH(G351,Events!$A$5:$A$505,0)),att_offset,MATCH(G351,Attendance!$B$3:$AV$3,0),attendees,COUNTIF(INDEX(Attendance!$B$7:$AV$206,0,att_offset),"1"),IF(ev_split="Equal Split",ev_cost/MAX(1,COUNTA(Roster!$A$5:$A$204)),ev_cost/MAX(1,attendees))),"N/A"))</f>
        <v/>
      </c>
      <c r="K351" s="5"/>
      <c r="L351" s="5"/>
      <c r="M351" s="5"/>
      <c r="N351" s="5"/>
      <c r="O351" s="5"/>
      <c r="P351" s="5"/>
      <c r="Q351" s="5"/>
      <c r="R351" s="5"/>
      <c r="S351" s="5"/>
      <c r="T351" s="5"/>
      <c r="U351" s="5"/>
      <c r="V351" s="5"/>
      <c r="W351" s="5"/>
      <c r="X351" s="5"/>
      <c r="Y351" s="5"/>
      <c r="Z351" s="5"/>
    </row>
    <row r="352" ht="19.5" customHeight="1">
      <c r="A352" s="52"/>
      <c r="B352" s="53"/>
      <c r="C352" s="53"/>
      <c r="D352" s="53"/>
      <c r="E352" s="53"/>
      <c r="F352" s="61"/>
      <c r="G352" s="53"/>
      <c r="H352" s="53"/>
      <c r="I352" s="53"/>
      <c r="J352" s="48" t="str">
        <f t="array" ref="J352">IF(G352="","",IFERROR(LET(ev_cost,INDEX(Events!$G$5:$G$505,MATCH(G352,Events!$A$5:$A$505,0)),ev_split,INDEX(Events!$I$5:$I$505,MATCH(G352,Events!$A$5:$A$505,0)),att_offset,MATCH(G352,Attendance!$B$3:$AV$3,0),attendees,COUNTIF(INDEX(Attendance!$B$7:$AV$206,0,att_offset),"1"),IF(ev_split="Equal Split",ev_cost/MAX(1,COUNTA(Roster!$A$5:$A$204)),ev_cost/MAX(1,attendees))),"N/A"))</f>
        <v/>
      </c>
      <c r="K352" s="5"/>
      <c r="L352" s="5"/>
      <c r="M352" s="5"/>
      <c r="N352" s="5"/>
      <c r="O352" s="5"/>
      <c r="P352" s="5"/>
      <c r="Q352" s="5"/>
      <c r="R352" s="5"/>
      <c r="S352" s="5"/>
      <c r="T352" s="5"/>
      <c r="U352" s="5"/>
      <c r="V352" s="5"/>
      <c r="W352" s="5"/>
      <c r="X352" s="5"/>
      <c r="Y352" s="5"/>
      <c r="Z352" s="5"/>
    </row>
    <row r="353" ht="19.5" customHeight="1">
      <c r="A353" s="49"/>
      <c r="B353" s="50"/>
      <c r="C353" s="50"/>
      <c r="D353" s="50"/>
      <c r="E353" s="50"/>
      <c r="F353" s="51"/>
      <c r="G353" s="50"/>
      <c r="H353" s="50"/>
      <c r="I353" s="50"/>
      <c r="J353" s="48" t="str">
        <f t="array" ref="J353">IF(G353="","",IFERROR(LET(ev_cost,INDEX(Events!$G$5:$G$505,MATCH(G353,Events!$A$5:$A$505,0)),ev_split,INDEX(Events!$I$5:$I$505,MATCH(G353,Events!$A$5:$A$505,0)),att_offset,MATCH(G353,Attendance!$B$3:$AV$3,0),attendees,COUNTIF(INDEX(Attendance!$B$7:$AV$206,0,att_offset),"1"),IF(ev_split="Equal Split",ev_cost/MAX(1,COUNTA(Roster!$A$5:$A$204)),ev_cost/MAX(1,attendees))),"N/A"))</f>
        <v/>
      </c>
      <c r="K353" s="5"/>
      <c r="L353" s="5"/>
      <c r="M353" s="5"/>
      <c r="N353" s="5"/>
      <c r="O353" s="5"/>
      <c r="P353" s="5"/>
      <c r="Q353" s="5"/>
      <c r="R353" s="5"/>
      <c r="S353" s="5"/>
      <c r="T353" s="5"/>
      <c r="U353" s="5"/>
      <c r="V353" s="5"/>
      <c r="W353" s="5"/>
      <c r="X353" s="5"/>
      <c r="Y353" s="5"/>
      <c r="Z353" s="5"/>
    </row>
    <row r="354" ht="19.5" customHeight="1">
      <c r="A354" s="52"/>
      <c r="B354" s="53"/>
      <c r="C354" s="53"/>
      <c r="D354" s="53"/>
      <c r="E354" s="53"/>
      <c r="F354" s="61"/>
      <c r="G354" s="53"/>
      <c r="H354" s="53"/>
      <c r="I354" s="53"/>
      <c r="J354" s="48" t="str">
        <f t="array" ref="J354">IF(G354="","",IFERROR(LET(ev_cost,INDEX(Events!$G$5:$G$505,MATCH(G354,Events!$A$5:$A$505,0)),ev_split,INDEX(Events!$I$5:$I$505,MATCH(G354,Events!$A$5:$A$505,0)),att_offset,MATCH(G354,Attendance!$B$3:$AV$3,0),attendees,COUNTIF(INDEX(Attendance!$B$7:$AV$206,0,att_offset),"1"),IF(ev_split="Equal Split",ev_cost/MAX(1,COUNTA(Roster!$A$5:$A$204)),ev_cost/MAX(1,attendees))),"N/A"))</f>
        <v/>
      </c>
      <c r="K354" s="5"/>
      <c r="L354" s="5"/>
      <c r="M354" s="5"/>
      <c r="N354" s="5"/>
      <c r="O354" s="5"/>
      <c r="P354" s="5"/>
      <c r="Q354" s="5"/>
      <c r="R354" s="5"/>
      <c r="S354" s="5"/>
      <c r="T354" s="5"/>
      <c r="U354" s="5"/>
      <c r="V354" s="5"/>
      <c r="W354" s="5"/>
      <c r="X354" s="5"/>
      <c r="Y354" s="5"/>
      <c r="Z354" s="5"/>
    </row>
    <row r="355" ht="19.5" customHeight="1">
      <c r="A355" s="49"/>
      <c r="B355" s="50"/>
      <c r="C355" s="50"/>
      <c r="D355" s="50"/>
      <c r="E355" s="50"/>
      <c r="F355" s="51"/>
      <c r="G355" s="50"/>
      <c r="H355" s="50"/>
      <c r="I355" s="50"/>
      <c r="J355" s="48" t="str">
        <f t="array" ref="J355">IF(G355="","",IFERROR(LET(ev_cost,INDEX(Events!$G$5:$G$505,MATCH(G355,Events!$A$5:$A$505,0)),ev_split,INDEX(Events!$I$5:$I$505,MATCH(G355,Events!$A$5:$A$505,0)),att_offset,MATCH(G355,Attendance!$B$3:$AV$3,0),attendees,COUNTIF(INDEX(Attendance!$B$7:$AV$206,0,att_offset),"1"),IF(ev_split="Equal Split",ev_cost/MAX(1,COUNTA(Roster!$A$5:$A$204)),ev_cost/MAX(1,attendees))),"N/A"))</f>
        <v/>
      </c>
      <c r="K355" s="5"/>
      <c r="L355" s="5"/>
      <c r="M355" s="5"/>
      <c r="N355" s="5"/>
      <c r="O355" s="5"/>
      <c r="P355" s="5"/>
      <c r="Q355" s="5"/>
      <c r="R355" s="5"/>
      <c r="S355" s="5"/>
      <c r="T355" s="5"/>
      <c r="U355" s="5"/>
      <c r="V355" s="5"/>
      <c r="W355" s="5"/>
      <c r="X355" s="5"/>
      <c r="Y355" s="5"/>
      <c r="Z355" s="5"/>
    </row>
    <row r="356" ht="19.5" customHeight="1">
      <c r="A356" s="52"/>
      <c r="B356" s="53"/>
      <c r="C356" s="53"/>
      <c r="D356" s="53"/>
      <c r="E356" s="53"/>
      <c r="F356" s="61"/>
      <c r="G356" s="53"/>
      <c r="H356" s="53"/>
      <c r="I356" s="53"/>
      <c r="J356" s="48" t="str">
        <f t="array" ref="J356">IF(G356="","",IFERROR(LET(ev_cost,INDEX(Events!$G$5:$G$505,MATCH(G356,Events!$A$5:$A$505,0)),ev_split,INDEX(Events!$I$5:$I$505,MATCH(G356,Events!$A$5:$A$505,0)),att_offset,MATCH(G356,Attendance!$B$3:$AV$3,0),attendees,COUNTIF(INDEX(Attendance!$B$7:$AV$206,0,att_offset),"1"),IF(ev_split="Equal Split",ev_cost/MAX(1,COUNTA(Roster!$A$5:$A$204)),ev_cost/MAX(1,attendees))),"N/A"))</f>
        <v/>
      </c>
      <c r="K356" s="5"/>
      <c r="L356" s="5"/>
      <c r="M356" s="5"/>
      <c r="N356" s="5"/>
      <c r="O356" s="5"/>
      <c r="P356" s="5"/>
      <c r="Q356" s="5"/>
      <c r="R356" s="5"/>
      <c r="S356" s="5"/>
      <c r="T356" s="5"/>
      <c r="U356" s="5"/>
      <c r="V356" s="5"/>
      <c r="W356" s="5"/>
      <c r="X356" s="5"/>
      <c r="Y356" s="5"/>
      <c r="Z356" s="5"/>
    </row>
    <row r="357" ht="19.5" customHeight="1">
      <c r="A357" s="49"/>
      <c r="B357" s="50"/>
      <c r="C357" s="50"/>
      <c r="D357" s="50"/>
      <c r="E357" s="50"/>
      <c r="F357" s="51"/>
      <c r="G357" s="50"/>
      <c r="H357" s="50"/>
      <c r="I357" s="50"/>
      <c r="J357" s="48" t="str">
        <f t="array" ref="J357">IF(G357="","",IFERROR(LET(ev_cost,INDEX(Events!$G$5:$G$505,MATCH(G357,Events!$A$5:$A$505,0)),ev_split,INDEX(Events!$I$5:$I$505,MATCH(G357,Events!$A$5:$A$505,0)),att_offset,MATCH(G357,Attendance!$B$3:$AV$3,0),attendees,COUNTIF(INDEX(Attendance!$B$7:$AV$206,0,att_offset),"1"),IF(ev_split="Equal Split",ev_cost/MAX(1,COUNTA(Roster!$A$5:$A$204)),ev_cost/MAX(1,attendees))),"N/A"))</f>
        <v/>
      </c>
      <c r="K357" s="5"/>
      <c r="L357" s="5"/>
      <c r="M357" s="5"/>
      <c r="N357" s="5"/>
      <c r="O357" s="5"/>
      <c r="P357" s="5"/>
      <c r="Q357" s="5"/>
      <c r="R357" s="5"/>
      <c r="S357" s="5"/>
      <c r="T357" s="5"/>
      <c r="U357" s="5"/>
      <c r="V357" s="5"/>
      <c r="W357" s="5"/>
      <c r="X357" s="5"/>
      <c r="Y357" s="5"/>
      <c r="Z357" s="5"/>
    </row>
    <row r="358" ht="19.5" customHeight="1">
      <c r="A358" s="52"/>
      <c r="B358" s="53"/>
      <c r="C358" s="53"/>
      <c r="D358" s="53"/>
      <c r="E358" s="53"/>
      <c r="F358" s="61"/>
      <c r="G358" s="53"/>
      <c r="H358" s="53"/>
      <c r="I358" s="53"/>
      <c r="J358" s="48" t="str">
        <f t="array" ref="J358">IF(G358="","",IFERROR(LET(ev_cost,INDEX(Events!$G$5:$G$505,MATCH(G358,Events!$A$5:$A$505,0)),ev_split,INDEX(Events!$I$5:$I$505,MATCH(G358,Events!$A$5:$A$505,0)),att_offset,MATCH(G358,Attendance!$B$3:$AV$3,0),attendees,COUNTIF(INDEX(Attendance!$B$7:$AV$206,0,att_offset),"1"),IF(ev_split="Equal Split",ev_cost/MAX(1,COUNTA(Roster!$A$5:$A$204)),ev_cost/MAX(1,attendees))),"N/A"))</f>
        <v/>
      </c>
      <c r="K358" s="5"/>
      <c r="L358" s="5"/>
      <c r="M358" s="5"/>
      <c r="N358" s="5"/>
      <c r="O358" s="5"/>
      <c r="P358" s="5"/>
      <c r="Q358" s="5"/>
      <c r="R358" s="5"/>
      <c r="S358" s="5"/>
      <c r="T358" s="5"/>
      <c r="U358" s="5"/>
      <c r="V358" s="5"/>
      <c r="W358" s="5"/>
      <c r="X358" s="5"/>
      <c r="Y358" s="5"/>
      <c r="Z358" s="5"/>
    </row>
    <row r="359" ht="19.5" customHeight="1">
      <c r="A359" s="49"/>
      <c r="B359" s="50"/>
      <c r="C359" s="50"/>
      <c r="D359" s="50"/>
      <c r="E359" s="50"/>
      <c r="F359" s="51"/>
      <c r="G359" s="50"/>
      <c r="H359" s="50"/>
      <c r="I359" s="50"/>
      <c r="J359" s="48" t="str">
        <f t="array" ref="J359">IF(G359="","",IFERROR(LET(ev_cost,INDEX(Events!$G$5:$G$505,MATCH(G359,Events!$A$5:$A$505,0)),ev_split,INDEX(Events!$I$5:$I$505,MATCH(G359,Events!$A$5:$A$505,0)),att_offset,MATCH(G359,Attendance!$B$3:$AV$3,0),attendees,COUNTIF(INDEX(Attendance!$B$7:$AV$206,0,att_offset),"1"),IF(ev_split="Equal Split",ev_cost/MAX(1,COUNTA(Roster!$A$5:$A$204)),ev_cost/MAX(1,attendees))),"N/A"))</f>
        <v/>
      </c>
      <c r="K359" s="5"/>
      <c r="L359" s="5"/>
      <c r="M359" s="5"/>
      <c r="N359" s="5"/>
      <c r="O359" s="5"/>
      <c r="P359" s="5"/>
      <c r="Q359" s="5"/>
      <c r="R359" s="5"/>
      <c r="S359" s="5"/>
      <c r="T359" s="5"/>
      <c r="U359" s="5"/>
      <c r="V359" s="5"/>
      <c r="W359" s="5"/>
      <c r="X359" s="5"/>
      <c r="Y359" s="5"/>
      <c r="Z359" s="5"/>
    </row>
    <row r="360" ht="19.5" customHeight="1">
      <c r="A360" s="52"/>
      <c r="B360" s="53"/>
      <c r="C360" s="53"/>
      <c r="D360" s="53"/>
      <c r="E360" s="53"/>
      <c r="F360" s="61"/>
      <c r="G360" s="53"/>
      <c r="H360" s="53"/>
      <c r="I360" s="53"/>
      <c r="J360" s="48" t="str">
        <f t="array" ref="J360">IF(G360="","",IFERROR(LET(ev_cost,INDEX(Events!$G$5:$G$505,MATCH(G360,Events!$A$5:$A$505,0)),ev_split,INDEX(Events!$I$5:$I$505,MATCH(G360,Events!$A$5:$A$505,0)),att_offset,MATCH(G360,Attendance!$B$3:$AV$3,0),attendees,COUNTIF(INDEX(Attendance!$B$7:$AV$206,0,att_offset),"1"),IF(ev_split="Equal Split",ev_cost/MAX(1,COUNTA(Roster!$A$5:$A$204)),ev_cost/MAX(1,attendees))),"N/A"))</f>
        <v/>
      </c>
      <c r="K360" s="5"/>
      <c r="L360" s="5"/>
      <c r="M360" s="5"/>
      <c r="N360" s="5"/>
      <c r="O360" s="5"/>
      <c r="P360" s="5"/>
      <c r="Q360" s="5"/>
      <c r="R360" s="5"/>
      <c r="S360" s="5"/>
      <c r="T360" s="5"/>
      <c r="U360" s="5"/>
      <c r="V360" s="5"/>
      <c r="W360" s="5"/>
      <c r="X360" s="5"/>
      <c r="Y360" s="5"/>
      <c r="Z360" s="5"/>
    </row>
    <row r="361" ht="19.5" customHeight="1">
      <c r="A361" s="49"/>
      <c r="B361" s="50"/>
      <c r="C361" s="50"/>
      <c r="D361" s="50"/>
      <c r="E361" s="50"/>
      <c r="F361" s="51"/>
      <c r="G361" s="50"/>
      <c r="H361" s="50"/>
      <c r="I361" s="50"/>
      <c r="J361" s="48" t="str">
        <f t="array" ref="J361">IF(G361="","",IFERROR(LET(ev_cost,INDEX(Events!$G$5:$G$505,MATCH(G361,Events!$A$5:$A$505,0)),ev_split,INDEX(Events!$I$5:$I$505,MATCH(G361,Events!$A$5:$A$505,0)),att_offset,MATCH(G361,Attendance!$B$3:$AV$3,0),attendees,COUNTIF(INDEX(Attendance!$B$7:$AV$206,0,att_offset),"1"),IF(ev_split="Equal Split",ev_cost/MAX(1,COUNTA(Roster!$A$5:$A$204)),ev_cost/MAX(1,attendees))),"N/A"))</f>
        <v/>
      </c>
      <c r="K361" s="5"/>
      <c r="L361" s="5"/>
      <c r="M361" s="5"/>
      <c r="N361" s="5"/>
      <c r="O361" s="5"/>
      <c r="P361" s="5"/>
      <c r="Q361" s="5"/>
      <c r="R361" s="5"/>
      <c r="S361" s="5"/>
      <c r="T361" s="5"/>
      <c r="U361" s="5"/>
      <c r="V361" s="5"/>
      <c r="W361" s="5"/>
      <c r="X361" s="5"/>
      <c r="Y361" s="5"/>
      <c r="Z361" s="5"/>
    </row>
    <row r="362" ht="19.5" customHeight="1">
      <c r="A362" s="52"/>
      <c r="B362" s="53"/>
      <c r="C362" s="53"/>
      <c r="D362" s="53"/>
      <c r="E362" s="53"/>
      <c r="F362" s="61"/>
      <c r="G362" s="53"/>
      <c r="H362" s="53"/>
      <c r="I362" s="53"/>
      <c r="J362" s="48" t="str">
        <f t="array" ref="J362">IF(G362="","",IFERROR(LET(ev_cost,INDEX(Events!$G$5:$G$505,MATCH(G362,Events!$A$5:$A$505,0)),ev_split,INDEX(Events!$I$5:$I$505,MATCH(G362,Events!$A$5:$A$505,0)),att_offset,MATCH(G362,Attendance!$B$3:$AV$3,0),attendees,COUNTIF(INDEX(Attendance!$B$7:$AV$206,0,att_offset),"1"),IF(ev_split="Equal Split",ev_cost/MAX(1,COUNTA(Roster!$A$5:$A$204)),ev_cost/MAX(1,attendees))),"N/A"))</f>
        <v/>
      </c>
      <c r="K362" s="5"/>
      <c r="L362" s="5"/>
      <c r="M362" s="5"/>
      <c r="N362" s="5"/>
      <c r="O362" s="5"/>
      <c r="P362" s="5"/>
      <c r="Q362" s="5"/>
      <c r="R362" s="5"/>
      <c r="S362" s="5"/>
      <c r="T362" s="5"/>
      <c r="U362" s="5"/>
      <c r="V362" s="5"/>
      <c r="W362" s="5"/>
      <c r="X362" s="5"/>
      <c r="Y362" s="5"/>
      <c r="Z362" s="5"/>
    </row>
    <row r="363" ht="19.5" customHeight="1">
      <c r="A363" s="49"/>
      <c r="B363" s="50"/>
      <c r="C363" s="50"/>
      <c r="D363" s="50"/>
      <c r="E363" s="50"/>
      <c r="F363" s="51"/>
      <c r="G363" s="50"/>
      <c r="H363" s="50"/>
      <c r="I363" s="50"/>
      <c r="J363" s="48" t="str">
        <f t="array" ref="J363">IF(G363="","",IFERROR(LET(ev_cost,INDEX(Events!$G$5:$G$505,MATCH(G363,Events!$A$5:$A$505,0)),ev_split,INDEX(Events!$I$5:$I$505,MATCH(G363,Events!$A$5:$A$505,0)),att_offset,MATCH(G363,Attendance!$B$3:$AV$3,0),attendees,COUNTIF(INDEX(Attendance!$B$7:$AV$206,0,att_offset),"1"),IF(ev_split="Equal Split",ev_cost/MAX(1,COUNTA(Roster!$A$5:$A$204)),ev_cost/MAX(1,attendees))),"N/A"))</f>
        <v/>
      </c>
      <c r="K363" s="5"/>
      <c r="L363" s="5"/>
      <c r="M363" s="5"/>
      <c r="N363" s="5"/>
      <c r="O363" s="5"/>
      <c r="P363" s="5"/>
      <c r="Q363" s="5"/>
      <c r="R363" s="5"/>
      <c r="S363" s="5"/>
      <c r="T363" s="5"/>
      <c r="U363" s="5"/>
      <c r="V363" s="5"/>
      <c r="W363" s="5"/>
      <c r="X363" s="5"/>
      <c r="Y363" s="5"/>
      <c r="Z363" s="5"/>
    </row>
    <row r="364" ht="19.5" customHeight="1">
      <c r="A364" s="52"/>
      <c r="B364" s="53"/>
      <c r="C364" s="53"/>
      <c r="D364" s="53"/>
      <c r="E364" s="53"/>
      <c r="F364" s="61"/>
      <c r="G364" s="53"/>
      <c r="H364" s="53"/>
      <c r="I364" s="53"/>
      <c r="J364" s="48" t="str">
        <f t="array" ref="J364">IF(G364="","",IFERROR(LET(ev_cost,INDEX(Events!$G$5:$G$505,MATCH(G364,Events!$A$5:$A$505,0)),ev_split,INDEX(Events!$I$5:$I$505,MATCH(G364,Events!$A$5:$A$505,0)),att_offset,MATCH(G364,Attendance!$B$3:$AV$3,0),attendees,COUNTIF(INDEX(Attendance!$B$7:$AV$206,0,att_offset),"1"),IF(ev_split="Equal Split",ev_cost/MAX(1,COUNTA(Roster!$A$5:$A$204)),ev_cost/MAX(1,attendees))),"N/A"))</f>
        <v/>
      </c>
      <c r="K364" s="5"/>
      <c r="L364" s="5"/>
      <c r="M364" s="5"/>
      <c r="N364" s="5"/>
      <c r="O364" s="5"/>
      <c r="P364" s="5"/>
      <c r="Q364" s="5"/>
      <c r="R364" s="5"/>
      <c r="S364" s="5"/>
      <c r="T364" s="5"/>
      <c r="U364" s="5"/>
      <c r="V364" s="5"/>
      <c r="W364" s="5"/>
      <c r="X364" s="5"/>
      <c r="Y364" s="5"/>
      <c r="Z364" s="5"/>
    </row>
    <row r="365" ht="19.5" customHeight="1">
      <c r="A365" s="49"/>
      <c r="B365" s="50"/>
      <c r="C365" s="50"/>
      <c r="D365" s="50"/>
      <c r="E365" s="50"/>
      <c r="F365" s="51"/>
      <c r="G365" s="50"/>
      <c r="H365" s="50"/>
      <c r="I365" s="50"/>
      <c r="J365" s="48" t="str">
        <f t="array" ref="J365">IF(G365="","",IFERROR(LET(ev_cost,INDEX(Events!$G$5:$G$505,MATCH(G365,Events!$A$5:$A$505,0)),ev_split,INDEX(Events!$I$5:$I$505,MATCH(G365,Events!$A$5:$A$505,0)),att_offset,MATCH(G365,Attendance!$B$3:$AV$3,0),attendees,COUNTIF(INDEX(Attendance!$B$7:$AV$206,0,att_offset),"1"),IF(ev_split="Equal Split",ev_cost/MAX(1,COUNTA(Roster!$A$5:$A$204)),ev_cost/MAX(1,attendees))),"N/A"))</f>
        <v/>
      </c>
      <c r="K365" s="5"/>
      <c r="L365" s="5"/>
      <c r="M365" s="5"/>
      <c r="N365" s="5"/>
      <c r="O365" s="5"/>
      <c r="P365" s="5"/>
      <c r="Q365" s="5"/>
      <c r="R365" s="5"/>
      <c r="S365" s="5"/>
      <c r="T365" s="5"/>
      <c r="U365" s="5"/>
      <c r="V365" s="5"/>
      <c r="W365" s="5"/>
      <c r="X365" s="5"/>
      <c r="Y365" s="5"/>
      <c r="Z365" s="5"/>
    </row>
    <row r="366" ht="19.5" customHeight="1">
      <c r="A366" s="52"/>
      <c r="B366" s="53"/>
      <c r="C366" s="53"/>
      <c r="D366" s="53"/>
      <c r="E366" s="53"/>
      <c r="F366" s="61"/>
      <c r="G366" s="53"/>
      <c r="H366" s="53"/>
      <c r="I366" s="53"/>
      <c r="J366" s="48" t="str">
        <f t="array" ref="J366">IF(G366="","",IFERROR(LET(ev_cost,INDEX(Events!$G$5:$G$505,MATCH(G366,Events!$A$5:$A$505,0)),ev_split,INDEX(Events!$I$5:$I$505,MATCH(G366,Events!$A$5:$A$505,0)),att_offset,MATCH(G366,Attendance!$B$3:$AV$3,0),attendees,COUNTIF(INDEX(Attendance!$B$7:$AV$206,0,att_offset),"1"),IF(ev_split="Equal Split",ev_cost/MAX(1,COUNTA(Roster!$A$5:$A$204)),ev_cost/MAX(1,attendees))),"N/A"))</f>
        <v/>
      </c>
      <c r="K366" s="5"/>
      <c r="L366" s="5"/>
      <c r="M366" s="5"/>
      <c r="N366" s="5"/>
      <c r="O366" s="5"/>
      <c r="P366" s="5"/>
      <c r="Q366" s="5"/>
      <c r="R366" s="5"/>
      <c r="S366" s="5"/>
      <c r="T366" s="5"/>
      <c r="U366" s="5"/>
      <c r="V366" s="5"/>
      <c r="W366" s="5"/>
      <c r="X366" s="5"/>
      <c r="Y366" s="5"/>
      <c r="Z366" s="5"/>
    </row>
    <row r="367" ht="19.5" customHeight="1">
      <c r="A367" s="49"/>
      <c r="B367" s="50"/>
      <c r="C367" s="50"/>
      <c r="D367" s="50"/>
      <c r="E367" s="50"/>
      <c r="F367" s="51"/>
      <c r="G367" s="50"/>
      <c r="H367" s="50"/>
      <c r="I367" s="50"/>
      <c r="J367" s="48" t="str">
        <f t="array" ref="J367">IF(G367="","",IFERROR(LET(ev_cost,INDEX(Events!$G$5:$G$505,MATCH(G367,Events!$A$5:$A$505,0)),ev_split,INDEX(Events!$I$5:$I$505,MATCH(G367,Events!$A$5:$A$505,0)),att_offset,MATCH(G367,Attendance!$B$3:$AV$3,0),attendees,COUNTIF(INDEX(Attendance!$B$7:$AV$206,0,att_offset),"1"),IF(ev_split="Equal Split",ev_cost/MAX(1,COUNTA(Roster!$A$5:$A$204)),ev_cost/MAX(1,attendees))),"N/A"))</f>
        <v/>
      </c>
      <c r="K367" s="5"/>
      <c r="L367" s="5"/>
      <c r="M367" s="5"/>
      <c r="N367" s="5"/>
      <c r="O367" s="5"/>
      <c r="P367" s="5"/>
      <c r="Q367" s="5"/>
      <c r="R367" s="5"/>
      <c r="S367" s="5"/>
      <c r="T367" s="5"/>
      <c r="U367" s="5"/>
      <c r="V367" s="5"/>
      <c r="W367" s="5"/>
      <c r="X367" s="5"/>
      <c r="Y367" s="5"/>
      <c r="Z367" s="5"/>
    </row>
    <row r="368" ht="19.5" customHeight="1">
      <c r="A368" s="52"/>
      <c r="B368" s="53"/>
      <c r="C368" s="53"/>
      <c r="D368" s="53"/>
      <c r="E368" s="53"/>
      <c r="F368" s="61"/>
      <c r="G368" s="53"/>
      <c r="H368" s="53"/>
      <c r="I368" s="53"/>
      <c r="J368" s="48" t="str">
        <f t="array" ref="J368">IF(G368="","",IFERROR(LET(ev_cost,INDEX(Events!$G$5:$G$505,MATCH(G368,Events!$A$5:$A$505,0)),ev_split,INDEX(Events!$I$5:$I$505,MATCH(G368,Events!$A$5:$A$505,0)),att_offset,MATCH(G368,Attendance!$B$3:$AV$3,0),attendees,COUNTIF(INDEX(Attendance!$B$7:$AV$206,0,att_offset),"1"),IF(ev_split="Equal Split",ev_cost/MAX(1,COUNTA(Roster!$A$5:$A$204)),ev_cost/MAX(1,attendees))),"N/A"))</f>
        <v/>
      </c>
      <c r="K368" s="5"/>
      <c r="L368" s="5"/>
      <c r="M368" s="5"/>
      <c r="N368" s="5"/>
      <c r="O368" s="5"/>
      <c r="P368" s="5"/>
      <c r="Q368" s="5"/>
      <c r="R368" s="5"/>
      <c r="S368" s="5"/>
      <c r="T368" s="5"/>
      <c r="U368" s="5"/>
      <c r="V368" s="5"/>
      <c r="W368" s="5"/>
      <c r="X368" s="5"/>
      <c r="Y368" s="5"/>
      <c r="Z368" s="5"/>
    </row>
    <row r="369" ht="19.5" customHeight="1">
      <c r="A369" s="49"/>
      <c r="B369" s="50"/>
      <c r="C369" s="50"/>
      <c r="D369" s="50"/>
      <c r="E369" s="50"/>
      <c r="F369" s="51"/>
      <c r="G369" s="50"/>
      <c r="H369" s="50"/>
      <c r="I369" s="50"/>
      <c r="J369" s="48" t="str">
        <f t="array" ref="J369">IF(G369="","",IFERROR(LET(ev_cost,INDEX(Events!$G$5:$G$505,MATCH(G369,Events!$A$5:$A$505,0)),ev_split,INDEX(Events!$I$5:$I$505,MATCH(G369,Events!$A$5:$A$505,0)),att_offset,MATCH(G369,Attendance!$B$3:$AV$3,0),attendees,COUNTIF(INDEX(Attendance!$B$7:$AV$206,0,att_offset),"1"),IF(ev_split="Equal Split",ev_cost/MAX(1,COUNTA(Roster!$A$5:$A$204)),ev_cost/MAX(1,attendees))),"N/A"))</f>
        <v/>
      </c>
      <c r="K369" s="5"/>
      <c r="L369" s="5"/>
      <c r="M369" s="5"/>
      <c r="N369" s="5"/>
      <c r="O369" s="5"/>
      <c r="P369" s="5"/>
      <c r="Q369" s="5"/>
      <c r="R369" s="5"/>
      <c r="S369" s="5"/>
      <c r="T369" s="5"/>
      <c r="U369" s="5"/>
      <c r="V369" s="5"/>
      <c r="W369" s="5"/>
      <c r="X369" s="5"/>
      <c r="Y369" s="5"/>
      <c r="Z369" s="5"/>
    </row>
    <row r="370" ht="19.5" customHeight="1">
      <c r="A370" s="52"/>
      <c r="B370" s="53"/>
      <c r="C370" s="53"/>
      <c r="D370" s="53"/>
      <c r="E370" s="53"/>
      <c r="F370" s="61"/>
      <c r="G370" s="53"/>
      <c r="H370" s="53"/>
      <c r="I370" s="53"/>
      <c r="J370" s="48" t="str">
        <f t="array" ref="J370">IF(G370="","",IFERROR(LET(ev_cost,INDEX(Events!$G$5:$G$505,MATCH(G370,Events!$A$5:$A$505,0)),ev_split,INDEX(Events!$I$5:$I$505,MATCH(G370,Events!$A$5:$A$505,0)),att_offset,MATCH(G370,Attendance!$B$3:$AV$3,0),attendees,COUNTIF(INDEX(Attendance!$B$7:$AV$206,0,att_offset),"1"),IF(ev_split="Equal Split",ev_cost/MAX(1,COUNTA(Roster!$A$5:$A$204)),ev_cost/MAX(1,attendees))),"N/A"))</f>
        <v/>
      </c>
      <c r="K370" s="5"/>
      <c r="L370" s="5"/>
      <c r="M370" s="5"/>
      <c r="N370" s="5"/>
      <c r="O370" s="5"/>
      <c r="P370" s="5"/>
      <c r="Q370" s="5"/>
      <c r="R370" s="5"/>
      <c r="S370" s="5"/>
      <c r="T370" s="5"/>
      <c r="U370" s="5"/>
      <c r="V370" s="5"/>
      <c r="W370" s="5"/>
      <c r="X370" s="5"/>
      <c r="Y370" s="5"/>
      <c r="Z370" s="5"/>
    </row>
    <row r="371" ht="19.5" customHeight="1">
      <c r="A371" s="49"/>
      <c r="B371" s="50"/>
      <c r="C371" s="50"/>
      <c r="D371" s="50"/>
      <c r="E371" s="50"/>
      <c r="F371" s="51"/>
      <c r="G371" s="50"/>
      <c r="H371" s="50"/>
      <c r="I371" s="50"/>
      <c r="J371" s="48" t="str">
        <f t="array" ref="J371">IF(G371="","",IFERROR(LET(ev_cost,INDEX(Events!$G$5:$G$505,MATCH(G371,Events!$A$5:$A$505,0)),ev_split,INDEX(Events!$I$5:$I$505,MATCH(G371,Events!$A$5:$A$505,0)),att_offset,MATCH(G371,Attendance!$B$3:$AV$3,0),attendees,COUNTIF(INDEX(Attendance!$B$7:$AV$206,0,att_offset),"1"),IF(ev_split="Equal Split",ev_cost/MAX(1,COUNTA(Roster!$A$5:$A$204)),ev_cost/MAX(1,attendees))),"N/A"))</f>
        <v/>
      </c>
      <c r="K371" s="5"/>
      <c r="L371" s="5"/>
      <c r="M371" s="5"/>
      <c r="N371" s="5"/>
      <c r="O371" s="5"/>
      <c r="P371" s="5"/>
      <c r="Q371" s="5"/>
      <c r="R371" s="5"/>
      <c r="S371" s="5"/>
      <c r="T371" s="5"/>
      <c r="U371" s="5"/>
      <c r="V371" s="5"/>
      <c r="W371" s="5"/>
      <c r="X371" s="5"/>
      <c r="Y371" s="5"/>
      <c r="Z371" s="5"/>
    </row>
    <row r="372" ht="19.5" customHeight="1">
      <c r="A372" s="52"/>
      <c r="B372" s="53"/>
      <c r="C372" s="53"/>
      <c r="D372" s="53"/>
      <c r="E372" s="53"/>
      <c r="F372" s="61"/>
      <c r="G372" s="53"/>
      <c r="H372" s="53"/>
      <c r="I372" s="53"/>
      <c r="J372" s="48" t="str">
        <f t="array" ref="J372">IF(G372="","",IFERROR(LET(ev_cost,INDEX(Events!$G$5:$G$505,MATCH(G372,Events!$A$5:$A$505,0)),ev_split,INDEX(Events!$I$5:$I$505,MATCH(G372,Events!$A$5:$A$505,0)),att_offset,MATCH(G372,Attendance!$B$3:$AV$3,0),attendees,COUNTIF(INDEX(Attendance!$B$7:$AV$206,0,att_offset),"1"),IF(ev_split="Equal Split",ev_cost/MAX(1,COUNTA(Roster!$A$5:$A$204)),ev_cost/MAX(1,attendees))),"N/A"))</f>
        <v/>
      </c>
      <c r="K372" s="5"/>
      <c r="L372" s="5"/>
      <c r="M372" s="5"/>
      <c r="N372" s="5"/>
      <c r="O372" s="5"/>
      <c r="P372" s="5"/>
      <c r="Q372" s="5"/>
      <c r="R372" s="5"/>
      <c r="S372" s="5"/>
      <c r="T372" s="5"/>
      <c r="U372" s="5"/>
      <c r="V372" s="5"/>
      <c r="W372" s="5"/>
      <c r="X372" s="5"/>
      <c r="Y372" s="5"/>
      <c r="Z372" s="5"/>
    </row>
    <row r="373" ht="19.5" customHeight="1">
      <c r="A373" s="49"/>
      <c r="B373" s="50"/>
      <c r="C373" s="50"/>
      <c r="D373" s="50"/>
      <c r="E373" s="50"/>
      <c r="F373" s="51"/>
      <c r="G373" s="50"/>
      <c r="H373" s="50"/>
      <c r="I373" s="50"/>
      <c r="J373" s="48" t="str">
        <f t="array" ref="J373">IF(G373="","",IFERROR(LET(ev_cost,INDEX(Events!$G$5:$G$505,MATCH(G373,Events!$A$5:$A$505,0)),ev_split,INDEX(Events!$I$5:$I$505,MATCH(G373,Events!$A$5:$A$505,0)),att_offset,MATCH(G373,Attendance!$B$3:$AV$3,0),attendees,COUNTIF(INDEX(Attendance!$B$7:$AV$206,0,att_offset),"1"),IF(ev_split="Equal Split",ev_cost/MAX(1,COUNTA(Roster!$A$5:$A$204)),ev_cost/MAX(1,attendees))),"N/A"))</f>
        <v/>
      </c>
      <c r="K373" s="5"/>
      <c r="L373" s="5"/>
      <c r="M373" s="5"/>
      <c r="N373" s="5"/>
      <c r="O373" s="5"/>
      <c r="P373" s="5"/>
      <c r="Q373" s="5"/>
      <c r="R373" s="5"/>
      <c r="S373" s="5"/>
      <c r="T373" s="5"/>
      <c r="U373" s="5"/>
      <c r="V373" s="5"/>
      <c r="W373" s="5"/>
      <c r="X373" s="5"/>
      <c r="Y373" s="5"/>
      <c r="Z373" s="5"/>
    </row>
    <row r="374" ht="19.5" customHeight="1">
      <c r="A374" s="52"/>
      <c r="B374" s="53"/>
      <c r="C374" s="53"/>
      <c r="D374" s="53"/>
      <c r="E374" s="53"/>
      <c r="F374" s="61"/>
      <c r="G374" s="53"/>
      <c r="H374" s="53"/>
      <c r="I374" s="53"/>
      <c r="J374" s="48" t="str">
        <f t="array" ref="J374">IF(G374="","",IFERROR(LET(ev_cost,INDEX(Events!$G$5:$G$505,MATCH(G374,Events!$A$5:$A$505,0)),ev_split,INDEX(Events!$I$5:$I$505,MATCH(G374,Events!$A$5:$A$505,0)),att_offset,MATCH(G374,Attendance!$B$3:$AV$3,0),attendees,COUNTIF(INDEX(Attendance!$B$7:$AV$206,0,att_offset),"1"),IF(ev_split="Equal Split",ev_cost/MAX(1,COUNTA(Roster!$A$5:$A$204)),ev_cost/MAX(1,attendees))),"N/A"))</f>
        <v/>
      </c>
      <c r="K374" s="5"/>
      <c r="L374" s="5"/>
      <c r="M374" s="5"/>
      <c r="N374" s="5"/>
      <c r="O374" s="5"/>
      <c r="P374" s="5"/>
      <c r="Q374" s="5"/>
      <c r="R374" s="5"/>
      <c r="S374" s="5"/>
      <c r="T374" s="5"/>
      <c r="U374" s="5"/>
      <c r="V374" s="5"/>
      <c r="W374" s="5"/>
      <c r="X374" s="5"/>
      <c r="Y374" s="5"/>
      <c r="Z374" s="5"/>
    </row>
    <row r="375" ht="19.5" customHeight="1">
      <c r="A375" s="49"/>
      <c r="B375" s="50"/>
      <c r="C375" s="50"/>
      <c r="D375" s="50"/>
      <c r="E375" s="50"/>
      <c r="F375" s="51"/>
      <c r="G375" s="50"/>
      <c r="H375" s="50"/>
      <c r="I375" s="50"/>
      <c r="J375" s="48" t="str">
        <f t="array" ref="J375">IF(G375="","",IFERROR(LET(ev_cost,INDEX(Events!$G$5:$G$505,MATCH(G375,Events!$A$5:$A$505,0)),ev_split,INDEX(Events!$I$5:$I$505,MATCH(G375,Events!$A$5:$A$505,0)),att_offset,MATCH(G375,Attendance!$B$3:$AV$3,0),attendees,COUNTIF(INDEX(Attendance!$B$7:$AV$206,0,att_offset),"1"),IF(ev_split="Equal Split",ev_cost/MAX(1,COUNTA(Roster!$A$5:$A$204)),ev_cost/MAX(1,attendees))),"N/A"))</f>
        <v/>
      </c>
      <c r="K375" s="5"/>
      <c r="L375" s="5"/>
      <c r="M375" s="5"/>
      <c r="N375" s="5"/>
      <c r="O375" s="5"/>
      <c r="P375" s="5"/>
      <c r="Q375" s="5"/>
      <c r="R375" s="5"/>
      <c r="S375" s="5"/>
      <c r="T375" s="5"/>
      <c r="U375" s="5"/>
      <c r="V375" s="5"/>
      <c r="W375" s="5"/>
      <c r="X375" s="5"/>
      <c r="Y375" s="5"/>
      <c r="Z375" s="5"/>
    </row>
    <row r="376" ht="19.5" customHeight="1">
      <c r="A376" s="52"/>
      <c r="B376" s="53"/>
      <c r="C376" s="53"/>
      <c r="D376" s="53"/>
      <c r="E376" s="53"/>
      <c r="F376" s="61"/>
      <c r="G376" s="53"/>
      <c r="H376" s="53"/>
      <c r="I376" s="53"/>
      <c r="J376" s="48" t="str">
        <f t="array" ref="J376">IF(G376="","",IFERROR(LET(ev_cost,INDEX(Events!$G$5:$G$505,MATCH(G376,Events!$A$5:$A$505,0)),ev_split,INDEX(Events!$I$5:$I$505,MATCH(G376,Events!$A$5:$A$505,0)),att_offset,MATCH(G376,Attendance!$B$3:$AV$3,0),attendees,COUNTIF(INDEX(Attendance!$B$7:$AV$206,0,att_offset),"1"),IF(ev_split="Equal Split",ev_cost/MAX(1,COUNTA(Roster!$A$5:$A$204)),ev_cost/MAX(1,attendees))),"N/A"))</f>
        <v/>
      </c>
      <c r="K376" s="5"/>
      <c r="L376" s="5"/>
      <c r="M376" s="5"/>
      <c r="N376" s="5"/>
      <c r="O376" s="5"/>
      <c r="P376" s="5"/>
      <c r="Q376" s="5"/>
      <c r="R376" s="5"/>
      <c r="S376" s="5"/>
      <c r="T376" s="5"/>
      <c r="U376" s="5"/>
      <c r="V376" s="5"/>
      <c r="W376" s="5"/>
      <c r="X376" s="5"/>
      <c r="Y376" s="5"/>
      <c r="Z376" s="5"/>
    </row>
    <row r="377" ht="19.5" customHeight="1">
      <c r="A377" s="49"/>
      <c r="B377" s="50"/>
      <c r="C377" s="50"/>
      <c r="D377" s="50"/>
      <c r="E377" s="50"/>
      <c r="F377" s="51"/>
      <c r="G377" s="50"/>
      <c r="H377" s="50"/>
      <c r="I377" s="50"/>
      <c r="J377" s="48" t="str">
        <f t="array" ref="J377">IF(G377="","",IFERROR(LET(ev_cost,INDEX(Events!$G$5:$G$505,MATCH(G377,Events!$A$5:$A$505,0)),ev_split,INDEX(Events!$I$5:$I$505,MATCH(G377,Events!$A$5:$A$505,0)),att_offset,MATCH(G377,Attendance!$B$3:$AV$3,0),attendees,COUNTIF(INDEX(Attendance!$B$7:$AV$206,0,att_offset),"1"),IF(ev_split="Equal Split",ev_cost/MAX(1,COUNTA(Roster!$A$5:$A$204)),ev_cost/MAX(1,attendees))),"N/A"))</f>
        <v/>
      </c>
      <c r="K377" s="5"/>
      <c r="L377" s="5"/>
      <c r="M377" s="5"/>
      <c r="N377" s="5"/>
      <c r="O377" s="5"/>
      <c r="P377" s="5"/>
      <c r="Q377" s="5"/>
      <c r="R377" s="5"/>
      <c r="S377" s="5"/>
      <c r="T377" s="5"/>
      <c r="U377" s="5"/>
      <c r="V377" s="5"/>
      <c r="W377" s="5"/>
      <c r="X377" s="5"/>
      <c r="Y377" s="5"/>
      <c r="Z377" s="5"/>
    </row>
    <row r="378" ht="19.5" customHeight="1">
      <c r="A378" s="52"/>
      <c r="B378" s="53"/>
      <c r="C378" s="53"/>
      <c r="D378" s="53"/>
      <c r="E378" s="53"/>
      <c r="F378" s="61"/>
      <c r="G378" s="53"/>
      <c r="H378" s="53"/>
      <c r="I378" s="53"/>
      <c r="J378" s="48" t="str">
        <f t="array" ref="J378">IF(G378="","",IFERROR(LET(ev_cost,INDEX(Events!$G$5:$G$505,MATCH(G378,Events!$A$5:$A$505,0)),ev_split,INDEX(Events!$I$5:$I$505,MATCH(G378,Events!$A$5:$A$505,0)),att_offset,MATCH(G378,Attendance!$B$3:$AV$3,0),attendees,COUNTIF(INDEX(Attendance!$B$7:$AV$206,0,att_offset),"1"),IF(ev_split="Equal Split",ev_cost/MAX(1,COUNTA(Roster!$A$5:$A$204)),ev_cost/MAX(1,attendees))),"N/A"))</f>
        <v/>
      </c>
      <c r="K378" s="5"/>
      <c r="L378" s="5"/>
      <c r="M378" s="5"/>
      <c r="N378" s="5"/>
      <c r="O378" s="5"/>
      <c r="P378" s="5"/>
      <c r="Q378" s="5"/>
      <c r="R378" s="5"/>
      <c r="S378" s="5"/>
      <c r="T378" s="5"/>
      <c r="U378" s="5"/>
      <c r="V378" s="5"/>
      <c r="W378" s="5"/>
      <c r="X378" s="5"/>
      <c r="Y378" s="5"/>
      <c r="Z378" s="5"/>
    </row>
    <row r="379" ht="19.5" customHeight="1">
      <c r="A379" s="49"/>
      <c r="B379" s="50"/>
      <c r="C379" s="50"/>
      <c r="D379" s="50"/>
      <c r="E379" s="50"/>
      <c r="F379" s="51"/>
      <c r="G379" s="50"/>
      <c r="H379" s="50"/>
      <c r="I379" s="50"/>
      <c r="J379" s="48" t="str">
        <f t="array" ref="J379">IF(G379="","",IFERROR(LET(ev_cost,INDEX(Events!$G$5:$G$505,MATCH(G379,Events!$A$5:$A$505,0)),ev_split,INDEX(Events!$I$5:$I$505,MATCH(G379,Events!$A$5:$A$505,0)),att_offset,MATCH(G379,Attendance!$B$3:$AV$3,0),attendees,COUNTIF(INDEX(Attendance!$B$7:$AV$206,0,att_offset),"1"),IF(ev_split="Equal Split",ev_cost/MAX(1,COUNTA(Roster!$A$5:$A$204)),ev_cost/MAX(1,attendees))),"N/A"))</f>
        <v/>
      </c>
      <c r="K379" s="5"/>
      <c r="L379" s="5"/>
      <c r="M379" s="5"/>
      <c r="N379" s="5"/>
      <c r="O379" s="5"/>
      <c r="P379" s="5"/>
      <c r="Q379" s="5"/>
      <c r="R379" s="5"/>
      <c r="S379" s="5"/>
      <c r="T379" s="5"/>
      <c r="U379" s="5"/>
      <c r="V379" s="5"/>
      <c r="W379" s="5"/>
      <c r="X379" s="5"/>
      <c r="Y379" s="5"/>
      <c r="Z379" s="5"/>
    </row>
    <row r="380" ht="19.5" customHeight="1">
      <c r="A380" s="52"/>
      <c r="B380" s="53"/>
      <c r="C380" s="53"/>
      <c r="D380" s="53"/>
      <c r="E380" s="53"/>
      <c r="F380" s="61"/>
      <c r="G380" s="53"/>
      <c r="H380" s="53"/>
      <c r="I380" s="53"/>
      <c r="J380" s="48" t="str">
        <f t="array" ref="J380">IF(G380="","",IFERROR(LET(ev_cost,INDEX(Events!$G$5:$G$505,MATCH(G380,Events!$A$5:$A$505,0)),ev_split,INDEX(Events!$I$5:$I$505,MATCH(G380,Events!$A$5:$A$505,0)),att_offset,MATCH(G380,Attendance!$B$3:$AV$3,0),attendees,COUNTIF(INDEX(Attendance!$B$7:$AV$206,0,att_offset),"1"),IF(ev_split="Equal Split",ev_cost/MAX(1,COUNTA(Roster!$A$5:$A$204)),ev_cost/MAX(1,attendees))),"N/A"))</f>
        <v/>
      </c>
      <c r="K380" s="5"/>
      <c r="L380" s="5"/>
      <c r="M380" s="5"/>
      <c r="N380" s="5"/>
      <c r="O380" s="5"/>
      <c r="P380" s="5"/>
      <c r="Q380" s="5"/>
      <c r="R380" s="5"/>
      <c r="S380" s="5"/>
      <c r="T380" s="5"/>
      <c r="U380" s="5"/>
      <c r="V380" s="5"/>
      <c r="W380" s="5"/>
      <c r="X380" s="5"/>
      <c r="Y380" s="5"/>
      <c r="Z380" s="5"/>
    </row>
    <row r="381" ht="19.5" customHeight="1">
      <c r="A381" s="49"/>
      <c r="B381" s="50"/>
      <c r="C381" s="50"/>
      <c r="D381" s="50"/>
      <c r="E381" s="50"/>
      <c r="F381" s="51"/>
      <c r="G381" s="50"/>
      <c r="H381" s="50"/>
      <c r="I381" s="50"/>
      <c r="J381" s="48" t="str">
        <f t="array" ref="J381">IF(G381="","",IFERROR(LET(ev_cost,INDEX(Events!$G$5:$G$505,MATCH(G381,Events!$A$5:$A$505,0)),ev_split,INDEX(Events!$I$5:$I$505,MATCH(G381,Events!$A$5:$A$505,0)),att_offset,MATCH(G381,Attendance!$B$3:$AV$3,0),attendees,COUNTIF(INDEX(Attendance!$B$7:$AV$206,0,att_offset),"1"),IF(ev_split="Equal Split",ev_cost/MAX(1,COUNTA(Roster!$A$5:$A$204)),ev_cost/MAX(1,attendees))),"N/A"))</f>
        <v/>
      </c>
      <c r="K381" s="5"/>
      <c r="L381" s="5"/>
      <c r="M381" s="5"/>
      <c r="N381" s="5"/>
      <c r="O381" s="5"/>
      <c r="P381" s="5"/>
      <c r="Q381" s="5"/>
      <c r="R381" s="5"/>
      <c r="S381" s="5"/>
      <c r="T381" s="5"/>
      <c r="U381" s="5"/>
      <c r="V381" s="5"/>
      <c r="W381" s="5"/>
      <c r="X381" s="5"/>
      <c r="Y381" s="5"/>
      <c r="Z381" s="5"/>
    </row>
    <row r="382" ht="19.5" customHeight="1">
      <c r="A382" s="52"/>
      <c r="B382" s="53"/>
      <c r="C382" s="53"/>
      <c r="D382" s="53"/>
      <c r="E382" s="53"/>
      <c r="F382" s="61"/>
      <c r="G382" s="53"/>
      <c r="H382" s="53"/>
      <c r="I382" s="53"/>
      <c r="J382" s="48" t="str">
        <f t="array" ref="J382">IF(G382="","",IFERROR(LET(ev_cost,INDEX(Events!$G$5:$G$505,MATCH(G382,Events!$A$5:$A$505,0)),ev_split,INDEX(Events!$I$5:$I$505,MATCH(G382,Events!$A$5:$A$505,0)),att_offset,MATCH(G382,Attendance!$B$3:$AV$3,0),attendees,COUNTIF(INDEX(Attendance!$B$7:$AV$206,0,att_offset),"1"),IF(ev_split="Equal Split",ev_cost/MAX(1,COUNTA(Roster!$A$5:$A$204)),ev_cost/MAX(1,attendees))),"N/A"))</f>
        <v/>
      </c>
      <c r="K382" s="5"/>
      <c r="L382" s="5"/>
      <c r="M382" s="5"/>
      <c r="N382" s="5"/>
      <c r="O382" s="5"/>
      <c r="P382" s="5"/>
      <c r="Q382" s="5"/>
      <c r="R382" s="5"/>
      <c r="S382" s="5"/>
      <c r="T382" s="5"/>
      <c r="U382" s="5"/>
      <c r="V382" s="5"/>
      <c r="W382" s="5"/>
      <c r="X382" s="5"/>
      <c r="Y382" s="5"/>
      <c r="Z382" s="5"/>
    </row>
    <row r="383" ht="19.5" customHeight="1">
      <c r="A383" s="49"/>
      <c r="B383" s="50"/>
      <c r="C383" s="50"/>
      <c r="D383" s="50"/>
      <c r="E383" s="50"/>
      <c r="F383" s="51"/>
      <c r="G383" s="50"/>
      <c r="H383" s="50"/>
      <c r="I383" s="50"/>
      <c r="J383" s="48" t="str">
        <f t="array" ref="J383">IF(G383="","",IFERROR(LET(ev_cost,INDEX(Events!$G$5:$G$505,MATCH(G383,Events!$A$5:$A$505,0)),ev_split,INDEX(Events!$I$5:$I$505,MATCH(G383,Events!$A$5:$A$505,0)),att_offset,MATCH(G383,Attendance!$B$3:$AV$3,0),attendees,COUNTIF(INDEX(Attendance!$B$7:$AV$206,0,att_offset),"1"),IF(ev_split="Equal Split",ev_cost/MAX(1,COUNTA(Roster!$A$5:$A$204)),ev_cost/MAX(1,attendees))),"N/A"))</f>
        <v/>
      </c>
      <c r="K383" s="5"/>
      <c r="L383" s="5"/>
      <c r="M383" s="5"/>
      <c r="N383" s="5"/>
      <c r="O383" s="5"/>
      <c r="P383" s="5"/>
      <c r="Q383" s="5"/>
      <c r="R383" s="5"/>
      <c r="S383" s="5"/>
      <c r="T383" s="5"/>
      <c r="U383" s="5"/>
      <c r="V383" s="5"/>
      <c r="W383" s="5"/>
      <c r="X383" s="5"/>
      <c r="Y383" s="5"/>
      <c r="Z383" s="5"/>
    </row>
    <row r="384" ht="19.5" customHeight="1">
      <c r="A384" s="52"/>
      <c r="B384" s="53"/>
      <c r="C384" s="53"/>
      <c r="D384" s="53"/>
      <c r="E384" s="53"/>
      <c r="F384" s="61"/>
      <c r="G384" s="53"/>
      <c r="H384" s="53"/>
      <c r="I384" s="53"/>
      <c r="J384" s="48" t="str">
        <f t="array" ref="J384">IF(G384="","",IFERROR(LET(ev_cost,INDEX(Events!$G$5:$G$505,MATCH(G384,Events!$A$5:$A$505,0)),ev_split,INDEX(Events!$I$5:$I$505,MATCH(G384,Events!$A$5:$A$505,0)),att_offset,MATCH(G384,Attendance!$B$3:$AV$3,0),attendees,COUNTIF(INDEX(Attendance!$B$7:$AV$206,0,att_offset),"1"),IF(ev_split="Equal Split",ev_cost/MAX(1,COUNTA(Roster!$A$5:$A$204)),ev_cost/MAX(1,attendees))),"N/A"))</f>
        <v/>
      </c>
      <c r="K384" s="5"/>
      <c r="L384" s="5"/>
      <c r="M384" s="5"/>
      <c r="N384" s="5"/>
      <c r="O384" s="5"/>
      <c r="P384" s="5"/>
      <c r="Q384" s="5"/>
      <c r="R384" s="5"/>
      <c r="S384" s="5"/>
      <c r="T384" s="5"/>
      <c r="U384" s="5"/>
      <c r="V384" s="5"/>
      <c r="W384" s="5"/>
      <c r="X384" s="5"/>
      <c r="Y384" s="5"/>
      <c r="Z384" s="5"/>
    </row>
    <row r="385" ht="19.5" customHeight="1">
      <c r="A385" s="49"/>
      <c r="B385" s="50"/>
      <c r="C385" s="50"/>
      <c r="D385" s="50"/>
      <c r="E385" s="50"/>
      <c r="F385" s="51"/>
      <c r="G385" s="50"/>
      <c r="H385" s="50"/>
      <c r="I385" s="50"/>
      <c r="J385" s="48" t="str">
        <f t="array" ref="J385">IF(G385="","",IFERROR(LET(ev_cost,INDEX(Events!$G$5:$G$505,MATCH(G385,Events!$A$5:$A$505,0)),ev_split,INDEX(Events!$I$5:$I$505,MATCH(G385,Events!$A$5:$A$505,0)),att_offset,MATCH(G385,Attendance!$B$3:$AV$3,0),attendees,COUNTIF(INDEX(Attendance!$B$7:$AV$206,0,att_offset),"1"),IF(ev_split="Equal Split",ev_cost/MAX(1,COUNTA(Roster!$A$5:$A$204)),ev_cost/MAX(1,attendees))),"N/A"))</f>
        <v/>
      </c>
      <c r="K385" s="5"/>
      <c r="L385" s="5"/>
      <c r="M385" s="5"/>
      <c r="N385" s="5"/>
      <c r="O385" s="5"/>
      <c r="P385" s="5"/>
      <c r="Q385" s="5"/>
      <c r="R385" s="5"/>
      <c r="S385" s="5"/>
      <c r="T385" s="5"/>
      <c r="U385" s="5"/>
      <c r="V385" s="5"/>
      <c r="W385" s="5"/>
      <c r="X385" s="5"/>
      <c r="Y385" s="5"/>
      <c r="Z385" s="5"/>
    </row>
    <row r="386" ht="19.5" customHeight="1">
      <c r="A386" s="52"/>
      <c r="B386" s="53"/>
      <c r="C386" s="53"/>
      <c r="D386" s="53"/>
      <c r="E386" s="53"/>
      <c r="F386" s="61"/>
      <c r="G386" s="53"/>
      <c r="H386" s="53"/>
      <c r="I386" s="53"/>
      <c r="J386" s="48" t="str">
        <f t="array" ref="J386">IF(G386="","",IFERROR(LET(ev_cost,INDEX(Events!$G$5:$G$505,MATCH(G386,Events!$A$5:$A$505,0)),ev_split,INDEX(Events!$I$5:$I$505,MATCH(G386,Events!$A$5:$A$505,0)),att_offset,MATCH(G386,Attendance!$B$3:$AV$3,0),attendees,COUNTIF(INDEX(Attendance!$B$7:$AV$206,0,att_offset),"1"),IF(ev_split="Equal Split",ev_cost/MAX(1,COUNTA(Roster!$A$5:$A$204)),ev_cost/MAX(1,attendees))),"N/A"))</f>
        <v/>
      </c>
      <c r="K386" s="5"/>
      <c r="L386" s="5"/>
      <c r="M386" s="5"/>
      <c r="N386" s="5"/>
      <c r="O386" s="5"/>
      <c r="P386" s="5"/>
      <c r="Q386" s="5"/>
      <c r="R386" s="5"/>
      <c r="S386" s="5"/>
      <c r="T386" s="5"/>
      <c r="U386" s="5"/>
      <c r="V386" s="5"/>
      <c r="W386" s="5"/>
      <c r="X386" s="5"/>
      <c r="Y386" s="5"/>
      <c r="Z386" s="5"/>
    </row>
    <row r="387" ht="19.5" customHeight="1">
      <c r="A387" s="49"/>
      <c r="B387" s="50"/>
      <c r="C387" s="50"/>
      <c r="D387" s="50"/>
      <c r="E387" s="50"/>
      <c r="F387" s="51"/>
      <c r="G387" s="50"/>
      <c r="H387" s="50"/>
      <c r="I387" s="50"/>
      <c r="J387" s="48" t="str">
        <f t="array" ref="J387">IF(G387="","",IFERROR(LET(ev_cost,INDEX(Events!$G$5:$G$505,MATCH(G387,Events!$A$5:$A$505,0)),ev_split,INDEX(Events!$I$5:$I$505,MATCH(G387,Events!$A$5:$A$505,0)),att_offset,MATCH(G387,Attendance!$B$3:$AV$3,0),attendees,COUNTIF(INDEX(Attendance!$B$7:$AV$206,0,att_offset),"1"),IF(ev_split="Equal Split",ev_cost/MAX(1,COUNTA(Roster!$A$5:$A$204)),ev_cost/MAX(1,attendees))),"N/A"))</f>
        <v/>
      </c>
      <c r="K387" s="5"/>
      <c r="L387" s="5"/>
      <c r="M387" s="5"/>
      <c r="N387" s="5"/>
      <c r="O387" s="5"/>
      <c r="P387" s="5"/>
      <c r="Q387" s="5"/>
      <c r="R387" s="5"/>
      <c r="S387" s="5"/>
      <c r="T387" s="5"/>
      <c r="U387" s="5"/>
      <c r="V387" s="5"/>
      <c r="W387" s="5"/>
      <c r="X387" s="5"/>
      <c r="Y387" s="5"/>
      <c r="Z387" s="5"/>
    </row>
    <row r="388" ht="19.5" customHeight="1">
      <c r="A388" s="52"/>
      <c r="B388" s="53"/>
      <c r="C388" s="53"/>
      <c r="D388" s="53"/>
      <c r="E388" s="53"/>
      <c r="F388" s="61"/>
      <c r="G388" s="53"/>
      <c r="H388" s="53"/>
      <c r="I388" s="53"/>
      <c r="J388" s="48" t="str">
        <f t="array" ref="J388">IF(G388="","",IFERROR(LET(ev_cost,INDEX(Events!$G$5:$G$505,MATCH(G388,Events!$A$5:$A$505,0)),ev_split,INDEX(Events!$I$5:$I$505,MATCH(G388,Events!$A$5:$A$505,0)),att_offset,MATCH(G388,Attendance!$B$3:$AV$3,0),attendees,COUNTIF(INDEX(Attendance!$B$7:$AV$206,0,att_offset),"1"),IF(ev_split="Equal Split",ev_cost/MAX(1,COUNTA(Roster!$A$5:$A$204)),ev_cost/MAX(1,attendees))),"N/A"))</f>
        <v/>
      </c>
      <c r="K388" s="5"/>
      <c r="L388" s="5"/>
      <c r="M388" s="5"/>
      <c r="N388" s="5"/>
      <c r="O388" s="5"/>
      <c r="P388" s="5"/>
      <c r="Q388" s="5"/>
      <c r="R388" s="5"/>
      <c r="S388" s="5"/>
      <c r="T388" s="5"/>
      <c r="U388" s="5"/>
      <c r="V388" s="5"/>
      <c r="W388" s="5"/>
      <c r="X388" s="5"/>
      <c r="Y388" s="5"/>
      <c r="Z388" s="5"/>
    </row>
    <row r="389" ht="19.5" customHeight="1">
      <c r="A389" s="49"/>
      <c r="B389" s="50"/>
      <c r="C389" s="50"/>
      <c r="D389" s="50"/>
      <c r="E389" s="50"/>
      <c r="F389" s="51"/>
      <c r="G389" s="50"/>
      <c r="H389" s="50"/>
      <c r="I389" s="50"/>
      <c r="J389" s="48" t="str">
        <f t="array" ref="J389">IF(G389="","",IFERROR(LET(ev_cost,INDEX(Events!$G$5:$G$505,MATCH(G389,Events!$A$5:$A$505,0)),ev_split,INDEX(Events!$I$5:$I$505,MATCH(G389,Events!$A$5:$A$505,0)),att_offset,MATCH(G389,Attendance!$B$3:$AV$3,0),attendees,COUNTIF(INDEX(Attendance!$B$7:$AV$206,0,att_offset),"1"),IF(ev_split="Equal Split",ev_cost/MAX(1,COUNTA(Roster!$A$5:$A$204)),ev_cost/MAX(1,attendees))),"N/A"))</f>
        <v/>
      </c>
      <c r="K389" s="5"/>
      <c r="L389" s="5"/>
      <c r="M389" s="5"/>
      <c r="N389" s="5"/>
      <c r="O389" s="5"/>
      <c r="P389" s="5"/>
      <c r="Q389" s="5"/>
      <c r="R389" s="5"/>
      <c r="S389" s="5"/>
      <c r="T389" s="5"/>
      <c r="U389" s="5"/>
      <c r="V389" s="5"/>
      <c r="W389" s="5"/>
      <c r="X389" s="5"/>
      <c r="Y389" s="5"/>
      <c r="Z389" s="5"/>
    </row>
    <row r="390" ht="19.5" customHeight="1">
      <c r="A390" s="52"/>
      <c r="B390" s="53"/>
      <c r="C390" s="53"/>
      <c r="D390" s="53"/>
      <c r="E390" s="53"/>
      <c r="F390" s="61"/>
      <c r="G390" s="53"/>
      <c r="H390" s="53"/>
      <c r="I390" s="53"/>
      <c r="J390" s="48" t="str">
        <f t="array" ref="J390">IF(G390="","",IFERROR(LET(ev_cost,INDEX(Events!$G$5:$G$505,MATCH(G390,Events!$A$5:$A$505,0)),ev_split,INDEX(Events!$I$5:$I$505,MATCH(G390,Events!$A$5:$A$505,0)),att_offset,MATCH(G390,Attendance!$B$3:$AV$3,0),attendees,COUNTIF(INDEX(Attendance!$B$7:$AV$206,0,att_offset),"1"),IF(ev_split="Equal Split",ev_cost/MAX(1,COUNTA(Roster!$A$5:$A$204)),ev_cost/MAX(1,attendees))),"N/A"))</f>
        <v/>
      </c>
      <c r="K390" s="5"/>
      <c r="L390" s="5"/>
      <c r="M390" s="5"/>
      <c r="N390" s="5"/>
      <c r="O390" s="5"/>
      <c r="P390" s="5"/>
      <c r="Q390" s="5"/>
      <c r="R390" s="5"/>
      <c r="S390" s="5"/>
      <c r="T390" s="5"/>
      <c r="U390" s="5"/>
      <c r="V390" s="5"/>
      <c r="W390" s="5"/>
      <c r="X390" s="5"/>
      <c r="Y390" s="5"/>
      <c r="Z390" s="5"/>
    </row>
    <row r="391" ht="19.5" customHeight="1">
      <c r="A391" s="49"/>
      <c r="B391" s="50"/>
      <c r="C391" s="50"/>
      <c r="D391" s="50"/>
      <c r="E391" s="50"/>
      <c r="F391" s="51"/>
      <c r="G391" s="50"/>
      <c r="H391" s="50"/>
      <c r="I391" s="50"/>
      <c r="J391" s="48" t="str">
        <f t="array" ref="J391">IF(G391="","",IFERROR(LET(ev_cost,INDEX(Events!$G$5:$G$505,MATCH(G391,Events!$A$5:$A$505,0)),ev_split,INDEX(Events!$I$5:$I$505,MATCH(G391,Events!$A$5:$A$505,0)),att_offset,MATCH(G391,Attendance!$B$3:$AV$3,0),attendees,COUNTIF(INDEX(Attendance!$B$7:$AV$206,0,att_offset),"1"),IF(ev_split="Equal Split",ev_cost/MAX(1,COUNTA(Roster!$A$5:$A$204)),ev_cost/MAX(1,attendees))),"N/A"))</f>
        <v/>
      </c>
      <c r="K391" s="5"/>
      <c r="L391" s="5"/>
      <c r="M391" s="5"/>
      <c r="N391" s="5"/>
      <c r="O391" s="5"/>
      <c r="P391" s="5"/>
      <c r="Q391" s="5"/>
      <c r="R391" s="5"/>
      <c r="S391" s="5"/>
      <c r="T391" s="5"/>
      <c r="U391" s="5"/>
      <c r="V391" s="5"/>
      <c r="W391" s="5"/>
      <c r="X391" s="5"/>
      <c r="Y391" s="5"/>
      <c r="Z391" s="5"/>
    </row>
    <row r="392" ht="19.5" customHeight="1">
      <c r="A392" s="52"/>
      <c r="B392" s="53"/>
      <c r="C392" s="53"/>
      <c r="D392" s="53"/>
      <c r="E392" s="53"/>
      <c r="F392" s="61"/>
      <c r="G392" s="53"/>
      <c r="H392" s="53"/>
      <c r="I392" s="53"/>
      <c r="J392" s="48" t="str">
        <f t="array" ref="J392">IF(G392="","",IFERROR(LET(ev_cost,INDEX(Events!$G$5:$G$505,MATCH(G392,Events!$A$5:$A$505,0)),ev_split,INDEX(Events!$I$5:$I$505,MATCH(G392,Events!$A$5:$A$505,0)),att_offset,MATCH(G392,Attendance!$B$3:$AV$3,0),attendees,COUNTIF(INDEX(Attendance!$B$7:$AV$206,0,att_offset),"1"),IF(ev_split="Equal Split",ev_cost/MAX(1,COUNTA(Roster!$A$5:$A$204)),ev_cost/MAX(1,attendees))),"N/A"))</f>
        <v/>
      </c>
      <c r="K392" s="5"/>
      <c r="L392" s="5"/>
      <c r="M392" s="5"/>
      <c r="N392" s="5"/>
      <c r="O392" s="5"/>
      <c r="P392" s="5"/>
      <c r="Q392" s="5"/>
      <c r="R392" s="5"/>
      <c r="S392" s="5"/>
      <c r="T392" s="5"/>
      <c r="U392" s="5"/>
      <c r="V392" s="5"/>
      <c r="W392" s="5"/>
      <c r="X392" s="5"/>
      <c r="Y392" s="5"/>
      <c r="Z392" s="5"/>
    </row>
    <row r="393" ht="19.5" customHeight="1">
      <c r="A393" s="49"/>
      <c r="B393" s="50"/>
      <c r="C393" s="50"/>
      <c r="D393" s="50"/>
      <c r="E393" s="50"/>
      <c r="F393" s="51"/>
      <c r="G393" s="50"/>
      <c r="H393" s="50"/>
      <c r="I393" s="50"/>
      <c r="J393" s="48" t="str">
        <f t="array" ref="J393">IF(G393="","",IFERROR(LET(ev_cost,INDEX(Events!$G$5:$G$505,MATCH(G393,Events!$A$5:$A$505,0)),ev_split,INDEX(Events!$I$5:$I$505,MATCH(G393,Events!$A$5:$A$505,0)),att_offset,MATCH(G393,Attendance!$B$3:$AV$3,0),attendees,COUNTIF(INDEX(Attendance!$B$7:$AV$206,0,att_offset),"1"),IF(ev_split="Equal Split",ev_cost/MAX(1,COUNTA(Roster!$A$5:$A$204)),ev_cost/MAX(1,attendees))),"N/A"))</f>
        <v/>
      </c>
      <c r="K393" s="5"/>
      <c r="L393" s="5"/>
      <c r="M393" s="5"/>
      <c r="N393" s="5"/>
      <c r="O393" s="5"/>
      <c r="P393" s="5"/>
      <c r="Q393" s="5"/>
      <c r="R393" s="5"/>
      <c r="S393" s="5"/>
      <c r="T393" s="5"/>
      <c r="U393" s="5"/>
      <c r="V393" s="5"/>
      <c r="W393" s="5"/>
      <c r="X393" s="5"/>
      <c r="Y393" s="5"/>
      <c r="Z393" s="5"/>
    </row>
    <row r="394" ht="19.5" customHeight="1">
      <c r="A394" s="52"/>
      <c r="B394" s="53"/>
      <c r="C394" s="53"/>
      <c r="D394" s="53"/>
      <c r="E394" s="53"/>
      <c r="F394" s="61"/>
      <c r="G394" s="53"/>
      <c r="H394" s="53"/>
      <c r="I394" s="53"/>
      <c r="J394" s="48" t="str">
        <f t="array" ref="J394">IF(G394="","",IFERROR(LET(ev_cost,INDEX(Events!$G$5:$G$505,MATCH(G394,Events!$A$5:$A$505,0)),ev_split,INDEX(Events!$I$5:$I$505,MATCH(G394,Events!$A$5:$A$505,0)),att_offset,MATCH(G394,Attendance!$B$3:$AV$3,0),attendees,COUNTIF(INDEX(Attendance!$B$7:$AV$206,0,att_offset),"1"),IF(ev_split="Equal Split",ev_cost/MAX(1,COUNTA(Roster!$A$5:$A$204)),ev_cost/MAX(1,attendees))),"N/A"))</f>
        <v/>
      </c>
      <c r="K394" s="5"/>
      <c r="L394" s="5"/>
      <c r="M394" s="5"/>
      <c r="N394" s="5"/>
      <c r="O394" s="5"/>
      <c r="P394" s="5"/>
      <c r="Q394" s="5"/>
      <c r="R394" s="5"/>
      <c r="S394" s="5"/>
      <c r="T394" s="5"/>
      <c r="U394" s="5"/>
      <c r="V394" s="5"/>
      <c r="W394" s="5"/>
      <c r="X394" s="5"/>
      <c r="Y394" s="5"/>
      <c r="Z394" s="5"/>
    </row>
    <row r="395" ht="19.5" customHeight="1">
      <c r="A395" s="49"/>
      <c r="B395" s="50"/>
      <c r="C395" s="50"/>
      <c r="D395" s="50"/>
      <c r="E395" s="50"/>
      <c r="F395" s="51"/>
      <c r="G395" s="50"/>
      <c r="H395" s="50"/>
      <c r="I395" s="50"/>
      <c r="J395" s="48" t="str">
        <f t="array" ref="J395">IF(G395="","",IFERROR(LET(ev_cost,INDEX(Events!$G$5:$G$505,MATCH(G395,Events!$A$5:$A$505,0)),ev_split,INDEX(Events!$I$5:$I$505,MATCH(G395,Events!$A$5:$A$505,0)),att_offset,MATCH(G395,Attendance!$B$3:$AV$3,0),attendees,COUNTIF(INDEX(Attendance!$B$7:$AV$206,0,att_offset),"1"),IF(ev_split="Equal Split",ev_cost/MAX(1,COUNTA(Roster!$A$5:$A$204)),ev_cost/MAX(1,attendees))),"N/A"))</f>
        <v/>
      </c>
      <c r="K395" s="5"/>
      <c r="L395" s="5"/>
      <c r="M395" s="5"/>
      <c r="N395" s="5"/>
      <c r="O395" s="5"/>
      <c r="P395" s="5"/>
      <c r="Q395" s="5"/>
      <c r="R395" s="5"/>
      <c r="S395" s="5"/>
      <c r="T395" s="5"/>
      <c r="U395" s="5"/>
      <c r="V395" s="5"/>
      <c r="W395" s="5"/>
      <c r="X395" s="5"/>
      <c r="Y395" s="5"/>
      <c r="Z395" s="5"/>
    </row>
    <row r="396" ht="19.5" customHeight="1">
      <c r="A396" s="52"/>
      <c r="B396" s="53"/>
      <c r="C396" s="53"/>
      <c r="D396" s="53"/>
      <c r="E396" s="53"/>
      <c r="F396" s="61"/>
      <c r="G396" s="53"/>
      <c r="H396" s="53"/>
      <c r="I396" s="53"/>
      <c r="J396" s="48" t="str">
        <f t="array" ref="J396">IF(G396="","",IFERROR(LET(ev_cost,INDEX(Events!$G$5:$G$505,MATCH(G396,Events!$A$5:$A$505,0)),ev_split,INDEX(Events!$I$5:$I$505,MATCH(G396,Events!$A$5:$A$505,0)),att_offset,MATCH(G396,Attendance!$B$3:$AV$3,0),attendees,COUNTIF(INDEX(Attendance!$B$7:$AV$206,0,att_offset),"1"),IF(ev_split="Equal Split",ev_cost/MAX(1,COUNTA(Roster!$A$5:$A$204)),ev_cost/MAX(1,attendees))),"N/A"))</f>
        <v/>
      </c>
      <c r="K396" s="5"/>
      <c r="L396" s="5"/>
      <c r="M396" s="5"/>
      <c r="N396" s="5"/>
      <c r="O396" s="5"/>
      <c r="P396" s="5"/>
      <c r="Q396" s="5"/>
      <c r="R396" s="5"/>
      <c r="S396" s="5"/>
      <c r="T396" s="5"/>
      <c r="U396" s="5"/>
      <c r="V396" s="5"/>
      <c r="W396" s="5"/>
      <c r="X396" s="5"/>
      <c r="Y396" s="5"/>
      <c r="Z396" s="5"/>
    </row>
    <row r="397" ht="19.5" customHeight="1">
      <c r="A397" s="49"/>
      <c r="B397" s="50"/>
      <c r="C397" s="50"/>
      <c r="D397" s="50"/>
      <c r="E397" s="50"/>
      <c r="F397" s="51"/>
      <c r="G397" s="50"/>
      <c r="H397" s="50"/>
      <c r="I397" s="50"/>
      <c r="J397" s="48" t="str">
        <f t="array" ref="J397">IF(G397="","",IFERROR(LET(ev_cost,INDEX(Events!$G$5:$G$505,MATCH(G397,Events!$A$5:$A$505,0)),ev_split,INDEX(Events!$I$5:$I$505,MATCH(G397,Events!$A$5:$A$505,0)),att_offset,MATCH(G397,Attendance!$B$3:$AV$3,0),attendees,COUNTIF(INDEX(Attendance!$B$7:$AV$206,0,att_offset),"1"),IF(ev_split="Equal Split",ev_cost/MAX(1,COUNTA(Roster!$A$5:$A$204)),ev_cost/MAX(1,attendees))),"N/A"))</f>
        <v/>
      </c>
      <c r="K397" s="5"/>
      <c r="L397" s="5"/>
      <c r="M397" s="5"/>
      <c r="N397" s="5"/>
      <c r="O397" s="5"/>
      <c r="P397" s="5"/>
      <c r="Q397" s="5"/>
      <c r="R397" s="5"/>
      <c r="S397" s="5"/>
      <c r="T397" s="5"/>
      <c r="U397" s="5"/>
      <c r="V397" s="5"/>
      <c r="W397" s="5"/>
      <c r="X397" s="5"/>
      <c r="Y397" s="5"/>
      <c r="Z397" s="5"/>
    </row>
    <row r="398" ht="19.5" customHeight="1">
      <c r="A398" s="52"/>
      <c r="B398" s="53"/>
      <c r="C398" s="53"/>
      <c r="D398" s="53"/>
      <c r="E398" s="53"/>
      <c r="F398" s="61"/>
      <c r="G398" s="53"/>
      <c r="H398" s="53"/>
      <c r="I398" s="53"/>
      <c r="J398" s="48" t="str">
        <f t="array" ref="J398">IF(G398="","",IFERROR(LET(ev_cost,INDEX(Events!$G$5:$G$505,MATCH(G398,Events!$A$5:$A$505,0)),ev_split,INDEX(Events!$I$5:$I$505,MATCH(G398,Events!$A$5:$A$505,0)),att_offset,MATCH(G398,Attendance!$B$3:$AV$3,0),attendees,COUNTIF(INDEX(Attendance!$B$7:$AV$206,0,att_offset),"1"),IF(ev_split="Equal Split",ev_cost/MAX(1,COUNTA(Roster!$A$5:$A$204)),ev_cost/MAX(1,attendees))),"N/A"))</f>
        <v/>
      </c>
      <c r="K398" s="5"/>
      <c r="L398" s="5"/>
      <c r="M398" s="5"/>
      <c r="N398" s="5"/>
      <c r="O398" s="5"/>
      <c r="P398" s="5"/>
      <c r="Q398" s="5"/>
      <c r="R398" s="5"/>
      <c r="S398" s="5"/>
      <c r="T398" s="5"/>
      <c r="U398" s="5"/>
      <c r="V398" s="5"/>
      <c r="W398" s="5"/>
      <c r="X398" s="5"/>
      <c r="Y398" s="5"/>
      <c r="Z398" s="5"/>
    </row>
    <row r="399" ht="19.5" customHeight="1">
      <c r="A399" s="49"/>
      <c r="B399" s="50"/>
      <c r="C399" s="50"/>
      <c r="D399" s="50"/>
      <c r="E399" s="50"/>
      <c r="F399" s="51"/>
      <c r="G399" s="50"/>
      <c r="H399" s="50"/>
      <c r="I399" s="50"/>
      <c r="J399" s="48" t="str">
        <f t="array" ref="J399">IF(G399="","",IFERROR(LET(ev_cost,INDEX(Events!$G$5:$G$505,MATCH(G399,Events!$A$5:$A$505,0)),ev_split,INDEX(Events!$I$5:$I$505,MATCH(G399,Events!$A$5:$A$505,0)),att_offset,MATCH(G399,Attendance!$B$3:$AV$3,0),attendees,COUNTIF(INDEX(Attendance!$B$7:$AV$206,0,att_offset),"1"),IF(ev_split="Equal Split",ev_cost/MAX(1,COUNTA(Roster!$A$5:$A$204)),ev_cost/MAX(1,attendees))),"N/A"))</f>
        <v/>
      </c>
      <c r="K399" s="5"/>
      <c r="L399" s="5"/>
      <c r="M399" s="5"/>
      <c r="N399" s="5"/>
      <c r="O399" s="5"/>
      <c r="P399" s="5"/>
      <c r="Q399" s="5"/>
      <c r="R399" s="5"/>
      <c r="S399" s="5"/>
      <c r="T399" s="5"/>
      <c r="U399" s="5"/>
      <c r="V399" s="5"/>
      <c r="W399" s="5"/>
      <c r="X399" s="5"/>
      <c r="Y399" s="5"/>
      <c r="Z399" s="5"/>
    </row>
    <row r="400" ht="19.5" customHeight="1">
      <c r="A400" s="52"/>
      <c r="B400" s="53"/>
      <c r="C400" s="53"/>
      <c r="D400" s="53"/>
      <c r="E400" s="53"/>
      <c r="F400" s="61"/>
      <c r="G400" s="53"/>
      <c r="H400" s="53"/>
      <c r="I400" s="53"/>
      <c r="J400" s="48" t="str">
        <f t="array" ref="J400">IF(G400="","",IFERROR(LET(ev_cost,INDEX(Events!$G$5:$G$505,MATCH(G400,Events!$A$5:$A$505,0)),ev_split,INDEX(Events!$I$5:$I$505,MATCH(G400,Events!$A$5:$A$505,0)),att_offset,MATCH(G400,Attendance!$B$3:$AV$3,0),attendees,COUNTIF(INDEX(Attendance!$B$7:$AV$206,0,att_offset),"1"),IF(ev_split="Equal Split",ev_cost/MAX(1,COUNTA(Roster!$A$5:$A$204)),ev_cost/MAX(1,attendees))),"N/A"))</f>
        <v/>
      </c>
      <c r="K400" s="5"/>
      <c r="L400" s="5"/>
      <c r="M400" s="5"/>
      <c r="N400" s="5"/>
      <c r="O400" s="5"/>
      <c r="P400" s="5"/>
      <c r="Q400" s="5"/>
      <c r="R400" s="5"/>
      <c r="S400" s="5"/>
      <c r="T400" s="5"/>
      <c r="U400" s="5"/>
      <c r="V400" s="5"/>
      <c r="W400" s="5"/>
      <c r="X400" s="5"/>
      <c r="Y400" s="5"/>
      <c r="Z400" s="5"/>
    </row>
    <row r="401" ht="19.5" customHeight="1">
      <c r="A401" s="49"/>
      <c r="B401" s="50"/>
      <c r="C401" s="50"/>
      <c r="D401" s="50"/>
      <c r="E401" s="50"/>
      <c r="F401" s="51"/>
      <c r="G401" s="50"/>
      <c r="H401" s="50"/>
      <c r="I401" s="50"/>
      <c r="J401" s="48" t="str">
        <f t="array" ref="J401">IF(G401="","",IFERROR(LET(ev_cost,INDEX(Events!$G$5:$G$505,MATCH(G401,Events!$A$5:$A$505,0)),ev_split,INDEX(Events!$I$5:$I$505,MATCH(G401,Events!$A$5:$A$505,0)),att_offset,MATCH(G401,Attendance!$B$3:$AV$3,0),attendees,COUNTIF(INDEX(Attendance!$B$7:$AV$206,0,att_offset),"1"),IF(ev_split="Equal Split",ev_cost/MAX(1,COUNTA(Roster!$A$5:$A$204)),ev_cost/MAX(1,attendees))),"N/A"))</f>
        <v/>
      </c>
      <c r="K401" s="5"/>
      <c r="L401" s="5"/>
      <c r="M401" s="5"/>
      <c r="N401" s="5"/>
      <c r="O401" s="5"/>
      <c r="P401" s="5"/>
      <c r="Q401" s="5"/>
      <c r="R401" s="5"/>
      <c r="S401" s="5"/>
      <c r="T401" s="5"/>
      <c r="U401" s="5"/>
      <c r="V401" s="5"/>
      <c r="W401" s="5"/>
      <c r="X401" s="5"/>
      <c r="Y401" s="5"/>
      <c r="Z401" s="5"/>
    </row>
    <row r="402" ht="19.5" customHeight="1">
      <c r="A402" s="52"/>
      <c r="B402" s="53"/>
      <c r="C402" s="53"/>
      <c r="D402" s="53"/>
      <c r="E402" s="53"/>
      <c r="F402" s="61"/>
      <c r="G402" s="53"/>
      <c r="H402" s="53"/>
      <c r="I402" s="53"/>
      <c r="J402" s="48" t="str">
        <f t="array" ref="J402">IF(G402="","",IFERROR(LET(ev_cost,INDEX(Events!$G$5:$G$505,MATCH(G402,Events!$A$5:$A$505,0)),ev_split,INDEX(Events!$I$5:$I$505,MATCH(G402,Events!$A$5:$A$505,0)),att_offset,MATCH(G402,Attendance!$B$3:$AV$3,0),attendees,COUNTIF(INDEX(Attendance!$B$7:$AV$206,0,att_offset),"1"),IF(ev_split="Equal Split",ev_cost/MAX(1,COUNTA(Roster!$A$5:$A$204)),ev_cost/MAX(1,attendees))),"N/A"))</f>
        <v/>
      </c>
      <c r="K402" s="5"/>
      <c r="L402" s="5"/>
      <c r="M402" s="5"/>
      <c r="N402" s="5"/>
      <c r="O402" s="5"/>
      <c r="P402" s="5"/>
      <c r="Q402" s="5"/>
      <c r="R402" s="5"/>
      <c r="S402" s="5"/>
      <c r="T402" s="5"/>
      <c r="U402" s="5"/>
      <c r="V402" s="5"/>
      <c r="W402" s="5"/>
      <c r="X402" s="5"/>
      <c r="Y402" s="5"/>
      <c r="Z402" s="5"/>
    </row>
    <row r="403" ht="19.5" customHeight="1">
      <c r="A403" s="49"/>
      <c r="B403" s="50"/>
      <c r="C403" s="50"/>
      <c r="D403" s="50"/>
      <c r="E403" s="50"/>
      <c r="F403" s="51"/>
      <c r="G403" s="50"/>
      <c r="H403" s="50"/>
      <c r="I403" s="50"/>
      <c r="J403" s="48" t="str">
        <f t="array" ref="J403">IF(G403="","",IFERROR(LET(ev_cost,INDEX(Events!$G$5:$G$505,MATCH(G403,Events!$A$5:$A$505,0)),ev_split,INDEX(Events!$I$5:$I$505,MATCH(G403,Events!$A$5:$A$505,0)),att_offset,MATCH(G403,Attendance!$B$3:$AV$3,0),attendees,COUNTIF(INDEX(Attendance!$B$7:$AV$206,0,att_offset),"1"),IF(ev_split="Equal Split",ev_cost/MAX(1,COUNTA(Roster!$A$5:$A$204)),ev_cost/MAX(1,attendees))),"N/A"))</f>
        <v/>
      </c>
      <c r="K403" s="5"/>
      <c r="L403" s="5"/>
      <c r="M403" s="5"/>
      <c r="N403" s="5"/>
      <c r="O403" s="5"/>
      <c r="P403" s="5"/>
      <c r="Q403" s="5"/>
      <c r="R403" s="5"/>
      <c r="S403" s="5"/>
      <c r="T403" s="5"/>
      <c r="U403" s="5"/>
      <c r="V403" s="5"/>
      <c r="W403" s="5"/>
      <c r="X403" s="5"/>
      <c r="Y403" s="5"/>
      <c r="Z403" s="5"/>
    </row>
    <row r="404" ht="19.5" customHeight="1">
      <c r="A404" s="52"/>
      <c r="B404" s="53"/>
      <c r="C404" s="53"/>
      <c r="D404" s="53"/>
      <c r="E404" s="53"/>
      <c r="F404" s="61"/>
      <c r="G404" s="53"/>
      <c r="H404" s="53"/>
      <c r="I404" s="53"/>
      <c r="J404" s="48" t="str">
        <f t="array" ref="J404">IF(G404="","",IFERROR(LET(ev_cost,INDEX(Events!$G$5:$G$505,MATCH(G404,Events!$A$5:$A$505,0)),ev_split,INDEX(Events!$I$5:$I$505,MATCH(G404,Events!$A$5:$A$505,0)),att_offset,MATCH(G404,Attendance!$B$3:$AV$3,0),attendees,COUNTIF(INDEX(Attendance!$B$7:$AV$206,0,att_offset),"1"),IF(ev_split="Equal Split",ev_cost/MAX(1,COUNTA(Roster!$A$5:$A$204)),ev_cost/MAX(1,attendees))),"N/A"))</f>
        <v/>
      </c>
      <c r="K404" s="5"/>
      <c r="L404" s="5"/>
      <c r="M404" s="5"/>
      <c r="N404" s="5"/>
      <c r="O404" s="5"/>
      <c r="P404" s="5"/>
      <c r="Q404" s="5"/>
      <c r="R404" s="5"/>
      <c r="S404" s="5"/>
      <c r="T404" s="5"/>
      <c r="U404" s="5"/>
      <c r="V404" s="5"/>
      <c r="W404" s="5"/>
      <c r="X404" s="5"/>
      <c r="Y404" s="5"/>
      <c r="Z404" s="5"/>
    </row>
    <row r="405" ht="19.5" customHeight="1">
      <c r="A405" s="49"/>
      <c r="B405" s="50"/>
      <c r="C405" s="50"/>
      <c r="D405" s="50"/>
      <c r="E405" s="50"/>
      <c r="F405" s="51"/>
      <c r="G405" s="50"/>
      <c r="H405" s="50"/>
      <c r="I405" s="50"/>
      <c r="J405" s="48" t="str">
        <f t="array" ref="J405">IF(G405="","",IFERROR(LET(ev_cost,INDEX(Events!$G$5:$G$505,MATCH(G405,Events!$A$5:$A$505,0)),ev_split,INDEX(Events!$I$5:$I$505,MATCH(G405,Events!$A$5:$A$505,0)),att_offset,MATCH(G405,Attendance!$B$3:$AV$3,0),attendees,COUNTIF(INDEX(Attendance!$B$7:$AV$206,0,att_offset),"1"),IF(ev_split="Equal Split",ev_cost/MAX(1,COUNTA(Roster!$A$5:$A$204)),ev_cost/MAX(1,attendees))),"N/A"))</f>
        <v/>
      </c>
      <c r="K405" s="5"/>
      <c r="L405" s="5"/>
      <c r="M405" s="5"/>
      <c r="N405" s="5"/>
      <c r="O405" s="5"/>
      <c r="P405" s="5"/>
      <c r="Q405" s="5"/>
      <c r="R405" s="5"/>
      <c r="S405" s="5"/>
      <c r="T405" s="5"/>
      <c r="U405" s="5"/>
      <c r="V405" s="5"/>
      <c r="W405" s="5"/>
      <c r="X405" s="5"/>
      <c r="Y405" s="5"/>
      <c r="Z405" s="5"/>
    </row>
    <row r="406" ht="19.5" customHeight="1">
      <c r="A406" s="52"/>
      <c r="B406" s="53"/>
      <c r="C406" s="53"/>
      <c r="D406" s="53"/>
      <c r="E406" s="53"/>
      <c r="F406" s="61"/>
      <c r="G406" s="53"/>
      <c r="H406" s="53"/>
      <c r="I406" s="53"/>
      <c r="J406" s="48" t="str">
        <f t="array" ref="J406">IF(G406="","",IFERROR(LET(ev_cost,INDEX(Events!$G$5:$G$505,MATCH(G406,Events!$A$5:$A$505,0)),ev_split,INDEX(Events!$I$5:$I$505,MATCH(G406,Events!$A$5:$A$505,0)),att_offset,MATCH(G406,Attendance!$B$3:$AV$3,0),attendees,COUNTIF(INDEX(Attendance!$B$7:$AV$206,0,att_offset),"1"),IF(ev_split="Equal Split",ev_cost/MAX(1,COUNTA(Roster!$A$5:$A$204)),ev_cost/MAX(1,attendees))),"N/A"))</f>
        <v/>
      </c>
      <c r="K406" s="5"/>
      <c r="L406" s="5"/>
      <c r="M406" s="5"/>
      <c r="N406" s="5"/>
      <c r="O406" s="5"/>
      <c r="P406" s="5"/>
      <c r="Q406" s="5"/>
      <c r="R406" s="5"/>
      <c r="S406" s="5"/>
      <c r="T406" s="5"/>
      <c r="U406" s="5"/>
      <c r="V406" s="5"/>
      <c r="W406" s="5"/>
      <c r="X406" s="5"/>
      <c r="Y406" s="5"/>
      <c r="Z406" s="5"/>
    </row>
    <row r="407" ht="19.5" customHeight="1">
      <c r="A407" s="49"/>
      <c r="B407" s="50"/>
      <c r="C407" s="50"/>
      <c r="D407" s="50"/>
      <c r="E407" s="50"/>
      <c r="F407" s="51"/>
      <c r="G407" s="50"/>
      <c r="H407" s="50"/>
      <c r="I407" s="50"/>
      <c r="J407" s="48" t="str">
        <f t="array" ref="J407">IF(G407="","",IFERROR(LET(ev_cost,INDEX(Events!$G$5:$G$505,MATCH(G407,Events!$A$5:$A$505,0)),ev_split,INDEX(Events!$I$5:$I$505,MATCH(G407,Events!$A$5:$A$505,0)),att_offset,MATCH(G407,Attendance!$B$3:$AV$3,0),attendees,COUNTIF(INDEX(Attendance!$B$7:$AV$206,0,att_offset),"1"),IF(ev_split="Equal Split",ev_cost/MAX(1,COUNTA(Roster!$A$5:$A$204)),ev_cost/MAX(1,attendees))),"N/A"))</f>
        <v/>
      </c>
      <c r="K407" s="5"/>
      <c r="L407" s="5"/>
      <c r="M407" s="5"/>
      <c r="N407" s="5"/>
      <c r="O407" s="5"/>
      <c r="P407" s="5"/>
      <c r="Q407" s="5"/>
      <c r="R407" s="5"/>
      <c r="S407" s="5"/>
      <c r="T407" s="5"/>
      <c r="U407" s="5"/>
      <c r="V407" s="5"/>
      <c r="W407" s="5"/>
      <c r="X407" s="5"/>
      <c r="Y407" s="5"/>
      <c r="Z407" s="5"/>
    </row>
    <row r="408" ht="19.5" customHeight="1">
      <c r="A408" s="52"/>
      <c r="B408" s="53"/>
      <c r="C408" s="53"/>
      <c r="D408" s="53"/>
      <c r="E408" s="53"/>
      <c r="F408" s="61"/>
      <c r="G408" s="53"/>
      <c r="H408" s="53"/>
      <c r="I408" s="53"/>
      <c r="J408" s="48" t="str">
        <f t="array" ref="J408">IF(G408="","",IFERROR(LET(ev_cost,INDEX(Events!$G$5:$G$505,MATCH(G408,Events!$A$5:$A$505,0)),ev_split,INDEX(Events!$I$5:$I$505,MATCH(G408,Events!$A$5:$A$505,0)),att_offset,MATCH(G408,Attendance!$B$3:$AV$3,0),attendees,COUNTIF(INDEX(Attendance!$B$7:$AV$206,0,att_offset),"1"),IF(ev_split="Equal Split",ev_cost/MAX(1,COUNTA(Roster!$A$5:$A$204)),ev_cost/MAX(1,attendees))),"N/A"))</f>
        <v/>
      </c>
      <c r="K408" s="5"/>
      <c r="L408" s="5"/>
      <c r="M408" s="5"/>
      <c r="N408" s="5"/>
      <c r="O408" s="5"/>
      <c r="P408" s="5"/>
      <c r="Q408" s="5"/>
      <c r="R408" s="5"/>
      <c r="S408" s="5"/>
      <c r="T408" s="5"/>
      <c r="U408" s="5"/>
      <c r="V408" s="5"/>
      <c r="W408" s="5"/>
      <c r="X408" s="5"/>
      <c r="Y408" s="5"/>
      <c r="Z408" s="5"/>
    </row>
    <row r="409" ht="19.5" customHeight="1">
      <c r="A409" s="49"/>
      <c r="B409" s="50"/>
      <c r="C409" s="50"/>
      <c r="D409" s="50"/>
      <c r="E409" s="50"/>
      <c r="F409" s="51"/>
      <c r="G409" s="50"/>
      <c r="H409" s="50"/>
      <c r="I409" s="50"/>
      <c r="J409" s="48" t="str">
        <f t="array" ref="J409">IF(G409="","",IFERROR(LET(ev_cost,INDEX(Events!$G$5:$G$505,MATCH(G409,Events!$A$5:$A$505,0)),ev_split,INDEX(Events!$I$5:$I$505,MATCH(G409,Events!$A$5:$A$505,0)),att_offset,MATCH(G409,Attendance!$B$3:$AV$3,0),attendees,COUNTIF(INDEX(Attendance!$B$7:$AV$206,0,att_offset),"1"),IF(ev_split="Equal Split",ev_cost/MAX(1,COUNTA(Roster!$A$5:$A$204)),ev_cost/MAX(1,attendees))),"N/A"))</f>
        <v/>
      </c>
      <c r="K409" s="5"/>
      <c r="L409" s="5"/>
      <c r="M409" s="5"/>
      <c r="N409" s="5"/>
      <c r="O409" s="5"/>
      <c r="P409" s="5"/>
      <c r="Q409" s="5"/>
      <c r="R409" s="5"/>
      <c r="S409" s="5"/>
      <c r="T409" s="5"/>
      <c r="U409" s="5"/>
      <c r="V409" s="5"/>
      <c r="W409" s="5"/>
      <c r="X409" s="5"/>
      <c r="Y409" s="5"/>
      <c r="Z409" s="5"/>
    </row>
    <row r="410" ht="19.5" customHeight="1">
      <c r="A410" s="52"/>
      <c r="B410" s="53"/>
      <c r="C410" s="53"/>
      <c r="D410" s="53"/>
      <c r="E410" s="53"/>
      <c r="F410" s="61"/>
      <c r="G410" s="53"/>
      <c r="H410" s="53"/>
      <c r="I410" s="53"/>
      <c r="J410" s="48" t="str">
        <f t="array" ref="J410">IF(G410="","",IFERROR(LET(ev_cost,INDEX(Events!$G$5:$G$505,MATCH(G410,Events!$A$5:$A$505,0)),ev_split,INDEX(Events!$I$5:$I$505,MATCH(G410,Events!$A$5:$A$505,0)),att_offset,MATCH(G410,Attendance!$B$3:$AV$3,0),attendees,COUNTIF(INDEX(Attendance!$B$7:$AV$206,0,att_offset),"1"),IF(ev_split="Equal Split",ev_cost/MAX(1,COUNTA(Roster!$A$5:$A$204)),ev_cost/MAX(1,attendees))),"N/A"))</f>
        <v/>
      </c>
      <c r="K410" s="5"/>
      <c r="L410" s="5"/>
      <c r="M410" s="5"/>
      <c r="N410" s="5"/>
      <c r="O410" s="5"/>
      <c r="P410" s="5"/>
      <c r="Q410" s="5"/>
      <c r="R410" s="5"/>
      <c r="S410" s="5"/>
      <c r="T410" s="5"/>
      <c r="U410" s="5"/>
      <c r="V410" s="5"/>
      <c r="W410" s="5"/>
      <c r="X410" s="5"/>
      <c r="Y410" s="5"/>
      <c r="Z410" s="5"/>
    </row>
    <row r="411" ht="19.5" customHeight="1">
      <c r="A411" s="49"/>
      <c r="B411" s="50"/>
      <c r="C411" s="50"/>
      <c r="D411" s="50"/>
      <c r="E411" s="50"/>
      <c r="F411" s="51"/>
      <c r="G411" s="50"/>
      <c r="H411" s="50"/>
      <c r="I411" s="50"/>
      <c r="J411" s="48" t="str">
        <f t="array" ref="J411">IF(G411="","",IFERROR(LET(ev_cost,INDEX(Events!$G$5:$G$505,MATCH(G411,Events!$A$5:$A$505,0)),ev_split,INDEX(Events!$I$5:$I$505,MATCH(G411,Events!$A$5:$A$505,0)),att_offset,MATCH(G411,Attendance!$B$3:$AV$3,0),attendees,COUNTIF(INDEX(Attendance!$B$7:$AV$206,0,att_offset),"1"),IF(ev_split="Equal Split",ev_cost/MAX(1,COUNTA(Roster!$A$5:$A$204)),ev_cost/MAX(1,attendees))),"N/A"))</f>
        <v/>
      </c>
      <c r="K411" s="5"/>
      <c r="L411" s="5"/>
      <c r="M411" s="5"/>
      <c r="N411" s="5"/>
      <c r="O411" s="5"/>
      <c r="P411" s="5"/>
      <c r="Q411" s="5"/>
      <c r="R411" s="5"/>
      <c r="S411" s="5"/>
      <c r="T411" s="5"/>
      <c r="U411" s="5"/>
      <c r="V411" s="5"/>
      <c r="W411" s="5"/>
      <c r="X411" s="5"/>
      <c r="Y411" s="5"/>
      <c r="Z411" s="5"/>
    </row>
    <row r="412" ht="19.5" customHeight="1">
      <c r="A412" s="52"/>
      <c r="B412" s="53"/>
      <c r="C412" s="53"/>
      <c r="D412" s="53"/>
      <c r="E412" s="53"/>
      <c r="F412" s="61"/>
      <c r="G412" s="53"/>
      <c r="H412" s="53"/>
      <c r="I412" s="53"/>
      <c r="J412" s="48" t="str">
        <f t="array" ref="J412">IF(G412="","",IFERROR(LET(ev_cost,INDEX(Events!$G$5:$G$505,MATCH(G412,Events!$A$5:$A$505,0)),ev_split,INDEX(Events!$I$5:$I$505,MATCH(G412,Events!$A$5:$A$505,0)),att_offset,MATCH(G412,Attendance!$B$3:$AV$3,0),attendees,COUNTIF(INDEX(Attendance!$B$7:$AV$206,0,att_offset),"1"),IF(ev_split="Equal Split",ev_cost/MAX(1,COUNTA(Roster!$A$5:$A$204)),ev_cost/MAX(1,attendees))),"N/A"))</f>
        <v/>
      </c>
      <c r="K412" s="5"/>
      <c r="L412" s="5"/>
      <c r="M412" s="5"/>
      <c r="N412" s="5"/>
      <c r="O412" s="5"/>
      <c r="P412" s="5"/>
      <c r="Q412" s="5"/>
      <c r="R412" s="5"/>
      <c r="S412" s="5"/>
      <c r="T412" s="5"/>
      <c r="U412" s="5"/>
      <c r="V412" s="5"/>
      <c r="W412" s="5"/>
      <c r="X412" s="5"/>
      <c r="Y412" s="5"/>
      <c r="Z412" s="5"/>
    </row>
    <row r="413" ht="19.5" customHeight="1">
      <c r="A413" s="49"/>
      <c r="B413" s="50"/>
      <c r="C413" s="50"/>
      <c r="D413" s="50"/>
      <c r="E413" s="50"/>
      <c r="F413" s="51"/>
      <c r="G413" s="50"/>
      <c r="H413" s="50"/>
      <c r="I413" s="50"/>
      <c r="J413" s="48" t="str">
        <f t="array" ref="J413">IF(G413="","",IFERROR(LET(ev_cost,INDEX(Events!$G$5:$G$505,MATCH(G413,Events!$A$5:$A$505,0)),ev_split,INDEX(Events!$I$5:$I$505,MATCH(G413,Events!$A$5:$A$505,0)),att_offset,MATCH(G413,Attendance!$B$3:$AV$3,0),attendees,COUNTIF(INDEX(Attendance!$B$7:$AV$206,0,att_offset),"1"),IF(ev_split="Equal Split",ev_cost/MAX(1,COUNTA(Roster!$A$5:$A$204)),ev_cost/MAX(1,attendees))),"N/A"))</f>
        <v/>
      </c>
      <c r="K413" s="5"/>
      <c r="L413" s="5"/>
      <c r="M413" s="5"/>
      <c r="N413" s="5"/>
      <c r="O413" s="5"/>
      <c r="P413" s="5"/>
      <c r="Q413" s="5"/>
      <c r="R413" s="5"/>
      <c r="S413" s="5"/>
      <c r="T413" s="5"/>
      <c r="U413" s="5"/>
      <c r="V413" s="5"/>
      <c r="W413" s="5"/>
      <c r="X413" s="5"/>
      <c r="Y413" s="5"/>
      <c r="Z413" s="5"/>
    </row>
    <row r="414" ht="19.5" customHeight="1">
      <c r="A414" s="52"/>
      <c r="B414" s="53"/>
      <c r="C414" s="53"/>
      <c r="D414" s="53"/>
      <c r="E414" s="53"/>
      <c r="F414" s="61"/>
      <c r="G414" s="53"/>
      <c r="H414" s="53"/>
      <c r="I414" s="53"/>
      <c r="J414" s="48" t="str">
        <f t="array" ref="J414">IF(G414="","",IFERROR(LET(ev_cost,INDEX(Events!$G$5:$G$505,MATCH(G414,Events!$A$5:$A$505,0)),ev_split,INDEX(Events!$I$5:$I$505,MATCH(G414,Events!$A$5:$A$505,0)),att_offset,MATCH(G414,Attendance!$B$3:$AV$3,0),attendees,COUNTIF(INDEX(Attendance!$B$7:$AV$206,0,att_offset),"1"),IF(ev_split="Equal Split",ev_cost/MAX(1,COUNTA(Roster!$A$5:$A$204)),ev_cost/MAX(1,attendees))),"N/A"))</f>
        <v/>
      </c>
      <c r="K414" s="5"/>
      <c r="L414" s="5"/>
      <c r="M414" s="5"/>
      <c r="N414" s="5"/>
      <c r="O414" s="5"/>
      <c r="P414" s="5"/>
      <c r="Q414" s="5"/>
      <c r="R414" s="5"/>
      <c r="S414" s="5"/>
      <c r="T414" s="5"/>
      <c r="U414" s="5"/>
      <c r="V414" s="5"/>
      <c r="W414" s="5"/>
      <c r="X414" s="5"/>
      <c r="Y414" s="5"/>
      <c r="Z414" s="5"/>
    </row>
    <row r="415" ht="19.5" customHeight="1">
      <c r="A415" s="49"/>
      <c r="B415" s="50"/>
      <c r="C415" s="50"/>
      <c r="D415" s="50"/>
      <c r="E415" s="50"/>
      <c r="F415" s="51"/>
      <c r="G415" s="50"/>
      <c r="H415" s="50"/>
      <c r="I415" s="50"/>
      <c r="J415" s="48" t="str">
        <f t="array" ref="J415">IF(G415="","",IFERROR(LET(ev_cost,INDEX(Events!$G$5:$G$505,MATCH(G415,Events!$A$5:$A$505,0)),ev_split,INDEX(Events!$I$5:$I$505,MATCH(G415,Events!$A$5:$A$505,0)),att_offset,MATCH(G415,Attendance!$B$3:$AV$3,0),attendees,COUNTIF(INDEX(Attendance!$B$7:$AV$206,0,att_offset),"1"),IF(ev_split="Equal Split",ev_cost/MAX(1,COUNTA(Roster!$A$5:$A$204)),ev_cost/MAX(1,attendees))),"N/A"))</f>
        <v/>
      </c>
      <c r="K415" s="5"/>
      <c r="L415" s="5"/>
      <c r="M415" s="5"/>
      <c r="N415" s="5"/>
      <c r="O415" s="5"/>
      <c r="P415" s="5"/>
      <c r="Q415" s="5"/>
      <c r="R415" s="5"/>
      <c r="S415" s="5"/>
      <c r="T415" s="5"/>
      <c r="U415" s="5"/>
      <c r="V415" s="5"/>
      <c r="W415" s="5"/>
      <c r="X415" s="5"/>
      <c r="Y415" s="5"/>
      <c r="Z415" s="5"/>
    </row>
    <row r="416" ht="19.5" customHeight="1">
      <c r="A416" s="52"/>
      <c r="B416" s="53"/>
      <c r="C416" s="53"/>
      <c r="D416" s="53"/>
      <c r="E416" s="53"/>
      <c r="F416" s="61"/>
      <c r="G416" s="53"/>
      <c r="H416" s="53"/>
      <c r="I416" s="53"/>
      <c r="J416" s="48" t="str">
        <f t="array" ref="J416">IF(G416="","",IFERROR(LET(ev_cost,INDEX(Events!$G$5:$G$505,MATCH(G416,Events!$A$5:$A$505,0)),ev_split,INDEX(Events!$I$5:$I$505,MATCH(G416,Events!$A$5:$A$505,0)),att_offset,MATCH(G416,Attendance!$B$3:$AV$3,0),attendees,COUNTIF(INDEX(Attendance!$B$7:$AV$206,0,att_offset),"1"),IF(ev_split="Equal Split",ev_cost/MAX(1,COUNTA(Roster!$A$5:$A$204)),ev_cost/MAX(1,attendees))),"N/A"))</f>
        <v/>
      </c>
      <c r="K416" s="5"/>
      <c r="L416" s="5"/>
      <c r="M416" s="5"/>
      <c r="N416" s="5"/>
      <c r="O416" s="5"/>
      <c r="P416" s="5"/>
      <c r="Q416" s="5"/>
      <c r="R416" s="5"/>
      <c r="S416" s="5"/>
      <c r="T416" s="5"/>
      <c r="U416" s="5"/>
      <c r="V416" s="5"/>
      <c r="W416" s="5"/>
      <c r="X416" s="5"/>
      <c r="Y416" s="5"/>
      <c r="Z416" s="5"/>
    </row>
    <row r="417" ht="19.5" customHeight="1">
      <c r="A417" s="49"/>
      <c r="B417" s="50"/>
      <c r="C417" s="50"/>
      <c r="D417" s="50"/>
      <c r="E417" s="50"/>
      <c r="F417" s="51"/>
      <c r="G417" s="50"/>
      <c r="H417" s="50"/>
      <c r="I417" s="50"/>
      <c r="J417" s="48" t="str">
        <f t="array" ref="J417">IF(G417="","",IFERROR(LET(ev_cost,INDEX(Events!$G$5:$G$505,MATCH(G417,Events!$A$5:$A$505,0)),ev_split,INDEX(Events!$I$5:$I$505,MATCH(G417,Events!$A$5:$A$505,0)),att_offset,MATCH(G417,Attendance!$B$3:$AV$3,0),attendees,COUNTIF(INDEX(Attendance!$B$7:$AV$206,0,att_offset),"1"),IF(ev_split="Equal Split",ev_cost/MAX(1,COUNTA(Roster!$A$5:$A$204)),ev_cost/MAX(1,attendees))),"N/A"))</f>
        <v/>
      </c>
      <c r="K417" s="5"/>
      <c r="L417" s="5"/>
      <c r="M417" s="5"/>
      <c r="N417" s="5"/>
      <c r="O417" s="5"/>
      <c r="P417" s="5"/>
      <c r="Q417" s="5"/>
      <c r="R417" s="5"/>
      <c r="S417" s="5"/>
      <c r="T417" s="5"/>
      <c r="U417" s="5"/>
      <c r="V417" s="5"/>
      <c r="W417" s="5"/>
      <c r="X417" s="5"/>
      <c r="Y417" s="5"/>
      <c r="Z417" s="5"/>
    </row>
    <row r="418" ht="19.5" customHeight="1">
      <c r="A418" s="52"/>
      <c r="B418" s="53"/>
      <c r="C418" s="53"/>
      <c r="D418" s="53"/>
      <c r="E418" s="53"/>
      <c r="F418" s="61"/>
      <c r="G418" s="53"/>
      <c r="H418" s="53"/>
      <c r="I418" s="53"/>
      <c r="J418" s="48" t="str">
        <f t="array" ref="J418">IF(G418="","",IFERROR(LET(ev_cost,INDEX(Events!$G$5:$G$505,MATCH(G418,Events!$A$5:$A$505,0)),ev_split,INDEX(Events!$I$5:$I$505,MATCH(G418,Events!$A$5:$A$505,0)),att_offset,MATCH(G418,Attendance!$B$3:$AV$3,0),attendees,COUNTIF(INDEX(Attendance!$B$7:$AV$206,0,att_offset),"1"),IF(ev_split="Equal Split",ev_cost/MAX(1,COUNTA(Roster!$A$5:$A$204)),ev_cost/MAX(1,attendees))),"N/A"))</f>
        <v/>
      </c>
      <c r="K418" s="5"/>
      <c r="L418" s="5"/>
      <c r="M418" s="5"/>
      <c r="N418" s="5"/>
      <c r="O418" s="5"/>
      <c r="P418" s="5"/>
      <c r="Q418" s="5"/>
      <c r="R418" s="5"/>
      <c r="S418" s="5"/>
      <c r="T418" s="5"/>
      <c r="U418" s="5"/>
      <c r="V418" s="5"/>
      <c r="W418" s="5"/>
      <c r="X418" s="5"/>
      <c r="Y418" s="5"/>
      <c r="Z418" s="5"/>
    </row>
    <row r="419" ht="19.5" customHeight="1">
      <c r="A419" s="49"/>
      <c r="B419" s="50"/>
      <c r="C419" s="50"/>
      <c r="D419" s="50"/>
      <c r="E419" s="50"/>
      <c r="F419" s="51"/>
      <c r="G419" s="50"/>
      <c r="H419" s="50"/>
      <c r="I419" s="50"/>
      <c r="J419" s="48" t="str">
        <f t="array" ref="J419">IF(G419="","",IFERROR(LET(ev_cost,INDEX(Events!$G$5:$G$505,MATCH(G419,Events!$A$5:$A$505,0)),ev_split,INDEX(Events!$I$5:$I$505,MATCH(G419,Events!$A$5:$A$505,0)),att_offset,MATCH(G419,Attendance!$B$3:$AV$3,0),attendees,COUNTIF(INDEX(Attendance!$B$7:$AV$206,0,att_offset),"1"),IF(ev_split="Equal Split",ev_cost/MAX(1,COUNTA(Roster!$A$5:$A$204)),ev_cost/MAX(1,attendees))),"N/A"))</f>
        <v/>
      </c>
      <c r="K419" s="5"/>
      <c r="L419" s="5"/>
      <c r="M419" s="5"/>
      <c r="N419" s="5"/>
      <c r="O419" s="5"/>
      <c r="P419" s="5"/>
      <c r="Q419" s="5"/>
      <c r="R419" s="5"/>
      <c r="S419" s="5"/>
      <c r="T419" s="5"/>
      <c r="U419" s="5"/>
      <c r="V419" s="5"/>
      <c r="W419" s="5"/>
      <c r="X419" s="5"/>
      <c r="Y419" s="5"/>
      <c r="Z419" s="5"/>
    </row>
    <row r="420" ht="19.5" customHeight="1">
      <c r="A420" s="52"/>
      <c r="B420" s="53"/>
      <c r="C420" s="53"/>
      <c r="D420" s="53"/>
      <c r="E420" s="53"/>
      <c r="F420" s="61"/>
      <c r="G420" s="53"/>
      <c r="H420" s="53"/>
      <c r="I420" s="53"/>
      <c r="J420" s="48" t="str">
        <f t="array" ref="J420">IF(G420="","",IFERROR(LET(ev_cost,INDEX(Events!$G$5:$G$505,MATCH(G420,Events!$A$5:$A$505,0)),ev_split,INDEX(Events!$I$5:$I$505,MATCH(G420,Events!$A$5:$A$505,0)),att_offset,MATCH(G420,Attendance!$B$3:$AV$3,0),attendees,COUNTIF(INDEX(Attendance!$B$7:$AV$206,0,att_offset),"1"),IF(ev_split="Equal Split",ev_cost/MAX(1,COUNTA(Roster!$A$5:$A$204)),ev_cost/MAX(1,attendees))),"N/A"))</f>
        <v/>
      </c>
      <c r="K420" s="5"/>
      <c r="L420" s="5"/>
      <c r="M420" s="5"/>
      <c r="N420" s="5"/>
      <c r="O420" s="5"/>
      <c r="P420" s="5"/>
      <c r="Q420" s="5"/>
      <c r="R420" s="5"/>
      <c r="S420" s="5"/>
      <c r="T420" s="5"/>
      <c r="U420" s="5"/>
      <c r="V420" s="5"/>
      <c r="W420" s="5"/>
      <c r="X420" s="5"/>
      <c r="Y420" s="5"/>
      <c r="Z420" s="5"/>
    </row>
    <row r="421" ht="19.5" customHeight="1">
      <c r="A421" s="49"/>
      <c r="B421" s="50"/>
      <c r="C421" s="50"/>
      <c r="D421" s="50"/>
      <c r="E421" s="50"/>
      <c r="F421" s="51"/>
      <c r="G421" s="50"/>
      <c r="H421" s="50"/>
      <c r="I421" s="50"/>
      <c r="J421" s="48" t="str">
        <f t="array" ref="J421">IF(G421="","",IFERROR(LET(ev_cost,INDEX(Events!$G$5:$G$505,MATCH(G421,Events!$A$5:$A$505,0)),ev_split,INDEX(Events!$I$5:$I$505,MATCH(G421,Events!$A$5:$A$505,0)),att_offset,MATCH(G421,Attendance!$B$3:$AV$3,0),attendees,COUNTIF(INDEX(Attendance!$B$7:$AV$206,0,att_offset),"1"),IF(ev_split="Equal Split",ev_cost/MAX(1,COUNTA(Roster!$A$5:$A$204)),ev_cost/MAX(1,attendees))),"N/A"))</f>
        <v/>
      </c>
      <c r="K421" s="5"/>
      <c r="L421" s="5"/>
      <c r="M421" s="5"/>
      <c r="N421" s="5"/>
      <c r="O421" s="5"/>
      <c r="P421" s="5"/>
      <c r="Q421" s="5"/>
      <c r="R421" s="5"/>
      <c r="S421" s="5"/>
      <c r="T421" s="5"/>
      <c r="U421" s="5"/>
      <c r="V421" s="5"/>
      <c r="W421" s="5"/>
      <c r="X421" s="5"/>
      <c r="Y421" s="5"/>
      <c r="Z421" s="5"/>
    </row>
    <row r="422" ht="19.5" customHeight="1">
      <c r="A422" s="52"/>
      <c r="B422" s="53"/>
      <c r="C422" s="53"/>
      <c r="D422" s="53"/>
      <c r="E422" s="53"/>
      <c r="F422" s="61"/>
      <c r="G422" s="53"/>
      <c r="H422" s="53"/>
      <c r="I422" s="53"/>
      <c r="J422" s="48" t="str">
        <f t="array" ref="J422">IF(G422="","",IFERROR(LET(ev_cost,INDEX(Events!$G$5:$G$505,MATCH(G422,Events!$A$5:$A$505,0)),ev_split,INDEX(Events!$I$5:$I$505,MATCH(G422,Events!$A$5:$A$505,0)),att_offset,MATCH(G422,Attendance!$B$3:$AV$3,0),attendees,COUNTIF(INDEX(Attendance!$B$7:$AV$206,0,att_offset),"1"),IF(ev_split="Equal Split",ev_cost/MAX(1,COUNTA(Roster!$A$5:$A$204)),ev_cost/MAX(1,attendees))),"N/A"))</f>
        <v/>
      </c>
      <c r="K422" s="5"/>
      <c r="L422" s="5"/>
      <c r="M422" s="5"/>
      <c r="N422" s="5"/>
      <c r="O422" s="5"/>
      <c r="P422" s="5"/>
      <c r="Q422" s="5"/>
      <c r="R422" s="5"/>
      <c r="S422" s="5"/>
      <c r="T422" s="5"/>
      <c r="U422" s="5"/>
      <c r="V422" s="5"/>
      <c r="W422" s="5"/>
      <c r="X422" s="5"/>
      <c r="Y422" s="5"/>
      <c r="Z422" s="5"/>
    </row>
    <row r="423" ht="19.5" customHeight="1">
      <c r="A423" s="49"/>
      <c r="B423" s="50"/>
      <c r="C423" s="50"/>
      <c r="D423" s="50"/>
      <c r="E423" s="50"/>
      <c r="F423" s="51"/>
      <c r="G423" s="50"/>
      <c r="H423" s="50"/>
      <c r="I423" s="50"/>
      <c r="J423" s="48" t="str">
        <f t="array" ref="J423">IF(G423="","",IFERROR(LET(ev_cost,INDEX(Events!$G$5:$G$505,MATCH(G423,Events!$A$5:$A$505,0)),ev_split,INDEX(Events!$I$5:$I$505,MATCH(G423,Events!$A$5:$A$505,0)),att_offset,MATCH(G423,Attendance!$B$3:$AV$3,0),attendees,COUNTIF(INDEX(Attendance!$B$7:$AV$206,0,att_offset),"1"),IF(ev_split="Equal Split",ev_cost/MAX(1,COUNTA(Roster!$A$5:$A$204)),ev_cost/MAX(1,attendees))),"N/A"))</f>
        <v/>
      </c>
      <c r="K423" s="5"/>
      <c r="L423" s="5"/>
      <c r="M423" s="5"/>
      <c r="N423" s="5"/>
      <c r="O423" s="5"/>
      <c r="P423" s="5"/>
      <c r="Q423" s="5"/>
      <c r="R423" s="5"/>
      <c r="S423" s="5"/>
      <c r="T423" s="5"/>
      <c r="U423" s="5"/>
      <c r="V423" s="5"/>
      <c r="W423" s="5"/>
      <c r="X423" s="5"/>
      <c r="Y423" s="5"/>
      <c r="Z423" s="5"/>
    </row>
    <row r="424" ht="19.5" customHeight="1">
      <c r="A424" s="52"/>
      <c r="B424" s="53"/>
      <c r="C424" s="53"/>
      <c r="D424" s="53"/>
      <c r="E424" s="53"/>
      <c r="F424" s="61"/>
      <c r="G424" s="53"/>
      <c r="H424" s="53"/>
      <c r="I424" s="53"/>
      <c r="J424" s="48" t="str">
        <f t="array" ref="J424">IF(G424="","",IFERROR(LET(ev_cost,INDEX(Events!$G$5:$G$505,MATCH(G424,Events!$A$5:$A$505,0)),ev_split,INDEX(Events!$I$5:$I$505,MATCH(G424,Events!$A$5:$A$505,0)),att_offset,MATCH(G424,Attendance!$B$3:$AV$3,0),attendees,COUNTIF(INDEX(Attendance!$B$7:$AV$206,0,att_offset),"1"),IF(ev_split="Equal Split",ev_cost/MAX(1,COUNTA(Roster!$A$5:$A$204)),ev_cost/MAX(1,attendees))),"N/A"))</f>
        <v/>
      </c>
      <c r="K424" s="5"/>
      <c r="L424" s="5"/>
      <c r="M424" s="5"/>
      <c r="N424" s="5"/>
      <c r="O424" s="5"/>
      <c r="P424" s="5"/>
      <c r="Q424" s="5"/>
      <c r="R424" s="5"/>
      <c r="S424" s="5"/>
      <c r="T424" s="5"/>
      <c r="U424" s="5"/>
      <c r="V424" s="5"/>
      <c r="W424" s="5"/>
      <c r="X424" s="5"/>
      <c r="Y424" s="5"/>
      <c r="Z424" s="5"/>
    </row>
    <row r="425" ht="19.5" customHeight="1">
      <c r="A425" s="49"/>
      <c r="B425" s="50"/>
      <c r="C425" s="50"/>
      <c r="D425" s="50"/>
      <c r="E425" s="50"/>
      <c r="F425" s="51"/>
      <c r="G425" s="50"/>
      <c r="H425" s="50"/>
      <c r="I425" s="50"/>
      <c r="J425" s="48" t="str">
        <f t="array" ref="J425">IF(G425="","",IFERROR(LET(ev_cost,INDEX(Events!$G$5:$G$505,MATCH(G425,Events!$A$5:$A$505,0)),ev_split,INDEX(Events!$I$5:$I$505,MATCH(G425,Events!$A$5:$A$505,0)),att_offset,MATCH(G425,Attendance!$B$3:$AV$3,0),attendees,COUNTIF(INDEX(Attendance!$B$7:$AV$206,0,att_offset),"1"),IF(ev_split="Equal Split",ev_cost/MAX(1,COUNTA(Roster!$A$5:$A$204)),ev_cost/MAX(1,attendees))),"N/A"))</f>
        <v/>
      </c>
      <c r="K425" s="5"/>
      <c r="L425" s="5"/>
      <c r="M425" s="5"/>
      <c r="N425" s="5"/>
      <c r="O425" s="5"/>
      <c r="P425" s="5"/>
      <c r="Q425" s="5"/>
      <c r="R425" s="5"/>
      <c r="S425" s="5"/>
      <c r="T425" s="5"/>
      <c r="U425" s="5"/>
      <c r="V425" s="5"/>
      <c r="W425" s="5"/>
      <c r="X425" s="5"/>
      <c r="Y425" s="5"/>
      <c r="Z425" s="5"/>
    </row>
    <row r="426" ht="19.5" customHeight="1">
      <c r="A426" s="52"/>
      <c r="B426" s="53"/>
      <c r="C426" s="53"/>
      <c r="D426" s="53"/>
      <c r="E426" s="53"/>
      <c r="F426" s="61"/>
      <c r="G426" s="53"/>
      <c r="H426" s="53"/>
      <c r="I426" s="53"/>
      <c r="J426" s="48" t="str">
        <f t="array" ref="J426">IF(G426="","",IFERROR(LET(ev_cost,INDEX(Events!$G$5:$G$505,MATCH(G426,Events!$A$5:$A$505,0)),ev_split,INDEX(Events!$I$5:$I$505,MATCH(G426,Events!$A$5:$A$505,0)),att_offset,MATCH(G426,Attendance!$B$3:$AV$3,0),attendees,COUNTIF(INDEX(Attendance!$B$7:$AV$206,0,att_offset),"1"),IF(ev_split="Equal Split",ev_cost/MAX(1,COUNTA(Roster!$A$5:$A$204)),ev_cost/MAX(1,attendees))),"N/A"))</f>
        <v/>
      </c>
      <c r="K426" s="5"/>
      <c r="L426" s="5"/>
      <c r="M426" s="5"/>
      <c r="N426" s="5"/>
      <c r="O426" s="5"/>
      <c r="P426" s="5"/>
      <c r="Q426" s="5"/>
      <c r="R426" s="5"/>
      <c r="S426" s="5"/>
      <c r="T426" s="5"/>
      <c r="U426" s="5"/>
      <c r="V426" s="5"/>
      <c r="W426" s="5"/>
      <c r="X426" s="5"/>
      <c r="Y426" s="5"/>
      <c r="Z426" s="5"/>
    </row>
    <row r="427" ht="19.5" customHeight="1">
      <c r="A427" s="49"/>
      <c r="B427" s="50"/>
      <c r="C427" s="50"/>
      <c r="D427" s="50"/>
      <c r="E427" s="50"/>
      <c r="F427" s="51"/>
      <c r="G427" s="50"/>
      <c r="H427" s="50"/>
      <c r="I427" s="50"/>
      <c r="J427" s="48" t="str">
        <f t="array" ref="J427">IF(G427="","",IFERROR(LET(ev_cost,INDEX(Events!$G$5:$G$505,MATCH(G427,Events!$A$5:$A$505,0)),ev_split,INDEX(Events!$I$5:$I$505,MATCH(G427,Events!$A$5:$A$505,0)),att_offset,MATCH(G427,Attendance!$B$3:$AV$3,0),attendees,COUNTIF(INDEX(Attendance!$B$7:$AV$206,0,att_offset),"1"),IF(ev_split="Equal Split",ev_cost/MAX(1,COUNTA(Roster!$A$5:$A$204)),ev_cost/MAX(1,attendees))),"N/A"))</f>
        <v/>
      </c>
      <c r="K427" s="5"/>
      <c r="L427" s="5"/>
      <c r="M427" s="5"/>
      <c r="N427" s="5"/>
      <c r="O427" s="5"/>
      <c r="P427" s="5"/>
      <c r="Q427" s="5"/>
      <c r="R427" s="5"/>
      <c r="S427" s="5"/>
      <c r="T427" s="5"/>
      <c r="U427" s="5"/>
      <c r="V427" s="5"/>
      <c r="W427" s="5"/>
      <c r="X427" s="5"/>
      <c r="Y427" s="5"/>
      <c r="Z427" s="5"/>
    </row>
    <row r="428" ht="19.5" customHeight="1">
      <c r="A428" s="52"/>
      <c r="B428" s="53"/>
      <c r="C428" s="53"/>
      <c r="D428" s="53"/>
      <c r="E428" s="53"/>
      <c r="F428" s="61"/>
      <c r="G428" s="53"/>
      <c r="H428" s="53"/>
      <c r="I428" s="53"/>
      <c r="J428" s="48" t="str">
        <f t="array" ref="J428">IF(G428="","",IFERROR(LET(ev_cost,INDEX(Events!$G$5:$G$505,MATCH(G428,Events!$A$5:$A$505,0)),ev_split,INDEX(Events!$I$5:$I$505,MATCH(G428,Events!$A$5:$A$505,0)),att_offset,MATCH(G428,Attendance!$B$3:$AV$3,0),attendees,COUNTIF(INDEX(Attendance!$B$7:$AV$206,0,att_offset),"1"),IF(ev_split="Equal Split",ev_cost/MAX(1,COUNTA(Roster!$A$5:$A$204)),ev_cost/MAX(1,attendees))),"N/A"))</f>
        <v/>
      </c>
      <c r="K428" s="5"/>
      <c r="L428" s="5"/>
      <c r="M428" s="5"/>
      <c r="N428" s="5"/>
      <c r="O428" s="5"/>
      <c r="P428" s="5"/>
      <c r="Q428" s="5"/>
      <c r="R428" s="5"/>
      <c r="S428" s="5"/>
      <c r="T428" s="5"/>
      <c r="U428" s="5"/>
      <c r="V428" s="5"/>
      <c r="W428" s="5"/>
      <c r="X428" s="5"/>
      <c r="Y428" s="5"/>
      <c r="Z428" s="5"/>
    </row>
    <row r="429" ht="19.5" customHeight="1">
      <c r="A429" s="49"/>
      <c r="B429" s="50"/>
      <c r="C429" s="50"/>
      <c r="D429" s="50"/>
      <c r="E429" s="50"/>
      <c r="F429" s="51"/>
      <c r="G429" s="50"/>
      <c r="H429" s="50"/>
      <c r="I429" s="50"/>
      <c r="J429" s="48" t="str">
        <f t="array" ref="J429">IF(G429="","",IFERROR(LET(ev_cost,INDEX(Events!$G$5:$G$505,MATCH(G429,Events!$A$5:$A$505,0)),ev_split,INDEX(Events!$I$5:$I$505,MATCH(G429,Events!$A$5:$A$505,0)),att_offset,MATCH(G429,Attendance!$B$3:$AV$3,0),attendees,COUNTIF(INDEX(Attendance!$B$7:$AV$206,0,att_offset),"1"),IF(ev_split="Equal Split",ev_cost/MAX(1,COUNTA(Roster!$A$5:$A$204)),ev_cost/MAX(1,attendees))),"N/A"))</f>
        <v/>
      </c>
      <c r="K429" s="5"/>
      <c r="L429" s="5"/>
      <c r="M429" s="5"/>
      <c r="N429" s="5"/>
      <c r="O429" s="5"/>
      <c r="P429" s="5"/>
      <c r="Q429" s="5"/>
      <c r="R429" s="5"/>
      <c r="S429" s="5"/>
      <c r="T429" s="5"/>
      <c r="U429" s="5"/>
      <c r="V429" s="5"/>
      <c r="W429" s="5"/>
      <c r="X429" s="5"/>
      <c r="Y429" s="5"/>
      <c r="Z429" s="5"/>
    </row>
    <row r="430" ht="19.5" customHeight="1">
      <c r="A430" s="52"/>
      <c r="B430" s="53"/>
      <c r="C430" s="53"/>
      <c r="D430" s="53"/>
      <c r="E430" s="53"/>
      <c r="F430" s="61"/>
      <c r="G430" s="53"/>
      <c r="H430" s="53"/>
      <c r="I430" s="53"/>
      <c r="J430" s="48" t="str">
        <f t="array" ref="J430">IF(G430="","",IFERROR(LET(ev_cost,INDEX(Events!$G$5:$G$505,MATCH(G430,Events!$A$5:$A$505,0)),ev_split,INDEX(Events!$I$5:$I$505,MATCH(G430,Events!$A$5:$A$505,0)),att_offset,MATCH(G430,Attendance!$B$3:$AV$3,0),attendees,COUNTIF(INDEX(Attendance!$B$7:$AV$206,0,att_offset),"1"),IF(ev_split="Equal Split",ev_cost/MAX(1,COUNTA(Roster!$A$5:$A$204)),ev_cost/MAX(1,attendees))),"N/A"))</f>
        <v/>
      </c>
      <c r="K430" s="5"/>
      <c r="L430" s="5"/>
      <c r="M430" s="5"/>
      <c r="N430" s="5"/>
      <c r="O430" s="5"/>
      <c r="P430" s="5"/>
      <c r="Q430" s="5"/>
      <c r="R430" s="5"/>
      <c r="S430" s="5"/>
      <c r="T430" s="5"/>
      <c r="U430" s="5"/>
      <c r="V430" s="5"/>
      <c r="W430" s="5"/>
      <c r="X430" s="5"/>
      <c r="Y430" s="5"/>
      <c r="Z430" s="5"/>
    </row>
    <row r="431" ht="19.5" customHeight="1">
      <c r="A431" s="49"/>
      <c r="B431" s="50"/>
      <c r="C431" s="50"/>
      <c r="D431" s="50"/>
      <c r="E431" s="50"/>
      <c r="F431" s="51"/>
      <c r="G431" s="50"/>
      <c r="H431" s="50"/>
      <c r="I431" s="50"/>
      <c r="J431" s="48" t="str">
        <f t="array" ref="J431">IF(G431="","",IFERROR(LET(ev_cost,INDEX(Events!$G$5:$G$505,MATCH(G431,Events!$A$5:$A$505,0)),ev_split,INDEX(Events!$I$5:$I$505,MATCH(G431,Events!$A$5:$A$505,0)),att_offset,MATCH(G431,Attendance!$B$3:$AV$3,0),attendees,COUNTIF(INDEX(Attendance!$B$7:$AV$206,0,att_offset),"1"),IF(ev_split="Equal Split",ev_cost/MAX(1,COUNTA(Roster!$A$5:$A$204)),ev_cost/MAX(1,attendees))),"N/A"))</f>
        <v/>
      </c>
      <c r="K431" s="5"/>
      <c r="L431" s="5"/>
      <c r="M431" s="5"/>
      <c r="N431" s="5"/>
      <c r="O431" s="5"/>
      <c r="P431" s="5"/>
      <c r="Q431" s="5"/>
      <c r="R431" s="5"/>
      <c r="S431" s="5"/>
      <c r="T431" s="5"/>
      <c r="U431" s="5"/>
      <c r="V431" s="5"/>
      <c r="W431" s="5"/>
      <c r="X431" s="5"/>
      <c r="Y431" s="5"/>
      <c r="Z431" s="5"/>
    </row>
    <row r="432" ht="19.5" customHeight="1">
      <c r="A432" s="52"/>
      <c r="B432" s="53"/>
      <c r="C432" s="53"/>
      <c r="D432" s="53"/>
      <c r="E432" s="53"/>
      <c r="F432" s="61"/>
      <c r="G432" s="53"/>
      <c r="H432" s="53"/>
      <c r="I432" s="53"/>
      <c r="J432" s="48" t="str">
        <f t="array" ref="J432">IF(G432="","",IFERROR(LET(ev_cost,INDEX(Events!$G$5:$G$505,MATCH(G432,Events!$A$5:$A$505,0)),ev_split,INDEX(Events!$I$5:$I$505,MATCH(G432,Events!$A$5:$A$505,0)),att_offset,MATCH(G432,Attendance!$B$3:$AV$3,0),attendees,COUNTIF(INDEX(Attendance!$B$7:$AV$206,0,att_offset),"1"),IF(ev_split="Equal Split",ev_cost/MAX(1,COUNTA(Roster!$A$5:$A$204)),ev_cost/MAX(1,attendees))),"N/A"))</f>
        <v/>
      </c>
      <c r="K432" s="5"/>
      <c r="L432" s="5"/>
      <c r="M432" s="5"/>
      <c r="N432" s="5"/>
      <c r="O432" s="5"/>
      <c r="P432" s="5"/>
      <c r="Q432" s="5"/>
      <c r="R432" s="5"/>
      <c r="S432" s="5"/>
      <c r="T432" s="5"/>
      <c r="U432" s="5"/>
      <c r="V432" s="5"/>
      <c r="W432" s="5"/>
      <c r="X432" s="5"/>
      <c r="Y432" s="5"/>
      <c r="Z432" s="5"/>
    </row>
    <row r="433" ht="19.5" customHeight="1">
      <c r="A433" s="49"/>
      <c r="B433" s="50"/>
      <c r="C433" s="50"/>
      <c r="D433" s="50"/>
      <c r="E433" s="50"/>
      <c r="F433" s="51"/>
      <c r="G433" s="50"/>
      <c r="H433" s="50"/>
      <c r="I433" s="50"/>
      <c r="J433" s="48" t="str">
        <f t="array" ref="J433">IF(G433="","",IFERROR(LET(ev_cost,INDEX(Events!$G$5:$G$505,MATCH(G433,Events!$A$5:$A$505,0)),ev_split,INDEX(Events!$I$5:$I$505,MATCH(G433,Events!$A$5:$A$505,0)),att_offset,MATCH(G433,Attendance!$B$3:$AV$3,0),attendees,COUNTIF(INDEX(Attendance!$B$7:$AV$206,0,att_offset),"1"),IF(ev_split="Equal Split",ev_cost/MAX(1,COUNTA(Roster!$A$5:$A$204)),ev_cost/MAX(1,attendees))),"N/A"))</f>
        <v/>
      </c>
      <c r="K433" s="5"/>
      <c r="L433" s="5"/>
      <c r="M433" s="5"/>
      <c r="N433" s="5"/>
      <c r="O433" s="5"/>
      <c r="P433" s="5"/>
      <c r="Q433" s="5"/>
      <c r="R433" s="5"/>
      <c r="S433" s="5"/>
      <c r="T433" s="5"/>
      <c r="U433" s="5"/>
      <c r="V433" s="5"/>
      <c r="W433" s="5"/>
      <c r="X433" s="5"/>
      <c r="Y433" s="5"/>
      <c r="Z433" s="5"/>
    </row>
    <row r="434" ht="19.5" customHeight="1">
      <c r="A434" s="52"/>
      <c r="B434" s="53"/>
      <c r="C434" s="53"/>
      <c r="D434" s="53"/>
      <c r="E434" s="53"/>
      <c r="F434" s="61"/>
      <c r="G434" s="53"/>
      <c r="H434" s="53"/>
      <c r="I434" s="53"/>
      <c r="J434" s="48" t="str">
        <f t="array" ref="J434">IF(G434="","",IFERROR(LET(ev_cost,INDEX(Events!$G$5:$G$505,MATCH(G434,Events!$A$5:$A$505,0)),ev_split,INDEX(Events!$I$5:$I$505,MATCH(G434,Events!$A$5:$A$505,0)),att_offset,MATCH(G434,Attendance!$B$3:$AV$3,0),attendees,COUNTIF(INDEX(Attendance!$B$7:$AV$206,0,att_offset),"1"),IF(ev_split="Equal Split",ev_cost/MAX(1,COUNTA(Roster!$A$5:$A$204)),ev_cost/MAX(1,attendees))),"N/A"))</f>
        <v/>
      </c>
      <c r="K434" s="5"/>
      <c r="L434" s="5"/>
      <c r="M434" s="5"/>
      <c r="N434" s="5"/>
      <c r="O434" s="5"/>
      <c r="P434" s="5"/>
      <c r="Q434" s="5"/>
      <c r="R434" s="5"/>
      <c r="S434" s="5"/>
      <c r="T434" s="5"/>
      <c r="U434" s="5"/>
      <c r="V434" s="5"/>
      <c r="W434" s="5"/>
      <c r="X434" s="5"/>
      <c r="Y434" s="5"/>
      <c r="Z434" s="5"/>
    </row>
    <row r="435" ht="19.5" customHeight="1">
      <c r="A435" s="49"/>
      <c r="B435" s="50"/>
      <c r="C435" s="50"/>
      <c r="D435" s="50"/>
      <c r="E435" s="50"/>
      <c r="F435" s="51"/>
      <c r="G435" s="50"/>
      <c r="H435" s="50"/>
      <c r="I435" s="50"/>
      <c r="J435" s="48" t="str">
        <f t="array" ref="J435">IF(G435="","",IFERROR(LET(ev_cost,INDEX(Events!$G$5:$G$505,MATCH(G435,Events!$A$5:$A$505,0)),ev_split,INDEX(Events!$I$5:$I$505,MATCH(G435,Events!$A$5:$A$505,0)),att_offset,MATCH(G435,Attendance!$B$3:$AV$3,0),attendees,COUNTIF(INDEX(Attendance!$B$7:$AV$206,0,att_offset),"1"),IF(ev_split="Equal Split",ev_cost/MAX(1,COUNTA(Roster!$A$5:$A$204)),ev_cost/MAX(1,attendees))),"N/A"))</f>
        <v/>
      </c>
      <c r="K435" s="5"/>
      <c r="L435" s="5"/>
      <c r="M435" s="5"/>
      <c r="N435" s="5"/>
      <c r="O435" s="5"/>
      <c r="P435" s="5"/>
      <c r="Q435" s="5"/>
      <c r="R435" s="5"/>
      <c r="S435" s="5"/>
      <c r="T435" s="5"/>
      <c r="U435" s="5"/>
      <c r="V435" s="5"/>
      <c r="W435" s="5"/>
      <c r="X435" s="5"/>
      <c r="Y435" s="5"/>
      <c r="Z435" s="5"/>
    </row>
    <row r="436" ht="19.5" customHeight="1">
      <c r="A436" s="52"/>
      <c r="B436" s="53"/>
      <c r="C436" s="53"/>
      <c r="D436" s="53"/>
      <c r="E436" s="53"/>
      <c r="F436" s="61"/>
      <c r="G436" s="53"/>
      <c r="H436" s="53"/>
      <c r="I436" s="53"/>
      <c r="J436" s="48" t="str">
        <f t="array" ref="J436">IF(G436="","",IFERROR(LET(ev_cost,INDEX(Events!$G$5:$G$505,MATCH(G436,Events!$A$5:$A$505,0)),ev_split,INDEX(Events!$I$5:$I$505,MATCH(G436,Events!$A$5:$A$505,0)),att_offset,MATCH(G436,Attendance!$B$3:$AV$3,0),attendees,COUNTIF(INDEX(Attendance!$B$7:$AV$206,0,att_offset),"1"),IF(ev_split="Equal Split",ev_cost/MAX(1,COUNTA(Roster!$A$5:$A$204)),ev_cost/MAX(1,attendees))),"N/A"))</f>
        <v/>
      </c>
      <c r="K436" s="5"/>
      <c r="L436" s="5"/>
      <c r="M436" s="5"/>
      <c r="N436" s="5"/>
      <c r="O436" s="5"/>
      <c r="P436" s="5"/>
      <c r="Q436" s="5"/>
      <c r="R436" s="5"/>
      <c r="S436" s="5"/>
      <c r="T436" s="5"/>
      <c r="U436" s="5"/>
      <c r="V436" s="5"/>
      <c r="W436" s="5"/>
      <c r="X436" s="5"/>
      <c r="Y436" s="5"/>
      <c r="Z436" s="5"/>
    </row>
    <row r="437" ht="19.5" customHeight="1">
      <c r="A437" s="49"/>
      <c r="B437" s="50"/>
      <c r="C437" s="50"/>
      <c r="D437" s="50"/>
      <c r="E437" s="50"/>
      <c r="F437" s="51"/>
      <c r="G437" s="50"/>
      <c r="H437" s="50"/>
      <c r="I437" s="50"/>
      <c r="J437" s="48" t="str">
        <f t="array" ref="J437">IF(G437="","",IFERROR(LET(ev_cost,INDEX(Events!$G$5:$G$505,MATCH(G437,Events!$A$5:$A$505,0)),ev_split,INDEX(Events!$I$5:$I$505,MATCH(G437,Events!$A$5:$A$505,0)),att_offset,MATCH(G437,Attendance!$B$3:$AV$3,0),attendees,COUNTIF(INDEX(Attendance!$B$7:$AV$206,0,att_offset),"1"),IF(ev_split="Equal Split",ev_cost/MAX(1,COUNTA(Roster!$A$5:$A$204)),ev_cost/MAX(1,attendees))),"N/A"))</f>
        <v/>
      </c>
      <c r="K437" s="5"/>
      <c r="L437" s="5"/>
      <c r="M437" s="5"/>
      <c r="N437" s="5"/>
      <c r="O437" s="5"/>
      <c r="P437" s="5"/>
      <c r="Q437" s="5"/>
      <c r="R437" s="5"/>
      <c r="S437" s="5"/>
      <c r="T437" s="5"/>
      <c r="U437" s="5"/>
      <c r="V437" s="5"/>
      <c r="W437" s="5"/>
      <c r="X437" s="5"/>
      <c r="Y437" s="5"/>
      <c r="Z437" s="5"/>
    </row>
    <row r="438" ht="19.5" customHeight="1">
      <c r="A438" s="52"/>
      <c r="B438" s="53"/>
      <c r="C438" s="53"/>
      <c r="D438" s="53"/>
      <c r="E438" s="53"/>
      <c r="F438" s="61"/>
      <c r="G438" s="53"/>
      <c r="H438" s="53"/>
      <c r="I438" s="53"/>
      <c r="J438" s="48" t="str">
        <f t="array" ref="J438">IF(G438="","",IFERROR(LET(ev_cost,INDEX(Events!$G$5:$G$505,MATCH(G438,Events!$A$5:$A$505,0)),ev_split,INDEX(Events!$I$5:$I$505,MATCH(G438,Events!$A$5:$A$505,0)),att_offset,MATCH(G438,Attendance!$B$3:$AV$3,0),attendees,COUNTIF(INDEX(Attendance!$B$7:$AV$206,0,att_offset),"1"),IF(ev_split="Equal Split",ev_cost/MAX(1,COUNTA(Roster!$A$5:$A$204)),ev_cost/MAX(1,attendees))),"N/A"))</f>
        <v/>
      </c>
      <c r="K438" s="5"/>
      <c r="L438" s="5"/>
      <c r="M438" s="5"/>
      <c r="N438" s="5"/>
      <c r="O438" s="5"/>
      <c r="P438" s="5"/>
      <c r="Q438" s="5"/>
      <c r="R438" s="5"/>
      <c r="S438" s="5"/>
      <c r="T438" s="5"/>
      <c r="U438" s="5"/>
      <c r="V438" s="5"/>
      <c r="W438" s="5"/>
      <c r="X438" s="5"/>
      <c r="Y438" s="5"/>
      <c r="Z438" s="5"/>
    </row>
    <row r="439" ht="19.5" customHeight="1">
      <c r="A439" s="49"/>
      <c r="B439" s="50"/>
      <c r="C439" s="50"/>
      <c r="D439" s="50"/>
      <c r="E439" s="50"/>
      <c r="F439" s="51"/>
      <c r="G439" s="50"/>
      <c r="H439" s="50"/>
      <c r="I439" s="50"/>
      <c r="J439" s="48" t="str">
        <f t="array" ref="J439">IF(G439="","",IFERROR(LET(ev_cost,INDEX(Events!$G$5:$G$505,MATCH(G439,Events!$A$5:$A$505,0)),ev_split,INDEX(Events!$I$5:$I$505,MATCH(G439,Events!$A$5:$A$505,0)),att_offset,MATCH(G439,Attendance!$B$3:$AV$3,0),attendees,COUNTIF(INDEX(Attendance!$B$7:$AV$206,0,att_offset),"1"),IF(ev_split="Equal Split",ev_cost/MAX(1,COUNTA(Roster!$A$5:$A$204)),ev_cost/MAX(1,attendees))),"N/A"))</f>
        <v/>
      </c>
      <c r="K439" s="5"/>
      <c r="L439" s="5"/>
      <c r="M439" s="5"/>
      <c r="N439" s="5"/>
      <c r="O439" s="5"/>
      <c r="P439" s="5"/>
      <c r="Q439" s="5"/>
      <c r="R439" s="5"/>
      <c r="S439" s="5"/>
      <c r="T439" s="5"/>
      <c r="U439" s="5"/>
      <c r="V439" s="5"/>
      <c r="W439" s="5"/>
      <c r="X439" s="5"/>
      <c r="Y439" s="5"/>
      <c r="Z439" s="5"/>
    </row>
    <row r="440" ht="19.5" customHeight="1">
      <c r="A440" s="52"/>
      <c r="B440" s="53"/>
      <c r="C440" s="53"/>
      <c r="D440" s="53"/>
      <c r="E440" s="53"/>
      <c r="F440" s="61"/>
      <c r="G440" s="53"/>
      <c r="H440" s="53"/>
      <c r="I440" s="53"/>
      <c r="J440" s="48" t="str">
        <f t="array" ref="J440">IF(G440="","",IFERROR(LET(ev_cost,INDEX(Events!$G$5:$G$505,MATCH(G440,Events!$A$5:$A$505,0)),ev_split,INDEX(Events!$I$5:$I$505,MATCH(G440,Events!$A$5:$A$505,0)),att_offset,MATCH(G440,Attendance!$B$3:$AV$3,0),attendees,COUNTIF(INDEX(Attendance!$B$7:$AV$206,0,att_offset),"1"),IF(ev_split="Equal Split",ev_cost/MAX(1,COUNTA(Roster!$A$5:$A$204)),ev_cost/MAX(1,attendees))),"N/A"))</f>
        <v/>
      </c>
      <c r="K440" s="5"/>
      <c r="L440" s="5"/>
      <c r="M440" s="5"/>
      <c r="N440" s="5"/>
      <c r="O440" s="5"/>
      <c r="P440" s="5"/>
      <c r="Q440" s="5"/>
      <c r="R440" s="5"/>
      <c r="S440" s="5"/>
      <c r="T440" s="5"/>
      <c r="U440" s="5"/>
      <c r="V440" s="5"/>
      <c r="W440" s="5"/>
      <c r="X440" s="5"/>
      <c r="Y440" s="5"/>
      <c r="Z440" s="5"/>
    </row>
    <row r="441" ht="19.5" customHeight="1">
      <c r="A441" s="49"/>
      <c r="B441" s="50"/>
      <c r="C441" s="50"/>
      <c r="D441" s="50"/>
      <c r="E441" s="50"/>
      <c r="F441" s="51"/>
      <c r="G441" s="50"/>
      <c r="H441" s="50"/>
      <c r="I441" s="50"/>
      <c r="J441" s="48" t="str">
        <f t="array" ref="J441">IF(G441="","",IFERROR(LET(ev_cost,INDEX(Events!$G$5:$G$505,MATCH(G441,Events!$A$5:$A$505,0)),ev_split,INDEX(Events!$I$5:$I$505,MATCH(G441,Events!$A$5:$A$505,0)),att_offset,MATCH(G441,Attendance!$B$3:$AV$3,0),attendees,COUNTIF(INDEX(Attendance!$B$7:$AV$206,0,att_offset),"1"),IF(ev_split="Equal Split",ev_cost/MAX(1,COUNTA(Roster!$A$5:$A$204)),ev_cost/MAX(1,attendees))),"N/A"))</f>
        <v/>
      </c>
      <c r="K441" s="5"/>
      <c r="L441" s="5"/>
      <c r="M441" s="5"/>
      <c r="N441" s="5"/>
      <c r="O441" s="5"/>
      <c r="P441" s="5"/>
      <c r="Q441" s="5"/>
      <c r="R441" s="5"/>
      <c r="S441" s="5"/>
      <c r="T441" s="5"/>
      <c r="U441" s="5"/>
      <c r="V441" s="5"/>
      <c r="W441" s="5"/>
      <c r="X441" s="5"/>
      <c r="Y441" s="5"/>
      <c r="Z441" s="5"/>
    </row>
    <row r="442" ht="19.5" customHeight="1">
      <c r="A442" s="52"/>
      <c r="B442" s="53"/>
      <c r="C442" s="53"/>
      <c r="D442" s="53"/>
      <c r="E442" s="53"/>
      <c r="F442" s="61"/>
      <c r="G442" s="53"/>
      <c r="H442" s="53"/>
      <c r="I442" s="53"/>
      <c r="J442" s="48" t="str">
        <f t="array" ref="J442">IF(G442="","",IFERROR(LET(ev_cost,INDEX(Events!$G$5:$G$505,MATCH(G442,Events!$A$5:$A$505,0)),ev_split,INDEX(Events!$I$5:$I$505,MATCH(G442,Events!$A$5:$A$505,0)),att_offset,MATCH(G442,Attendance!$B$3:$AV$3,0),attendees,COUNTIF(INDEX(Attendance!$B$7:$AV$206,0,att_offset),"1"),IF(ev_split="Equal Split",ev_cost/MAX(1,COUNTA(Roster!$A$5:$A$204)),ev_cost/MAX(1,attendees))),"N/A"))</f>
        <v/>
      </c>
      <c r="K442" s="5"/>
      <c r="L442" s="5"/>
      <c r="M442" s="5"/>
      <c r="N442" s="5"/>
      <c r="O442" s="5"/>
      <c r="P442" s="5"/>
      <c r="Q442" s="5"/>
      <c r="R442" s="5"/>
      <c r="S442" s="5"/>
      <c r="T442" s="5"/>
      <c r="U442" s="5"/>
      <c r="V442" s="5"/>
      <c r="W442" s="5"/>
      <c r="X442" s="5"/>
      <c r="Y442" s="5"/>
      <c r="Z442" s="5"/>
    </row>
    <row r="443" ht="19.5" customHeight="1">
      <c r="A443" s="49"/>
      <c r="B443" s="50"/>
      <c r="C443" s="50"/>
      <c r="D443" s="50"/>
      <c r="E443" s="50"/>
      <c r="F443" s="51"/>
      <c r="G443" s="50"/>
      <c r="H443" s="50"/>
      <c r="I443" s="50"/>
      <c r="J443" s="48" t="str">
        <f t="array" ref="J443">IF(G443="","",IFERROR(LET(ev_cost,INDEX(Events!$G$5:$G$505,MATCH(G443,Events!$A$5:$A$505,0)),ev_split,INDEX(Events!$I$5:$I$505,MATCH(G443,Events!$A$5:$A$505,0)),att_offset,MATCH(G443,Attendance!$B$3:$AV$3,0),attendees,COUNTIF(INDEX(Attendance!$B$7:$AV$206,0,att_offset),"1"),IF(ev_split="Equal Split",ev_cost/MAX(1,COUNTA(Roster!$A$5:$A$204)),ev_cost/MAX(1,attendees))),"N/A"))</f>
        <v/>
      </c>
      <c r="K443" s="5"/>
      <c r="L443" s="5"/>
      <c r="M443" s="5"/>
      <c r="N443" s="5"/>
      <c r="O443" s="5"/>
      <c r="P443" s="5"/>
      <c r="Q443" s="5"/>
      <c r="R443" s="5"/>
      <c r="S443" s="5"/>
      <c r="T443" s="5"/>
      <c r="U443" s="5"/>
      <c r="V443" s="5"/>
      <c r="W443" s="5"/>
      <c r="X443" s="5"/>
      <c r="Y443" s="5"/>
      <c r="Z443" s="5"/>
    </row>
    <row r="444" ht="19.5" customHeight="1">
      <c r="A444" s="52"/>
      <c r="B444" s="53"/>
      <c r="C444" s="53"/>
      <c r="D444" s="53"/>
      <c r="E444" s="53"/>
      <c r="F444" s="61"/>
      <c r="G444" s="53"/>
      <c r="H444" s="53"/>
      <c r="I444" s="53"/>
      <c r="J444" s="48" t="str">
        <f t="array" ref="J444">IF(G444="","",IFERROR(LET(ev_cost,INDEX(Events!$G$5:$G$505,MATCH(G444,Events!$A$5:$A$505,0)),ev_split,INDEX(Events!$I$5:$I$505,MATCH(G444,Events!$A$5:$A$505,0)),att_offset,MATCH(G444,Attendance!$B$3:$AV$3,0),attendees,COUNTIF(INDEX(Attendance!$B$7:$AV$206,0,att_offset),"1"),IF(ev_split="Equal Split",ev_cost/MAX(1,COUNTA(Roster!$A$5:$A$204)),ev_cost/MAX(1,attendees))),"N/A"))</f>
        <v/>
      </c>
      <c r="K444" s="5"/>
      <c r="L444" s="5"/>
      <c r="M444" s="5"/>
      <c r="N444" s="5"/>
      <c r="O444" s="5"/>
      <c r="P444" s="5"/>
      <c r="Q444" s="5"/>
      <c r="R444" s="5"/>
      <c r="S444" s="5"/>
      <c r="T444" s="5"/>
      <c r="U444" s="5"/>
      <c r="V444" s="5"/>
      <c r="W444" s="5"/>
      <c r="X444" s="5"/>
      <c r="Y444" s="5"/>
      <c r="Z444" s="5"/>
    </row>
    <row r="445" ht="19.5" customHeight="1">
      <c r="A445" s="49"/>
      <c r="B445" s="50"/>
      <c r="C445" s="50"/>
      <c r="D445" s="50"/>
      <c r="E445" s="50"/>
      <c r="F445" s="51"/>
      <c r="G445" s="50"/>
      <c r="H445" s="50"/>
      <c r="I445" s="50"/>
      <c r="J445" s="48" t="str">
        <f t="array" ref="J445">IF(G445="","",IFERROR(LET(ev_cost,INDEX(Events!$G$5:$G$505,MATCH(G445,Events!$A$5:$A$505,0)),ev_split,INDEX(Events!$I$5:$I$505,MATCH(G445,Events!$A$5:$A$505,0)),att_offset,MATCH(G445,Attendance!$B$3:$AV$3,0),attendees,COUNTIF(INDEX(Attendance!$B$7:$AV$206,0,att_offset),"1"),IF(ev_split="Equal Split",ev_cost/MAX(1,COUNTA(Roster!$A$5:$A$204)),ev_cost/MAX(1,attendees))),"N/A"))</f>
        <v/>
      </c>
      <c r="K445" s="5"/>
      <c r="L445" s="5"/>
      <c r="M445" s="5"/>
      <c r="N445" s="5"/>
      <c r="O445" s="5"/>
      <c r="P445" s="5"/>
      <c r="Q445" s="5"/>
      <c r="R445" s="5"/>
      <c r="S445" s="5"/>
      <c r="T445" s="5"/>
      <c r="U445" s="5"/>
      <c r="V445" s="5"/>
      <c r="W445" s="5"/>
      <c r="X445" s="5"/>
      <c r="Y445" s="5"/>
      <c r="Z445" s="5"/>
    </row>
    <row r="446" ht="19.5" customHeight="1">
      <c r="A446" s="52"/>
      <c r="B446" s="53"/>
      <c r="C446" s="53"/>
      <c r="D446" s="53"/>
      <c r="E446" s="53"/>
      <c r="F446" s="61"/>
      <c r="G446" s="53"/>
      <c r="H446" s="53"/>
      <c r="I446" s="53"/>
      <c r="J446" s="48" t="str">
        <f t="array" ref="J446">IF(G446="","",IFERROR(LET(ev_cost,INDEX(Events!$G$5:$G$505,MATCH(G446,Events!$A$5:$A$505,0)),ev_split,INDEX(Events!$I$5:$I$505,MATCH(G446,Events!$A$5:$A$505,0)),att_offset,MATCH(G446,Attendance!$B$3:$AV$3,0),attendees,COUNTIF(INDEX(Attendance!$B$7:$AV$206,0,att_offset),"1"),IF(ev_split="Equal Split",ev_cost/MAX(1,COUNTA(Roster!$A$5:$A$204)),ev_cost/MAX(1,attendees))),"N/A"))</f>
        <v/>
      </c>
      <c r="K446" s="5"/>
      <c r="L446" s="5"/>
      <c r="M446" s="5"/>
      <c r="N446" s="5"/>
      <c r="O446" s="5"/>
      <c r="P446" s="5"/>
      <c r="Q446" s="5"/>
      <c r="R446" s="5"/>
      <c r="S446" s="5"/>
      <c r="T446" s="5"/>
      <c r="U446" s="5"/>
      <c r="V446" s="5"/>
      <c r="W446" s="5"/>
      <c r="X446" s="5"/>
      <c r="Y446" s="5"/>
      <c r="Z446" s="5"/>
    </row>
    <row r="447" ht="19.5" customHeight="1">
      <c r="A447" s="49"/>
      <c r="B447" s="50"/>
      <c r="C447" s="50"/>
      <c r="D447" s="50"/>
      <c r="E447" s="50"/>
      <c r="F447" s="51"/>
      <c r="G447" s="50"/>
      <c r="H447" s="50"/>
      <c r="I447" s="50"/>
      <c r="J447" s="48" t="str">
        <f t="array" ref="J447">IF(G447="","",IFERROR(LET(ev_cost,INDEX(Events!$G$5:$G$505,MATCH(G447,Events!$A$5:$A$505,0)),ev_split,INDEX(Events!$I$5:$I$505,MATCH(G447,Events!$A$5:$A$505,0)),att_offset,MATCH(G447,Attendance!$B$3:$AV$3,0),attendees,COUNTIF(INDEX(Attendance!$B$7:$AV$206,0,att_offset),"1"),IF(ev_split="Equal Split",ev_cost/MAX(1,COUNTA(Roster!$A$5:$A$204)),ev_cost/MAX(1,attendees))),"N/A"))</f>
        <v/>
      </c>
      <c r="K447" s="5"/>
      <c r="L447" s="5"/>
      <c r="M447" s="5"/>
      <c r="N447" s="5"/>
      <c r="O447" s="5"/>
      <c r="P447" s="5"/>
      <c r="Q447" s="5"/>
      <c r="R447" s="5"/>
      <c r="S447" s="5"/>
      <c r="T447" s="5"/>
      <c r="U447" s="5"/>
      <c r="V447" s="5"/>
      <c r="W447" s="5"/>
      <c r="X447" s="5"/>
      <c r="Y447" s="5"/>
      <c r="Z447" s="5"/>
    </row>
    <row r="448" ht="19.5" customHeight="1">
      <c r="A448" s="52"/>
      <c r="B448" s="53"/>
      <c r="C448" s="53"/>
      <c r="D448" s="53"/>
      <c r="E448" s="53"/>
      <c r="F448" s="61"/>
      <c r="G448" s="53"/>
      <c r="H448" s="53"/>
      <c r="I448" s="53"/>
      <c r="J448" s="48" t="str">
        <f t="array" ref="J448">IF(G448="","",IFERROR(LET(ev_cost,INDEX(Events!$G$5:$G$505,MATCH(G448,Events!$A$5:$A$505,0)),ev_split,INDEX(Events!$I$5:$I$505,MATCH(G448,Events!$A$5:$A$505,0)),att_offset,MATCH(G448,Attendance!$B$3:$AV$3,0),attendees,COUNTIF(INDEX(Attendance!$B$7:$AV$206,0,att_offset),"1"),IF(ev_split="Equal Split",ev_cost/MAX(1,COUNTA(Roster!$A$5:$A$204)),ev_cost/MAX(1,attendees))),"N/A"))</f>
        <v/>
      </c>
      <c r="K448" s="5"/>
      <c r="L448" s="5"/>
      <c r="M448" s="5"/>
      <c r="N448" s="5"/>
      <c r="O448" s="5"/>
      <c r="P448" s="5"/>
      <c r="Q448" s="5"/>
      <c r="R448" s="5"/>
      <c r="S448" s="5"/>
      <c r="T448" s="5"/>
      <c r="U448" s="5"/>
      <c r="V448" s="5"/>
      <c r="W448" s="5"/>
      <c r="X448" s="5"/>
      <c r="Y448" s="5"/>
      <c r="Z448" s="5"/>
    </row>
    <row r="449" ht="19.5" customHeight="1">
      <c r="A449" s="49"/>
      <c r="B449" s="50"/>
      <c r="C449" s="50"/>
      <c r="D449" s="50"/>
      <c r="E449" s="50"/>
      <c r="F449" s="51"/>
      <c r="G449" s="50"/>
      <c r="H449" s="50"/>
      <c r="I449" s="50"/>
      <c r="J449" s="48" t="str">
        <f t="array" ref="J449">IF(G449="","",IFERROR(LET(ev_cost,INDEX(Events!$G$5:$G$505,MATCH(G449,Events!$A$5:$A$505,0)),ev_split,INDEX(Events!$I$5:$I$505,MATCH(G449,Events!$A$5:$A$505,0)),att_offset,MATCH(G449,Attendance!$B$3:$AV$3,0),attendees,COUNTIF(INDEX(Attendance!$B$7:$AV$206,0,att_offset),"1"),IF(ev_split="Equal Split",ev_cost/MAX(1,COUNTA(Roster!$A$5:$A$204)),ev_cost/MAX(1,attendees))),"N/A"))</f>
        <v/>
      </c>
      <c r="K449" s="5"/>
      <c r="L449" s="5"/>
      <c r="M449" s="5"/>
      <c r="N449" s="5"/>
      <c r="O449" s="5"/>
      <c r="P449" s="5"/>
      <c r="Q449" s="5"/>
      <c r="R449" s="5"/>
      <c r="S449" s="5"/>
      <c r="T449" s="5"/>
      <c r="U449" s="5"/>
      <c r="V449" s="5"/>
      <c r="W449" s="5"/>
      <c r="X449" s="5"/>
      <c r="Y449" s="5"/>
      <c r="Z449" s="5"/>
    </row>
    <row r="450" ht="19.5" customHeight="1">
      <c r="A450" s="52"/>
      <c r="B450" s="53"/>
      <c r="C450" s="53"/>
      <c r="D450" s="53"/>
      <c r="E450" s="53"/>
      <c r="F450" s="61"/>
      <c r="G450" s="53"/>
      <c r="H450" s="53"/>
      <c r="I450" s="53"/>
      <c r="J450" s="48" t="str">
        <f t="array" ref="J450">IF(G450="","",IFERROR(LET(ev_cost,INDEX(Events!$G$5:$G$505,MATCH(G450,Events!$A$5:$A$505,0)),ev_split,INDEX(Events!$I$5:$I$505,MATCH(G450,Events!$A$5:$A$505,0)),att_offset,MATCH(G450,Attendance!$B$3:$AV$3,0),attendees,COUNTIF(INDEX(Attendance!$B$7:$AV$206,0,att_offset),"1"),IF(ev_split="Equal Split",ev_cost/MAX(1,COUNTA(Roster!$A$5:$A$204)),ev_cost/MAX(1,attendees))),"N/A"))</f>
        <v/>
      </c>
      <c r="K450" s="5"/>
      <c r="L450" s="5"/>
      <c r="M450" s="5"/>
      <c r="N450" s="5"/>
      <c r="O450" s="5"/>
      <c r="P450" s="5"/>
      <c r="Q450" s="5"/>
      <c r="R450" s="5"/>
      <c r="S450" s="5"/>
      <c r="T450" s="5"/>
      <c r="U450" s="5"/>
      <c r="V450" s="5"/>
      <c r="W450" s="5"/>
      <c r="X450" s="5"/>
      <c r="Y450" s="5"/>
      <c r="Z450" s="5"/>
    </row>
    <row r="451" ht="19.5" customHeight="1">
      <c r="A451" s="49"/>
      <c r="B451" s="50"/>
      <c r="C451" s="50"/>
      <c r="D451" s="50"/>
      <c r="E451" s="50"/>
      <c r="F451" s="51"/>
      <c r="G451" s="50"/>
      <c r="H451" s="50"/>
      <c r="I451" s="50"/>
      <c r="J451" s="48" t="str">
        <f t="array" ref="J451">IF(G451="","",IFERROR(LET(ev_cost,INDEX(Events!$G$5:$G$505,MATCH(G451,Events!$A$5:$A$505,0)),ev_split,INDEX(Events!$I$5:$I$505,MATCH(G451,Events!$A$5:$A$505,0)),att_offset,MATCH(G451,Attendance!$B$3:$AV$3,0),attendees,COUNTIF(INDEX(Attendance!$B$7:$AV$206,0,att_offset),"1"),IF(ev_split="Equal Split",ev_cost/MAX(1,COUNTA(Roster!$A$5:$A$204)),ev_cost/MAX(1,attendees))),"N/A"))</f>
        <v/>
      </c>
      <c r="K451" s="5"/>
      <c r="L451" s="5"/>
      <c r="M451" s="5"/>
      <c r="N451" s="5"/>
      <c r="O451" s="5"/>
      <c r="P451" s="5"/>
      <c r="Q451" s="5"/>
      <c r="R451" s="5"/>
      <c r="S451" s="5"/>
      <c r="T451" s="5"/>
      <c r="U451" s="5"/>
      <c r="V451" s="5"/>
      <c r="W451" s="5"/>
      <c r="X451" s="5"/>
      <c r="Y451" s="5"/>
      <c r="Z451" s="5"/>
    </row>
    <row r="452" ht="19.5" customHeight="1">
      <c r="A452" s="52"/>
      <c r="B452" s="53"/>
      <c r="C452" s="53"/>
      <c r="D452" s="53"/>
      <c r="E452" s="53"/>
      <c r="F452" s="61"/>
      <c r="G452" s="53"/>
      <c r="H452" s="53"/>
      <c r="I452" s="53"/>
      <c r="J452" s="48" t="str">
        <f t="array" ref="J452">IF(G452="","",IFERROR(LET(ev_cost,INDEX(Events!$G$5:$G$505,MATCH(G452,Events!$A$5:$A$505,0)),ev_split,INDEX(Events!$I$5:$I$505,MATCH(G452,Events!$A$5:$A$505,0)),att_offset,MATCH(G452,Attendance!$B$3:$AV$3,0),attendees,COUNTIF(INDEX(Attendance!$B$7:$AV$206,0,att_offset),"1"),IF(ev_split="Equal Split",ev_cost/MAX(1,COUNTA(Roster!$A$5:$A$204)),ev_cost/MAX(1,attendees))),"N/A"))</f>
        <v/>
      </c>
      <c r="K452" s="5"/>
      <c r="L452" s="5"/>
      <c r="M452" s="5"/>
      <c r="N452" s="5"/>
      <c r="O452" s="5"/>
      <c r="P452" s="5"/>
      <c r="Q452" s="5"/>
      <c r="R452" s="5"/>
      <c r="S452" s="5"/>
      <c r="T452" s="5"/>
      <c r="U452" s="5"/>
      <c r="V452" s="5"/>
      <c r="W452" s="5"/>
      <c r="X452" s="5"/>
      <c r="Y452" s="5"/>
      <c r="Z452" s="5"/>
    </row>
    <row r="453" ht="19.5" customHeight="1">
      <c r="A453" s="49"/>
      <c r="B453" s="50"/>
      <c r="C453" s="50"/>
      <c r="D453" s="50"/>
      <c r="E453" s="50"/>
      <c r="F453" s="51"/>
      <c r="G453" s="50"/>
      <c r="H453" s="50"/>
      <c r="I453" s="50"/>
      <c r="J453" s="48" t="str">
        <f t="array" ref="J453">IF(G453="","",IFERROR(LET(ev_cost,INDEX(Events!$G$5:$G$505,MATCH(G453,Events!$A$5:$A$505,0)),ev_split,INDEX(Events!$I$5:$I$505,MATCH(G453,Events!$A$5:$A$505,0)),att_offset,MATCH(G453,Attendance!$B$3:$AV$3,0),attendees,COUNTIF(INDEX(Attendance!$B$7:$AV$206,0,att_offset),"1"),IF(ev_split="Equal Split",ev_cost/MAX(1,COUNTA(Roster!$A$5:$A$204)),ev_cost/MAX(1,attendees))),"N/A"))</f>
        <v/>
      </c>
      <c r="K453" s="5"/>
      <c r="L453" s="5"/>
      <c r="M453" s="5"/>
      <c r="N453" s="5"/>
      <c r="O453" s="5"/>
      <c r="P453" s="5"/>
      <c r="Q453" s="5"/>
      <c r="R453" s="5"/>
      <c r="S453" s="5"/>
      <c r="T453" s="5"/>
      <c r="U453" s="5"/>
      <c r="V453" s="5"/>
      <c r="W453" s="5"/>
      <c r="X453" s="5"/>
      <c r="Y453" s="5"/>
      <c r="Z453" s="5"/>
    </row>
    <row r="454" ht="19.5" customHeight="1">
      <c r="A454" s="52"/>
      <c r="B454" s="53"/>
      <c r="C454" s="53"/>
      <c r="D454" s="53"/>
      <c r="E454" s="53"/>
      <c r="F454" s="61"/>
      <c r="G454" s="53"/>
      <c r="H454" s="53"/>
      <c r="I454" s="53"/>
      <c r="J454" s="48" t="str">
        <f t="array" ref="J454">IF(G454="","",IFERROR(LET(ev_cost,INDEX(Events!$G$5:$G$505,MATCH(G454,Events!$A$5:$A$505,0)),ev_split,INDEX(Events!$I$5:$I$505,MATCH(G454,Events!$A$5:$A$505,0)),att_offset,MATCH(G454,Attendance!$B$3:$AV$3,0),attendees,COUNTIF(INDEX(Attendance!$B$7:$AV$206,0,att_offset),"1"),IF(ev_split="Equal Split",ev_cost/MAX(1,COUNTA(Roster!$A$5:$A$204)),ev_cost/MAX(1,attendees))),"N/A"))</f>
        <v/>
      </c>
      <c r="K454" s="5"/>
      <c r="L454" s="5"/>
      <c r="M454" s="5"/>
      <c r="N454" s="5"/>
      <c r="O454" s="5"/>
      <c r="P454" s="5"/>
      <c r="Q454" s="5"/>
      <c r="R454" s="5"/>
      <c r="S454" s="5"/>
      <c r="T454" s="5"/>
      <c r="U454" s="5"/>
      <c r="V454" s="5"/>
      <c r="W454" s="5"/>
      <c r="X454" s="5"/>
      <c r="Y454" s="5"/>
      <c r="Z454" s="5"/>
    </row>
    <row r="455" ht="19.5" customHeight="1">
      <c r="A455" s="49"/>
      <c r="B455" s="50"/>
      <c r="C455" s="50"/>
      <c r="D455" s="50"/>
      <c r="E455" s="50"/>
      <c r="F455" s="51"/>
      <c r="G455" s="50"/>
      <c r="H455" s="50"/>
      <c r="I455" s="50"/>
      <c r="J455" s="48" t="str">
        <f t="array" ref="J455">IF(G455="","",IFERROR(LET(ev_cost,INDEX(Events!$G$5:$G$505,MATCH(G455,Events!$A$5:$A$505,0)),ev_split,INDEX(Events!$I$5:$I$505,MATCH(G455,Events!$A$5:$A$505,0)),att_offset,MATCH(G455,Attendance!$B$3:$AV$3,0),attendees,COUNTIF(INDEX(Attendance!$B$7:$AV$206,0,att_offset),"1"),IF(ev_split="Equal Split",ev_cost/MAX(1,COUNTA(Roster!$A$5:$A$204)),ev_cost/MAX(1,attendees))),"N/A"))</f>
        <v/>
      </c>
      <c r="K455" s="5"/>
      <c r="L455" s="5"/>
      <c r="M455" s="5"/>
      <c r="N455" s="5"/>
      <c r="O455" s="5"/>
      <c r="P455" s="5"/>
      <c r="Q455" s="5"/>
      <c r="R455" s="5"/>
      <c r="S455" s="5"/>
      <c r="T455" s="5"/>
      <c r="U455" s="5"/>
      <c r="V455" s="5"/>
      <c r="W455" s="5"/>
      <c r="X455" s="5"/>
      <c r="Y455" s="5"/>
      <c r="Z455" s="5"/>
    </row>
    <row r="456" ht="19.5" customHeight="1">
      <c r="A456" s="52"/>
      <c r="B456" s="53"/>
      <c r="C456" s="53"/>
      <c r="D456" s="53"/>
      <c r="E456" s="53"/>
      <c r="F456" s="61"/>
      <c r="G456" s="53"/>
      <c r="H456" s="53"/>
      <c r="I456" s="53"/>
      <c r="J456" s="48" t="str">
        <f t="array" ref="J456">IF(G456="","",IFERROR(LET(ev_cost,INDEX(Events!$G$5:$G$505,MATCH(G456,Events!$A$5:$A$505,0)),ev_split,INDEX(Events!$I$5:$I$505,MATCH(G456,Events!$A$5:$A$505,0)),att_offset,MATCH(G456,Attendance!$B$3:$AV$3,0),attendees,COUNTIF(INDEX(Attendance!$B$7:$AV$206,0,att_offset),"1"),IF(ev_split="Equal Split",ev_cost/MAX(1,COUNTA(Roster!$A$5:$A$204)),ev_cost/MAX(1,attendees))),"N/A"))</f>
        <v/>
      </c>
      <c r="K456" s="5"/>
      <c r="L456" s="5"/>
      <c r="M456" s="5"/>
      <c r="N456" s="5"/>
      <c r="O456" s="5"/>
      <c r="P456" s="5"/>
      <c r="Q456" s="5"/>
      <c r="R456" s="5"/>
      <c r="S456" s="5"/>
      <c r="T456" s="5"/>
      <c r="U456" s="5"/>
      <c r="V456" s="5"/>
      <c r="W456" s="5"/>
      <c r="X456" s="5"/>
      <c r="Y456" s="5"/>
      <c r="Z456" s="5"/>
    </row>
    <row r="457" ht="19.5" customHeight="1">
      <c r="A457" s="49"/>
      <c r="B457" s="50"/>
      <c r="C457" s="50"/>
      <c r="D457" s="50"/>
      <c r="E457" s="50"/>
      <c r="F457" s="51"/>
      <c r="G457" s="50"/>
      <c r="H457" s="50"/>
      <c r="I457" s="50"/>
      <c r="J457" s="48" t="str">
        <f t="array" ref="J457">IF(G457="","",IFERROR(LET(ev_cost,INDEX(Events!$G$5:$G$505,MATCH(G457,Events!$A$5:$A$505,0)),ev_split,INDEX(Events!$I$5:$I$505,MATCH(G457,Events!$A$5:$A$505,0)),att_offset,MATCH(G457,Attendance!$B$3:$AV$3,0),attendees,COUNTIF(INDEX(Attendance!$B$7:$AV$206,0,att_offset),"1"),IF(ev_split="Equal Split",ev_cost/MAX(1,COUNTA(Roster!$A$5:$A$204)),ev_cost/MAX(1,attendees))),"N/A"))</f>
        <v/>
      </c>
      <c r="K457" s="5"/>
      <c r="L457" s="5"/>
      <c r="M457" s="5"/>
      <c r="N457" s="5"/>
      <c r="O457" s="5"/>
      <c r="P457" s="5"/>
      <c r="Q457" s="5"/>
      <c r="R457" s="5"/>
      <c r="S457" s="5"/>
      <c r="T457" s="5"/>
      <c r="U457" s="5"/>
      <c r="V457" s="5"/>
      <c r="W457" s="5"/>
      <c r="X457" s="5"/>
      <c r="Y457" s="5"/>
      <c r="Z457" s="5"/>
    </row>
    <row r="458" ht="19.5" customHeight="1">
      <c r="A458" s="52"/>
      <c r="B458" s="53"/>
      <c r="C458" s="53"/>
      <c r="D458" s="53"/>
      <c r="E458" s="53"/>
      <c r="F458" s="61"/>
      <c r="G458" s="53"/>
      <c r="H458" s="53"/>
      <c r="I458" s="53"/>
      <c r="J458" s="48" t="str">
        <f t="array" ref="J458">IF(G458="","",IFERROR(LET(ev_cost,INDEX(Events!$G$5:$G$505,MATCH(G458,Events!$A$5:$A$505,0)),ev_split,INDEX(Events!$I$5:$I$505,MATCH(G458,Events!$A$5:$A$505,0)),att_offset,MATCH(G458,Attendance!$B$3:$AV$3,0),attendees,COUNTIF(INDEX(Attendance!$B$7:$AV$206,0,att_offset),"1"),IF(ev_split="Equal Split",ev_cost/MAX(1,COUNTA(Roster!$A$5:$A$204)),ev_cost/MAX(1,attendees))),"N/A"))</f>
        <v/>
      </c>
      <c r="K458" s="5"/>
      <c r="L458" s="5"/>
      <c r="M458" s="5"/>
      <c r="N458" s="5"/>
      <c r="O458" s="5"/>
      <c r="P458" s="5"/>
      <c r="Q458" s="5"/>
      <c r="R458" s="5"/>
      <c r="S458" s="5"/>
      <c r="T458" s="5"/>
      <c r="U458" s="5"/>
      <c r="V458" s="5"/>
      <c r="W458" s="5"/>
      <c r="X458" s="5"/>
      <c r="Y458" s="5"/>
      <c r="Z458" s="5"/>
    </row>
    <row r="459" ht="19.5" customHeight="1">
      <c r="A459" s="49"/>
      <c r="B459" s="50"/>
      <c r="C459" s="50"/>
      <c r="D459" s="50"/>
      <c r="E459" s="50"/>
      <c r="F459" s="51"/>
      <c r="G459" s="50"/>
      <c r="H459" s="50"/>
      <c r="I459" s="50"/>
      <c r="J459" s="48" t="str">
        <f t="array" ref="J459">IF(G459="","",IFERROR(LET(ev_cost,INDEX(Events!$G$5:$G$505,MATCH(G459,Events!$A$5:$A$505,0)),ev_split,INDEX(Events!$I$5:$I$505,MATCH(G459,Events!$A$5:$A$505,0)),att_offset,MATCH(G459,Attendance!$B$3:$AV$3,0),attendees,COUNTIF(INDEX(Attendance!$B$7:$AV$206,0,att_offset),"1"),IF(ev_split="Equal Split",ev_cost/MAX(1,COUNTA(Roster!$A$5:$A$204)),ev_cost/MAX(1,attendees))),"N/A"))</f>
        <v/>
      </c>
      <c r="K459" s="5"/>
      <c r="L459" s="5"/>
      <c r="M459" s="5"/>
      <c r="N459" s="5"/>
      <c r="O459" s="5"/>
      <c r="P459" s="5"/>
      <c r="Q459" s="5"/>
      <c r="R459" s="5"/>
      <c r="S459" s="5"/>
      <c r="T459" s="5"/>
      <c r="U459" s="5"/>
      <c r="V459" s="5"/>
      <c r="W459" s="5"/>
      <c r="X459" s="5"/>
      <c r="Y459" s="5"/>
      <c r="Z459" s="5"/>
    </row>
    <row r="460" ht="19.5" customHeight="1">
      <c r="A460" s="52"/>
      <c r="B460" s="53"/>
      <c r="C460" s="53"/>
      <c r="D460" s="53"/>
      <c r="E460" s="53"/>
      <c r="F460" s="61"/>
      <c r="G460" s="53"/>
      <c r="H460" s="53"/>
      <c r="I460" s="53"/>
      <c r="J460" s="48" t="str">
        <f t="array" ref="J460">IF(G460="","",IFERROR(LET(ev_cost,INDEX(Events!$G$5:$G$505,MATCH(G460,Events!$A$5:$A$505,0)),ev_split,INDEX(Events!$I$5:$I$505,MATCH(G460,Events!$A$5:$A$505,0)),att_offset,MATCH(G460,Attendance!$B$3:$AV$3,0),attendees,COUNTIF(INDEX(Attendance!$B$7:$AV$206,0,att_offset),"1"),IF(ev_split="Equal Split",ev_cost/MAX(1,COUNTA(Roster!$A$5:$A$204)),ev_cost/MAX(1,attendees))),"N/A"))</f>
        <v/>
      </c>
      <c r="K460" s="5"/>
      <c r="L460" s="5"/>
      <c r="M460" s="5"/>
      <c r="N460" s="5"/>
      <c r="O460" s="5"/>
      <c r="P460" s="5"/>
      <c r="Q460" s="5"/>
      <c r="R460" s="5"/>
      <c r="S460" s="5"/>
      <c r="T460" s="5"/>
      <c r="U460" s="5"/>
      <c r="V460" s="5"/>
      <c r="W460" s="5"/>
      <c r="X460" s="5"/>
      <c r="Y460" s="5"/>
      <c r="Z460" s="5"/>
    </row>
    <row r="461" ht="19.5" customHeight="1">
      <c r="A461" s="49"/>
      <c r="B461" s="50"/>
      <c r="C461" s="50"/>
      <c r="D461" s="50"/>
      <c r="E461" s="50"/>
      <c r="F461" s="51"/>
      <c r="G461" s="50"/>
      <c r="H461" s="50"/>
      <c r="I461" s="50"/>
      <c r="J461" s="48" t="str">
        <f t="array" ref="J461">IF(G461="","",IFERROR(LET(ev_cost,INDEX(Events!$G$5:$G$505,MATCH(G461,Events!$A$5:$A$505,0)),ev_split,INDEX(Events!$I$5:$I$505,MATCH(G461,Events!$A$5:$A$505,0)),att_offset,MATCH(G461,Attendance!$B$3:$AV$3,0),attendees,COUNTIF(INDEX(Attendance!$B$7:$AV$206,0,att_offset),"1"),IF(ev_split="Equal Split",ev_cost/MAX(1,COUNTA(Roster!$A$5:$A$204)),ev_cost/MAX(1,attendees))),"N/A"))</f>
        <v/>
      </c>
      <c r="K461" s="5"/>
      <c r="L461" s="5"/>
      <c r="M461" s="5"/>
      <c r="N461" s="5"/>
      <c r="O461" s="5"/>
      <c r="P461" s="5"/>
      <c r="Q461" s="5"/>
      <c r="R461" s="5"/>
      <c r="S461" s="5"/>
      <c r="T461" s="5"/>
      <c r="U461" s="5"/>
      <c r="V461" s="5"/>
      <c r="W461" s="5"/>
      <c r="X461" s="5"/>
      <c r="Y461" s="5"/>
      <c r="Z461" s="5"/>
    </row>
    <row r="462" ht="19.5" customHeight="1">
      <c r="A462" s="52"/>
      <c r="B462" s="53"/>
      <c r="C462" s="53"/>
      <c r="D462" s="53"/>
      <c r="E462" s="53"/>
      <c r="F462" s="61"/>
      <c r="G462" s="53"/>
      <c r="H462" s="53"/>
      <c r="I462" s="53"/>
      <c r="J462" s="48" t="str">
        <f t="array" ref="J462">IF(G462="","",IFERROR(LET(ev_cost,INDEX(Events!$G$5:$G$505,MATCH(G462,Events!$A$5:$A$505,0)),ev_split,INDEX(Events!$I$5:$I$505,MATCH(G462,Events!$A$5:$A$505,0)),att_offset,MATCH(G462,Attendance!$B$3:$AV$3,0),attendees,COUNTIF(INDEX(Attendance!$B$7:$AV$206,0,att_offset),"1"),IF(ev_split="Equal Split",ev_cost/MAX(1,COUNTA(Roster!$A$5:$A$204)),ev_cost/MAX(1,attendees))),"N/A"))</f>
        <v/>
      </c>
      <c r="K462" s="5"/>
      <c r="L462" s="5"/>
      <c r="M462" s="5"/>
      <c r="N462" s="5"/>
      <c r="O462" s="5"/>
      <c r="P462" s="5"/>
      <c r="Q462" s="5"/>
      <c r="R462" s="5"/>
      <c r="S462" s="5"/>
      <c r="T462" s="5"/>
      <c r="U462" s="5"/>
      <c r="V462" s="5"/>
      <c r="W462" s="5"/>
      <c r="X462" s="5"/>
      <c r="Y462" s="5"/>
      <c r="Z462" s="5"/>
    </row>
    <row r="463" ht="19.5" customHeight="1">
      <c r="A463" s="49"/>
      <c r="B463" s="50"/>
      <c r="C463" s="50"/>
      <c r="D463" s="50"/>
      <c r="E463" s="50"/>
      <c r="F463" s="51"/>
      <c r="G463" s="50"/>
      <c r="H463" s="50"/>
      <c r="I463" s="50"/>
      <c r="J463" s="48" t="str">
        <f t="array" ref="J463">IF(G463="","",IFERROR(LET(ev_cost,INDEX(Events!$G$5:$G$505,MATCH(G463,Events!$A$5:$A$505,0)),ev_split,INDEX(Events!$I$5:$I$505,MATCH(G463,Events!$A$5:$A$505,0)),att_offset,MATCH(G463,Attendance!$B$3:$AV$3,0),attendees,COUNTIF(INDEX(Attendance!$B$7:$AV$206,0,att_offset),"1"),IF(ev_split="Equal Split",ev_cost/MAX(1,COUNTA(Roster!$A$5:$A$204)),ev_cost/MAX(1,attendees))),"N/A"))</f>
        <v/>
      </c>
      <c r="K463" s="5"/>
      <c r="L463" s="5"/>
      <c r="M463" s="5"/>
      <c r="N463" s="5"/>
      <c r="O463" s="5"/>
      <c r="P463" s="5"/>
      <c r="Q463" s="5"/>
      <c r="R463" s="5"/>
      <c r="S463" s="5"/>
      <c r="T463" s="5"/>
      <c r="U463" s="5"/>
      <c r="V463" s="5"/>
      <c r="W463" s="5"/>
      <c r="X463" s="5"/>
      <c r="Y463" s="5"/>
      <c r="Z463" s="5"/>
    </row>
    <row r="464" ht="19.5" customHeight="1">
      <c r="A464" s="52"/>
      <c r="B464" s="53"/>
      <c r="C464" s="53"/>
      <c r="D464" s="53"/>
      <c r="E464" s="53"/>
      <c r="F464" s="61"/>
      <c r="G464" s="53"/>
      <c r="H464" s="53"/>
      <c r="I464" s="53"/>
      <c r="J464" s="48" t="str">
        <f t="array" ref="J464">IF(G464="","",IFERROR(LET(ev_cost,INDEX(Events!$G$5:$G$505,MATCH(G464,Events!$A$5:$A$505,0)),ev_split,INDEX(Events!$I$5:$I$505,MATCH(G464,Events!$A$5:$A$505,0)),att_offset,MATCH(G464,Attendance!$B$3:$AV$3,0),attendees,COUNTIF(INDEX(Attendance!$B$7:$AV$206,0,att_offset),"1"),IF(ev_split="Equal Split",ev_cost/MAX(1,COUNTA(Roster!$A$5:$A$204)),ev_cost/MAX(1,attendees))),"N/A"))</f>
        <v/>
      </c>
      <c r="K464" s="5"/>
      <c r="L464" s="5"/>
      <c r="M464" s="5"/>
      <c r="N464" s="5"/>
      <c r="O464" s="5"/>
      <c r="P464" s="5"/>
      <c r="Q464" s="5"/>
      <c r="R464" s="5"/>
      <c r="S464" s="5"/>
      <c r="T464" s="5"/>
      <c r="U464" s="5"/>
      <c r="V464" s="5"/>
      <c r="W464" s="5"/>
      <c r="X464" s="5"/>
      <c r="Y464" s="5"/>
      <c r="Z464" s="5"/>
    </row>
    <row r="465" ht="19.5" customHeight="1">
      <c r="A465" s="49"/>
      <c r="B465" s="50"/>
      <c r="C465" s="50"/>
      <c r="D465" s="50"/>
      <c r="E465" s="50"/>
      <c r="F465" s="51"/>
      <c r="G465" s="50"/>
      <c r="H465" s="50"/>
      <c r="I465" s="50"/>
      <c r="J465" s="48" t="str">
        <f t="array" ref="J465">IF(G465="","",IFERROR(LET(ev_cost,INDEX(Events!$G$5:$G$505,MATCH(G465,Events!$A$5:$A$505,0)),ev_split,INDEX(Events!$I$5:$I$505,MATCH(G465,Events!$A$5:$A$505,0)),att_offset,MATCH(G465,Attendance!$B$3:$AV$3,0),attendees,COUNTIF(INDEX(Attendance!$B$7:$AV$206,0,att_offset),"1"),IF(ev_split="Equal Split",ev_cost/MAX(1,COUNTA(Roster!$A$5:$A$204)),ev_cost/MAX(1,attendees))),"N/A"))</f>
        <v/>
      </c>
      <c r="K465" s="5"/>
      <c r="L465" s="5"/>
      <c r="M465" s="5"/>
      <c r="N465" s="5"/>
      <c r="O465" s="5"/>
      <c r="P465" s="5"/>
      <c r="Q465" s="5"/>
      <c r="R465" s="5"/>
      <c r="S465" s="5"/>
      <c r="T465" s="5"/>
      <c r="U465" s="5"/>
      <c r="V465" s="5"/>
      <c r="W465" s="5"/>
      <c r="X465" s="5"/>
      <c r="Y465" s="5"/>
      <c r="Z465" s="5"/>
    </row>
    <row r="466" ht="19.5" customHeight="1">
      <c r="A466" s="52"/>
      <c r="B466" s="53"/>
      <c r="C466" s="53"/>
      <c r="D466" s="53"/>
      <c r="E466" s="53"/>
      <c r="F466" s="61"/>
      <c r="G466" s="53"/>
      <c r="H466" s="53"/>
      <c r="I466" s="53"/>
      <c r="J466" s="48" t="str">
        <f t="array" ref="J466">IF(G466="","",IFERROR(LET(ev_cost,INDEX(Events!$G$5:$G$505,MATCH(G466,Events!$A$5:$A$505,0)),ev_split,INDEX(Events!$I$5:$I$505,MATCH(G466,Events!$A$5:$A$505,0)),att_offset,MATCH(G466,Attendance!$B$3:$AV$3,0),attendees,COUNTIF(INDEX(Attendance!$B$7:$AV$206,0,att_offset),"1"),IF(ev_split="Equal Split",ev_cost/MAX(1,COUNTA(Roster!$A$5:$A$204)),ev_cost/MAX(1,attendees))),"N/A"))</f>
        <v/>
      </c>
      <c r="K466" s="5"/>
      <c r="L466" s="5"/>
      <c r="M466" s="5"/>
      <c r="N466" s="5"/>
      <c r="O466" s="5"/>
      <c r="P466" s="5"/>
      <c r="Q466" s="5"/>
      <c r="R466" s="5"/>
      <c r="S466" s="5"/>
      <c r="T466" s="5"/>
      <c r="U466" s="5"/>
      <c r="V466" s="5"/>
      <c r="W466" s="5"/>
      <c r="X466" s="5"/>
      <c r="Y466" s="5"/>
      <c r="Z466" s="5"/>
    </row>
    <row r="467" ht="19.5" customHeight="1">
      <c r="A467" s="49"/>
      <c r="B467" s="50"/>
      <c r="C467" s="50"/>
      <c r="D467" s="50"/>
      <c r="E467" s="50"/>
      <c r="F467" s="51"/>
      <c r="G467" s="50"/>
      <c r="H467" s="50"/>
      <c r="I467" s="50"/>
      <c r="J467" s="48" t="str">
        <f t="array" ref="J467">IF(G467="","",IFERROR(LET(ev_cost,INDEX(Events!$G$5:$G$505,MATCH(G467,Events!$A$5:$A$505,0)),ev_split,INDEX(Events!$I$5:$I$505,MATCH(G467,Events!$A$5:$A$505,0)),att_offset,MATCH(G467,Attendance!$B$3:$AV$3,0),attendees,COUNTIF(INDEX(Attendance!$B$7:$AV$206,0,att_offset),"1"),IF(ev_split="Equal Split",ev_cost/MAX(1,COUNTA(Roster!$A$5:$A$204)),ev_cost/MAX(1,attendees))),"N/A"))</f>
        <v/>
      </c>
      <c r="K467" s="5"/>
      <c r="L467" s="5"/>
      <c r="M467" s="5"/>
      <c r="N467" s="5"/>
      <c r="O467" s="5"/>
      <c r="P467" s="5"/>
      <c r="Q467" s="5"/>
      <c r="R467" s="5"/>
      <c r="S467" s="5"/>
      <c r="T467" s="5"/>
      <c r="U467" s="5"/>
      <c r="V467" s="5"/>
      <c r="W467" s="5"/>
      <c r="X467" s="5"/>
      <c r="Y467" s="5"/>
      <c r="Z467" s="5"/>
    </row>
    <row r="468" ht="19.5" customHeight="1">
      <c r="A468" s="52"/>
      <c r="B468" s="53"/>
      <c r="C468" s="53"/>
      <c r="D468" s="53"/>
      <c r="E468" s="53"/>
      <c r="F468" s="61"/>
      <c r="G468" s="53"/>
      <c r="H468" s="53"/>
      <c r="I468" s="53"/>
      <c r="J468" s="48" t="str">
        <f t="array" ref="J468">IF(G468="","",IFERROR(LET(ev_cost,INDEX(Events!$G$5:$G$505,MATCH(G468,Events!$A$5:$A$505,0)),ev_split,INDEX(Events!$I$5:$I$505,MATCH(G468,Events!$A$5:$A$505,0)),att_offset,MATCH(G468,Attendance!$B$3:$AV$3,0),attendees,COUNTIF(INDEX(Attendance!$B$7:$AV$206,0,att_offset),"1"),IF(ev_split="Equal Split",ev_cost/MAX(1,COUNTA(Roster!$A$5:$A$204)),ev_cost/MAX(1,attendees))),"N/A"))</f>
        <v/>
      </c>
      <c r="K468" s="5"/>
      <c r="L468" s="5"/>
      <c r="M468" s="5"/>
      <c r="N468" s="5"/>
      <c r="O468" s="5"/>
      <c r="P468" s="5"/>
      <c r="Q468" s="5"/>
      <c r="R468" s="5"/>
      <c r="S468" s="5"/>
      <c r="T468" s="5"/>
      <c r="U468" s="5"/>
      <c r="V468" s="5"/>
      <c r="W468" s="5"/>
      <c r="X468" s="5"/>
      <c r="Y468" s="5"/>
      <c r="Z468" s="5"/>
    </row>
    <row r="469" ht="19.5" customHeight="1">
      <c r="A469" s="49"/>
      <c r="B469" s="50"/>
      <c r="C469" s="50"/>
      <c r="D469" s="50"/>
      <c r="E469" s="50"/>
      <c r="F469" s="51"/>
      <c r="G469" s="50"/>
      <c r="H469" s="50"/>
      <c r="I469" s="50"/>
      <c r="J469" s="48" t="str">
        <f t="array" ref="J469">IF(G469="","",IFERROR(LET(ev_cost,INDEX(Events!$G$5:$G$505,MATCH(G469,Events!$A$5:$A$505,0)),ev_split,INDEX(Events!$I$5:$I$505,MATCH(G469,Events!$A$5:$A$505,0)),att_offset,MATCH(G469,Attendance!$B$3:$AV$3,0),attendees,COUNTIF(INDEX(Attendance!$B$7:$AV$206,0,att_offset),"1"),IF(ev_split="Equal Split",ev_cost/MAX(1,COUNTA(Roster!$A$5:$A$204)),ev_cost/MAX(1,attendees))),"N/A"))</f>
        <v/>
      </c>
      <c r="K469" s="5"/>
      <c r="L469" s="5"/>
      <c r="M469" s="5"/>
      <c r="N469" s="5"/>
      <c r="O469" s="5"/>
      <c r="P469" s="5"/>
      <c r="Q469" s="5"/>
      <c r="R469" s="5"/>
      <c r="S469" s="5"/>
      <c r="T469" s="5"/>
      <c r="U469" s="5"/>
      <c r="V469" s="5"/>
      <c r="W469" s="5"/>
      <c r="X469" s="5"/>
      <c r="Y469" s="5"/>
      <c r="Z469" s="5"/>
    </row>
    <row r="470" ht="19.5" customHeight="1">
      <c r="A470" s="52"/>
      <c r="B470" s="53"/>
      <c r="C470" s="53"/>
      <c r="D470" s="53"/>
      <c r="E470" s="53"/>
      <c r="F470" s="61"/>
      <c r="G470" s="53"/>
      <c r="H470" s="53"/>
      <c r="I470" s="53"/>
      <c r="J470" s="48" t="str">
        <f t="array" ref="J470">IF(G470="","",IFERROR(LET(ev_cost,INDEX(Events!$G$5:$G$505,MATCH(G470,Events!$A$5:$A$505,0)),ev_split,INDEX(Events!$I$5:$I$505,MATCH(G470,Events!$A$5:$A$505,0)),att_offset,MATCH(G470,Attendance!$B$3:$AV$3,0),attendees,COUNTIF(INDEX(Attendance!$B$7:$AV$206,0,att_offset),"1"),IF(ev_split="Equal Split",ev_cost/MAX(1,COUNTA(Roster!$A$5:$A$204)),ev_cost/MAX(1,attendees))),"N/A"))</f>
        <v/>
      </c>
      <c r="K470" s="5"/>
      <c r="L470" s="5"/>
      <c r="M470" s="5"/>
      <c r="N470" s="5"/>
      <c r="O470" s="5"/>
      <c r="P470" s="5"/>
      <c r="Q470" s="5"/>
      <c r="R470" s="5"/>
      <c r="S470" s="5"/>
      <c r="T470" s="5"/>
      <c r="U470" s="5"/>
      <c r="V470" s="5"/>
      <c r="W470" s="5"/>
      <c r="X470" s="5"/>
      <c r="Y470" s="5"/>
      <c r="Z470" s="5"/>
    </row>
    <row r="471" ht="19.5" customHeight="1">
      <c r="A471" s="49"/>
      <c r="B471" s="50"/>
      <c r="C471" s="50"/>
      <c r="D471" s="50"/>
      <c r="E471" s="50"/>
      <c r="F471" s="51"/>
      <c r="G471" s="50"/>
      <c r="H471" s="50"/>
      <c r="I471" s="50"/>
      <c r="J471" s="48" t="str">
        <f t="array" ref="J471">IF(G471="","",IFERROR(LET(ev_cost,INDEX(Events!$G$5:$G$505,MATCH(G471,Events!$A$5:$A$505,0)),ev_split,INDEX(Events!$I$5:$I$505,MATCH(G471,Events!$A$5:$A$505,0)),att_offset,MATCH(G471,Attendance!$B$3:$AV$3,0),attendees,COUNTIF(INDEX(Attendance!$B$7:$AV$206,0,att_offset),"1"),IF(ev_split="Equal Split",ev_cost/MAX(1,COUNTA(Roster!$A$5:$A$204)),ev_cost/MAX(1,attendees))),"N/A"))</f>
        <v/>
      </c>
      <c r="K471" s="5"/>
      <c r="L471" s="5"/>
      <c r="M471" s="5"/>
      <c r="N471" s="5"/>
      <c r="O471" s="5"/>
      <c r="P471" s="5"/>
      <c r="Q471" s="5"/>
      <c r="R471" s="5"/>
      <c r="S471" s="5"/>
      <c r="T471" s="5"/>
      <c r="U471" s="5"/>
      <c r="V471" s="5"/>
      <c r="W471" s="5"/>
      <c r="X471" s="5"/>
      <c r="Y471" s="5"/>
      <c r="Z471" s="5"/>
    </row>
    <row r="472" ht="19.5" customHeight="1">
      <c r="A472" s="52"/>
      <c r="B472" s="53"/>
      <c r="C472" s="53"/>
      <c r="D472" s="53"/>
      <c r="E472" s="53"/>
      <c r="F472" s="61"/>
      <c r="G472" s="53"/>
      <c r="H472" s="53"/>
      <c r="I472" s="53"/>
      <c r="J472" s="48" t="str">
        <f t="array" ref="J472">IF(G472="","",IFERROR(LET(ev_cost,INDEX(Events!$G$5:$G$505,MATCH(G472,Events!$A$5:$A$505,0)),ev_split,INDEX(Events!$I$5:$I$505,MATCH(G472,Events!$A$5:$A$505,0)),att_offset,MATCH(G472,Attendance!$B$3:$AV$3,0),attendees,COUNTIF(INDEX(Attendance!$B$7:$AV$206,0,att_offset),"1"),IF(ev_split="Equal Split",ev_cost/MAX(1,COUNTA(Roster!$A$5:$A$204)),ev_cost/MAX(1,attendees))),"N/A"))</f>
        <v/>
      </c>
      <c r="K472" s="5"/>
      <c r="L472" s="5"/>
      <c r="M472" s="5"/>
      <c r="N472" s="5"/>
      <c r="O472" s="5"/>
      <c r="P472" s="5"/>
      <c r="Q472" s="5"/>
      <c r="R472" s="5"/>
      <c r="S472" s="5"/>
      <c r="T472" s="5"/>
      <c r="U472" s="5"/>
      <c r="V472" s="5"/>
      <c r="W472" s="5"/>
      <c r="X472" s="5"/>
      <c r="Y472" s="5"/>
      <c r="Z472" s="5"/>
    </row>
    <row r="473" ht="19.5" customHeight="1">
      <c r="A473" s="49"/>
      <c r="B473" s="50"/>
      <c r="C473" s="50"/>
      <c r="D473" s="50"/>
      <c r="E473" s="50"/>
      <c r="F473" s="51"/>
      <c r="G473" s="50"/>
      <c r="H473" s="50"/>
      <c r="I473" s="50"/>
      <c r="J473" s="48" t="str">
        <f t="array" ref="J473">IF(G473="","",IFERROR(LET(ev_cost,INDEX(Events!$G$5:$G$505,MATCH(G473,Events!$A$5:$A$505,0)),ev_split,INDEX(Events!$I$5:$I$505,MATCH(G473,Events!$A$5:$A$505,0)),att_offset,MATCH(G473,Attendance!$B$3:$AV$3,0),attendees,COUNTIF(INDEX(Attendance!$B$7:$AV$206,0,att_offset),"1"),IF(ev_split="Equal Split",ev_cost/MAX(1,COUNTA(Roster!$A$5:$A$204)),ev_cost/MAX(1,attendees))),"N/A"))</f>
        <v/>
      </c>
      <c r="K473" s="5"/>
      <c r="L473" s="5"/>
      <c r="M473" s="5"/>
      <c r="N473" s="5"/>
      <c r="O473" s="5"/>
      <c r="P473" s="5"/>
      <c r="Q473" s="5"/>
      <c r="R473" s="5"/>
      <c r="S473" s="5"/>
      <c r="T473" s="5"/>
      <c r="U473" s="5"/>
      <c r="V473" s="5"/>
      <c r="W473" s="5"/>
      <c r="X473" s="5"/>
      <c r="Y473" s="5"/>
      <c r="Z473" s="5"/>
    </row>
    <row r="474" ht="19.5" customHeight="1">
      <c r="A474" s="52"/>
      <c r="B474" s="53"/>
      <c r="C474" s="53"/>
      <c r="D474" s="53"/>
      <c r="E474" s="53"/>
      <c r="F474" s="61"/>
      <c r="G474" s="53"/>
      <c r="H474" s="53"/>
      <c r="I474" s="53"/>
      <c r="J474" s="48" t="str">
        <f t="array" ref="J474">IF(G474="","",IFERROR(LET(ev_cost,INDEX(Events!$G$5:$G$505,MATCH(G474,Events!$A$5:$A$505,0)),ev_split,INDEX(Events!$I$5:$I$505,MATCH(G474,Events!$A$5:$A$505,0)),att_offset,MATCH(G474,Attendance!$B$3:$AV$3,0),attendees,COUNTIF(INDEX(Attendance!$B$7:$AV$206,0,att_offset),"1"),IF(ev_split="Equal Split",ev_cost/MAX(1,COUNTA(Roster!$A$5:$A$204)),ev_cost/MAX(1,attendees))),"N/A"))</f>
        <v/>
      </c>
      <c r="K474" s="5"/>
      <c r="L474" s="5"/>
      <c r="M474" s="5"/>
      <c r="N474" s="5"/>
      <c r="O474" s="5"/>
      <c r="P474" s="5"/>
      <c r="Q474" s="5"/>
      <c r="R474" s="5"/>
      <c r="S474" s="5"/>
      <c r="T474" s="5"/>
      <c r="U474" s="5"/>
      <c r="V474" s="5"/>
      <c r="W474" s="5"/>
      <c r="X474" s="5"/>
      <c r="Y474" s="5"/>
      <c r="Z474" s="5"/>
    </row>
    <row r="475" ht="19.5" customHeight="1">
      <c r="A475" s="49"/>
      <c r="B475" s="50"/>
      <c r="C475" s="50"/>
      <c r="D475" s="50"/>
      <c r="E475" s="50"/>
      <c r="F475" s="51"/>
      <c r="G475" s="50"/>
      <c r="H475" s="50"/>
      <c r="I475" s="50"/>
      <c r="J475" s="48" t="str">
        <f t="array" ref="J475">IF(G475="","",IFERROR(LET(ev_cost,INDEX(Events!$G$5:$G$505,MATCH(G475,Events!$A$5:$A$505,0)),ev_split,INDEX(Events!$I$5:$I$505,MATCH(G475,Events!$A$5:$A$505,0)),att_offset,MATCH(G475,Attendance!$B$3:$AV$3,0),attendees,COUNTIF(INDEX(Attendance!$B$7:$AV$206,0,att_offset),"1"),IF(ev_split="Equal Split",ev_cost/MAX(1,COUNTA(Roster!$A$5:$A$204)),ev_cost/MAX(1,attendees))),"N/A"))</f>
        <v/>
      </c>
      <c r="K475" s="5"/>
      <c r="L475" s="5"/>
      <c r="M475" s="5"/>
      <c r="N475" s="5"/>
      <c r="O475" s="5"/>
      <c r="P475" s="5"/>
      <c r="Q475" s="5"/>
      <c r="R475" s="5"/>
      <c r="S475" s="5"/>
      <c r="T475" s="5"/>
      <c r="U475" s="5"/>
      <c r="V475" s="5"/>
      <c r="W475" s="5"/>
      <c r="X475" s="5"/>
      <c r="Y475" s="5"/>
      <c r="Z475" s="5"/>
    </row>
    <row r="476" ht="19.5" customHeight="1">
      <c r="A476" s="52"/>
      <c r="B476" s="53"/>
      <c r="C476" s="53"/>
      <c r="D476" s="53"/>
      <c r="E476" s="53"/>
      <c r="F476" s="61"/>
      <c r="G476" s="53"/>
      <c r="H476" s="53"/>
      <c r="I476" s="53"/>
      <c r="J476" s="48" t="str">
        <f t="array" ref="J476">IF(G476="","",IFERROR(LET(ev_cost,INDEX(Events!$G$5:$G$505,MATCH(G476,Events!$A$5:$A$505,0)),ev_split,INDEX(Events!$I$5:$I$505,MATCH(G476,Events!$A$5:$A$505,0)),att_offset,MATCH(G476,Attendance!$B$3:$AV$3,0),attendees,COUNTIF(INDEX(Attendance!$B$7:$AV$206,0,att_offset),"1"),IF(ev_split="Equal Split",ev_cost/MAX(1,COUNTA(Roster!$A$5:$A$204)),ev_cost/MAX(1,attendees))),"N/A"))</f>
        <v/>
      </c>
      <c r="K476" s="5"/>
      <c r="L476" s="5"/>
      <c r="M476" s="5"/>
      <c r="N476" s="5"/>
      <c r="O476" s="5"/>
      <c r="P476" s="5"/>
      <c r="Q476" s="5"/>
      <c r="R476" s="5"/>
      <c r="S476" s="5"/>
      <c r="T476" s="5"/>
      <c r="U476" s="5"/>
      <c r="V476" s="5"/>
      <c r="W476" s="5"/>
      <c r="X476" s="5"/>
      <c r="Y476" s="5"/>
      <c r="Z476" s="5"/>
    </row>
    <row r="477" ht="19.5" customHeight="1">
      <c r="A477" s="49"/>
      <c r="B477" s="50"/>
      <c r="C477" s="50"/>
      <c r="D477" s="50"/>
      <c r="E477" s="50"/>
      <c r="F477" s="51"/>
      <c r="G477" s="50"/>
      <c r="H477" s="50"/>
      <c r="I477" s="50"/>
      <c r="J477" s="48" t="str">
        <f t="array" ref="J477">IF(G477="","",IFERROR(LET(ev_cost,INDEX(Events!$G$5:$G$505,MATCH(G477,Events!$A$5:$A$505,0)),ev_split,INDEX(Events!$I$5:$I$505,MATCH(G477,Events!$A$5:$A$505,0)),att_offset,MATCH(G477,Attendance!$B$3:$AV$3,0),attendees,COUNTIF(INDEX(Attendance!$B$7:$AV$206,0,att_offset),"1"),IF(ev_split="Equal Split",ev_cost/MAX(1,COUNTA(Roster!$A$5:$A$204)),ev_cost/MAX(1,attendees))),"N/A"))</f>
        <v/>
      </c>
      <c r="K477" s="5"/>
      <c r="L477" s="5"/>
      <c r="M477" s="5"/>
      <c r="N477" s="5"/>
      <c r="O477" s="5"/>
      <c r="P477" s="5"/>
      <c r="Q477" s="5"/>
      <c r="R477" s="5"/>
      <c r="S477" s="5"/>
      <c r="T477" s="5"/>
      <c r="U477" s="5"/>
      <c r="V477" s="5"/>
      <c r="W477" s="5"/>
      <c r="X477" s="5"/>
      <c r="Y477" s="5"/>
      <c r="Z477" s="5"/>
    </row>
    <row r="478" ht="19.5" customHeight="1">
      <c r="A478" s="52"/>
      <c r="B478" s="53"/>
      <c r="C478" s="53"/>
      <c r="D478" s="53"/>
      <c r="E478" s="53"/>
      <c r="F478" s="61"/>
      <c r="G478" s="53"/>
      <c r="H478" s="53"/>
      <c r="I478" s="53"/>
      <c r="J478" s="48" t="str">
        <f t="array" ref="J478">IF(G478="","",IFERROR(LET(ev_cost,INDEX(Events!$G$5:$G$505,MATCH(G478,Events!$A$5:$A$505,0)),ev_split,INDEX(Events!$I$5:$I$505,MATCH(G478,Events!$A$5:$A$505,0)),att_offset,MATCH(G478,Attendance!$B$3:$AV$3,0),attendees,COUNTIF(INDEX(Attendance!$B$7:$AV$206,0,att_offset),"1"),IF(ev_split="Equal Split",ev_cost/MAX(1,COUNTA(Roster!$A$5:$A$204)),ev_cost/MAX(1,attendees))),"N/A"))</f>
        <v/>
      </c>
      <c r="K478" s="5"/>
      <c r="L478" s="5"/>
      <c r="M478" s="5"/>
      <c r="N478" s="5"/>
      <c r="O478" s="5"/>
      <c r="P478" s="5"/>
      <c r="Q478" s="5"/>
      <c r="R478" s="5"/>
      <c r="S478" s="5"/>
      <c r="T478" s="5"/>
      <c r="U478" s="5"/>
      <c r="V478" s="5"/>
      <c r="W478" s="5"/>
      <c r="X478" s="5"/>
      <c r="Y478" s="5"/>
      <c r="Z478" s="5"/>
    </row>
    <row r="479" ht="19.5" customHeight="1">
      <c r="A479" s="49"/>
      <c r="B479" s="50"/>
      <c r="C479" s="50"/>
      <c r="D479" s="50"/>
      <c r="E479" s="50"/>
      <c r="F479" s="51"/>
      <c r="G479" s="50"/>
      <c r="H479" s="50"/>
      <c r="I479" s="50"/>
      <c r="J479" s="48" t="str">
        <f t="array" ref="J479">IF(G479="","",IFERROR(LET(ev_cost,INDEX(Events!$G$5:$G$505,MATCH(G479,Events!$A$5:$A$505,0)),ev_split,INDEX(Events!$I$5:$I$505,MATCH(G479,Events!$A$5:$A$505,0)),att_offset,MATCH(G479,Attendance!$B$3:$AV$3,0),attendees,COUNTIF(INDEX(Attendance!$B$7:$AV$206,0,att_offset),"1"),IF(ev_split="Equal Split",ev_cost/MAX(1,COUNTA(Roster!$A$5:$A$204)),ev_cost/MAX(1,attendees))),"N/A"))</f>
        <v/>
      </c>
      <c r="K479" s="5"/>
      <c r="L479" s="5"/>
      <c r="M479" s="5"/>
      <c r="N479" s="5"/>
      <c r="O479" s="5"/>
      <c r="P479" s="5"/>
      <c r="Q479" s="5"/>
      <c r="R479" s="5"/>
      <c r="S479" s="5"/>
      <c r="T479" s="5"/>
      <c r="U479" s="5"/>
      <c r="V479" s="5"/>
      <c r="W479" s="5"/>
      <c r="X479" s="5"/>
      <c r="Y479" s="5"/>
      <c r="Z479" s="5"/>
    </row>
    <row r="480" ht="19.5" customHeight="1">
      <c r="A480" s="52"/>
      <c r="B480" s="53"/>
      <c r="C480" s="53"/>
      <c r="D480" s="53"/>
      <c r="E480" s="53"/>
      <c r="F480" s="61"/>
      <c r="G480" s="53"/>
      <c r="H480" s="53"/>
      <c r="I480" s="53"/>
      <c r="J480" s="48" t="str">
        <f t="array" ref="J480">IF(G480="","",IFERROR(LET(ev_cost,INDEX(Events!$G$5:$G$505,MATCH(G480,Events!$A$5:$A$505,0)),ev_split,INDEX(Events!$I$5:$I$505,MATCH(G480,Events!$A$5:$A$505,0)),att_offset,MATCH(G480,Attendance!$B$3:$AV$3,0),attendees,COUNTIF(INDEX(Attendance!$B$7:$AV$206,0,att_offset),"1"),IF(ev_split="Equal Split",ev_cost/MAX(1,COUNTA(Roster!$A$5:$A$204)),ev_cost/MAX(1,attendees))),"N/A"))</f>
        <v/>
      </c>
      <c r="K480" s="5"/>
      <c r="L480" s="5"/>
      <c r="M480" s="5"/>
      <c r="N480" s="5"/>
      <c r="O480" s="5"/>
      <c r="P480" s="5"/>
      <c r="Q480" s="5"/>
      <c r="R480" s="5"/>
      <c r="S480" s="5"/>
      <c r="T480" s="5"/>
      <c r="U480" s="5"/>
      <c r="V480" s="5"/>
      <c r="W480" s="5"/>
      <c r="X480" s="5"/>
      <c r="Y480" s="5"/>
      <c r="Z480" s="5"/>
    </row>
    <row r="481" ht="19.5" customHeight="1">
      <c r="A481" s="49"/>
      <c r="B481" s="50"/>
      <c r="C481" s="50"/>
      <c r="D481" s="50"/>
      <c r="E481" s="50"/>
      <c r="F481" s="51"/>
      <c r="G481" s="50"/>
      <c r="H481" s="50"/>
      <c r="I481" s="50"/>
      <c r="J481" s="48" t="str">
        <f t="array" ref="J481">IF(G481="","",IFERROR(LET(ev_cost,INDEX(Events!$G$5:$G$505,MATCH(G481,Events!$A$5:$A$505,0)),ev_split,INDEX(Events!$I$5:$I$505,MATCH(G481,Events!$A$5:$A$505,0)),att_offset,MATCH(G481,Attendance!$B$3:$AV$3,0),attendees,COUNTIF(INDEX(Attendance!$B$7:$AV$206,0,att_offset),"1"),IF(ev_split="Equal Split",ev_cost/MAX(1,COUNTA(Roster!$A$5:$A$204)),ev_cost/MAX(1,attendees))),"N/A"))</f>
        <v/>
      </c>
      <c r="K481" s="5"/>
      <c r="L481" s="5"/>
      <c r="M481" s="5"/>
      <c r="N481" s="5"/>
      <c r="O481" s="5"/>
      <c r="P481" s="5"/>
      <c r="Q481" s="5"/>
      <c r="R481" s="5"/>
      <c r="S481" s="5"/>
      <c r="T481" s="5"/>
      <c r="U481" s="5"/>
      <c r="V481" s="5"/>
      <c r="W481" s="5"/>
      <c r="X481" s="5"/>
      <c r="Y481" s="5"/>
      <c r="Z481" s="5"/>
    </row>
    <row r="482" ht="19.5" customHeight="1">
      <c r="A482" s="52"/>
      <c r="B482" s="53"/>
      <c r="C482" s="53"/>
      <c r="D482" s="53"/>
      <c r="E482" s="53"/>
      <c r="F482" s="61"/>
      <c r="G482" s="53"/>
      <c r="H482" s="53"/>
      <c r="I482" s="53"/>
      <c r="J482" s="48" t="str">
        <f t="array" ref="J482">IF(G482="","",IFERROR(LET(ev_cost,INDEX(Events!$G$5:$G$505,MATCH(G482,Events!$A$5:$A$505,0)),ev_split,INDEX(Events!$I$5:$I$505,MATCH(G482,Events!$A$5:$A$505,0)),att_offset,MATCH(G482,Attendance!$B$3:$AV$3,0),attendees,COUNTIF(INDEX(Attendance!$B$7:$AV$206,0,att_offset),"1"),IF(ev_split="Equal Split",ev_cost/MAX(1,COUNTA(Roster!$A$5:$A$204)),ev_cost/MAX(1,attendees))),"N/A"))</f>
        <v/>
      </c>
      <c r="K482" s="5"/>
      <c r="L482" s="5"/>
      <c r="M482" s="5"/>
      <c r="N482" s="5"/>
      <c r="O482" s="5"/>
      <c r="P482" s="5"/>
      <c r="Q482" s="5"/>
      <c r="R482" s="5"/>
      <c r="S482" s="5"/>
      <c r="T482" s="5"/>
      <c r="U482" s="5"/>
      <c r="V482" s="5"/>
      <c r="W482" s="5"/>
      <c r="X482" s="5"/>
      <c r="Y482" s="5"/>
      <c r="Z482" s="5"/>
    </row>
    <row r="483" ht="19.5" customHeight="1">
      <c r="A483" s="49"/>
      <c r="B483" s="50"/>
      <c r="C483" s="50"/>
      <c r="D483" s="50"/>
      <c r="E483" s="50"/>
      <c r="F483" s="51"/>
      <c r="G483" s="50"/>
      <c r="H483" s="50"/>
      <c r="I483" s="50"/>
      <c r="J483" s="48" t="str">
        <f t="array" ref="J483">IF(G483="","",IFERROR(LET(ev_cost,INDEX(Events!$G$5:$G$505,MATCH(G483,Events!$A$5:$A$505,0)),ev_split,INDEX(Events!$I$5:$I$505,MATCH(G483,Events!$A$5:$A$505,0)),att_offset,MATCH(G483,Attendance!$B$3:$AV$3,0),attendees,COUNTIF(INDEX(Attendance!$B$7:$AV$206,0,att_offset),"1"),IF(ev_split="Equal Split",ev_cost/MAX(1,COUNTA(Roster!$A$5:$A$204)),ev_cost/MAX(1,attendees))),"N/A"))</f>
        <v/>
      </c>
      <c r="K483" s="5"/>
      <c r="L483" s="5"/>
      <c r="M483" s="5"/>
      <c r="N483" s="5"/>
      <c r="O483" s="5"/>
      <c r="P483" s="5"/>
      <c r="Q483" s="5"/>
      <c r="R483" s="5"/>
      <c r="S483" s="5"/>
      <c r="T483" s="5"/>
      <c r="U483" s="5"/>
      <c r="V483" s="5"/>
      <c r="W483" s="5"/>
      <c r="X483" s="5"/>
      <c r="Y483" s="5"/>
      <c r="Z483" s="5"/>
    </row>
    <row r="484" ht="19.5" customHeight="1">
      <c r="A484" s="52"/>
      <c r="B484" s="53"/>
      <c r="C484" s="53"/>
      <c r="D484" s="53"/>
      <c r="E484" s="53"/>
      <c r="F484" s="61"/>
      <c r="G484" s="53"/>
      <c r="H484" s="53"/>
      <c r="I484" s="53"/>
      <c r="J484" s="48" t="str">
        <f t="array" ref="J484">IF(G484="","",IFERROR(LET(ev_cost,INDEX(Events!$G$5:$G$505,MATCH(G484,Events!$A$5:$A$505,0)),ev_split,INDEX(Events!$I$5:$I$505,MATCH(G484,Events!$A$5:$A$505,0)),att_offset,MATCH(G484,Attendance!$B$3:$AV$3,0),attendees,COUNTIF(INDEX(Attendance!$B$7:$AV$206,0,att_offset),"1"),IF(ev_split="Equal Split",ev_cost/MAX(1,COUNTA(Roster!$A$5:$A$204)),ev_cost/MAX(1,attendees))),"N/A"))</f>
        <v/>
      </c>
      <c r="K484" s="5"/>
      <c r="L484" s="5"/>
      <c r="M484" s="5"/>
      <c r="N484" s="5"/>
      <c r="O484" s="5"/>
      <c r="P484" s="5"/>
      <c r="Q484" s="5"/>
      <c r="R484" s="5"/>
      <c r="S484" s="5"/>
      <c r="T484" s="5"/>
      <c r="U484" s="5"/>
      <c r="V484" s="5"/>
      <c r="W484" s="5"/>
      <c r="X484" s="5"/>
      <c r="Y484" s="5"/>
      <c r="Z484" s="5"/>
    </row>
    <row r="485" ht="19.5" customHeight="1">
      <c r="A485" s="49"/>
      <c r="B485" s="50"/>
      <c r="C485" s="50"/>
      <c r="D485" s="50"/>
      <c r="E485" s="50"/>
      <c r="F485" s="51"/>
      <c r="G485" s="50"/>
      <c r="H485" s="50"/>
      <c r="I485" s="50"/>
      <c r="J485" s="48" t="str">
        <f t="array" ref="J485">IF(G485="","",IFERROR(LET(ev_cost,INDEX(Events!$G$5:$G$505,MATCH(G485,Events!$A$5:$A$505,0)),ev_split,INDEX(Events!$I$5:$I$505,MATCH(G485,Events!$A$5:$A$505,0)),att_offset,MATCH(G485,Attendance!$B$3:$AV$3,0),attendees,COUNTIF(INDEX(Attendance!$B$7:$AV$206,0,att_offset),"1"),IF(ev_split="Equal Split",ev_cost/MAX(1,COUNTA(Roster!$A$5:$A$204)),ev_cost/MAX(1,attendees))),"N/A"))</f>
        <v/>
      </c>
      <c r="K485" s="5"/>
      <c r="L485" s="5"/>
      <c r="M485" s="5"/>
      <c r="N485" s="5"/>
      <c r="O485" s="5"/>
      <c r="P485" s="5"/>
      <c r="Q485" s="5"/>
      <c r="R485" s="5"/>
      <c r="S485" s="5"/>
      <c r="T485" s="5"/>
      <c r="U485" s="5"/>
      <c r="V485" s="5"/>
      <c r="W485" s="5"/>
      <c r="X485" s="5"/>
      <c r="Y485" s="5"/>
      <c r="Z485" s="5"/>
    </row>
    <row r="486" ht="19.5" customHeight="1">
      <c r="A486" s="52"/>
      <c r="B486" s="53"/>
      <c r="C486" s="53"/>
      <c r="D486" s="53"/>
      <c r="E486" s="53"/>
      <c r="F486" s="61"/>
      <c r="G486" s="53"/>
      <c r="H486" s="53"/>
      <c r="I486" s="53"/>
      <c r="J486" s="48" t="str">
        <f t="array" ref="J486">IF(G486="","",IFERROR(LET(ev_cost,INDEX(Events!$G$5:$G$505,MATCH(G486,Events!$A$5:$A$505,0)),ev_split,INDEX(Events!$I$5:$I$505,MATCH(G486,Events!$A$5:$A$505,0)),att_offset,MATCH(G486,Attendance!$B$3:$AV$3,0),attendees,COUNTIF(INDEX(Attendance!$B$7:$AV$206,0,att_offset),"1"),IF(ev_split="Equal Split",ev_cost/MAX(1,COUNTA(Roster!$A$5:$A$204)),ev_cost/MAX(1,attendees))),"N/A"))</f>
        <v/>
      </c>
      <c r="K486" s="5"/>
      <c r="L486" s="5"/>
      <c r="M486" s="5"/>
      <c r="N486" s="5"/>
      <c r="O486" s="5"/>
      <c r="P486" s="5"/>
      <c r="Q486" s="5"/>
      <c r="R486" s="5"/>
      <c r="S486" s="5"/>
      <c r="T486" s="5"/>
      <c r="U486" s="5"/>
      <c r="V486" s="5"/>
      <c r="W486" s="5"/>
      <c r="X486" s="5"/>
      <c r="Y486" s="5"/>
      <c r="Z486" s="5"/>
    </row>
    <row r="487" ht="19.5" customHeight="1">
      <c r="A487" s="49"/>
      <c r="B487" s="50"/>
      <c r="C487" s="50"/>
      <c r="D487" s="50"/>
      <c r="E487" s="50"/>
      <c r="F487" s="51"/>
      <c r="G487" s="50"/>
      <c r="H487" s="50"/>
      <c r="I487" s="50"/>
      <c r="J487" s="48" t="str">
        <f t="array" ref="J487">IF(G487="","",IFERROR(LET(ev_cost,INDEX(Events!$G$5:$G$505,MATCH(G487,Events!$A$5:$A$505,0)),ev_split,INDEX(Events!$I$5:$I$505,MATCH(G487,Events!$A$5:$A$505,0)),att_offset,MATCH(G487,Attendance!$B$3:$AV$3,0),attendees,COUNTIF(INDEX(Attendance!$B$7:$AV$206,0,att_offset),"1"),IF(ev_split="Equal Split",ev_cost/MAX(1,COUNTA(Roster!$A$5:$A$204)),ev_cost/MAX(1,attendees))),"N/A"))</f>
        <v/>
      </c>
      <c r="K487" s="5"/>
      <c r="L487" s="5"/>
      <c r="M487" s="5"/>
      <c r="N487" s="5"/>
      <c r="O487" s="5"/>
      <c r="P487" s="5"/>
      <c r="Q487" s="5"/>
      <c r="R487" s="5"/>
      <c r="S487" s="5"/>
      <c r="T487" s="5"/>
      <c r="U487" s="5"/>
      <c r="V487" s="5"/>
      <c r="W487" s="5"/>
      <c r="X487" s="5"/>
      <c r="Y487" s="5"/>
      <c r="Z487" s="5"/>
    </row>
    <row r="488" ht="19.5" customHeight="1">
      <c r="A488" s="52"/>
      <c r="B488" s="53"/>
      <c r="C488" s="53"/>
      <c r="D488" s="53"/>
      <c r="E488" s="53"/>
      <c r="F488" s="61"/>
      <c r="G488" s="53"/>
      <c r="H488" s="53"/>
      <c r="I488" s="53"/>
      <c r="J488" s="48" t="str">
        <f t="array" ref="J488">IF(G488="","",IFERROR(LET(ev_cost,INDEX(Events!$G$5:$G$505,MATCH(G488,Events!$A$5:$A$505,0)),ev_split,INDEX(Events!$I$5:$I$505,MATCH(G488,Events!$A$5:$A$505,0)),att_offset,MATCH(G488,Attendance!$B$3:$AV$3,0),attendees,COUNTIF(INDEX(Attendance!$B$7:$AV$206,0,att_offset),"1"),IF(ev_split="Equal Split",ev_cost/MAX(1,COUNTA(Roster!$A$5:$A$204)),ev_cost/MAX(1,attendees))),"N/A"))</f>
        <v/>
      </c>
      <c r="K488" s="5"/>
      <c r="L488" s="5"/>
      <c r="M488" s="5"/>
      <c r="N488" s="5"/>
      <c r="O488" s="5"/>
      <c r="P488" s="5"/>
      <c r="Q488" s="5"/>
      <c r="R488" s="5"/>
      <c r="S488" s="5"/>
      <c r="T488" s="5"/>
      <c r="U488" s="5"/>
      <c r="V488" s="5"/>
      <c r="W488" s="5"/>
      <c r="X488" s="5"/>
      <c r="Y488" s="5"/>
      <c r="Z488" s="5"/>
    </row>
    <row r="489" ht="19.5" customHeight="1">
      <c r="A489" s="49"/>
      <c r="B489" s="50"/>
      <c r="C489" s="50"/>
      <c r="D489" s="50"/>
      <c r="E489" s="50"/>
      <c r="F489" s="51"/>
      <c r="G489" s="50"/>
      <c r="H489" s="50"/>
      <c r="I489" s="50"/>
      <c r="J489" s="48" t="str">
        <f t="array" ref="J489">IF(G489="","",IFERROR(LET(ev_cost,INDEX(Events!$G$5:$G$505,MATCH(G489,Events!$A$5:$A$505,0)),ev_split,INDEX(Events!$I$5:$I$505,MATCH(G489,Events!$A$5:$A$505,0)),att_offset,MATCH(G489,Attendance!$B$3:$AV$3,0),attendees,COUNTIF(INDEX(Attendance!$B$7:$AV$206,0,att_offset),"1"),IF(ev_split="Equal Split",ev_cost/MAX(1,COUNTA(Roster!$A$5:$A$204)),ev_cost/MAX(1,attendees))),"N/A"))</f>
        <v/>
      </c>
      <c r="K489" s="5"/>
      <c r="L489" s="5"/>
      <c r="M489" s="5"/>
      <c r="N489" s="5"/>
      <c r="O489" s="5"/>
      <c r="P489" s="5"/>
      <c r="Q489" s="5"/>
      <c r="R489" s="5"/>
      <c r="S489" s="5"/>
      <c r="T489" s="5"/>
      <c r="U489" s="5"/>
      <c r="V489" s="5"/>
      <c r="W489" s="5"/>
      <c r="X489" s="5"/>
      <c r="Y489" s="5"/>
      <c r="Z489" s="5"/>
    </row>
    <row r="490" ht="19.5" customHeight="1">
      <c r="A490" s="52"/>
      <c r="B490" s="53"/>
      <c r="C490" s="53"/>
      <c r="D490" s="53"/>
      <c r="E490" s="53"/>
      <c r="F490" s="61"/>
      <c r="G490" s="53"/>
      <c r="H490" s="53"/>
      <c r="I490" s="53"/>
      <c r="J490" s="48" t="str">
        <f t="array" ref="J490">IF(G490="","",IFERROR(LET(ev_cost,INDEX(Events!$G$5:$G$505,MATCH(G490,Events!$A$5:$A$505,0)),ev_split,INDEX(Events!$I$5:$I$505,MATCH(G490,Events!$A$5:$A$505,0)),att_offset,MATCH(G490,Attendance!$B$3:$AV$3,0),attendees,COUNTIF(INDEX(Attendance!$B$7:$AV$206,0,att_offset),"1"),IF(ev_split="Equal Split",ev_cost/MAX(1,COUNTA(Roster!$A$5:$A$204)),ev_cost/MAX(1,attendees))),"N/A"))</f>
        <v/>
      </c>
      <c r="K490" s="5"/>
      <c r="L490" s="5"/>
      <c r="M490" s="5"/>
      <c r="N490" s="5"/>
      <c r="O490" s="5"/>
      <c r="P490" s="5"/>
      <c r="Q490" s="5"/>
      <c r="R490" s="5"/>
      <c r="S490" s="5"/>
      <c r="T490" s="5"/>
      <c r="U490" s="5"/>
      <c r="V490" s="5"/>
      <c r="W490" s="5"/>
      <c r="X490" s="5"/>
      <c r="Y490" s="5"/>
      <c r="Z490" s="5"/>
    </row>
    <row r="491" ht="19.5" customHeight="1">
      <c r="A491" s="49"/>
      <c r="B491" s="50"/>
      <c r="C491" s="50"/>
      <c r="D491" s="50"/>
      <c r="E491" s="50"/>
      <c r="F491" s="51"/>
      <c r="G491" s="50"/>
      <c r="H491" s="50"/>
      <c r="I491" s="50"/>
      <c r="J491" s="48" t="str">
        <f t="array" ref="J491">IF(G491="","",IFERROR(LET(ev_cost,INDEX(Events!$G$5:$G$505,MATCH(G491,Events!$A$5:$A$505,0)),ev_split,INDEX(Events!$I$5:$I$505,MATCH(G491,Events!$A$5:$A$505,0)),att_offset,MATCH(G491,Attendance!$B$3:$AV$3,0),attendees,COUNTIF(INDEX(Attendance!$B$7:$AV$206,0,att_offset),"1"),IF(ev_split="Equal Split",ev_cost/MAX(1,COUNTA(Roster!$A$5:$A$204)),ev_cost/MAX(1,attendees))),"N/A"))</f>
        <v/>
      </c>
      <c r="K491" s="5"/>
      <c r="L491" s="5"/>
      <c r="M491" s="5"/>
      <c r="N491" s="5"/>
      <c r="O491" s="5"/>
      <c r="P491" s="5"/>
      <c r="Q491" s="5"/>
      <c r="R491" s="5"/>
      <c r="S491" s="5"/>
      <c r="T491" s="5"/>
      <c r="U491" s="5"/>
      <c r="V491" s="5"/>
      <c r="W491" s="5"/>
      <c r="X491" s="5"/>
      <c r="Y491" s="5"/>
      <c r="Z491" s="5"/>
    </row>
    <row r="492" ht="19.5" customHeight="1">
      <c r="A492" s="52"/>
      <c r="B492" s="53"/>
      <c r="C492" s="53"/>
      <c r="D492" s="53"/>
      <c r="E492" s="53"/>
      <c r="F492" s="61"/>
      <c r="G492" s="53"/>
      <c r="H492" s="53"/>
      <c r="I492" s="53"/>
      <c r="J492" s="48" t="str">
        <f t="array" ref="J492">IF(G492="","",IFERROR(LET(ev_cost,INDEX(Events!$G$5:$G$505,MATCH(G492,Events!$A$5:$A$505,0)),ev_split,INDEX(Events!$I$5:$I$505,MATCH(G492,Events!$A$5:$A$505,0)),att_offset,MATCH(G492,Attendance!$B$3:$AV$3,0),attendees,COUNTIF(INDEX(Attendance!$B$7:$AV$206,0,att_offset),"1"),IF(ev_split="Equal Split",ev_cost/MAX(1,COUNTA(Roster!$A$5:$A$204)),ev_cost/MAX(1,attendees))),"N/A"))</f>
        <v/>
      </c>
      <c r="K492" s="5"/>
      <c r="L492" s="5"/>
      <c r="M492" s="5"/>
      <c r="N492" s="5"/>
      <c r="O492" s="5"/>
      <c r="P492" s="5"/>
      <c r="Q492" s="5"/>
      <c r="R492" s="5"/>
      <c r="S492" s="5"/>
      <c r="T492" s="5"/>
      <c r="U492" s="5"/>
      <c r="V492" s="5"/>
      <c r="W492" s="5"/>
      <c r="X492" s="5"/>
      <c r="Y492" s="5"/>
      <c r="Z492" s="5"/>
    </row>
    <row r="493" ht="19.5" customHeight="1">
      <c r="A493" s="49"/>
      <c r="B493" s="50"/>
      <c r="C493" s="50"/>
      <c r="D493" s="50"/>
      <c r="E493" s="50"/>
      <c r="F493" s="51"/>
      <c r="G493" s="50"/>
      <c r="H493" s="50"/>
      <c r="I493" s="50"/>
      <c r="J493" s="48" t="str">
        <f t="array" ref="J493">IF(G493="","",IFERROR(LET(ev_cost,INDEX(Events!$G$5:$G$505,MATCH(G493,Events!$A$5:$A$505,0)),ev_split,INDEX(Events!$I$5:$I$505,MATCH(G493,Events!$A$5:$A$505,0)),att_offset,MATCH(G493,Attendance!$B$3:$AV$3,0),attendees,COUNTIF(INDEX(Attendance!$B$7:$AV$206,0,att_offset),"1"),IF(ev_split="Equal Split",ev_cost/MAX(1,COUNTA(Roster!$A$5:$A$204)),ev_cost/MAX(1,attendees))),"N/A"))</f>
        <v/>
      </c>
      <c r="K493" s="5"/>
      <c r="L493" s="5"/>
      <c r="M493" s="5"/>
      <c r="N493" s="5"/>
      <c r="O493" s="5"/>
      <c r="P493" s="5"/>
      <c r="Q493" s="5"/>
      <c r="R493" s="5"/>
      <c r="S493" s="5"/>
      <c r="T493" s="5"/>
      <c r="U493" s="5"/>
      <c r="V493" s="5"/>
      <c r="W493" s="5"/>
      <c r="X493" s="5"/>
      <c r="Y493" s="5"/>
      <c r="Z493" s="5"/>
    </row>
    <row r="494" ht="19.5" customHeight="1">
      <c r="A494" s="52"/>
      <c r="B494" s="53"/>
      <c r="C494" s="53"/>
      <c r="D494" s="53"/>
      <c r="E494" s="53"/>
      <c r="F494" s="61"/>
      <c r="G494" s="53"/>
      <c r="H494" s="53"/>
      <c r="I494" s="53"/>
      <c r="J494" s="48" t="str">
        <f t="array" ref="J494">IF(G494="","",IFERROR(LET(ev_cost,INDEX(Events!$G$5:$G$505,MATCH(G494,Events!$A$5:$A$505,0)),ev_split,INDEX(Events!$I$5:$I$505,MATCH(G494,Events!$A$5:$A$505,0)),att_offset,MATCH(G494,Attendance!$B$3:$AV$3,0),attendees,COUNTIF(INDEX(Attendance!$B$7:$AV$206,0,att_offset),"1"),IF(ev_split="Equal Split",ev_cost/MAX(1,COUNTA(Roster!$A$5:$A$204)),ev_cost/MAX(1,attendees))),"N/A"))</f>
        <v/>
      </c>
      <c r="K494" s="5"/>
      <c r="L494" s="5"/>
      <c r="M494" s="5"/>
      <c r="N494" s="5"/>
      <c r="O494" s="5"/>
      <c r="P494" s="5"/>
      <c r="Q494" s="5"/>
      <c r="R494" s="5"/>
      <c r="S494" s="5"/>
      <c r="T494" s="5"/>
      <c r="U494" s="5"/>
      <c r="V494" s="5"/>
      <c r="W494" s="5"/>
      <c r="X494" s="5"/>
      <c r="Y494" s="5"/>
      <c r="Z494" s="5"/>
    </row>
    <row r="495" ht="19.5" customHeight="1">
      <c r="A495" s="49"/>
      <c r="B495" s="50"/>
      <c r="C495" s="50"/>
      <c r="D495" s="50"/>
      <c r="E495" s="50"/>
      <c r="F495" s="51"/>
      <c r="G495" s="50"/>
      <c r="H495" s="50"/>
      <c r="I495" s="50"/>
      <c r="J495" s="48" t="str">
        <f t="array" ref="J495">IF(G495="","",IFERROR(LET(ev_cost,INDEX(Events!$G$5:$G$505,MATCH(G495,Events!$A$5:$A$505,0)),ev_split,INDEX(Events!$I$5:$I$505,MATCH(G495,Events!$A$5:$A$505,0)),att_offset,MATCH(G495,Attendance!$B$3:$AV$3,0),attendees,COUNTIF(INDEX(Attendance!$B$7:$AV$206,0,att_offset),"1"),IF(ev_split="Equal Split",ev_cost/MAX(1,COUNTA(Roster!$A$5:$A$204)),ev_cost/MAX(1,attendees))),"N/A"))</f>
        <v/>
      </c>
      <c r="K495" s="5"/>
      <c r="L495" s="5"/>
      <c r="M495" s="5"/>
      <c r="N495" s="5"/>
      <c r="O495" s="5"/>
      <c r="P495" s="5"/>
      <c r="Q495" s="5"/>
      <c r="R495" s="5"/>
      <c r="S495" s="5"/>
      <c r="T495" s="5"/>
      <c r="U495" s="5"/>
      <c r="V495" s="5"/>
      <c r="W495" s="5"/>
      <c r="X495" s="5"/>
      <c r="Y495" s="5"/>
      <c r="Z495" s="5"/>
    </row>
    <row r="496" ht="19.5" customHeight="1">
      <c r="A496" s="52"/>
      <c r="B496" s="53"/>
      <c r="C496" s="53"/>
      <c r="D496" s="53"/>
      <c r="E496" s="53"/>
      <c r="F496" s="61"/>
      <c r="G496" s="53"/>
      <c r="H496" s="53"/>
      <c r="I496" s="53"/>
      <c r="J496" s="48" t="str">
        <f t="array" ref="J496">IF(G496="","",IFERROR(LET(ev_cost,INDEX(Events!$G$5:$G$505,MATCH(G496,Events!$A$5:$A$505,0)),ev_split,INDEX(Events!$I$5:$I$505,MATCH(G496,Events!$A$5:$A$505,0)),att_offset,MATCH(G496,Attendance!$B$3:$AV$3,0),attendees,COUNTIF(INDEX(Attendance!$B$7:$AV$206,0,att_offset),"1"),IF(ev_split="Equal Split",ev_cost/MAX(1,COUNTA(Roster!$A$5:$A$204)),ev_cost/MAX(1,attendees))),"N/A"))</f>
        <v/>
      </c>
      <c r="K496" s="5"/>
      <c r="L496" s="5"/>
      <c r="M496" s="5"/>
      <c r="N496" s="5"/>
      <c r="O496" s="5"/>
      <c r="P496" s="5"/>
      <c r="Q496" s="5"/>
      <c r="R496" s="5"/>
      <c r="S496" s="5"/>
      <c r="T496" s="5"/>
      <c r="U496" s="5"/>
      <c r="V496" s="5"/>
      <c r="W496" s="5"/>
      <c r="X496" s="5"/>
      <c r="Y496" s="5"/>
      <c r="Z496" s="5"/>
    </row>
    <row r="497" ht="19.5" customHeight="1">
      <c r="A497" s="49"/>
      <c r="B497" s="50"/>
      <c r="C497" s="50"/>
      <c r="D497" s="50"/>
      <c r="E497" s="50"/>
      <c r="F497" s="51"/>
      <c r="G497" s="50"/>
      <c r="H497" s="50"/>
      <c r="I497" s="50"/>
      <c r="J497" s="48" t="str">
        <f t="array" ref="J497">IF(G497="","",IFERROR(LET(ev_cost,INDEX(Events!$G$5:$G$505,MATCH(G497,Events!$A$5:$A$505,0)),ev_split,INDEX(Events!$I$5:$I$505,MATCH(G497,Events!$A$5:$A$505,0)),att_offset,MATCH(G497,Attendance!$B$3:$AV$3,0),attendees,COUNTIF(INDEX(Attendance!$B$7:$AV$206,0,att_offset),"1"),IF(ev_split="Equal Split",ev_cost/MAX(1,COUNTA(Roster!$A$5:$A$204)),ev_cost/MAX(1,attendees))),"N/A"))</f>
        <v/>
      </c>
      <c r="K497" s="5"/>
      <c r="L497" s="5"/>
      <c r="M497" s="5"/>
      <c r="N497" s="5"/>
      <c r="O497" s="5"/>
      <c r="P497" s="5"/>
      <c r="Q497" s="5"/>
      <c r="R497" s="5"/>
      <c r="S497" s="5"/>
      <c r="T497" s="5"/>
      <c r="U497" s="5"/>
      <c r="V497" s="5"/>
      <c r="W497" s="5"/>
      <c r="X497" s="5"/>
      <c r="Y497" s="5"/>
      <c r="Z497" s="5"/>
    </row>
    <row r="498" ht="19.5" customHeight="1">
      <c r="A498" s="52"/>
      <c r="B498" s="53"/>
      <c r="C498" s="53"/>
      <c r="D498" s="53"/>
      <c r="E498" s="53"/>
      <c r="F498" s="61"/>
      <c r="G498" s="53"/>
      <c r="H498" s="53"/>
      <c r="I498" s="53"/>
      <c r="J498" s="48" t="str">
        <f t="array" ref="J498">IF(G498="","",IFERROR(LET(ev_cost,INDEX(Events!$G$5:$G$505,MATCH(G498,Events!$A$5:$A$505,0)),ev_split,INDEX(Events!$I$5:$I$505,MATCH(G498,Events!$A$5:$A$505,0)),att_offset,MATCH(G498,Attendance!$B$3:$AV$3,0),attendees,COUNTIF(INDEX(Attendance!$B$7:$AV$206,0,att_offset),"1"),IF(ev_split="Equal Split",ev_cost/MAX(1,COUNTA(Roster!$A$5:$A$204)),ev_cost/MAX(1,attendees))),"N/A"))</f>
        <v/>
      </c>
      <c r="K498" s="5"/>
      <c r="L498" s="5"/>
      <c r="M498" s="5"/>
      <c r="N498" s="5"/>
      <c r="O498" s="5"/>
      <c r="P498" s="5"/>
      <c r="Q498" s="5"/>
      <c r="R498" s="5"/>
      <c r="S498" s="5"/>
      <c r="T498" s="5"/>
      <c r="U498" s="5"/>
      <c r="V498" s="5"/>
      <c r="W498" s="5"/>
      <c r="X498" s="5"/>
      <c r="Y498" s="5"/>
      <c r="Z498" s="5"/>
    </row>
    <row r="499" ht="19.5" customHeight="1">
      <c r="A499" s="49"/>
      <c r="B499" s="50"/>
      <c r="C499" s="50"/>
      <c r="D499" s="50"/>
      <c r="E499" s="50"/>
      <c r="F499" s="51"/>
      <c r="G499" s="50"/>
      <c r="H499" s="50"/>
      <c r="I499" s="50"/>
      <c r="J499" s="48" t="str">
        <f t="array" ref="J499">IF(G499="","",IFERROR(LET(ev_cost,INDEX(Events!$G$5:$G$505,MATCH(G499,Events!$A$5:$A$505,0)),ev_split,INDEX(Events!$I$5:$I$505,MATCH(G499,Events!$A$5:$A$505,0)),att_offset,MATCH(G499,Attendance!$B$3:$AV$3,0),attendees,COUNTIF(INDEX(Attendance!$B$7:$AV$206,0,att_offset),"1"),IF(ev_split="Equal Split",ev_cost/MAX(1,COUNTA(Roster!$A$5:$A$204)),ev_cost/MAX(1,attendees))),"N/A"))</f>
        <v/>
      </c>
      <c r="K499" s="5"/>
      <c r="L499" s="5"/>
      <c r="M499" s="5"/>
      <c r="N499" s="5"/>
      <c r="O499" s="5"/>
      <c r="P499" s="5"/>
      <c r="Q499" s="5"/>
      <c r="R499" s="5"/>
      <c r="S499" s="5"/>
      <c r="T499" s="5"/>
      <c r="U499" s="5"/>
      <c r="V499" s="5"/>
      <c r="W499" s="5"/>
      <c r="X499" s="5"/>
      <c r="Y499" s="5"/>
      <c r="Z499" s="5"/>
    </row>
    <row r="500" ht="19.5" customHeight="1">
      <c r="A500" s="52"/>
      <c r="B500" s="53"/>
      <c r="C500" s="53"/>
      <c r="D500" s="53"/>
      <c r="E500" s="53"/>
      <c r="F500" s="61"/>
      <c r="G500" s="53"/>
      <c r="H500" s="53"/>
      <c r="I500" s="53"/>
      <c r="J500" s="48" t="str">
        <f t="array" ref="J500">IF(G500="","",IFERROR(LET(ev_cost,INDEX(Events!$G$5:$G$505,MATCH(G500,Events!$A$5:$A$505,0)),ev_split,INDEX(Events!$I$5:$I$505,MATCH(G500,Events!$A$5:$A$505,0)),att_offset,MATCH(G500,Attendance!$B$3:$AV$3,0),attendees,COUNTIF(INDEX(Attendance!$B$7:$AV$206,0,att_offset),"1"),IF(ev_split="Equal Split",ev_cost/MAX(1,COUNTA(Roster!$A$5:$A$204)),ev_cost/MAX(1,attendees))),"N/A"))</f>
        <v/>
      </c>
      <c r="K500" s="5"/>
      <c r="L500" s="5"/>
      <c r="M500" s="5"/>
      <c r="N500" s="5"/>
      <c r="O500" s="5"/>
      <c r="P500" s="5"/>
      <c r="Q500" s="5"/>
      <c r="R500" s="5"/>
      <c r="S500" s="5"/>
      <c r="T500" s="5"/>
      <c r="U500" s="5"/>
      <c r="V500" s="5"/>
      <c r="W500" s="5"/>
      <c r="X500" s="5"/>
      <c r="Y500" s="5"/>
      <c r="Z500" s="5"/>
    </row>
    <row r="501" ht="19.5" customHeight="1">
      <c r="A501" s="49"/>
      <c r="B501" s="50"/>
      <c r="C501" s="50"/>
      <c r="D501" s="50"/>
      <c r="E501" s="50"/>
      <c r="F501" s="51"/>
      <c r="G501" s="50"/>
      <c r="H501" s="50"/>
      <c r="I501" s="50"/>
      <c r="J501" s="48" t="str">
        <f t="array" ref="J501">IF(G501="","",IFERROR(LET(ev_cost,INDEX(Events!$G$5:$G$505,MATCH(G501,Events!$A$5:$A$505,0)),ev_split,INDEX(Events!$I$5:$I$505,MATCH(G501,Events!$A$5:$A$505,0)),att_offset,MATCH(G501,Attendance!$B$3:$AV$3,0),attendees,COUNTIF(INDEX(Attendance!$B$7:$AV$206,0,att_offset),"1"),IF(ev_split="Equal Split",ev_cost/MAX(1,COUNTA(Roster!$A$5:$A$204)),ev_cost/MAX(1,attendees))),"N/A"))</f>
        <v/>
      </c>
      <c r="K501" s="5"/>
      <c r="L501" s="5"/>
      <c r="M501" s="5"/>
      <c r="N501" s="5"/>
      <c r="O501" s="5"/>
      <c r="P501" s="5"/>
      <c r="Q501" s="5"/>
      <c r="R501" s="5"/>
      <c r="S501" s="5"/>
      <c r="T501" s="5"/>
      <c r="U501" s="5"/>
      <c r="V501" s="5"/>
      <c r="W501" s="5"/>
      <c r="X501" s="5"/>
      <c r="Y501" s="5"/>
      <c r="Z501" s="5"/>
    </row>
    <row r="502" ht="19.5" customHeight="1">
      <c r="A502" s="52"/>
      <c r="B502" s="53"/>
      <c r="C502" s="53"/>
      <c r="D502" s="53"/>
      <c r="E502" s="53"/>
      <c r="F502" s="61"/>
      <c r="G502" s="53"/>
      <c r="H502" s="53"/>
      <c r="I502" s="53"/>
      <c r="J502" s="48" t="str">
        <f t="array" ref="J502">IF(G502="","",IFERROR(LET(ev_cost,INDEX(Events!$G$5:$G$505,MATCH(G502,Events!$A$5:$A$505,0)),ev_split,INDEX(Events!$I$5:$I$505,MATCH(G502,Events!$A$5:$A$505,0)),att_offset,MATCH(G502,Attendance!$B$3:$AV$3,0),attendees,COUNTIF(INDEX(Attendance!$B$7:$AV$206,0,att_offset),"1"),IF(ev_split="Equal Split",ev_cost/MAX(1,COUNTA(Roster!$A$5:$A$204)),ev_cost/MAX(1,attendees))),"N/A"))</f>
        <v/>
      </c>
      <c r="K502" s="5"/>
      <c r="L502" s="5"/>
      <c r="M502" s="5"/>
      <c r="N502" s="5"/>
      <c r="O502" s="5"/>
      <c r="P502" s="5"/>
      <c r="Q502" s="5"/>
      <c r="R502" s="5"/>
      <c r="S502" s="5"/>
      <c r="T502" s="5"/>
      <c r="U502" s="5"/>
      <c r="V502" s="5"/>
      <c r="W502" s="5"/>
      <c r="X502" s="5"/>
      <c r="Y502" s="5"/>
      <c r="Z502" s="5"/>
    </row>
    <row r="503" ht="19.5" customHeight="1">
      <c r="A503" s="49"/>
      <c r="B503" s="50"/>
      <c r="C503" s="50"/>
      <c r="D503" s="50"/>
      <c r="E503" s="50"/>
      <c r="F503" s="51"/>
      <c r="G503" s="50"/>
      <c r="H503" s="50"/>
      <c r="I503" s="50"/>
      <c r="J503" s="48" t="str">
        <f t="array" ref="J503">IF(G503="","",IFERROR(LET(ev_cost,INDEX(Events!$G$5:$G$505,MATCH(G503,Events!$A$5:$A$505,0)),ev_split,INDEX(Events!$I$5:$I$505,MATCH(G503,Events!$A$5:$A$505,0)),att_offset,MATCH(G503,Attendance!$B$3:$AV$3,0),attendees,COUNTIF(INDEX(Attendance!$B$7:$AV$206,0,att_offset),"1"),IF(ev_split="Equal Split",ev_cost/MAX(1,COUNTA(Roster!$A$5:$A$204)),ev_cost/MAX(1,attendees))),"N/A"))</f>
        <v/>
      </c>
      <c r="K503" s="5"/>
      <c r="L503" s="5"/>
      <c r="M503" s="5"/>
      <c r="N503" s="5"/>
      <c r="O503" s="5"/>
      <c r="P503" s="5"/>
      <c r="Q503" s="5"/>
      <c r="R503" s="5"/>
      <c r="S503" s="5"/>
      <c r="T503" s="5"/>
      <c r="U503" s="5"/>
      <c r="V503" s="5"/>
      <c r="W503" s="5"/>
      <c r="X503" s="5"/>
      <c r="Y503" s="5"/>
      <c r="Z503" s="5"/>
    </row>
    <row r="504" ht="19.5" customHeight="1">
      <c r="A504" s="52"/>
      <c r="B504" s="53"/>
      <c r="C504" s="53"/>
      <c r="D504" s="53"/>
      <c r="E504" s="53"/>
      <c r="F504" s="61"/>
      <c r="G504" s="53"/>
      <c r="H504" s="53"/>
      <c r="I504" s="53"/>
      <c r="J504" s="48" t="str">
        <f t="array" ref="J504">IF(G504="","",IFERROR(LET(ev_cost,INDEX(Events!$G$5:$G$505,MATCH(G504,Events!$A$5:$A$505,0)),ev_split,INDEX(Events!$I$5:$I$505,MATCH(G504,Events!$A$5:$A$505,0)),att_offset,MATCH(G504,Attendance!$B$3:$AV$3,0),attendees,COUNTIF(INDEX(Attendance!$B$7:$AV$206,0,att_offset),"1"),IF(ev_split="Equal Split",ev_cost/MAX(1,COUNTA(Roster!$A$5:$A$204)),ev_cost/MAX(1,attendees))),"N/A"))</f>
        <v/>
      </c>
      <c r="K504" s="5"/>
      <c r="L504" s="5"/>
      <c r="M504" s="5"/>
      <c r="N504" s="5"/>
      <c r="O504" s="5"/>
      <c r="P504" s="5"/>
      <c r="Q504" s="5"/>
      <c r="R504" s="5"/>
      <c r="S504" s="5"/>
      <c r="T504" s="5"/>
      <c r="U504" s="5"/>
      <c r="V504" s="5"/>
      <c r="W504" s="5"/>
      <c r="X504" s="5"/>
      <c r="Y504" s="5"/>
      <c r="Z504" s="5"/>
    </row>
    <row r="505" ht="19.5" customHeight="1">
      <c r="A505" s="49"/>
      <c r="B505" s="50"/>
      <c r="C505" s="50"/>
      <c r="D505" s="50"/>
      <c r="E505" s="50"/>
      <c r="F505" s="51"/>
      <c r="G505" s="50"/>
      <c r="H505" s="50"/>
      <c r="I505" s="50"/>
      <c r="J505" s="48" t="str">
        <f t="array" ref="J505">IF(G505="","",IFERROR(LET(ev_cost,INDEX(Events!$G$5:$G$505,MATCH(G505,Events!$A$5:$A$505,0)),ev_split,INDEX(Events!$I$5:$I$505,MATCH(G505,Events!$A$5:$A$505,0)),att_offset,MATCH(G505,Attendance!$B$3:$AV$3,0),attendees,COUNTIF(INDEX(Attendance!$B$7:$AV$206,0,att_offset),"1"),IF(ev_split="Equal Split",ev_cost/MAX(1,COUNTA(Roster!$A$5:$A$204)),ev_cost/MAX(1,attendees))),"N/A"))</f>
        <v/>
      </c>
      <c r="K505" s="5"/>
      <c r="L505" s="5"/>
      <c r="M505" s="5"/>
      <c r="N505" s="5"/>
      <c r="O505" s="5"/>
      <c r="P505" s="5"/>
      <c r="Q505" s="5"/>
      <c r="R505" s="5"/>
      <c r="S505" s="5"/>
      <c r="T505" s="5"/>
      <c r="U505" s="5"/>
      <c r="V505" s="5"/>
      <c r="W505" s="5"/>
      <c r="X505" s="5"/>
      <c r="Y505" s="5"/>
      <c r="Z505" s="5"/>
    </row>
    <row r="506" ht="19.5" customHeight="1">
      <c r="A506" s="52"/>
      <c r="B506" s="53"/>
      <c r="C506" s="53"/>
      <c r="D506" s="53"/>
      <c r="E506" s="53"/>
      <c r="F506" s="61"/>
      <c r="G506" s="53"/>
      <c r="H506" s="53"/>
      <c r="I506" s="53"/>
      <c r="J506" s="48" t="str">
        <f t="array" ref="J506">IF(G506="","",IFERROR(LET(ev_cost,INDEX(Events!$G$5:$G$505,MATCH(G506,Events!$A$5:$A$505,0)),ev_split,INDEX(Events!$I$5:$I$505,MATCH(G506,Events!$A$5:$A$505,0)),att_offset,MATCH(G506,Attendance!$B$3:$AV$3,0),attendees,COUNTIF(INDEX(Attendance!$B$7:$AV$206,0,att_offset),"1"),IF(ev_split="Equal Split",ev_cost/MAX(1,COUNTA(Roster!$A$5:$A$204)),ev_cost/MAX(1,attendees))),"N/A"))</f>
        <v/>
      </c>
      <c r="K506" s="5"/>
      <c r="L506" s="5"/>
      <c r="M506" s="5"/>
      <c r="N506" s="5"/>
      <c r="O506" s="5"/>
      <c r="P506" s="5"/>
      <c r="Q506" s="5"/>
      <c r="R506" s="5"/>
      <c r="S506" s="5"/>
      <c r="T506" s="5"/>
      <c r="U506" s="5"/>
      <c r="V506" s="5"/>
      <c r="W506" s="5"/>
      <c r="X506" s="5"/>
      <c r="Y506" s="5"/>
      <c r="Z506" s="5"/>
    </row>
    <row r="507" ht="19.5" customHeight="1">
      <c r="A507" s="49"/>
      <c r="B507" s="50"/>
      <c r="C507" s="50"/>
      <c r="D507" s="50"/>
      <c r="E507" s="50"/>
      <c r="F507" s="51"/>
      <c r="G507" s="50"/>
      <c r="H507" s="50"/>
      <c r="I507" s="50"/>
      <c r="J507" s="48" t="str">
        <f t="array" ref="J507">IF(G507="","",IFERROR(LET(ev_cost,INDEX(Events!$G$5:$G$505,MATCH(G507,Events!$A$5:$A$505,0)),ev_split,INDEX(Events!$I$5:$I$505,MATCH(G507,Events!$A$5:$A$505,0)),att_offset,MATCH(G507,Attendance!$B$3:$AV$3,0),attendees,COUNTIF(INDEX(Attendance!$B$7:$AV$206,0,att_offset),"1"),IF(ev_split="Equal Split",ev_cost/MAX(1,COUNTA(Roster!$A$5:$A$204)),ev_cost/MAX(1,attendees))),"N/A"))</f>
        <v/>
      </c>
      <c r="K507" s="5"/>
      <c r="L507" s="5"/>
      <c r="M507" s="5"/>
      <c r="N507" s="5"/>
      <c r="O507" s="5"/>
      <c r="P507" s="5"/>
      <c r="Q507" s="5"/>
      <c r="R507" s="5"/>
      <c r="S507" s="5"/>
      <c r="T507" s="5"/>
      <c r="U507" s="5"/>
      <c r="V507" s="5"/>
      <c r="W507" s="5"/>
      <c r="X507" s="5"/>
      <c r="Y507" s="5"/>
      <c r="Z507" s="5"/>
    </row>
    <row r="508" ht="19.5" customHeight="1">
      <c r="A508" s="52"/>
      <c r="B508" s="53"/>
      <c r="C508" s="53"/>
      <c r="D508" s="53"/>
      <c r="E508" s="53"/>
      <c r="F508" s="61"/>
      <c r="G508" s="53"/>
      <c r="H508" s="53"/>
      <c r="I508" s="53"/>
      <c r="J508" s="48" t="str">
        <f t="array" ref="J508">IF(G508="","",IFERROR(LET(ev_cost,INDEX(Events!$G$5:$G$505,MATCH(G508,Events!$A$5:$A$505,0)),ev_split,INDEX(Events!$I$5:$I$505,MATCH(G508,Events!$A$5:$A$505,0)),att_offset,MATCH(G508,Attendance!$B$3:$AV$3,0),attendees,COUNTIF(INDEX(Attendance!$B$7:$AV$206,0,att_offset),"1"),IF(ev_split="Equal Split",ev_cost/MAX(1,COUNTA(Roster!$A$5:$A$204)),ev_cost/MAX(1,attendees))),"N/A"))</f>
        <v/>
      </c>
      <c r="K508" s="5"/>
      <c r="L508" s="5"/>
      <c r="M508" s="5"/>
      <c r="N508" s="5"/>
      <c r="O508" s="5"/>
      <c r="P508" s="5"/>
      <c r="Q508" s="5"/>
      <c r="R508" s="5"/>
      <c r="S508" s="5"/>
      <c r="T508" s="5"/>
      <c r="U508" s="5"/>
      <c r="V508" s="5"/>
      <c r="W508" s="5"/>
      <c r="X508" s="5"/>
      <c r="Y508" s="5"/>
      <c r="Z508" s="5"/>
    </row>
    <row r="509" ht="19.5" customHeight="1">
      <c r="A509" s="49"/>
      <c r="B509" s="50"/>
      <c r="C509" s="50"/>
      <c r="D509" s="50"/>
      <c r="E509" s="50"/>
      <c r="F509" s="51"/>
      <c r="G509" s="50"/>
      <c r="H509" s="50"/>
      <c r="I509" s="50"/>
      <c r="J509" s="48" t="str">
        <f t="array" ref="J509">IF(G509="","",IFERROR(LET(ev_cost,INDEX(Events!$G$5:$G$505,MATCH(G509,Events!$A$5:$A$505,0)),ev_split,INDEX(Events!$I$5:$I$505,MATCH(G509,Events!$A$5:$A$505,0)),att_offset,MATCH(G509,Attendance!$B$3:$AV$3,0),attendees,COUNTIF(INDEX(Attendance!$B$7:$AV$206,0,att_offset),"1"),IF(ev_split="Equal Split",ev_cost/MAX(1,COUNTA(Roster!$A$5:$A$204)),ev_cost/MAX(1,attendees))),"N/A"))</f>
        <v/>
      </c>
      <c r="K509" s="5"/>
      <c r="L509" s="5"/>
      <c r="M509" s="5"/>
      <c r="N509" s="5"/>
      <c r="O509" s="5"/>
      <c r="P509" s="5"/>
      <c r="Q509" s="5"/>
      <c r="R509" s="5"/>
      <c r="S509" s="5"/>
      <c r="T509" s="5"/>
      <c r="U509" s="5"/>
      <c r="V509" s="5"/>
      <c r="W509" s="5"/>
      <c r="X509" s="5"/>
      <c r="Y509" s="5"/>
      <c r="Z509" s="5"/>
    </row>
    <row r="510" ht="19.5" customHeight="1">
      <c r="A510" s="52"/>
      <c r="B510" s="53"/>
      <c r="C510" s="53"/>
      <c r="D510" s="53"/>
      <c r="E510" s="53"/>
      <c r="F510" s="61"/>
      <c r="G510" s="53"/>
      <c r="H510" s="53"/>
      <c r="I510" s="53"/>
      <c r="J510" s="48" t="str">
        <f t="array" ref="J510">IF(G510="","",IFERROR(LET(ev_cost,INDEX(Events!$G$5:$G$505,MATCH(G510,Events!$A$5:$A$505,0)),ev_split,INDEX(Events!$I$5:$I$505,MATCH(G510,Events!$A$5:$A$505,0)),att_offset,MATCH(G510,Attendance!$B$3:$AV$3,0),attendees,COUNTIF(INDEX(Attendance!$B$7:$AV$206,0,att_offset),"1"),IF(ev_split="Equal Split",ev_cost/MAX(1,COUNTA(Roster!$A$5:$A$204)),ev_cost/MAX(1,attendees))),"N/A"))</f>
        <v/>
      </c>
      <c r="K510" s="5"/>
      <c r="L510" s="5"/>
      <c r="M510" s="5"/>
      <c r="N510" s="5"/>
      <c r="O510" s="5"/>
      <c r="P510" s="5"/>
      <c r="Q510" s="5"/>
      <c r="R510" s="5"/>
      <c r="S510" s="5"/>
      <c r="T510" s="5"/>
      <c r="U510" s="5"/>
      <c r="V510" s="5"/>
      <c r="W510" s="5"/>
      <c r="X510" s="5"/>
      <c r="Y510" s="5"/>
      <c r="Z510" s="5"/>
    </row>
    <row r="511" ht="19.5" customHeight="1">
      <c r="A511" s="49"/>
      <c r="B511" s="50"/>
      <c r="C511" s="50"/>
      <c r="D511" s="50"/>
      <c r="E511" s="50"/>
      <c r="F511" s="51"/>
      <c r="G511" s="50"/>
      <c r="H511" s="50"/>
      <c r="I511" s="50"/>
      <c r="J511" s="48" t="str">
        <f t="array" ref="J511">IF(G511="","",IFERROR(LET(ev_cost,INDEX(Events!$G$5:$G$505,MATCH(G511,Events!$A$5:$A$505,0)),ev_split,INDEX(Events!$I$5:$I$505,MATCH(G511,Events!$A$5:$A$505,0)),att_offset,MATCH(G511,Attendance!$B$3:$AV$3,0),attendees,COUNTIF(INDEX(Attendance!$B$7:$AV$206,0,att_offset),"1"),IF(ev_split="Equal Split",ev_cost/MAX(1,COUNTA(Roster!$A$5:$A$204)),ev_cost/MAX(1,attendees))),"N/A"))</f>
        <v/>
      </c>
      <c r="K511" s="5"/>
      <c r="L511" s="5"/>
      <c r="M511" s="5"/>
      <c r="N511" s="5"/>
      <c r="O511" s="5"/>
      <c r="P511" s="5"/>
      <c r="Q511" s="5"/>
      <c r="R511" s="5"/>
      <c r="S511" s="5"/>
      <c r="T511" s="5"/>
      <c r="U511" s="5"/>
      <c r="V511" s="5"/>
      <c r="W511" s="5"/>
      <c r="X511" s="5"/>
      <c r="Y511" s="5"/>
      <c r="Z511" s="5"/>
    </row>
    <row r="512" ht="19.5" customHeight="1">
      <c r="A512" s="52"/>
      <c r="B512" s="53"/>
      <c r="C512" s="53"/>
      <c r="D512" s="53"/>
      <c r="E512" s="53"/>
      <c r="F512" s="61"/>
      <c r="G512" s="53"/>
      <c r="H512" s="53"/>
      <c r="I512" s="53"/>
      <c r="J512" s="48" t="str">
        <f t="array" ref="J512">IF(G512="","",IFERROR(LET(ev_cost,INDEX(Events!$G$5:$G$505,MATCH(G512,Events!$A$5:$A$505,0)),ev_split,INDEX(Events!$I$5:$I$505,MATCH(G512,Events!$A$5:$A$505,0)),att_offset,MATCH(G512,Attendance!$B$3:$AV$3,0),attendees,COUNTIF(INDEX(Attendance!$B$7:$AV$206,0,att_offset),"1"),IF(ev_split="Equal Split",ev_cost/MAX(1,COUNTA(Roster!$A$5:$A$204)),ev_cost/MAX(1,attendees))),"N/A"))</f>
        <v/>
      </c>
      <c r="K512" s="5"/>
      <c r="L512" s="5"/>
      <c r="M512" s="5"/>
      <c r="N512" s="5"/>
      <c r="O512" s="5"/>
      <c r="P512" s="5"/>
      <c r="Q512" s="5"/>
      <c r="R512" s="5"/>
      <c r="S512" s="5"/>
      <c r="T512" s="5"/>
      <c r="U512" s="5"/>
      <c r="V512" s="5"/>
      <c r="W512" s="5"/>
      <c r="X512" s="5"/>
      <c r="Y512" s="5"/>
      <c r="Z512" s="5"/>
    </row>
    <row r="513" ht="19.5" customHeight="1">
      <c r="A513" s="49"/>
      <c r="B513" s="50"/>
      <c r="C513" s="50"/>
      <c r="D513" s="50"/>
      <c r="E513" s="50"/>
      <c r="F513" s="51"/>
      <c r="G513" s="50"/>
      <c r="H513" s="50"/>
      <c r="I513" s="50"/>
      <c r="J513" s="48" t="str">
        <f t="array" ref="J513">IF(G513="","",IFERROR(LET(ev_cost,INDEX(Events!$G$5:$G$505,MATCH(G513,Events!$A$5:$A$505,0)),ev_split,INDEX(Events!$I$5:$I$505,MATCH(G513,Events!$A$5:$A$505,0)),att_offset,MATCH(G513,Attendance!$B$3:$AV$3,0),attendees,COUNTIF(INDEX(Attendance!$B$7:$AV$206,0,att_offset),"1"),IF(ev_split="Equal Split",ev_cost/MAX(1,COUNTA(Roster!$A$5:$A$204)),ev_cost/MAX(1,attendees))),"N/A"))</f>
        <v/>
      </c>
      <c r="K513" s="5"/>
      <c r="L513" s="5"/>
      <c r="M513" s="5"/>
      <c r="N513" s="5"/>
      <c r="O513" s="5"/>
      <c r="P513" s="5"/>
      <c r="Q513" s="5"/>
      <c r="R513" s="5"/>
      <c r="S513" s="5"/>
      <c r="T513" s="5"/>
      <c r="U513" s="5"/>
      <c r="V513" s="5"/>
      <c r="W513" s="5"/>
      <c r="X513" s="5"/>
      <c r="Y513" s="5"/>
      <c r="Z513" s="5"/>
    </row>
    <row r="514" ht="19.5" customHeight="1">
      <c r="A514" s="52"/>
      <c r="B514" s="53"/>
      <c r="C514" s="53"/>
      <c r="D514" s="53"/>
      <c r="E514" s="53"/>
      <c r="F514" s="61"/>
      <c r="G514" s="53"/>
      <c r="H514" s="53"/>
      <c r="I514" s="53"/>
      <c r="J514" s="48" t="str">
        <f t="array" ref="J514">IF(G514="","",IFERROR(LET(ev_cost,INDEX(Events!$G$5:$G$505,MATCH(G514,Events!$A$5:$A$505,0)),ev_split,INDEX(Events!$I$5:$I$505,MATCH(G514,Events!$A$5:$A$505,0)),att_offset,MATCH(G514,Attendance!$B$3:$AV$3,0),attendees,COUNTIF(INDEX(Attendance!$B$7:$AV$206,0,att_offset),"1"),IF(ev_split="Equal Split",ev_cost/MAX(1,COUNTA(Roster!$A$5:$A$204)),ev_cost/MAX(1,attendees))),"N/A"))</f>
        <v/>
      </c>
      <c r="K514" s="5"/>
      <c r="L514" s="5"/>
      <c r="M514" s="5"/>
      <c r="N514" s="5"/>
      <c r="O514" s="5"/>
      <c r="P514" s="5"/>
      <c r="Q514" s="5"/>
      <c r="R514" s="5"/>
      <c r="S514" s="5"/>
      <c r="T514" s="5"/>
      <c r="U514" s="5"/>
      <c r="V514" s="5"/>
      <c r="W514" s="5"/>
      <c r="X514" s="5"/>
      <c r="Y514" s="5"/>
      <c r="Z514" s="5"/>
    </row>
    <row r="515" ht="19.5" customHeight="1">
      <c r="A515" s="49"/>
      <c r="B515" s="50"/>
      <c r="C515" s="50"/>
      <c r="D515" s="50"/>
      <c r="E515" s="50"/>
      <c r="F515" s="51"/>
      <c r="G515" s="50"/>
      <c r="H515" s="50"/>
      <c r="I515" s="50"/>
      <c r="J515" s="48" t="str">
        <f t="array" ref="J515">IF(G515="","",IFERROR(LET(ev_cost,INDEX(Events!$G$5:$G$505,MATCH(G515,Events!$A$5:$A$505,0)),ev_split,INDEX(Events!$I$5:$I$505,MATCH(G515,Events!$A$5:$A$505,0)),att_offset,MATCH(G515,Attendance!$B$3:$AV$3,0),attendees,COUNTIF(INDEX(Attendance!$B$7:$AV$206,0,att_offset),"1"),IF(ev_split="Equal Split",ev_cost/MAX(1,COUNTA(Roster!$A$5:$A$204)),ev_cost/MAX(1,attendees))),"N/A"))</f>
        <v/>
      </c>
      <c r="K515" s="5"/>
      <c r="L515" s="5"/>
      <c r="M515" s="5"/>
      <c r="N515" s="5"/>
      <c r="O515" s="5"/>
      <c r="P515" s="5"/>
      <c r="Q515" s="5"/>
      <c r="R515" s="5"/>
      <c r="S515" s="5"/>
      <c r="T515" s="5"/>
      <c r="U515" s="5"/>
      <c r="V515" s="5"/>
      <c r="W515" s="5"/>
      <c r="X515" s="5"/>
      <c r="Y515" s="5"/>
      <c r="Z515" s="5"/>
    </row>
    <row r="516" ht="19.5" customHeight="1">
      <c r="A516" s="52"/>
      <c r="B516" s="53"/>
      <c r="C516" s="53"/>
      <c r="D516" s="53"/>
      <c r="E516" s="53"/>
      <c r="F516" s="61"/>
      <c r="G516" s="53"/>
      <c r="H516" s="53"/>
      <c r="I516" s="53"/>
      <c r="J516" s="48" t="str">
        <f t="array" ref="J516">IF(G516="","",IFERROR(LET(ev_cost,INDEX(Events!$G$5:$G$505,MATCH(G516,Events!$A$5:$A$505,0)),ev_split,INDEX(Events!$I$5:$I$505,MATCH(G516,Events!$A$5:$A$505,0)),att_offset,MATCH(G516,Attendance!$B$3:$AV$3,0),attendees,COUNTIF(INDEX(Attendance!$B$7:$AV$206,0,att_offset),"1"),IF(ev_split="Equal Split",ev_cost/MAX(1,COUNTA(Roster!$A$5:$A$204)),ev_cost/MAX(1,attendees))),"N/A"))</f>
        <v/>
      </c>
      <c r="K516" s="5"/>
      <c r="L516" s="5"/>
      <c r="M516" s="5"/>
      <c r="N516" s="5"/>
      <c r="O516" s="5"/>
      <c r="P516" s="5"/>
      <c r="Q516" s="5"/>
      <c r="R516" s="5"/>
      <c r="S516" s="5"/>
      <c r="T516" s="5"/>
      <c r="U516" s="5"/>
      <c r="V516" s="5"/>
      <c r="W516" s="5"/>
      <c r="X516" s="5"/>
      <c r="Y516" s="5"/>
      <c r="Z516" s="5"/>
    </row>
    <row r="517" ht="19.5" customHeight="1">
      <c r="A517" s="49"/>
      <c r="B517" s="50"/>
      <c r="C517" s="50"/>
      <c r="D517" s="50"/>
      <c r="E517" s="50"/>
      <c r="F517" s="51"/>
      <c r="G517" s="50"/>
      <c r="H517" s="50"/>
      <c r="I517" s="50"/>
      <c r="J517" s="48" t="str">
        <f t="array" ref="J517">IF(G517="","",IFERROR(LET(ev_cost,INDEX(Events!$G$5:$G$505,MATCH(G517,Events!$A$5:$A$505,0)),ev_split,INDEX(Events!$I$5:$I$505,MATCH(G517,Events!$A$5:$A$505,0)),att_offset,MATCH(G517,Attendance!$B$3:$AV$3,0),attendees,COUNTIF(INDEX(Attendance!$B$7:$AV$206,0,att_offset),"1"),IF(ev_split="Equal Split",ev_cost/MAX(1,COUNTA(Roster!$A$5:$A$204)),ev_cost/MAX(1,attendees))),"N/A"))</f>
        <v/>
      </c>
      <c r="K517" s="5"/>
      <c r="L517" s="5"/>
      <c r="M517" s="5"/>
      <c r="N517" s="5"/>
      <c r="O517" s="5"/>
      <c r="P517" s="5"/>
      <c r="Q517" s="5"/>
      <c r="R517" s="5"/>
      <c r="S517" s="5"/>
      <c r="T517" s="5"/>
      <c r="U517" s="5"/>
      <c r="V517" s="5"/>
      <c r="W517" s="5"/>
      <c r="X517" s="5"/>
      <c r="Y517" s="5"/>
      <c r="Z517" s="5"/>
    </row>
    <row r="518" ht="19.5" customHeight="1">
      <c r="A518" s="52"/>
      <c r="B518" s="53"/>
      <c r="C518" s="53"/>
      <c r="D518" s="53"/>
      <c r="E518" s="53"/>
      <c r="F518" s="61"/>
      <c r="G518" s="53"/>
      <c r="H518" s="53"/>
      <c r="I518" s="53"/>
      <c r="J518" s="48" t="str">
        <f t="array" ref="J518">IF(G518="","",IFERROR(LET(ev_cost,INDEX(Events!$G$5:$G$505,MATCH(G518,Events!$A$5:$A$505,0)),ev_split,INDEX(Events!$I$5:$I$505,MATCH(G518,Events!$A$5:$A$505,0)),att_offset,MATCH(G518,Attendance!$B$3:$AV$3,0),attendees,COUNTIF(INDEX(Attendance!$B$7:$AV$206,0,att_offset),"1"),IF(ev_split="Equal Split",ev_cost/MAX(1,COUNTA(Roster!$A$5:$A$204)),ev_cost/MAX(1,attendees))),"N/A"))</f>
        <v/>
      </c>
      <c r="K518" s="5"/>
      <c r="L518" s="5"/>
      <c r="M518" s="5"/>
      <c r="N518" s="5"/>
      <c r="O518" s="5"/>
      <c r="P518" s="5"/>
      <c r="Q518" s="5"/>
      <c r="R518" s="5"/>
      <c r="S518" s="5"/>
      <c r="T518" s="5"/>
      <c r="U518" s="5"/>
      <c r="V518" s="5"/>
      <c r="W518" s="5"/>
      <c r="X518" s="5"/>
      <c r="Y518" s="5"/>
      <c r="Z518" s="5"/>
    </row>
    <row r="519" ht="19.5" customHeight="1">
      <c r="A519" s="49"/>
      <c r="B519" s="50"/>
      <c r="C519" s="50"/>
      <c r="D519" s="50"/>
      <c r="E519" s="50"/>
      <c r="F519" s="51"/>
      <c r="G519" s="50"/>
      <c r="H519" s="50"/>
      <c r="I519" s="50"/>
      <c r="J519" s="48" t="str">
        <f t="array" ref="J519">IF(G519="","",IFERROR(LET(ev_cost,INDEX(Events!$G$5:$G$505,MATCH(G519,Events!$A$5:$A$505,0)),ev_split,INDEX(Events!$I$5:$I$505,MATCH(G519,Events!$A$5:$A$505,0)),att_offset,MATCH(G519,Attendance!$B$3:$AV$3,0),attendees,COUNTIF(INDEX(Attendance!$B$7:$AV$206,0,att_offset),"1"),IF(ev_split="Equal Split",ev_cost/MAX(1,COUNTA(Roster!$A$5:$A$204)),ev_cost/MAX(1,attendees))),"N/A"))</f>
        <v/>
      </c>
      <c r="K519" s="5"/>
      <c r="L519" s="5"/>
      <c r="M519" s="5"/>
      <c r="N519" s="5"/>
      <c r="O519" s="5"/>
      <c r="P519" s="5"/>
      <c r="Q519" s="5"/>
      <c r="R519" s="5"/>
      <c r="S519" s="5"/>
      <c r="T519" s="5"/>
      <c r="U519" s="5"/>
      <c r="V519" s="5"/>
      <c r="W519" s="5"/>
      <c r="X519" s="5"/>
      <c r="Y519" s="5"/>
      <c r="Z519" s="5"/>
    </row>
    <row r="520" ht="19.5" customHeight="1">
      <c r="A520" s="52"/>
      <c r="B520" s="53"/>
      <c r="C520" s="53"/>
      <c r="D520" s="53"/>
      <c r="E520" s="53"/>
      <c r="F520" s="61"/>
      <c r="G520" s="53"/>
      <c r="H520" s="53"/>
      <c r="I520" s="53"/>
      <c r="J520" s="48" t="str">
        <f t="array" ref="J520">IF(G520="","",IFERROR(LET(ev_cost,INDEX(Events!$G$5:$G$505,MATCH(G520,Events!$A$5:$A$505,0)),ev_split,INDEX(Events!$I$5:$I$505,MATCH(G520,Events!$A$5:$A$505,0)),att_offset,MATCH(G520,Attendance!$B$3:$AV$3,0),attendees,COUNTIF(INDEX(Attendance!$B$7:$AV$206,0,att_offset),"1"),IF(ev_split="Equal Split",ev_cost/MAX(1,COUNTA(Roster!$A$5:$A$204)),ev_cost/MAX(1,attendees))),"N/A"))</f>
        <v/>
      </c>
      <c r="K520" s="5"/>
      <c r="L520" s="5"/>
      <c r="M520" s="5"/>
      <c r="N520" s="5"/>
      <c r="O520" s="5"/>
      <c r="P520" s="5"/>
      <c r="Q520" s="5"/>
      <c r="R520" s="5"/>
      <c r="S520" s="5"/>
      <c r="T520" s="5"/>
      <c r="U520" s="5"/>
      <c r="V520" s="5"/>
      <c r="W520" s="5"/>
      <c r="X520" s="5"/>
      <c r="Y520" s="5"/>
      <c r="Z520" s="5"/>
    </row>
    <row r="521" ht="19.5" customHeight="1">
      <c r="A521" s="49"/>
      <c r="B521" s="50"/>
      <c r="C521" s="50"/>
      <c r="D521" s="50"/>
      <c r="E521" s="50"/>
      <c r="F521" s="51"/>
      <c r="G521" s="50"/>
      <c r="H521" s="50"/>
      <c r="I521" s="50"/>
      <c r="J521" s="48" t="str">
        <f t="array" ref="J521">IF(G521="","",IFERROR(LET(ev_cost,INDEX(Events!$G$5:$G$505,MATCH(G521,Events!$A$5:$A$505,0)),ev_split,INDEX(Events!$I$5:$I$505,MATCH(G521,Events!$A$5:$A$505,0)),att_offset,MATCH(G521,Attendance!$B$3:$AV$3,0),attendees,COUNTIF(INDEX(Attendance!$B$7:$AV$206,0,att_offset),"1"),IF(ev_split="Equal Split",ev_cost/MAX(1,COUNTA(Roster!$A$5:$A$204)),ev_cost/MAX(1,attendees))),"N/A"))</f>
        <v/>
      </c>
      <c r="K521" s="5"/>
      <c r="L521" s="5"/>
      <c r="M521" s="5"/>
      <c r="N521" s="5"/>
      <c r="O521" s="5"/>
      <c r="P521" s="5"/>
      <c r="Q521" s="5"/>
      <c r="R521" s="5"/>
      <c r="S521" s="5"/>
      <c r="T521" s="5"/>
      <c r="U521" s="5"/>
      <c r="V521" s="5"/>
      <c r="W521" s="5"/>
      <c r="X521" s="5"/>
      <c r="Y521" s="5"/>
      <c r="Z521" s="5"/>
    </row>
    <row r="522" ht="19.5" customHeight="1">
      <c r="A522" s="52"/>
      <c r="B522" s="53"/>
      <c r="C522" s="53"/>
      <c r="D522" s="53"/>
      <c r="E522" s="53"/>
      <c r="F522" s="61"/>
      <c r="G522" s="53"/>
      <c r="H522" s="53"/>
      <c r="I522" s="53"/>
      <c r="J522" s="48" t="str">
        <f t="array" ref="J522">IF(G522="","",IFERROR(LET(ev_cost,INDEX(Events!$G$5:$G$505,MATCH(G522,Events!$A$5:$A$505,0)),ev_split,INDEX(Events!$I$5:$I$505,MATCH(G522,Events!$A$5:$A$505,0)),att_offset,MATCH(G522,Attendance!$B$3:$AV$3,0),attendees,COUNTIF(INDEX(Attendance!$B$7:$AV$206,0,att_offset),"1"),IF(ev_split="Equal Split",ev_cost/MAX(1,COUNTA(Roster!$A$5:$A$204)),ev_cost/MAX(1,attendees))),"N/A"))</f>
        <v/>
      </c>
      <c r="K522" s="5"/>
      <c r="L522" s="5"/>
      <c r="M522" s="5"/>
      <c r="N522" s="5"/>
      <c r="O522" s="5"/>
      <c r="P522" s="5"/>
      <c r="Q522" s="5"/>
      <c r="R522" s="5"/>
      <c r="S522" s="5"/>
      <c r="T522" s="5"/>
      <c r="U522" s="5"/>
      <c r="V522" s="5"/>
      <c r="W522" s="5"/>
      <c r="X522" s="5"/>
      <c r="Y522" s="5"/>
      <c r="Z522" s="5"/>
    </row>
    <row r="523" ht="19.5" customHeight="1">
      <c r="A523" s="49"/>
      <c r="B523" s="50"/>
      <c r="C523" s="50"/>
      <c r="D523" s="50"/>
      <c r="E523" s="50"/>
      <c r="F523" s="51"/>
      <c r="G523" s="50"/>
      <c r="H523" s="50"/>
      <c r="I523" s="50"/>
      <c r="J523" s="48" t="str">
        <f t="array" ref="J523">IF(G523="","",IFERROR(LET(ev_cost,INDEX(Events!$G$5:$G$505,MATCH(G523,Events!$A$5:$A$505,0)),ev_split,INDEX(Events!$I$5:$I$505,MATCH(G523,Events!$A$5:$A$505,0)),att_offset,MATCH(G523,Attendance!$B$3:$AV$3,0),attendees,COUNTIF(INDEX(Attendance!$B$7:$AV$206,0,att_offset),"1"),IF(ev_split="Equal Split",ev_cost/MAX(1,COUNTA(Roster!$A$5:$A$204)),ev_cost/MAX(1,attendees))),"N/A"))</f>
        <v/>
      </c>
      <c r="K523" s="5"/>
      <c r="L523" s="5"/>
      <c r="M523" s="5"/>
      <c r="N523" s="5"/>
      <c r="O523" s="5"/>
      <c r="P523" s="5"/>
      <c r="Q523" s="5"/>
      <c r="R523" s="5"/>
      <c r="S523" s="5"/>
      <c r="T523" s="5"/>
      <c r="U523" s="5"/>
      <c r="V523" s="5"/>
      <c r="W523" s="5"/>
      <c r="X523" s="5"/>
      <c r="Y523" s="5"/>
      <c r="Z523" s="5"/>
    </row>
    <row r="524" ht="19.5" customHeight="1">
      <c r="A524" s="52"/>
      <c r="B524" s="53"/>
      <c r="C524" s="53"/>
      <c r="D524" s="53"/>
      <c r="E524" s="53"/>
      <c r="F524" s="61"/>
      <c r="G524" s="53"/>
      <c r="H524" s="53"/>
      <c r="I524" s="53"/>
      <c r="J524" s="48" t="str">
        <f t="array" ref="J524">IF(G524="","",IFERROR(LET(ev_cost,INDEX(Events!$G$5:$G$505,MATCH(G524,Events!$A$5:$A$505,0)),ev_split,INDEX(Events!$I$5:$I$505,MATCH(G524,Events!$A$5:$A$505,0)),att_offset,MATCH(G524,Attendance!$B$3:$AV$3,0),attendees,COUNTIF(INDEX(Attendance!$B$7:$AV$206,0,att_offset),"1"),IF(ev_split="Equal Split",ev_cost/MAX(1,COUNTA(Roster!$A$5:$A$204)),ev_cost/MAX(1,attendees))),"N/A"))</f>
        <v/>
      </c>
      <c r="K524" s="5"/>
      <c r="L524" s="5"/>
      <c r="M524" s="5"/>
      <c r="N524" s="5"/>
      <c r="O524" s="5"/>
      <c r="P524" s="5"/>
      <c r="Q524" s="5"/>
      <c r="R524" s="5"/>
      <c r="S524" s="5"/>
      <c r="T524" s="5"/>
      <c r="U524" s="5"/>
      <c r="V524" s="5"/>
      <c r="W524" s="5"/>
      <c r="X524" s="5"/>
      <c r="Y524" s="5"/>
      <c r="Z524" s="5"/>
    </row>
    <row r="525" ht="19.5" customHeight="1">
      <c r="A525" s="49"/>
      <c r="B525" s="50"/>
      <c r="C525" s="50"/>
      <c r="D525" s="50"/>
      <c r="E525" s="50"/>
      <c r="F525" s="51"/>
      <c r="G525" s="50"/>
      <c r="H525" s="50"/>
      <c r="I525" s="50"/>
      <c r="J525" s="48" t="str">
        <f t="array" ref="J525">IF(G525="","",IFERROR(LET(ev_cost,INDEX(Events!$G$5:$G$505,MATCH(G525,Events!$A$5:$A$505,0)),ev_split,INDEX(Events!$I$5:$I$505,MATCH(G525,Events!$A$5:$A$505,0)),att_offset,MATCH(G525,Attendance!$B$3:$AV$3,0),attendees,COUNTIF(INDEX(Attendance!$B$7:$AV$206,0,att_offset),"1"),IF(ev_split="Equal Split",ev_cost/MAX(1,COUNTA(Roster!$A$5:$A$204)),ev_cost/MAX(1,attendees))),"N/A"))</f>
        <v/>
      </c>
      <c r="K525" s="5"/>
      <c r="L525" s="5"/>
      <c r="M525" s="5"/>
      <c r="N525" s="5"/>
      <c r="O525" s="5"/>
      <c r="P525" s="5"/>
      <c r="Q525" s="5"/>
      <c r="R525" s="5"/>
      <c r="S525" s="5"/>
      <c r="T525" s="5"/>
      <c r="U525" s="5"/>
      <c r="V525" s="5"/>
      <c r="W525" s="5"/>
      <c r="X525" s="5"/>
      <c r="Y525" s="5"/>
      <c r="Z525" s="5"/>
    </row>
    <row r="526" ht="19.5" customHeight="1">
      <c r="A526" s="52"/>
      <c r="B526" s="53"/>
      <c r="C526" s="53"/>
      <c r="D526" s="53"/>
      <c r="E526" s="53"/>
      <c r="F526" s="61"/>
      <c r="G526" s="53"/>
      <c r="H526" s="53"/>
      <c r="I526" s="53"/>
      <c r="J526" s="48" t="str">
        <f t="array" ref="J526">IF(G526="","",IFERROR(LET(ev_cost,INDEX(Events!$G$5:$G$505,MATCH(G526,Events!$A$5:$A$505,0)),ev_split,INDEX(Events!$I$5:$I$505,MATCH(G526,Events!$A$5:$A$505,0)),att_offset,MATCH(G526,Attendance!$B$3:$AV$3,0),attendees,COUNTIF(INDEX(Attendance!$B$7:$AV$206,0,att_offset),"1"),IF(ev_split="Equal Split",ev_cost/MAX(1,COUNTA(Roster!$A$5:$A$204)),ev_cost/MAX(1,attendees))),"N/A"))</f>
        <v/>
      </c>
      <c r="K526" s="5"/>
      <c r="L526" s="5"/>
      <c r="M526" s="5"/>
      <c r="N526" s="5"/>
      <c r="O526" s="5"/>
      <c r="P526" s="5"/>
      <c r="Q526" s="5"/>
      <c r="R526" s="5"/>
      <c r="S526" s="5"/>
      <c r="T526" s="5"/>
      <c r="U526" s="5"/>
      <c r="V526" s="5"/>
      <c r="W526" s="5"/>
      <c r="X526" s="5"/>
      <c r="Y526" s="5"/>
      <c r="Z526" s="5"/>
    </row>
    <row r="527" ht="19.5" customHeight="1">
      <c r="A527" s="49"/>
      <c r="B527" s="50"/>
      <c r="C527" s="50"/>
      <c r="D527" s="50"/>
      <c r="E527" s="50"/>
      <c r="F527" s="51"/>
      <c r="G527" s="50"/>
      <c r="H527" s="50"/>
      <c r="I527" s="50"/>
      <c r="J527" s="48" t="str">
        <f t="array" ref="J527">IF(G527="","",IFERROR(LET(ev_cost,INDEX(Events!$G$5:$G$505,MATCH(G527,Events!$A$5:$A$505,0)),ev_split,INDEX(Events!$I$5:$I$505,MATCH(G527,Events!$A$5:$A$505,0)),att_offset,MATCH(G527,Attendance!$B$3:$AV$3,0),attendees,COUNTIF(INDEX(Attendance!$B$7:$AV$206,0,att_offset),"1"),IF(ev_split="Equal Split",ev_cost/MAX(1,COUNTA(Roster!$A$5:$A$204)),ev_cost/MAX(1,attendees))),"N/A"))</f>
        <v/>
      </c>
      <c r="K527" s="5"/>
      <c r="L527" s="5"/>
      <c r="M527" s="5"/>
      <c r="N527" s="5"/>
      <c r="O527" s="5"/>
      <c r="P527" s="5"/>
      <c r="Q527" s="5"/>
      <c r="R527" s="5"/>
      <c r="S527" s="5"/>
      <c r="T527" s="5"/>
      <c r="U527" s="5"/>
      <c r="V527" s="5"/>
      <c r="W527" s="5"/>
      <c r="X527" s="5"/>
      <c r="Y527" s="5"/>
      <c r="Z527" s="5"/>
    </row>
    <row r="528" ht="19.5" customHeight="1">
      <c r="A528" s="52"/>
      <c r="B528" s="53"/>
      <c r="C528" s="53"/>
      <c r="D528" s="53"/>
      <c r="E528" s="53"/>
      <c r="F528" s="61"/>
      <c r="G528" s="53"/>
      <c r="H528" s="53"/>
      <c r="I528" s="53"/>
      <c r="J528" s="48" t="str">
        <f t="array" ref="J528">IF(G528="","",IFERROR(LET(ev_cost,INDEX(Events!$G$5:$G$505,MATCH(G528,Events!$A$5:$A$505,0)),ev_split,INDEX(Events!$I$5:$I$505,MATCH(G528,Events!$A$5:$A$505,0)),att_offset,MATCH(G528,Attendance!$B$3:$AV$3,0),attendees,COUNTIF(INDEX(Attendance!$B$7:$AV$206,0,att_offset),"1"),IF(ev_split="Equal Split",ev_cost/MAX(1,COUNTA(Roster!$A$5:$A$204)),ev_cost/MAX(1,attendees))),"N/A"))</f>
        <v/>
      </c>
      <c r="K528" s="5"/>
      <c r="L528" s="5"/>
      <c r="M528" s="5"/>
      <c r="N528" s="5"/>
      <c r="O528" s="5"/>
      <c r="P528" s="5"/>
      <c r="Q528" s="5"/>
      <c r="R528" s="5"/>
      <c r="S528" s="5"/>
      <c r="T528" s="5"/>
      <c r="U528" s="5"/>
      <c r="V528" s="5"/>
      <c r="W528" s="5"/>
      <c r="X528" s="5"/>
      <c r="Y528" s="5"/>
      <c r="Z528" s="5"/>
    </row>
    <row r="529" ht="19.5" customHeight="1">
      <c r="A529" s="49"/>
      <c r="B529" s="50"/>
      <c r="C529" s="50"/>
      <c r="D529" s="50"/>
      <c r="E529" s="50"/>
      <c r="F529" s="51"/>
      <c r="G529" s="50"/>
      <c r="H529" s="50"/>
      <c r="I529" s="50"/>
      <c r="J529" s="48" t="str">
        <f t="array" ref="J529">IF(G529="","",IFERROR(LET(ev_cost,INDEX(Events!$G$5:$G$505,MATCH(G529,Events!$A$5:$A$505,0)),ev_split,INDEX(Events!$I$5:$I$505,MATCH(G529,Events!$A$5:$A$505,0)),att_offset,MATCH(G529,Attendance!$B$3:$AV$3,0),attendees,COUNTIF(INDEX(Attendance!$B$7:$AV$206,0,att_offset),"1"),IF(ev_split="Equal Split",ev_cost/MAX(1,COUNTA(Roster!$A$5:$A$204)),ev_cost/MAX(1,attendees))),"N/A"))</f>
        <v/>
      </c>
      <c r="K529" s="5"/>
      <c r="L529" s="5"/>
      <c r="M529" s="5"/>
      <c r="N529" s="5"/>
      <c r="O529" s="5"/>
      <c r="P529" s="5"/>
      <c r="Q529" s="5"/>
      <c r="R529" s="5"/>
      <c r="S529" s="5"/>
      <c r="T529" s="5"/>
      <c r="U529" s="5"/>
      <c r="V529" s="5"/>
      <c r="W529" s="5"/>
      <c r="X529" s="5"/>
      <c r="Y529" s="5"/>
      <c r="Z529" s="5"/>
    </row>
    <row r="530" ht="19.5" customHeight="1">
      <c r="A530" s="52"/>
      <c r="B530" s="53"/>
      <c r="C530" s="53"/>
      <c r="D530" s="53"/>
      <c r="E530" s="53"/>
      <c r="F530" s="61"/>
      <c r="G530" s="53"/>
      <c r="H530" s="53"/>
      <c r="I530" s="53"/>
      <c r="J530" s="48" t="str">
        <f t="array" ref="J530">IF(G530="","",IFERROR(LET(ev_cost,INDEX(Events!$G$5:$G$505,MATCH(G530,Events!$A$5:$A$505,0)),ev_split,INDEX(Events!$I$5:$I$505,MATCH(G530,Events!$A$5:$A$505,0)),att_offset,MATCH(G530,Attendance!$B$3:$AV$3,0),attendees,COUNTIF(INDEX(Attendance!$B$7:$AV$206,0,att_offset),"1"),IF(ev_split="Equal Split",ev_cost/MAX(1,COUNTA(Roster!$A$5:$A$204)),ev_cost/MAX(1,attendees))),"N/A"))</f>
        <v/>
      </c>
      <c r="K530" s="5"/>
      <c r="L530" s="5"/>
      <c r="M530" s="5"/>
      <c r="N530" s="5"/>
      <c r="O530" s="5"/>
      <c r="P530" s="5"/>
      <c r="Q530" s="5"/>
      <c r="R530" s="5"/>
      <c r="S530" s="5"/>
      <c r="T530" s="5"/>
      <c r="U530" s="5"/>
      <c r="V530" s="5"/>
      <c r="W530" s="5"/>
      <c r="X530" s="5"/>
      <c r="Y530" s="5"/>
      <c r="Z530" s="5"/>
    </row>
    <row r="531" ht="19.5" customHeight="1">
      <c r="A531" s="49"/>
      <c r="B531" s="50"/>
      <c r="C531" s="50"/>
      <c r="D531" s="50"/>
      <c r="E531" s="50"/>
      <c r="F531" s="51"/>
      <c r="G531" s="50"/>
      <c r="H531" s="50"/>
      <c r="I531" s="50"/>
      <c r="J531" s="48" t="str">
        <f t="array" ref="J531">IF(G531="","",IFERROR(LET(ev_cost,INDEX(Events!$G$5:$G$505,MATCH(G531,Events!$A$5:$A$505,0)),ev_split,INDEX(Events!$I$5:$I$505,MATCH(G531,Events!$A$5:$A$505,0)),att_offset,MATCH(G531,Attendance!$B$3:$AV$3,0),attendees,COUNTIF(INDEX(Attendance!$B$7:$AV$206,0,att_offset),"1"),IF(ev_split="Equal Split",ev_cost/MAX(1,COUNTA(Roster!$A$5:$A$204)),ev_cost/MAX(1,attendees))),"N/A"))</f>
        <v/>
      </c>
      <c r="K531" s="5"/>
      <c r="L531" s="5"/>
      <c r="M531" s="5"/>
      <c r="N531" s="5"/>
      <c r="O531" s="5"/>
      <c r="P531" s="5"/>
      <c r="Q531" s="5"/>
      <c r="R531" s="5"/>
      <c r="S531" s="5"/>
      <c r="T531" s="5"/>
      <c r="U531" s="5"/>
      <c r="V531" s="5"/>
      <c r="W531" s="5"/>
      <c r="X531" s="5"/>
      <c r="Y531" s="5"/>
      <c r="Z531" s="5"/>
    </row>
    <row r="532" ht="19.5" customHeight="1">
      <c r="A532" s="52"/>
      <c r="B532" s="53"/>
      <c r="C532" s="53"/>
      <c r="D532" s="53"/>
      <c r="E532" s="53"/>
      <c r="F532" s="61"/>
      <c r="G532" s="53"/>
      <c r="H532" s="53"/>
      <c r="I532" s="53"/>
      <c r="J532" s="48" t="str">
        <f t="array" ref="J532">IF(G532="","",IFERROR(LET(ev_cost,INDEX(Events!$G$5:$G$505,MATCH(G532,Events!$A$5:$A$505,0)),ev_split,INDEX(Events!$I$5:$I$505,MATCH(G532,Events!$A$5:$A$505,0)),att_offset,MATCH(G532,Attendance!$B$3:$AV$3,0),attendees,COUNTIF(INDEX(Attendance!$B$7:$AV$206,0,att_offset),"1"),IF(ev_split="Equal Split",ev_cost/MAX(1,COUNTA(Roster!$A$5:$A$204)),ev_cost/MAX(1,attendees))),"N/A"))</f>
        <v/>
      </c>
      <c r="K532" s="5"/>
      <c r="L532" s="5"/>
      <c r="M532" s="5"/>
      <c r="N532" s="5"/>
      <c r="O532" s="5"/>
      <c r="P532" s="5"/>
      <c r="Q532" s="5"/>
      <c r="R532" s="5"/>
      <c r="S532" s="5"/>
      <c r="T532" s="5"/>
      <c r="U532" s="5"/>
      <c r="V532" s="5"/>
      <c r="W532" s="5"/>
      <c r="X532" s="5"/>
      <c r="Y532" s="5"/>
      <c r="Z532" s="5"/>
    </row>
    <row r="533" ht="19.5" customHeight="1">
      <c r="A533" s="49"/>
      <c r="B533" s="50"/>
      <c r="C533" s="50"/>
      <c r="D533" s="50"/>
      <c r="E533" s="50"/>
      <c r="F533" s="51"/>
      <c r="G533" s="50"/>
      <c r="H533" s="50"/>
      <c r="I533" s="50"/>
      <c r="J533" s="48" t="str">
        <f t="array" ref="J533">IF(G533="","",IFERROR(LET(ev_cost,INDEX(Events!$G$5:$G$505,MATCH(G533,Events!$A$5:$A$505,0)),ev_split,INDEX(Events!$I$5:$I$505,MATCH(G533,Events!$A$5:$A$505,0)),att_offset,MATCH(G533,Attendance!$B$3:$AV$3,0),attendees,COUNTIF(INDEX(Attendance!$B$7:$AV$206,0,att_offset),"1"),IF(ev_split="Equal Split",ev_cost/MAX(1,COUNTA(Roster!$A$5:$A$204)),ev_cost/MAX(1,attendees))),"N/A"))</f>
        <v/>
      </c>
      <c r="K533" s="5"/>
      <c r="L533" s="5"/>
      <c r="M533" s="5"/>
      <c r="N533" s="5"/>
      <c r="O533" s="5"/>
      <c r="P533" s="5"/>
      <c r="Q533" s="5"/>
      <c r="R533" s="5"/>
      <c r="S533" s="5"/>
      <c r="T533" s="5"/>
      <c r="U533" s="5"/>
      <c r="V533" s="5"/>
      <c r="W533" s="5"/>
      <c r="X533" s="5"/>
      <c r="Y533" s="5"/>
      <c r="Z533" s="5"/>
    </row>
    <row r="534" ht="19.5" customHeight="1">
      <c r="A534" s="52"/>
      <c r="B534" s="53"/>
      <c r="C534" s="53"/>
      <c r="D534" s="53"/>
      <c r="E534" s="53"/>
      <c r="F534" s="61"/>
      <c r="G534" s="53"/>
      <c r="H534" s="53"/>
      <c r="I534" s="53"/>
      <c r="J534" s="48" t="str">
        <f t="array" ref="J534">IF(G534="","",IFERROR(LET(ev_cost,INDEX(Events!$G$5:$G$505,MATCH(G534,Events!$A$5:$A$505,0)),ev_split,INDEX(Events!$I$5:$I$505,MATCH(G534,Events!$A$5:$A$505,0)),att_offset,MATCH(G534,Attendance!$B$3:$AV$3,0),attendees,COUNTIF(INDEX(Attendance!$B$7:$AV$206,0,att_offset),"1"),IF(ev_split="Equal Split",ev_cost/MAX(1,COUNTA(Roster!$A$5:$A$204)),ev_cost/MAX(1,attendees))),"N/A"))</f>
        <v/>
      </c>
      <c r="K534" s="5"/>
      <c r="L534" s="5"/>
      <c r="M534" s="5"/>
      <c r="N534" s="5"/>
      <c r="O534" s="5"/>
      <c r="P534" s="5"/>
      <c r="Q534" s="5"/>
      <c r="R534" s="5"/>
      <c r="S534" s="5"/>
      <c r="T534" s="5"/>
      <c r="U534" s="5"/>
      <c r="V534" s="5"/>
      <c r="W534" s="5"/>
      <c r="X534" s="5"/>
      <c r="Y534" s="5"/>
      <c r="Z534" s="5"/>
    </row>
    <row r="535" ht="19.5" customHeight="1">
      <c r="A535" s="49"/>
      <c r="B535" s="50"/>
      <c r="C535" s="50"/>
      <c r="D535" s="50"/>
      <c r="E535" s="50"/>
      <c r="F535" s="51"/>
      <c r="G535" s="50"/>
      <c r="H535" s="50"/>
      <c r="I535" s="50"/>
      <c r="J535" s="48" t="str">
        <f t="array" ref="J535">IF(G535="","",IFERROR(LET(ev_cost,INDEX(Events!$G$5:$G$505,MATCH(G535,Events!$A$5:$A$505,0)),ev_split,INDEX(Events!$I$5:$I$505,MATCH(G535,Events!$A$5:$A$505,0)),att_offset,MATCH(G535,Attendance!$B$3:$AV$3,0),attendees,COUNTIF(INDEX(Attendance!$B$7:$AV$206,0,att_offset),"1"),IF(ev_split="Equal Split",ev_cost/MAX(1,COUNTA(Roster!$A$5:$A$204)),ev_cost/MAX(1,attendees))),"N/A"))</f>
        <v/>
      </c>
      <c r="K535" s="5"/>
      <c r="L535" s="5"/>
      <c r="M535" s="5"/>
      <c r="N535" s="5"/>
      <c r="O535" s="5"/>
      <c r="P535" s="5"/>
      <c r="Q535" s="5"/>
      <c r="R535" s="5"/>
      <c r="S535" s="5"/>
      <c r="T535" s="5"/>
      <c r="U535" s="5"/>
      <c r="V535" s="5"/>
      <c r="W535" s="5"/>
      <c r="X535" s="5"/>
      <c r="Y535" s="5"/>
      <c r="Z535" s="5"/>
    </row>
    <row r="536" ht="19.5" customHeight="1">
      <c r="A536" s="52"/>
      <c r="B536" s="53"/>
      <c r="C536" s="53"/>
      <c r="D536" s="53"/>
      <c r="E536" s="53"/>
      <c r="F536" s="61"/>
      <c r="G536" s="53"/>
      <c r="H536" s="53"/>
      <c r="I536" s="53"/>
      <c r="J536" s="48" t="str">
        <f t="array" ref="J536">IF(G536="","",IFERROR(LET(ev_cost,INDEX(Events!$G$5:$G$505,MATCH(G536,Events!$A$5:$A$505,0)),ev_split,INDEX(Events!$I$5:$I$505,MATCH(G536,Events!$A$5:$A$505,0)),att_offset,MATCH(G536,Attendance!$B$3:$AV$3,0),attendees,COUNTIF(INDEX(Attendance!$B$7:$AV$206,0,att_offset),"1"),IF(ev_split="Equal Split",ev_cost/MAX(1,COUNTA(Roster!$A$5:$A$204)),ev_cost/MAX(1,attendees))),"N/A"))</f>
        <v/>
      </c>
      <c r="K536" s="5"/>
      <c r="L536" s="5"/>
      <c r="M536" s="5"/>
      <c r="N536" s="5"/>
      <c r="O536" s="5"/>
      <c r="P536" s="5"/>
      <c r="Q536" s="5"/>
      <c r="R536" s="5"/>
      <c r="S536" s="5"/>
      <c r="T536" s="5"/>
      <c r="U536" s="5"/>
      <c r="V536" s="5"/>
      <c r="W536" s="5"/>
      <c r="X536" s="5"/>
      <c r="Y536" s="5"/>
      <c r="Z536" s="5"/>
    </row>
    <row r="537" ht="19.5" customHeight="1">
      <c r="A537" s="49"/>
      <c r="B537" s="50"/>
      <c r="C537" s="50"/>
      <c r="D537" s="50"/>
      <c r="E537" s="50"/>
      <c r="F537" s="51"/>
      <c r="G537" s="50"/>
      <c r="H537" s="50"/>
      <c r="I537" s="50"/>
      <c r="J537" s="48" t="str">
        <f t="array" ref="J537">IF(G537="","",IFERROR(LET(ev_cost,INDEX(Events!$G$5:$G$505,MATCH(G537,Events!$A$5:$A$505,0)),ev_split,INDEX(Events!$I$5:$I$505,MATCH(G537,Events!$A$5:$A$505,0)),att_offset,MATCH(G537,Attendance!$B$3:$AV$3,0),attendees,COUNTIF(INDEX(Attendance!$B$7:$AV$206,0,att_offset),"1"),IF(ev_split="Equal Split",ev_cost/MAX(1,COUNTA(Roster!$A$5:$A$204)),ev_cost/MAX(1,attendees))),"N/A"))</f>
        <v/>
      </c>
      <c r="K537" s="5"/>
      <c r="L537" s="5"/>
      <c r="M537" s="5"/>
      <c r="N537" s="5"/>
      <c r="O537" s="5"/>
      <c r="P537" s="5"/>
      <c r="Q537" s="5"/>
      <c r="R537" s="5"/>
      <c r="S537" s="5"/>
      <c r="T537" s="5"/>
      <c r="U537" s="5"/>
      <c r="V537" s="5"/>
      <c r="W537" s="5"/>
      <c r="X537" s="5"/>
      <c r="Y537" s="5"/>
      <c r="Z537" s="5"/>
    </row>
    <row r="538" ht="19.5" customHeight="1">
      <c r="A538" s="52"/>
      <c r="B538" s="53"/>
      <c r="C538" s="53"/>
      <c r="D538" s="53"/>
      <c r="E538" s="53"/>
      <c r="F538" s="61"/>
      <c r="G538" s="53"/>
      <c r="H538" s="53"/>
      <c r="I538" s="53"/>
      <c r="J538" s="48" t="str">
        <f t="array" ref="J538">IF(G538="","",IFERROR(LET(ev_cost,INDEX(Events!$G$5:$G$505,MATCH(G538,Events!$A$5:$A$505,0)),ev_split,INDEX(Events!$I$5:$I$505,MATCH(G538,Events!$A$5:$A$505,0)),att_offset,MATCH(G538,Attendance!$B$3:$AV$3,0),attendees,COUNTIF(INDEX(Attendance!$B$7:$AV$206,0,att_offset),"1"),IF(ev_split="Equal Split",ev_cost/MAX(1,COUNTA(Roster!$A$5:$A$204)),ev_cost/MAX(1,attendees))),"N/A"))</f>
        <v/>
      </c>
      <c r="K538" s="5"/>
      <c r="L538" s="5"/>
      <c r="M538" s="5"/>
      <c r="N538" s="5"/>
      <c r="O538" s="5"/>
      <c r="P538" s="5"/>
      <c r="Q538" s="5"/>
      <c r="R538" s="5"/>
      <c r="S538" s="5"/>
      <c r="T538" s="5"/>
      <c r="U538" s="5"/>
      <c r="V538" s="5"/>
      <c r="W538" s="5"/>
      <c r="X538" s="5"/>
      <c r="Y538" s="5"/>
      <c r="Z538" s="5"/>
    </row>
    <row r="539" ht="19.5" customHeight="1">
      <c r="A539" s="49"/>
      <c r="B539" s="50"/>
      <c r="C539" s="50"/>
      <c r="D539" s="50"/>
      <c r="E539" s="50"/>
      <c r="F539" s="51"/>
      <c r="G539" s="50"/>
      <c r="H539" s="50"/>
      <c r="I539" s="50"/>
      <c r="J539" s="48" t="str">
        <f t="array" ref="J539">IF(G539="","",IFERROR(LET(ev_cost,INDEX(Events!$G$5:$G$505,MATCH(G539,Events!$A$5:$A$505,0)),ev_split,INDEX(Events!$I$5:$I$505,MATCH(G539,Events!$A$5:$A$505,0)),att_offset,MATCH(G539,Attendance!$B$3:$AV$3,0),attendees,COUNTIF(INDEX(Attendance!$B$7:$AV$206,0,att_offset),"1"),IF(ev_split="Equal Split",ev_cost/MAX(1,COUNTA(Roster!$A$5:$A$204)),ev_cost/MAX(1,attendees))),"N/A"))</f>
        <v/>
      </c>
      <c r="K539" s="5"/>
      <c r="L539" s="5"/>
      <c r="M539" s="5"/>
      <c r="N539" s="5"/>
      <c r="O539" s="5"/>
      <c r="P539" s="5"/>
      <c r="Q539" s="5"/>
      <c r="R539" s="5"/>
      <c r="S539" s="5"/>
      <c r="T539" s="5"/>
      <c r="U539" s="5"/>
      <c r="V539" s="5"/>
      <c r="W539" s="5"/>
      <c r="X539" s="5"/>
      <c r="Y539" s="5"/>
      <c r="Z539" s="5"/>
    </row>
    <row r="540" ht="19.5" customHeight="1">
      <c r="A540" s="52"/>
      <c r="B540" s="53"/>
      <c r="C540" s="53"/>
      <c r="D540" s="53"/>
      <c r="E540" s="53"/>
      <c r="F540" s="61"/>
      <c r="G540" s="53"/>
      <c r="H540" s="53"/>
      <c r="I540" s="53"/>
      <c r="J540" s="48" t="str">
        <f t="array" ref="J540">IF(G540="","",IFERROR(LET(ev_cost,INDEX(Events!$G$5:$G$505,MATCH(G540,Events!$A$5:$A$505,0)),ev_split,INDEX(Events!$I$5:$I$505,MATCH(G540,Events!$A$5:$A$505,0)),att_offset,MATCH(G540,Attendance!$B$3:$AV$3,0),attendees,COUNTIF(INDEX(Attendance!$B$7:$AV$206,0,att_offset),"1"),IF(ev_split="Equal Split",ev_cost/MAX(1,COUNTA(Roster!$A$5:$A$204)),ev_cost/MAX(1,attendees))),"N/A"))</f>
        <v/>
      </c>
      <c r="K540" s="5"/>
      <c r="L540" s="5"/>
      <c r="M540" s="5"/>
      <c r="N540" s="5"/>
      <c r="O540" s="5"/>
      <c r="P540" s="5"/>
      <c r="Q540" s="5"/>
      <c r="R540" s="5"/>
      <c r="S540" s="5"/>
      <c r="T540" s="5"/>
      <c r="U540" s="5"/>
      <c r="V540" s="5"/>
      <c r="W540" s="5"/>
      <c r="X540" s="5"/>
      <c r="Y540" s="5"/>
      <c r="Z540" s="5"/>
    </row>
    <row r="541" ht="19.5" customHeight="1">
      <c r="A541" s="49"/>
      <c r="B541" s="50"/>
      <c r="C541" s="50"/>
      <c r="D541" s="50"/>
      <c r="E541" s="50"/>
      <c r="F541" s="51"/>
      <c r="G541" s="50"/>
      <c r="H541" s="50"/>
      <c r="I541" s="50"/>
      <c r="J541" s="48" t="str">
        <f t="array" ref="J541">IF(G541="","",IFERROR(LET(ev_cost,INDEX(Events!$G$5:$G$505,MATCH(G541,Events!$A$5:$A$505,0)),ev_split,INDEX(Events!$I$5:$I$505,MATCH(G541,Events!$A$5:$A$505,0)),att_offset,MATCH(G541,Attendance!$B$3:$AV$3,0),attendees,COUNTIF(INDEX(Attendance!$B$7:$AV$206,0,att_offset),"1"),IF(ev_split="Equal Split",ev_cost/MAX(1,COUNTA(Roster!$A$5:$A$204)),ev_cost/MAX(1,attendees))),"N/A"))</f>
        <v/>
      </c>
      <c r="K541" s="5"/>
      <c r="L541" s="5"/>
      <c r="M541" s="5"/>
      <c r="N541" s="5"/>
      <c r="O541" s="5"/>
      <c r="P541" s="5"/>
      <c r="Q541" s="5"/>
      <c r="R541" s="5"/>
      <c r="S541" s="5"/>
      <c r="T541" s="5"/>
      <c r="U541" s="5"/>
      <c r="V541" s="5"/>
      <c r="W541" s="5"/>
      <c r="X541" s="5"/>
      <c r="Y541" s="5"/>
      <c r="Z541" s="5"/>
    </row>
    <row r="542" ht="19.5" customHeight="1">
      <c r="A542" s="52"/>
      <c r="B542" s="53"/>
      <c r="C542" s="53"/>
      <c r="D542" s="53"/>
      <c r="E542" s="53"/>
      <c r="F542" s="61"/>
      <c r="G542" s="53"/>
      <c r="H542" s="53"/>
      <c r="I542" s="53"/>
      <c r="J542" s="48" t="str">
        <f t="array" ref="J542">IF(G542="","",IFERROR(LET(ev_cost,INDEX(Events!$G$5:$G$505,MATCH(G542,Events!$A$5:$A$505,0)),ev_split,INDEX(Events!$I$5:$I$505,MATCH(G542,Events!$A$5:$A$505,0)),att_offset,MATCH(G542,Attendance!$B$3:$AV$3,0),attendees,COUNTIF(INDEX(Attendance!$B$7:$AV$206,0,att_offset),"1"),IF(ev_split="Equal Split",ev_cost/MAX(1,COUNTA(Roster!$A$5:$A$204)),ev_cost/MAX(1,attendees))),"N/A"))</f>
        <v/>
      </c>
      <c r="K542" s="5"/>
      <c r="L542" s="5"/>
      <c r="M542" s="5"/>
      <c r="N542" s="5"/>
      <c r="O542" s="5"/>
      <c r="P542" s="5"/>
      <c r="Q542" s="5"/>
      <c r="R542" s="5"/>
      <c r="S542" s="5"/>
      <c r="T542" s="5"/>
      <c r="U542" s="5"/>
      <c r="V542" s="5"/>
      <c r="W542" s="5"/>
      <c r="X542" s="5"/>
      <c r="Y542" s="5"/>
      <c r="Z542" s="5"/>
    </row>
    <row r="543" ht="19.5" customHeight="1">
      <c r="A543" s="49"/>
      <c r="B543" s="50"/>
      <c r="C543" s="50"/>
      <c r="D543" s="50"/>
      <c r="E543" s="50"/>
      <c r="F543" s="51"/>
      <c r="G543" s="50"/>
      <c r="H543" s="50"/>
      <c r="I543" s="50"/>
      <c r="J543" s="48" t="str">
        <f t="array" ref="J543">IF(G543="","",IFERROR(LET(ev_cost,INDEX(Events!$G$5:$G$505,MATCH(G543,Events!$A$5:$A$505,0)),ev_split,INDEX(Events!$I$5:$I$505,MATCH(G543,Events!$A$5:$A$505,0)),att_offset,MATCH(G543,Attendance!$B$3:$AV$3,0),attendees,COUNTIF(INDEX(Attendance!$B$7:$AV$206,0,att_offset),"1"),IF(ev_split="Equal Split",ev_cost/MAX(1,COUNTA(Roster!$A$5:$A$204)),ev_cost/MAX(1,attendees))),"N/A"))</f>
        <v/>
      </c>
      <c r="K543" s="5"/>
      <c r="L543" s="5"/>
      <c r="M543" s="5"/>
      <c r="N543" s="5"/>
      <c r="O543" s="5"/>
      <c r="P543" s="5"/>
      <c r="Q543" s="5"/>
      <c r="R543" s="5"/>
      <c r="S543" s="5"/>
      <c r="T543" s="5"/>
      <c r="U543" s="5"/>
      <c r="V543" s="5"/>
      <c r="W543" s="5"/>
      <c r="X543" s="5"/>
      <c r="Y543" s="5"/>
      <c r="Z543" s="5"/>
    </row>
    <row r="544" ht="19.5" customHeight="1">
      <c r="A544" s="52"/>
      <c r="B544" s="53"/>
      <c r="C544" s="53"/>
      <c r="D544" s="53"/>
      <c r="E544" s="53"/>
      <c r="F544" s="61"/>
      <c r="G544" s="53"/>
      <c r="H544" s="53"/>
      <c r="I544" s="53"/>
      <c r="J544" s="48" t="str">
        <f t="array" ref="J544">IF(G544="","",IFERROR(LET(ev_cost,INDEX(Events!$G$5:$G$505,MATCH(G544,Events!$A$5:$A$505,0)),ev_split,INDEX(Events!$I$5:$I$505,MATCH(G544,Events!$A$5:$A$505,0)),att_offset,MATCH(G544,Attendance!$B$3:$AV$3,0),attendees,COUNTIF(INDEX(Attendance!$B$7:$AV$206,0,att_offset),"1"),IF(ev_split="Equal Split",ev_cost/MAX(1,COUNTA(Roster!$A$5:$A$204)),ev_cost/MAX(1,attendees))),"N/A"))</f>
        <v/>
      </c>
      <c r="K544" s="5"/>
      <c r="L544" s="5"/>
      <c r="M544" s="5"/>
      <c r="N544" s="5"/>
      <c r="O544" s="5"/>
      <c r="P544" s="5"/>
      <c r="Q544" s="5"/>
      <c r="R544" s="5"/>
      <c r="S544" s="5"/>
      <c r="T544" s="5"/>
      <c r="U544" s="5"/>
      <c r="V544" s="5"/>
      <c r="W544" s="5"/>
      <c r="X544" s="5"/>
      <c r="Y544" s="5"/>
      <c r="Z544" s="5"/>
    </row>
    <row r="545" ht="19.5" customHeight="1">
      <c r="A545" s="49"/>
      <c r="B545" s="50"/>
      <c r="C545" s="50"/>
      <c r="D545" s="50"/>
      <c r="E545" s="50"/>
      <c r="F545" s="51"/>
      <c r="G545" s="50"/>
      <c r="H545" s="50"/>
      <c r="I545" s="50"/>
      <c r="J545" s="48" t="str">
        <f t="array" ref="J545">IF(G545="","",IFERROR(LET(ev_cost,INDEX(Events!$G$5:$G$505,MATCH(G545,Events!$A$5:$A$505,0)),ev_split,INDEX(Events!$I$5:$I$505,MATCH(G545,Events!$A$5:$A$505,0)),att_offset,MATCH(G545,Attendance!$B$3:$AV$3,0),attendees,COUNTIF(INDEX(Attendance!$B$7:$AV$206,0,att_offset),"1"),IF(ev_split="Equal Split",ev_cost/MAX(1,COUNTA(Roster!$A$5:$A$204)),ev_cost/MAX(1,attendees))),"N/A"))</f>
        <v/>
      </c>
      <c r="K545" s="5"/>
      <c r="L545" s="5"/>
      <c r="M545" s="5"/>
      <c r="N545" s="5"/>
      <c r="O545" s="5"/>
      <c r="P545" s="5"/>
      <c r="Q545" s="5"/>
      <c r="R545" s="5"/>
      <c r="S545" s="5"/>
      <c r="T545" s="5"/>
      <c r="U545" s="5"/>
      <c r="V545" s="5"/>
      <c r="W545" s="5"/>
      <c r="X545" s="5"/>
      <c r="Y545" s="5"/>
      <c r="Z545" s="5"/>
    </row>
    <row r="546" ht="19.5" customHeight="1">
      <c r="A546" s="52"/>
      <c r="B546" s="53"/>
      <c r="C546" s="53"/>
      <c r="D546" s="53"/>
      <c r="E546" s="53"/>
      <c r="F546" s="61"/>
      <c r="G546" s="53"/>
      <c r="H546" s="53"/>
      <c r="I546" s="53"/>
      <c r="J546" s="48" t="str">
        <f t="array" ref="J546">IF(G546="","",IFERROR(LET(ev_cost,INDEX(Events!$G$5:$G$505,MATCH(G546,Events!$A$5:$A$505,0)),ev_split,INDEX(Events!$I$5:$I$505,MATCH(G546,Events!$A$5:$A$505,0)),att_offset,MATCH(G546,Attendance!$B$3:$AV$3,0),attendees,COUNTIF(INDEX(Attendance!$B$7:$AV$206,0,att_offset),"1"),IF(ev_split="Equal Split",ev_cost/MAX(1,COUNTA(Roster!$A$5:$A$204)),ev_cost/MAX(1,attendees))),"N/A"))</f>
        <v/>
      </c>
      <c r="K546" s="5"/>
      <c r="L546" s="5"/>
      <c r="M546" s="5"/>
      <c r="N546" s="5"/>
      <c r="O546" s="5"/>
      <c r="P546" s="5"/>
      <c r="Q546" s="5"/>
      <c r="R546" s="5"/>
      <c r="S546" s="5"/>
      <c r="T546" s="5"/>
      <c r="U546" s="5"/>
      <c r="V546" s="5"/>
      <c r="W546" s="5"/>
      <c r="X546" s="5"/>
      <c r="Y546" s="5"/>
      <c r="Z546" s="5"/>
    </row>
    <row r="547" ht="19.5" customHeight="1">
      <c r="A547" s="49"/>
      <c r="B547" s="50"/>
      <c r="C547" s="50"/>
      <c r="D547" s="50"/>
      <c r="E547" s="50"/>
      <c r="F547" s="51"/>
      <c r="G547" s="50"/>
      <c r="H547" s="50"/>
      <c r="I547" s="50"/>
      <c r="J547" s="48" t="str">
        <f t="array" ref="J547">IF(G547="","",IFERROR(LET(ev_cost,INDEX(Events!$G$5:$G$505,MATCH(G547,Events!$A$5:$A$505,0)),ev_split,INDEX(Events!$I$5:$I$505,MATCH(G547,Events!$A$5:$A$505,0)),att_offset,MATCH(G547,Attendance!$B$3:$AV$3,0),attendees,COUNTIF(INDEX(Attendance!$B$7:$AV$206,0,att_offset),"1"),IF(ev_split="Equal Split",ev_cost/MAX(1,COUNTA(Roster!$A$5:$A$204)),ev_cost/MAX(1,attendees))),"N/A"))</f>
        <v/>
      </c>
      <c r="K547" s="5"/>
      <c r="L547" s="5"/>
      <c r="M547" s="5"/>
      <c r="N547" s="5"/>
      <c r="O547" s="5"/>
      <c r="P547" s="5"/>
      <c r="Q547" s="5"/>
      <c r="R547" s="5"/>
      <c r="S547" s="5"/>
      <c r="T547" s="5"/>
      <c r="U547" s="5"/>
      <c r="V547" s="5"/>
      <c r="W547" s="5"/>
      <c r="X547" s="5"/>
      <c r="Y547" s="5"/>
      <c r="Z547" s="5"/>
    </row>
    <row r="548" ht="19.5" customHeight="1">
      <c r="A548" s="52"/>
      <c r="B548" s="53"/>
      <c r="C548" s="53"/>
      <c r="D548" s="53"/>
      <c r="E548" s="53"/>
      <c r="F548" s="61"/>
      <c r="G548" s="53"/>
      <c r="H548" s="53"/>
      <c r="I548" s="53"/>
      <c r="J548" s="48" t="str">
        <f t="array" ref="J548">IF(G548="","",IFERROR(LET(ev_cost,INDEX(Events!$G$5:$G$505,MATCH(G548,Events!$A$5:$A$505,0)),ev_split,INDEX(Events!$I$5:$I$505,MATCH(G548,Events!$A$5:$A$505,0)),att_offset,MATCH(G548,Attendance!$B$3:$AV$3,0),attendees,COUNTIF(INDEX(Attendance!$B$7:$AV$206,0,att_offset),"1"),IF(ev_split="Equal Split",ev_cost/MAX(1,COUNTA(Roster!$A$5:$A$204)),ev_cost/MAX(1,attendees))),"N/A"))</f>
        <v/>
      </c>
      <c r="K548" s="5"/>
      <c r="L548" s="5"/>
      <c r="M548" s="5"/>
      <c r="N548" s="5"/>
      <c r="O548" s="5"/>
      <c r="P548" s="5"/>
      <c r="Q548" s="5"/>
      <c r="R548" s="5"/>
      <c r="S548" s="5"/>
      <c r="T548" s="5"/>
      <c r="U548" s="5"/>
      <c r="V548" s="5"/>
      <c r="W548" s="5"/>
      <c r="X548" s="5"/>
      <c r="Y548" s="5"/>
      <c r="Z548" s="5"/>
    </row>
    <row r="549" ht="19.5" customHeight="1">
      <c r="A549" s="49"/>
      <c r="B549" s="50"/>
      <c r="C549" s="50"/>
      <c r="D549" s="50"/>
      <c r="E549" s="50"/>
      <c r="F549" s="51"/>
      <c r="G549" s="50"/>
      <c r="H549" s="50"/>
      <c r="I549" s="50"/>
      <c r="J549" s="48" t="str">
        <f t="array" ref="J549">IF(G549="","",IFERROR(LET(ev_cost,INDEX(Events!$G$5:$G$505,MATCH(G549,Events!$A$5:$A$505,0)),ev_split,INDEX(Events!$I$5:$I$505,MATCH(G549,Events!$A$5:$A$505,0)),att_offset,MATCH(G549,Attendance!$B$3:$AV$3,0),attendees,COUNTIF(INDEX(Attendance!$B$7:$AV$206,0,att_offset),"1"),IF(ev_split="Equal Split",ev_cost/MAX(1,COUNTA(Roster!$A$5:$A$204)),ev_cost/MAX(1,attendees))),"N/A"))</f>
        <v/>
      </c>
      <c r="K549" s="5"/>
      <c r="L549" s="5"/>
      <c r="M549" s="5"/>
      <c r="N549" s="5"/>
      <c r="O549" s="5"/>
      <c r="P549" s="5"/>
      <c r="Q549" s="5"/>
      <c r="R549" s="5"/>
      <c r="S549" s="5"/>
      <c r="T549" s="5"/>
      <c r="U549" s="5"/>
      <c r="V549" s="5"/>
      <c r="W549" s="5"/>
      <c r="X549" s="5"/>
      <c r="Y549" s="5"/>
      <c r="Z549" s="5"/>
    </row>
    <row r="550" ht="19.5" customHeight="1">
      <c r="A550" s="52"/>
      <c r="B550" s="53"/>
      <c r="C550" s="53"/>
      <c r="D550" s="53"/>
      <c r="E550" s="53"/>
      <c r="F550" s="61"/>
      <c r="G550" s="53"/>
      <c r="H550" s="53"/>
      <c r="I550" s="53"/>
      <c r="J550" s="48" t="str">
        <f t="array" ref="J550">IF(G550="","",IFERROR(LET(ev_cost,INDEX(Events!$G$5:$G$505,MATCH(G550,Events!$A$5:$A$505,0)),ev_split,INDEX(Events!$I$5:$I$505,MATCH(G550,Events!$A$5:$A$505,0)),att_offset,MATCH(G550,Attendance!$B$3:$AV$3,0),attendees,COUNTIF(INDEX(Attendance!$B$7:$AV$206,0,att_offset),"1"),IF(ev_split="Equal Split",ev_cost/MAX(1,COUNTA(Roster!$A$5:$A$204)),ev_cost/MAX(1,attendees))),"N/A"))</f>
        <v/>
      </c>
      <c r="K550" s="5"/>
      <c r="L550" s="5"/>
      <c r="M550" s="5"/>
      <c r="N550" s="5"/>
      <c r="O550" s="5"/>
      <c r="P550" s="5"/>
      <c r="Q550" s="5"/>
      <c r="R550" s="5"/>
      <c r="S550" s="5"/>
      <c r="T550" s="5"/>
      <c r="U550" s="5"/>
      <c r="V550" s="5"/>
      <c r="W550" s="5"/>
      <c r="X550" s="5"/>
      <c r="Y550" s="5"/>
      <c r="Z550" s="5"/>
    </row>
    <row r="551" ht="19.5" customHeight="1">
      <c r="A551" s="49"/>
      <c r="B551" s="50"/>
      <c r="C551" s="50"/>
      <c r="D551" s="50"/>
      <c r="E551" s="50"/>
      <c r="F551" s="51"/>
      <c r="G551" s="50"/>
      <c r="H551" s="50"/>
      <c r="I551" s="50"/>
      <c r="J551" s="48" t="str">
        <f t="array" ref="J551">IF(G551="","",IFERROR(LET(ev_cost,INDEX(Events!$G$5:$G$505,MATCH(G551,Events!$A$5:$A$505,0)),ev_split,INDEX(Events!$I$5:$I$505,MATCH(G551,Events!$A$5:$A$505,0)),att_offset,MATCH(G551,Attendance!$B$3:$AV$3,0),attendees,COUNTIF(INDEX(Attendance!$B$7:$AV$206,0,att_offset),"1"),IF(ev_split="Equal Split",ev_cost/MAX(1,COUNTA(Roster!$A$5:$A$204)),ev_cost/MAX(1,attendees))),"N/A"))</f>
        <v/>
      </c>
      <c r="K551" s="5"/>
      <c r="L551" s="5"/>
      <c r="M551" s="5"/>
      <c r="N551" s="5"/>
      <c r="O551" s="5"/>
      <c r="P551" s="5"/>
      <c r="Q551" s="5"/>
      <c r="R551" s="5"/>
      <c r="S551" s="5"/>
      <c r="T551" s="5"/>
      <c r="U551" s="5"/>
      <c r="V551" s="5"/>
      <c r="W551" s="5"/>
      <c r="X551" s="5"/>
      <c r="Y551" s="5"/>
      <c r="Z551" s="5"/>
    </row>
    <row r="552" ht="19.5" customHeight="1">
      <c r="A552" s="52"/>
      <c r="B552" s="53"/>
      <c r="C552" s="53"/>
      <c r="D552" s="53"/>
      <c r="E552" s="53"/>
      <c r="F552" s="61"/>
      <c r="G552" s="53"/>
      <c r="H552" s="53"/>
      <c r="I552" s="53"/>
      <c r="J552" s="48" t="str">
        <f t="array" ref="J552">IF(G552="","",IFERROR(LET(ev_cost,INDEX(Events!$G$5:$G$505,MATCH(G552,Events!$A$5:$A$505,0)),ev_split,INDEX(Events!$I$5:$I$505,MATCH(G552,Events!$A$5:$A$505,0)),att_offset,MATCH(G552,Attendance!$B$3:$AV$3,0),attendees,COUNTIF(INDEX(Attendance!$B$7:$AV$206,0,att_offset),"1"),IF(ev_split="Equal Split",ev_cost/MAX(1,COUNTA(Roster!$A$5:$A$204)),ev_cost/MAX(1,attendees))),"N/A"))</f>
        <v/>
      </c>
      <c r="K552" s="5"/>
      <c r="L552" s="5"/>
      <c r="M552" s="5"/>
      <c r="N552" s="5"/>
      <c r="O552" s="5"/>
      <c r="P552" s="5"/>
      <c r="Q552" s="5"/>
      <c r="R552" s="5"/>
      <c r="S552" s="5"/>
      <c r="T552" s="5"/>
      <c r="U552" s="5"/>
      <c r="V552" s="5"/>
      <c r="W552" s="5"/>
      <c r="X552" s="5"/>
      <c r="Y552" s="5"/>
      <c r="Z552" s="5"/>
    </row>
    <row r="553" ht="19.5" customHeight="1">
      <c r="A553" s="49"/>
      <c r="B553" s="50"/>
      <c r="C553" s="50"/>
      <c r="D553" s="50"/>
      <c r="E553" s="50"/>
      <c r="F553" s="51"/>
      <c r="G553" s="50"/>
      <c r="H553" s="50"/>
      <c r="I553" s="50"/>
      <c r="J553" s="48" t="str">
        <f t="array" ref="J553">IF(G553="","",IFERROR(LET(ev_cost,INDEX(Events!$G$5:$G$505,MATCH(G553,Events!$A$5:$A$505,0)),ev_split,INDEX(Events!$I$5:$I$505,MATCH(G553,Events!$A$5:$A$505,0)),att_offset,MATCH(G553,Attendance!$B$3:$AV$3,0),attendees,COUNTIF(INDEX(Attendance!$B$7:$AV$206,0,att_offset),"1"),IF(ev_split="Equal Split",ev_cost/MAX(1,COUNTA(Roster!$A$5:$A$204)),ev_cost/MAX(1,attendees))),"N/A"))</f>
        <v/>
      </c>
      <c r="K553" s="5"/>
      <c r="L553" s="5"/>
      <c r="M553" s="5"/>
      <c r="N553" s="5"/>
      <c r="O553" s="5"/>
      <c r="P553" s="5"/>
      <c r="Q553" s="5"/>
      <c r="R553" s="5"/>
      <c r="S553" s="5"/>
      <c r="T553" s="5"/>
      <c r="U553" s="5"/>
      <c r="V553" s="5"/>
      <c r="W553" s="5"/>
      <c r="X553" s="5"/>
      <c r="Y553" s="5"/>
      <c r="Z553" s="5"/>
    </row>
    <row r="554" ht="19.5" customHeight="1">
      <c r="A554" s="52"/>
      <c r="B554" s="53"/>
      <c r="C554" s="53"/>
      <c r="D554" s="53"/>
      <c r="E554" s="53"/>
      <c r="F554" s="61"/>
      <c r="G554" s="53"/>
      <c r="H554" s="53"/>
      <c r="I554" s="53"/>
      <c r="J554" s="48" t="str">
        <f t="array" ref="J554">IF(G554="","",IFERROR(LET(ev_cost,INDEX(Events!$G$5:$G$505,MATCH(G554,Events!$A$5:$A$505,0)),ev_split,INDEX(Events!$I$5:$I$505,MATCH(G554,Events!$A$5:$A$505,0)),att_offset,MATCH(G554,Attendance!$B$3:$AV$3,0),attendees,COUNTIF(INDEX(Attendance!$B$7:$AV$206,0,att_offset),"1"),IF(ev_split="Equal Split",ev_cost/MAX(1,COUNTA(Roster!$A$5:$A$204)),ev_cost/MAX(1,attendees))),"N/A"))</f>
        <v/>
      </c>
      <c r="K554" s="5"/>
      <c r="L554" s="5"/>
      <c r="M554" s="5"/>
      <c r="N554" s="5"/>
      <c r="O554" s="5"/>
      <c r="P554" s="5"/>
      <c r="Q554" s="5"/>
      <c r="R554" s="5"/>
      <c r="S554" s="5"/>
      <c r="T554" s="5"/>
      <c r="U554" s="5"/>
      <c r="V554" s="5"/>
      <c r="W554" s="5"/>
      <c r="X554" s="5"/>
      <c r="Y554" s="5"/>
      <c r="Z554" s="5"/>
    </row>
    <row r="555" ht="19.5" customHeight="1">
      <c r="A555" s="49"/>
      <c r="B555" s="50"/>
      <c r="C555" s="50"/>
      <c r="D555" s="50"/>
      <c r="E555" s="50"/>
      <c r="F555" s="51"/>
      <c r="G555" s="50"/>
      <c r="H555" s="50"/>
      <c r="I555" s="50"/>
      <c r="J555" s="48" t="str">
        <f t="array" ref="J555">IF(G555="","",IFERROR(LET(ev_cost,INDEX(Events!$G$5:$G$505,MATCH(G555,Events!$A$5:$A$505,0)),ev_split,INDEX(Events!$I$5:$I$505,MATCH(G555,Events!$A$5:$A$505,0)),att_offset,MATCH(G555,Attendance!$B$3:$AV$3,0),attendees,COUNTIF(INDEX(Attendance!$B$7:$AV$206,0,att_offset),"1"),IF(ev_split="Equal Split",ev_cost/MAX(1,COUNTA(Roster!$A$5:$A$204)),ev_cost/MAX(1,attendees))),"N/A"))</f>
        <v/>
      </c>
      <c r="K555" s="5"/>
      <c r="L555" s="5"/>
      <c r="M555" s="5"/>
      <c r="N555" s="5"/>
      <c r="O555" s="5"/>
      <c r="P555" s="5"/>
      <c r="Q555" s="5"/>
      <c r="R555" s="5"/>
      <c r="S555" s="5"/>
      <c r="T555" s="5"/>
      <c r="U555" s="5"/>
      <c r="V555" s="5"/>
      <c r="W555" s="5"/>
      <c r="X555" s="5"/>
      <c r="Y555" s="5"/>
      <c r="Z555" s="5"/>
    </row>
    <row r="556" ht="19.5" customHeight="1">
      <c r="A556" s="52"/>
      <c r="B556" s="53"/>
      <c r="C556" s="53"/>
      <c r="D556" s="53"/>
      <c r="E556" s="53"/>
      <c r="F556" s="61"/>
      <c r="G556" s="53"/>
      <c r="H556" s="53"/>
      <c r="I556" s="53"/>
      <c r="J556" s="48" t="str">
        <f t="array" ref="J556">IF(G556="","",IFERROR(LET(ev_cost,INDEX(Events!$G$5:$G$505,MATCH(G556,Events!$A$5:$A$505,0)),ev_split,INDEX(Events!$I$5:$I$505,MATCH(G556,Events!$A$5:$A$505,0)),att_offset,MATCH(G556,Attendance!$B$3:$AV$3,0),attendees,COUNTIF(INDEX(Attendance!$B$7:$AV$206,0,att_offset),"1"),IF(ev_split="Equal Split",ev_cost/MAX(1,COUNTA(Roster!$A$5:$A$204)),ev_cost/MAX(1,attendees))),"N/A"))</f>
        <v/>
      </c>
      <c r="K556" s="5"/>
      <c r="L556" s="5"/>
      <c r="M556" s="5"/>
      <c r="N556" s="5"/>
      <c r="O556" s="5"/>
      <c r="P556" s="5"/>
      <c r="Q556" s="5"/>
      <c r="R556" s="5"/>
      <c r="S556" s="5"/>
      <c r="T556" s="5"/>
      <c r="U556" s="5"/>
      <c r="V556" s="5"/>
      <c r="W556" s="5"/>
      <c r="X556" s="5"/>
      <c r="Y556" s="5"/>
      <c r="Z556" s="5"/>
    </row>
    <row r="557" ht="19.5" customHeight="1">
      <c r="A557" s="49"/>
      <c r="B557" s="50"/>
      <c r="C557" s="50"/>
      <c r="D557" s="50"/>
      <c r="E557" s="50"/>
      <c r="F557" s="51"/>
      <c r="G557" s="50"/>
      <c r="H557" s="50"/>
      <c r="I557" s="50"/>
      <c r="J557" s="48" t="str">
        <f t="array" ref="J557">IF(G557="","",IFERROR(LET(ev_cost,INDEX(Events!$G$5:$G$505,MATCH(G557,Events!$A$5:$A$505,0)),ev_split,INDEX(Events!$I$5:$I$505,MATCH(G557,Events!$A$5:$A$505,0)),att_offset,MATCH(G557,Attendance!$B$3:$AV$3,0),attendees,COUNTIF(INDEX(Attendance!$B$7:$AV$206,0,att_offset),"1"),IF(ev_split="Equal Split",ev_cost/MAX(1,COUNTA(Roster!$A$5:$A$204)),ev_cost/MAX(1,attendees))),"N/A"))</f>
        <v/>
      </c>
      <c r="K557" s="5"/>
      <c r="L557" s="5"/>
      <c r="M557" s="5"/>
      <c r="N557" s="5"/>
      <c r="O557" s="5"/>
      <c r="P557" s="5"/>
      <c r="Q557" s="5"/>
      <c r="R557" s="5"/>
      <c r="S557" s="5"/>
      <c r="T557" s="5"/>
      <c r="U557" s="5"/>
      <c r="V557" s="5"/>
      <c r="W557" s="5"/>
      <c r="X557" s="5"/>
      <c r="Y557" s="5"/>
      <c r="Z557" s="5"/>
    </row>
    <row r="558" ht="19.5" customHeight="1">
      <c r="A558" s="52"/>
      <c r="B558" s="53"/>
      <c r="C558" s="53"/>
      <c r="D558" s="53"/>
      <c r="E558" s="53"/>
      <c r="F558" s="61"/>
      <c r="G558" s="53"/>
      <c r="H558" s="53"/>
      <c r="I558" s="53"/>
      <c r="J558" s="48" t="str">
        <f t="array" ref="J558">IF(G558="","",IFERROR(LET(ev_cost,INDEX(Events!$G$5:$G$505,MATCH(G558,Events!$A$5:$A$505,0)),ev_split,INDEX(Events!$I$5:$I$505,MATCH(G558,Events!$A$5:$A$505,0)),att_offset,MATCH(G558,Attendance!$B$3:$AV$3,0),attendees,COUNTIF(INDEX(Attendance!$B$7:$AV$206,0,att_offset),"1"),IF(ev_split="Equal Split",ev_cost/MAX(1,COUNTA(Roster!$A$5:$A$204)),ev_cost/MAX(1,attendees))),"N/A"))</f>
        <v/>
      </c>
      <c r="K558" s="5"/>
      <c r="L558" s="5"/>
      <c r="M558" s="5"/>
      <c r="N558" s="5"/>
      <c r="O558" s="5"/>
      <c r="P558" s="5"/>
      <c r="Q558" s="5"/>
      <c r="R558" s="5"/>
      <c r="S558" s="5"/>
      <c r="T558" s="5"/>
      <c r="U558" s="5"/>
      <c r="V558" s="5"/>
      <c r="W558" s="5"/>
      <c r="X558" s="5"/>
      <c r="Y558" s="5"/>
      <c r="Z558" s="5"/>
    </row>
    <row r="559" ht="19.5" customHeight="1">
      <c r="A559" s="49"/>
      <c r="B559" s="50"/>
      <c r="C559" s="50"/>
      <c r="D559" s="50"/>
      <c r="E559" s="50"/>
      <c r="F559" s="51"/>
      <c r="G559" s="50"/>
      <c r="H559" s="50"/>
      <c r="I559" s="50"/>
      <c r="J559" s="48" t="str">
        <f t="array" ref="J559">IF(G559="","",IFERROR(LET(ev_cost,INDEX(Events!$G$5:$G$505,MATCH(G559,Events!$A$5:$A$505,0)),ev_split,INDEX(Events!$I$5:$I$505,MATCH(G559,Events!$A$5:$A$505,0)),att_offset,MATCH(G559,Attendance!$B$3:$AV$3,0),attendees,COUNTIF(INDEX(Attendance!$B$7:$AV$206,0,att_offset),"1"),IF(ev_split="Equal Split",ev_cost/MAX(1,COUNTA(Roster!$A$5:$A$204)),ev_cost/MAX(1,attendees))),"N/A"))</f>
        <v/>
      </c>
      <c r="K559" s="5"/>
      <c r="L559" s="5"/>
      <c r="M559" s="5"/>
      <c r="N559" s="5"/>
      <c r="O559" s="5"/>
      <c r="P559" s="5"/>
      <c r="Q559" s="5"/>
      <c r="R559" s="5"/>
      <c r="S559" s="5"/>
      <c r="T559" s="5"/>
      <c r="U559" s="5"/>
      <c r="V559" s="5"/>
      <c r="W559" s="5"/>
      <c r="X559" s="5"/>
      <c r="Y559" s="5"/>
      <c r="Z559" s="5"/>
    </row>
    <row r="560" ht="19.5" customHeight="1">
      <c r="A560" s="52"/>
      <c r="B560" s="53"/>
      <c r="C560" s="53"/>
      <c r="D560" s="53"/>
      <c r="E560" s="53"/>
      <c r="F560" s="61"/>
      <c r="G560" s="53"/>
      <c r="H560" s="53"/>
      <c r="I560" s="53"/>
      <c r="J560" s="48" t="str">
        <f t="array" ref="J560">IF(G560="","",IFERROR(LET(ev_cost,INDEX(Events!$G$5:$G$505,MATCH(G560,Events!$A$5:$A$505,0)),ev_split,INDEX(Events!$I$5:$I$505,MATCH(G560,Events!$A$5:$A$505,0)),att_offset,MATCH(G560,Attendance!$B$3:$AV$3,0),attendees,COUNTIF(INDEX(Attendance!$B$7:$AV$206,0,att_offset),"1"),IF(ev_split="Equal Split",ev_cost/MAX(1,COUNTA(Roster!$A$5:$A$204)),ev_cost/MAX(1,attendees))),"N/A"))</f>
        <v/>
      </c>
      <c r="K560" s="5"/>
      <c r="L560" s="5"/>
      <c r="M560" s="5"/>
      <c r="N560" s="5"/>
      <c r="O560" s="5"/>
      <c r="P560" s="5"/>
      <c r="Q560" s="5"/>
      <c r="R560" s="5"/>
      <c r="S560" s="5"/>
      <c r="T560" s="5"/>
      <c r="U560" s="5"/>
      <c r="V560" s="5"/>
      <c r="W560" s="5"/>
      <c r="X560" s="5"/>
      <c r="Y560" s="5"/>
      <c r="Z560" s="5"/>
    </row>
    <row r="561" ht="19.5" customHeight="1">
      <c r="A561" s="49"/>
      <c r="B561" s="50"/>
      <c r="C561" s="50"/>
      <c r="D561" s="50"/>
      <c r="E561" s="50"/>
      <c r="F561" s="51"/>
      <c r="G561" s="50"/>
      <c r="H561" s="50"/>
      <c r="I561" s="50"/>
      <c r="J561" s="48" t="str">
        <f t="array" ref="J561">IF(G561="","",IFERROR(LET(ev_cost,INDEX(Events!$G$5:$G$505,MATCH(G561,Events!$A$5:$A$505,0)),ev_split,INDEX(Events!$I$5:$I$505,MATCH(G561,Events!$A$5:$A$505,0)),att_offset,MATCH(G561,Attendance!$B$3:$AV$3,0),attendees,COUNTIF(INDEX(Attendance!$B$7:$AV$206,0,att_offset),"1"),IF(ev_split="Equal Split",ev_cost/MAX(1,COUNTA(Roster!$A$5:$A$204)),ev_cost/MAX(1,attendees))),"N/A"))</f>
        <v/>
      </c>
      <c r="K561" s="5"/>
      <c r="L561" s="5"/>
      <c r="M561" s="5"/>
      <c r="N561" s="5"/>
      <c r="O561" s="5"/>
      <c r="P561" s="5"/>
      <c r="Q561" s="5"/>
      <c r="R561" s="5"/>
      <c r="S561" s="5"/>
      <c r="T561" s="5"/>
      <c r="U561" s="5"/>
      <c r="V561" s="5"/>
      <c r="W561" s="5"/>
      <c r="X561" s="5"/>
      <c r="Y561" s="5"/>
      <c r="Z561" s="5"/>
    </row>
    <row r="562" ht="19.5" customHeight="1">
      <c r="A562" s="52"/>
      <c r="B562" s="53"/>
      <c r="C562" s="53"/>
      <c r="D562" s="53"/>
      <c r="E562" s="53"/>
      <c r="F562" s="61"/>
      <c r="G562" s="53"/>
      <c r="H562" s="53"/>
      <c r="I562" s="53"/>
      <c r="J562" s="48" t="str">
        <f t="array" ref="J562">IF(G562="","",IFERROR(LET(ev_cost,INDEX(Events!$G$5:$G$505,MATCH(G562,Events!$A$5:$A$505,0)),ev_split,INDEX(Events!$I$5:$I$505,MATCH(G562,Events!$A$5:$A$505,0)),att_offset,MATCH(G562,Attendance!$B$3:$AV$3,0),attendees,COUNTIF(INDEX(Attendance!$B$7:$AV$206,0,att_offset),"1"),IF(ev_split="Equal Split",ev_cost/MAX(1,COUNTA(Roster!$A$5:$A$204)),ev_cost/MAX(1,attendees))),"N/A"))</f>
        <v/>
      </c>
      <c r="K562" s="5"/>
      <c r="L562" s="5"/>
      <c r="M562" s="5"/>
      <c r="N562" s="5"/>
      <c r="O562" s="5"/>
      <c r="P562" s="5"/>
      <c r="Q562" s="5"/>
      <c r="R562" s="5"/>
      <c r="S562" s="5"/>
      <c r="T562" s="5"/>
      <c r="U562" s="5"/>
      <c r="V562" s="5"/>
      <c r="W562" s="5"/>
      <c r="X562" s="5"/>
      <c r="Y562" s="5"/>
      <c r="Z562" s="5"/>
    </row>
    <row r="563" ht="19.5" customHeight="1">
      <c r="A563" s="49"/>
      <c r="B563" s="50"/>
      <c r="C563" s="50"/>
      <c r="D563" s="50"/>
      <c r="E563" s="50"/>
      <c r="F563" s="51"/>
      <c r="G563" s="50"/>
      <c r="H563" s="50"/>
      <c r="I563" s="50"/>
      <c r="J563" s="48" t="str">
        <f t="array" ref="J563">IF(G563="","",IFERROR(LET(ev_cost,INDEX(Events!$G$5:$G$505,MATCH(G563,Events!$A$5:$A$505,0)),ev_split,INDEX(Events!$I$5:$I$505,MATCH(G563,Events!$A$5:$A$505,0)),att_offset,MATCH(G563,Attendance!$B$3:$AV$3,0),attendees,COUNTIF(INDEX(Attendance!$B$7:$AV$206,0,att_offset),"1"),IF(ev_split="Equal Split",ev_cost/MAX(1,COUNTA(Roster!$A$5:$A$204)),ev_cost/MAX(1,attendees))),"N/A"))</f>
        <v/>
      </c>
      <c r="K563" s="5"/>
      <c r="L563" s="5"/>
      <c r="M563" s="5"/>
      <c r="N563" s="5"/>
      <c r="O563" s="5"/>
      <c r="P563" s="5"/>
      <c r="Q563" s="5"/>
      <c r="R563" s="5"/>
      <c r="S563" s="5"/>
      <c r="T563" s="5"/>
      <c r="U563" s="5"/>
      <c r="V563" s="5"/>
      <c r="W563" s="5"/>
      <c r="X563" s="5"/>
      <c r="Y563" s="5"/>
      <c r="Z563" s="5"/>
    </row>
    <row r="564" ht="19.5" customHeight="1">
      <c r="A564" s="52"/>
      <c r="B564" s="53"/>
      <c r="C564" s="53"/>
      <c r="D564" s="53"/>
      <c r="E564" s="53"/>
      <c r="F564" s="61"/>
      <c r="G564" s="53"/>
      <c r="H564" s="53"/>
      <c r="I564" s="53"/>
      <c r="J564" s="48" t="str">
        <f t="array" ref="J564">IF(G564="","",IFERROR(LET(ev_cost,INDEX(Events!$G$5:$G$505,MATCH(G564,Events!$A$5:$A$505,0)),ev_split,INDEX(Events!$I$5:$I$505,MATCH(G564,Events!$A$5:$A$505,0)),att_offset,MATCH(G564,Attendance!$B$3:$AV$3,0),attendees,COUNTIF(INDEX(Attendance!$B$7:$AV$206,0,att_offset),"1"),IF(ev_split="Equal Split",ev_cost/MAX(1,COUNTA(Roster!$A$5:$A$204)),ev_cost/MAX(1,attendees))),"N/A"))</f>
        <v/>
      </c>
      <c r="K564" s="5"/>
      <c r="L564" s="5"/>
      <c r="M564" s="5"/>
      <c r="N564" s="5"/>
      <c r="O564" s="5"/>
      <c r="P564" s="5"/>
      <c r="Q564" s="5"/>
      <c r="R564" s="5"/>
      <c r="S564" s="5"/>
      <c r="T564" s="5"/>
      <c r="U564" s="5"/>
      <c r="V564" s="5"/>
      <c r="W564" s="5"/>
      <c r="X564" s="5"/>
      <c r="Y564" s="5"/>
      <c r="Z564" s="5"/>
    </row>
    <row r="565" ht="19.5" customHeight="1">
      <c r="A565" s="49"/>
      <c r="B565" s="50"/>
      <c r="C565" s="50"/>
      <c r="D565" s="50"/>
      <c r="E565" s="50"/>
      <c r="F565" s="51"/>
      <c r="G565" s="50"/>
      <c r="H565" s="50"/>
      <c r="I565" s="50"/>
      <c r="J565" s="48" t="str">
        <f t="array" ref="J565">IF(G565="","",IFERROR(LET(ev_cost,INDEX(Events!$G$5:$G$505,MATCH(G565,Events!$A$5:$A$505,0)),ev_split,INDEX(Events!$I$5:$I$505,MATCH(G565,Events!$A$5:$A$505,0)),att_offset,MATCH(G565,Attendance!$B$3:$AV$3,0),attendees,COUNTIF(INDEX(Attendance!$B$7:$AV$206,0,att_offset),"1"),IF(ev_split="Equal Split",ev_cost/MAX(1,COUNTA(Roster!$A$5:$A$204)),ev_cost/MAX(1,attendees))),"N/A"))</f>
        <v/>
      </c>
      <c r="K565" s="5"/>
      <c r="L565" s="5"/>
      <c r="M565" s="5"/>
      <c r="N565" s="5"/>
      <c r="O565" s="5"/>
      <c r="P565" s="5"/>
      <c r="Q565" s="5"/>
      <c r="R565" s="5"/>
      <c r="S565" s="5"/>
      <c r="T565" s="5"/>
      <c r="U565" s="5"/>
      <c r="V565" s="5"/>
      <c r="W565" s="5"/>
      <c r="X565" s="5"/>
      <c r="Y565" s="5"/>
      <c r="Z565" s="5"/>
    </row>
    <row r="566" ht="19.5" customHeight="1">
      <c r="A566" s="52"/>
      <c r="B566" s="53"/>
      <c r="C566" s="53"/>
      <c r="D566" s="53"/>
      <c r="E566" s="53"/>
      <c r="F566" s="61"/>
      <c r="G566" s="53"/>
      <c r="H566" s="53"/>
      <c r="I566" s="53"/>
      <c r="J566" s="48" t="str">
        <f t="array" ref="J566">IF(G566="","",IFERROR(LET(ev_cost,INDEX(Events!$G$5:$G$505,MATCH(G566,Events!$A$5:$A$505,0)),ev_split,INDEX(Events!$I$5:$I$505,MATCH(G566,Events!$A$5:$A$505,0)),att_offset,MATCH(G566,Attendance!$B$3:$AV$3,0),attendees,COUNTIF(INDEX(Attendance!$B$7:$AV$206,0,att_offset),"1"),IF(ev_split="Equal Split",ev_cost/MAX(1,COUNTA(Roster!$A$5:$A$204)),ev_cost/MAX(1,attendees))),"N/A"))</f>
        <v/>
      </c>
      <c r="K566" s="5"/>
      <c r="L566" s="5"/>
      <c r="M566" s="5"/>
      <c r="N566" s="5"/>
      <c r="O566" s="5"/>
      <c r="P566" s="5"/>
      <c r="Q566" s="5"/>
      <c r="R566" s="5"/>
      <c r="S566" s="5"/>
      <c r="T566" s="5"/>
      <c r="U566" s="5"/>
      <c r="V566" s="5"/>
      <c r="W566" s="5"/>
      <c r="X566" s="5"/>
      <c r="Y566" s="5"/>
      <c r="Z566" s="5"/>
    </row>
    <row r="567" ht="19.5" customHeight="1">
      <c r="A567" s="49"/>
      <c r="B567" s="50"/>
      <c r="C567" s="50"/>
      <c r="D567" s="50"/>
      <c r="E567" s="50"/>
      <c r="F567" s="51"/>
      <c r="G567" s="50"/>
      <c r="H567" s="50"/>
      <c r="I567" s="50"/>
      <c r="J567" s="48" t="str">
        <f t="array" ref="J567">IF(G567="","",IFERROR(LET(ev_cost,INDEX(Events!$G$5:$G$505,MATCH(G567,Events!$A$5:$A$505,0)),ev_split,INDEX(Events!$I$5:$I$505,MATCH(G567,Events!$A$5:$A$505,0)),att_offset,MATCH(G567,Attendance!$B$3:$AV$3,0),attendees,COUNTIF(INDEX(Attendance!$B$7:$AV$206,0,att_offset),"1"),IF(ev_split="Equal Split",ev_cost/MAX(1,COUNTA(Roster!$A$5:$A$204)),ev_cost/MAX(1,attendees))),"N/A"))</f>
        <v/>
      </c>
      <c r="K567" s="5"/>
      <c r="L567" s="5"/>
      <c r="M567" s="5"/>
      <c r="N567" s="5"/>
      <c r="O567" s="5"/>
      <c r="P567" s="5"/>
      <c r="Q567" s="5"/>
      <c r="R567" s="5"/>
      <c r="S567" s="5"/>
      <c r="T567" s="5"/>
      <c r="U567" s="5"/>
      <c r="V567" s="5"/>
      <c r="W567" s="5"/>
      <c r="X567" s="5"/>
      <c r="Y567" s="5"/>
      <c r="Z567" s="5"/>
    </row>
    <row r="568" ht="19.5" customHeight="1">
      <c r="A568" s="52"/>
      <c r="B568" s="53"/>
      <c r="C568" s="53"/>
      <c r="D568" s="53"/>
      <c r="E568" s="53"/>
      <c r="F568" s="61"/>
      <c r="G568" s="53"/>
      <c r="H568" s="53"/>
      <c r="I568" s="53"/>
      <c r="J568" s="48" t="str">
        <f t="array" ref="J568">IF(G568="","",IFERROR(LET(ev_cost,INDEX(Events!$G$5:$G$505,MATCH(G568,Events!$A$5:$A$505,0)),ev_split,INDEX(Events!$I$5:$I$505,MATCH(G568,Events!$A$5:$A$505,0)),att_offset,MATCH(G568,Attendance!$B$3:$AV$3,0),attendees,COUNTIF(INDEX(Attendance!$B$7:$AV$206,0,att_offset),"1"),IF(ev_split="Equal Split",ev_cost/MAX(1,COUNTA(Roster!$A$5:$A$204)),ev_cost/MAX(1,attendees))),"N/A"))</f>
        <v/>
      </c>
      <c r="K568" s="5"/>
      <c r="L568" s="5"/>
      <c r="M568" s="5"/>
      <c r="N568" s="5"/>
      <c r="O568" s="5"/>
      <c r="P568" s="5"/>
      <c r="Q568" s="5"/>
      <c r="R568" s="5"/>
      <c r="S568" s="5"/>
      <c r="T568" s="5"/>
      <c r="U568" s="5"/>
      <c r="V568" s="5"/>
      <c r="W568" s="5"/>
      <c r="X568" s="5"/>
      <c r="Y568" s="5"/>
      <c r="Z568" s="5"/>
    </row>
    <row r="569" ht="19.5" customHeight="1">
      <c r="A569" s="49"/>
      <c r="B569" s="50"/>
      <c r="C569" s="50"/>
      <c r="D569" s="50"/>
      <c r="E569" s="50"/>
      <c r="F569" s="51"/>
      <c r="G569" s="50"/>
      <c r="H569" s="50"/>
      <c r="I569" s="50"/>
      <c r="J569" s="48" t="str">
        <f t="array" ref="J569">IF(G569="","",IFERROR(LET(ev_cost,INDEX(Events!$G$5:$G$505,MATCH(G569,Events!$A$5:$A$505,0)),ev_split,INDEX(Events!$I$5:$I$505,MATCH(G569,Events!$A$5:$A$505,0)),att_offset,MATCH(G569,Attendance!$B$3:$AV$3,0),attendees,COUNTIF(INDEX(Attendance!$B$7:$AV$206,0,att_offset),"1"),IF(ev_split="Equal Split",ev_cost/MAX(1,COUNTA(Roster!$A$5:$A$204)),ev_cost/MAX(1,attendees))),"N/A"))</f>
        <v/>
      </c>
      <c r="K569" s="5"/>
      <c r="L569" s="5"/>
      <c r="M569" s="5"/>
      <c r="N569" s="5"/>
      <c r="O569" s="5"/>
      <c r="P569" s="5"/>
      <c r="Q569" s="5"/>
      <c r="R569" s="5"/>
      <c r="S569" s="5"/>
      <c r="T569" s="5"/>
      <c r="U569" s="5"/>
      <c r="V569" s="5"/>
      <c r="W569" s="5"/>
      <c r="X569" s="5"/>
      <c r="Y569" s="5"/>
      <c r="Z569" s="5"/>
    </row>
    <row r="570" ht="19.5" customHeight="1">
      <c r="A570" s="52"/>
      <c r="B570" s="53"/>
      <c r="C570" s="53"/>
      <c r="D570" s="53"/>
      <c r="E570" s="53"/>
      <c r="F570" s="61"/>
      <c r="G570" s="53"/>
      <c r="H570" s="53"/>
      <c r="I570" s="53"/>
      <c r="J570" s="48" t="str">
        <f t="array" ref="J570">IF(G570="","",IFERROR(LET(ev_cost,INDEX(Events!$G$5:$G$505,MATCH(G570,Events!$A$5:$A$505,0)),ev_split,INDEX(Events!$I$5:$I$505,MATCH(G570,Events!$A$5:$A$505,0)),att_offset,MATCH(G570,Attendance!$B$3:$AV$3,0),attendees,COUNTIF(INDEX(Attendance!$B$7:$AV$206,0,att_offset),"1"),IF(ev_split="Equal Split",ev_cost/MAX(1,COUNTA(Roster!$A$5:$A$204)),ev_cost/MAX(1,attendees))),"N/A"))</f>
        <v/>
      </c>
      <c r="K570" s="5"/>
      <c r="L570" s="5"/>
      <c r="M570" s="5"/>
      <c r="N570" s="5"/>
      <c r="O570" s="5"/>
      <c r="P570" s="5"/>
      <c r="Q570" s="5"/>
      <c r="R570" s="5"/>
      <c r="S570" s="5"/>
      <c r="T570" s="5"/>
      <c r="U570" s="5"/>
      <c r="V570" s="5"/>
      <c r="W570" s="5"/>
      <c r="X570" s="5"/>
      <c r="Y570" s="5"/>
      <c r="Z570" s="5"/>
    </row>
    <row r="571" ht="19.5" customHeight="1">
      <c r="A571" s="49"/>
      <c r="B571" s="50"/>
      <c r="C571" s="50"/>
      <c r="D571" s="50"/>
      <c r="E571" s="50"/>
      <c r="F571" s="51"/>
      <c r="G571" s="50"/>
      <c r="H571" s="50"/>
      <c r="I571" s="50"/>
      <c r="J571" s="48" t="str">
        <f t="array" ref="J571">IF(G571="","",IFERROR(LET(ev_cost,INDEX(Events!$G$5:$G$505,MATCH(G571,Events!$A$5:$A$505,0)),ev_split,INDEX(Events!$I$5:$I$505,MATCH(G571,Events!$A$5:$A$505,0)),att_offset,MATCH(G571,Attendance!$B$3:$AV$3,0),attendees,COUNTIF(INDEX(Attendance!$B$7:$AV$206,0,att_offset),"1"),IF(ev_split="Equal Split",ev_cost/MAX(1,COUNTA(Roster!$A$5:$A$204)),ev_cost/MAX(1,attendees))),"N/A"))</f>
        <v/>
      </c>
      <c r="K571" s="5"/>
      <c r="L571" s="5"/>
      <c r="M571" s="5"/>
      <c r="N571" s="5"/>
      <c r="O571" s="5"/>
      <c r="P571" s="5"/>
      <c r="Q571" s="5"/>
      <c r="R571" s="5"/>
      <c r="S571" s="5"/>
      <c r="T571" s="5"/>
      <c r="U571" s="5"/>
      <c r="V571" s="5"/>
      <c r="W571" s="5"/>
      <c r="X571" s="5"/>
      <c r="Y571" s="5"/>
      <c r="Z571" s="5"/>
    </row>
    <row r="572" ht="19.5" customHeight="1">
      <c r="A572" s="52"/>
      <c r="B572" s="53"/>
      <c r="C572" s="53"/>
      <c r="D572" s="53"/>
      <c r="E572" s="53"/>
      <c r="F572" s="61"/>
      <c r="G572" s="53"/>
      <c r="H572" s="53"/>
      <c r="I572" s="53"/>
      <c r="J572" s="48" t="str">
        <f t="array" ref="J572">IF(G572="","",IFERROR(LET(ev_cost,INDEX(Events!$G$5:$G$505,MATCH(G572,Events!$A$5:$A$505,0)),ev_split,INDEX(Events!$I$5:$I$505,MATCH(G572,Events!$A$5:$A$505,0)),att_offset,MATCH(G572,Attendance!$B$3:$AV$3,0),attendees,COUNTIF(INDEX(Attendance!$B$7:$AV$206,0,att_offset),"1"),IF(ev_split="Equal Split",ev_cost/MAX(1,COUNTA(Roster!$A$5:$A$204)),ev_cost/MAX(1,attendees))),"N/A"))</f>
        <v/>
      </c>
      <c r="K572" s="5"/>
      <c r="L572" s="5"/>
      <c r="M572" s="5"/>
      <c r="N572" s="5"/>
      <c r="O572" s="5"/>
      <c r="P572" s="5"/>
      <c r="Q572" s="5"/>
      <c r="R572" s="5"/>
      <c r="S572" s="5"/>
      <c r="T572" s="5"/>
      <c r="U572" s="5"/>
      <c r="V572" s="5"/>
      <c r="W572" s="5"/>
      <c r="X572" s="5"/>
      <c r="Y572" s="5"/>
      <c r="Z572" s="5"/>
    </row>
    <row r="573" ht="19.5" customHeight="1">
      <c r="A573" s="49"/>
      <c r="B573" s="50"/>
      <c r="C573" s="50"/>
      <c r="D573" s="50"/>
      <c r="E573" s="50"/>
      <c r="F573" s="51"/>
      <c r="G573" s="50"/>
      <c r="H573" s="50"/>
      <c r="I573" s="50"/>
      <c r="J573" s="48" t="str">
        <f t="array" ref="J573">IF(G573="","",IFERROR(LET(ev_cost,INDEX(Events!$G$5:$G$505,MATCH(G573,Events!$A$5:$A$505,0)),ev_split,INDEX(Events!$I$5:$I$505,MATCH(G573,Events!$A$5:$A$505,0)),att_offset,MATCH(G573,Attendance!$B$3:$AV$3,0),attendees,COUNTIF(INDEX(Attendance!$B$7:$AV$206,0,att_offset),"1"),IF(ev_split="Equal Split",ev_cost/MAX(1,COUNTA(Roster!$A$5:$A$204)),ev_cost/MAX(1,attendees))),"N/A"))</f>
        <v/>
      </c>
      <c r="K573" s="5"/>
      <c r="L573" s="5"/>
      <c r="M573" s="5"/>
      <c r="N573" s="5"/>
      <c r="O573" s="5"/>
      <c r="P573" s="5"/>
      <c r="Q573" s="5"/>
      <c r="R573" s="5"/>
      <c r="S573" s="5"/>
      <c r="T573" s="5"/>
      <c r="U573" s="5"/>
      <c r="V573" s="5"/>
      <c r="W573" s="5"/>
      <c r="X573" s="5"/>
      <c r="Y573" s="5"/>
      <c r="Z573" s="5"/>
    </row>
    <row r="574" ht="19.5" customHeight="1">
      <c r="A574" s="52"/>
      <c r="B574" s="53"/>
      <c r="C574" s="53"/>
      <c r="D574" s="53"/>
      <c r="E574" s="53"/>
      <c r="F574" s="61"/>
      <c r="G574" s="53"/>
      <c r="H574" s="53"/>
      <c r="I574" s="53"/>
      <c r="J574" s="48" t="str">
        <f t="array" ref="J574">IF(G574="","",IFERROR(LET(ev_cost,INDEX(Events!$G$5:$G$505,MATCH(G574,Events!$A$5:$A$505,0)),ev_split,INDEX(Events!$I$5:$I$505,MATCH(G574,Events!$A$5:$A$505,0)),att_offset,MATCH(G574,Attendance!$B$3:$AV$3,0),attendees,COUNTIF(INDEX(Attendance!$B$7:$AV$206,0,att_offset),"1"),IF(ev_split="Equal Split",ev_cost/MAX(1,COUNTA(Roster!$A$5:$A$204)),ev_cost/MAX(1,attendees))),"N/A"))</f>
        <v/>
      </c>
      <c r="K574" s="5"/>
      <c r="L574" s="5"/>
      <c r="M574" s="5"/>
      <c r="N574" s="5"/>
      <c r="O574" s="5"/>
      <c r="P574" s="5"/>
      <c r="Q574" s="5"/>
      <c r="R574" s="5"/>
      <c r="S574" s="5"/>
      <c r="T574" s="5"/>
      <c r="U574" s="5"/>
      <c r="V574" s="5"/>
      <c r="W574" s="5"/>
      <c r="X574" s="5"/>
      <c r="Y574" s="5"/>
      <c r="Z574" s="5"/>
    </row>
    <row r="575" ht="19.5" customHeight="1">
      <c r="A575" s="49"/>
      <c r="B575" s="50"/>
      <c r="C575" s="50"/>
      <c r="D575" s="50"/>
      <c r="E575" s="50"/>
      <c r="F575" s="51"/>
      <c r="G575" s="50"/>
      <c r="H575" s="50"/>
      <c r="I575" s="50"/>
      <c r="J575" s="48" t="str">
        <f t="array" ref="J575">IF(G575="","",IFERROR(LET(ev_cost,INDEX(Events!$G$5:$G$505,MATCH(G575,Events!$A$5:$A$505,0)),ev_split,INDEX(Events!$I$5:$I$505,MATCH(G575,Events!$A$5:$A$505,0)),att_offset,MATCH(G575,Attendance!$B$3:$AV$3,0),attendees,COUNTIF(INDEX(Attendance!$B$7:$AV$206,0,att_offset),"1"),IF(ev_split="Equal Split",ev_cost/MAX(1,COUNTA(Roster!$A$5:$A$204)),ev_cost/MAX(1,attendees))),"N/A"))</f>
        <v/>
      </c>
      <c r="K575" s="5"/>
      <c r="L575" s="5"/>
      <c r="M575" s="5"/>
      <c r="N575" s="5"/>
      <c r="O575" s="5"/>
      <c r="P575" s="5"/>
      <c r="Q575" s="5"/>
      <c r="R575" s="5"/>
      <c r="S575" s="5"/>
      <c r="T575" s="5"/>
      <c r="U575" s="5"/>
      <c r="V575" s="5"/>
      <c r="W575" s="5"/>
      <c r="X575" s="5"/>
      <c r="Y575" s="5"/>
      <c r="Z575" s="5"/>
    </row>
    <row r="576" ht="19.5" customHeight="1">
      <c r="A576" s="52"/>
      <c r="B576" s="53"/>
      <c r="C576" s="53"/>
      <c r="D576" s="53"/>
      <c r="E576" s="53"/>
      <c r="F576" s="61"/>
      <c r="G576" s="53"/>
      <c r="H576" s="53"/>
      <c r="I576" s="53"/>
      <c r="J576" s="48" t="str">
        <f t="array" ref="J576">IF(G576="","",IFERROR(LET(ev_cost,INDEX(Events!$G$5:$G$505,MATCH(G576,Events!$A$5:$A$505,0)),ev_split,INDEX(Events!$I$5:$I$505,MATCH(G576,Events!$A$5:$A$505,0)),att_offset,MATCH(G576,Attendance!$B$3:$AV$3,0),attendees,COUNTIF(INDEX(Attendance!$B$7:$AV$206,0,att_offset),"1"),IF(ev_split="Equal Split",ev_cost/MAX(1,COUNTA(Roster!$A$5:$A$204)),ev_cost/MAX(1,attendees))),"N/A"))</f>
        <v/>
      </c>
      <c r="K576" s="5"/>
      <c r="L576" s="5"/>
      <c r="M576" s="5"/>
      <c r="N576" s="5"/>
      <c r="O576" s="5"/>
      <c r="P576" s="5"/>
      <c r="Q576" s="5"/>
      <c r="R576" s="5"/>
      <c r="S576" s="5"/>
      <c r="T576" s="5"/>
      <c r="U576" s="5"/>
      <c r="V576" s="5"/>
      <c r="W576" s="5"/>
      <c r="X576" s="5"/>
      <c r="Y576" s="5"/>
      <c r="Z576" s="5"/>
    </row>
    <row r="577" ht="19.5" customHeight="1">
      <c r="A577" s="49"/>
      <c r="B577" s="50"/>
      <c r="C577" s="50"/>
      <c r="D577" s="50"/>
      <c r="E577" s="50"/>
      <c r="F577" s="51"/>
      <c r="G577" s="50"/>
      <c r="H577" s="50"/>
      <c r="I577" s="50"/>
      <c r="J577" s="48" t="str">
        <f t="array" ref="J577">IF(G577="","",IFERROR(LET(ev_cost,INDEX(Events!$G$5:$G$505,MATCH(G577,Events!$A$5:$A$505,0)),ev_split,INDEX(Events!$I$5:$I$505,MATCH(G577,Events!$A$5:$A$505,0)),att_offset,MATCH(G577,Attendance!$B$3:$AV$3,0),attendees,COUNTIF(INDEX(Attendance!$B$7:$AV$206,0,att_offset),"1"),IF(ev_split="Equal Split",ev_cost/MAX(1,COUNTA(Roster!$A$5:$A$204)),ev_cost/MAX(1,attendees))),"N/A"))</f>
        <v/>
      </c>
      <c r="K577" s="5"/>
      <c r="L577" s="5"/>
      <c r="M577" s="5"/>
      <c r="N577" s="5"/>
      <c r="O577" s="5"/>
      <c r="P577" s="5"/>
      <c r="Q577" s="5"/>
      <c r="R577" s="5"/>
      <c r="S577" s="5"/>
      <c r="T577" s="5"/>
      <c r="U577" s="5"/>
      <c r="V577" s="5"/>
      <c r="W577" s="5"/>
      <c r="X577" s="5"/>
      <c r="Y577" s="5"/>
      <c r="Z577" s="5"/>
    </row>
    <row r="578" ht="19.5" customHeight="1">
      <c r="A578" s="52"/>
      <c r="B578" s="53"/>
      <c r="C578" s="53"/>
      <c r="D578" s="53"/>
      <c r="E578" s="53"/>
      <c r="F578" s="61"/>
      <c r="G578" s="53"/>
      <c r="H578" s="53"/>
      <c r="I578" s="53"/>
      <c r="J578" s="48" t="str">
        <f t="array" ref="J578">IF(G578="","",IFERROR(LET(ev_cost,INDEX(Events!$G$5:$G$505,MATCH(G578,Events!$A$5:$A$505,0)),ev_split,INDEX(Events!$I$5:$I$505,MATCH(G578,Events!$A$5:$A$505,0)),att_offset,MATCH(G578,Attendance!$B$3:$AV$3,0),attendees,COUNTIF(INDEX(Attendance!$B$7:$AV$206,0,att_offset),"1"),IF(ev_split="Equal Split",ev_cost/MAX(1,COUNTA(Roster!$A$5:$A$204)),ev_cost/MAX(1,attendees))),"N/A"))</f>
        <v/>
      </c>
      <c r="K578" s="5"/>
      <c r="L578" s="5"/>
      <c r="M578" s="5"/>
      <c r="N578" s="5"/>
      <c r="O578" s="5"/>
      <c r="P578" s="5"/>
      <c r="Q578" s="5"/>
      <c r="R578" s="5"/>
      <c r="S578" s="5"/>
      <c r="T578" s="5"/>
      <c r="U578" s="5"/>
      <c r="V578" s="5"/>
      <c r="W578" s="5"/>
      <c r="X578" s="5"/>
      <c r="Y578" s="5"/>
      <c r="Z578" s="5"/>
    </row>
    <row r="579" ht="19.5" customHeight="1">
      <c r="A579" s="49"/>
      <c r="B579" s="50"/>
      <c r="C579" s="50"/>
      <c r="D579" s="50"/>
      <c r="E579" s="50"/>
      <c r="F579" s="51"/>
      <c r="G579" s="50"/>
      <c r="H579" s="50"/>
      <c r="I579" s="50"/>
      <c r="J579" s="48" t="str">
        <f t="array" ref="J579">IF(G579="","",IFERROR(LET(ev_cost,INDEX(Events!$G$5:$G$505,MATCH(G579,Events!$A$5:$A$505,0)),ev_split,INDEX(Events!$I$5:$I$505,MATCH(G579,Events!$A$5:$A$505,0)),att_offset,MATCH(G579,Attendance!$B$3:$AV$3,0),attendees,COUNTIF(INDEX(Attendance!$B$7:$AV$206,0,att_offset),"1"),IF(ev_split="Equal Split",ev_cost/MAX(1,COUNTA(Roster!$A$5:$A$204)),ev_cost/MAX(1,attendees))),"N/A"))</f>
        <v/>
      </c>
      <c r="K579" s="5"/>
      <c r="L579" s="5"/>
      <c r="M579" s="5"/>
      <c r="N579" s="5"/>
      <c r="O579" s="5"/>
      <c r="P579" s="5"/>
      <c r="Q579" s="5"/>
      <c r="R579" s="5"/>
      <c r="S579" s="5"/>
      <c r="T579" s="5"/>
      <c r="U579" s="5"/>
      <c r="V579" s="5"/>
      <c r="W579" s="5"/>
      <c r="X579" s="5"/>
      <c r="Y579" s="5"/>
      <c r="Z579" s="5"/>
    </row>
    <row r="580" ht="19.5" customHeight="1">
      <c r="A580" s="52"/>
      <c r="B580" s="53"/>
      <c r="C580" s="53"/>
      <c r="D580" s="53"/>
      <c r="E580" s="53"/>
      <c r="F580" s="61"/>
      <c r="G580" s="53"/>
      <c r="H580" s="53"/>
      <c r="I580" s="53"/>
      <c r="J580" s="48" t="str">
        <f t="array" ref="J580">IF(G580="","",IFERROR(LET(ev_cost,INDEX(Events!$G$5:$G$505,MATCH(G580,Events!$A$5:$A$505,0)),ev_split,INDEX(Events!$I$5:$I$505,MATCH(G580,Events!$A$5:$A$505,0)),att_offset,MATCH(G580,Attendance!$B$3:$AV$3,0),attendees,COUNTIF(INDEX(Attendance!$B$7:$AV$206,0,att_offset),"1"),IF(ev_split="Equal Split",ev_cost/MAX(1,COUNTA(Roster!$A$5:$A$204)),ev_cost/MAX(1,attendees))),"N/A"))</f>
        <v/>
      </c>
      <c r="K580" s="5"/>
      <c r="L580" s="5"/>
      <c r="M580" s="5"/>
      <c r="N580" s="5"/>
      <c r="O580" s="5"/>
      <c r="P580" s="5"/>
      <c r="Q580" s="5"/>
      <c r="R580" s="5"/>
      <c r="S580" s="5"/>
      <c r="T580" s="5"/>
      <c r="U580" s="5"/>
      <c r="V580" s="5"/>
      <c r="W580" s="5"/>
      <c r="X580" s="5"/>
      <c r="Y580" s="5"/>
      <c r="Z580" s="5"/>
    </row>
    <row r="581" ht="19.5" customHeight="1">
      <c r="A581" s="49"/>
      <c r="B581" s="50"/>
      <c r="C581" s="50"/>
      <c r="D581" s="50"/>
      <c r="E581" s="50"/>
      <c r="F581" s="51"/>
      <c r="G581" s="50"/>
      <c r="H581" s="50"/>
      <c r="I581" s="50"/>
      <c r="J581" s="48" t="str">
        <f t="array" ref="J581">IF(G581="","",IFERROR(LET(ev_cost,INDEX(Events!$G$5:$G$505,MATCH(G581,Events!$A$5:$A$505,0)),ev_split,INDEX(Events!$I$5:$I$505,MATCH(G581,Events!$A$5:$A$505,0)),att_offset,MATCH(G581,Attendance!$B$3:$AV$3,0),attendees,COUNTIF(INDEX(Attendance!$B$7:$AV$206,0,att_offset),"1"),IF(ev_split="Equal Split",ev_cost/MAX(1,COUNTA(Roster!$A$5:$A$204)),ev_cost/MAX(1,attendees))),"N/A"))</f>
        <v/>
      </c>
      <c r="K581" s="5"/>
      <c r="L581" s="5"/>
      <c r="M581" s="5"/>
      <c r="N581" s="5"/>
      <c r="O581" s="5"/>
      <c r="P581" s="5"/>
      <c r="Q581" s="5"/>
      <c r="R581" s="5"/>
      <c r="S581" s="5"/>
      <c r="T581" s="5"/>
      <c r="U581" s="5"/>
      <c r="V581" s="5"/>
      <c r="W581" s="5"/>
      <c r="X581" s="5"/>
      <c r="Y581" s="5"/>
      <c r="Z581" s="5"/>
    </row>
    <row r="582" ht="19.5" customHeight="1">
      <c r="A582" s="52"/>
      <c r="B582" s="53"/>
      <c r="C582" s="53"/>
      <c r="D582" s="53"/>
      <c r="E582" s="53"/>
      <c r="F582" s="61"/>
      <c r="G582" s="53"/>
      <c r="H582" s="53"/>
      <c r="I582" s="53"/>
      <c r="J582" s="48" t="str">
        <f t="array" ref="J582">IF(G582="","",IFERROR(LET(ev_cost,INDEX(Events!$G$5:$G$505,MATCH(G582,Events!$A$5:$A$505,0)),ev_split,INDEX(Events!$I$5:$I$505,MATCH(G582,Events!$A$5:$A$505,0)),att_offset,MATCH(G582,Attendance!$B$3:$AV$3,0),attendees,COUNTIF(INDEX(Attendance!$B$7:$AV$206,0,att_offset),"1"),IF(ev_split="Equal Split",ev_cost/MAX(1,COUNTA(Roster!$A$5:$A$204)),ev_cost/MAX(1,attendees))),"N/A"))</f>
        <v/>
      </c>
      <c r="K582" s="5"/>
      <c r="L582" s="5"/>
      <c r="M582" s="5"/>
      <c r="N582" s="5"/>
      <c r="O582" s="5"/>
      <c r="P582" s="5"/>
      <c r="Q582" s="5"/>
      <c r="R582" s="5"/>
      <c r="S582" s="5"/>
      <c r="T582" s="5"/>
      <c r="U582" s="5"/>
      <c r="V582" s="5"/>
      <c r="W582" s="5"/>
      <c r="X582" s="5"/>
      <c r="Y582" s="5"/>
      <c r="Z582" s="5"/>
    </row>
    <row r="583" ht="19.5" customHeight="1">
      <c r="A583" s="49"/>
      <c r="B583" s="50"/>
      <c r="C583" s="50"/>
      <c r="D583" s="50"/>
      <c r="E583" s="50"/>
      <c r="F583" s="51"/>
      <c r="G583" s="50"/>
      <c r="H583" s="50"/>
      <c r="I583" s="50"/>
      <c r="J583" s="48" t="str">
        <f t="array" ref="J583">IF(G583="","",IFERROR(LET(ev_cost,INDEX(Events!$G$5:$G$505,MATCH(G583,Events!$A$5:$A$505,0)),ev_split,INDEX(Events!$I$5:$I$505,MATCH(G583,Events!$A$5:$A$505,0)),att_offset,MATCH(G583,Attendance!$B$3:$AV$3,0),attendees,COUNTIF(INDEX(Attendance!$B$7:$AV$206,0,att_offset),"1"),IF(ev_split="Equal Split",ev_cost/MAX(1,COUNTA(Roster!$A$5:$A$204)),ev_cost/MAX(1,attendees))),"N/A"))</f>
        <v/>
      </c>
      <c r="K583" s="5"/>
      <c r="L583" s="5"/>
      <c r="M583" s="5"/>
      <c r="N583" s="5"/>
      <c r="O583" s="5"/>
      <c r="P583" s="5"/>
      <c r="Q583" s="5"/>
      <c r="R583" s="5"/>
      <c r="S583" s="5"/>
      <c r="T583" s="5"/>
      <c r="U583" s="5"/>
      <c r="V583" s="5"/>
      <c r="W583" s="5"/>
      <c r="X583" s="5"/>
      <c r="Y583" s="5"/>
      <c r="Z583" s="5"/>
    </row>
    <row r="584" ht="19.5" customHeight="1">
      <c r="A584" s="52"/>
      <c r="B584" s="53"/>
      <c r="C584" s="53"/>
      <c r="D584" s="53"/>
      <c r="E584" s="53"/>
      <c r="F584" s="61"/>
      <c r="G584" s="53"/>
      <c r="H584" s="53"/>
      <c r="I584" s="53"/>
      <c r="J584" s="48" t="str">
        <f t="array" ref="J584">IF(G584="","",IFERROR(LET(ev_cost,INDEX(Events!$G$5:$G$505,MATCH(G584,Events!$A$5:$A$505,0)),ev_split,INDEX(Events!$I$5:$I$505,MATCH(G584,Events!$A$5:$A$505,0)),att_offset,MATCH(G584,Attendance!$B$3:$AV$3,0),attendees,COUNTIF(INDEX(Attendance!$B$7:$AV$206,0,att_offset),"1"),IF(ev_split="Equal Split",ev_cost/MAX(1,COUNTA(Roster!$A$5:$A$204)),ev_cost/MAX(1,attendees))),"N/A"))</f>
        <v/>
      </c>
      <c r="K584" s="5"/>
      <c r="L584" s="5"/>
      <c r="M584" s="5"/>
      <c r="N584" s="5"/>
      <c r="O584" s="5"/>
      <c r="P584" s="5"/>
      <c r="Q584" s="5"/>
      <c r="R584" s="5"/>
      <c r="S584" s="5"/>
      <c r="T584" s="5"/>
      <c r="U584" s="5"/>
      <c r="V584" s="5"/>
      <c r="W584" s="5"/>
      <c r="X584" s="5"/>
      <c r="Y584" s="5"/>
      <c r="Z584" s="5"/>
    </row>
    <row r="585" ht="19.5" customHeight="1">
      <c r="A585" s="49"/>
      <c r="B585" s="50"/>
      <c r="C585" s="50"/>
      <c r="D585" s="50"/>
      <c r="E585" s="50"/>
      <c r="F585" s="51"/>
      <c r="G585" s="50"/>
      <c r="H585" s="50"/>
      <c r="I585" s="50"/>
      <c r="J585" s="48" t="str">
        <f t="array" ref="J585">IF(G585="","",IFERROR(LET(ev_cost,INDEX(Events!$G$5:$G$505,MATCH(G585,Events!$A$5:$A$505,0)),ev_split,INDEX(Events!$I$5:$I$505,MATCH(G585,Events!$A$5:$A$505,0)),att_offset,MATCH(G585,Attendance!$B$3:$AV$3,0),attendees,COUNTIF(INDEX(Attendance!$B$7:$AV$206,0,att_offset),"1"),IF(ev_split="Equal Split",ev_cost/MAX(1,COUNTA(Roster!$A$5:$A$204)),ev_cost/MAX(1,attendees))),"N/A"))</f>
        <v/>
      </c>
      <c r="K585" s="5"/>
      <c r="L585" s="5"/>
      <c r="M585" s="5"/>
      <c r="N585" s="5"/>
      <c r="O585" s="5"/>
      <c r="P585" s="5"/>
      <c r="Q585" s="5"/>
      <c r="R585" s="5"/>
      <c r="S585" s="5"/>
      <c r="T585" s="5"/>
      <c r="U585" s="5"/>
      <c r="V585" s="5"/>
      <c r="W585" s="5"/>
      <c r="X585" s="5"/>
      <c r="Y585" s="5"/>
      <c r="Z585" s="5"/>
    </row>
    <row r="586" ht="19.5" customHeight="1">
      <c r="A586" s="52"/>
      <c r="B586" s="53"/>
      <c r="C586" s="53"/>
      <c r="D586" s="53"/>
      <c r="E586" s="53"/>
      <c r="F586" s="61"/>
      <c r="G586" s="53"/>
      <c r="H586" s="53"/>
      <c r="I586" s="53"/>
      <c r="J586" s="48" t="str">
        <f t="array" ref="J586">IF(G586="","",IFERROR(LET(ev_cost,INDEX(Events!$G$5:$G$505,MATCH(G586,Events!$A$5:$A$505,0)),ev_split,INDEX(Events!$I$5:$I$505,MATCH(G586,Events!$A$5:$A$505,0)),att_offset,MATCH(G586,Attendance!$B$3:$AV$3,0),attendees,COUNTIF(INDEX(Attendance!$B$7:$AV$206,0,att_offset),"1"),IF(ev_split="Equal Split",ev_cost/MAX(1,COUNTA(Roster!$A$5:$A$204)),ev_cost/MAX(1,attendees))),"N/A"))</f>
        <v/>
      </c>
      <c r="K586" s="5"/>
      <c r="L586" s="5"/>
      <c r="M586" s="5"/>
      <c r="N586" s="5"/>
      <c r="O586" s="5"/>
      <c r="P586" s="5"/>
      <c r="Q586" s="5"/>
      <c r="R586" s="5"/>
      <c r="S586" s="5"/>
      <c r="T586" s="5"/>
      <c r="U586" s="5"/>
      <c r="V586" s="5"/>
      <c r="W586" s="5"/>
      <c r="X586" s="5"/>
      <c r="Y586" s="5"/>
      <c r="Z586" s="5"/>
    </row>
    <row r="587" ht="19.5" customHeight="1">
      <c r="A587" s="49"/>
      <c r="B587" s="50"/>
      <c r="C587" s="50"/>
      <c r="D587" s="50"/>
      <c r="E587" s="50"/>
      <c r="F587" s="51"/>
      <c r="G587" s="50"/>
      <c r="H587" s="50"/>
      <c r="I587" s="50"/>
      <c r="J587" s="48" t="str">
        <f t="array" ref="J587">IF(G587="","",IFERROR(LET(ev_cost,INDEX(Events!$G$5:$G$505,MATCH(G587,Events!$A$5:$A$505,0)),ev_split,INDEX(Events!$I$5:$I$505,MATCH(G587,Events!$A$5:$A$505,0)),att_offset,MATCH(G587,Attendance!$B$3:$AV$3,0),attendees,COUNTIF(INDEX(Attendance!$B$7:$AV$206,0,att_offset),"1"),IF(ev_split="Equal Split",ev_cost/MAX(1,COUNTA(Roster!$A$5:$A$204)),ev_cost/MAX(1,attendees))),"N/A"))</f>
        <v/>
      </c>
      <c r="K587" s="5"/>
      <c r="L587" s="5"/>
      <c r="M587" s="5"/>
      <c r="N587" s="5"/>
      <c r="O587" s="5"/>
      <c r="P587" s="5"/>
      <c r="Q587" s="5"/>
      <c r="R587" s="5"/>
      <c r="S587" s="5"/>
      <c r="T587" s="5"/>
      <c r="U587" s="5"/>
      <c r="V587" s="5"/>
      <c r="W587" s="5"/>
      <c r="X587" s="5"/>
      <c r="Y587" s="5"/>
      <c r="Z587" s="5"/>
    </row>
    <row r="588" ht="19.5" customHeight="1">
      <c r="A588" s="52"/>
      <c r="B588" s="53"/>
      <c r="C588" s="53"/>
      <c r="D588" s="53"/>
      <c r="E588" s="53"/>
      <c r="F588" s="61"/>
      <c r="G588" s="53"/>
      <c r="H588" s="53"/>
      <c r="I588" s="53"/>
      <c r="J588" s="48" t="str">
        <f t="array" ref="J588">IF(G588="","",IFERROR(LET(ev_cost,INDEX(Events!$G$5:$G$505,MATCH(G588,Events!$A$5:$A$505,0)),ev_split,INDEX(Events!$I$5:$I$505,MATCH(G588,Events!$A$5:$A$505,0)),att_offset,MATCH(G588,Attendance!$B$3:$AV$3,0),attendees,COUNTIF(INDEX(Attendance!$B$7:$AV$206,0,att_offset),"1"),IF(ev_split="Equal Split",ev_cost/MAX(1,COUNTA(Roster!$A$5:$A$204)),ev_cost/MAX(1,attendees))),"N/A"))</f>
        <v/>
      </c>
      <c r="K588" s="5"/>
      <c r="L588" s="5"/>
      <c r="M588" s="5"/>
      <c r="N588" s="5"/>
      <c r="O588" s="5"/>
      <c r="P588" s="5"/>
      <c r="Q588" s="5"/>
      <c r="R588" s="5"/>
      <c r="S588" s="5"/>
      <c r="T588" s="5"/>
      <c r="U588" s="5"/>
      <c r="V588" s="5"/>
      <c r="W588" s="5"/>
      <c r="X588" s="5"/>
      <c r="Y588" s="5"/>
      <c r="Z588" s="5"/>
    </row>
    <row r="589" ht="19.5" customHeight="1">
      <c r="A589" s="49"/>
      <c r="B589" s="50"/>
      <c r="C589" s="50"/>
      <c r="D589" s="50"/>
      <c r="E589" s="50"/>
      <c r="F589" s="51"/>
      <c r="G589" s="50"/>
      <c r="H589" s="50"/>
      <c r="I589" s="50"/>
      <c r="J589" s="48" t="str">
        <f t="array" ref="J589">IF(G589="","",IFERROR(LET(ev_cost,INDEX(Events!$G$5:$G$505,MATCH(G589,Events!$A$5:$A$505,0)),ev_split,INDEX(Events!$I$5:$I$505,MATCH(G589,Events!$A$5:$A$505,0)),att_offset,MATCH(G589,Attendance!$B$3:$AV$3,0),attendees,COUNTIF(INDEX(Attendance!$B$7:$AV$206,0,att_offset),"1"),IF(ev_split="Equal Split",ev_cost/MAX(1,COUNTA(Roster!$A$5:$A$204)),ev_cost/MAX(1,attendees))),"N/A"))</f>
        <v/>
      </c>
      <c r="K589" s="5"/>
      <c r="L589" s="5"/>
      <c r="M589" s="5"/>
      <c r="N589" s="5"/>
      <c r="O589" s="5"/>
      <c r="P589" s="5"/>
      <c r="Q589" s="5"/>
      <c r="R589" s="5"/>
      <c r="S589" s="5"/>
      <c r="T589" s="5"/>
      <c r="U589" s="5"/>
      <c r="V589" s="5"/>
      <c r="W589" s="5"/>
      <c r="X589" s="5"/>
      <c r="Y589" s="5"/>
      <c r="Z589" s="5"/>
    </row>
    <row r="590" ht="19.5" customHeight="1">
      <c r="A590" s="52"/>
      <c r="B590" s="53"/>
      <c r="C590" s="53"/>
      <c r="D590" s="53"/>
      <c r="E590" s="53"/>
      <c r="F590" s="61"/>
      <c r="G590" s="53"/>
      <c r="H590" s="53"/>
      <c r="I590" s="53"/>
      <c r="J590" s="48" t="str">
        <f t="array" ref="J590">IF(G590="","",IFERROR(LET(ev_cost,INDEX(Events!$G$5:$G$505,MATCH(G590,Events!$A$5:$A$505,0)),ev_split,INDEX(Events!$I$5:$I$505,MATCH(G590,Events!$A$5:$A$505,0)),att_offset,MATCH(G590,Attendance!$B$3:$AV$3,0),attendees,COUNTIF(INDEX(Attendance!$B$7:$AV$206,0,att_offset),"1"),IF(ev_split="Equal Split",ev_cost/MAX(1,COUNTA(Roster!$A$5:$A$204)),ev_cost/MAX(1,attendees))),"N/A"))</f>
        <v/>
      </c>
      <c r="K590" s="5"/>
      <c r="L590" s="5"/>
      <c r="M590" s="5"/>
      <c r="N590" s="5"/>
      <c r="O590" s="5"/>
      <c r="P590" s="5"/>
      <c r="Q590" s="5"/>
      <c r="R590" s="5"/>
      <c r="S590" s="5"/>
      <c r="T590" s="5"/>
      <c r="U590" s="5"/>
      <c r="V590" s="5"/>
      <c r="W590" s="5"/>
      <c r="X590" s="5"/>
      <c r="Y590" s="5"/>
      <c r="Z590" s="5"/>
    </row>
    <row r="591" ht="19.5" customHeight="1">
      <c r="A591" s="49"/>
      <c r="B591" s="50"/>
      <c r="C591" s="50"/>
      <c r="D591" s="50"/>
      <c r="E591" s="50"/>
      <c r="F591" s="51"/>
      <c r="G591" s="50"/>
      <c r="H591" s="50"/>
      <c r="I591" s="50"/>
      <c r="J591" s="48" t="str">
        <f t="array" ref="J591">IF(G591="","",IFERROR(LET(ev_cost,INDEX(Events!$G$5:$G$505,MATCH(G591,Events!$A$5:$A$505,0)),ev_split,INDEX(Events!$I$5:$I$505,MATCH(G591,Events!$A$5:$A$505,0)),att_offset,MATCH(G591,Attendance!$B$3:$AV$3,0),attendees,COUNTIF(INDEX(Attendance!$B$7:$AV$206,0,att_offset),"1"),IF(ev_split="Equal Split",ev_cost/MAX(1,COUNTA(Roster!$A$5:$A$204)),ev_cost/MAX(1,attendees))),"N/A"))</f>
        <v/>
      </c>
      <c r="K591" s="5"/>
      <c r="L591" s="5"/>
      <c r="M591" s="5"/>
      <c r="N591" s="5"/>
      <c r="O591" s="5"/>
      <c r="P591" s="5"/>
      <c r="Q591" s="5"/>
      <c r="R591" s="5"/>
      <c r="S591" s="5"/>
      <c r="T591" s="5"/>
      <c r="U591" s="5"/>
      <c r="V591" s="5"/>
      <c r="W591" s="5"/>
      <c r="X591" s="5"/>
      <c r="Y591" s="5"/>
      <c r="Z591" s="5"/>
    </row>
    <row r="592" ht="19.5" customHeight="1">
      <c r="A592" s="52"/>
      <c r="B592" s="53"/>
      <c r="C592" s="53"/>
      <c r="D592" s="53"/>
      <c r="E592" s="53"/>
      <c r="F592" s="61"/>
      <c r="G592" s="53"/>
      <c r="H592" s="53"/>
      <c r="I592" s="53"/>
      <c r="J592" s="48" t="str">
        <f t="array" ref="J592">IF(G592="","",IFERROR(LET(ev_cost,INDEX(Events!$G$5:$G$505,MATCH(G592,Events!$A$5:$A$505,0)),ev_split,INDEX(Events!$I$5:$I$505,MATCH(G592,Events!$A$5:$A$505,0)),att_offset,MATCH(G592,Attendance!$B$3:$AV$3,0),attendees,COUNTIF(INDEX(Attendance!$B$7:$AV$206,0,att_offset),"1"),IF(ev_split="Equal Split",ev_cost/MAX(1,COUNTA(Roster!$A$5:$A$204)),ev_cost/MAX(1,attendees))),"N/A"))</f>
        <v/>
      </c>
      <c r="K592" s="5"/>
      <c r="L592" s="5"/>
      <c r="M592" s="5"/>
      <c r="N592" s="5"/>
      <c r="O592" s="5"/>
      <c r="P592" s="5"/>
      <c r="Q592" s="5"/>
      <c r="R592" s="5"/>
      <c r="S592" s="5"/>
      <c r="T592" s="5"/>
      <c r="U592" s="5"/>
      <c r="V592" s="5"/>
      <c r="W592" s="5"/>
      <c r="X592" s="5"/>
      <c r="Y592" s="5"/>
      <c r="Z592" s="5"/>
    </row>
    <row r="593" ht="19.5" customHeight="1">
      <c r="A593" s="49"/>
      <c r="B593" s="50"/>
      <c r="C593" s="50"/>
      <c r="D593" s="50"/>
      <c r="E593" s="50"/>
      <c r="F593" s="51"/>
      <c r="G593" s="50"/>
      <c r="H593" s="50"/>
      <c r="I593" s="50"/>
      <c r="J593" s="48" t="str">
        <f t="array" ref="J593">IF(G593="","",IFERROR(LET(ev_cost,INDEX(Events!$G$5:$G$505,MATCH(G593,Events!$A$5:$A$505,0)),ev_split,INDEX(Events!$I$5:$I$505,MATCH(G593,Events!$A$5:$A$505,0)),att_offset,MATCH(G593,Attendance!$B$3:$AV$3,0),attendees,COUNTIF(INDEX(Attendance!$B$7:$AV$206,0,att_offset),"1"),IF(ev_split="Equal Split",ev_cost/MAX(1,COUNTA(Roster!$A$5:$A$204)),ev_cost/MAX(1,attendees))),"N/A"))</f>
        <v/>
      </c>
      <c r="K593" s="5"/>
      <c r="L593" s="5"/>
      <c r="M593" s="5"/>
      <c r="N593" s="5"/>
      <c r="O593" s="5"/>
      <c r="P593" s="5"/>
      <c r="Q593" s="5"/>
      <c r="R593" s="5"/>
      <c r="S593" s="5"/>
      <c r="T593" s="5"/>
      <c r="U593" s="5"/>
      <c r="V593" s="5"/>
      <c r="W593" s="5"/>
      <c r="X593" s="5"/>
      <c r="Y593" s="5"/>
      <c r="Z593" s="5"/>
    </row>
    <row r="594" ht="19.5" customHeight="1">
      <c r="A594" s="52"/>
      <c r="B594" s="53"/>
      <c r="C594" s="53"/>
      <c r="D594" s="53"/>
      <c r="E594" s="53"/>
      <c r="F594" s="61"/>
      <c r="G594" s="53"/>
      <c r="H594" s="53"/>
      <c r="I594" s="53"/>
      <c r="J594" s="48" t="str">
        <f t="array" ref="J594">IF(G594="","",IFERROR(LET(ev_cost,INDEX(Events!$G$5:$G$505,MATCH(G594,Events!$A$5:$A$505,0)),ev_split,INDEX(Events!$I$5:$I$505,MATCH(G594,Events!$A$5:$A$505,0)),att_offset,MATCH(G594,Attendance!$B$3:$AV$3,0),attendees,COUNTIF(INDEX(Attendance!$B$7:$AV$206,0,att_offset),"1"),IF(ev_split="Equal Split",ev_cost/MAX(1,COUNTA(Roster!$A$5:$A$204)),ev_cost/MAX(1,attendees))),"N/A"))</f>
        <v/>
      </c>
      <c r="K594" s="5"/>
      <c r="L594" s="5"/>
      <c r="M594" s="5"/>
      <c r="N594" s="5"/>
      <c r="O594" s="5"/>
      <c r="P594" s="5"/>
      <c r="Q594" s="5"/>
      <c r="R594" s="5"/>
      <c r="S594" s="5"/>
      <c r="T594" s="5"/>
      <c r="U594" s="5"/>
      <c r="V594" s="5"/>
      <c r="W594" s="5"/>
      <c r="X594" s="5"/>
      <c r="Y594" s="5"/>
      <c r="Z594" s="5"/>
    </row>
    <row r="595" ht="19.5" customHeight="1">
      <c r="A595" s="49"/>
      <c r="B595" s="50"/>
      <c r="C595" s="50"/>
      <c r="D595" s="50"/>
      <c r="E595" s="50"/>
      <c r="F595" s="51"/>
      <c r="G595" s="50"/>
      <c r="H595" s="50"/>
      <c r="I595" s="50"/>
      <c r="J595" s="48" t="str">
        <f t="array" ref="J595">IF(G595="","",IFERROR(LET(ev_cost,INDEX(Events!$G$5:$G$505,MATCH(G595,Events!$A$5:$A$505,0)),ev_split,INDEX(Events!$I$5:$I$505,MATCH(G595,Events!$A$5:$A$505,0)),att_offset,MATCH(G595,Attendance!$B$3:$AV$3,0),attendees,COUNTIF(INDEX(Attendance!$B$7:$AV$206,0,att_offset),"1"),IF(ev_split="Equal Split",ev_cost/MAX(1,COUNTA(Roster!$A$5:$A$204)),ev_cost/MAX(1,attendees))),"N/A"))</f>
        <v/>
      </c>
      <c r="K595" s="5"/>
      <c r="L595" s="5"/>
      <c r="M595" s="5"/>
      <c r="N595" s="5"/>
      <c r="O595" s="5"/>
      <c r="P595" s="5"/>
      <c r="Q595" s="5"/>
      <c r="R595" s="5"/>
      <c r="S595" s="5"/>
      <c r="T595" s="5"/>
      <c r="U595" s="5"/>
      <c r="V595" s="5"/>
      <c r="W595" s="5"/>
      <c r="X595" s="5"/>
      <c r="Y595" s="5"/>
      <c r="Z595" s="5"/>
    </row>
    <row r="596" ht="19.5" customHeight="1">
      <c r="A596" s="52"/>
      <c r="B596" s="53"/>
      <c r="C596" s="53"/>
      <c r="D596" s="53"/>
      <c r="E596" s="53"/>
      <c r="F596" s="61"/>
      <c r="G596" s="53"/>
      <c r="H596" s="53"/>
      <c r="I596" s="53"/>
      <c r="J596" s="48" t="str">
        <f t="array" ref="J596">IF(G596="","",IFERROR(LET(ev_cost,INDEX(Events!$G$5:$G$505,MATCH(G596,Events!$A$5:$A$505,0)),ev_split,INDEX(Events!$I$5:$I$505,MATCH(G596,Events!$A$5:$A$505,0)),att_offset,MATCH(G596,Attendance!$B$3:$AV$3,0),attendees,COUNTIF(INDEX(Attendance!$B$7:$AV$206,0,att_offset),"1"),IF(ev_split="Equal Split",ev_cost/MAX(1,COUNTA(Roster!$A$5:$A$204)),ev_cost/MAX(1,attendees))),"N/A"))</f>
        <v/>
      </c>
      <c r="K596" s="5"/>
      <c r="L596" s="5"/>
      <c r="M596" s="5"/>
      <c r="N596" s="5"/>
      <c r="O596" s="5"/>
      <c r="P596" s="5"/>
      <c r="Q596" s="5"/>
      <c r="R596" s="5"/>
      <c r="S596" s="5"/>
      <c r="T596" s="5"/>
      <c r="U596" s="5"/>
      <c r="V596" s="5"/>
      <c r="W596" s="5"/>
      <c r="X596" s="5"/>
      <c r="Y596" s="5"/>
      <c r="Z596" s="5"/>
    </row>
    <row r="597" ht="19.5" customHeight="1">
      <c r="A597" s="49"/>
      <c r="B597" s="50"/>
      <c r="C597" s="50"/>
      <c r="D597" s="50"/>
      <c r="E597" s="50"/>
      <c r="F597" s="51"/>
      <c r="G597" s="50"/>
      <c r="H597" s="50"/>
      <c r="I597" s="50"/>
      <c r="J597" s="48" t="str">
        <f t="array" ref="J597">IF(G597="","",IFERROR(LET(ev_cost,INDEX(Events!$G$5:$G$505,MATCH(G597,Events!$A$5:$A$505,0)),ev_split,INDEX(Events!$I$5:$I$505,MATCH(G597,Events!$A$5:$A$505,0)),att_offset,MATCH(G597,Attendance!$B$3:$AV$3,0),attendees,COUNTIF(INDEX(Attendance!$B$7:$AV$206,0,att_offset),"1"),IF(ev_split="Equal Split",ev_cost/MAX(1,COUNTA(Roster!$A$5:$A$204)),ev_cost/MAX(1,attendees))),"N/A"))</f>
        <v/>
      </c>
      <c r="K597" s="5"/>
      <c r="L597" s="5"/>
      <c r="M597" s="5"/>
      <c r="N597" s="5"/>
      <c r="O597" s="5"/>
      <c r="P597" s="5"/>
      <c r="Q597" s="5"/>
      <c r="R597" s="5"/>
      <c r="S597" s="5"/>
      <c r="T597" s="5"/>
      <c r="U597" s="5"/>
      <c r="V597" s="5"/>
      <c r="W597" s="5"/>
      <c r="X597" s="5"/>
      <c r="Y597" s="5"/>
      <c r="Z597" s="5"/>
    </row>
    <row r="598" ht="19.5" customHeight="1">
      <c r="A598" s="52"/>
      <c r="B598" s="53"/>
      <c r="C598" s="53"/>
      <c r="D598" s="53"/>
      <c r="E598" s="53"/>
      <c r="F598" s="61"/>
      <c r="G598" s="53"/>
      <c r="H598" s="53"/>
      <c r="I598" s="53"/>
      <c r="J598" s="48" t="str">
        <f t="array" ref="J598">IF(G598="","",IFERROR(LET(ev_cost,INDEX(Events!$G$5:$G$505,MATCH(G598,Events!$A$5:$A$505,0)),ev_split,INDEX(Events!$I$5:$I$505,MATCH(G598,Events!$A$5:$A$505,0)),att_offset,MATCH(G598,Attendance!$B$3:$AV$3,0),attendees,COUNTIF(INDEX(Attendance!$B$7:$AV$206,0,att_offset),"1"),IF(ev_split="Equal Split",ev_cost/MAX(1,COUNTA(Roster!$A$5:$A$204)),ev_cost/MAX(1,attendees))),"N/A"))</f>
        <v/>
      </c>
      <c r="K598" s="5"/>
      <c r="L598" s="5"/>
      <c r="M598" s="5"/>
      <c r="N598" s="5"/>
      <c r="O598" s="5"/>
      <c r="P598" s="5"/>
      <c r="Q598" s="5"/>
      <c r="R598" s="5"/>
      <c r="S598" s="5"/>
      <c r="T598" s="5"/>
      <c r="U598" s="5"/>
      <c r="V598" s="5"/>
      <c r="W598" s="5"/>
      <c r="X598" s="5"/>
      <c r="Y598" s="5"/>
      <c r="Z598" s="5"/>
    </row>
    <row r="599" ht="19.5" customHeight="1">
      <c r="A599" s="49"/>
      <c r="B599" s="50"/>
      <c r="C599" s="50"/>
      <c r="D599" s="50"/>
      <c r="E599" s="50"/>
      <c r="F599" s="51"/>
      <c r="G599" s="50"/>
      <c r="H599" s="50"/>
      <c r="I599" s="50"/>
      <c r="J599" s="48" t="str">
        <f t="array" ref="J599">IF(G599="","",IFERROR(LET(ev_cost,INDEX(Events!$G$5:$G$505,MATCH(G599,Events!$A$5:$A$505,0)),ev_split,INDEX(Events!$I$5:$I$505,MATCH(G599,Events!$A$5:$A$505,0)),att_offset,MATCH(G599,Attendance!$B$3:$AV$3,0),attendees,COUNTIF(INDEX(Attendance!$B$7:$AV$206,0,att_offset),"1"),IF(ev_split="Equal Split",ev_cost/MAX(1,COUNTA(Roster!$A$5:$A$204)),ev_cost/MAX(1,attendees))),"N/A"))</f>
        <v/>
      </c>
      <c r="K599" s="5"/>
      <c r="L599" s="5"/>
      <c r="M599" s="5"/>
      <c r="N599" s="5"/>
      <c r="O599" s="5"/>
      <c r="P599" s="5"/>
      <c r="Q599" s="5"/>
      <c r="R599" s="5"/>
      <c r="S599" s="5"/>
      <c r="T599" s="5"/>
      <c r="U599" s="5"/>
      <c r="V599" s="5"/>
      <c r="W599" s="5"/>
      <c r="X599" s="5"/>
      <c r="Y599" s="5"/>
      <c r="Z599" s="5"/>
    </row>
    <row r="600" ht="19.5" customHeight="1">
      <c r="A600" s="52"/>
      <c r="B600" s="53"/>
      <c r="C600" s="53"/>
      <c r="D600" s="53"/>
      <c r="E600" s="53"/>
      <c r="F600" s="61"/>
      <c r="G600" s="53"/>
      <c r="H600" s="53"/>
      <c r="I600" s="53"/>
      <c r="J600" s="48" t="str">
        <f t="array" ref="J600">IF(G600="","",IFERROR(LET(ev_cost,INDEX(Events!$G$5:$G$505,MATCH(G600,Events!$A$5:$A$505,0)),ev_split,INDEX(Events!$I$5:$I$505,MATCH(G600,Events!$A$5:$A$505,0)),att_offset,MATCH(G600,Attendance!$B$3:$AV$3,0),attendees,COUNTIF(INDEX(Attendance!$B$7:$AV$206,0,att_offset),"1"),IF(ev_split="Equal Split",ev_cost/MAX(1,COUNTA(Roster!$A$5:$A$204)),ev_cost/MAX(1,attendees))),"N/A"))</f>
        <v/>
      </c>
      <c r="K600" s="5"/>
      <c r="L600" s="5"/>
      <c r="M600" s="5"/>
      <c r="N600" s="5"/>
      <c r="O600" s="5"/>
      <c r="P600" s="5"/>
      <c r="Q600" s="5"/>
      <c r="R600" s="5"/>
      <c r="S600" s="5"/>
      <c r="T600" s="5"/>
      <c r="U600" s="5"/>
      <c r="V600" s="5"/>
      <c r="W600" s="5"/>
      <c r="X600" s="5"/>
      <c r="Y600" s="5"/>
      <c r="Z600" s="5"/>
    </row>
    <row r="601" ht="19.5" customHeight="1">
      <c r="A601" s="49"/>
      <c r="B601" s="50"/>
      <c r="C601" s="50"/>
      <c r="D601" s="50"/>
      <c r="E601" s="50"/>
      <c r="F601" s="51"/>
      <c r="G601" s="50"/>
      <c r="H601" s="50"/>
      <c r="I601" s="50"/>
      <c r="J601" s="48" t="str">
        <f t="array" ref="J601">IF(G601="","",IFERROR(LET(ev_cost,INDEX(Events!$G$5:$G$505,MATCH(G601,Events!$A$5:$A$505,0)),ev_split,INDEX(Events!$I$5:$I$505,MATCH(G601,Events!$A$5:$A$505,0)),att_offset,MATCH(G601,Attendance!$B$3:$AV$3,0),attendees,COUNTIF(INDEX(Attendance!$B$7:$AV$206,0,att_offset),"1"),IF(ev_split="Equal Split",ev_cost/MAX(1,COUNTA(Roster!$A$5:$A$204)),ev_cost/MAX(1,attendees))),"N/A"))</f>
        <v/>
      </c>
      <c r="K601" s="5"/>
      <c r="L601" s="5"/>
      <c r="M601" s="5"/>
      <c r="N601" s="5"/>
      <c r="O601" s="5"/>
      <c r="P601" s="5"/>
      <c r="Q601" s="5"/>
      <c r="R601" s="5"/>
      <c r="S601" s="5"/>
      <c r="T601" s="5"/>
      <c r="U601" s="5"/>
      <c r="V601" s="5"/>
      <c r="W601" s="5"/>
      <c r="X601" s="5"/>
      <c r="Y601" s="5"/>
      <c r="Z601" s="5"/>
    </row>
    <row r="602" ht="19.5" customHeight="1">
      <c r="A602" s="52"/>
      <c r="B602" s="53"/>
      <c r="C602" s="53"/>
      <c r="D602" s="53"/>
      <c r="E602" s="53"/>
      <c r="F602" s="61"/>
      <c r="G602" s="53"/>
      <c r="H602" s="53"/>
      <c r="I602" s="53"/>
      <c r="J602" s="48" t="str">
        <f t="array" ref="J602">IF(G602="","",IFERROR(LET(ev_cost,INDEX(Events!$G$5:$G$505,MATCH(G602,Events!$A$5:$A$505,0)),ev_split,INDEX(Events!$I$5:$I$505,MATCH(G602,Events!$A$5:$A$505,0)),att_offset,MATCH(G602,Attendance!$B$3:$AV$3,0),attendees,COUNTIF(INDEX(Attendance!$B$7:$AV$206,0,att_offset),"1"),IF(ev_split="Equal Split",ev_cost/MAX(1,COUNTA(Roster!$A$5:$A$204)),ev_cost/MAX(1,attendees))),"N/A"))</f>
        <v/>
      </c>
      <c r="K602" s="5"/>
      <c r="L602" s="5"/>
      <c r="M602" s="5"/>
      <c r="N602" s="5"/>
      <c r="O602" s="5"/>
      <c r="P602" s="5"/>
      <c r="Q602" s="5"/>
      <c r="R602" s="5"/>
      <c r="S602" s="5"/>
      <c r="T602" s="5"/>
      <c r="U602" s="5"/>
      <c r="V602" s="5"/>
      <c r="W602" s="5"/>
      <c r="X602" s="5"/>
      <c r="Y602" s="5"/>
      <c r="Z602" s="5"/>
    </row>
    <row r="603" ht="19.5" customHeight="1">
      <c r="A603" s="49"/>
      <c r="B603" s="50"/>
      <c r="C603" s="50"/>
      <c r="D603" s="50"/>
      <c r="E603" s="50"/>
      <c r="F603" s="51"/>
      <c r="G603" s="50"/>
      <c r="H603" s="50"/>
      <c r="I603" s="50"/>
      <c r="J603" s="48" t="str">
        <f t="array" ref="J603">IF(G603="","",IFERROR(LET(ev_cost,INDEX(Events!$G$5:$G$505,MATCH(G603,Events!$A$5:$A$505,0)),ev_split,INDEX(Events!$I$5:$I$505,MATCH(G603,Events!$A$5:$A$505,0)),att_offset,MATCH(G603,Attendance!$B$3:$AV$3,0),attendees,COUNTIF(INDEX(Attendance!$B$7:$AV$206,0,att_offset),"1"),IF(ev_split="Equal Split",ev_cost/MAX(1,COUNTA(Roster!$A$5:$A$204)),ev_cost/MAX(1,attendees))),"N/A"))</f>
        <v/>
      </c>
      <c r="K603" s="5"/>
      <c r="L603" s="5"/>
      <c r="M603" s="5"/>
      <c r="N603" s="5"/>
      <c r="O603" s="5"/>
      <c r="P603" s="5"/>
      <c r="Q603" s="5"/>
      <c r="R603" s="5"/>
      <c r="S603" s="5"/>
      <c r="T603" s="5"/>
      <c r="U603" s="5"/>
      <c r="V603" s="5"/>
      <c r="W603" s="5"/>
      <c r="X603" s="5"/>
      <c r="Y603" s="5"/>
      <c r="Z603" s="5"/>
    </row>
    <row r="604" ht="19.5" customHeight="1">
      <c r="A604" s="52"/>
      <c r="B604" s="53"/>
      <c r="C604" s="53"/>
      <c r="D604" s="53"/>
      <c r="E604" s="53"/>
      <c r="F604" s="61"/>
      <c r="G604" s="53"/>
      <c r="H604" s="53"/>
      <c r="I604" s="53"/>
      <c r="J604" s="48" t="str">
        <f t="array" ref="J604">IF(G604="","",IFERROR(LET(ev_cost,INDEX(Events!$G$5:$G$505,MATCH(G604,Events!$A$5:$A$505,0)),ev_split,INDEX(Events!$I$5:$I$505,MATCH(G604,Events!$A$5:$A$505,0)),att_offset,MATCH(G604,Attendance!$B$3:$AV$3,0),attendees,COUNTIF(INDEX(Attendance!$B$7:$AV$206,0,att_offset),"1"),IF(ev_split="Equal Split",ev_cost/MAX(1,COUNTA(Roster!$A$5:$A$204)),ev_cost/MAX(1,attendees))),"N/A"))</f>
        <v/>
      </c>
      <c r="K604" s="5"/>
      <c r="L604" s="5"/>
      <c r="M604" s="5"/>
      <c r="N604" s="5"/>
      <c r="O604" s="5"/>
      <c r="P604" s="5"/>
      <c r="Q604" s="5"/>
      <c r="R604" s="5"/>
      <c r="S604" s="5"/>
      <c r="T604" s="5"/>
      <c r="U604" s="5"/>
      <c r="V604" s="5"/>
      <c r="W604" s="5"/>
      <c r="X604" s="5"/>
      <c r="Y604" s="5"/>
      <c r="Z604" s="5"/>
    </row>
    <row r="605" ht="19.5" customHeight="1">
      <c r="A605" s="49"/>
      <c r="B605" s="50"/>
      <c r="C605" s="50"/>
      <c r="D605" s="50"/>
      <c r="E605" s="50"/>
      <c r="F605" s="51"/>
      <c r="G605" s="50"/>
      <c r="H605" s="50"/>
      <c r="I605" s="50"/>
      <c r="J605" s="48" t="str">
        <f t="array" ref="J605">IF(G605="","",IFERROR(LET(ev_cost,INDEX(Events!$G$5:$G$505,MATCH(G605,Events!$A$5:$A$505,0)),ev_split,INDEX(Events!$I$5:$I$505,MATCH(G605,Events!$A$5:$A$505,0)),att_offset,MATCH(G605,Attendance!$B$3:$AV$3,0),attendees,COUNTIF(INDEX(Attendance!$B$7:$AV$206,0,att_offset),"1"),IF(ev_split="Equal Split",ev_cost/MAX(1,COUNTA(Roster!$A$5:$A$204)),ev_cost/MAX(1,attendees))),"N/A"))</f>
        <v/>
      </c>
      <c r="K605" s="5"/>
      <c r="L605" s="5"/>
      <c r="M605" s="5"/>
      <c r="N605" s="5"/>
      <c r="O605" s="5"/>
      <c r="P605" s="5"/>
      <c r="Q605" s="5"/>
      <c r="R605" s="5"/>
      <c r="S605" s="5"/>
      <c r="T605" s="5"/>
      <c r="U605" s="5"/>
      <c r="V605" s="5"/>
      <c r="W605" s="5"/>
      <c r="X605" s="5"/>
      <c r="Y605" s="5"/>
      <c r="Z605" s="5"/>
    </row>
    <row r="606" ht="19.5" customHeight="1">
      <c r="A606" s="52"/>
      <c r="B606" s="53"/>
      <c r="C606" s="53"/>
      <c r="D606" s="53"/>
      <c r="E606" s="53"/>
      <c r="F606" s="61"/>
      <c r="G606" s="53"/>
      <c r="H606" s="53"/>
      <c r="I606" s="53"/>
      <c r="J606" s="48" t="str">
        <f t="array" ref="J606">IF(G606="","",IFERROR(LET(ev_cost,INDEX(Events!$G$5:$G$505,MATCH(G606,Events!$A$5:$A$505,0)),ev_split,INDEX(Events!$I$5:$I$505,MATCH(G606,Events!$A$5:$A$505,0)),att_offset,MATCH(G606,Attendance!$B$3:$AV$3,0),attendees,COUNTIF(INDEX(Attendance!$B$7:$AV$206,0,att_offset),"1"),IF(ev_split="Equal Split",ev_cost/MAX(1,COUNTA(Roster!$A$5:$A$204)),ev_cost/MAX(1,attendees))),"N/A"))</f>
        <v/>
      </c>
      <c r="K606" s="5"/>
      <c r="L606" s="5"/>
      <c r="M606" s="5"/>
      <c r="N606" s="5"/>
      <c r="O606" s="5"/>
      <c r="P606" s="5"/>
      <c r="Q606" s="5"/>
      <c r="R606" s="5"/>
      <c r="S606" s="5"/>
      <c r="T606" s="5"/>
      <c r="U606" s="5"/>
      <c r="V606" s="5"/>
      <c r="W606" s="5"/>
      <c r="X606" s="5"/>
      <c r="Y606" s="5"/>
      <c r="Z606" s="5"/>
    </row>
    <row r="607" ht="19.5" customHeight="1">
      <c r="A607" s="49"/>
      <c r="B607" s="50"/>
      <c r="C607" s="50"/>
      <c r="D607" s="50"/>
      <c r="E607" s="50"/>
      <c r="F607" s="51"/>
      <c r="G607" s="50"/>
      <c r="H607" s="50"/>
      <c r="I607" s="50"/>
      <c r="J607" s="48" t="str">
        <f t="array" ref="J607">IF(G607="","",IFERROR(LET(ev_cost,INDEX(Events!$G$5:$G$505,MATCH(G607,Events!$A$5:$A$505,0)),ev_split,INDEX(Events!$I$5:$I$505,MATCH(G607,Events!$A$5:$A$505,0)),att_offset,MATCH(G607,Attendance!$B$3:$AV$3,0),attendees,COUNTIF(INDEX(Attendance!$B$7:$AV$206,0,att_offset),"1"),IF(ev_split="Equal Split",ev_cost/MAX(1,COUNTA(Roster!$A$5:$A$204)),ev_cost/MAX(1,attendees))),"N/A"))</f>
        <v/>
      </c>
      <c r="K607" s="5"/>
      <c r="L607" s="5"/>
      <c r="M607" s="5"/>
      <c r="N607" s="5"/>
      <c r="O607" s="5"/>
      <c r="P607" s="5"/>
      <c r="Q607" s="5"/>
      <c r="R607" s="5"/>
      <c r="S607" s="5"/>
      <c r="T607" s="5"/>
      <c r="U607" s="5"/>
      <c r="V607" s="5"/>
      <c r="W607" s="5"/>
      <c r="X607" s="5"/>
      <c r="Y607" s="5"/>
      <c r="Z607" s="5"/>
    </row>
    <row r="608" ht="19.5" customHeight="1">
      <c r="A608" s="52"/>
      <c r="B608" s="53"/>
      <c r="C608" s="53"/>
      <c r="D608" s="53"/>
      <c r="E608" s="53"/>
      <c r="F608" s="61"/>
      <c r="G608" s="53"/>
      <c r="H608" s="53"/>
      <c r="I608" s="53"/>
      <c r="J608" s="48" t="str">
        <f t="array" ref="J608">IF(G608="","",IFERROR(LET(ev_cost,INDEX(Events!$G$5:$G$505,MATCH(G608,Events!$A$5:$A$505,0)),ev_split,INDEX(Events!$I$5:$I$505,MATCH(G608,Events!$A$5:$A$505,0)),att_offset,MATCH(G608,Attendance!$B$3:$AV$3,0),attendees,COUNTIF(INDEX(Attendance!$B$7:$AV$206,0,att_offset),"1"),IF(ev_split="Equal Split",ev_cost/MAX(1,COUNTA(Roster!$A$5:$A$204)),ev_cost/MAX(1,attendees))),"N/A"))</f>
        <v/>
      </c>
      <c r="K608" s="5"/>
      <c r="L608" s="5"/>
      <c r="M608" s="5"/>
      <c r="N608" s="5"/>
      <c r="O608" s="5"/>
      <c r="P608" s="5"/>
      <c r="Q608" s="5"/>
      <c r="R608" s="5"/>
      <c r="S608" s="5"/>
      <c r="T608" s="5"/>
      <c r="U608" s="5"/>
      <c r="V608" s="5"/>
      <c r="W608" s="5"/>
      <c r="X608" s="5"/>
      <c r="Y608" s="5"/>
      <c r="Z608" s="5"/>
    </row>
    <row r="609" ht="19.5" customHeight="1">
      <c r="A609" s="49"/>
      <c r="B609" s="50"/>
      <c r="C609" s="50"/>
      <c r="D609" s="50"/>
      <c r="E609" s="50"/>
      <c r="F609" s="51"/>
      <c r="G609" s="50"/>
      <c r="H609" s="50"/>
      <c r="I609" s="50"/>
      <c r="J609" s="48" t="str">
        <f t="array" ref="J609">IF(G609="","",IFERROR(LET(ev_cost,INDEX(Events!$G$5:$G$505,MATCH(G609,Events!$A$5:$A$505,0)),ev_split,INDEX(Events!$I$5:$I$505,MATCH(G609,Events!$A$5:$A$505,0)),att_offset,MATCH(G609,Attendance!$B$3:$AV$3,0),attendees,COUNTIF(INDEX(Attendance!$B$7:$AV$206,0,att_offset),"1"),IF(ev_split="Equal Split",ev_cost/MAX(1,COUNTA(Roster!$A$5:$A$204)),ev_cost/MAX(1,attendees))),"N/A"))</f>
        <v/>
      </c>
      <c r="K609" s="5"/>
      <c r="L609" s="5"/>
      <c r="M609" s="5"/>
      <c r="N609" s="5"/>
      <c r="O609" s="5"/>
      <c r="P609" s="5"/>
      <c r="Q609" s="5"/>
      <c r="R609" s="5"/>
      <c r="S609" s="5"/>
      <c r="T609" s="5"/>
      <c r="U609" s="5"/>
      <c r="V609" s="5"/>
      <c r="W609" s="5"/>
      <c r="X609" s="5"/>
      <c r="Y609" s="5"/>
      <c r="Z609" s="5"/>
    </row>
    <row r="610" ht="19.5" customHeight="1">
      <c r="A610" s="52"/>
      <c r="B610" s="53"/>
      <c r="C610" s="53"/>
      <c r="D610" s="53"/>
      <c r="E610" s="53"/>
      <c r="F610" s="61"/>
      <c r="G610" s="53"/>
      <c r="H610" s="53"/>
      <c r="I610" s="53"/>
      <c r="J610" s="48" t="str">
        <f t="array" ref="J610">IF(G610="","",IFERROR(LET(ev_cost,INDEX(Events!$G$5:$G$505,MATCH(G610,Events!$A$5:$A$505,0)),ev_split,INDEX(Events!$I$5:$I$505,MATCH(G610,Events!$A$5:$A$505,0)),att_offset,MATCH(G610,Attendance!$B$3:$AV$3,0),attendees,COUNTIF(INDEX(Attendance!$B$7:$AV$206,0,att_offset),"1"),IF(ev_split="Equal Split",ev_cost/MAX(1,COUNTA(Roster!$A$5:$A$204)),ev_cost/MAX(1,attendees))),"N/A"))</f>
        <v/>
      </c>
      <c r="K610" s="5"/>
      <c r="L610" s="5"/>
      <c r="M610" s="5"/>
      <c r="N610" s="5"/>
      <c r="O610" s="5"/>
      <c r="P610" s="5"/>
      <c r="Q610" s="5"/>
      <c r="R610" s="5"/>
      <c r="S610" s="5"/>
      <c r="T610" s="5"/>
      <c r="U610" s="5"/>
      <c r="V610" s="5"/>
      <c r="W610" s="5"/>
      <c r="X610" s="5"/>
      <c r="Y610" s="5"/>
      <c r="Z610" s="5"/>
    </row>
    <row r="611" ht="19.5" customHeight="1">
      <c r="A611" s="49"/>
      <c r="B611" s="50"/>
      <c r="C611" s="50"/>
      <c r="D611" s="50"/>
      <c r="E611" s="50"/>
      <c r="F611" s="51"/>
      <c r="G611" s="50"/>
      <c r="H611" s="50"/>
      <c r="I611" s="50"/>
      <c r="J611" s="48" t="str">
        <f t="array" ref="J611">IF(G611="","",IFERROR(LET(ev_cost,INDEX(Events!$G$5:$G$505,MATCH(G611,Events!$A$5:$A$505,0)),ev_split,INDEX(Events!$I$5:$I$505,MATCH(G611,Events!$A$5:$A$505,0)),att_offset,MATCH(G611,Attendance!$B$3:$AV$3,0),attendees,COUNTIF(INDEX(Attendance!$B$7:$AV$206,0,att_offset),"1"),IF(ev_split="Equal Split",ev_cost/MAX(1,COUNTA(Roster!$A$5:$A$204)),ev_cost/MAX(1,attendees))),"N/A"))</f>
        <v/>
      </c>
      <c r="K611" s="5"/>
      <c r="L611" s="5"/>
      <c r="M611" s="5"/>
      <c r="N611" s="5"/>
      <c r="O611" s="5"/>
      <c r="P611" s="5"/>
      <c r="Q611" s="5"/>
      <c r="R611" s="5"/>
      <c r="S611" s="5"/>
      <c r="T611" s="5"/>
      <c r="U611" s="5"/>
      <c r="V611" s="5"/>
      <c r="W611" s="5"/>
      <c r="X611" s="5"/>
      <c r="Y611" s="5"/>
      <c r="Z611" s="5"/>
    </row>
    <row r="612" ht="19.5" customHeight="1">
      <c r="A612" s="52"/>
      <c r="B612" s="53"/>
      <c r="C612" s="53"/>
      <c r="D612" s="53"/>
      <c r="E612" s="53"/>
      <c r="F612" s="61"/>
      <c r="G612" s="53"/>
      <c r="H612" s="53"/>
      <c r="I612" s="53"/>
      <c r="J612" s="48" t="str">
        <f t="array" ref="J612">IF(G612="","",IFERROR(LET(ev_cost,INDEX(Events!$G$5:$G$505,MATCH(G612,Events!$A$5:$A$505,0)),ev_split,INDEX(Events!$I$5:$I$505,MATCH(G612,Events!$A$5:$A$505,0)),att_offset,MATCH(G612,Attendance!$B$3:$AV$3,0),attendees,COUNTIF(INDEX(Attendance!$B$7:$AV$206,0,att_offset),"1"),IF(ev_split="Equal Split",ev_cost/MAX(1,COUNTA(Roster!$A$5:$A$204)),ev_cost/MAX(1,attendees))),"N/A"))</f>
        <v/>
      </c>
      <c r="K612" s="5"/>
      <c r="L612" s="5"/>
      <c r="M612" s="5"/>
      <c r="N612" s="5"/>
      <c r="O612" s="5"/>
      <c r="P612" s="5"/>
      <c r="Q612" s="5"/>
      <c r="R612" s="5"/>
      <c r="S612" s="5"/>
      <c r="T612" s="5"/>
      <c r="U612" s="5"/>
      <c r="V612" s="5"/>
      <c r="W612" s="5"/>
      <c r="X612" s="5"/>
      <c r="Y612" s="5"/>
      <c r="Z612" s="5"/>
    </row>
    <row r="613" ht="19.5" customHeight="1">
      <c r="A613" s="49"/>
      <c r="B613" s="50"/>
      <c r="C613" s="50"/>
      <c r="D613" s="50"/>
      <c r="E613" s="50"/>
      <c r="F613" s="51"/>
      <c r="G613" s="50"/>
      <c r="H613" s="50"/>
      <c r="I613" s="50"/>
      <c r="J613" s="48" t="str">
        <f t="array" ref="J613">IF(G613="","",IFERROR(LET(ev_cost,INDEX(Events!$G$5:$G$505,MATCH(G613,Events!$A$5:$A$505,0)),ev_split,INDEX(Events!$I$5:$I$505,MATCH(G613,Events!$A$5:$A$505,0)),att_offset,MATCH(G613,Attendance!$B$3:$AV$3,0),attendees,COUNTIF(INDEX(Attendance!$B$7:$AV$206,0,att_offset),"1"),IF(ev_split="Equal Split",ev_cost/MAX(1,COUNTA(Roster!$A$5:$A$204)),ev_cost/MAX(1,attendees))),"N/A"))</f>
        <v/>
      </c>
      <c r="K613" s="5"/>
      <c r="L613" s="5"/>
      <c r="M613" s="5"/>
      <c r="N613" s="5"/>
      <c r="O613" s="5"/>
      <c r="P613" s="5"/>
      <c r="Q613" s="5"/>
      <c r="R613" s="5"/>
      <c r="S613" s="5"/>
      <c r="T613" s="5"/>
      <c r="U613" s="5"/>
      <c r="V613" s="5"/>
      <c r="W613" s="5"/>
      <c r="X613" s="5"/>
      <c r="Y613" s="5"/>
      <c r="Z613" s="5"/>
    </row>
    <row r="614" ht="19.5" customHeight="1">
      <c r="A614" s="52"/>
      <c r="B614" s="53"/>
      <c r="C614" s="53"/>
      <c r="D614" s="53"/>
      <c r="E614" s="53"/>
      <c r="F614" s="61"/>
      <c r="G614" s="53"/>
      <c r="H614" s="53"/>
      <c r="I614" s="53"/>
      <c r="J614" s="48" t="str">
        <f t="array" ref="J614">IF(G614="","",IFERROR(LET(ev_cost,INDEX(Events!$G$5:$G$505,MATCH(G614,Events!$A$5:$A$505,0)),ev_split,INDEX(Events!$I$5:$I$505,MATCH(G614,Events!$A$5:$A$505,0)),att_offset,MATCH(G614,Attendance!$B$3:$AV$3,0),attendees,COUNTIF(INDEX(Attendance!$B$7:$AV$206,0,att_offset),"1"),IF(ev_split="Equal Split",ev_cost/MAX(1,COUNTA(Roster!$A$5:$A$204)),ev_cost/MAX(1,attendees))),"N/A"))</f>
        <v/>
      </c>
      <c r="K614" s="5"/>
      <c r="L614" s="5"/>
      <c r="M614" s="5"/>
      <c r="N614" s="5"/>
      <c r="O614" s="5"/>
      <c r="P614" s="5"/>
      <c r="Q614" s="5"/>
      <c r="R614" s="5"/>
      <c r="S614" s="5"/>
      <c r="T614" s="5"/>
      <c r="U614" s="5"/>
      <c r="V614" s="5"/>
      <c r="W614" s="5"/>
      <c r="X614" s="5"/>
      <c r="Y614" s="5"/>
      <c r="Z614" s="5"/>
    </row>
    <row r="615" ht="19.5" customHeight="1">
      <c r="A615" s="49"/>
      <c r="B615" s="50"/>
      <c r="C615" s="50"/>
      <c r="D615" s="50"/>
      <c r="E615" s="50"/>
      <c r="F615" s="51"/>
      <c r="G615" s="50"/>
      <c r="H615" s="50"/>
      <c r="I615" s="50"/>
      <c r="J615" s="48" t="str">
        <f t="array" ref="J615">IF(G615="","",IFERROR(LET(ev_cost,INDEX(Events!$G$5:$G$505,MATCH(G615,Events!$A$5:$A$505,0)),ev_split,INDEX(Events!$I$5:$I$505,MATCH(G615,Events!$A$5:$A$505,0)),att_offset,MATCH(G615,Attendance!$B$3:$AV$3,0),attendees,COUNTIF(INDEX(Attendance!$B$7:$AV$206,0,att_offset),"1"),IF(ev_split="Equal Split",ev_cost/MAX(1,COUNTA(Roster!$A$5:$A$204)),ev_cost/MAX(1,attendees))),"N/A"))</f>
        <v/>
      </c>
      <c r="K615" s="5"/>
      <c r="L615" s="5"/>
      <c r="M615" s="5"/>
      <c r="N615" s="5"/>
      <c r="O615" s="5"/>
      <c r="P615" s="5"/>
      <c r="Q615" s="5"/>
      <c r="R615" s="5"/>
      <c r="S615" s="5"/>
      <c r="T615" s="5"/>
      <c r="U615" s="5"/>
      <c r="V615" s="5"/>
      <c r="W615" s="5"/>
      <c r="X615" s="5"/>
      <c r="Y615" s="5"/>
      <c r="Z615" s="5"/>
    </row>
    <row r="616" ht="19.5" customHeight="1">
      <c r="A616" s="52"/>
      <c r="B616" s="53"/>
      <c r="C616" s="53"/>
      <c r="D616" s="53"/>
      <c r="E616" s="53"/>
      <c r="F616" s="61"/>
      <c r="G616" s="53"/>
      <c r="H616" s="53"/>
      <c r="I616" s="53"/>
      <c r="J616" s="48" t="str">
        <f t="array" ref="J616">IF(G616="","",IFERROR(LET(ev_cost,INDEX(Events!$G$5:$G$505,MATCH(G616,Events!$A$5:$A$505,0)),ev_split,INDEX(Events!$I$5:$I$505,MATCH(G616,Events!$A$5:$A$505,0)),att_offset,MATCH(G616,Attendance!$B$3:$AV$3,0),attendees,COUNTIF(INDEX(Attendance!$B$7:$AV$206,0,att_offset),"1"),IF(ev_split="Equal Split",ev_cost/MAX(1,COUNTA(Roster!$A$5:$A$204)),ev_cost/MAX(1,attendees))),"N/A"))</f>
        <v/>
      </c>
      <c r="K616" s="5"/>
      <c r="L616" s="5"/>
      <c r="M616" s="5"/>
      <c r="N616" s="5"/>
      <c r="O616" s="5"/>
      <c r="P616" s="5"/>
      <c r="Q616" s="5"/>
      <c r="R616" s="5"/>
      <c r="S616" s="5"/>
      <c r="T616" s="5"/>
      <c r="U616" s="5"/>
      <c r="V616" s="5"/>
      <c r="W616" s="5"/>
      <c r="X616" s="5"/>
      <c r="Y616" s="5"/>
      <c r="Z616" s="5"/>
    </row>
    <row r="617" ht="19.5" customHeight="1">
      <c r="A617" s="49"/>
      <c r="B617" s="50"/>
      <c r="C617" s="50"/>
      <c r="D617" s="50"/>
      <c r="E617" s="50"/>
      <c r="F617" s="51"/>
      <c r="G617" s="50"/>
      <c r="H617" s="50"/>
      <c r="I617" s="50"/>
      <c r="J617" s="48" t="str">
        <f t="array" ref="J617">IF(G617="","",IFERROR(LET(ev_cost,INDEX(Events!$G$5:$G$505,MATCH(G617,Events!$A$5:$A$505,0)),ev_split,INDEX(Events!$I$5:$I$505,MATCH(G617,Events!$A$5:$A$505,0)),att_offset,MATCH(G617,Attendance!$B$3:$AV$3,0),attendees,COUNTIF(INDEX(Attendance!$B$7:$AV$206,0,att_offset),"1"),IF(ev_split="Equal Split",ev_cost/MAX(1,COUNTA(Roster!$A$5:$A$204)),ev_cost/MAX(1,attendees))),"N/A"))</f>
        <v/>
      </c>
      <c r="K617" s="5"/>
      <c r="L617" s="5"/>
      <c r="M617" s="5"/>
      <c r="N617" s="5"/>
      <c r="O617" s="5"/>
      <c r="P617" s="5"/>
      <c r="Q617" s="5"/>
      <c r="R617" s="5"/>
      <c r="S617" s="5"/>
      <c r="T617" s="5"/>
      <c r="U617" s="5"/>
      <c r="V617" s="5"/>
      <c r="W617" s="5"/>
      <c r="X617" s="5"/>
      <c r="Y617" s="5"/>
      <c r="Z617" s="5"/>
    </row>
    <row r="618" ht="19.5" customHeight="1">
      <c r="A618" s="52"/>
      <c r="B618" s="53"/>
      <c r="C618" s="53"/>
      <c r="D618" s="53"/>
      <c r="E618" s="53"/>
      <c r="F618" s="61"/>
      <c r="G618" s="53"/>
      <c r="H618" s="53"/>
      <c r="I618" s="53"/>
      <c r="J618" s="48" t="str">
        <f t="array" ref="J618">IF(G618="","",IFERROR(LET(ev_cost,INDEX(Events!$G$5:$G$505,MATCH(G618,Events!$A$5:$A$505,0)),ev_split,INDEX(Events!$I$5:$I$505,MATCH(G618,Events!$A$5:$A$505,0)),att_offset,MATCH(G618,Attendance!$B$3:$AV$3,0),attendees,COUNTIF(INDEX(Attendance!$B$7:$AV$206,0,att_offset),"1"),IF(ev_split="Equal Split",ev_cost/MAX(1,COUNTA(Roster!$A$5:$A$204)),ev_cost/MAX(1,attendees))),"N/A"))</f>
        <v/>
      </c>
      <c r="K618" s="5"/>
      <c r="L618" s="5"/>
      <c r="M618" s="5"/>
      <c r="N618" s="5"/>
      <c r="O618" s="5"/>
      <c r="P618" s="5"/>
      <c r="Q618" s="5"/>
      <c r="R618" s="5"/>
      <c r="S618" s="5"/>
      <c r="T618" s="5"/>
      <c r="U618" s="5"/>
      <c r="V618" s="5"/>
      <c r="W618" s="5"/>
      <c r="X618" s="5"/>
      <c r="Y618" s="5"/>
      <c r="Z618" s="5"/>
    </row>
    <row r="619" ht="19.5" customHeight="1">
      <c r="A619" s="49"/>
      <c r="B619" s="50"/>
      <c r="C619" s="50"/>
      <c r="D619" s="50"/>
      <c r="E619" s="50"/>
      <c r="F619" s="51"/>
      <c r="G619" s="50"/>
      <c r="H619" s="50"/>
      <c r="I619" s="50"/>
      <c r="J619" s="48" t="str">
        <f t="array" ref="J619">IF(G619="","",IFERROR(LET(ev_cost,INDEX(Events!$G$5:$G$505,MATCH(G619,Events!$A$5:$A$505,0)),ev_split,INDEX(Events!$I$5:$I$505,MATCH(G619,Events!$A$5:$A$505,0)),att_offset,MATCH(G619,Attendance!$B$3:$AV$3,0),attendees,COUNTIF(INDEX(Attendance!$B$7:$AV$206,0,att_offset),"1"),IF(ev_split="Equal Split",ev_cost/MAX(1,COUNTA(Roster!$A$5:$A$204)),ev_cost/MAX(1,attendees))),"N/A"))</f>
        <v/>
      </c>
      <c r="K619" s="5"/>
      <c r="L619" s="5"/>
      <c r="M619" s="5"/>
      <c r="N619" s="5"/>
      <c r="O619" s="5"/>
      <c r="P619" s="5"/>
      <c r="Q619" s="5"/>
      <c r="R619" s="5"/>
      <c r="S619" s="5"/>
      <c r="T619" s="5"/>
      <c r="U619" s="5"/>
      <c r="V619" s="5"/>
      <c r="W619" s="5"/>
      <c r="X619" s="5"/>
      <c r="Y619" s="5"/>
      <c r="Z619" s="5"/>
    </row>
    <row r="620" ht="19.5" customHeight="1">
      <c r="A620" s="52"/>
      <c r="B620" s="53"/>
      <c r="C620" s="53"/>
      <c r="D620" s="53"/>
      <c r="E620" s="53"/>
      <c r="F620" s="61"/>
      <c r="G620" s="53"/>
      <c r="H620" s="53"/>
      <c r="I620" s="53"/>
      <c r="J620" s="48" t="str">
        <f t="array" ref="J620">IF(G620="","",IFERROR(LET(ev_cost,INDEX(Events!$G$5:$G$505,MATCH(G620,Events!$A$5:$A$505,0)),ev_split,INDEX(Events!$I$5:$I$505,MATCH(G620,Events!$A$5:$A$505,0)),att_offset,MATCH(G620,Attendance!$B$3:$AV$3,0),attendees,COUNTIF(INDEX(Attendance!$B$7:$AV$206,0,att_offset),"1"),IF(ev_split="Equal Split",ev_cost/MAX(1,COUNTA(Roster!$A$5:$A$204)),ev_cost/MAX(1,attendees))),"N/A"))</f>
        <v/>
      </c>
      <c r="K620" s="5"/>
      <c r="L620" s="5"/>
      <c r="M620" s="5"/>
      <c r="N620" s="5"/>
      <c r="O620" s="5"/>
      <c r="P620" s="5"/>
      <c r="Q620" s="5"/>
      <c r="R620" s="5"/>
      <c r="S620" s="5"/>
      <c r="T620" s="5"/>
      <c r="U620" s="5"/>
      <c r="V620" s="5"/>
      <c r="W620" s="5"/>
      <c r="X620" s="5"/>
      <c r="Y620" s="5"/>
      <c r="Z620" s="5"/>
    </row>
    <row r="621" ht="19.5" customHeight="1">
      <c r="A621" s="49"/>
      <c r="B621" s="50"/>
      <c r="C621" s="50"/>
      <c r="D621" s="50"/>
      <c r="E621" s="50"/>
      <c r="F621" s="51"/>
      <c r="G621" s="50"/>
      <c r="H621" s="50"/>
      <c r="I621" s="50"/>
      <c r="J621" s="48" t="str">
        <f t="array" ref="J621">IF(G621="","",IFERROR(LET(ev_cost,INDEX(Events!$G$5:$G$505,MATCH(G621,Events!$A$5:$A$505,0)),ev_split,INDEX(Events!$I$5:$I$505,MATCH(G621,Events!$A$5:$A$505,0)),att_offset,MATCH(G621,Attendance!$B$3:$AV$3,0),attendees,COUNTIF(INDEX(Attendance!$B$7:$AV$206,0,att_offset),"1"),IF(ev_split="Equal Split",ev_cost/MAX(1,COUNTA(Roster!$A$5:$A$204)),ev_cost/MAX(1,attendees))),"N/A"))</f>
        <v/>
      </c>
      <c r="K621" s="5"/>
      <c r="L621" s="5"/>
      <c r="M621" s="5"/>
      <c r="N621" s="5"/>
      <c r="O621" s="5"/>
      <c r="P621" s="5"/>
      <c r="Q621" s="5"/>
      <c r="R621" s="5"/>
      <c r="S621" s="5"/>
      <c r="T621" s="5"/>
      <c r="U621" s="5"/>
      <c r="V621" s="5"/>
      <c r="W621" s="5"/>
      <c r="X621" s="5"/>
      <c r="Y621" s="5"/>
      <c r="Z621" s="5"/>
    </row>
    <row r="622" ht="19.5" customHeight="1">
      <c r="A622" s="52"/>
      <c r="B622" s="53"/>
      <c r="C622" s="53"/>
      <c r="D622" s="53"/>
      <c r="E622" s="53"/>
      <c r="F622" s="61"/>
      <c r="G622" s="53"/>
      <c r="H622" s="53"/>
      <c r="I622" s="53"/>
      <c r="J622" s="48" t="str">
        <f t="array" ref="J622">IF(G622="","",IFERROR(LET(ev_cost,INDEX(Events!$G$5:$G$505,MATCH(G622,Events!$A$5:$A$505,0)),ev_split,INDEX(Events!$I$5:$I$505,MATCH(G622,Events!$A$5:$A$505,0)),att_offset,MATCH(G622,Attendance!$B$3:$AV$3,0),attendees,COUNTIF(INDEX(Attendance!$B$7:$AV$206,0,att_offset),"1"),IF(ev_split="Equal Split",ev_cost/MAX(1,COUNTA(Roster!$A$5:$A$204)),ev_cost/MAX(1,attendees))),"N/A"))</f>
        <v/>
      </c>
      <c r="K622" s="5"/>
      <c r="L622" s="5"/>
      <c r="M622" s="5"/>
      <c r="N622" s="5"/>
      <c r="O622" s="5"/>
      <c r="P622" s="5"/>
      <c r="Q622" s="5"/>
      <c r="R622" s="5"/>
      <c r="S622" s="5"/>
      <c r="T622" s="5"/>
      <c r="U622" s="5"/>
      <c r="V622" s="5"/>
      <c r="W622" s="5"/>
      <c r="X622" s="5"/>
      <c r="Y622" s="5"/>
      <c r="Z622" s="5"/>
    </row>
    <row r="623" ht="19.5" customHeight="1">
      <c r="A623" s="49"/>
      <c r="B623" s="50"/>
      <c r="C623" s="50"/>
      <c r="D623" s="50"/>
      <c r="E623" s="50"/>
      <c r="F623" s="51"/>
      <c r="G623" s="50"/>
      <c r="H623" s="50"/>
      <c r="I623" s="50"/>
      <c r="J623" s="48" t="str">
        <f t="array" ref="J623">IF(G623="","",IFERROR(LET(ev_cost,INDEX(Events!$G$5:$G$505,MATCH(G623,Events!$A$5:$A$505,0)),ev_split,INDEX(Events!$I$5:$I$505,MATCH(G623,Events!$A$5:$A$505,0)),att_offset,MATCH(G623,Attendance!$B$3:$AV$3,0),attendees,COUNTIF(INDEX(Attendance!$B$7:$AV$206,0,att_offset),"1"),IF(ev_split="Equal Split",ev_cost/MAX(1,COUNTA(Roster!$A$5:$A$204)),ev_cost/MAX(1,attendees))),"N/A"))</f>
        <v/>
      </c>
      <c r="K623" s="5"/>
      <c r="L623" s="5"/>
      <c r="M623" s="5"/>
      <c r="N623" s="5"/>
      <c r="O623" s="5"/>
      <c r="P623" s="5"/>
      <c r="Q623" s="5"/>
      <c r="R623" s="5"/>
      <c r="S623" s="5"/>
      <c r="T623" s="5"/>
      <c r="U623" s="5"/>
      <c r="V623" s="5"/>
      <c r="W623" s="5"/>
      <c r="X623" s="5"/>
      <c r="Y623" s="5"/>
      <c r="Z623" s="5"/>
    </row>
    <row r="624" ht="19.5" customHeight="1">
      <c r="A624" s="52"/>
      <c r="B624" s="53"/>
      <c r="C624" s="53"/>
      <c r="D624" s="53"/>
      <c r="E624" s="53"/>
      <c r="F624" s="61"/>
      <c r="G624" s="53"/>
      <c r="H624" s="53"/>
      <c r="I624" s="53"/>
      <c r="J624" s="48" t="str">
        <f t="array" ref="J624">IF(G624="","",IFERROR(LET(ev_cost,INDEX(Events!$G$5:$G$505,MATCH(G624,Events!$A$5:$A$505,0)),ev_split,INDEX(Events!$I$5:$I$505,MATCH(G624,Events!$A$5:$A$505,0)),att_offset,MATCH(G624,Attendance!$B$3:$AV$3,0),attendees,COUNTIF(INDEX(Attendance!$B$7:$AV$206,0,att_offset),"1"),IF(ev_split="Equal Split",ev_cost/MAX(1,COUNTA(Roster!$A$5:$A$204)),ev_cost/MAX(1,attendees))),"N/A"))</f>
        <v/>
      </c>
      <c r="K624" s="5"/>
      <c r="L624" s="5"/>
      <c r="M624" s="5"/>
      <c r="N624" s="5"/>
      <c r="O624" s="5"/>
      <c r="P624" s="5"/>
      <c r="Q624" s="5"/>
      <c r="R624" s="5"/>
      <c r="S624" s="5"/>
      <c r="T624" s="5"/>
      <c r="U624" s="5"/>
      <c r="V624" s="5"/>
      <c r="W624" s="5"/>
      <c r="X624" s="5"/>
      <c r="Y624" s="5"/>
      <c r="Z624" s="5"/>
    </row>
    <row r="625" ht="19.5" customHeight="1">
      <c r="A625" s="49"/>
      <c r="B625" s="50"/>
      <c r="C625" s="50"/>
      <c r="D625" s="50"/>
      <c r="E625" s="50"/>
      <c r="F625" s="51"/>
      <c r="G625" s="50"/>
      <c r="H625" s="50"/>
      <c r="I625" s="50"/>
      <c r="J625" s="48" t="str">
        <f t="array" ref="J625">IF(G625="","",IFERROR(LET(ev_cost,INDEX(Events!$G$5:$G$505,MATCH(G625,Events!$A$5:$A$505,0)),ev_split,INDEX(Events!$I$5:$I$505,MATCH(G625,Events!$A$5:$A$505,0)),att_offset,MATCH(G625,Attendance!$B$3:$AV$3,0),attendees,COUNTIF(INDEX(Attendance!$B$7:$AV$206,0,att_offset),"1"),IF(ev_split="Equal Split",ev_cost/MAX(1,COUNTA(Roster!$A$5:$A$204)),ev_cost/MAX(1,attendees))),"N/A"))</f>
        <v/>
      </c>
      <c r="K625" s="5"/>
      <c r="L625" s="5"/>
      <c r="M625" s="5"/>
      <c r="N625" s="5"/>
      <c r="O625" s="5"/>
      <c r="P625" s="5"/>
      <c r="Q625" s="5"/>
      <c r="R625" s="5"/>
      <c r="S625" s="5"/>
      <c r="T625" s="5"/>
      <c r="U625" s="5"/>
      <c r="V625" s="5"/>
      <c r="W625" s="5"/>
      <c r="X625" s="5"/>
      <c r="Y625" s="5"/>
      <c r="Z625" s="5"/>
    </row>
    <row r="626" ht="19.5" customHeight="1">
      <c r="A626" s="52"/>
      <c r="B626" s="53"/>
      <c r="C626" s="53"/>
      <c r="D626" s="53"/>
      <c r="E626" s="53"/>
      <c r="F626" s="61"/>
      <c r="G626" s="53"/>
      <c r="H626" s="53"/>
      <c r="I626" s="53"/>
      <c r="J626" s="48" t="str">
        <f t="array" ref="J626">IF(G626="","",IFERROR(LET(ev_cost,INDEX(Events!$G$5:$G$505,MATCH(G626,Events!$A$5:$A$505,0)),ev_split,INDEX(Events!$I$5:$I$505,MATCH(G626,Events!$A$5:$A$505,0)),att_offset,MATCH(G626,Attendance!$B$3:$AV$3,0),attendees,COUNTIF(INDEX(Attendance!$B$7:$AV$206,0,att_offset),"1"),IF(ev_split="Equal Split",ev_cost/MAX(1,COUNTA(Roster!$A$5:$A$204)),ev_cost/MAX(1,attendees))),"N/A"))</f>
        <v/>
      </c>
      <c r="K626" s="5"/>
      <c r="L626" s="5"/>
      <c r="M626" s="5"/>
      <c r="N626" s="5"/>
      <c r="O626" s="5"/>
      <c r="P626" s="5"/>
      <c r="Q626" s="5"/>
      <c r="R626" s="5"/>
      <c r="S626" s="5"/>
      <c r="T626" s="5"/>
      <c r="U626" s="5"/>
      <c r="V626" s="5"/>
      <c r="W626" s="5"/>
      <c r="X626" s="5"/>
      <c r="Y626" s="5"/>
      <c r="Z626" s="5"/>
    </row>
    <row r="627" ht="19.5" customHeight="1">
      <c r="A627" s="49"/>
      <c r="B627" s="50"/>
      <c r="C627" s="50"/>
      <c r="D627" s="50"/>
      <c r="E627" s="50"/>
      <c r="F627" s="51"/>
      <c r="G627" s="50"/>
      <c r="H627" s="50"/>
      <c r="I627" s="50"/>
      <c r="J627" s="48" t="str">
        <f t="array" ref="J627">IF(G627="","",IFERROR(LET(ev_cost,INDEX(Events!$G$5:$G$505,MATCH(G627,Events!$A$5:$A$505,0)),ev_split,INDEX(Events!$I$5:$I$505,MATCH(G627,Events!$A$5:$A$505,0)),att_offset,MATCH(G627,Attendance!$B$3:$AV$3,0),attendees,COUNTIF(INDEX(Attendance!$B$7:$AV$206,0,att_offset),"1"),IF(ev_split="Equal Split",ev_cost/MAX(1,COUNTA(Roster!$A$5:$A$204)),ev_cost/MAX(1,attendees))),"N/A"))</f>
        <v/>
      </c>
      <c r="K627" s="5"/>
      <c r="L627" s="5"/>
      <c r="M627" s="5"/>
      <c r="N627" s="5"/>
      <c r="O627" s="5"/>
      <c r="P627" s="5"/>
      <c r="Q627" s="5"/>
      <c r="R627" s="5"/>
      <c r="S627" s="5"/>
      <c r="T627" s="5"/>
      <c r="U627" s="5"/>
      <c r="V627" s="5"/>
      <c r="W627" s="5"/>
      <c r="X627" s="5"/>
      <c r="Y627" s="5"/>
      <c r="Z627" s="5"/>
    </row>
    <row r="628" ht="19.5" customHeight="1">
      <c r="A628" s="52"/>
      <c r="B628" s="53"/>
      <c r="C628" s="53"/>
      <c r="D628" s="53"/>
      <c r="E628" s="53"/>
      <c r="F628" s="61"/>
      <c r="G628" s="53"/>
      <c r="H628" s="53"/>
      <c r="I628" s="53"/>
      <c r="J628" s="48" t="str">
        <f t="array" ref="J628">IF(G628="","",IFERROR(LET(ev_cost,INDEX(Events!$G$5:$G$505,MATCH(G628,Events!$A$5:$A$505,0)),ev_split,INDEX(Events!$I$5:$I$505,MATCH(G628,Events!$A$5:$A$505,0)),att_offset,MATCH(G628,Attendance!$B$3:$AV$3,0),attendees,COUNTIF(INDEX(Attendance!$B$7:$AV$206,0,att_offset),"1"),IF(ev_split="Equal Split",ev_cost/MAX(1,COUNTA(Roster!$A$5:$A$204)),ev_cost/MAX(1,attendees))),"N/A"))</f>
        <v/>
      </c>
      <c r="K628" s="5"/>
      <c r="L628" s="5"/>
      <c r="M628" s="5"/>
      <c r="N628" s="5"/>
      <c r="O628" s="5"/>
      <c r="P628" s="5"/>
      <c r="Q628" s="5"/>
      <c r="R628" s="5"/>
      <c r="S628" s="5"/>
      <c r="T628" s="5"/>
      <c r="U628" s="5"/>
      <c r="V628" s="5"/>
      <c r="W628" s="5"/>
      <c r="X628" s="5"/>
      <c r="Y628" s="5"/>
      <c r="Z628" s="5"/>
    </row>
    <row r="629" ht="19.5" customHeight="1">
      <c r="A629" s="49"/>
      <c r="B629" s="50"/>
      <c r="C629" s="50"/>
      <c r="D629" s="50"/>
      <c r="E629" s="50"/>
      <c r="F629" s="51"/>
      <c r="G629" s="50"/>
      <c r="H629" s="50"/>
      <c r="I629" s="50"/>
      <c r="J629" s="48" t="str">
        <f t="array" ref="J629">IF(G629="","",IFERROR(LET(ev_cost,INDEX(Events!$G$5:$G$505,MATCH(G629,Events!$A$5:$A$505,0)),ev_split,INDEX(Events!$I$5:$I$505,MATCH(G629,Events!$A$5:$A$505,0)),att_offset,MATCH(G629,Attendance!$B$3:$AV$3,0),attendees,COUNTIF(INDEX(Attendance!$B$7:$AV$206,0,att_offset),"1"),IF(ev_split="Equal Split",ev_cost/MAX(1,COUNTA(Roster!$A$5:$A$204)),ev_cost/MAX(1,attendees))),"N/A"))</f>
        <v/>
      </c>
      <c r="K629" s="5"/>
      <c r="L629" s="5"/>
      <c r="M629" s="5"/>
      <c r="N629" s="5"/>
      <c r="O629" s="5"/>
      <c r="P629" s="5"/>
      <c r="Q629" s="5"/>
      <c r="R629" s="5"/>
      <c r="S629" s="5"/>
      <c r="T629" s="5"/>
      <c r="U629" s="5"/>
      <c r="V629" s="5"/>
      <c r="W629" s="5"/>
      <c r="X629" s="5"/>
      <c r="Y629" s="5"/>
      <c r="Z629" s="5"/>
    </row>
    <row r="630" ht="19.5" customHeight="1">
      <c r="A630" s="52"/>
      <c r="B630" s="53"/>
      <c r="C630" s="53"/>
      <c r="D630" s="53"/>
      <c r="E630" s="53"/>
      <c r="F630" s="61"/>
      <c r="G630" s="53"/>
      <c r="H630" s="53"/>
      <c r="I630" s="53"/>
      <c r="J630" s="48" t="str">
        <f t="array" ref="J630">IF(G630="","",IFERROR(LET(ev_cost,INDEX(Events!$G$5:$G$505,MATCH(G630,Events!$A$5:$A$505,0)),ev_split,INDEX(Events!$I$5:$I$505,MATCH(G630,Events!$A$5:$A$505,0)),att_offset,MATCH(G630,Attendance!$B$3:$AV$3,0),attendees,COUNTIF(INDEX(Attendance!$B$7:$AV$206,0,att_offset),"1"),IF(ev_split="Equal Split",ev_cost/MAX(1,COUNTA(Roster!$A$5:$A$204)),ev_cost/MAX(1,attendees))),"N/A"))</f>
        <v/>
      </c>
      <c r="K630" s="5"/>
      <c r="L630" s="5"/>
      <c r="M630" s="5"/>
      <c r="N630" s="5"/>
      <c r="O630" s="5"/>
      <c r="P630" s="5"/>
      <c r="Q630" s="5"/>
      <c r="R630" s="5"/>
      <c r="S630" s="5"/>
      <c r="T630" s="5"/>
      <c r="U630" s="5"/>
      <c r="V630" s="5"/>
      <c r="W630" s="5"/>
      <c r="X630" s="5"/>
      <c r="Y630" s="5"/>
      <c r="Z630" s="5"/>
    </row>
    <row r="631" ht="19.5" customHeight="1">
      <c r="A631" s="49"/>
      <c r="B631" s="50"/>
      <c r="C631" s="50"/>
      <c r="D631" s="50"/>
      <c r="E631" s="50"/>
      <c r="F631" s="51"/>
      <c r="G631" s="50"/>
      <c r="H631" s="50"/>
      <c r="I631" s="50"/>
      <c r="J631" s="48" t="str">
        <f t="array" ref="J631">IF(G631="","",IFERROR(LET(ev_cost,INDEX(Events!$G$5:$G$505,MATCH(G631,Events!$A$5:$A$505,0)),ev_split,INDEX(Events!$I$5:$I$505,MATCH(G631,Events!$A$5:$A$505,0)),att_offset,MATCH(G631,Attendance!$B$3:$AV$3,0),attendees,COUNTIF(INDEX(Attendance!$B$7:$AV$206,0,att_offset),"1"),IF(ev_split="Equal Split",ev_cost/MAX(1,COUNTA(Roster!$A$5:$A$204)),ev_cost/MAX(1,attendees))),"N/A"))</f>
        <v/>
      </c>
      <c r="K631" s="5"/>
      <c r="L631" s="5"/>
      <c r="M631" s="5"/>
      <c r="N631" s="5"/>
      <c r="O631" s="5"/>
      <c r="P631" s="5"/>
      <c r="Q631" s="5"/>
      <c r="R631" s="5"/>
      <c r="S631" s="5"/>
      <c r="T631" s="5"/>
      <c r="U631" s="5"/>
      <c r="V631" s="5"/>
      <c r="W631" s="5"/>
      <c r="X631" s="5"/>
      <c r="Y631" s="5"/>
      <c r="Z631" s="5"/>
    </row>
    <row r="632" ht="19.5" customHeight="1">
      <c r="A632" s="52"/>
      <c r="B632" s="53"/>
      <c r="C632" s="53"/>
      <c r="D632" s="53"/>
      <c r="E632" s="53"/>
      <c r="F632" s="61"/>
      <c r="G632" s="53"/>
      <c r="H632" s="53"/>
      <c r="I632" s="53"/>
      <c r="J632" s="48" t="str">
        <f t="array" ref="J632">IF(G632="","",IFERROR(LET(ev_cost,INDEX(Events!$G$5:$G$505,MATCH(G632,Events!$A$5:$A$505,0)),ev_split,INDEX(Events!$I$5:$I$505,MATCH(G632,Events!$A$5:$A$505,0)),att_offset,MATCH(G632,Attendance!$B$3:$AV$3,0),attendees,COUNTIF(INDEX(Attendance!$B$7:$AV$206,0,att_offset),"1"),IF(ev_split="Equal Split",ev_cost/MAX(1,COUNTA(Roster!$A$5:$A$204)),ev_cost/MAX(1,attendees))),"N/A"))</f>
        <v/>
      </c>
      <c r="K632" s="5"/>
      <c r="L632" s="5"/>
      <c r="M632" s="5"/>
      <c r="N632" s="5"/>
      <c r="O632" s="5"/>
      <c r="P632" s="5"/>
      <c r="Q632" s="5"/>
      <c r="R632" s="5"/>
      <c r="S632" s="5"/>
      <c r="T632" s="5"/>
      <c r="U632" s="5"/>
      <c r="V632" s="5"/>
      <c r="W632" s="5"/>
      <c r="X632" s="5"/>
      <c r="Y632" s="5"/>
      <c r="Z632" s="5"/>
    </row>
    <row r="633" ht="19.5" customHeight="1">
      <c r="A633" s="49"/>
      <c r="B633" s="50"/>
      <c r="C633" s="50"/>
      <c r="D633" s="50"/>
      <c r="E633" s="50"/>
      <c r="F633" s="51"/>
      <c r="G633" s="50"/>
      <c r="H633" s="50"/>
      <c r="I633" s="50"/>
      <c r="J633" s="48" t="str">
        <f t="array" ref="J633">IF(G633="","",IFERROR(LET(ev_cost,INDEX(Events!$G$5:$G$505,MATCH(G633,Events!$A$5:$A$505,0)),ev_split,INDEX(Events!$I$5:$I$505,MATCH(G633,Events!$A$5:$A$505,0)),att_offset,MATCH(G633,Attendance!$B$3:$AV$3,0),attendees,COUNTIF(INDEX(Attendance!$B$7:$AV$206,0,att_offset),"1"),IF(ev_split="Equal Split",ev_cost/MAX(1,COUNTA(Roster!$A$5:$A$204)),ev_cost/MAX(1,attendees))),"N/A"))</f>
        <v/>
      </c>
      <c r="K633" s="5"/>
      <c r="L633" s="5"/>
      <c r="M633" s="5"/>
      <c r="N633" s="5"/>
      <c r="O633" s="5"/>
      <c r="P633" s="5"/>
      <c r="Q633" s="5"/>
      <c r="R633" s="5"/>
      <c r="S633" s="5"/>
      <c r="T633" s="5"/>
      <c r="U633" s="5"/>
      <c r="V633" s="5"/>
      <c r="W633" s="5"/>
      <c r="X633" s="5"/>
      <c r="Y633" s="5"/>
      <c r="Z633" s="5"/>
    </row>
    <row r="634" ht="19.5" customHeight="1">
      <c r="A634" s="52"/>
      <c r="B634" s="53"/>
      <c r="C634" s="53"/>
      <c r="D634" s="53"/>
      <c r="E634" s="53"/>
      <c r="F634" s="61"/>
      <c r="G634" s="53"/>
      <c r="H634" s="53"/>
      <c r="I634" s="53"/>
      <c r="J634" s="48" t="str">
        <f t="array" ref="J634">IF(G634="","",IFERROR(LET(ev_cost,INDEX(Events!$G$5:$G$505,MATCH(G634,Events!$A$5:$A$505,0)),ev_split,INDEX(Events!$I$5:$I$505,MATCH(G634,Events!$A$5:$A$505,0)),att_offset,MATCH(G634,Attendance!$B$3:$AV$3,0),attendees,COUNTIF(INDEX(Attendance!$B$7:$AV$206,0,att_offset),"1"),IF(ev_split="Equal Split",ev_cost/MAX(1,COUNTA(Roster!$A$5:$A$204)),ev_cost/MAX(1,attendees))),"N/A"))</f>
        <v/>
      </c>
      <c r="K634" s="5"/>
      <c r="L634" s="5"/>
      <c r="M634" s="5"/>
      <c r="N634" s="5"/>
      <c r="O634" s="5"/>
      <c r="P634" s="5"/>
      <c r="Q634" s="5"/>
      <c r="R634" s="5"/>
      <c r="S634" s="5"/>
      <c r="T634" s="5"/>
      <c r="U634" s="5"/>
      <c r="V634" s="5"/>
      <c r="W634" s="5"/>
      <c r="X634" s="5"/>
      <c r="Y634" s="5"/>
      <c r="Z634" s="5"/>
    </row>
    <row r="635" ht="19.5" customHeight="1">
      <c r="A635" s="49"/>
      <c r="B635" s="50"/>
      <c r="C635" s="50"/>
      <c r="D635" s="50"/>
      <c r="E635" s="50"/>
      <c r="F635" s="51"/>
      <c r="G635" s="50"/>
      <c r="H635" s="50"/>
      <c r="I635" s="50"/>
      <c r="J635" s="48" t="str">
        <f t="array" ref="J635">IF(G635="","",IFERROR(LET(ev_cost,INDEX(Events!$G$5:$G$505,MATCH(G635,Events!$A$5:$A$505,0)),ev_split,INDEX(Events!$I$5:$I$505,MATCH(G635,Events!$A$5:$A$505,0)),att_offset,MATCH(G635,Attendance!$B$3:$AV$3,0),attendees,COUNTIF(INDEX(Attendance!$B$7:$AV$206,0,att_offset),"1"),IF(ev_split="Equal Split",ev_cost/MAX(1,COUNTA(Roster!$A$5:$A$204)),ev_cost/MAX(1,attendees))),"N/A"))</f>
        <v/>
      </c>
      <c r="K635" s="5"/>
      <c r="L635" s="5"/>
      <c r="M635" s="5"/>
      <c r="N635" s="5"/>
      <c r="O635" s="5"/>
      <c r="P635" s="5"/>
      <c r="Q635" s="5"/>
      <c r="R635" s="5"/>
      <c r="S635" s="5"/>
      <c r="T635" s="5"/>
      <c r="U635" s="5"/>
      <c r="V635" s="5"/>
      <c r="W635" s="5"/>
      <c r="X635" s="5"/>
      <c r="Y635" s="5"/>
      <c r="Z635" s="5"/>
    </row>
    <row r="636" ht="19.5" customHeight="1">
      <c r="A636" s="52"/>
      <c r="B636" s="53"/>
      <c r="C636" s="53"/>
      <c r="D636" s="53"/>
      <c r="E636" s="53"/>
      <c r="F636" s="61"/>
      <c r="G636" s="53"/>
      <c r="H636" s="53"/>
      <c r="I636" s="53"/>
      <c r="J636" s="48" t="str">
        <f t="array" ref="J636">IF(G636="","",IFERROR(LET(ev_cost,INDEX(Events!$G$5:$G$505,MATCH(G636,Events!$A$5:$A$505,0)),ev_split,INDEX(Events!$I$5:$I$505,MATCH(G636,Events!$A$5:$A$505,0)),att_offset,MATCH(G636,Attendance!$B$3:$AV$3,0),attendees,COUNTIF(INDEX(Attendance!$B$7:$AV$206,0,att_offset),"1"),IF(ev_split="Equal Split",ev_cost/MAX(1,COUNTA(Roster!$A$5:$A$204)),ev_cost/MAX(1,attendees))),"N/A"))</f>
        <v/>
      </c>
      <c r="K636" s="5"/>
      <c r="L636" s="5"/>
      <c r="M636" s="5"/>
      <c r="N636" s="5"/>
      <c r="O636" s="5"/>
      <c r="P636" s="5"/>
      <c r="Q636" s="5"/>
      <c r="R636" s="5"/>
      <c r="S636" s="5"/>
      <c r="T636" s="5"/>
      <c r="U636" s="5"/>
      <c r="V636" s="5"/>
      <c r="W636" s="5"/>
      <c r="X636" s="5"/>
      <c r="Y636" s="5"/>
      <c r="Z636" s="5"/>
    </row>
    <row r="637" ht="19.5" customHeight="1">
      <c r="A637" s="49"/>
      <c r="B637" s="50"/>
      <c r="C637" s="50"/>
      <c r="D637" s="50"/>
      <c r="E637" s="50"/>
      <c r="F637" s="51"/>
      <c r="G637" s="50"/>
      <c r="H637" s="50"/>
      <c r="I637" s="50"/>
      <c r="J637" s="48" t="str">
        <f t="array" ref="J637">IF(G637="","",IFERROR(LET(ev_cost,INDEX(Events!$G$5:$G$505,MATCH(G637,Events!$A$5:$A$505,0)),ev_split,INDEX(Events!$I$5:$I$505,MATCH(G637,Events!$A$5:$A$505,0)),att_offset,MATCH(G637,Attendance!$B$3:$AV$3,0),attendees,COUNTIF(INDEX(Attendance!$B$7:$AV$206,0,att_offset),"1"),IF(ev_split="Equal Split",ev_cost/MAX(1,COUNTA(Roster!$A$5:$A$204)),ev_cost/MAX(1,attendees))),"N/A"))</f>
        <v/>
      </c>
      <c r="K637" s="5"/>
      <c r="L637" s="5"/>
      <c r="M637" s="5"/>
      <c r="N637" s="5"/>
      <c r="O637" s="5"/>
      <c r="P637" s="5"/>
      <c r="Q637" s="5"/>
      <c r="R637" s="5"/>
      <c r="S637" s="5"/>
      <c r="T637" s="5"/>
      <c r="U637" s="5"/>
      <c r="V637" s="5"/>
      <c r="W637" s="5"/>
      <c r="X637" s="5"/>
      <c r="Y637" s="5"/>
      <c r="Z637" s="5"/>
    </row>
    <row r="638" ht="19.5" customHeight="1">
      <c r="A638" s="52"/>
      <c r="B638" s="53"/>
      <c r="C638" s="53"/>
      <c r="D638" s="53"/>
      <c r="E638" s="53"/>
      <c r="F638" s="61"/>
      <c r="G638" s="53"/>
      <c r="H638" s="53"/>
      <c r="I638" s="53"/>
      <c r="J638" s="48" t="str">
        <f t="array" ref="J638">IF(G638="","",IFERROR(LET(ev_cost,INDEX(Events!$G$5:$G$505,MATCH(G638,Events!$A$5:$A$505,0)),ev_split,INDEX(Events!$I$5:$I$505,MATCH(G638,Events!$A$5:$A$505,0)),att_offset,MATCH(G638,Attendance!$B$3:$AV$3,0),attendees,COUNTIF(INDEX(Attendance!$B$7:$AV$206,0,att_offset),"1"),IF(ev_split="Equal Split",ev_cost/MAX(1,COUNTA(Roster!$A$5:$A$204)),ev_cost/MAX(1,attendees))),"N/A"))</f>
        <v/>
      </c>
      <c r="K638" s="5"/>
      <c r="L638" s="5"/>
      <c r="M638" s="5"/>
      <c r="N638" s="5"/>
      <c r="O638" s="5"/>
      <c r="P638" s="5"/>
      <c r="Q638" s="5"/>
      <c r="R638" s="5"/>
      <c r="S638" s="5"/>
      <c r="T638" s="5"/>
      <c r="U638" s="5"/>
      <c r="V638" s="5"/>
      <c r="W638" s="5"/>
      <c r="X638" s="5"/>
      <c r="Y638" s="5"/>
      <c r="Z638" s="5"/>
    </row>
    <row r="639" ht="19.5" customHeight="1">
      <c r="A639" s="49"/>
      <c r="B639" s="50"/>
      <c r="C639" s="50"/>
      <c r="D639" s="50"/>
      <c r="E639" s="50"/>
      <c r="F639" s="51"/>
      <c r="G639" s="50"/>
      <c r="H639" s="50"/>
      <c r="I639" s="50"/>
      <c r="J639" s="48" t="str">
        <f t="array" ref="J639">IF(G639="","",IFERROR(LET(ev_cost,INDEX(Events!$G$5:$G$505,MATCH(G639,Events!$A$5:$A$505,0)),ev_split,INDEX(Events!$I$5:$I$505,MATCH(G639,Events!$A$5:$A$505,0)),att_offset,MATCH(G639,Attendance!$B$3:$AV$3,0),attendees,COUNTIF(INDEX(Attendance!$B$7:$AV$206,0,att_offset),"1"),IF(ev_split="Equal Split",ev_cost/MAX(1,COUNTA(Roster!$A$5:$A$204)),ev_cost/MAX(1,attendees))),"N/A"))</f>
        <v/>
      </c>
      <c r="K639" s="5"/>
      <c r="L639" s="5"/>
      <c r="M639" s="5"/>
      <c r="N639" s="5"/>
      <c r="O639" s="5"/>
      <c r="P639" s="5"/>
      <c r="Q639" s="5"/>
      <c r="R639" s="5"/>
      <c r="S639" s="5"/>
      <c r="T639" s="5"/>
      <c r="U639" s="5"/>
      <c r="V639" s="5"/>
      <c r="W639" s="5"/>
      <c r="X639" s="5"/>
      <c r="Y639" s="5"/>
      <c r="Z639" s="5"/>
    </row>
    <row r="640" ht="19.5" customHeight="1">
      <c r="A640" s="52"/>
      <c r="B640" s="53"/>
      <c r="C640" s="53"/>
      <c r="D640" s="53"/>
      <c r="E640" s="53"/>
      <c r="F640" s="61"/>
      <c r="G640" s="53"/>
      <c r="H640" s="53"/>
      <c r="I640" s="53"/>
      <c r="J640" s="48" t="str">
        <f t="array" ref="J640">IF(G640="","",IFERROR(LET(ev_cost,INDEX(Events!$G$5:$G$505,MATCH(G640,Events!$A$5:$A$505,0)),ev_split,INDEX(Events!$I$5:$I$505,MATCH(G640,Events!$A$5:$A$505,0)),att_offset,MATCH(G640,Attendance!$B$3:$AV$3,0),attendees,COUNTIF(INDEX(Attendance!$B$7:$AV$206,0,att_offset),"1"),IF(ev_split="Equal Split",ev_cost/MAX(1,COUNTA(Roster!$A$5:$A$204)),ev_cost/MAX(1,attendees))),"N/A"))</f>
        <v/>
      </c>
      <c r="K640" s="5"/>
      <c r="L640" s="5"/>
      <c r="M640" s="5"/>
      <c r="N640" s="5"/>
      <c r="O640" s="5"/>
      <c r="P640" s="5"/>
      <c r="Q640" s="5"/>
      <c r="R640" s="5"/>
      <c r="S640" s="5"/>
      <c r="T640" s="5"/>
      <c r="U640" s="5"/>
      <c r="V640" s="5"/>
      <c r="W640" s="5"/>
      <c r="X640" s="5"/>
      <c r="Y640" s="5"/>
      <c r="Z640" s="5"/>
    </row>
    <row r="641" ht="19.5" customHeight="1">
      <c r="A641" s="49"/>
      <c r="B641" s="50"/>
      <c r="C641" s="50"/>
      <c r="D641" s="50"/>
      <c r="E641" s="50"/>
      <c r="F641" s="51"/>
      <c r="G641" s="50"/>
      <c r="H641" s="50"/>
      <c r="I641" s="50"/>
      <c r="J641" s="48" t="str">
        <f t="array" ref="J641">IF(G641="","",IFERROR(LET(ev_cost,INDEX(Events!$G$5:$G$505,MATCH(G641,Events!$A$5:$A$505,0)),ev_split,INDEX(Events!$I$5:$I$505,MATCH(G641,Events!$A$5:$A$505,0)),att_offset,MATCH(G641,Attendance!$B$3:$AV$3,0),attendees,COUNTIF(INDEX(Attendance!$B$7:$AV$206,0,att_offset),"1"),IF(ev_split="Equal Split",ev_cost/MAX(1,COUNTA(Roster!$A$5:$A$204)),ev_cost/MAX(1,attendees))),"N/A"))</f>
        <v/>
      </c>
      <c r="K641" s="5"/>
      <c r="L641" s="5"/>
      <c r="M641" s="5"/>
      <c r="N641" s="5"/>
      <c r="O641" s="5"/>
      <c r="P641" s="5"/>
      <c r="Q641" s="5"/>
      <c r="R641" s="5"/>
      <c r="S641" s="5"/>
      <c r="T641" s="5"/>
      <c r="U641" s="5"/>
      <c r="V641" s="5"/>
      <c r="W641" s="5"/>
      <c r="X641" s="5"/>
      <c r="Y641" s="5"/>
      <c r="Z641" s="5"/>
    </row>
    <row r="642" ht="19.5" customHeight="1">
      <c r="A642" s="52"/>
      <c r="B642" s="53"/>
      <c r="C642" s="53"/>
      <c r="D642" s="53"/>
      <c r="E642" s="53"/>
      <c r="F642" s="61"/>
      <c r="G642" s="53"/>
      <c r="H642" s="53"/>
      <c r="I642" s="53"/>
      <c r="J642" s="48" t="str">
        <f t="array" ref="J642">IF(G642="","",IFERROR(LET(ev_cost,INDEX(Events!$G$5:$G$505,MATCH(G642,Events!$A$5:$A$505,0)),ev_split,INDEX(Events!$I$5:$I$505,MATCH(G642,Events!$A$5:$A$505,0)),att_offset,MATCH(G642,Attendance!$B$3:$AV$3,0),attendees,COUNTIF(INDEX(Attendance!$B$7:$AV$206,0,att_offset),"1"),IF(ev_split="Equal Split",ev_cost/MAX(1,COUNTA(Roster!$A$5:$A$204)),ev_cost/MAX(1,attendees))),"N/A"))</f>
        <v/>
      </c>
      <c r="K642" s="5"/>
      <c r="L642" s="5"/>
      <c r="M642" s="5"/>
      <c r="N642" s="5"/>
      <c r="O642" s="5"/>
      <c r="P642" s="5"/>
      <c r="Q642" s="5"/>
      <c r="R642" s="5"/>
      <c r="S642" s="5"/>
      <c r="T642" s="5"/>
      <c r="U642" s="5"/>
      <c r="V642" s="5"/>
      <c r="W642" s="5"/>
      <c r="X642" s="5"/>
      <c r="Y642" s="5"/>
      <c r="Z642" s="5"/>
    </row>
    <row r="643" ht="19.5" customHeight="1">
      <c r="A643" s="49"/>
      <c r="B643" s="50"/>
      <c r="C643" s="50"/>
      <c r="D643" s="50"/>
      <c r="E643" s="50"/>
      <c r="F643" s="51"/>
      <c r="G643" s="50"/>
      <c r="H643" s="50"/>
      <c r="I643" s="50"/>
      <c r="J643" s="48" t="str">
        <f t="array" ref="J643">IF(G643="","",IFERROR(LET(ev_cost,INDEX(Events!$G$5:$G$505,MATCH(G643,Events!$A$5:$A$505,0)),ev_split,INDEX(Events!$I$5:$I$505,MATCH(G643,Events!$A$5:$A$505,0)),att_offset,MATCH(G643,Attendance!$B$3:$AV$3,0),attendees,COUNTIF(INDEX(Attendance!$B$7:$AV$206,0,att_offset),"1"),IF(ev_split="Equal Split",ev_cost/MAX(1,COUNTA(Roster!$A$5:$A$204)),ev_cost/MAX(1,attendees))),"N/A"))</f>
        <v/>
      </c>
      <c r="K643" s="5"/>
      <c r="L643" s="5"/>
      <c r="M643" s="5"/>
      <c r="N643" s="5"/>
      <c r="O643" s="5"/>
      <c r="P643" s="5"/>
      <c r="Q643" s="5"/>
      <c r="R643" s="5"/>
      <c r="S643" s="5"/>
      <c r="T643" s="5"/>
      <c r="U643" s="5"/>
      <c r="V643" s="5"/>
      <c r="W643" s="5"/>
      <c r="X643" s="5"/>
      <c r="Y643" s="5"/>
      <c r="Z643" s="5"/>
    </row>
    <row r="644" ht="19.5" customHeight="1">
      <c r="A644" s="52"/>
      <c r="B644" s="53"/>
      <c r="C644" s="53"/>
      <c r="D644" s="53"/>
      <c r="E644" s="53"/>
      <c r="F644" s="61"/>
      <c r="G644" s="53"/>
      <c r="H644" s="53"/>
      <c r="I644" s="53"/>
      <c r="J644" s="48" t="str">
        <f t="array" ref="J644">IF(G644="","",IFERROR(LET(ev_cost,INDEX(Events!$G$5:$G$505,MATCH(G644,Events!$A$5:$A$505,0)),ev_split,INDEX(Events!$I$5:$I$505,MATCH(G644,Events!$A$5:$A$505,0)),att_offset,MATCH(G644,Attendance!$B$3:$AV$3,0),attendees,COUNTIF(INDEX(Attendance!$B$7:$AV$206,0,att_offset),"1"),IF(ev_split="Equal Split",ev_cost/MAX(1,COUNTA(Roster!$A$5:$A$204)),ev_cost/MAX(1,attendees))),"N/A"))</f>
        <v/>
      </c>
      <c r="K644" s="5"/>
      <c r="L644" s="5"/>
      <c r="M644" s="5"/>
      <c r="N644" s="5"/>
      <c r="O644" s="5"/>
      <c r="P644" s="5"/>
      <c r="Q644" s="5"/>
      <c r="R644" s="5"/>
      <c r="S644" s="5"/>
      <c r="T644" s="5"/>
      <c r="U644" s="5"/>
      <c r="V644" s="5"/>
      <c r="W644" s="5"/>
      <c r="X644" s="5"/>
      <c r="Y644" s="5"/>
      <c r="Z644" s="5"/>
    </row>
    <row r="645" ht="19.5" customHeight="1">
      <c r="A645" s="49"/>
      <c r="B645" s="50"/>
      <c r="C645" s="50"/>
      <c r="D645" s="50"/>
      <c r="E645" s="50"/>
      <c r="F645" s="51"/>
      <c r="G645" s="50"/>
      <c r="H645" s="50"/>
      <c r="I645" s="50"/>
      <c r="J645" s="48" t="str">
        <f t="array" ref="J645">IF(G645="","",IFERROR(LET(ev_cost,INDEX(Events!$G$5:$G$505,MATCH(G645,Events!$A$5:$A$505,0)),ev_split,INDEX(Events!$I$5:$I$505,MATCH(G645,Events!$A$5:$A$505,0)),att_offset,MATCH(G645,Attendance!$B$3:$AV$3,0),attendees,COUNTIF(INDEX(Attendance!$B$7:$AV$206,0,att_offset),"1"),IF(ev_split="Equal Split",ev_cost/MAX(1,COUNTA(Roster!$A$5:$A$204)),ev_cost/MAX(1,attendees))),"N/A"))</f>
        <v/>
      </c>
      <c r="K645" s="5"/>
      <c r="L645" s="5"/>
      <c r="M645" s="5"/>
      <c r="N645" s="5"/>
      <c r="O645" s="5"/>
      <c r="P645" s="5"/>
      <c r="Q645" s="5"/>
      <c r="R645" s="5"/>
      <c r="S645" s="5"/>
      <c r="T645" s="5"/>
      <c r="U645" s="5"/>
      <c r="V645" s="5"/>
      <c r="W645" s="5"/>
      <c r="X645" s="5"/>
      <c r="Y645" s="5"/>
      <c r="Z645" s="5"/>
    </row>
    <row r="646" ht="19.5" customHeight="1">
      <c r="A646" s="52"/>
      <c r="B646" s="53"/>
      <c r="C646" s="53"/>
      <c r="D646" s="53"/>
      <c r="E646" s="53"/>
      <c r="F646" s="61"/>
      <c r="G646" s="53"/>
      <c r="H646" s="53"/>
      <c r="I646" s="53"/>
      <c r="J646" s="48" t="str">
        <f t="array" ref="J646">IF(G646="","",IFERROR(LET(ev_cost,INDEX(Events!$G$5:$G$505,MATCH(G646,Events!$A$5:$A$505,0)),ev_split,INDEX(Events!$I$5:$I$505,MATCH(G646,Events!$A$5:$A$505,0)),att_offset,MATCH(G646,Attendance!$B$3:$AV$3,0),attendees,COUNTIF(INDEX(Attendance!$B$7:$AV$206,0,att_offset),"1"),IF(ev_split="Equal Split",ev_cost/MAX(1,COUNTA(Roster!$A$5:$A$204)),ev_cost/MAX(1,attendees))),"N/A"))</f>
        <v/>
      </c>
      <c r="K646" s="5"/>
      <c r="L646" s="5"/>
      <c r="M646" s="5"/>
      <c r="N646" s="5"/>
      <c r="O646" s="5"/>
      <c r="P646" s="5"/>
      <c r="Q646" s="5"/>
      <c r="R646" s="5"/>
      <c r="S646" s="5"/>
      <c r="T646" s="5"/>
      <c r="U646" s="5"/>
      <c r="V646" s="5"/>
      <c r="W646" s="5"/>
      <c r="X646" s="5"/>
      <c r="Y646" s="5"/>
      <c r="Z646" s="5"/>
    </row>
    <row r="647" ht="19.5" customHeight="1">
      <c r="A647" s="49"/>
      <c r="B647" s="50"/>
      <c r="C647" s="50"/>
      <c r="D647" s="50"/>
      <c r="E647" s="50"/>
      <c r="F647" s="51"/>
      <c r="G647" s="50"/>
      <c r="H647" s="50"/>
      <c r="I647" s="50"/>
      <c r="J647" s="48" t="str">
        <f t="array" ref="J647">IF(G647="","",IFERROR(LET(ev_cost,INDEX(Events!$G$5:$G$505,MATCH(G647,Events!$A$5:$A$505,0)),ev_split,INDEX(Events!$I$5:$I$505,MATCH(G647,Events!$A$5:$A$505,0)),att_offset,MATCH(G647,Attendance!$B$3:$AV$3,0),attendees,COUNTIF(INDEX(Attendance!$B$7:$AV$206,0,att_offset),"1"),IF(ev_split="Equal Split",ev_cost/MAX(1,COUNTA(Roster!$A$5:$A$204)),ev_cost/MAX(1,attendees))),"N/A"))</f>
        <v/>
      </c>
      <c r="K647" s="5"/>
      <c r="L647" s="5"/>
      <c r="M647" s="5"/>
      <c r="N647" s="5"/>
      <c r="O647" s="5"/>
      <c r="P647" s="5"/>
      <c r="Q647" s="5"/>
      <c r="R647" s="5"/>
      <c r="S647" s="5"/>
      <c r="T647" s="5"/>
      <c r="U647" s="5"/>
      <c r="V647" s="5"/>
      <c r="W647" s="5"/>
      <c r="X647" s="5"/>
      <c r="Y647" s="5"/>
      <c r="Z647" s="5"/>
    </row>
    <row r="648" ht="19.5" customHeight="1">
      <c r="A648" s="52"/>
      <c r="B648" s="53"/>
      <c r="C648" s="53"/>
      <c r="D648" s="53"/>
      <c r="E648" s="53"/>
      <c r="F648" s="61"/>
      <c r="G648" s="53"/>
      <c r="H648" s="53"/>
      <c r="I648" s="53"/>
      <c r="J648" s="48" t="str">
        <f t="array" ref="J648">IF(G648="","",IFERROR(LET(ev_cost,INDEX(Events!$G$5:$G$505,MATCH(G648,Events!$A$5:$A$505,0)),ev_split,INDEX(Events!$I$5:$I$505,MATCH(G648,Events!$A$5:$A$505,0)),att_offset,MATCH(G648,Attendance!$B$3:$AV$3,0),attendees,COUNTIF(INDEX(Attendance!$B$7:$AV$206,0,att_offset),"1"),IF(ev_split="Equal Split",ev_cost/MAX(1,COUNTA(Roster!$A$5:$A$204)),ev_cost/MAX(1,attendees))),"N/A"))</f>
        <v/>
      </c>
      <c r="K648" s="5"/>
      <c r="L648" s="5"/>
      <c r="M648" s="5"/>
      <c r="N648" s="5"/>
      <c r="O648" s="5"/>
      <c r="P648" s="5"/>
      <c r="Q648" s="5"/>
      <c r="R648" s="5"/>
      <c r="S648" s="5"/>
      <c r="T648" s="5"/>
      <c r="U648" s="5"/>
      <c r="V648" s="5"/>
      <c r="W648" s="5"/>
      <c r="X648" s="5"/>
      <c r="Y648" s="5"/>
      <c r="Z648" s="5"/>
    </row>
    <row r="649" ht="19.5" customHeight="1">
      <c r="A649" s="49"/>
      <c r="B649" s="50"/>
      <c r="C649" s="50"/>
      <c r="D649" s="50"/>
      <c r="E649" s="50"/>
      <c r="F649" s="51"/>
      <c r="G649" s="50"/>
      <c r="H649" s="50"/>
      <c r="I649" s="50"/>
      <c r="J649" s="48" t="str">
        <f t="array" ref="J649">IF(G649="","",IFERROR(LET(ev_cost,INDEX(Events!$G$5:$G$505,MATCH(G649,Events!$A$5:$A$505,0)),ev_split,INDEX(Events!$I$5:$I$505,MATCH(G649,Events!$A$5:$A$505,0)),att_offset,MATCH(G649,Attendance!$B$3:$AV$3,0),attendees,COUNTIF(INDEX(Attendance!$B$7:$AV$206,0,att_offset),"1"),IF(ev_split="Equal Split",ev_cost/MAX(1,COUNTA(Roster!$A$5:$A$204)),ev_cost/MAX(1,attendees))),"N/A"))</f>
        <v/>
      </c>
      <c r="K649" s="5"/>
      <c r="L649" s="5"/>
      <c r="M649" s="5"/>
      <c r="N649" s="5"/>
      <c r="O649" s="5"/>
      <c r="P649" s="5"/>
      <c r="Q649" s="5"/>
      <c r="R649" s="5"/>
      <c r="S649" s="5"/>
      <c r="T649" s="5"/>
      <c r="U649" s="5"/>
      <c r="V649" s="5"/>
      <c r="W649" s="5"/>
      <c r="X649" s="5"/>
      <c r="Y649" s="5"/>
      <c r="Z649" s="5"/>
    </row>
    <row r="650" ht="19.5" customHeight="1">
      <c r="A650" s="52"/>
      <c r="B650" s="53"/>
      <c r="C650" s="53"/>
      <c r="D650" s="53"/>
      <c r="E650" s="53"/>
      <c r="F650" s="61"/>
      <c r="G650" s="53"/>
      <c r="H650" s="53"/>
      <c r="I650" s="53"/>
      <c r="J650" s="48" t="str">
        <f t="array" ref="J650">IF(G650="","",IFERROR(LET(ev_cost,INDEX(Events!$G$5:$G$505,MATCH(G650,Events!$A$5:$A$505,0)),ev_split,INDEX(Events!$I$5:$I$505,MATCH(G650,Events!$A$5:$A$505,0)),att_offset,MATCH(G650,Attendance!$B$3:$AV$3,0),attendees,COUNTIF(INDEX(Attendance!$B$7:$AV$206,0,att_offset),"1"),IF(ev_split="Equal Split",ev_cost/MAX(1,COUNTA(Roster!$A$5:$A$204)),ev_cost/MAX(1,attendees))),"N/A"))</f>
        <v/>
      </c>
      <c r="K650" s="5"/>
      <c r="L650" s="5"/>
      <c r="M650" s="5"/>
      <c r="N650" s="5"/>
      <c r="O650" s="5"/>
      <c r="P650" s="5"/>
      <c r="Q650" s="5"/>
      <c r="R650" s="5"/>
      <c r="S650" s="5"/>
      <c r="T650" s="5"/>
      <c r="U650" s="5"/>
      <c r="V650" s="5"/>
      <c r="W650" s="5"/>
      <c r="X650" s="5"/>
      <c r="Y650" s="5"/>
      <c r="Z650" s="5"/>
    </row>
    <row r="651" ht="19.5" customHeight="1">
      <c r="A651" s="49"/>
      <c r="B651" s="50"/>
      <c r="C651" s="50"/>
      <c r="D651" s="50"/>
      <c r="E651" s="50"/>
      <c r="F651" s="51"/>
      <c r="G651" s="50"/>
      <c r="H651" s="50"/>
      <c r="I651" s="50"/>
      <c r="J651" s="48" t="str">
        <f t="array" ref="J651">IF(G651="","",IFERROR(LET(ev_cost,INDEX(Events!$G$5:$G$505,MATCH(G651,Events!$A$5:$A$505,0)),ev_split,INDEX(Events!$I$5:$I$505,MATCH(G651,Events!$A$5:$A$505,0)),att_offset,MATCH(G651,Attendance!$B$3:$AV$3,0),attendees,COUNTIF(INDEX(Attendance!$B$7:$AV$206,0,att_offset),"1"),IF(ev_split="Equal Split",ev_cost/MAX(1,COUNTA(Roster!$A$5:$A$204)),ev_cost/MAX(1,attendees))),"N/A"))</f>
        <v/>
      </c>
      <c r="K651" s="5"/>
      <c r="L651" s="5"/>
      <c r="M651" s="5"/>
      <c r="N651" s="5"/>
      <c r="O651" s="5"/>
      <c r="P651" s="5"/>
      <c r="Q651" s="5"/>
      <c r="R651" s="5"/>
      <c r="S651" s="5"/>
      <c r="T651" s="5"/>
      <c r="U651" s="5"/>
      <c r="V651" s="5"/>
      <c r="W651" s="5"/>
      <c r="X651" s="5"/>
      <c r="Y651" s="5"/>
      <c r="Z651" s="5"/>
    </row>
    <row r="652" ht="19.5" customHeight="1">
      <c r="A652" s="52"/>
      <c r="B652" s="53"/>
      <c r="C652" s="53"/>
      <c r="D652" s="53"/>
      <c r="E652" s="53"/>
      <c r="F652" s="61"/>
      <c r="G652" s="53"/>
      <c r="H652" s="53"/>
      <c r="I652" s="53"/>
      <c r="J652" s="48" t="str">
        <f t="array" ref="J652">IF(G652="","",IFERROR(LET(ev_cost,INDEX(Events!$G$5:$G$505,MATCH(G652,Events!$A$5:$A$505,0)),ev_split,INDEX(Events!$I$5:$I$505,MATCH(G652,Events!$A$5:$A$505,0)),att_offset,MATCH(G652,Attendance!$B$3:$AV$3,0),attendees,COUNTIF(INDEX(Attendance!$B$7:$AV$206,0,att_offset),"1"),IF(ev_split="Equal Split",ev_cost/MAX(1,COUNTA(Roster!$A$5:$A$204)),ev_cost/MAX(1,attendees))),"N/A"))</f>
        <v/>
      </c>
      <c r="K652" s="5"/>
      <c r="L652" s="5"/>
      <c r="M652" s="5"/>
      <c r="N652" s="5"/>
      <c r="O652" s="5"/>
      <c r="P652" s="5"/>
      <c r="Q652" s="5"/>
      <c r="R652" s="5"/>
      <c r="S652" s="5"/>
      <c r="T652" s="5"/>
      <c r="U652" s="5"/>
      <c r="V652" s="5"/>
      <c r="W652" s="5"/>
      <c r="X652" s="5"/>
      <c r="Y652" s="5"/>
      <c r="Z652" s="5"/>
    </row>
    <row r="653" ht="19.5" customHeight="1">
      <c r="A653" s="49"/>
      <c r="B653" s="50"/>
      <c r="C653" s="50"/>
      <c r="D653" s="50"/>
      <c r="E653" s="50"/>
      <c r="F653" s="51"/>
      <c r="G653" s="50"/>
      <c r="H653" s="50"/>
      <c r="I653" s="50"/>
      <c r="J653" s="48" t="str">
        <f t="array" ref="J653">IF(G653="","",IFERROR(LET(ev_cost,INDEX(Events!$G$5:$G$505,MATCH(G653,Events!$A$5:$A$505,0)),ev_split,INDEX(Events!$I$5:$I$505,MATCH(G653,Events!$A$5:$A$505,0)),att_offset,MATCH(G653,Attendance!$B$3:$AV$3,0),attendees,COUNTIF(INDEX(Attendance!$B$7:$AV$206,0,att_offset),"1"),IF(ev_split="Equal Split",ev_cost/MAX(1,COUNTA(Roster!$A$5:$A$204)),ev_cost/MAX(1,attendees))),"N/A"))</f>
        <v/>
      </c>
      <c r="K653" s="5"/>
      <c r="L653" s="5"/>
      <c r="M653" s="5"/>
      <c r="N653" s="5"/>
      <c r="O653" s="5"/>
      <c r="P653" s="5"/>
      <c r="Q653" s="5"/>
      <c r="R653" s="5"/>
      <c r="S653" s="5"/>
      <c r="T653" s="5"/>
      <c r="U653" s="5"/>
      <c r="V653" s="5"/>
      <c r="W653" s="5"/>
      <c r="X653" s="5"/>
      <c r="Y653" s="5"/>
      <c r="Z653" s="5"/>
    </row>
    <row r="654" ht="19.5" customHeight="1">
      <c r="A654" s="52"/>
      <c r="B654" s="53"/>
      <c r="C654" s="53"/>
      <c r="D654" s="53"/>
      <c r="E654" s="53"/>
      <c r="F654" s="61"/>
      <c r="G654" s="53"/>
      <c r="H654" s="53"/>
      <c r="I654" s="53"/>
      <c r="J654" s="48" t="str">
        <f t="array" ref="J654">IF(G654="","",IFERROR(LET(ev_cost,INDEX(Events!$G$5:$G$505,MATCH(G654,Events!$A$5:$A$505,0)),ev_split,INDEX(Events!$I$5:$I$505,MATCH(G654,Events!$A$5:$A$505,0)),att_offset,MATCH(G654,Attendance!$B$3:$AV$3,0),attendees,COUNTIF(INDEX(Attendance!$B$7:$AV$206,0,att_offset),"1"),IF(ev_split="Equal Split",ev_cost/MAX(1,COUNTA(Roster!$A$5:$A$204)),ev_cost/MAX(1,attendees))),"N/A"))</f>
        <v/>
      </c>
      <c r="K654" s="5"/>
      <c r="L654" s="5"/>
      <c r="M654" s="5"/>
      <c r="N654" s="5"/>
      <c r="O654" s="5"/>
      <c r="P654" s="5"/>
      <c r="Q654" s="5"/>
      <c r="R654" s="5"/>
      <c r="S654" s="5"/>
      <c r="T654" s="5"/>
      <c r="U654" s="5"/>
      <c r="V654" s="5"/>
      <c r="W654" s="5"/>
      <c r="X654" s="5"/>
      <c r="Y654" s="5"/>
      <c r="Z654" s="5"/>
    </row>
    <row r="655" ht="19.5" customHeight="1">
      <c r="A655" s="49"/>
      <c r="B655" s="50"/>
      <c r="C655" s="50"/>
      <c r="D655" s="50"/>
      <c r="E655" s="50"/>
      <c r="F655" s="51"/>
      <c r="G655" s="50"/>
      <c r="H655" s="50"/>
      <c r="I655" s="50"/>
      <c r="J655" s="48" t="str">
        <f t="array" ref="J655">IF(G655="","",IFERROR(LET(ev_cost,INDEX(Events!$G$5:$G$505,MATCH(G655,Events!$A$5:$A$505,0)),ev_split,INDEX(Events!$I$5:$I$505,MATCH(G655,Events!$A$5:$A$505,0)),att_offset,MATCH(G655,Attendance!$B$3:$AV$3,0),attendees,COUNTIF(INDEX(Attendance!$B$7:$AV$206,0,att_offset),"1"),IF(ev_split="Equal Split",ev_cost/MAX(1,COUNTA(Roster!$A$5:$A$204)),ev_cost/MAX(1,attendees))),"N/A"))</f>
        <v/>
      </c>
      <c r="K655" s="5"/>
      <c r="L655" s="5"/>
      <c r="M655" s="5"/>
      <c r="N655" s="5"/>
      <c r="O655" s="5"/>
      <c r="P655" s="5"/>
      <c r="Q655" s="5"/>
      <c r="R655" s="5"/>
      <c r="S655" s="5"/>
      <c r="T655" s="5"/>
      <c r="U655" s="5"/>
      <c r="V655" s="5"/>
      <c r="W655" s="5"/>
      <c r="X655" s="5"/>
      <c r="Y655" s="5"/>
      <c r="Z655" s="5"/>
    </row>
    <row r="656" ht="19.5" customHeight="1">
      <c r="A656" s="52"/>
      <c r="B656" s="53"/>
      <c r="C656" s="53"/>
      <c r="D656" s="53"/>
      <c r="E656" s="53"/>
      <c r="F656" s="61"/>
      <c r="G656" s="53"/>
      <c r="H656" s="53"/>
      <c r="I656" s="53"/>
      <c r="J656" s="48" t="str">
        <f t="array" ref="J656">IF(G656="","",IFERROR(LET(ev_cost,INDEX(Events!$G$5:$G$505,MATCH(G656,Events!$A$5:$A$505,0)),ev_split,INDEX(Events!$I$5:$I$505,MATCH(G656,Events!$A$5:$A$505,0)),att_offset,MATCH(G656,Attendance!$B$3:$AV$3,0),attendees,COUNTIF(INDEX(Attendance!$B$7:$AV$206,0,att_offset),"1"),IF(ev_split="Equal Split",ev_cost/MAX(1,COUNTA(Roster!$A$5:$A$204)),ev_cost/MAX(1,attendees))),"N/A"))</f>
        <v/>
      </c>
      <c r="K656" s="5"/>
      <c r="L656" s="5"/>
      <c r="M656" s="5"/>
      <c r="N656" s="5"/>
      <c r="O656" s="5"/>
      <c r="P656" s="5"/>
      <c r="Q656" s="5"/>
      <c r="R656" s="5"/>
      <c r="S656" s="5"/>
      <c r="T656" s="5"/>
      <c r="U656" s="5"/>
      <c r="V656" s="5"/>
      <c r="W656" s="5"/>
      <c r="X656" s="5"/>
      <c r="Y656" s="5"/>
      <c r="Z656" s="5"/>
    </row>
    <row r="657" ht="19.5" customHeight="1">
      <c r="A657" s="49"/>
      <c r="B657" s="50"/>
      <c r="C657" s="50"/>
      <c r="D657" s="50"/>
      <c r="E657" s="50"/>
      <c r="F657" s="51"/>
      <c r="G657" s="50"/>
      <c r="H657" s="50"/>
      <c r="I657" s="50"/>
      <c r="J657" s="48" t="str">
        <f t="array" ref="J657">IF(G657="","",IFERROR(LET(ev_cost,INDEX(Events!$G$5:$G$505,MATCH(G657,Events!$A$5:$A$505,0)),ev_split,INDEX(Events!$I$5:$I$505,MATCH(G657,Events!$A$5:$A$505,0)),att_offset,MATCH(G657,Attendance!$B$3:$AV$3,0),attendees,COUNTIF(INDEX(Attendance!$B$7:$AV$206,0,att_offset),"1"),IF(ev_split="Equal Split",ev_cost/MAX(1,COUNTA(Roster!$A$5:$A$204)),ev_cost/MAX(1,attendees))),"N/A"))</f>
        <v/>
      </c>
      <c r="K657" s="5"/>
      <c r="L657" s="5"/>
      <c r="M657" s="5"/>
      <c r="N657" s="5"/>
      <c r="O657" s="5"/>
      <c r="P657" s="5"/>
      <c r="Q657" s="5"/>
      <c r="R657" s="5"/>
      <c r="S657" s="5"/>
      <c r="T657" s="5"/>
      <c r="U657" s="5"/>
      <c r="V657" s="5"/>
      <c r="W657" s="5"/>
      <c r="X657" s="5"/>
      <c r="Y657" s="5"/>
      <c r="Z657" s="5"/>
    </row>
    <row r="658" ht="19.5" customHeight="1">
      <c r="A658" s="52"/>
      <c r="B658" s="53"/>
      <c r="C658" s="53"/>
      <c r="D658" s="53"/>
      <c r="E658" s="53"/>
      <c r="F658" s="61"/>
      <c r="G658" s="53"/>
      <c r="H658" s="53"/>
      <c r="I658" s="53"/>
      <c r="J658" s="48" t="str">
        <f t="array" ref="J658">IF(G658="","",IFERROR(LET(ev_cost,INDEX(Events!$G$5:$G$505,MATCH(G658,Events!$A$5:$A$505,0)),ev_split,INDEX(Events!$I$5:$I$505,MATCH(G658,Events!$A$5:$A$505,0)),att_offset,MATCH(G658,Attendance!$B$3:$AV$3,0),attendees,COUNTIF(INDEX(Attendance!$B$7:$AV$206,0,att_offset),"1"),IF(ev_split="Equal Split",ev_cost/MAX(1,COUNTA(Roster!$A$5:$A$204)),ev_cost/MAX(1,attendees))),"N/A"))</f>
        <v/>
      </c>
      <c r="K658" s="5"/>
      <c r="L658" s="5"/>
      <c r="M658" s="5"/>
      <c r="N658" s="5"/>
      <c r="O658" s="5"/>
      <c r="P658" s="5"/>
      <c r="Q658" s="5"/>
      <c r="R658" s="5"/>
      <c r="S658" s="5"/>
      <c r="T658" s="5"/>
      <c r="U658" s="5"/>
      <c r="V658" s="5"/>
      <c r="W658" s="5"/>
      <c r="X658" s="5"/>
      <c r="Y658" s="5"/>
      <c r="Z658" s="5"/>
    </row>
    <row r="659" ht="19.5" customHeight="1">
      <c r="A659" s="49"/>
      <c r="B659" s="50"/>
      <c r="C659" s="50"/>
      <c r="D659" s="50"/>
      <c r="E659" s="50"/>
      <c r="F659" s="51"/>
      <c r="G659" s="50"/>
      <c r="H659" s="50"/>
      <c r="I659" s="50"/>
      <c r="J659" s="48" t="str">
        <f t="array" ref="J659">IF(G659="","",IFERROR(LET(ev_cost,INDEX(Events!$G$5:$G$505,MATCH(G659,Events!$A$5:$A$505,0)),ev_split,INDEX(Events!$I$5:$I$505,MATCH(G659,Events!$A$5:$A$505,0)),att_offset,MATCH(G659,Attendance!$B$3:$AV$3,0),attendees,COUNTIF(INDEX(Attendance!$B$7:$AV$206,0,att_offset),"1"),IF(ev_split="Equal Split",ev_cost/MAX(1,COUNTA(Roster!$A$5:$A$204)),ev_cost/MAX(1,attendees))),"N/A"))</f>
        <v/>
      </c>
      <c r="K659" s="5"/>
      <c r="L659" s="5"/>
      <c r="M659" s="5"/>
      <c r="N659" s="5"/>
      <c r="O659" s="5"/>
      <c r="P659" s="5"/>
      <c r="Q659" s="5"/>
      <c r="R659" s="5"/>
      <c r="S659" s="5"/>
      <c r="T659" s="5"/>
      <c r="U659" s="5"/>
      <c r="V659" s="5"/>
      <c r="W659" s="5"/>
      <c r="X659" s="5"/>
      <c r="Y659" s="5"/>
      <c r="Z659" s="5"/>
    </row>
    <row r="660" ht="19.5" customHeight="1">
      <c r="A660" s="52"/>
      <c r="B660" s="53"/>
      <c r="C660" s="53"/>
      <c r="D660" s="53"/>
      <c r="E660" s="53"/>
      <c r="F660" s="61"/>
      <c r="G660" s="53"/>
      <c r="H660" s="53"/>
      <c r="I660" s="53"/>
      <c r="J660" s="48" t="str">
        <f t="array" ref="J660">IF(G660="","",IFERROR(LET(ev_cost,INDEX(Events!$G$5:$G$505,MATCH(G660,Events!$A$5:$A$505,0)),ev_split,INDEX(Events!$I$5:$I$505,MATCH(G660,Events!$A$5:$A$505,0)),att_offset,MATCH(G660,Attendance!$B$3:$AV$3,0),attendees,COUNTIF(INDEX(Attendance!$B$7:$AV$206,0,att_offset),"1"),IF(ev_split="Equal Split",ev_cost/MAX(1,COUNTA(Roster!$A$5:$A$204)),ev_cost/MAX(1,attendees))),"N/A"))</f>
        <v/>
      </c>
      <c r="K660" s="5"/>
      <c r="L660" s="5"/>
      <c r="M660" s="5"/>
      <c r="N660" s="5"/>
      <c r="O660" s="5"/>
      <c r="P660" s="5"/>
      <c r="Q660" s="5"/>
      <c r="R660" s="5"/>
      <c r="S660" s="5"/>
      <c r="T660" s="5"/>
      <c r="U660" s="5"/>
      <c r="V660" s="5"/>
      <c r="W660" s="5"/>
      <c r="X660" s="5"/>
      <c r="Y660" s="5"/>
      <c r="Z660" s="5"/>
    </row>
    <row r="661" ht="19.5" customHeight="1">
      <c r="A661" s="49"/>
      <c r="B661" s="50"/>
      <c r="C661" s="50"/>
      <c r="D661" s="50"/>
      <c r="E661" s="50"/>
      <c r="F661" s="51"/>
      <c r="G661" s="50"/>
      <c r="H661" s="50"/>
      <c r="I661" s="50"/>
      <c r="J661" s="48" t="str">
        <f t="array" ref="J661">IF(G661="","",IFERROR(LET(ev_cost,INDEX(Events!$G$5:$G$505,MATCH(G661,Events!$A$5:$A$505,0)),ev_split,INDEX(Events!$I$5:$I$505,MATCH(G661,Events!$A$5:$A$505,0)),att_offset,MATCH(G661,Attendance!$B$3:$AV$3,0),attendees,COUNTIF(INDEX(Attendance!$B$7:$AV$206,0,att_offset),"1"),IF(ev_split="Equal Split",ev_cost/MAX(1,COUNTA(Roster!$A$5:$A$204)),ev_cost/MAX(1,attendees))),"N/A"))</f>
        <v/>
      </c>
      <c r="K661" s="5"/>
      <c r="L661" s="5"/>
      <c r="M661" s="5"/>
      <c r="N661" s="5"/>
      <c r="O661" s="5"/>
      <c r="P661" s="5"/>
      <c r="Q661" s="5"/>
      <c r="R661" s="5"/>
      <c r="S661" s="5"/>
      <c r="T661" s="5"/>
      <c r="U661" s="5"/>
      <c r="V661" s="5"/>
      <c r="W661" s="5"/>
      <c r="X661" s="5"/>
      <c r="Y661" s="5"/>
      <c r="Z661" s="5"/>
    </row>
    <row r="662" ht="19.5" customHeight="1">
      <c r="A662" s="52"/>
      <c r="B662" s="53"/>
      <c r="C662" s="53"/>
      <c r="D662" s="53"/>
      <c r="E662" s="53"/>
      <c r="F662" s="61"/>
      <c r="G662" s="53"/>
      <c r="H662" s="53"/>
      <c r="I662" s="53"/>
      <c r="J662" s="48" t="str">
        <f t="array" ref="J662">IF(G662="","",IFERROR(LET(ev_cost,INDEX(Events!$G$5:$G$505,MATCH(G662,Events!$A$5:$A$505,0)),ev_split,INDEX(Events!$I$5:$I$505,MATCH(G662,Events!$A$5:$A$505,0)),att_offset,MATCH(G662,Attendance!$B$3:$AV$3,0),attendees,COUNTIF(INDEX(Attendance!$B$7:$AV$206,0,att_offset),"1"),IF(ev_split="Equal Split",ev_cost/MAX(1,COUNTA(Roster!$A$5:$A$204)),ev_cost/MAX(1,attendees))),"N/A"))</f>
        <v/>
      </c>
      <c r="K662" s="5"/>
      <c r="L662" s="5"/>
      <c r="M662" s="5"/>
      <c r="N662" s="5"/>
      <c r="O662" s="5"/>
      <c r="P662" s="5"/>
      <c r="Q662" s="5"/>
      <c r="R662" s="5"/>
      <c r="S662" s="5"/>
      <c r="T662" s="5"/>
      <c r="U662" s="5"/>
      <c r="V662" s="5"/>
      <c r="W662" s="5"/>
      <c r="X662" s="5"/>
      <c r="Y662" s="5"/>
      <c r="Z662" s="5"/>
    </row>
    <row r="663" ht="19.5" customHeight="1">
      <c r="A663" s="49"/>
      <c r="B663" s="50"/>
      <c r="C663" s="50"/>
      <c r="D663" s="50"/>
      <c r="E663" s="50"/>
      <c r="F663" s="51"/>
      <c r="G663" s="50"/>
      <c r="H663" s="50"/>
      <c r="I663" s="50"/>
      <c r="J663" s="48" t="str">
        <f t="array" ref="J663">IF(G663="","",IFERROR(LET(ev_cost,INDEX(Events!$G$5:$G$505,MATCH(G663,Events!$A$5:$A$505,0)),ev_split,INDEX(Events!$I$5:$I$505,MATCH(G663,Events!$A$5:$A$505,0)),att_offset,MATCH(G663,Attendance!$B$3:$AV$3,0),attendees,COUNTIF(INDEX(Attendance!$B$7:$AV$206,0,att_offset),"1"),IF(ev_split="Equal Split",ev_cost/MAX(1,COUNTA(Roster!$A$5:$A$204)),ev_cost/MAX(1,attendees))),"N/A"))</f>
        <v/>
      </c>
      <c r="K663" s="5"/>
      <c r="L663" s="5"/>
      <c r="M663" s="5"/>
      <c r="N663" s="5"/>
      <c r="O663" s="5"/>
      <c r="P663" s="5"/>
      <c r="Q663" s="5"/>
      <c r="R663" s="5"/>
      <c r="S663" s="5"/>
      <c r="T663" s="5"/>
      <c r="U663" s="5"/>
      <c r="V663" s="5"/>
      <c r="W663" s="5"/>
      <c r="X663" s="5"/>
      <c r="Y663" s="5"/>
      <c r="Z663" s="5"/>
    </row>
    <row r="664" ht="19.5" customHeight="1">
      <c r="A664" s="52"/>
      <c r="B664" s="53"/>
      <c r="C664" s="53"/>
      <c r="D664" s="53"/>
      <c r="E664" s="53"/>
      <c r="F664" s="61"/>
      <c r="G664" s="53"/>
      <c r="H664" s="53"/>
      <c r="I664" s="53"/>
      <c r="J664" s="48" t="str">
        <f t="array" ref="J664">IF(G664="","",IFERROR(LET(ev_cost,INDEX(Events!$G$5:$G$505,MATCH(G664,Events!$A$5:$A$505,0)),ev_split,INDEX(Events!$I$5:$I$505,MATCH(G664,Events!$A$5:$A$505,0)),att_offset,MATCH(G664,Attendance!$B$3:$AV$3,0),attendees,COUNTIF(INDEX(Attendance!$B$7:$AV$206,0,att_offset),"1"),IF(ev_split="Equal Split",ev_cost/MAX(1,COUNTA(Roster!$A$5:$A$204)),ev_cost/MAX(1,attendees))),"N/A"))</f>
        <v/>
      </c>
      <c r="K664" s="5"/>
      <c r="L664" s="5"/>
      <c r="M664" s="5"/>
      <c r="N664" s="5"/>
      <c r="O664" s="5"/>
      <c r="P664" s="5"/>
      <c r="Q664" s="5"/>
      <c r="R664" s="5"/>
      <c r="S664" s="5"/>
      <c r="T664" s="5"/>
      <c r="U664" s="5"/>
      <c r="V664" s="5"/>
      <c r="W664" s="5"/>
      <c r="X664" s="5"/>
      <c r="Y664" s="5"/>
      <c r="Z664" s="5"/>
    </row>
    <row r="665" ht="19.5" customHeight="1">
      <c r="A665" s="49"/>
      <c r="B665" s="50"/>
      <c r="C665" s="50"/>
      <c r="D665" s="50"/>
      <c r="E665" s="50"/>
      <c r="F665" s="51"/>
      <c r="G665" s="50"/>
      <c r="H665" s="50"/>
      <c r="I665" s="50"/>
      <c r="J665" s="48" t="str">
        <f t="array" ref="J665">IF(G665="","",IFERROR(LET(ev_cost,INDEX(Events!$G$5:$G$505,MATCH(G665,Events!$A$5:$A$505,0)),ev_split,INDEX(Events!$I$5:$I$505,MATCH(G665,Events!$A$5:$A$505,0)),att_offset,MATCH(G665,Attendance!$B$3:$AV$3,0),attendees,COUNTIF(INDEX(Attendance!$B$7:$AV$206,0,att_offset),"1"),IF(ev_split="Equal Split",ev_cost/MAX(1,COUNTA(Roster!$A$5:$A$204)),ev_cost/MAX(1,attendees))),"N/A"))</f>
        <v/>
      </c>
      <c r="K665" s="5"/>
      <c r="L665" s="5"/>
      <c r="M665" s="5"/>
      <c r="N665" s="5"/>
      <c r="O665" s="5"/>
      <c r="P665" s="5"/>
      <c r="Q665" s="5"/>
      <c r="R665" s="5"/>
      <c r="S665" s="5"/>
      <c r="T665" s="5"/>
      <c r="U665" s="5"/>
      <c r="V665" s="5"/>
      <c r="W665" s="5"/>
      <c r="X665" s="5"/>
      <c r="Y665" s="5"/>
      <c r="Z665" s="5"/>
    </row>
    <row r="666" ht="19.5" customHeight="1">
      <c r="A666" s="52"/>
      <c r="B666" s="53"/>
      <c r="C666" s="53"/>
      <c r="D666" s="53"/>
      <c r="E666" s="53"/>
      <c r="F666" s="61"/>
      <c r="G666" s="53"/>
      <c r="H666" s="53"/>
      <c r="I666" s="53"/>
      <c r="J666" s="48" t="str">
        <f t="array" ref="J666">IF(G666="","",IFERROR(LET(ev_cost,INDEX(Events!$G$5:$G$505,MATCH(G666,Events!$A$5:$A$505,0)),ev_split,INDEX(Events!$I$5:$I$505,MATCH(G666,Events!$A$5:$A$505,0)),att_offset,MATCH(G666,Attendance!$B$3:$AV$3,0),attendees,COUNTIF(INDEX(Attendance!$B$7:$AV$206,0,att_offset),"1"),IF(ev_split="Equal Split",ev_cost/MAX(1,COUNTA(Roster!$A$5:$A$204)),ev_cost/MAX(1,attendees))),"N/A"))</f>
        <v/>
      </c>
      <c r="K666" s="5"/>
      <c r="L666" s="5"/>
      <c r="M666" s="5"/>
      <c r="N666" s="5"/>
      <c r="O666" s="5"/>
      <c r="P666" s="5"/>
      <c r="Q666" s="5"/>
      <c r="R666" s="5"/>
      <c r="S666" s="5"/>
      <c r="T666" s="5"/>
      <c r="U666" s="5"/>
      <c r="V666" s="5"/>
      <c r="W666" s="5"/>
      <c r="X666" s="5"/>
      <c r="Y666" s="5"/>
      <c r="Z666" s="5"/>
    </row>
    <row r="667" ht="19.5" customHeight="1">
      <c r="A667" s="49"/>
      <c r="B667" s="50"/>
      <c r="C667" s="50"/>
      <c r="D667" s="50"/>
      <c r="E667" s="50"/>
      <c r="F667" s="51"/>
      <c r="G667" s="50"/>
      <c r="H667" s="50"/>
      <c r="I667" s="50"/>
      <c r="J667" s="48" t="str">
        <f t="array" ref="J667">IF(G667="","",IFERROR(LET(ev_cost,INDEX(Events!$G$5:$G$505,MATCH(G667,Events!$A$5:$A$505,0)),ev_split,INDEX(Events!$I$5:$I$505,MATCH(G667,Events!$A$5:$A$505,0)),att_offset,MATCH(G667,Attendance!$B$3:$AV$3,0),attendees,COUNTIF(INDEX(Attendance!$B$7:$AV$206,0,att_offset),"1"),IF(ev_split="Equal Split",ev_cost/MAX(1,COUNTA(Roster!$A$5:$A$204)),ev_cost/MAX(1,attendees))),"N/A"))</f>
        <v/>
      </c>
      <c r="K667" s="5"/>
      <c r="L667" s="5"/>
      <c r="M667" s="5"/>
      <c r="N667" s="5"/>
      <c r="O667" s="5"/>
      <c r="P667" s="5"/>
      <c r="Q667" s="5"/>
      <c r="R667" s="5"/>
      <c r="S667" s="5"/>
      <c r="T667" s="5"/>
      <c r="U667" s="5"/>
      <c r="V667" s="5"/>
      <c r="W667" s="5"/>
      <c r="X667" s="5"/>
      <c r="Y667" s="5"/>
      <c r="Z667" s="5"/>
    </row>
    <row r="668" ht="19.5" customHeight="1">
      <c r="A668" s="52"/>
      <c r="B668" s="53"/>
      <c r="C668" s="53"/>
      <c r="D668" s="53"/>
      <c r="E668" s="53"/>
      <c r="F668" s="61"/>
      <c r="G668" s="53"/>
      <c r="H668" s="53"/>
      <c r="I668" s="53"/>
      <c r="J668" s="48" t="str">
        <f t="array" ref="J668">IF(G668="","",IFERROR(LET(ev_cost,INDEX(Events!$G$5:$G$505,MATCH(G668,Events!$A$5:$A$505,0)),ev_split,INDEX(Events!$I$5:$I$505,MATCH(G668,Events!$A$5:$A$505,0)),att_offset,MATCH(G668,Attendance!$B$3:$AV$3,0),attendees,COUNTIF(INDEX(Attendance!$B$7:$AV$206,0,att_offset),"1"),IF(ev_split="Equal Split",ev_cost/MAX(1,COUNTA(Roster!$A$5:$A$204)),ev_cost/MAX(1,attendees))),"N/A"))</f>
        <v/>
      </c>
      <c r="K668" s="5"/>
      <c r="L668" s="5"/>
      <c r="M668" s="5"/>
      <c r="N668" s="5"/>
      <c r="O668" s="5"/>
      <c r="P668" s="5"/>
      <c r="Q668" s="5"/>
      <c r="R668" s="5"/>
      <c r="S668" s="5"/>
      <c r="T668" s="5"/>
      <c r="U668" s="5"/>
      <c r="V668" s="5"/>
      <c r="W668" s="5"/>
      <c r="X668" s="5"/>
      <c r="Y668" s="5"/>
      <c r="Z668" s="5"/>
    </row>
    <row r="669" ht="19.5" customHeight="1">
      <c r="A669" s="49"/>
      <c r="B669" s="50"/>
      <c r="C669" s="50"/>
      <c r="D669" s="50"/>
      <c r="E669" s="50"/>
      <c r="F669" s="51"/>
      <c r="G669" s="50"/>
      <c r="H669" s="50"/>
      <c r="I669" s="50"/>
      <c r="J669" s="48" t="str">
        <f t="array" ref="J669">IF(G669="","",IFERROR(LET(ev_cost,INDEX(Events!$G$5:$G$505,MATCH(G669,Events!$A$5:$A$505,0)),ev_split,INDEX(Events!$I$5:$I$505,MATCH(G669,Events!$A$5:$A$505,0)),att_offset,MATCH(G669,Attendance!$B$3:$AV$3,0),attendees,COUNTIF(INDEX(Attendance!$B$7:$AV$206,0,att_offset),"1"),IF(ev_split="Equal Split",ev_cost/MAX(1,COUNTA(Roster!$A$5:$A$204)),ev_cost/MAX(1,attendees))),"N/A"))</f>
        <v/>
      </c>
      <c r="K669" s="5"/>
      <c r="L669" s="5"/>
      <c r="M669" s="5"/>
      <c r="N669" s="5"/>
      <c r="O669" s="5"/>
      <c r="P669" s="5"/>
      <c r="Q669" s="5"/>
      <c r="R669" s="5"/>
      <c r="S669" s="5"/>
      <c r="T669" s="5"/>
      <c r="U669" s="5"/>
      <c r="V669" s="5"/>
      <c r="W669" s="5"/>
      <c r="X669" s="5"/>
      <c r="Y669" s="5"/>
      <c r="Z669" s="5"/>
    </row>
    <row r="670" ht="19.5" customHeight="1">
      <c r="A670" s="52"/>
      <c r="B670" s="53"/>
      <c r="C670" s="53"/>
      <c r="D670" s="53"/>
      <c r="E670" s="53"/>
      <c r="F670" s="61"/>
      <c r="G670" s="53"/>
      <c r="H670" s="53"/>
      <c r="I670" s="53"/>
      <c r="J670" s="48" t="str">
        <f t="array" ref="J670">IF(G670="","",IFERROR(LET(ev_cost,INDEX(Events!$G$5:$G$505,MATCH(G670,Events!$A$5:$A$505,0)),ev_split,INDEX(Events!$I$5:$I$505,MATCH(G670,Events!$A$5:$A$505,0)),att_offset,MATCH(G670,Attendance!$B$3:$AV$3,0),attendees,COUNTIF(INDEX(Attendance!$B$7:$AV$206,0,att_offset),"1"),IF(ev_split="Equal Split",ev_cost/MAX(1,COUNTA(Roster!$A$5:$A$204)),ev_cost/MAX(1,attendees))),"N/A"))</f>
        <v/>
      </c>
      <c r="K670" s="5"/>
      <c r="L670" s="5"/>
      <c r="M670" s="5"/>
      <c r="N670" s="5"/>
      <c r="O670" s="5"/>
      <c r="P670" s="5"/>
      <c r="Q670" s="5"/>
      <c r="R670" s="5"/>
      <c r="S670" s="5"/>
      <c r="T670" s="5"/>
      <c r="U670" s="5"/>
      <c r="V670" s="5"/>
      <c r="W670" s="5"/>
      <c r="X670" s="5"/>
      <c r="Y670" s="5"/>
      <c r="Z670" s="5"/>
    </row>
    <row r="671" ht="19.5" customHeight="1">
      <c r="A671" s="49"/>
      <c r="B671" s="50"/>
      <c r="C671" s="50"/>
      <c r="D671" s="50"/>
      <c r="E671" s="50"/>
      <c r="F671" s="51"/>
      <c r="G671" s="50"/>
      <c r="H671" s="50"/>
      <c r="I671" s="50"/>
      <c r="J671" s="48" t="str">
        <f t="array" ref="J671">IF(G671="","",IFERROR(LET(ev_cost,INDEX(Events!$G$5:$G$505,MATCH(G671,Events!$A$5:$A$505,0)),ev_split,INDEX(Events!$I$5:$I$505,MATCH(G671,Events!$A$5:$A$505,0)),att_offset,MATCH(G671,Attendance!$B$3:$AV$3,0),attendees,COUNTIF(INDEX(Attendance!$B$7:$AV$206,0,att_offset),"1"),IF(ev_split="Equal Split",ev_cost/MAX(1,COUNTA(Roster!$A$5:$A$204)),ev_cost/MAX(1,attendees))),"N/A"))</f>
        <v/>
      </c>
      <c r="K671" s="5"/>
      <c r="L671" s="5"/>
      <c r="M671" s="5"/>
      <c r="N671" s="5"/>
      <c r="O671" s="5"/>
      <c r="P671" s="5"/>
      <c r="Q671" s="5"/>
      <c r="R671" s="5"/>
      <c r="S671" s="5"/>
      <c r="T671" s="5"/>
      <c r="U671" s="5"/>
      <c r="V671" s="5"/>
      <c r="W671" s="5"/>
      <c r="X671" s="5"/>
      <c r="Y671" s="5"/>
      <c r="Z671" s="5"/>
    </row>
    <row r="672" ht="19.5" customHeight="1">
      <c r="A672" s="52"/>
      <c r="B672" s="53"/>
      <c r="C672" s="53"/>
      <c r="D672" s="53"/>
      <c r="E672" s="53"/>
      <c r="F672" s="61"/>
      <c r="G672" s="53"/>
      <c r="H672" s="53"/>
      <c r="I672" s="53"/>
      <c r="J672" s="48" t="str">
        <f t="array" ref="J672">IF(G672="","",IFERROR(LET(ev_cost,INDEX(Events!$G$5:$G$505,MATCH(G672,Events!$A$5:$A$505,0)),ev_split,INDEX(Events!$I$5:$I$505,MATCH(G672,Events!$A$5:$A$505,0)),att_offset,MATCH(G672,Attendance!$B$3:$AV$3,0),attendees,COUNTIF(INDEX(Attendance!$B$7:$AV$206,0,att_offset),"1"),IF(ev_split="Equal Split",ev_cost/MAX(1,COUNTA(Roster!$A$5:$A$204)),ev_cost/MAX(1,attendees))),"N/A"))</f>
        <v/>
      </c>
      <c r="K672" s="5"/>
      <c r="L672" s="5"/>
      <c r="M672" s="5"/>
      <c r="N672" s="5"/>
      <c r="O672" s="5"/>
      <c r="P672" s="5"/>
      <c r="Q672" s="5"/>
      <c r="R672" s="5"/>
      <c r="S672" s="5"/>
      <c r="T672" s="5"/>
      <c r="U672" s="5"/>
      <c r="V672" s="5"/>
      <c r="W672" s="5"/>
      <c r="X672" s="5"/>
      <c r="Y672" s="5"/>
      <c r="Z672" s="5"/>
    </row>
    <row r="673" ht="19.5" customHeight="1">
      <c r="A673" s="49"/>
      <c r="B673" s="50"/>
      <c r="C673" s="50"/>
      <c r="D673" s="50"/>
      <c r="E673" s="50"/>
      <c r="F673" s="51"/>
      <c r="G673" s="50"/>
      <c r="H673" s="50"/>
      <c r="I673" s="50"/>
      <c r="J673" s="48" t="str">
        <f t="array" ref="J673">IF(G673="","",IFERROR(LET(ev_cost,INDEX(Events!$G$5:$G$505,MATCH(G673,Events!$A$5:$A$505,0)),ev_split,INDEX(Events!$I$5:$I$505,MATCH(G673,Events!$A$5:$A$505,0)),att_offset,MATCH(G673,Attendance!$B$3:$AV$3,0),attendees,COUNTIF(INDEX(Attendance!$B$7:$AV$206,0,att_offset),"1"),IF(ev_split="Equal Split",ev_cost/MAX(1,COUNTA(Roster!$A$5:$A$204)),ev_cost/MAX(1,attendees))),"N/A"))</f>
        <v/>
      </c>
      <c r="K673" s="5"/>
      <c r="L673" s="5"/>
      <c r="M673" s="5"/>
      <c r="N673" s="5"/>
      <c r="O673" s="5"/>
      <c r="P673" s="5"/>
      <c r="Q673" s="5"/>
      <c r="R673" s="5"/>
      <c r="S673" s="5"/>
      <c r="T673" s="5"/>
      <c r="U673" s="5"/>
      <c r="V673" s="5"/>
      <c r="W673" s="5"/>
      <c r="X673" s="5"/>
      <c r="Y673" s="5"/>
      <c r="Z673" s="5"/>
    </row>
    <row r="674" ht="19.5" customHeight="1">
      <c r="A674" s="52"/>
      <c r="B674" s="53"/>
      <c r="C674" s="53"/>
      <c r="D674" s="53"/>
      <c r="E674" s="53"/>
      <c r="F674" s="61"/>
      <c r="G674" s="53"/>
      <c r="H674" s="53"/>
      <c r="I674" s="53"/>
      <c r="J674" s="48" t="str">
        <f t="array" ref="J674">IF(G674="","",IFERROR(LET(ev_cost,INDEX(Events!$G$5:$G$505,MATCH(G674,Events!$A$5:$A$505,0)),ev_split,INDEX(Events!$I$5:$I$505,MATCH(G674,Events!$A$5:$A$505,0)),att_offset,MATCH(G674,Attendance!$B$3:$AV$3,0),attendees,COUNTIF(INDEX(Attendance!$B$7:$AV$206,0,att_offset),"1"),IF(ev_split="Equal Split",ev_cost/MAX(1,COUNTA(Roster!$A$5:$A$204)),ev_cost/MAX(1,attendees))),"N/A"))</f>
        <v/>
      </c>
      <c r="K674" s="5"/>
      <c r="L674" s="5"/>
      <c r="M674" s="5"/>
      <c r="N674" s="5"/>
      <c r="O674" s="5"/>
      <c r="P674" s="5"/>
      <c r="Q674" s="5"/>
      <c r="R674" s="5"/>
      <c r="S674" s="5"/>
      <c r="T674" s="5"/>
      <c r="U674" s="5"/>
      <c r="V674" s="5"/>
      <c r="W674" s="5"/>
      <c r="X674" s="5"/>
      <c r="Y674" s="5"/>
      <c r="Z674" s="5"/>
    </row>
    <row r="675" ht="19.5" customHeight="1">
      <c r="A675" s="49"/>
      <c r="B675" s="50"/>
      <c r="C675" s="50"/>
      <c r="D675" s="50"/>
      <c r="E675" s="50"/>
      <c r="F675" s="51"/>
      <c r="G675" s="50"/>
      <c r="H675" s="50"/>
      <c r="I675" s="50"/>
      <c r="J675" s="48" t="str">
        <f t="array" ref="J675">IF(G675="","",IFERROR(LET(ev_cost,INDEX(Events!$G$5:$G$505,MATCH(G675,Events!$A$5:$A$505,0)),ev_split,INDEX(Events!$I$5:$I$505,MATCH(G675,Events!$A$5:$A$505,0)),att_offset,MATCH(G675,Attendance!$B$3:$AV$3,0),attendees,COUNTIF(INDEX(Attendance!$B$7:$AV$206,0,att_offset),"1"),IF(ev_split="Equal Split",ev_cost/MAX(1,COUNTA(Roster!$A$5:$A$204)),ev_cost/MAX(1,attendees))),"N/A"))</f>
        <v/>
      </c>
      <c r="K675" s="5"/>
      <c r="L675" s="5"/>
      <c r="M675" s="5"/>
      <c r="N675" s="5"/>
      <c r="O675" s="5"/>
      <c r="P675" s="5"/>
      <c r="Q675" s="5"/>
      <c r="R675" s="5"/>
      <c r="S675" s="5"/>
      <c r="T675" s="5"/>
      <c r="U675" s="5"/>
      <c r="V675" s="5"/>
      <c r="W675" s="5"/>
      <c r="X675" s="5"/>
      <c r="Y675" s="5"/>
      <c r="Z675" s="5"/>
    </row>
    <row r="676" ht="19.5" customHeight="1">
      <c r="A676" s="52"/>
      <c r="B676" s="53"/>
      <c r="C676" s="53"/>
      <c r="D676" s="53"/>
      <c r="E676" s="53"/>
      <c r="F676" s="61"/>
      <c r="G676" s="53"/>
      <c r="H676" s="53"/>
      <c r="I676" s="53"/>
      <c r="J676" s="48" t="str">
        <f t="array" ref="J676">IF(G676="","",IFERROR(LET(ev_cost,INDEX(Events!$G$5:$G$505,MATCH(G676,Events!$A$5:$A$505,0)),ev_split,INDEX(Events!$I$5:$I$505,MATCH(G676,Events!$A$5:$A$505,0)),att_offset,MATCH(G676,Attendance!$B$3:$AV$3,0),attendees,COUNTIF(INDEX(Attendance!$B$7:$AV$206,0,att_offset),"1"),IF(ev_split="Equal Split",ev_cost/MAX(1,COUNTA(Roster!$A$5:$A$204)),ev_cost/MAX(1,attendees))),"N/A"))</f>
        <v/>
      </c>
      <c r="K676" s="5"/>
      <c r="L676" s="5"/>
      <c r="M676" s="5"/>
      <c r="N676" s="5"/>
      <c r="O676" s="5"/>
      <c r="P676" s="5"/>
      <c r="Q676" s="5"/>
      <c r="R676" s="5"/>
      <c r="S676" s="5"/>
      <c r="T676" s="5"/>
      <c r="U676" s="5"/>
      <c r="V676" s="5"/>
      <c r="W676" s="5"/>
      <c r="X676" s="5"/>
      <c r="Y676" s="5"/>
      <c r="Z676" s="5"/>
    </row>
    <row r="677" ht="19.5" customHeight="1">
      <c r="A677" s="49"/>
      <c r="B677" s="50"/>
      <c r="C677" s="50"/>
      <c r="D677" s="50"/>
      <c r="E677" s="50"/>
      <c r="F677" s="51"/>
      <c r="G677" s="50"/>
      <c r="H677" s="50"/>
      <c r="I677" s="50"/>
      <c r="J677" s="48" t="str">
        <f t="array" ref="J677">IF(G677="","",IFERROR(LET(ev_cost,INDEX(Events!$G$5:$G$505,MATCH(G677,Events!$A$5:$A$505,0)),ev_split,INDEX(Events!$I$5:$I$505,MATCH(G677,Events!$A$5:$A$505,0)),att_offset,MATCH(G677,Attendance!$B$3:$AV$3,0),attendees,COUNTIF(INDEX(Attendance!$B$7:$AV$206,0,att_offset),"1"),IF(ev_split="Equal Split",ev_cost/MAX(1,COUNTA(Roster!$A$5:$A$204)),ev_cost/MAX(1,attendees))),"N/A"))</f>
        <v/>
      </c>
      <c r="K677" s="5"/>
      <c r="L677" s="5"/>
      <c r="M677" s="5"/>
      <c r="N677" s="5"/>
      <c r="O677" s="5"/>
      <c r="P677" s="5"/>
      <c r="Q677" s="5"/>
      <c r="R677" s="5"/>
      <c r="S677" s="5"/>
      <c r="T677" s="5"/>
      <c r="U677" s="5"/>
      <c r="V677" s="5"/>
      <c r="W677" s="5"/>
      <c r="X677" s="5"/>
      <c r="Y677" s="5"/>
      <c r="Z677" s="5"/>
    </row>
    <row r="678" ht="19.5" customHeight="1">
      <c r="A678" s="52"/>
      <c r="B678" s="53"/>
      <c r="C678" s="53"/>
      <c r="D678" s="53"/>
      <c r="E678" s="53"/>
      <c r="F678" s="61"/>
      <c r="G678" s="53"/>
      <c r="H678" s="53"/>
      <c r="I678" s="53"/>
      <c r="J678" s="48" t="str">
        <f t="array" ref="J678">IF(G678="","",IFERROR(LET(ev_cost,INDEX(Events!$G$5:$G$505,MATCH(G678,Events!$A$5:$A$505,0)),ev_split,INDEX(Events!$I$5:$I$505,MATCH(G678,Events!$A$5:$A$505,0)),att_offset,MATCH(G678,Attendance!$B$3:$AV$3,0),attendees,COUNTIF(INDEX(Attendance!$B$7:$AV$206,0,att_offset),"1"),IF(ev_split="Equal Split",ev_cost/MAX(1,COUNTA(Roster!$A$5:$A$204)),ev_cost/MAX(1,attendees))),"N/A"))</f>
        <v/>
      </c>
      <c r="K678" s="5"/>
      <c r="L678" s="5"/>
      <c r="M678" s="5"/>
      <c r="N678" s="5"/>
      <c r="O678" s="5"/>
      <c r="P678" s="5"/>
      <c r="Q678" s="5"/>
      <c r="R678" s="5"/>
      <c r="S678" s="5"/>
      <c r="T678" s="5"/>
      <c r="U678" s="5"/>
      <c r="V678" s="5"/>
      <c r="W678" s="5"/>
      <c r="X678" s="5"/>
      <c r="Y678" s="5"/>
      <c r="Z678" s="5"/>
    </row>
    <row r="679" ht="19.5" customHeight="1">
      <c r="A679" s="49"/>
      <c r="B679" s="50"/>
      <c r="C679" s="50"/>
      <c r="D679" s="50"/>
      <c r="E679" s="50"/>
      <c r="F679" s="51"/>
      <c r="G679" s="50"/>
      <c r="H679" s="50"/>
      <c r="I679" s="50"/>
      <c r="J679" s="48" t="str">
        <f t="array" ref="J679">IF(G679="","",IFERROR(LET(ev_cost,INDEX(Events!$G$5:$G$505,MATCH(G679,Events!$A$5:$A$505,0)),ev_split,INDEX(Events!$I$5:$I$505,MATCH(G679,Events!$A$5:$A$505,0)),att_offset,MATCH(G679,Attendance!$B$3:$AV$3,0),attendees,COUNTIF(INDEX(Attendance!$B$7:$AV$206,0,att_offset),"1"),IF(ev_split="Equal Split",ev_cost/MAX(1,COUNTA(Roster!$A$5:$A$204)),ev_cost/MAX(1,attendees))),"N/A"))</f>
        <v/>
      </c>
      <c r="K679" s="5"/>
      <c r="L679" s="5"/>
      <c r="M679" s="5"/>
      <c r="N679" s="5"/>
      <c r="O679" s="5"/>
      <c r="P679" s="5"/>
      <c r="Q679" s="5"/>
      <c r="R679" s="5"/>
      <c r="S679" s="5"/>
      <c r="T679" s="5"/>
      <c r="U679" s="5"/>
      <c r="V679" s="5"/>
      <c r="W679" s="5"/>
      <c r="X679" s="5"/>
      <c r="Y679" s="5"/>
      <c r="Z679" s="5"/>
    </row>
    <row r="680" ht="19.5" customHeight="1">
      <c r="A680" s="52"/>
      <c r="B680" s="53"/>
      <c r="C680" s="53"/>
      <c r="D680" s="53"/>
      <c r="E680" s="53"/>
      <c r="F680" s="61"/>
      <c r="G680" s="53"/>
      <c r="H680" s="53"/>
      <c r="I680" s="53"/>
      <c r="J680" s="48" t="str">
        <f t="array" ref="J680">IF(G680="","",IFERROR(LET(ev_cost,INDEX(Events!$G$5:$G$505,MATCH(G680,Events!$A$5:$A$505,0)),ev_split,INDEX(Events!$I$5:$I$505,MATCH(G680,Events!$A$5:$A$505,0)),att_offset,MATCH(G680,Attendance!$B$3:$AV$3,0),attendees,COUNTIF(INDEX(Attendance!$B$7:$AV$206,0,att_offset),"1"),IF(ev_split="Equal Split",ev_cost/MAX(1,COUNTA(Roster!$A$5:$A$204)),ev_cost/MAX(1,attendees))),"N/A"))</f>
        <v/>
      </c>
      <c r="K680" s="5"/>
      <c r="L680" s="5"/>
      <c r="M680" s="5"/>
      <c r="N680" s="5"/>
      <c r="O680" s="5"/>
      <c r="P680" s="5"/>
      <c r="Q680" s="5"/>
      <c r="R680" s="5"/>
      <c r="S680" s="5"/>
      <c r="T680" s="5"/>
      <c r="U680" s="5"/>
      <c r="V680" s="5"/>
      <c r="W680" s="5"/>
      <c r="X680" s="5"/>
      <c r="Y680" s="5"/>
      <c r="Z680" s="5"/>
    </row>
    <row r="681" ht="19.5" customHeight="1">
      <c r="A681" s="49"/>
      <c r="B681" s="50"/>
      <c r="C681" s="50"/>
      <c r="D681" s="50"/>
      <c r="E681" s="50"/>
      <c r="F681" s="51"/>
      <c r="G681" s="50"/>
      <c r="H681" s="50"/>
      <c r="I681" s="50"/>
      <c r="J681" s="48" t="str">
        <f t="array" ref="J681">IF(G681="","",IFERROR(LET(ev_cost,INDEX(Events!$G$5:$G$505,MATCH(G681,Events!$A$5:$A$505,0)),ev_split,INDEX(Events!$I$5:$I$505,MATCH(G681,Events!$A$5:$A$505,0)),att_offset,MATCH(G681,Attendance!$B$3:$AV$3,0),attendees,COUNTIF(INDEX(Attendance!$B$7:$AV$206,0,att_offset),"1"),IF(ev_split="Equal Split",ev_cost/MAX(1,COUNTA(Roster!$A$5:$A$204)),ev_cost/MAX(1,attendees))),"N/A"))</f>
        <v/>
      </c>
      <c r="K681" s="5"/>
      <c r="L681" s="5"/>
      <c r="M681" s="5"/>
      <c r="N681" s="5"/>
      <c r="O681" s="5"/>
      <c r="P681" s="5"/>
      <c r="Q681" s="5"/>
      <c r="R681" s="5"/>
      <c r="S681" s="5"/>
      <c r="T681" s="5"/>
      <c r="U681" s="5"/>
      <c r="V681" s="5"/>
      <c r="W681" s="5"/>
      <c r="X681" s="5"/>
      <c r="Y681" s="5"/>
      <c r="Z681" s="5"/>
    </row>
    <row r="682" ht="19.5" customHeight="1">
      <c r="A682" s="52"/>
      <c r="B682" s="53"/>
      <c r="C682" s="53"/>
      <c r="D682" s="53"/>
      <c r="E682" s="53"/>
      <c r="F682" s="61"/>
      <c r="G682" s="53"/>
      <c r="H682" s="53"/>
      <c r="I682" s="53"/>
      <c r="J682" s="48" t="str">
        <f t="array" ref="J682">IF(G682="","",IFERROR(LET(ev_cost,INDEX(Events!$G$5:$G$505,MATCH(G682,Events!$A$5:$A$505,0)),ev_split,INDEX(Events!$I$5:$I$505,MATCH(G682,Events!$A$5:$A$505,0)),att_offset,MATCH(G682,Attendance!$B$3:$AV$3,0),attendees,COUNTIF(INDEX(Attendance!$B$7:$AV$206,0,att_offset),"1"),IF(ev_split="Equal Split",ev_cost/MAX(1,COUNTA(Roster!$A$5:$A$204)),ev_cost/MAX(1,attendees))),"N/A"))</f>
        <v/>
      </c>
      <c r="K682" s="5"/>
      <c r="L682" s="5"/>
      <c r="M682" s="5"/>
      <c r="N682" s="5"/>
      <c r="O682" s="5"/>
      <c r="P682" s="5"/>
      <c r="Q682" s="5"/>
      <c r="R682" s="5"/>
      <c r="S682" s="5"/>
      <c r="T682" s="5"/>
      <c r="U682" s="5"/>
      <c r="V682" s="5"/>
      <c r="W682" s="5"/>
      <c r="X682" s="5"/>
      <c r="Y682" s="5"/>
      <c r="Z682" s="5"/>
    </row>
    <row r="683" ht="19.5" customHeight="1">
      <c r="A683" s="49"/>
      <c r="B683" s="50"/>
      <c r="C683" s="50"/>
      <c r="D683" s="50"/>
      <c r="E683" s="50"/>
      <c r="F683" s="51"/>
      <c r="G683" s="50"/>
      <c r="H683" s="50"/>
      <c r="I683" s="50"/>
      <c r="J683" s="48" t="str">
        <f t="array" ref="J683">IF(G683="","",IFERROR(LET(ev_cost,INDEX(Events!$G$5:$G$505,MATCH(G683,Events!$A$5:$A$505,0)),ev_split,INDEX(Events!$I$5:$I$505,MATCH(G683,Events!$A$5:$A$505,0)),att_offset,MATCH(G683,Attendance!$B$3:$AV$3,0),attendees,COUNTIF(INDEX(Attendance!$B$7:$AV$206,0,att_offset),"1"),IF(ev_split="Equal Split",ev_cost/MAX(1,COUNTA(Roster!$A$5:$A$204)),ev_cost/MAX(1,attendees))),"N/A"))</f>
        <v/>
      </c>
      <c r="K683" s="5"/>
      <c r="L683" s="5"/>
      <c r="M683" s="5"/>
      <c r="N683" s="5"/>
      <c r="O683" s="5"/>
      <c r="P683" s="5"/>
      <c r="Q683" s="5"/>
      <c r="R683" s="5"/>
      <c r="S683" s="5"/>
      <c r="T683" s="5"/>
      <c r="U683" s="5"/>
      <c r="V683" s="5"/>
      <c r="W683" s="5"/>
      <c r="X683" s="5"/>
      <c r="Y683" s="5"/>
      <c r="Z683" s="5"/>
    </row>
    <row r="684" ht="19.5" customHeight="1">
      <c r="A684" s="52"/>
      <c r="B684" s="53"/>
      <c r="C684" s="53"/>
      <c r="D684" s="53"/>
      <c r="E684" s="53"/>
      <c r="F684" s="61"/>
      <c r="G684" s="53"/>
      <c r="H684" s="53"/>
      <c r="I684" s="53"/>
      <c r="J684" s="48" t="str">
        <f t="array" ref="J684">IF(G684="","",IFERROR(LET(ev_cost,INDEX(Events!$G$5:$G$505,MATCH(G684,Events!$A$5:$A$505,0)),ev_split,INDEX(Events!$I$5:$I$505,MATCH(G684,Events!$A$5:$A$505,0)),att_offset,MATCH(G684,Attendance!$B$3:$AV$3,0),attendees,COUNTIF(INDEX(Attendance!$B$7:$AV$206,0,att_offset),"1"),IF(ev_split="Equal Split",ev_cost/MAX(1,COUNTA(Roster!$A$5:$A$204)),ev_cost/MAX(1,attendees))),"N/A"))</f>
        <v/>
      </c>
      <c r="K684" s="5"/>
      <c r="L684" s="5"/>
      <c r="M684" s="5"/>
      <c r="N684" s="5"/>
      <c r="O684" s="5"/>
      <c r="P684" s="5"/>
      <c r="Q684" s="5"/>
      <c r="R684" s="5"/>
      <c r="S684" s="5"/>
      <c r="T684" s="5"/>
      <c r="U684" s="5"/>
      <c r="V684" s="5"/>
      <c r="W684" s="5"/>
      <c r="X684" s="5"/>
      <c r="Y684" s="5"/>
      <c r="Z684" s="5"/>
    </row>
    <row r="685" ht="19.5" customHeight="1">
      <c r="A685" s="49"/>
      <c r="B685" s="50"/>
      <c r="C685" s="50"/>
      <c r="D685" s="50"/>
      <c r="E685" s="50"/>
      <c r="F685" s="51"/>
      <c r="G685" s="50"/>
      <c r="H685" s="50"/>
      <c r="I685" s="50"/>
      <c r="J685" s="48" t="str">
        <f t="array" ref="J685">IF(G685="","",IFERROR(LET(ev_cost,INDEX(Events!$G$5:$G$505,MATCH(G685,Events!$A$5:$A$505,0)),ev_split,INDEX(Events!$I$5:$I$505,MATCH(G685,Events!$A$5:$A$505,0)),att_offset,MATCH(G685,Attendance!$B$3:$AV$3,0),attendees,COUNTIF(INDEX(Attendance!$B$7:$AV$206,0,att_offset),"1"),IF(ev_split="Equal Split",ev_cost/MAX(1,COUNTA(Roster!$A$5:$A$204)),ev_cost/MAX(1,attendees))),"N/A"))</f>
        <v/>
      </c>
      <c r="K685" s="5"/>
      <c r="L685" s="5"/>
      <c r="M685" s="5"/>
      <c r="N685" s="5"/>
      <c r="O685" s="5"/>
      <c r="P685" s="5"/>
      <c r="Q685" s="5"/>
      <c r="R685" s="5"/>
      <c r="S685" s="5"/>
      <c r="T685" s="5"/>
      <c r="U685" s="5"/>
      <c r="V685" s="5"/>
      <c r="W685" s="5"/>
      <c r="X685" s="5"/>
      <c r="Y685" s="5"/>
      <c r="Z685" s="5"/>
    </row>
    <row r="686" ht="19.5" customHeight="1">
      <c r="A686" s="52"/>
      <c r="B686" s="53"/>
      <c r="C686" s="53"/>
      <c r="D686" s="53"/>
      <c r="E686" s="53"/>
      <c r="F686" s="61"/>
      <c r="G686" s="53"/>
      <c r="H686" s="53"/>
      <c r="I686" s="53"/>
      <c r="J686" s="48" t="str">
        <f t="array" ref="J686">IF(G686="","",IFERROR(LET(ev_cost,INDEX(Events!$G$5:$G$505,MATCH(G686,Events!$A$5:$A$505,0)),ev_split,INDEX(Events!$I$5:$I$505,MATCH(G686,Events!$A$5:$A$505,0)),att_offset,MATCH(G686,Attendance!$B$3:$AV$3,0),attendees,COUNTIF(INDEX(Attendance!$B$7:$AV$206,0,att_offset),"1"),IF(ev_split="Equal Split",ev_cost/MAX(1,COUNTA(Roster!$A$5:$A$204)),ev_cost/MAX(1,attendees))),"N/A"))</f>
        <v/>
      </c>
      <c r="K686" s="5"/>
      <c r="L686" s="5"/>
      <c r="M686" s="5"/>
      <c r="N686" s="5"/>
      <c r="O686" s="5"/>
      <c r="P686" s="5"/>
      <c r="Q686" s="5"/>
      <c r="R686" s="5"/>
      <c r="S686" s="5"/>
      <c r="T686" s="5"/>
      <c r="U686" s="5"/>
      <c r="V686" s="5"/>
      <c r="W686" s="5"/>
      <c r="X686" s="5"/>
      <c r="Y686" s="5"/>
      <c r="Z686" s="5"/>
    </row>
    <row r="687" ht="19.5" customHeight="1">
      <c r="A687" s="49"/>
      <c r="B687" s="50"/>
      <c r="C687" s="50"/>
      <c r="D687" s="50"/>
      <c r="E687" s="50"/>
      <c r="F687" s="51"/>
      <c r="G687" s="50"/>
      <c r="H687" s="50"/>
      <c r="I687" s="50"/>
      <c r="J687" s="48" t="str">
        <f t="array" ref="J687">IF(G687="","",IFERROR(LET(ev_cost,INDEX(Events!$G$5:$G$505,MATCH(G687,Events!$A$5:$A$505,0)),ev_split,INDEX(Events!$I$5:$I$505,MATCH(G687,Events!$A$5:$A$505,0)),att_offset,MATCH(G687,Attendance!$B$3:$AV$3,0),attendees,COUNTIF(INDEX(Attendance!$B$7:$AV$206,0,att_offset),"1"),IF(ev_split="Equal Split",ev_cost/MAX(1,COUNTA(Roster!$A$5:$A$204)),ev_cost/MAX(1,attendees))),"N/A"))</f>
        <v/>
      </c>
      <c r="K687" s="5"/>
      <c r="L687" s="5"/>
      <c r="M687" s="5"/>
      <c r="N687" s="5"/>
      <c r="O687" s="5"/>
      <c r="P687" s="5"/>
      <c r="Q687" s="5"/>
      <c r="R687" s="5"/>
      <c r="S687" s="5"/>
      <c r="T687" s="5"/>
      <c r="U687" s="5"/>
      <c r="V687" s="5"/>
      <c r="W687" s="5"/>
      <c r="X687" s="5"/>
      <c r="Y687" s="5"/>
      <c r="Z687" s="5"/>
    </row>
    <row r="688" ht="19.5" customHeight="1">
      <c r="A688" s="52"/>
      <c r="B688" s="53"/>
      <c r="C688" s="53"/>
      <c r="D688" s="53"/>
      <c r="E688" s="53"/>
      <c r="F688" s="61"/>
      <c r="G688" s="53"/>
      <c r="H688" s="53"/>
      <c r="I688" s="53"/>
      <c r="J688" s="48" t="str">
        <f t="array" ref="J688">IF(G688="","",IFERROR(LET(ev_cost,INDEX(Events!$G$5:$G$505,MATCH(G688,Events!$A$5:$A$505,0)),ev_split,INDEX(Events!$I$5:$I$505,MATCH(G688,Events!$A$5:$A$505,0)),att_offset,MATCH(G688,Attendance!$B$3:$AV$3,0),attendees,COUNTIF(INDEX(Attendance!$B$7:$AV$206,0,att_offset),"1"),IF(ev_split="Equal Split",ev_cost/MAX(1,COUNTA(Roster!$A$5:$A$204)),ev_cost/MAX(1,attendees))),"N/A"))</f>
        <v/>
      </c>
      <c r="K688" s="5"/>
      <c r="L688" s="5"/>
      <c r="M688" s="5"/>
      <c r="N688" s="5"/>
      <c r="O688" s="5"/>
      <c r="P688" s="5"/>
      <c r="Q688" s="5"/>
      <c r="R688" s="5"/>
      <c r="S688" s="5"/>
      <c r="T688" s="5"/>
      <c r="U688" s="5"/>
      <c r="V688" s="5"/>
      <c r="W688" s="5"/>
      <c r="X688" s="5"/>
      <c r="Y688" s="5"/>
      <c r="Z688" s="5"/>
    </row>
    <row r="689" ht="19.5" customHeight="1">
      <c r="A689" s="49"/>
      <c r="B689" s="50"/>
      <c r="C689" s="50"/>
      <c r="D689" s="50"/>
      <c r="E689" s="50"/>
      <c r="F689" s="51"/>
      <c r="G689" s="50"/>
      <c r="H689" s="50"/>
      <c r="I689" s="50"/>
      <c r="J689" s="48" t="str">
        <f t="array" ref="J689">IF(G689="","",IFERROR(LET(ev_cost,INDEX(Events!$G$5:$G$505,MATCH(G689,Events!$A$5:$A$505,0)),ev_split,INDEX(Events!$I$5:$I$505,MATCH(G689,Events!$A$5:$A$505,0)),att_offset,MATCH(G689,Attendance!$B$3:$AV$3,0),attendees,COUNTIF(INDEX(Attendance!$B$7:$AV$206,0,att_offset),"1"),IF(ev_split="Equal Split",ev_cost/MAX(1,COUNTA(Roster!$A$5:$A$204)),ev_cost/MAX(1,attendees))),"N/A"))</f>
        <v/>
      </c>
      <c r="K689" s="5"/>
      <c r="L689" s="5"/>
      <c r="M689" s="5"/>
      <c r="N689" s="5"/>
      <c r="O689" s="5"/>
      <c r="P689" s="5"/>
      <c r="Q689" s="5"/>
      <c r="R689" s="5"/>
      <c r="S689" s="5"/>
      <c r="T689" s="5"/>
      <c r="U689" s="5"/>
      <c r="V689" s="5"/>
      <c r="W689" s="5"/>
      <c r="X689" s="5"/>
      <c r="Y689" s="5"/>
      <c r="Z689" s="5"/>
    </row>
    <row r="690" ht="19.5" customHeight="1">
      <c r="A690" s="52"/>
      <c r="B690" s="53"/>
      <c r="C690" s="53"/>
      <c r="D690" s="53"/>
      <c r="E690" s="53"/>
      <c r="F690" s="61"/>
      <c r="G690" s="53"/>
      <c r="H690" s="53"/>
      <c r="I690" s="53"/>
      <c r="J690" s="48" t="str">
        <f t="array" ref="J690">IF(G690="","",IFERROR(LET(ev_cost,INDEX(Events!$G$5:$G$505,MATCH(G690,Events!$A$5:$A$505,0)),ev_split,INDEX(Events!$I$5:$I$505,MATCH(G690,Events!$A$5:$A$505,0)),att_offset,MATCH(G690,Attendance!$B$3:$AV$3,0),attendees,COUNTIF(INDEX(Attendance!$B$7:$AV$206,0,att_offset),"1"),IF(ev_split="Equal Split",ev_cost/MAX(1,COUNTA(Roster!$A$5:$A$204)),ev_cost/MAX(1,attendees))),"N/A"))</f>
        <v/>
      </c>
      <c r="K690" s="5"/>
      <c r="L690" s="5"/>
      <c r="M690" s="5"/>
      <c r="N690" s="5"/>
      <c r="O690" s="5"/>
      <c r="P690" s="5"/>
      <c r="Q690" s="5"/>
      <c r="R690" s="5"/>
      <c r="S690" s="5"/>
      <c r="T690" s="5"/>
      <c r="U690" s="5"/>
      <c r="V690" s="5"/>
      <c r="W690" s="5"/>
      <c r="X690" s="5"/>
      <c r="Y690" s="5"/>
      <c r="Z690" s="5"/>
    </row>
    <row r="691" ht="19.5" customHeight="1">
      <c r="A691" s="49"/>
      <c r="B691" s="50"/>
      <c r="C691" s="50"/>
      <c r="D691" s="50"/>
      <c r="E691" s="50"/>
      <c r="F691" s="51"/>
      <c r="G691" s="50"/>
      <c r="H691" s="50"/>
      <c r="I691" s="50"/>
      <c r="J691" s="48" t="str">
        <f t="array" ref="J691">IF(G691="","",IFERROR(LET(ev_cost,INDEX(Events!$G$5:$G$505,MATCH(G691,Events!$A$5:$A$505,0)),ev_split,INDEX(Events!$I$5:$I$505,MATCH(G691,Events!$A$5:$A$505,0)),att_offset,MATCH(G691,Attendance!$B$3:$AV$3,0),attendees,COUNTIF(INDEX(Attendance!$B$7:$AV$206,0,att_offset),"1"),IF(ev_split="Equal Split",ev_cost/MAX(1,COUNTA(Roster!$A$5:$A$204)),ev_cost/MAX(1,attendees))),"N/A"))</f>
        <v/>
      </c>
      <c r="K691" s="5"/>
      <c r="L691" s="5"/>
      <c r="M691" s="5"/>
      <c r="N691" s="5"/>
      <c r="O691" s="5"/>
      <c r="P691" s="5"/>
      <c r="Q691" s="5"/>
      <c r="R691" s="5"/>
      <c r="S691" s="5"/>
      <c r="T691" s="5"/>
      <c r="U691" s="5"/>
      <c r="V691" s="5"/>
      <c r="W691" s="5"/>
      <c r="X691" s="5"/>
      <c r="Y691" s="5"/>
      <c r="Z691" s="5"/>
    </row>
    <row r="692" ht="19.5" customHeight="1">
      <c r="A692" s="52"/>
      <c r="B692" s="53"/>
      <c r="C692" s="53"/>
      <c r="D692" s="53"/>
      <c r="E692" s="53"/>
      <c r="F692" s="61"/>
      <c r="G692" s="53"/>
      <c r="H692" s="53"/>
      <c r="I692" s="53"/>
      <c r="J692" s="48" t="str">
        <f t="array" ref="J692">IF(G692="","",IFERROR(LET(ev_cost,INDEX(Events!$G$5:$G$505,MATCH(G692,Events!$A$5:$A$505,0)),ev_split,INDEX(Events!$I$5:$I$505,MATCH(G692,Events!$A$5:$A$505,0)),att_offset,MATCH(G692,Attendance!$B$3:$AV$3,0),attendees,COUNTIF(INDEX(Attendance!$B$7:$AV$206,0,att_offset),"1"),IF(ev_split="Equal Split",ev_cost/MAX(1,COUNTA(Roster!$A$5:$A$204)),ev_cost/MAX(1,attendees))),"N/A"))</f>
        <v/>
      </c>
      <c r="K692" s="5"/>
      <c r="L692" s="5"/>
      <c r="M692" s="5"/>
      <c r="N692" s="5"/>
      <c r="O692" s="5"/>
      <c r="P692" s="5"/>
      <c r="Q692" s="5"/>
      <c r="R692" s="5"/>
      <c r="S692" s="5"/>
      <c r="T692" s="5"/>
      <c r="U692" s="5"/>
      <c r="V692" s="5"/>
      <c r="W692" s="5"/>
      <c r="X692" s="5"/>
      <c r="Y692" s="5"/>
      <c r="Z692" s="5"/>
    </row>
    <row r="693" ht="19.5" customHeight="1">
      <c r="A693" s="49"/>
      <c r="B693" s="50"/>
      <c r="C693" s="50"/>
      <c r="D693" s="50"/>
      <c r="E693" s="50"/>
      <c r="F693" s="51"/>
      <c r="G693" s="50"/>
      <c r="H693" s="50"/>
      <c r="I693" s="50"/>
      <c r="J693" s="48" t="str">
        <f t="array" ref="J693">IF(G693="","",IFERROR(LET(ev_cost,INDEX(Events!$G$5:$G$505,MATCH(G693,Events!$A$5:$A$505,0)),ev_split,INDEX(Events!$I$5:$I$505,MATCH(G693,Events!$A$5:$A$505,0)),att_offset,MATCH(G693,Attendance!$B$3:$AV$3,0),attendees,COUNTIF(INDEX(Attendance!$B$7:$AV$206,0,att_offset),"1"),IF(ev_split="Equal Split",ev_cost/MAX(1,COUNTA(Roster!$A$5:$A$204)),ev_cost/MAX(1,attendees))),"N/A"))</f>
        <v/>
      </c>
      <c r="K693" s="5"/>
      <c r="L693" s="5"/>
      <c r="M693" s="5"/>
      <c r="N693" s="5"/>
      <c r="O693" s="5"/>
      <c r="P693" s="5"/>
      <c r="Q693" s="5"/>
      <c r="R693" s="5"/>
      <c r="S693" s="5"/>
      <c r="T693" s="5"/>
      <c r="U693" s="5"/>
      <c r="V693" s="5"/>
      <c r="W693" s="5"/>
      <c r="X693" s="5"/>
      <c r="Y693" s="5"/>
      <c r="Z693" s="5"/>
    </row>
    <row r="694" ht="19.5" customHeight="1">
      <c r="A694" s="52"/>
      <c r="B694" s="53"/>
      <c r="C694" s="53"/>
      <c r="D694" s="53"/>
      <c r="E694" s="53"/>
      <c r="F694" s="61"/>
      <c r="G694" s="53"/>
      <c r="H694" s="53"/>
      <c r="I694" s="53"/>
      <c r="J694" s="48" t="str">
        <f t="array" ref="J694">IF(G694="","",IFERROR(LET(ev_cost,INDEX(Events!$G$5:$G$505,MATCH(G694,Events!$A$5:$A$505,0)),ev_split,INDEX(Events!$I$5:$I$505,MATCH(G694,Events!$A$5:$A$505,0)),att_offset,MATCH(G694,Attendance!$B$3:$AV$3,0),attendees,COUNTIF(INDEX(Attendance!$B$7:$AV$206,0,att_offset),"1"),IF(ev_split="Equal Split",ev_cost/MAX(1,COUNTA(Roster!$A$5:$A$204)),ev_cost/MAX(1,attendees))),"N/A"))</f>
        <v/>
      </c>
      <c r="K694" s="5"/>
      <c r="L694" s="5"/>
      <c r="M694" s="5"/>
      <c r="N694" s="5"/>
      <c r="O694" s="5"/>
      <c r="P694" s="5"/>
      <c r="Q694" s="5"/>
      <c r="R694" s="5"/>
      <c r="S694" s="5"/>
      <c r="T694" s="5"/>
      <c r="U694" s="5"/>
      <c r="V694" s="5"/>
      <c r="W694" s="5"/>
      <c r="X694" s="5"/>
      <c r="Y694" s="5"/>
      <c r="Z694" s="5"/>
    </row>
    <row r="695" ht="19.5" customHeight="1">
      <c r="A695" s="49"/>
      <c r="B695" s="50"/>
      <c r="C695" s="50"/>
      <c r="D695" s="50"/>
      <c r="E695" s="50"/>
      <c r="F695" s="51"/>
      <c r="G695" s="50"/>
      <c r="H695" s="50"/>
      <c r="I695" s="50"/>
      <c r="J695" s="48" t="str">
        <f t="array" ref="J695">IF(G695="","",IFERROR(LET(ev_cost,INDEX(Events!$G$5:$G$505,MATCH(G695,Events!$A$5:$A$505,0)),ev_split,INDEX(Events!$I$5:$I$505,MATCH(G695,Events!$A$5:$A$505,0)),att_offset,MATCH(G695,Attendance!$B$3:$AV$3,0),attendees,COUNTIF(INDEX(Attendance!$B$7:$AV$206,0,att_offset),"1"),IF(ev_split="Equal Split",ev_cost/MAX(1,COUNTA(Roster!$A$5:$A$204)),ev_cost/MAX(1,attendees))),"N/A"))</f>
        <v/>
      </c>
      <c r="K695" s="5"/>
      <c r="L695" s="5"/>
      <c r="M695" s="5"/>
      <c r="N695" s="5"/>
      <c r="O695" s="5"/>
      <c r="P695" s="5"/>
      <c r="Q695" s="5"/>
      <c r="R695" s="5"/>
      <c r="S695" s="5"/>
      <c r="T695" s="5"/>
      <c r="U695" s="5"/>
      <c r="V695" s="5"/>
      <c r="W695" s="5"/>
      <c r="X695" s="5"/>
      <c r="Y695" s="5"/>
      <c r="Z695" s="5"/>
    </row>
    <row r="696" ht="19.5" customHeight="1">
      <c r="A696" s="52"/>
      <c r="B696" s="53"/>
      <c r="C696" s="53"/>
      <c r="D696" s="53"/>
      <c r="E696" s="53"/>
      <c r="F696" s="61"/>
      <c r="G696" s="53"/>
      <c r="H696" s="53"/>
      <c r="I696" s="53"/>
      <c r="J696" s="48" t="str">
        <f t="array" ref="J696">IF(G696="","",IFERROR(LET(ev_cost,INDEX(Events!$G$5:$G$505,MATCH(G696,Events!$A$5:$A$505,0)),ev_split,INDEX(Events!$I$5:$I$505,MATCH(G696,Events!$A$5:$A$505,0)),att_offset,MATCH(G696,Attendance!$B$3:$AV$3,0),attendees,COUNTIF(INDEX(Attendance!$B$7:$AV$206,0,att_offset),"1"),IF(ev_split="Equal Split",ev_cost/MAX(1,COUNTA(Roster!$A$5:$A$204)),ev_cost/MAX(1,attendees))),"N/A"))</f>
        <v/>
      </c>
      <c r="K696" s="5"/>
      <c r="L696" s="5"/>
      <c r="M696" s="5"/>
      <c r="N696" s="5"/>
      <c r="O696" s="5"/>
      <c r="P696" s="5"/>
      <c r="Q696" s="5"/>
      <c r="R696" s="5"/>
      <c r="S696" s="5"/>
      <c r="T696" s="5"/>
      <c r="U696" s="5"/>
      <c r="V696" s="5"/>
      <c r="W696" s="5"/>
      <c r="X696" s="5"/>
      <c r="Y696" s="5"/>
      <c r="Z696" s="5"/>
    </row>
    <row r="697" ht="19.5" customHeight="1">
      <c r="A697" s="49"/>
      <c r="B697" s="50"/>
      <c r="C697" s="50"/>
      <c r="D697" s="50"/>
      <c r="E697" s="50"/>
      <c r="F697" s="51"/>
      <c r="G697" s="50"/>
      <c r="H697" s="50"/>
      <c r="I697" s="50"/>
      <c r="J697" s="48" t="str">
        <f t="array" ref="J697">IF(G697="","",IFERROR(LET(ev_cost,INDEX(Events!$G$5:$G$505,MATCH(G697,Events!$A$5:$A$505,0)),ev_split,INDEX(Events!$I$5:$I$505,MATCH(G697,Events!$A$5:$A$505,0)),att_offset,MATCH(G697,Attendance!$B$3:$AV$3,0),attendees,COUNTIF(INDEX(Attendance!$B$7:$AV$206,0,att_offset),"1"),IF(ev_split="Equal Split",ev_cost/MAX(1,COUNTA(Roster!$A$5:$A$204)),ev_cost/MAX(1,attendees))),"N/A"))</f>
        <v/>
      </c>
      <c r="K697" s="5"/>
      <c r="L697" s="5"/>
      <c r="M697" s="5"/>
      <c r="N697" s="5"/>
      <c r="O697" s="5"/>
      <c r="P697" s="5"/>
      <c r="Q697" s="5"/>
      <c r="R697" s="5"/>
      <c r="S697" s="5"/>
      <c r="T697" s="5"/>
      <c r="U697" s="5"/>
      <c r="V697" s="5"/>
      <c r="W697" s="5"/>
      <c r="X697" s="5"/>
      <c r="Y697" s="5"/>
      <c r="Z697" s="5"/>
    </row>
    <row r="698" ht="19.5" customHeight="1">
      <c r="A698" s="52"/>
      <c r="B698" s="53"/>
      <c r="C698" s="53"/>
      <c r="D698" s="53"/>
      <c r="E698" s="53"/>
      <c r="F698" s="61"/>
      <c r="G698" s="53"/>
      <c r="H698" s="53"/>
      <c r="I698" s="53"/>
      <c r="J698" s="48" t="str">
        <f t="array" ref="J698">IF(G698="","",IFERROR(LET(ev_cost,INDEX(Events!$G$5:$G$505,MATCH(G698,Events!$A$5:$A$505,0)),ev_split,INDEX(Events!$I$5:$I$505,MATCH(G698,Events!$A$5:$A$505,0)),att_offset,MATCH(G698,Attendance!$B$3:$AV$3,0),attendees,COUNTIF(INDEX(Attendance!$B$7:$AV$206,0,att_offset),"1"),IF(ev_split="Equal Split",ev_cost/MAX(1,COUNTA(Roster!$A$5:$A$204)),ev_cost/MAX(1,attendees))),"N/A"))</f>
        <v/>
      </c>
      <c r="K698" s="5"/>
      <c r="L698" s="5"/>
      <c r="M698" s="5"/>
      <c r="N698" s="5"/>
      <c r="O698" s="5"/>
      <c r="P698" s="5"/>
      <c r="Q698" s="5"/>
      <c r="R698" s="5"/>
      <c r="S698" s="5"/>
      <c r="T698" s="5"/>
      <c r="U698" s="5"/>
      <c r="V698" s="5"/>
      <c r="W698" s="5"/>
      <c r="X698" s="5"/>
      <c r="Y698" s="5"/>
      <c r="Z698" s="5"/>
    </row>
    <row r="699" ht="19.5" customHeight="1">
      <c r="A699" s="49"/>
      <c r="B699" s="50"/>
      <c r="C699" s="50"/>
      <c r="D699" s="50"/>
      <c r="E699" s="50"/>
      <c r="F699" s="51"/>
      <c r="G699" s="50"/>
      <c r="H699" s="50"/>
      <c r="I699" s="50"/>
      <c r="J699" s="48" t="str">
        <f t="array" ref="J699">IF(G699="","",IFERROR(LET(ev_cost,INDEX(Events!$G$5:$G$505,MATCH(G699,Events!$A$5:$A$505,0)),ev_split,INDEX(Events!$I$5:$I$505,MATCH(G699,Events!$A$5:$A$505,0)),att_offset,MATCH(G699,Attendance!$B$3:$AV$3,0),attendees,COUNTIF(INDEX(Attendance!$B$7:$AV$206,0,att_offset),"1"),IF(ev_split="Equal Split",ev_cost/MAX(1,COUNTA(Roster!$A$5:$A$204)),ev_cost/MAX(1,attendees))),"N/A"))</f>
        <v/>
      </c>
      <c r="K699" s="5"/>
      <c r="L699" s="5"/>
      <c r="M699" s="5"/>
      <c r="N699" s="5"/>
      <c r="O699" s="5"/>
      <c r="P699" s="5"/>
      <c r="Q699" s="5"/>
      <c r="R699" s="5"/>
      <c r="S699" s="5"/>
      <c r="T699" s="5"/>
      <c r="U699" s="5"/>
      <c r="V699" s="5"/>
      <c r="W699" s="5"/>
      <c r="X699" s="5"/>
      <c r="Y699" s="5"/>
      <c r="Z699" s="5"/>
    </row>
    <row r="700" ht="19.5" customHeight="1">
      <c r="A700" s="52"/>
      <c r="B700" s="53"/>
      <c r="C700" s="53"/>
      <c r="D700" s="53"/>
      <c r="E700" s="53"/>
      <c r="F700" s="61"/>
      <c r="G700" s="53"/>
      <c r="H700" s="53"/>
      <c r="I700" s="53"/>
      <c r="J700" s="48" t="str">
        <f t="array" ref="J700">IF(G700="","",IFERROR(LET(ev_cost,INDEX(Events!$G$5:$G$505,MATCH(G700,Events!$A$5:$A$505,0)),ev_split,INDEX(Events!$I$5:$I$505,MATCH(G700,Events!$A$5:$A$505,0)),att_offset,MATCH(G700,Attendance!$B$3:$AV$3,0),attendees,COUNTIF(INDEX(Attendance!$B$7:$AV$206,0,att_offset),"1"),IF(ev_split="Equal Split",ev_cost/MAX(1,COUNTA(Roster!$A$5:$A$204)),ev_cost/MAX(1,attendees))),"N/A"))</f>
        <v/>
      </c>
      <c r="K700" s="5"/>
      <c r="L700" s="5"/>
      <c r="M700" s="5"/>
      <c r="N700" s="5"/>
      <c r="O700" s="5"/>
      <c r="P700" s="5"/>
      <c r="Q700" s="5"/>
      <c r="R700" s="5"/>
      <c r="S700" s="5"/>
      <c r="T700" s="5"/>
      <c r="U700" s="5"/>
      <c r="V700" s="5"/>
      <c r="W700" s="5"/>
      <c r="X700" s="5"/>
      <c r="Y700" s="5"/>
      <c r="Z700" s="5"/>
    </row>
    <row r="701" ht="19.5" customHeight="1">
      <c r="A701" s="49"/>
      <c r="B701" s="50"/>
      <c r="C701" s="50"/>
      <c r="D701" s="50"/>
      <c r="E701" s="50"/>
      <c r="F701" s="51"/>
      <c r="G701" s="50"/>
      <c r="H701" s="50"/>
      <c r="I701" s="50"/>
      <c r="J701" s="48" t="str">
        <f t="array" ref="J701">IF(G701="","",IFERROR(LET(ev_cost,INDEX(Events!$G$5:$G$505,MATCH(G701,Events!$A$5:$A$505,0)),ev_split,INDEX(Events!$I$5:$I$505,MATCH(G701,Events!$A$5:$A$505,0)),att_offset,MATCH(G701,Attendance!$B$3:$AV$3,0),attendees,COUNTIF(INDEX(Attendance!$B$7:$AV$206,0,att_offset),"1"),IF(ev_split="Equal Split",ev_cost/MAX(1,COUNTA(Roster!$A$5:$A$204)),ev_cost/MAX(1,attendees))),"N/A"))</f>
        <v/>
      </c>
      <c r="K701" s="5"/>
      <c r="L701" s="5"/>
      <c r="M701" s="5"/>
      <c r="N701" s="5"/>
      <c r="O701" s="5"/>
      <c r="P701" s="5"/>
      <c r="Q701" s="5"/>
      <c r="R701" s="5"/>
      <c r="S701" s="5"/>
      <c r="T701" s="5"/>
      <c r="U701" s="5"/>
      <c r="V701" s="5"/>
      <c r="W701" s="5"/>
      <c r="X701" s="5"/>
      <c r="Y701" s="5"/>
      <c r="Z701" s="5"/>
    </row>
    <row r="702" ht="19.5" customHeight="1">
      <c r="A702" s="52"/>
      <c r="B702" s="53"/>
      <c r="C702" s="53"/>
      <c r="D702" s="53"/>
      <c r="E702" s="53"/>
      <c r="F702" s="61"/>
      <c r="G702" s="53"/>
      <c r="H702" s="53"/>
      <c r="I702" s="53"/>
      <c r="J702" s="48" t="str">
        <f t="array" ref="J702">IF(G702="","",IFERROR(LET(ev_cost,INDEX(Events!$G$5:$G$505,MATCH(G702,Events!$A$5:$A$505,0)),ev_split,INDEX(Events!$I$5:$I$505,MATCH(G702,Events!$A$5:$A$505,0)),att_offset,MATCH(G702,Attendance!$B$3:$AV$3,0),attendees,COUNTIF(INDEX(Attendance!$B$7:$AV$206,0,att_offset),"1"),IF(ev_split="Equal Split",ev_cost/MAX(1,COUNTA(Roster!$A$5:$A$204)),ev_cost/MAX(1,attendees))),"N/A"))</f>
        <v/>
      </c>
      <c r="K702" s="5"/>
      <c r="L702" s="5"/>
      <c r="M702" s="5"/>
      <c r="N702" s="5"/>
      <c r="O702" s="5"/>
      <c r="P702" s="5"/>
      <c r="Q702" s="5"/>
      <c r="R702" s="5"/>
      <c r="S702" s="5"/>
      <c r="T702" s="5"/>
      <c r="U702" s="5"/>
      <c r="V702" s="5"/>
      <c r="W702" s="5"/>
      <c r="X702" s="5"/>
      <c r="Y702" s="5"/>
      <c r="Z702" s="5"/>
    </row>
    <row r="703" ht="19.5" customHeight="1">
      <c r="A703" s="49"/>
      <c r="B703" s="50"/>
      <c r="C703" s="50"/>
      <c r="D703" s="50"/>
      <c r="E703" s="50"/>
      <c r="F703" s="51"/>
      <c r="G703" s="50"/>
      <c r="H703" s="50"/>
      <c r="I703" s="50"/>
      <c r="J703" s="48" t="str">
        <f t="array" ref="J703">IF(G703="","",IFERROR(LET(ev_cost,INDEX(Events!$G$5:$G$505,MATCH(G703,Events!$A$5:$A$505,0)),ev_split,INDEX(Events!$I$5:$I$505,MATCH(G703,Events!$A$5:$A$505,0)),att_offset,MATCH(G703,Attendance!$B$3:$AV$3,0),attendees,COUNTIF(INDEX(Attendance!$B$7:$AV$206,0,att_offset),"1"),IF(ev_split="Equal Split",ev_cost/MAX(1,COUNTA(Roster!$A$5:$A$204)),ev_cost/MAX(1,attendees))),"N/A"))</f>
        <v/>
      </c>
      <c r="K703" s="5"/>
      <c r="L703" s="5"/>
      <c r="M703" s="5"/>
      <c r="N703" s="5"/>
      <c r="O703" s="5"/>
      <c r="P703" s="5"/>
      <c r="Q703" s="5"/>
      <c r="R703" s="5"/>
      <c r="S703" s="5"/>
      <c r="T703" s="5"/>
      <c r="U703" s="5"/>
      <c r="V703" s="5"/>
      <c r="W703" s="5"/>
      <c r="X703" s="5"/>
      <c r="Y703" s="5"/>
      <c r="Z703" s="5"/>
    </row>
    <row r="704" ht="19.5" customHeight="1">
      <c r="A704" s="52"/>
      <c r="B704" s="53"/>
      <c r="C704" s="53"/>
      <c r="D704" s="53"/>
      <c r="E704" s="53"/>
      <c r="F704" s="61"/>
      <c r="G704" s="53"/>
      <c r="H704" s="53"/>
      <c r="I704" s="53"/>
      <c r="J704" s="48" t="str">
        <f t="array" ref="J704">IF(G704="","",IFERROR(LET(ev_cost,INDEX(Events!$G$5:$G$505,MATCH(G704,Events!$A$5:$A$505,0)),ev_split,INDEX(Events!$I$5:$I$505,MATCH(G704,Events!$A$5:$A$505,0)),att_offset,MATCH(G704,Attendance!$B$3:$AV$3,0),attendees,COUNTIF(INDEX(Attendance!$B$7:$AV$206,0,att_offset),"1"),IF(ev_split="Equal Split",ev_cost/MAX(1,COUNTA(Roster!$A$5:$A$204)),ev_cost/MAX(1,attendees))),"N/A"))</f>
        <v/>
      </c>
      <c r="K704" s="5"/>
      <c r="L704" s="5"/>
      <c r="M704" s="5"/>
      <c r="N704" s="5"/>
      <c r="O704" s="5"/>
      <c r="P704" s="5"/>
      <c r="Q704" s="5"/>
      <c r="R704" s="5"/>
      <c r="S704" s="5"/>
      <c r="T704" s="5"/>
      <c r="U704" s="5"/>
      <c r="V704" s="5"/>
      <c r="W704" s="5"/>
      <c r="X704" s="5"/>
      <c r="Y704" s="5"/>
      <c r="Z704" s="5"/>
    </row>
    <row r="705" ht="19.5" customHeight="1">
      <c r="A705" s="49"/>
      <c r="B705" s="50"/>
      <c r="C705" s="50"/>
      <c r="D705" s="50"/>
      <c r="E705" s="50"/>
      <c r="F705" s="51"/>
      <c r="G705" s="50"/>
      <c r="H705" s="50"/>
      <c r="I705" s="50"/>
      <c r="J705" s="48" t="str">
        <f t="array" ref="J705">IF(G705="","",IFERROR(LET(ev_cost,INDEX(Events!$G$5:$G$505,MATCH(G705,Events!$A$5:$A$505,0)),ev_split,INDEX(Events!$I$5:$I$505,MATCH(G705,Events!$A$5:$A$505,0)),att_offset,MATCH(G705,Attendance!$B$3:$AV$3,0),attendees,COUNTIF(INDEX(Attendance!$B$7:$AV$206,0,att_offset),"1"),IF(ev_split="Equal Split",ev_cost/MAX(1,COUNTA(Roster!$A$5:$A$204)),ev_cost/MAX(1,attendees))),"N/A"))</f>
        <v/>
      </c>
      <c r="K705" s="5"/>
      <c r="L705" s="5"/>
      <c r="M705" s="5"/>
      <c r="N705" s="5"/>
      <c r="O705" s="5"/>
      <c r="P705" s="5"/>
      <c r="Q705" s="5"/>
      <c r="R705" s="5"/>
      <c r="S705" s="5"/>
      <c r="T705" s="5"/>
      <c r="U705" s="5"/>
      <c r="V705" s="5"/>
      <c r="W705" s="5"/>
      <c r="X705" s="5"/>
      <c r="Y705" s="5"/>
      <c r="Z705" s="5"/>
    </row>
    <row r="706" ht="19.5" customHeight="1">
      <c r="A706" s="52"/>
      <c r="B706" s="53"/>
      <c r="C706" s="53"/>
      <c r="D706" s="53"/>
      <c r="E706" s="53"/>
      <c r="F706" s="61"/>
      <c r="G706" s="53"/>
      <c r="H706" s="53"/>
      <c r="I706" s="53"/>
      <c r="J706" s="48" t="str">
        <f t="array" ref="J706">IF(G706="","",IFERROR(LET(ev_cost,INDEX(Events!$G$5:$G$505,MATCH(G706,Events!$A$5:$A$505,0)),ev_split,INDEX(Events!$I$5:$I$505,MATCH(G706,Events!$A$5:$A$505,0)),att_offset,MATCH(G706,Attendance!$B$3:$AV$3,0),attendees,COUNTIF(INDEX(Attendance!$B$7:$AV$206,0,att_offset),"1"),IF(ev_split="Equal Split",ev_cost/MAX(1,COUNTA(Roster!$A$5:$A$204)),ev_cost/MAX(1,attendees))),"N/A"))</f>
        <v/>
      </c>
      <c r="K706" s="5"/>
      <c r="L706" s="5"/>
      <c r="M706" s="5"/>
      <c r="N706" s="5"/>
      <c r="O706" s="5"/>
      <c r="P706" s="5"/>
      <c r="Q706" s="5"/>
      <c r="R706" s="5"/>
      <c r="S706" s="5"/>
      <c r="T706" s="5"/>
      <c r="U706" s="5"/>
      <c r="V706" s="5"/>
      <c r="W706" s="5"/>
      <c r="X706" s="5"/>
      <c r="Y706" s="5"/>
      <c r="Z706" s="5"/>
    </row>
    <row r="707" ht="19.5" customHeight="1">
      <c r="A707" s="49"/>
      <c r="B707" s="50"/>
      <c r="C707" s="50"/>
      <c r="D707" s="50"/>
      <c r="E707" s="50"/>
      <c r="F707" s="51"/>
      <c r="G707" s="50"/>
      <c r="H707" s="50"/>
      <c r="I707" s="50"/>
      <c r="J707" s="48" t="str">
        <f t="array" ref="J707">IF(G707="","",IFERROR(LET(ev_cost,INDEX(Events!$G$5:$G$505,MATCH(G707,Events!$A$5:$A$505,0)),ev_split,INDEX(Events!$I$5:$I$505,MATCH(G707,Events!$A$5:$A$505,0)),att_offset,MATCH(G707,Attendance!$B$3:$AV$3,0),attendees,COUNTIF(INDEX(Attendance!$B$7:$AV$206,0,att_offset),"1"),IF(ev_split="Equal Split",ev_cost/MAX(1,COUNTA(Roster!$A$5:$A$204)),ev_cost/MAX(1,attendees))),"N/A"))</f>
        <v/>
      </c>
      <c r="K707" s="5"/>
      <c r="L707" s="5"/>
      <c r="M707" s="5"/>
      <c r="N707" s="5"/>
      <c r="O707" s="5"/>
      <c r="P707" s="5"/>
      <c r="Q707" s="5"/>
      <c r="R707" s="5"/>
      <c r="S707" s="5"/>
      <c r="T707" s="5"/>
      <c r="U707" s="5"/>
      <c r="V707" s="5"/>
      <c r="W707" s="5"/>
      <c r="X707" s="5"/>
      <c r="Y707" s="5"/>
      <c r="Z707" s="5"/>
    </row>
    <row r="708" ht="19.5" customHeight="1">
      <c r="A708" s="52"/>
      <c r="B708" s="53"/>
      <c r="C708" s="53"/>
      <c r="D708" s="53"/>
      <c r="E708" s="53"/>
      <c r="F708" s="61"/>
      <c r="G708" s="53"/>
      <c r="H708" s="53"/>
      <c r="I708" s="53"/>
      <c r="J708" s="48" t="str">
        <f t="array" ref="J708">IF(G708="","",IFERROR(LET(ev_cost,INDEX(Events!$G$5:$G$505,MATCH(G708,Events!$A$5:$A$505,0)),ev_split,INDEX(Events!$I$5:$I$505,MATCH(G708,Events!$A$5:$A$505,0)),att_offset,MATCH(G708,Attendance!$B$3:$AV$3,0),attendees,COUNTIF(INDEX(Attendance!$B$7:$AV$206,0,att_offset),"1"),IF(ev_split="Equal Split",ev_cost/MAX(1,COUNTA(Roster!$A$5:$A$204)),ev_cost/MAX(1,attendees))),"N/A"))</f>
        <v/>
      </c>
      <c r="K708" s="5"/>
      <c r="L708" s="5"/>
      <c r="M708" s="5"/>
      <c r="N708" s="5"/>
      <c r="O708" s="5"/>
      <c r="P708" s="5"/>
      <c r="Q708" s="5"/>
      <c r="R708" s="5"/>
      <c r="S708" s="5"/>
      <c r="T708" s="5"/>
      <c r="U708" s="5"/>
      <c r="V708" s="5"/>
      <c r="W708" s="5"/>
      <c r="X708" s="5"/>
      <c r="Y708" s="5"/>
      <c r="Z708" s="5"/>
    </row>
    <row r="709" ht="19.5" customHeight="1">
      <c r="A709" s="49"/>
      <c r="B709" s="50"/>
      <c r="C709" s="50"/>
      <c r="D709" s="50"/>
      <c r="E709" s="50"/>
      <c r="F709" s="51"/>
      <c r="G709" s="50"/>
      <c r="H709" s="50"/>
      <c r="I709" s="50"/>
      <c r="J709" s="48" t="str">
        <f t="array" ref="J709">IF(G709="","",IFERROR(LET(ev_cost,INDEX(Events!$G$5:$G$505,MATCH(G709,Events!$A$5:$A$505,0)),ev_split,INDEX(Events!$I$5:$I$505,MATCH(G709,Events!$A$5:$A$505,0)),att_offset,MATCH(G709,Attendance!$B$3:$AV$3,0),attendees,COUNTIF(INDEX(Attendance!$B$7:$AV$206,0,att_offset),"1"),IF(ev_split="Equal Split",ev_cost/MAX(1,COUNTA(Roster!$A$5:$A$204)),ev_cost/MAX(1,attendees))),"N/A"))</f>
        <v/>
      </c>
      <c r="K709" s="5"/>
      <c r="L709" s="5"/>
      <c r="M709" s="5"/>
      <c r="N709" s="5"/>
      <c r="O709" s="5"/>
      <c r="P709" s="5"/>
      <c r="Q709" s="5"/>
      <c r="R709" s="5"/>
      <c r="S709" s="5"/>
      <c r="T709" s="5"/>
      <c r="U709" s="5"/>
      <c r="V709" s="5"/>
      <c r="W709" s="5"/>
      <c r="X709" s="5"/>
      <c r="Y709" s="5"/>
      <c r="Z709" s="5"/>
    </row>
    <row r="710" ht="19.5" customHeight="1">
      <c r="A710" s="52"/>
      <c r="B710" s="53"/>
      <c r="C710" s="53"/>
      <c r="D710" s="53"/>
      <c r="E710" s="53"/>
      <c r="F710" s="61"/>
      <c r="G710" s="53"/>
      <c r="H710" s="53"/>
      <c r="I710" s="53"/>
      <c r="J710" s="48" t="str">
        <f t="array" ref="J710">IF(G710="","",IFERROR(LET(ev_cost,INDEX(Events!$G$5:$G$505,MATCH(G710,Events!$A$5:$A$505,0)),ev_split,INDEX(Events!$I$5:$I$505,MATCH(G710,Events!$A$5:$A$505,0)),att_offset,MATCH(G710,Attendance!$B$3:$AV$3,0),attendees,COUNTIF(INDEX(Attendance!$B$7:$AV$206,0,att_offset),"1"),IF(ev_split="Equal Split",ev_cost/MAX(1,COUNTA(Roster!$A$5:$A$204)),ev_cost/MAX(1,attendees))),"N/A"))</f>
        <v/>
      </c>
      <c r="K710" s="5"/>
      <c r="L710" s="5"/>
      <c r="M710" s="5"/>
      <c r="N710" s="5"/>
      <c r="O710" s="5"/>
      <c r="P710" s="5"/>
      <c r="Q710" s="5"/>
      <c r="R710" s="5"/>
      <c r="S710" s="5"/>
      <c r="T710" s="5"/>
      <c r="U710" s="5"/>
      <c r="V710" s="5"/>
      <c r="W710" s="5"/>
      <c r="X710" s="5"/>
      <c r="Y710" s="5"/>
      <c r="Z710" s="5"/>
    </row>
    <row r="711" ht="19.5" customHeight="1">
      <c r="A711" s="49"/>
      <c r="B711" s="50"/>
      <c r="C711" s="50"/>
      <c r="D711" s="50"/>
      <c r="E711" s="50"/>
      <c r="F711" s="51"/>
      <c r="G711" s="50"/>
      <c r="H711" s="50"/>
      <c r="I711" s="50"/>
      <c r="J711" s="48" t="str">
        <f t="array" ref="J711">IF(G711="","",IFERROR(LET(ev_cost,INDEX(Events!$G$5:$G$505,MATCH(G711,Events!$A$5:$A$505,0)),ev_split,INDEX(Events!$I$5:$I$505,MATCH(G711,Events!$A$5:$A$505,0)),att_offset,MATCH(G711,Attendance!$B$3:$AV$3,0),attendees,COUNTIF(INDEX(Attendance!$B$7:$AV$206,0,att_offset),"1"),IF(ev_split="Equal Split",ev_cost/MAX(1,COUNTA(Roster!$A$5:$A$204)),ev_cost/MAX(1,attendees))),"N/A"))</f>
        <v/>
      </c>
      <c r="K711" s="5"/>
      <c r="L711" s="5"/>
      <c r="M711" s="5"/>
      <c r="N711" s="5"/>
      <c r="O711" s="5"/>
      <c r="P711" s="5"/>
      <c r="Q711" s="5"/>
      <c r="R711" s="5"/>
      <c r="S711" s="5"/>
      <c r="T711" s="5"/>
      <c r="U711" s="5"/>
      <c r="V711" s="5"/>
      <c r="W711" s="5"/>
      <c r="X711" s="5"/>
      <c r="Y711" s="5"/>
      <c r="Z711" s="5"/>
    </row>
    <row r="712" ht="19.5" customHeight="1">
      <c r="A712" s="52"/>
      <c r="B712" s="53"/>
      <c r="C712" s="53"/>
      <c r="D712" s="53"/>
      <c r="E712" s="53"/>
      <c r="F712" s="61"/>
      <c r="G712" s="53"/>
      <c r="H712" s="53"/>
      <c r="I712" s="53"/>
      <c r="J712" s="48" t="str">
        <f t="array" ref="J712">IF(G712="","",IFERROR(LET(ev_cost,INDEX(Events!$G$5:$G$505,MATCH(G712,Events!$A$5:$A$505,0)),ev_split,INDEX(Events!$I$5:$I$505,MATCH(G712,Events!$A$5:$A$505,0)),att_offset,MATCH(G712,Attendance!$B$3:$AV$3,0),attendees,COUNTIF(INDEX(Attendance!$B$7:$AV$206,0,att_offset),"1"),IF(ev_split="Equal Split",ev_cost/MAX(1,COUNTA(Roster!$A$5:$A$204)),ev_cost/MAX(1,attendees))),"N/A"))</f>
        <v/>
      </c>
      <c r="K712" s="5"/>
      <c r="L712" s="5"/>
      <c r="M712" s="5"/>
      <c r="N712" s="5"/>
      <c r="O712" s="5"/>
      <c r="P712" s="5"/>
      <c r="Q712" s="5"/>
      <c r="R712" s="5"/>
      <c r="S712" s="5"/>
      <c r="T712" s="5"/>
      <c r="U712" s="5"/>
      <c r="V712" s="5"/>
      <c r="W712" s="5"/>
      <c r="X712" s="5"/>
      <c r="Y712" s="5"/>
      <c r="Z712" s="5"/>
    </row>
    <row r="713" ht="19.5" customHeight="1">
      <c r="A713" s="49"/>
      <c r="B713" s="50"/>
      <c r="C713" s="50"/>
      <c r="D713" s="50"/>
      <c r="E713" s="50"/>
      <c r="F713" s="51"/>
      <c r="G713" s="50"/>
      <c r="H713" s="50"/>
      <c r="I713" s="50"/>
      <c r="J713" s="48" t="str">
        <f t="array" ref="J713">IF(G713="","",IFERROR(LET(ev_cost,INDEX(Events!$G$5:$G$505,MATCH(G713,Events!$A$5:$A$505,0)),ev_split,INDEX(Events!$I$5:$I$505,MATCH(G713,Events!$A$5:$A$505,0)),att_offset,MATCH(G713,Attendance!$B$3:$AV$3,0),attendees,COUNTIF(INDEX(Attendance!$B$7:$AV$206,0,att_offset),"1"),IF(ev_split="Equal Split",ev_cost/MAX(1,COUNTA(Roster!$A$5:$A$204)),ev_cost/MAX(1,attendees))),"N/A"))</f>
        <v/>
      </c>
      <c r="K713" s="5"/>
      <c r="L713" s="5"/>
      <c r="M713" s="5"/>
      <c r="N713" s="5"/>
      <c r="O713" s="5"/>
      <c r="P713" s="5"/>
      <c r="Q713" s="5"/>
      <c r="R713" s="5"/>
      <c r="S713" s="5"/>
      <c r="T713" s="5"/>
      <c r="U713" s="5"/>
      <c r="V713" s="5"/>
      <c r="W713" s="5"/>
      <c r="X713" s="5"/>
      <c r="Y713" s="5"/>
      <c r="Z713" s="5"/>
    </row>
    <row r="714" ht="19.5" customHeight="1">
      <c r="A714" s="52"/>
      <c r="B714" s="53"/>
      <c r="C714" s="53"/>
      <c r="D714" s="53"/>
      <c r="E714" s="53"/>
      <c r="F714" s="61"/>
      <c r="G714" s="53"/>
      <c r="H714" s="53"/>
      <c r="I714" s="53"/>
      <c r="J714" s="48" t="str">
        <f t="array" ref="J714">IF(G714="","",IFERROR(LET(ev_cost,INDEX(Events!$G$5:$G$505,MATCH(G714,Events!$A$5:$A$505,0)),ev_split,INDEX(Events!$I$5:$I$505,MATCH(G714,Events!$A$5:$A$505,0)),att_offset,MATCH(G714,Attendance!$B$3:$AV$3,0),attendees,COUNTIF(INDEX(Attendance!$B$7:$AV$206,0,att_offset),"1"),IF(ev_split="Equal Split",ev_cost/MAX(1,COUNTA(Roster!$A$5:$A$204)),ev_cost/MAX(1,attendees))),"N/A"))</f>
        <v/>
      </c>
      <c r="K714" s="5"/>
      <c r="L714" s="5"/>
      <c r="M714" s="5"/>
      <c r="N714" s="5"/>
      <c r="O714" s="5"/>
      <c r="P714" s="5"/>
      <c r="Q714" s="5"/>
      <c r="R714" s="5"/>
      <c r="S714" s="5"/>
      <c r="T714" s="5"/>
      <c r="U714" s="5"/>
      <c r="V714" s="5"/>
      <c r="W714" s="5"/>
      <c r="X714" s="5"/>
      <c r="Y714" s="5"/>
      <c r="Z714" s="5"/>
    </row>
    <row r="715" ht="19.5" customHeight="1">
      <c r="A715" s="49"/>
      <c r="B715" s="50"/>
      <c r="C715" s="50"/>
      <c r="D715" s="50"/>
      <c r="E715" s="50"/>
      <c r="F715" s="51"/>
      <c r="G715" s="50"/>
      <c r="H715" s="50"/>
      <c r="I715" s="50"/>
      <c r="J715" s="48" t="str">
        <f t="array" ref="J715">IF(G715="","",IFERROR(LET(ev_cost,INDEX(Events!$G$5:$G$505,MATCH(G715,Events!$A$5:$A$505,0)),ev_split,INDEX(Events!$I$5:$I$505,MATCH(G715,Events!$A$5:$A$505,0)),att_offset,MATCH(G715,Attendance!$B$3:$AV$3,0),attendees,COUNTIF(INDEX(Attendance!$B$7:$AV$206,0,att_offset),"1"),IF(ev_split="Equal Split",ev_cost/MAX(1,COUNTA(Roster!$A$5:$A$204)),ev_cost/MAX(1,attendees))),"N/A"))</f>
        <v/>
      </c>
      <c r="K715" s="5"/>
      <c r="L715" s="5"/>
      <c r="M715" s="5"/>
      <c r="N715" s="5"/>
      <c r="O715" s="5"/>
      <c r="P715" s="5"/>
      <c r="Q715" s="5"/>
      <c r="R715" s="5"/>
      <c r="S715" s="5"/>
      <c r="T715" s="5"/>
      <c r="U715" s="5"/>
      <c r="V715" s="5"/>
      <c r="W715" s="5"/>
      <c r="X715" s="5"/>
      <c r="Y715" s="5"/>
      <c r="Z715" s="5"/>
    </row>
    <row r="716" ht="19.5" customHeight="1">
      <c r="A716" s="52"/>
      <c r="B716" s="53"/>
      <c r="C716" s="53"/>
      <c r="D716" s="53"/>
      <c r="E716" s="53"/>
      <c r="F716" s="61"/>
      <c r="G716" s="53"/>
      <c r="H716" s="53"/>
      <c r="I716" s="53"/>
      <c r="J716" s="48" t="str">
        <f t="array" ref="J716">IF(G716="","",IFERROR(LET(ev_cost,INDEX(Events!$G$5:$G$505,MATCH(G716,Events!$A$5:$A$505,0)),ev_split,INDEX(Events!$I$5:$I$505,MATCH(G716,Events!$A$5:$A$505,0)),att_offset,MATCH(G716,Attendance!$B$3:$AV$3,0),attendees,COUNTIF(INDEX(Attendance!$B$7:$AV$206,0,att_offset),"1"),IF(ev_split="Equal Split",ev_cost/MAX(1,COUNTA(Roster!$A$5:$A$204)),ev_cost/MAX(1,attendees))),"N/A"))</f>
        <v/>
      </c>
      <c r="K716" s="5"/>
      <c r="L716" s="5"/>
      <c r="M716" s="5"/>
      <c r="N716" s="5"/>
      <c r="O716" s="5"/>
      <c r="P716" s="5"/>
      <c r="Q716" s="5"/>
      <c r="R716" s="5"/>
      <c r="S716" s="5"/>
      <c r="T716" s="5"/>
      <c r="U716" s="5"/>
      <c r="V716" s="5"/>
      <c r="W716" s="5"/>
      <c r="X716" s="5"/>
      <c r="Y716" s="5"/>
      <c r="Z716" s="5"/>
    </row>
    <row r="717" ht="19.5" customHeight="1">
      <c r="A717" s="49"/>
      <c r="B717" s="50"/>
      <c r="C717" s="50"/>
      <c r="D717" s="50"/>
      <c r="E717" s="50"/>
      <c r="F717" s="51"/>
      <c r="G717" s="50"/>
      <c r="H717" s="50"/>
      <c r="I717" s="50"/>
      <c r="J717" s="48" t="str">
        <f t="array" ref="J717">IF(G717="","",IFERROR(LET(ev_cost,INDEX(Events!$G$5:$G$505,MATCH(G717,Events!$A$5:$A$505,0)),ev_split,INDEX(Events!$I$5:$I$505,MATCH(G717,Events!$A$5:$A$505,0)),att_offset,MATCH(G717,Attendance!$B$3:$AV$3,0),attendees,COUNTIF(INDEX(Attendance!$B$7:$AV$206,0,att_offset),"1"),IF(ev_split="Equal Split",ev_cost/MAX(1,COUNTA(Roster!$A$5:$A$204)),ev_cost/MAX(1,attendees))),"N/A"))</f>
        <v/>
      </c>
      <c r="K717" s="5"/>
      <c r="L717" s="5"/>
      <c r="M717" s="5"/>
      <c r="N717" s="5"/>
      <c r="O717" s="5"/>
      <c r="P717" s="5"/>
      <c r="Q717" s="5"/>
      <c r="R717" s="5"/>
      <c r="S717" s="5"/>
      <c r="T717" s="5"/>
      <c r="U717" s="5"/>
      <c r="V717" s="5"/>
      <c r="W717" s="5"/>
      <c r="X717" s="5"/>
      <c r="Y717" s="5"/>
      <c r="Z717" s="5"/>
    </row>
    <row r="718" ht="19.5" customHeight="1">
      <c r="A718" s="52"/>
      <c r="B718" s="53"/>
      <c r="C718" s="53"/>
      <c r="D718" s="53"/>
      <c r="E718" s="53"/>
      <c r="F718" s="61"/>
      <c r="G718" s="53"/>
      <c r="H718" s="53"/>
      <c r="I718" s="53"/>
      <c r="J718" s="48" t="str">
        <f t="array" ref="J718">IF(G718="","",IFERROR(LET(ev_cost,INDEX(Events!$G$5:$G$505,MATCH(G718,Events!$A$5:$A$505,0)),ev_split,INDEX(Events!$I$5:$I$505,MATCH(G718,Events!$A$5:$A$505,0)),att_offset,MATCH(G718,Attendance!$B$3:$AV$3,0),attendees,COUNTIF(INDEX(Attendance!$B$7:$AV$206,0,att_offset),"1"),IF(ev_split="Equal Split",ev_cost/MAX(1,COUNTA(Roster!$A$5:$A$204)),ev_cost/MAX(1,attendees))),"N/A"))</f>
        <v/>
      </c>
      <c r="K718" s="5"/>
      <c r="L718" s="5"/>
      <c r="M718" s="5"/>
      <c r="N718" s="5"/>
      <c r="O718" s="5"/>
      <c r="P718" s="5"/>
      <c r="Q718" s="5"/>
      <c r="R718" s="5"/>
      <c r="S718" s="5"/>
      <c r="T718" s="5"/>
      <c r="U718" s="5"/>
      <c r="V718" s="5"/>
      <c r="W718" s="5"/>
      <c r="X718" s="5"/>
      <c r="Y718" s="5"/>
      <c r="Z718" s="5"/>
    </row>
    <row r="719" ht="19.5" customHeight="1">
      <c r="A719" s="49"/>
      <c r="B719" s="50"/>
      <c r="C719" s="50"/>
      <c r="D719" s="50"/>
      <c r="E719" s="50"/>
      <c r="F719" s="51"/>
      <c r="G719" s="50"/>
      <c r="H719" s="50"/>
      <c r="I719" s="50"/>
      <c r="J719" s="48" t="str">
        <f t="array" ref="J719">IF(G719="","",IFERROR(LET(ev_cost,INDEX(Events!$G$5:$G$505,MATCH(G719,Events!$A$5:$A$505,0)),ev_split,INDEX(Events!$I$5:$I$505,MATCH(G719,Events!$A$5:$A$505,0)),att_offset,MATCH(G719,Attendance!$B$3:$AV$3,0),attendees,COUNTIF(INDEX(Attendance!$B$7:$AV$206,0,att_offset),"1"),IF(ev_split="Equal Split",ev_cost/MAX(1,COUNTA(Roster!$A$5:$A$204)),ev_cost/MAX(1,attendees))),"N/A"))</f>
        <v/>
      </c>
      <c r="K719" s="5"/>
      <c r="L719" s="5"/>
      <c r="M719" s="5"/>
      <c r="N719" s="5"/>
      <c r="O719" s="5"/>
      <c r="P719" s="5"/>
      <c r="Q719" s="5"/>
      <c r="R719" s="5"/>
      <c r="S719" s="5"/>
      <c r="T719" s="5"/>
      <c r="U719" s="5"/>
      <c r="V719" s="5"/>
      <c r="W719" s="5"/>
      <c r="X719" s="5"/>
      <c r="Y719" s="5"/>
      <c r="Z719" s="5"/>
    </row>
    <row r="720" ht="19.5" customHeight="1">
      <c r="A720" s="52"/>
      <c r="B720" s="53"/>
      <c r="C720" s="53"/>
      <c r="D720" s="53"/>
      <c r="E720" s="53"/>
      <c r="F720" s="61"/>
      <c r="G720" s="53"/>
      <c r="H720" s="53"/>
      <c r="I720" s="53"/>
      <c r="J720" s="48" t="str">
        <f t="array" ref="J720">IF(G720="","",IFERROR(LET(ev_cost,INDEX(Events!$G$5:$G$505,MATCH(G720,Events!$A$5:$A$505,0)),ev_split,INDEX(Events!$I$5:$I$505,MATCH(G720,Events!$A$5:$A$505,0)),att_offset,MATCH(G720,Attendance!$B$3:$AV$3,0),attendees,COUNTIF(INDEX(Attendance!$B$7:$AV$206,0,att_offset),"1"),IF(ev_split="Equal Split",ev_cost/MAX(1,COUNTA(Roster!$A$5:$A$204)),ev_cost/MAX(1,attendees))),"N/A"))</f>
        <v/>
      </c>
      <c r="K720" s="5"/>
      <c r="L720" s="5"/>
      <c r="M720" s="5"/>
      <c r="N720" s="5"/>
      <c r="O720" s="5"/>
      <c r="P720" s="5"/>
      <c r="Q720" s="5"/>
      <c r="R720" s="5"/>
      <c r="S720" s="5"/>
      <c r="T720" s="5"/>
      <c r="U720" s="5"/>
      <c r="V720" s="5"/>
      <c r="W720" s="5"/>
      <c r="X720" s="5"/>
      <c r="Y720" s="5"/>
      <c r="Z720" s="5"/>
    </row>
    <row r="721" ht="19.5" customHeight="1">
      <c r="A721" s="49"/>
      <c r="B721" s="50"/>
      <c r="C721" s="50"/>
      <c r="D721" s="50"/>
      <c r="E721" s="50"/>
      <c r="F721" s="51"/>
      <c r="G721" s="50"/>
      <c r="H721" s="50"/>
      <c r="I721" s="50"/>
      <c r="J721" s="48" t="str">
        <f t="array" ref="J721">IF(G721="","",IFERROR(LET(ev_cost,INDEX(Events!$G$5:$G$505,MATCH(G721,Events!$A$5:$A$505,0)),ev_split,INDEX(Events!$I$5:$I$505,MATCH(G721,Events!$A$5:$A$505,0)),att_offset,MATCH(G721,Attendance!$B$3:$AV$3,0),attendees,COUNTIF(INDEX(Attendance!$B$7:$AV$206,0,att_offset),"1"),IF(ev_split="Equal Split",ev_cost/MAX(1,COUNTA(Roster!$A$5:$A$204)),ev_cost/MAX(1,attendees))),"N/A"))</f>
        <v/>
      </c>
      <c r="K721" s="5"/>
      <c r="L721" s="5"/>
      <c r="M721" s="5"/>
      <c r="N721" s="5"/>
      <c r="O721" s="5"/>
      <c r="P721" s="5"/>
      <c r="Q721" s="5"/>
      <c r="R721" s="5"/>
      <c r="S721" s="5"/>
      <c r="T721" s="5"/>
      <c r="U721" s="5"/>
      <c r="V721" s="5"/>
      <c r="W721" s="5"/>
      <c r="X721" s="5"/>
      <c r="Y721" s="5"/>
      <c r="Z721" s="5"/>
    </row>
    <row r="722" ht="19.5" customHeight="1">
      <c r="A722" s="52"/>
      <c r="B722" s="53"/>
      <c r="C722" s="53"/>
      <c r="D722" s="53"/>
      <c r="E722" s="53"/>
      <c r="F722" s="61"/>
      <c r="G722" s="53"/>
      <c r="H722" s="53"/>
      <c r="I722" s="53"/>
      <c r="J722" s="48" t="str">
        <f t="array" ref="J722">IF(G722="","",IFERROR(LET(ev_cost,INDEX(Events!$G$5:$G$505,MATCH(G722,Events!$A$5:$A$505,0)),ev_split,INDEX(Events!$I$5:$I$505,MATCH(G722,Events!$A$5:$A$505,0)),att_offset,MATCH(G722,Attendance!$B$3:$AV$3,0),attendees,COUNTIF(INDEX(Attendance!$B$7:$AV$206,0,att_offset),"1"),IF(ev_split="Equal Split",ev_cost/MAX(1,COUNTA(Roster!$A$5:$A$204)),ev_cost/MAX(1,attendees))),"N/A"))</f>
        <v/>
      </c>
      <c r="K722" s="5"/>
      <c r="L722" s="5"/>
      <c r="M722" s="5"/>
      <c r="N722" s="5"/>
      <c r="O722" s="5"/>
      <c r="P722" s="5"/>
      <c r="Q722" s="5"/>
      <c r="R722" s="5"/>
      <c r="S722" s="5"/>
      <c r="T722" s="5"/>
      <c r="U722" s="5"/>
      <c r="V722" s="5"/>
      <c r="W722" s="5"/>
      <c r="X722" s="5"/>
      <c r="Y722" s="5"/>
      <c r="Z722" s="5"/>
    </row>
    <row r="723" ht="19.5" customHeight="1">
      <c r="A723" s="49"/>
      <c r="B723" s="50"/>
      <c r="C723" s="50"/>
      <c r="D723" s="50"/>
      <c r="E723" s="50"/>
      <c r="F723" s="51"/>
      <c r="G723" s="50"/>
      <c r="H723" s="50"/>
      <c r="I723" s="50"/>
      <c r="J723" s="48" t="str">
        <f t="array" ref="J723">IF(G723="","",IFERROR(LET(ev_cost,INDEX(Events!$G$5:$G$505,MATCH(G723,Events!$A$5:$A$505,0)),ev_split,INDEX(Events!$I$5:$I$505,MATCH(G723,Events!$A$5:$A$505,0)),att_offset,MATCH(G723,Attendance!$B$3:$AV$3,0),attendees,COUNTIF(INDEX(Attendance!$B$7:$AV$206,0,att_offset),"1"),IF(ev_split="Equal Split",ev_cost/MAX(1,COUNTA(Roster!$A$5:$A$204)),ev_cost/MAX(1,attendees))),"N/A"))</f>
        <v/>
      </c>
      <c r="K723" s="5"/>
      <c r="L723" s="5"/>
      <c r="M723" s="5"/>
      <c r="N723" s="5"/>
      <c r="O723" s="5"/>
      <c r="P723" s="5"/>
      <c r="Q723" s="5"/>
      <c r="R723" s="5"/>
      <c r="S723" s="5"/>
      <c r="T723" s="5"/>
      <c r="U723" s="5"/>
      <c r="V723" s="5"/>
      <c r="W723" s="5"/>
      <c r="X723" s="5"/>
      <c r="Y723" s="5"/>
      <c r="Z723" s="5"/>
    </row>
    <row r="724" ht="19.5" customHeight="1">
      <c r="A724" s="52"/>
      <c r="B724" s="53"/>
      <c r="C724" s="53"/>
      <c r="D724" s="53"/>
      <c r="E724" s="53"/>
      <c r="F724" s="61"/>
      <c r="G724" s="53"/>
      <c r="H724" s="53"/>
      <c r="I724" s="53"/>
      <c r="J724" s="48" t="str">
        <f t="array" ref="J724">IF(G724="","",IFERROR(LET(ev_cost,INDEX(Events!$G$5:$G$505,MATCH(G724,Events!$A$5:$A$505,0)),ev_split,INDEX(Events!$I$5:$I$505,MATCH(G724,Events!$A$5:$A$505,0)),att_offset,MATCH(G724,Attendance!$B$3:$AV$3,0),attendees,COUNTIF(INDEX(Attendance!$B$7:$AV$206,0,att_offset),"1"),IF(ev_split="Equal Split",ev_cost/MAX(1,COUNTA(Roster!$A$5:$A$204)),ev_cost/MAX(1,attendees))),"N/A"))</f>
        <v/>
      </c>
      <c r="K724" s="5"/>
      <c r="L724" s="5"/>
      <c r="M724" s="5"/>
      <c r="N724" s="5"/>
      <c r="O724" s="5"/>
      <c r="P724" s="5"/>
      <c r="Q724" s="5"/>
      <c r="R724" s="5"/>
      <c r="S724" s="5"/>
      <c r="T724" s="5"/>
      <c r="U724" s="5"/>
      <c r="V724" s="5"/>
      <c r="W724" s="5"/>
      <c r="X724" s="5"/>
      <c r="Y724" s="5"/>
      <c r="Z724" s="5"/>
    </row>
    <row r="725" ht="19.5" customHeight="1">
      <c r="A725" s="49"/>
      <c r="B725" s="50"/>
      <c r="C725" s="50"/>
      <c r="D725" s="50"/>
      <c r="E725" s="50"/>
      <c r="F725" s="51"/>
      <c r="G725" s="50"/>
      <c r="H725" s="50"/>
      <c r="I725" s="50"/>
      <c r="J725" s="48" t="str">
        <f t="array" ref="J725">IF(G725="","",IFERROR(LET(ev_cost,INDEX(Events!$G$5:$G$505,MATCH(G725,Events!$A$5:$A$505,0)),ev_split,INDEX(Events!$I$5:$I$505,MATCH(G725,Events!$A$5:$A$505,0)),att_offset,MATCH(G725,Attendance!$B$3:$AV$3,0),attendees,COUNTIF(INDEX(Attendance!$B$7:$AV$206,0,att_offset),"1"),IF(ev_split="Equal Split",ev_cost/MAX(1,COUNTA(Roster!$A$5:$A$204)),ev_cost/MAX(1,attendees))),"N/A"))</f>
        <v/>
      </c>
      <c r="K725" s="5"/>
      <c r="L725" s="5"/>
      <c r="M725" s="5"/>
      <c r="N725" s="5"/>
      <c r="O725" s="5"/>
      <c r="P725" s="5"/>
      <c r="Q725" s="5"/>
      <c r="R725" s="5"/>
      <c r="S725" s="5"/>
      <c r="T725" s="5"/>
      <c r="U725" s="5"/>
      <c r="V725" s="5"/>
      <c r="W725" s="5"/>
      <c r="X725" s="5"/>
      <c r="Y725" s="5"/>
      <c r="Z725" s="5"/>
    </row>
    <row r="726" ht="19.5" customHeight="1">
      <c r="A726" s="52"/>
      <c r="B726" s="53"/>
      <c r="C726" s="53"/>
      <c r="D726" s="53"/>
      <c r="E726" s="53"/>
      <c r="F726" s="61"/>
      <c r="G726" s="53"/>
      <c r="H726" s="53"/>
      <c r="I726" s="53"/>
      <c r="J726" s="48" t="str">
        <f t="array" ref="J726">IF(G726="","",IFERROR(LET(ev_cost,INDEX(Events!$G$5:$G$505,MATCH(G726,Events!$A$5:$A$505,0)),ev_split,INDEX(Events!$I$5:$I$505,MATCH(G726,Events!$A$5:$A$505,0)),att_offset,MATCH(G726,Attendance!$B$3:$AV$3,0),attendees,COUNTIF(INDEX(Attendance!$B$7:$AV$206,0,att_offset),"1"),IF(ev_split="Equal Split",ev_cost/MAX(1,COUNTA(Roster!$A$5:$A$204)),ev_cost/MAX(1,attendees))),"N/A"))</f>
        <v/>
      </c>
      <c r="K726" s="5"/>
      <c r="L726" s="5"/>
      <c r="M726" s="5"/>
      <c r="N726" s="5"/>
      <c r="O726" s="5"/>
      <c r="P726" s="5"/>
      <c r="Q726" s="5"/>
      <c r="R726" s="5"/>
      <c r="S726" s="5"/>
      <c r="T726" s="5"/>
      <c r="U726" s="5"/>
      <c r="V726" s="5"/>
      <c r="W726" s="5"/>
      <c r="X726" s="5"/>
      <c r="Y726" s="5"/>
      <c r="Z726" s="5"/>
    </row>
    <row r="727" ht="19.5" customHeight="1">
      <c r="A727" s="49"/>
      <c r="B727" s="50"/>
      <c r="C727" s="50"/>
      <c r="D727" s="50"/>
      <c r="E727" s="50"/>
      <c r="F727" s="51"/>
      <c r="G727" s="50"/>
      <c r="H727" s="50"/>
      <c r="I727" s="50"/>
      <c r="J727" s="48" t="str">
        <f t="array" ref="J727">IF(G727="","",IFERROR(LET(ev_cost,INDEX(Events!$G$5:$G$505,MATCH(G727,Events!$A$5:$A$505,0)),ev_split,INDEX(Events!$I$5:$I$505,MATCH(G727,Events!$A$5:$A$505,0)),att_offset,MATCH(G727,Attendance!$B$3:$AV$3,0),attendees,COUNTIF(INDEX(Attendance!$B$7:$AV$206,0,att_offset),"1"),IF(ev_split="Equal Split",ev_cost/MAX(1,COUNTA(Roster!$A$5:$A$204)),ev_cost/MAX(1,attendees))),"N/A"))</f>
        <v/>
      </c>
      <c r="K727" s="5"/>
      <c r="L727" s="5"/>
      <c r="M727" s="5"/>
      <c r="N727" s="5"/>
      <c r="O727" s="5"/>
      <c r="P727" s="5"/>
      <c r="Q727" s="5"/>
      <c r="R727" s="5"/>
      <c r="S727" s="5"/>
      <c r="T727" s="5"/>
      <c r="U727" s="5"/>
      <c r="V727" s="5"/>
      <c r="W727" s="5"/>
      <c r="X727" s="5"/>
      <c r="Y727" s="5"/>
      <c r="Z727" s="5"/>
    </row>
    <row r="728" ht="19.5" customHeight="1">
      <c r="A728" s="52"/>
      <c r="B728" s="53"/>
      <c r="C728" s="53"/>
      <c r="D728" s="53"/>
      <c r="E728" s="53"/>
      <c r="F728" s="61"/>
      <c r="G728" s="53"/>
      <c r="H728" s="53"/>
      <c r="I728" s="53"/>
      <c r="J728" s="48" t="str">
        <f t="array" ref="J728">IF(G728="","",IFERROR(LET(ev_cost,INDEX(Events!$G$5:$G$505,MATCH(G728,Events!$A$5:$A$505,0)),ev_split,INDEX(Events!$I$5:$I$505,MATCH(G728,Events!$A$5:$A$505,0)),att_offset,MATCH(G728,Attendance!$B$3:$AV$3,0),attendees,COUNTIF(INDEX(Attendance!$B$7:$AV$206,0,att_offset),"1"),IF(ev_split="Equal Split",ev_cost/MAX(1,COUNTA(Roster!$A$5:$A$204)),ev_cost/MAX(1,attendees))),"N/A"))</f>
        <v/>
      </c>
      <c r="K728" s="5"/>
      <c r="L728" s="5"/>
      <c r="M728" s="5"/>
      <c r="N728" s="5"/>
      <c r="O728" s="5"/>
      <c r="P728" s="5"/>
      <c r="Q728" s="5"/>
      <c r="R728" s="5"/>
      <c r="S728" s="5"/>
      <c r="T728" s="5"/>
      <c r="U728" s="5"/>
      <c r="V728" s="5"/>
      <c r="W728" s="5"/>
      <c r="X728" s="5"/>
      <c r="Y728" s="5"/>
      <c r="Z728" s="5"/>
    </row>
    <row r="729" ht="19.5" customHeight="1">
      <c r="A729" s="49"/>
      <c r="B729" s="50"/>
      <c r="C729" s="50"/>
      <c r="D729" s="50"/>
      <c r="E729" s="50"/>
      <c r="F729" s="51"/>
      <c r="G729" s="50"/>
      <c r="H729" s="50"/>
      <c r="I729" s="50"/>
      <c r="J729" s="48" t="str">
        <f t="array" ref="J729">IF(G729="","",IFERROR(LET(ev_cost,INDEX(Events!$G$5:$G$505,MATCH(G729,Events!$A$5:$A$505,0)),ev_split,INDEX(Events!$I$5:$I$505,MATCH(G729,Events!$A$5:$A$505,0)),att_offset,MATCH(G729,Attendance!$B$3:$AV$3,0),attendees,COUNTIF(INDEX(Attendance!$B$7:$AV$206,0,att_offset),"1"),IF(ev_split="Equal Split",ev_cost/MAX(1,COUNTA(Roster!$A$5:$A$204)),ev_cost/MAX(1,attendees))),"N/A"))</f>
        <v/>
      </c>
      <c r="K729" s="5"/>
      <c r="L729" s="5"/>
      <c r="M729" s="5"/>
      <c r="N729" s="5"/>
      <c r="O729" s="5"/>
      <c r="P729" s="5"/>
      <c r="Q729" s="5"/>
      <c r="R729" s="5"/>
      <c r="S729" s="5"/>
      <c r="T729" s="5"/>
      <c r="U729" s="5"/>
      <c r="V729" s="5"/>
      <c r="W729" s="5"/>
      <c r="X729" s="5"/>
      <c r="Y729" s="5"/>
      <c r="Z729" s="5"/>
    </row>
    <row r="730" ht="19.5" customHeight="1">
      <c r="A730" s="52"/>
      <c r="B730" s="53"/>
      <c r="C730" s="53"/>
      <c r="D730" s="53"/>
      <c r="E730" s="53"/>
      <c r="F730" s="61"/>
      <c r="G730" s="53"/>
      <c r="H730" s="53"/>
      <c r="I730" s="53"/>
      <c r="J730" s="48" t="str">
        <f t="array" ref="J730">IF(G730="","",IFERROR(LET(ev_cost,INDEX(Events!$G$5:$G$505,MATCH(G730,Events!$A$5:$A$505,0)),ev_split,INDEX(Events!$I$5:$I$505,MATCH(G730,Events!$A$5:$A$505,0)),att_offset,MATCH(G730,Attendance!$B$3:$AV$3,0),attendees,COUNTIF(INDEX(Attendance!$B$7:$AV$206,0,att_offset),"1"),IF(ev_split="Equal Split",ev_cost/MAX(1,COUNTA(Roster!$A$5:$A$204)),ev_cost/MAX(1,attendees))),"N/A"))</f>
        <v/>
      </c>
      <c r="K730" s="5"/>
      <c r="L730" s="5"/>
      <c r="M730" s="5"/>
      <c r="N730" s="5"/>
      <c r="O730" s="5"/>
      <c r="P730" s="5"/>
      <c r="Q730" s="5"/>
      <c r="R730" s="5"/>
      <c r="S730" s="5"/>
      <c r="T730" s="5"/>
      <c r="U730" s="5"/>
      <c r="V730" s="5"/>
      <c r="W730" s="5"/>
      <c r="X730" s="5"/>
      <c r="Y730" s="5"/>
      <c r="Z730" s="5"/>
    </row>
    <row r="731" ht="19.5" customHeight="1">
      <c r="A731" s="49"/>
      <c r="B731" s="50"/>
      <c r="C731" s="50"/>
      <c r="D731" s="50"/>
      <c r="E731" s="50"/>
      <c r="F731" s="51"/>
      <c r="G731" s="50"/>
      <c r="H731" s="50"/>
      <c r="I731" s="50"/>
      <c r="J731" s="48" t="str">
        <f t="array" ref="J731">IF(G731="","",IFERROR(LET(ev_cost,INDEX(Events!$G$5:$G$505,MATCH(G731,Events!$A$5:$A$505,0)),ev_split,INDEX(Events!$I$5:$I$505,MATCH(G731,Events!$A$5:$A$505,0)),att_offset,MATCH(G731,Attendance!$B$3:$AV$3,0),attendees,COUNTIF(INDEX(Attendance!$B$7:$AV$206,0,att_offset),"1"),IF(ev_split="Equal Split",ev_cost/MAX(1,COUNTA(Roster!$A$5:$A$204)),ev_cost/MAX(1,attendees))),"N/A"))</f>
        <v/>
      </c>
      <c r="K731" s="5"/>
      <c r="L731" s="5"/>
      <c r="M731" s="5"/>
      <c r="N731" s="5"/>
      <c r="O731" s="5"/>
      <c r="P731" s="5"/>
      <c r="Q731" s="5"/>
      <c r="R731" s="5"/>
      <c r="S731" s="5"/>
      <c r="T731" s="5"/>
      <c r="U731" s="5"/>
      <c r="V731" s="5"/>
      <c r="W731" s="5"/>
      <c r="X731" s="5"/>
      <c r="Y731" s="5"/>
      <c r="Z731" s="5"/>
    </row>
    <row r="732" ht="19.5" customHeight="1">
      <c r="A732" s="52"/>
      <c r="B732" s="53"/>
      <c r="C732" s="53"/>
      <c r="D732" s="53"/>
      <c r="E732" s="53"/>
      <c r="F732" s="61"/>
      <c r="G732" s="53"/>
      <c r="H732" s="53"/>
      <c r="I732" s="53"/>
      <c r="J732" s="48" t="str">
        <f t="array" ref="J732">IF(G732="","",IFERROR(LET(ev_cost,INDEX(Events!$G$5:$G$505,MATCH(G732,Events!$A$5:$A$505,0)),ev_split,INDEX(Events!$I$5:$I$505,MATCH(G732,Events!$A$5:$A$505,0)),att_offset,MATCH(G732,Attendance!$B$3:$AV$3,0),attendees,COUNTIF(INDEX(Attendance!$B$7:$AV$206,0,att_offset),"1"),IF(ev_split="Equal Split",ev_cost/MAX(1,COUNTA(Roster!$A$5:$A$204)),ev_cost/MAX(1,attendees))),"N/A"))</f>
        <v/>
      </c>
      <c r="K732" s="5"/>
      <c r="L732" s="5"/>
      <c r="M732" s="5"/>
      <c r="N732" s="5"/>
      <c r="O732" s="5"/>
      <c r="P732" s="5"/>
      <c r="Q732" s="5"/>
      <c r="R732" s="5"/>
      <c r="S732" s="5"/>
      <c r="T732" s="5"/>
      <c r="U732" s="5"/>
      <c r="V732" s="5"/>
      <c r="W732" s="5"/>
      <c r="X732" s="5"/>
      <c r="Y732" s="5"/>
      <c r="Z732" s="5"/>
    </row>
    <row r="733" ht="19.5" customHeight="1">
      <c r="A733" s="49"/>
      <c r="B733" s="50"/>
      <c r="C733" s="50"/>
      <c r="D733" s="50"/>
      <c r="E733" s="50"/>
      <c r="F733" s="51"/>
      <c r="G733" s="50"/>
      <c r="H733" s="50"/>
      <c r="I733" s="50"/>
      <c r="J733" s="48" t="str">
        <f t="array" ref="J733">IF(G733="","",IFERROR(LET(ev_cost,INDEX(Events!$G$5:$G$505,MATCH(G733,Events!$A$5:$A$505,0)),ev_split,INDEX(Events!$I$5:$I$505,MATCH(G733,Events!$A$5:$A$505,0)),att_offset,MATCH(G733,Attendance!$B$3:$AV$3,0),attendees,COUNTIF(INDEX(Attendance!$B$7:$AV$206,0,att_offset),"1"),IF(ev_split="Equal Split",ev_cost/MAX(1,COUNTA(Roster!$A$5:$A$204)),ev_cost/MAX(1,attendees))),"N/A"))</f>
        <v/>
      </c>
      <c r="K733" s="5"/>
      <c r="L733" s="5"/>
      <c r="M733" s="5"/>
      <c r="N733" s="5"/>
      <c r="O733" s="5"/>
      <c r="P733" s="5"/>
      <c r="Q733" s="5"/>
      <c r="R733" s="5"/>
      <c r="S733" s="5"/>
      <c r="T733" s="5"/>
      <c r="U733" s="5"/>
      <c r="V733" s="5"/>
      <c r="W733" s="5"/>
      <c r="X733" s="5"/>
      <c r="Y733" s="5"/>
      <c r="Z733" s="5"/>
    </row>
    <row r="734" ht="19.5" customHeight="1">
      <c r="A734" s="52"/>
      <c r="B734" s="53"/>
      <c r="C734" s="53"/>
      <c r="D734" s="53"/>
      <c r="E734" s="53"/>
      <c r="F734" s="61"/>
      <c r="G734" s="53"/>
      <c r="H734" s="53"/>
      <c r="I734" s="53"/>
      <c r="J734" s="48" t="str">
        <f t="array" ref="J734">IF(G734="","",IFERROR(LET(ev_cost,INDEX(Events!$G$5:$G$505,MATCH(G734,Events!$A$5:$A$505,0)),ev_split,INDEX(Events!$I$5:$I$505,MATCH(G734,Events!$A$5:$A$505,0)),att_offset,MATCH(G734,Attendance!$B$3:$AV$3,0),attendees,COUNTIF(INDEX(Attendance!$B$7:$AV$206,0,att_offset),"1"),IF(ev_split="Equal Split",ev_cost/MAX(1,COUNTA(Roster!$A$5:$A$204)),ev_cost/MAX(1,attendees))),"N/A"))</f>
        <v/>
      </c>
      <c r="K734" s="5"/>
      <c r="L734" s="5"/>
      <c r="M734" s="5"/>
      <c r="N734" s="5"/>
      <c r="O734" s="5"/>
      <c r="P734" s="5"/>
      <c r="Q734" s="5"/>
      <c r="R734" s="5"/>
      <c r="S734" s="5"/>
      <c r="T734" s="5"/>
      <c r="U734" s="5"/>
      <c r="V734" s="5"/>
      <c r="W734" s="5"/>
      <c r="X734" s="5"/>
      <c r="Y734" s="5"/>
      <c r="Z734" s="5"/>
    </row>
    <row r="735" ht="19.5" customHeight="1">
      <c r="A735" s="49"/>
      <c r="B735" s="50"/>
      <c r="C735" s="50"/>
      <c r="D735" s="50"/>
      <c r="E735" s="50"/>
      <c r="F735" s="51"/>
      <c r="G735" s="50"/>
      <c r="H735" s="50"/>
      <c r="I735" s="50"/>
      <c r="J735" s="48" t="str">
        <f t="array" ref="J735">IF(G735="","",IFERROR(LET(ev_cost,INDEX(Events!$G$5:$G$505,MATCH(G735,Events!$A$5:$A$505,0)),ev_split,INDEX(Events!$I$5:$I$505,MATCH(G735,Events!$A$5:$A$505,0)),att_offset,MATCH(G735,Attendance!$B$3:$AV$3,0),attendees,COUNTIF(INDEX(Attendance!$B$7:$AV$206,0,att_offset),"1"),IF(ev_split="Equal Split",ev_cost/MAX(1,COUNTA(Roster!$A$5:$A$204)),ev_cost/MAX(1,attendees))),"N/A"))</f>
        <v/>
      </c>
      <c r="K735" s="5"/>
      <c r="L735" s="5"/>
      <c r="M735" s="5"/>
      <c r="N735" s="5"/>
      <c r="O735" s="5"/>
      <c r="P735" s="5"/>
      <c r="Q735" s="5"/>
      <c r="R735" s="5"/>
      <c r="S735" s="5"/>
      <c r="T735" s="5"/>
      <c r="U735" s="5"/>
      <c r="V735" s="5"/>
      <c r="W735" s="5"/>
      <c r="X735" s="5"/>
      <c r="Y735" s="5"/>
      <c r="Z735" s="5"/>
    </row>
    <row r="736" ht="19.5" customHeight="1">
      <c r="A736" s="52"/>
      <c r="B736" s="53"/>
      <c r="C736" s="53"/>
      <c r="D736" s="53"/>
      <c r="E736" s="53"/>
      <c r="F736" s="61"/>
      <c r="G736" s="53"/>
      <c r="H736" s="53"/>
      <c r="I736" s="53"/>
      <c r="J736" s="48" t="str">
        <f t="array" ref="J736">IF(G736="","",IFERROR(LET(ev_cost,INDEX(Events!$G$5:$G$505,MATCH(G736,Events!$A$5:$A$505,0)),ev_split,INDEX(Events!$I$5:$I$505,MATCH(G736,Events!$A$5:$A$505,0)),att_offset,MATCH(G736,Attendance!$B$3:$AV$3,0),attendees,COUNTIF(INDEX(Attendance!$B$7:$AV$206,0,att_offset),"1"),IF(ev_split="Equal Split",ev_cost/MAX(1,COUNTA(Roster!$A$5:$A$204)),ev_cost/MAX(1,attendees))),"N/A"))</f>
        <v/>
      </c>
      <c r="K736" s="5"/>
      <c r="L736" s="5"/>
      <c r="M736" s="5"/>
      <c r="N736" s="5"/>
      <c r="O736" s="5"/>
      <c r="P736" s="5"/>
      <c r="Q736" s="5"/>
      <c r="R736" s="5"/>
      <c r="S736" s="5"/>
      <c r="T736" s="5"/>
      <c r="U736" s="5"/>
      <c r="V736" s="5"/>
      <c r="W736" s="5"/>
      <c r="X736" s="5"/>
      <c r="Y736" s="5"/>
      <c r="Z736" s="5"/>
    </row>
    <row r="737" ht="19.5" customHeight="1">
      <c r="A737" s="49"/>
      <c r="B737" s="50"/>
      <c r="C737" s="50"/>
      <c r="D737" s="50"/>
      <c r="E737" s="50"/>
      <c r="F737" s="51"/>
      <c r="G737" s="50"/>
      <c r="H737" s="50"/>
      <c r="I737" s="50"/>
      <c r="J737" s="48" t="str">
        <f t="array" ref="J737">IF(G737="","",IFERROR(LET(ev_cost,INDEX(Events!$G$5:$G$505,MATCH(G737,Events!$A$5:$A$505,0)),ev_split,INDEX(Events!$I$5:$I$505,MATCH(G737,Events!$A$5:$A$505,0)),att_offset,MATCH(G737,Attendance!$B$3:$AV$3,0),attendees,COUNTIF(INDEX(Attendance!$B$7:$AV$206,0,att_offset),"1"),IF(ev_split="Equal Split",ev_cost/MAX(1,COUNTA(Roster!$A$5:$A$204)),ev_cost/MAX(1,attendees))),"N/A"))</f>
        <v/>
      </c>
      <c r="K737" s="5"/>
      <c r="L737" s="5"/>
      <c r="M737" s="5"/>
      <c r="N737" s="5"/>
      <c r="O737" s="5"/>
      <c r="P737" s="5"/>
      <c r="Q737" s="5"/>
      <c r="R737" s="5"/>
      <c r="S737" s="5"/>
      <c r="T737" s="5"/>
      <c r="U737" s="5"/>
      <c r="V737" s="5"/>
      <c r="W737" s="5"/>
      <c r="X737" s="5"/>
      <c r="Y737" s="5"/>
      <c r="Z737" s="5"/>
    </row>
    <row r="738" ht="19.5" customHeight="1">
      <c r="A738" s="52"/>
      <c r="B738" s="53"/>
      <c r="C738" s="53"/>
      <c r="D738" s="53"/>
      <c r="E738" s="53"/>
      <c r="F738" s="61"/>
      <c r="G738" s="53"/>
      <c r="H738" s="53"/>
      <c r="I738" s="53"/>
      <c r="J738" s="48" t="str">
        <f t="array" ref="J738">IF(G738="","",IFERROR(LET(ev_cost,INDEX(Events!$G$5:$G$505,MATCH(G738,Events!$A$5:$A$505,0)),ev_split,INDEX(Events!$I$5:$I$505,MATCH(G738,Events!$A$5:$A$505,0)),att_offset,MATCH(G738,Attendance!$B$3:$AV$3,0),attendees,COUNTIF(INDEX(Attendance!$B$7:$AV$206,0,att_offset),"1"),IF(ev_split="Equal Split",ev_cost/MAX(1,COUNTA(Roster!$A$5:$A$204)),ev_cost/MAX(1,attendees))),"N/A"))</f>
        <v/>
      </c>
      <c r="K738" s="5"/>
      <c r="L738" s="5"/>
      <c r="M738" s="5"/>
      <c r="N738" s="5"/>
      <c r="O738" s="5"/>
      <c r="P738" s="5"/>
      <c r="Q738" s="5"/>
      <c r="R738" s="5"/>
      <c r="S738" s="5"/>
      <c r="T738" s="5"/>
      <c r="U738" s="5"/>
      <c r="V738" s="5"/>
      <c r="W738" s="5"/>
      <c r="X738" s="5"/>
      <c r="Y738" s="5"/>
      <c r="Z738" s="5"/>
    </row>
    <row r="739" ht="19.5" customHeight="1">
      <c r="A739" s="49"/>
      <c r="B739" s="50"/>
      <c r="C739" s="50"/>
      <c r="D739" s="50"/>
      <c r="E739" s="50"/>
      <c r="F739" s="51"/>
      <c r="G739" s="50"/>
      <c r="H739" s="50"/>
      <c r="I739" s="50"/>
      <c r="J739" s="48" t="str">
        <f t="array" ref="J739">IF(G739="","",IFERROR(LET(ev_cost,INDEX(Events!$G$5:$G$505,MATCH(G739,Events!$A$5:$A$505,0)),ev_split,INDEX(Events!$I$5:$I$505,MATCH(G739,Events!$A$5:$A$505,0)),att_offset,MATCH(G739,Attendance!$B$3:$AV$3,0),attendees,COUNTIF(INDEX(Attendance!$B$7:$AV$206,0,att_offset),"1"),IF(ev_split="Equal Split",ev_cost/MAX(1,COUNTA(Roster!$A$5:$A$204)),ev_cost/MAX(1,attendees))),"N/A"))</f>
        <v/>
      </c>
      <c r="K739" s="5"/>
      <c r="L739" s="5"/>
      <c r="M739" s="5"/>
      <c r="N739" s="5"/>
      <c r="O739" s="5"/>
      <c r="P739" s="5"/>
      <c r="Q739" s="5"/>
      <c r="R739" s="5"/>
      <c r="S739" s="5"/>
      <c r="T739" s="5"/>
      <c r="U739" s="5"/>
      <c r="V739" s="5"/>
      <c r="W739" s="5"/>
      <c r="X739" s="5"/>
      <c r="Y739" s="5"/>
      <c r="Z739" s="5"/>
    </row>
    <row r="740" ht="19.5" customHeight="1">
      <c r="A740" s="52"/>
      <c r="B740" s="53"/>
      <c r="C740" s="53"/>
      <c r="D740" s="53"/>
      <c r="E740" s="53"/>
      <c r="F740" s="61"/>
      <c r="G740" s="53"/>
      <c r="H740" s="53"/>
      <c r="I740" s="53"/>
      <c r="J740" s="48" t="str">
        <f t="array" ref="J740">IF(G740="","",IFERROR(LET(ev_cost,INDEX(Events!$G$5:$G$505,MATCH(G740,Events!$A$5:$A$505,0)),ev_split,INDEX(Events!$I$5:$I$505,MATCH(G740,Events!$A$5:$A$505,0)),att_offset,MATCH(G740,Attendance!$B$3:$AV$3,0),attendees,COUNTIF(INDEX(Attendance!$B$7:$AV$206,0,att_offset),"1"),IF(ev_split="Equal Split",ev_cost/MAX(1,COUNTA(Roster!$A$5:$A$204)),ev_cost/MAX(1,attendees))),"N/A"))</f>
        <v/>
      </c>
      <c r="K740" s="5"/>
      <c r="L740" s="5"/>
      <c r="M740" s="5"/>
      <c r="N740" s="5"/>
      <c r="O740" s="5"/>
      <c r="P740" s="5"/>
      <c r="Q740" s="5"/>
      <c r="R740" s="5"/>
      <c r="S740" s="5"/>
      <c r="T740" s="5"/>
      <c r="U740" s="5"/>
      <c r="V740" s="5"/>
      <c r="W740" s="5"/>
      <c r="X740" s="5"/>
      <c r="Y740" s="5"/>
      <c r="Z740" s="5"/>
    </row>
    <row r="741" ht="19.5" customHeight="1">
      <c r="A741" s="49"/>
      <c r="B741" s="50"/>
      <c r="C741" s="50"/>
      <c r="D741" s="50"/>
      <c r="E741" s="50"/>
      <c r="F741" s="51"/>
      <c r="G741" s="50"/>
      <c r="H741" s="50"/>
      <c r="I741" s="50"/>
      <c r="J741" s="48" t="str">
        <f t="array" ref="J741">IF(G741="","",IFERROR(LET(ev_cost,INDEX(Events!$G$5:$G$505,MATCH(G741,Events!$A$5:$A$505,0)),ev_split,INDEX(Events!$I$5:$I$505,MATCH(G741,Events!$A$5:$A$505,0)),att_offset,MATCH(G741,Attendance!$B$3:$AV$3,0),attendees,COUNTIF(INDEX(Attendance!$B$7:$AV$206,0,att_offset),"1"),IF(ev_split="Equal Split",ev_cost/MAX(1,COUNTA(Roster!$A$5:$A$204)),ev_cost/MAX(1,attendees))),"N/A"))</f>
        <v/>
      </c>
      <c r="K741" s="5"/>
      <c r="L741" s="5"/>
      <c r="M741" s="5"/>
      <c r="N741" s="5"/>
      <c r="O741" s="5"/>
      <c r="P741" s="5"/>
      <c r="Q741" s="5"/>
      <c r="R741" s="5"/>
      <c r="S741" s="5"/>
      <c r="T741" s="5"/>
      <c r="U741" s="5"/>
      <c r="V741" s="5"/>
      <c r="W741" s="5"/>
      <c r="X741" s="5"/>
      <c r="Y741" s="5"/>
      <c r="Z741" s="5"/>
    </row>
    <row r="742" ht="19.5" customHeight="1">
      <c r="A742" s="52"/>
      <c r="B742" s="53"/>
      <c r="C742" s="53"/>
      <c r="D742" s="53"/>
      <c r="E742" s="53"/>
      <c r="F742" s="61"/>
      <c r="G742" s="53"/>
      <c r="H742" s="53"/>
      <c r="I742" s="53"/>
      <c r="J742" s="48" t="str">
        <f t="array" ref="J742">IF(G742="","",IFERROR(LET(ev_cost,INDEX(Events!$G$5:$G$505,MATCH(G742,Events!$A$5:$A$505,0)),ev_split,INDEX(Events!$I$5:$I$505,MATCH(G742,Events!$A$5:$A$505,0)),att_offset,MATCH(G742,Attendance!$B$3:$AV$3,0),attendees,COUNTIF(INDEX(Attendance!$B$7:$AV$206,0,att_offset),"1"),IF(ev_split="Equal Split",ev_cost/MAX(1,COUNTA(Roster!$A$5:$A$204)),ev_cost/MAX(1,attendees))),"N/A"))</f>
        <v/>
      </c>
      <c r="K742" s="5"/>
      <c r="L742" s="5"/>
      <c r="M742" s="5"/>
      <c r="N742" s="5"/>
      <c r="O742" s="5"/>
      <c r="P742" s="5"/>
      <c r="Q742" s="5"/>
      <c r="R742" s="5"/>
      <c r="S742" s="5"/>
      <c r="T742" s="5"/>
      <c r="U742" s="5"/>
      <c r="V742" s="5"/>
      <c r="W742" s="5"/>
      <c r="X742" s="5"/>
      <c r="Y742" s="5"/>
      <c r="Z742" s="5"/>
    </row>
    <row r="743" ht="19.5" customHeight="1">
      <c r="A743" s="49"/>
      <c r="B743" s="50"/>
      <c r="C743" s="50"/>
      <c r="D743" s="50"/>
      <c r="E743" s="50"/>
      <c r="F743" s="51"/>
      <c r="G743" s="50"/>
      <c r="H743" s="50"/>
      <c r="I743" s="50"/>
      <c r="J743" s="48" t="str">
        <f t="array" ref="J743">IF(G743="","",IFERROR(LET(ev_cost,INDEX(Events!$G$5:$G$505,MATCH(G743,Events!$A$5:$A$505,0)),ev_split,INDEX(Events!$I$5:$I$505,MATCH(G743,Events!$A$5:$A$505,0)),att_offset,MATCH(G743,Attendance!$B$3:$AV$3,0),attendees,COUNTIF(INDEX(Attendance!$B$7:$AV$206,0,att_offset),"1"),IF(ev_split="Equal Split",ev_cost/MAX(1,COUNTA(Roster!$A$5:$A$204)),ev_cost/MAX(1,attendees))),"N/A"))</f>
        <v/>
      </c>
      <c r="K743" s="5"/>
      <c r="L743" s="5"/>
      <c r="M743" s="5"/>
      <c r="N743" s="5"/>
      <c r="O743" s="5"/>
      <c r="P743" s="5"/>
      <c r="Q743" s="5"/>
      <c r="R743" s="5"/>
      <c r="S743" s="5"/>
      <c r="T743" s="5"/>
      <c r="U743" s="5"/>
      <c r="V743" s="5"/>
      <c r="W743" s="5"/>
      <c r="X743" s="5"/>
      <c r="Y743" s="5"/>
      <c r="Z743" s="5"/>
    </row>
    <row r="744" ht="19.5" customHeight="1">
      <c r="A744" s="52"/>
      <c r="B744" s="53"/>
      <c r="C744" s="53"/>
      <c r="D744" s="53"/>
      <c r="E744" s="53"/>
      <c r="F744" s="61"/>
      <c r="G744" s="53"/>
      <c r="H744" s="53"/>
      <c r="I744" s="53"/>
      <c r="J744" s="48" t="str">
        <f t="array" ref="J744">IF(G744="","",IFERROR(LET(ev_cost,INDEX(Events!$G$5:$G$505,MATCH(G744,Events!$A$5:$A$505,0)),ev_split,INDEX(Events!$I$5:$I$505,MATCH(G744,Events!$A$5:$A$505,0)),att_offset,MATCH(G744,Attendance!$B$3:$AV$3,0),attendees,COUNTIF(INDEX(Attendance!$B$7:$AV$206,0,att_offset),"1"),IF(ev_split="Equal Split",ev_cost/MAX(1,COUNTA(Roster!$A$5:$A$204)),ev_cost/MAX(1,attendees))),"N/A"))</f>
        <v/>
      </c>
      <c r="K744" s="5"/>
      <c r="L744" s="5"/>
      <c r="M744" s="5"/>
      <c r="N744" s="5"/>
      <c r="O744" s="5"/>
      <c r="P744" s="5"/>
      <c r="Q744" s="5"/>
      <c r="R744" s="5"/>
      <c r="S744" s="5"/>
      <c r="T744" s="5"/>
      <c r="U744" s="5"/>
      <c r="V744" s="5"/>
      <c r="W744" s="5"/>
      <c r="X744" s="5"/>
      <c r="Y744" s="5"/>
      <c r="Z744" s="5"/>
    </row>
    <row r="745" ht="19.5" customHeight="1">
      <c r="A745" s="49"/>
      <c r="B745" s="50"/>
      <c r="C745" s="50"/>
      <c r="D745" s="50"/>
      <c r="E745" s="50"/>
      <c r="F745" s="51"/>
      <c r="G745" s="50"/>
      <c r="H745" s="50"/>
      <c r="I745" s="50"/>
      <c r="J745" s="48" t="str">
        <f t="array" ref="J745">IF(G745="","",IFERROR(LET(ev_cost,INDEX(Events!$G$5:$G$505,MATCH(G745,Events!$A$5:$A$505,0)),ev_split,INDEX(Events!$I$5:$I$505,MATCH(G745,Events!$A$5:$A$505,0)),att_offset,MATCH(G745,Attendance!$B$3:$AV$3,0),attendees,COUNTIF(INDEX(Attendance!$B$7:$AV$206,0,att_offset),"1"),IF(ev_split="Equal Split",ev_cost/MAX(1,COUNTA(Roster!$A$5:$A$204)),ev_cost/MAX(1,attendees))),"N/A"))</f>
        <v/>
      </c>
      <c r="K745" s="5"/>
      <c r="L745" s="5"/>
      <c r="M745" s="5"/>
      <c r="N745" s="5"/>
      <c r="O745" s="5"/>
      <c r="P745" s="5"/>
      <c r="Q745" s="5"/>
      <c r="R745" s="5"/>
      <c r="S745" s="5"/>
      <c r="T745" s="5"/>
      <c r="U745" s="5"/>
      <c r="V745" s="5"/>
      <c r="W745" s="5"/>
      <c r="X745" s="5"/>
      <c r="Y745" s="5"/>
      <c r="Z745" s="5"/>
    </row>
    <row r="746" ht="19.5" customHeight="1">
      <c r="A746" s="52"/>
      <c r="B746" s="53"/>
      <c r="C746" s="53"/>
      <c r="D746" s="53"/>
      <c r="E746" s="53"/>
      <c r="F746" s="61"/>
      <c r="G746" s="53"/>
      <c r="H746" s="53"/>
      <c r="I746" s="53"/>
      <c r="J746" s="48" t="str">
        <f t="array" ref="J746">IF(G746="","",IFERROR(LET(ev_cost,INDEX(Events!$G$5:$G$505,MATCH(G746,Events!$A$5:$A$505,0)),ev_split,INDEX(Events!$I$5:$I$505,MATCH(G746,Events!$A$5:$A$505,0)),att_offset,MATCH(G746,Attendance!$B$3:$AV$3,0),attendees,COUNTIF(INDEX(Attendance!$B$7:$AV$206,0,att_offset),"1"),IF(ev_split="Equal Split",ev_cost/MAX(1,COUNTA(Roster!$A$5:$A$204)),ev_cost/MAX(1,attendees))),"N/A"))</f>
        <v/>
      </c>
      <c r="K746" s="5"/>
      <c r="L746" s="5"/>
      <c r="M746" s="5"/>
      <c r="N746" s="5"/>
      <c r="O746" s="5"/>
      <c r="P746" s="5"/>
      <c r="Q746" s="5"/>
      <c r="R746" s="5"/>
      <c r="S746" s="5"/>
      <c r="T746" s="5"/>
      <c r="U746" s="5"/>
      <c r="V746" s="5"/>
      <c r="W746" s="5"/>
      <c r="X746" s="5"/>
      <c r="Y746" s="5"/>
      <c r="Z746" s="5"/>
    </row>
    <row r="747" ht="19.5" customHeight="1">
      <c r="A747" s="49"/>
      <c r="B747" s="50"/>
      <c r="C747" s="50"/>
      <c r="D747" s="50"/>
      <c r="E747" s="50"/>
      <c r="F747" s="51"/>
      <c r="G747" s="50"/>
      <c r="H747" s="50"/>
      <c r="I747" s="50"/>
      <c r="J747" s="48" t="str">
        <f t="array" ref="J747">IF(G747="","",IFERROR(LET(ev_cost,INDEX(Events!$G$5:$G$505,MATCH(G747,Events!$A$5:$A$505,0)),ev_split,INDEX(Events!$I$5:$I$505,MATCH(G747,Events!$A$5:$A$505,0)),att_offset,MATCH(G747,Attendance!$B$3:$AV$3,0),attendees,COUNTIF(INDEX(Attendance!$B$7:$AV$206,0,att_offset),"1"),IF(ev_split="Equal Split",ev_cost/MAX(1,COUNTA(Roster!$A$5:$A$204)),ev_cost/MAX(1,attendees))),"N/A"))</f>
        <v/>
      </c>
      <c r="K747" s="5"/>
      <c r="L747" s="5"/>
      <c r="M747" s="5"/>
      <c r="N747" s="5"/>
      <c r="O747" s="5"/>
      <c r="P747" s="5"/>
      <c r="Q747" s="5"/>
      <c r="R747" s="5"/>
      <c r="S747" s="5"/>
      <c r="T747" s="5"/>
      <c r="U747" s="5"/>
      <c r="V747" s="5"/>
      <c r="W747" s="5"/>
      <c r="X747" s="5"/>
      <c r="Y747" s="5"/>
      <c r="Z747" s="5"/>
    </row>
    <row r="748" ht="19.5" customHeight="1">
      <c r="A748" s="52"/>
      <c r="B748" s="53"/>
      <c r="C748" s="53"/>
      <c r="D748" s="53"/>
      <c r="E748" s="53"/>
      <c r="F748" s="61"/>
      <c r="G748" s="53"/>
      <c r="H748" s="53"/>
      <c r="I748" s="53"/>
      <c r="J748" s="48" t="str">
        <f t="array" ref="J748">IF(G748="","",IFERROR(LET(ev_cost,INDEX(Events!$G$5:$G$505,MATCH(G748,Events!$A$5:$A$505,0)),ev_split,INDEX(Events!$I$5:$I$505,MATCH(G748,Events!$A$5:$A$505,0)),att_offset,MATCH(G748,Attendance!$B$3:$AV$3,0),attendees,COUNTIF(INDEX(Attendance!$B$7:$AV$206,0,att_offset),"1"),IF(ev_split="Equal Split",ev_cost/MAX(1,COUNTA(Roster!$A$5:$A$204)),ev_cost/MAX(1,attendees))),"N/A"))</f>
        <v/>
      </c>
      <c r="K748" s="5"/>
      <c r="L748" s="5"/>
      <c r="M748" s="5"/>
      <c r="N748" s="5"/>
      <c r="O748" s="5"/>
      <c r="P748" s="5"/>
      <c r="Q748" s="5"/>
      <c r="R748" s="5"/>
      <c r="S748" s="5"/>
      <c r="T748" s="5"/>
      <c r="U748" s="5"/>
      <c r="V748" s="5"/>
      <c r="W748" s="5"/>
      <c r="X748" s="5"/>
      <c r="Y748" s="5"/>
      <c r="Z748" s="5"/>
    </row>
    <row r="749" ht="19.5" customHeight="1">
      <c r="A749" s="49"/>
      <c r="B749" s="50"/>
      <c r="C749" s="50"/>
      <c r="D749" s="50"/>
      <c r="E749" s="50"/>
      <c r="F749" s="51"/>
      <c r="G749" s="50"/>
      <c r="H749" s="50"/>
      <c r="I749" s="50"/>
      <c r="J749" s="48" t="str">
        <f t="array" ref="J749">IF(G749="","",IFERROR(LET(ev_cost,INDEX(Events!$G$5:$G$505,MATCH(G749,Events!$A$5:$A$505,0)),ev_split,INDEX(Events!$I$5:$I$505,MATCH(G749,Events!$A$5:$A$505,0)),att_offset,MATCH(G749,Attendance!$B$3:$AV$3,0),attendees,COUNTIF(INDEX(Attendance!$B$7:$AV$206,0,att_offset),"1"),IF(ev_split="Equal Split",ev_cost/MAX(1,COUNTA(Roster!$A$5:$A$204)),ev_cost/MAX(1,attendees))),"N/A"))</f>
        <v/>
      </c>
      <c r="K749" s="5"/>
      <c r="L749" s="5"/>
      <c r="M749" s="5"/>
      <c r="N749" s="5"/>
      <c r="O749" s="5"/>
      <c r="P749" s="5"/>
      <c r="Q749" s="5"/>
      <c r="R749" s="5"/>
      <c r="S749" s="5"/>
      <c r="T749" s="5"/>
      <c r="U749" s="5"/>
      <c r="V749" s="5"/>
      <c r="W749" s="5"/>
      <c r="X749" s="5"/>
      <c r="Y749" s="5"/>
      <c r="Z749" s="5"/>
    </row>
    <row r="750" ht="19.5" customHeight="1">
      <c r="A750" s="52"/>
      <c r="B750" s="53"/>
      <c r="C750" s="53"/>
      <c r="D750" s="53"/>
      <c r="E750" s="53"/>
      <c r="F750" s="61"/>
      <c r="G750" s="53"/>
      <c r="H750" s="53"/>
      <c r="I750" s="53"/>
      <c r="J750" s="48" t="str">
        <f t="array" ref="J750">IF(G750="","",IFERROR(LET(ev_cost,INDEX(Events!$G$5:$G$505,MATCH(G750,Events!$A$5:$A$505,0)),ev_split,INDEX(Events!$I$5:$I$505,MATCH(G750,Events!$A$5:$A$505,0)),att_offset,MATCH(G750,Attendance!$B$3:$AV$3,0),attendees,COUNTIF(INDEX(Attendance!$B$7:$AV$206,0,att_offset),"1"),IF(ev_split="Equal Split",ev_cost/MAX(1,COUNTA(Roster!$A$5:$A$204)),ev_cost/MAX(1,attendees))),"N/A"))</f>
        <v/>
      </c>
      <c r="K750" s="5"/>
      <c r="L750" s="5"/>
      <c r="M750" s="5"/>
      <c r="N750" s="5"/>
      <c r="O750" s="5"/>
      <c r="P750" s="5"/>
      <c r="Q750" s="5"/>
      <c r="R750" s="5"/>
      <c r="S750" s="5"/>
      <c r="T750" s="5"/>
      <c r="U750" s="5"/>
      <c r="V750" s="5"/>
      <c r="W750" s="5"/>
      <c r="X750" s="5"/>
      <c r="Y750" s="5"/>
      <c r="Z750" s="5"/>
    </row>
    <row r="751" ht="19.5" customHeight="1">
      <c r="A751" s="49"/>
      <c r="B751" s="50"/>
      <c r="C751" s="50"/>
      <c r="D751" s="50"/>
      <c r="E751" s="50"/>
      <c r="F751" s="51"/>
      <c r="G751" s="50"/>
      <c r="H751" s="50"/>
      <c r="I751" s="50"/>
      <c r="J751" s="48" t="str">
        <f t="array" ref="J751">IF(G751="","",IFERROR(LET(ev_cost,INDEX(Events!$G$5:$G$505,MATCH(G751,Events!$A$5:$A$505,0)),ev_split,INDEX(Events!$I$5:$I$505,MATCH(G751,Events!$A$5:$A$505,0)),att_offset,MATCH(G751,Attendance!$B$3:$AV$3,0),attendees,COUNTIF(INDEX(Attendance!$B$7:$AV$206,0,att_offset),"1"),IF(ev_split="Equal Split",ev_cost/MAX(1,COUNTA(Roster!$A$5:$A$204)),ev_cost/MAX(1,attendees))),"N/A"))</f>
        <v/>
      </c>
      <c r="K751" s="5"/>
      <c r="L751" s="5"/>
      <c r="M751" s="5"/>
      <c r="N751" s="5"/>
      <c r="O751" s="5"/>
      <c r="P751" s="5"/>
      <c r="Q751" s="5"/>
      <c r="R751" s="5"/>
      <c r="S751" s="5"/>
      <c r="T751" s="5"/>
      <c r="U751" s="5"/>
      <c r="V751" s="5"/>
      <c r="W751" s="5"/>
      <c r="X751" s="5"/>
      <c r="Y751" s="5"/>
      <c r="Z751" s="5"/>
    </row>
    <row r="752" ht="19.5" customHeight="1">
      <c r="A752" s="52"/>
      <c r="B752" s="53"/>
      <c r="C752" s="53"/>
      <c r="D752" s="53"/>
      <c r="E752" s="53"/>
      <c r="F752" s="61"/>
      <c r="G752" s="53"/>
      <c r="H752" s="53"/>
      <c r="I752" s="53"/>
      <c r="J752" s="48" t="str">
        <f t="array" ref="J752">IF(G752="","",IFERROR(LET(ev_cost,INDEX(Events!$G$5:$G$505,MATCH(G752,Events!$A$5:$A$505,0)),ev_split,INDEX(Events!$I$5:$I$505,MATCH(G752,Events!$A$5:$A$505,0)),att_offset,MATCH(G752,Attendance!$B$3:$AV$3,0),attendees,COUNTIF(INDEX(Attendance!$B$7:$AV$206,0,att_offset),"1"),IF(ev_split="Equal Split",ev_cost/MAX(1,COUNTA(Roster!$A$5:$A$204)),ev_cost/MAX(1,attendees))),"N/A"))</f>
        <v/>
      </c>
      <c r="K752" s="5"/>
      <c r="L752" s="5"/>
      <c r="M752" s="5"/>
      <c r="N752" s="5"/>
      <c r="O752" s="5"/>
      <c r="P752" s="5"/>
      <c r="Q752" s="5"/>
      <c r="R752" s="5"/>
      <c r="S752" s="5"/>
      <c r="T752" s="5"/>
      <c r="U752" s="5"/>
      <c r="V752" s="5"/>
      <c r="W752" s="5"/>
      <c r="X752" s="5"/>
      <c r="Y752" s="5"/>
      <c r="Z752" s="5"/>
    </row>
    <row r="753" ht="19.5" customHeight="1">
      <c r="A753" s="49"/>
      <c r="B753" s="50"/>
      <c r="C753" s="50"/>
      <c r="D753" s="50"/>
      <c r="E753" s="50"/>
      <c r="F753" s="51"/>
      <c r="G753" s="50"/>
      <c r="H753" s="50"/>
      <c r="I753" s="50"/>
      <c r="J753" s="48" t="str">
        <f t="array" ref="J753">IF(G753="","",IFERROR(LET(ev_cost,INDEX(Events!$G$5:$G$505,MATCH(G753,Events!$A$5:$A$505,0)),ev_split,INDEX(Events!$I$5:$I$505,MATCH(G753,Events!$A$5:$A$505,0)),att_offset,MATCH(G753,Attendance!$B$3:$AV$3,0),attendees,COUNTIF(INDEX(Attendance!$B$7:$AV$206,0,att_offset),"1"),IF(ev_split="Equal Split",ev_cost/MAX(1,COUNTA(Roster!$A$5:$A$204)),ev_cost/MAX(1,attendees))),"N/A"))</f>
        <v/>
      </c>
      <c r="K753" s="5"/>
      <c r="L753" s="5"/>
      <c r="M753" s="5"/>
      <c r="N753" s="5"/>
      <c r="O753" s="5"/>
      <c r="P753" s="5"/>
      <c r="Q753" s="5"/>
      <c r="R753" s="5"/>
      <c r="S753" s="5"/>
      <c r="T753" s="5"/>
      <c r="U753" s="5"/>
      <c r="V753" s="5"/>
      <c r="W753" s="5"/>
      <c r="X753" s="5"/>
      <c r="Y753" s="5"/>
      <c r="Z753" s="5"/>
    </row>
    <row r="754" ht="19.5" customHeight="1">
      <c r="A754" s="52"/>
      <c r="B754" s="53"/>
      <c r="C754" s="53"/>
      <c r="D754" s="53"/>
      <c r="E754" s="53"/>
      <c r="F754" s="61"/>
      <c r="G754" s="53"/>
      <c r="H754" s="53"/>
      <c r="I754" s="53"/>
      <c r="J754" s="48" t="str">
        <f t="array" ref="J754">IF(G754="","",IFERROR(LET(ev_cost,INDEX(Events!$G$5:$G$505,MATCH(G754,Events!$A$5:$A$505,0)),ev_split,INDEX(Events!$I$5:$I$505,MATCH(G754,Events!$A$5:$A$505,0)),att_offset,MATCH(G754,Attendance!$B$3:$AV$3,0),attendees,COUNTIF(INDEX(Attendance!$B$7:$AV$206,0,att_offset),"1"),IF(ev_split="Equal Split",ev_cost/MAX(1,COUNTA(Roster!$A$5:$A$204)),ev_cost/MAX(1,attendees))),"N/A"))</f>
        <v/>
      </c>
      <c r="K754" s="5"/>
      <c r="L754" s="5"/>
      <c r="M754" s="5"/>
      <c r="N754" s="5"/>
      <c r="O754" s="5"/>
      <c r="P754" s="5"/>
      <c r="Q754" s="5"/>
      <c r="R754" s="5"/>
      <c r="S754" s="5"/>
      <c r="T754" s="5"/>
      <c r="U754" s="5"/>
      <c r="V754" s="5"/>
      <c r="W754" s="5"/>
      <c r="X754" s="5"/>
      <c r="Y754" s="5"/>
      <c r="Z754" s="5"/>
    </row>
    <row r="755" ht="19.5" customHeight="1">
      <c r="A755" s="49"/>
      <c r="B755" s="50"/>
      <c r="C755" s="50"/>
      <c r="D755" s="50"/>
      <c r="E755" s="50"/>
      <c r="F755" s="51"/>
      <c r="G755" s="50"/>
      <c r="H755" s="50"/>
      <c r="I755" s="50"/>
      <c r="J755" s="48" t="str">
        <f t="array" ref="J755">IF(G755="","",IFERROR(LET(ev_cost,INDEX(Events!$G$5:$G$505,MATCH(G755,Events!$A$5:$A$505,0)),ev_split,INDEX(Events!$I$5:$I$505,MATCH(G755,Events!$A$5:$A$505,0)),att_offset,MATCH(G755,Attendance!$B$3:$AV$3,0),attendees,COUNTIF(INDEX(Attendance!$B$7:$AV$206,0,att_offset),"1"),IF(ev_split="Equal Split",ev_cost/MAX(1,COUNTA(Roster!$A$5:$A$204)),ev_cost/MAX(1,attendees))),"N/A"))</f>
        <v/>
      </c>
      <c r="K755" s="5"/>
      <c r="L755" s="5"/>
      <c r="M755" s="5"/>
      <c r="N755" s="5"/>
      <c r="O755" s="5"/>
      <c r="P755" s="5"/>
      <c r="Q755" s="5"/>
      <c r="R755" s="5"/>
      <c r="S755" s="5"/>
      <c r="T755" s="5"/>
      <c r="U755" s="5"/>
      <c r="V755" s="5"/>
      <c r="W755" s="5"/>
      <c r="X755" s="5"/>
      <c r="Y755" s="5"/>
      <c r="Z755" s="5"/>
    </row>
    <row r="756" ht="19.5" customHeight="1">
      <c r="A756" s="52"/>
      <c r="B756" s="53"/>
      <c r="C756" s="53"/>
      <c r="D756" s="53"/>
      <c r="E756" s="53"/>
      <c r="F756" s="61"/>
      <c r="G756" s="53"/>
      <c r="H756" s="53"/>
      <c r="I756" s="53"/>
      <c r="J756" s="48" t="str">
        <f t="array" ref="J756">IF(G756="","",IFERROR(LET(ev_cost,INDEX(Events!$G$5:$G$505,MATCH(G756,Events!$A$5:$A$505,0)),ev_split,INDEX(Events!$I$5:$I$505,MATCH(G756,Events!$A$5:$A$505,0)),att_offset,MATCH(G756,Attendance!$B$3:$AV$3,0),attendees,COUNTIF(INDEX(Attendance!$B$7:$AV$206,0,att_offset),"1"),IF(ev_split="Equal Split",ev_cost/MAX(1,COUNTA(Roster!$A$5:$A$204)),ev_cost/MAX(1,attendees))),"N/A"))</f>
        <v/>
      </c>
      <c r="K756" s="5"/>
      <c r="L756" s="5"/>
      <c r="M756" s="5"/>
      <c r="N756" s="5"/>
      <c r="O756" s="5"/>
      <c r="P756" s="5"/>
      <c r="Q756" s="5"/>
      <c r="R756" s="5"/>
      <c r="S756" s="5"/>
      <c r="T756" s="5"/>
      <c r="U756" s="5"/>
      <c r="V756" s="5"/>
      <c r="W756" s="5"/>
      <c r="X756" s="5"/>
      <c r="Y756" s="5"/>
      <c r="Z756" s="5"/>
    </row>
    <row r="757" ht="19.5" customHeight="1">
      <c r="A757" s="49"/>
      <c r="B757" s="50"/>
      <c r="C757" s="50"/>
      <c r="D757" s="50"/>
      <c r="E757" s="50"/>
      <c r="F757" s="51"/>
      <c r="G757" s="50"/>
      <c r="H757" s="50"/>
      <c r="I757" s="50"/>
      <c r="J757" s="48" t="str">
        <f t="array" ref="J757">IF(G757="","",IFERROR(LET(ev_cost,INDEX(Events!$G$5:$G$505,MATCH(G757,Events!$A$5:$A$505,0)),ev_split,INDEX(Events!$I$5:$I$505,MATCH(G757,Events!$A$5:$A$505,0)),att_offset,MATCH(G757,Attendance!$B$3:$AV$3,0),attendees,COUNTIF(INDEX(Attendance!$B$7:$AV$206,0,att_offset),"1"),IF(ev_split="Equal Split",ev_cost/MAX(1,COUNTA(Roster!$A$5:$A$204)),ev_cost/MAX(1,attendees))),"N/A"))</f>
        <v/>
      </c>
      <c r="K757" s="5"/>
      <c r="L757" s="5"/>
      <c r="M757" s="5"/>
      <c r="N757" s="5"/>
      <c r="O757" s="5"/>
      <c r="P757" s="5"/>
      <c r="Q757" s="5"/>
      <c r="R757" s="5"/>
      <c r="S757" s="5"/>
      <c r="T757" s="5"/>
      <c r="U757" s="5"/>
      <c r="V757" s="5"/>
      <c r="W757" s="5"/>
      <c r="X757" s="5"/>
      <c r="Y757" s="5"/>
      <c r="Z757" s="5"/>
    </row>
    <row r="758" ht="19.5" customHeight="1">
      <c r="A758" s="52"/>
      <c r="B758" s="53"/>
      <c r="C758" s="53"/>
      <c r="D758" s="53"/>
      <c r="E758" s="53"/>
      <c r="F758" s="61"/>
      <c r="G758" s="53"/>
      <c r="H758" s="53"/>
      <c r="I758" s="53"/>
      <c r="J758" s="48" t="str">
        <f t="array" ref="J758">IF(G758="","",IFERROR(LET(ev_cost,INDEX(Events!$G$5:$G$505,MATCH(G758,Events!$A$5:$A$505,0)),ev_split,INDEX(Events!$I$5:$I$505,MATCH(G758,Events!$A$5:$A$505,0)),att_offset,MATCH(G758,Attendance!$B$3:$AV$3,0),attendees,COUNTIF(INDEX(Attendance!$B$7:$AV$206,0,att_offset),"1"),IF(ev_split="Equal Split",ev_cost/MAX(1,COUNTA(Roster!$A$5:$A$204)),ev_cost/MAX(1,attendees))),"N/A"))</f>
        <v/>
      </c>
      <c r="K758" s="5"/>
      <c r="L758" s="5"/>
      <c r="M758" s="5"/>
      <c r="N758" s="5"/>
      <c r="O758" s="5"/>
      <c r="P758" s="5"/>
      <c r="Q758" s="5"/>
      <c r="R758" s="5"/>
      <c r="S758" s="5"/>
      <c r="T758" s="5"/>
      <c r="U758" s="5"/>
      <c r="V758" s="5"/>
      <c r="W758" s="5"/>
      <c r="X758" s="5"/>
      <c r="Y758" s="5"/>
      <c r="Z758" s="5"/>
    </row>
    <row r="759" ht="19.5" customHeight="1">
      <c r="A759" s="49"/>
      <c r="B759" s="50"/>
      <c r="C759" s="50"/>
      <c r="D759" s="50"/>
      <c r="E759" s="50"/>
      <c r="F759" s="51"/>
      <c r="G759" s="50"/>
      <c r="H759" s="50"/>
      <c r="I759" s="50"/>
      <c r="J759" s="48" t="str">
        <f t="array" ref="J759">IF(G759="","",IFERROR(LET(ev_cost,INDEX(Events!$G$5:$G$505,MATCH(G759,Events!$A$5:$A$505,0)),ev_split,INDEX(Events!$I$5:$I$505,MATCH(G759,Events!$A$5:$A$505,0)),att_offset,MATCH(G759,Attendance!$B$3:$AV$3,0),attendees,COUNTIF(INDEX(Attendance!$B$7:$AV$206,0,att_offset),"1"),IF(ev_split="Equal Split",ev_cost/MAX(1,COUNTA(Roster!$A$5:$A$204)),ev_cost/MAX(1,attendees))),"N/A"))</f>
        <v/>
      </c>
      <c r="K759" s="5"/>
      <c r="L759" s="5"/>
      <c r="M759" s="5"/>
      <c r="N759" s="5"/>
      <c r="O759" s="5"/>
      <c r="P759" s="5"/>
      <c r="Q759" s="5"/>
      <c r="R759" s="5"/>
      <c r="S759" s="5"/>
      <c r="T759" s="5"/>
      <c r="U759" s="5"/>
      <c r="V759" s="5"/>
      <c r="W759" s="5"/>
      <c r="X759" s="5"/>
      <c r="Y759" s="5"/>
      <c r="Z759" s="5"/>
    </row>
    <row r="760" ht="19.5" customHeight="1">
      <c r="A760" s="52"/>
      <c r="B760" s="53"/>
      <c r="C760" s="53"/>
      <c r="D760" s="53"/>
      <c r="E760" s="53"/>
      <c r="F760" s="61"/>
      <c r="G760" s="53"/>
      <c r="H760" s="53"/>
      <c r="I760" s="53"/>
      <c r="J760" s="48" t="str">
        <f t="array" ref="J760">IF(G760="","",IFERROR(LET(ev_cost,INDEX(Events!$G$5:$G$505,MATCH(G760,Events!$A$5:$A$505,0)),ev_split,INDEX(Events!$I$5:$I$505,MATCH(G760,Events!$A$5:$A$505,0)),att_offset,MATCH(G760,Attendance!$B$3:$AV$3,0),attendees,COUNTIF(INDEX(Attendance!$B$7:$AV$206,0,att_offset),"1"),IF(ev_split="Equal Split",ev_cost/MAX(1,COUNTA(Roster!$A$5:$A$204)),ev_cost/MAX(1,attendees))),"N/A"))</f>
        <v/>
      </c>
      <c r="K760" s="5"/>
      <c r="L760" s="5"/>
      <c r="M760" s="5"/>
      <c r="N760" s="5"/>
      <c r="O760" s="5"/>
      <c r="P760" s="5"/>
      <c r="Q760" s="5"/>
      <c r="R760" s="5"/>
      <c r="S760" s="5"/>
      <c r="T760" s="5"/>
      <c r="U760" s="5"/>
      <c r="V760" s="5"/>
      <c r="W760" s="5"/>
      <c r="X760" s="5"/>
      <c r="Y760" s="5"/>
      <c r="Z760" s="5"/>
    </row>
    <row r="761" ht="19.5" customHeight="1">
      <c r="A761" s="49"/>
      <c r="B761" s="50"/>
      <c r="C761" s="50"/>
      <c r="D761" s="50"/>
      <c r="E761" s="50"/>
      <c r="F761" s="51"/>
      <c r="G761" s="50"/>
      <c r="H761" s="50"/>
      <c r="I761" s="50"/>
      <c r="J761" s="48" t="str">
        <f t="array" ref="J761">IF(G761="","",IFERROR(LET(ev_cost,INDEX(Events!$G$5:$G$505,MATCH(G761,Events!$A$5:$A$505,0)),ev_split,INDEX(Events!$I$5:$I$505,MATCH(G761,Events!$A$5:$A$505,0)),att_offset,MATCH(G761,Attendance!$B$3:$AV$3,0),attendees,COUNTIF(INDEX(Attendance!$B$7:$AV$206,0,att_offset),"1"),IF(ev_split="Equal Split",ev_cost/MAX(1,COUNTA(Roster!$A$5:$A$204)),ev_cost/MAX(1,attendees))),"N/A"))</f>
        <v/>
      </c>
      <c r="K761" s="5"/>
      <c r="L761" s="5"/>
      <c r="M761" s="5"/>
      <c r="N761" s="5"/>
      <c r="O761" s="5"/>
      <c r="P761" s="5"/>
      <c r="Q761" s="5"/>
      <c r="R761" s="5"/>
      <c r="S761" s="5"/>
      <c r="T761" s="5"/>
      <c r="U761" s="5"/>
      <c r="V761" s="5"/>
      <c r="W761" s="5"/>
      <c r="X761" s="5"/>
      <c r="Y761" s="5"/>
      <c r="Z761" s="5"/>
    </row>
    <row r="762" ht="19.5" customHeight="1">
      <c r="A762" s="52"/>
      <c r="B762" s="53"/>
      <c r="C762" s="53"/>
      <c r="D762" s="53"/>
      <c r="E762" s="53"/>
      <c r="F762" s="61"/>
      <c r="G762" s="53"/>
      <c r="H762" s="53"/>
      <c r="I762" s="53"/>
      <c r="J762" s="48" t="str">
        <f t="array" ref="J762">IF(G762="","",IFERROR(LET(ev_cost,INDEX(Events!$G$5:$G$505,MATCH(G762,Events!$A$5:$A$505,0)),ev_split,INDEX(Events!$I$5:$I$505,MATCH(G762,Events!$A$5:$A$505,0)),att_offset,MATCH(G762,Attendance!$B$3:$AV$3,0),attendees,COUNTIF(INDEX(Attendance!$B$7:$AV$206,0,att_offset),"1"),IF(ev_split="Equal Split",ev_cost/MAX(1,COUNTA(Roster!$A$5:$A$204)),ev_cost/MAX(1,attendees))),"N/A"))</f>
        <v/>
      </c>
      <c r="K762" s="5"/>
      <c r="L762" s="5"/>
      <c r="M762" s="5"/>
      <c r="N762" s="5"/>
      <c r="O762" s="5"/>
      <c r="P762" s="5"/>
      <c r="Q762" s="5"/>
      <c r="R762" s="5"/>
      <c r="S762" s="5"/>
      <c r="T762" s="5"/>
      <c r="U762" s="5"/>
      <c r="V762" s="5"/>
      <c r="W762" s="5"/>
      <c r="X762" s="5"/>
      <c r="Y762" s="5"/>
      <c r="Z762" s="5"/>
    </row>
    <row r="763" ht="19.5" customHeight="1">
      <c r="A763" s="49"/>
      <c r="B763" s="50"/>
      <c r="C763" s="50"/>
      <c r="D763" s="50"/>
      <c r="E763" s="50"/>
      <c r="F763" s="51"/>
      <c r="G763" s="50"/>
      <c r="H763" s="50"/>
      <c r="I763" s="50"/>
      <c r="J763" s="48" t="str">
        <f t="array" ref="J763">IF(G763="","",IFERROR(LET(ev_cost,INDEX(Events!$G$5:$G$505,MATCH(G763,Events!$A$5:$A$505,0)),ev_split,INDEX(Events!$I$5:$I$505,MATCH(G763,Events!$A$5:$A$505,0)),att_offset,MATCH(G763,Attendance!$B$3:$AV$3,0),attendees,COUNTIF(INDEX(Attendance!$B$7:$AV$206,0,att_offset),"1"),IF(ev_split="Equal Split",ev_cost/MAX(1,COUNTA(Roster!$A$5:$A$204)),ev_cost/MAX(1,attendees))),"N/A"))</f>
        <v/>
      </c>
      <c r="K763" s="5"/>
      <c r="L763" s="5"/>
      <c r="M763" s="5"/>
      <c r="N763" s="5"/>
      <c r="O763" s="5"/>
      <c r="P763" s="5"/>
      <c r="Q763" s="5"/>
      <c r="R763" s="5"/>
      <c r="S763" s="5"/>
      <c r="T763" s="5"/>
      <c r="U763" s="5"/>
      <c r="V763" s="5"/>
      <c r="W763" s="5"/>
      <c r="X763" s="5"/>
      <c r="Y763" s="5"/>
      <c r="Z763" s="5"/>
    </row>
    <row r="764" ht="19.5" customHeight="1">
      <c r="A764" s="52"/>
      <c r="B764" s="53"/>
      <c r="C764" s="53"/>
      <c r="D764" s="53"/>
      <c r="E764" s="53"/>
      <c r="F764" s="61"/>
      <c r="G764" s="53"/>
      <c r="H764" s="53"/>
      <c r="I764" s="53"/>
      <c r="J764" s="48" t="str">
        <f t="array" ref="J764">IF(G764="","",IFERROR(LET(ev_cost,INDEX(Events!$G$5:$G$505,MATCH(G764,Events!$A$5:$A$505,0)),ev_split,INDEX(Events!$I$5:$I$505,MATCH(G764,Events!$A$5:$A$505,0)),att_offset,MATCH(G764,Attendance!$B$3:$AV$3,0),attendees,COUNTIF(INDEX(Attendance!$B$7:$AV$206,0,att_offset),"1"),IF(ev_split="Equal Split",ev_cost/MAX(1,COUNTA(Roster!$A$5:$A$204)),ev_cost/MAX(1,attendees))),"N/A"))</f>
        <v/>
      </c>
      <c r="K764" s="5"/>
      <c r="L764" s="5"/>
      <c r="M764" s="5"/>
      <c r="N764" s="5"/>
      <c r="O764" s="5"/>
      <c r="P764" s="5"/>
      <c r="Q764" s="5"/>
      <c r="R764" s="5"/>
      <c r="S764" s="5"/>
      <c r="T764" s="5"/>
      <c r="U764" s="5"/>
      <c r="V764" s="5"/>
      <c r="W764" s="5"/>
      <c r="X764" s="5"/>
      <c r="Y764" s="5"/>
      <c r="Z764" s="5"/>
    </row>
    <row r="765" ht="19.5" customHeight="1">
      <c r="A765" s="49"/>
      <c r="B765" s="50"/>
      <c r="C765" s="50"/>
      <c r="D765" s="50"/>
      <c r="E765" s="50"/>
      <c r="F765" s="51"/>
      <c r="G765" s="50"/>
      <c r="H765" s="50"/>
      <c r="I765" s="50"/>
      <c r="J765" s="48" t="str">
        <f t="array" ref="J765">IF(G765="","",IFERROR(LET(ev_cost,INDEX(Events!$G$5:$G$505,MATCH(G765,Events!$A$5:$A$505,0)),ev_split,INDEX(Events!$I$5:$I$505,MATCH(G765,Events!$A$5:$A$505,0)),att_offset,MATCH(G765,Attendance!$B$3:$AV$3,0),attendees,COUNTIF(INDEX(Attendance!$B$7:$AV$206,0,att_offset),"1"),IF(ev_split="Equal Split",ev_cost/MAX(1,COUNTA(Roster!$A$5:$A$204)),ev_cost/MAX(1,attendees))),"N/A"))</f>
        <v/>
      </c>
      <c r="K765" s="5"/>
      <c r="L765" s="5"/>
      <c r="M765" s="5"/>
      <c r="N765" s="5"/>
      <c r="O765" s="5"/>
      <c r="P765" s="5"/>
      <c r="Q765" s="5"/>
      <c r="R765" s="5"/>
      <c r="S765" s="5"/>
      <c r="T765" s="5"/>
      <c r="U765" s="5"/>
      <c r="V765" s="5"/>
      <c r="W765" s="5"/>
      <c r="X765" s="5"/>
      <c r="Y765" s="5"/>
      <c r="Z765" s="5"/>
    </row>
    <row r="766" ht="19.5" customHeight="1">
      <c r="A766" s="52"/>
      <c r="B766" s="53"/>
      <c r="C766" s="53"/>
      <c r="D766" s="53"/>
      <c r="E766" s="53"/>
      <c r="F766" s="61"/>
      <c r="G766" s="53"/>
      <c r="H766" s="53"/>
      <c r="I766" s="53"/>
      <c r="J766" s="48" t="str">
        <f t="array" ref="J766">IF(G766="","",IFERROR(LET(ev_cost,INDEX(Events!$G$5:$G$505,MATCH(G766,Events!$A$5:$A$505,0)),ev_split,INDEX(Events!$I$5:$I$505,MATCH(G766,Events!$A$5:$A$505,0)),att_offset,MATCH(G766,Attendance!$B$3:$AV$3,0),attendees,COUNTIF(INDEX(Attendance!$B$7:$AV$206,0,att_offset),"1"),IF(ev_split="Equal Split",ev_cost/MAX(1,COUNTA(Roster!$A$5:$A$204)),ev_cost/MAX(1,attendees))),"N/A"))</f>
        <v/>
      </c>
      <c r="K766" s="5"/>
      <c r="L766" s="5"/>
      <c r="M766" s="5"/>
      <c r="N766" s="5"/>
      <c r="O766" s="5"/>
      <c r="P766" s="5"/>
      <c r="Q766" s="5"/>
      <c r="R766" s="5"/>
      <c r="S766" s="5"/>
      <c r="T766" s="5"/>
      <c r="U766" s="5"/>
      <c r="V766" s="5"/>
      <c r="W766" s="5"/>
      <c r="X766" s="5"/>
      <c r="Y766" s="5"/>
      <c r="Z766" s="5"/>
    </row>
    <row r="767" ht="19.5" customHeight="1">
      <c r="A767" s="49"/>
      <c r="B767" s="50"/>
      <c r="C767" s="50"/>
      <c r="D767" s="50"/>
      <c r="E767" s="50"/>
      <c r="F767" s="51"/>
      <c r="G767" s="50"/>
      <c r="H767" s="50"/>
      <c r="I767" s="50"/>
      <c r="J767" s="48" t="str">
        <f t="array" ref="J767">IF(G767="","",IFERROR(LET(ev_cost,INDEX(Events!$G$5:$G$505,MATCH(G767,Events!$A$5:$A$505,0)),ev_split,INDEX(Events!$I$5:$I$505,MATCH(G767,Events!$A$5:$A$505,0)),att_offset,MATCH(G767,Attendance!$B$3:$AV$3,0),attendees,COUNTIF(INDEX(Attendance!$B$7:$AV$206,0,att_offset),"1"),IF(ev_split="Equal Split",ev_cost/MAX(1,COUNTA(Roster!$A$5:$A$204)),ev_cost/MAX(1,attendees))),"N/A"))</f>
        <v/>
      </c>
      <c r="K767" s="5"/>
      <c r="L767" s="5"/>
      <c r="M767" s="5"/>
      <c r="N767" s="5"/>
      <c r="O767" s="5"/>
      <c r="P767" s="5"/>
      <c r="Q767" s="5"/>
      <c r="R767" s="5"/>
      <c r="S767" s="5"/>
      <c r="T767" s="5"/>
      <c r="U767" s="5"/>
      <c r="V767" s="5"/>
      <c r="W767" s="5"/>
      <c r="X767" s="5"/>
      <c r="Y767" s="5"/>
      <c r="Z767" s="5"/>
    </row>
    <row r="768" ht="19.5" customHeight="1">
      <c r="A768" s="52"/>
      <c r="B768" s="53"/>
      <c r="C768" s="53"/>
      <c r="D768" s="53"/>
      <c r="E768" s="53"/>
      <c r="F768" s="61"/>
      <c r="G768" s="53"/>
      <c r="H768" s="53"/>
      <c r="I768" s="53"/>
      <c r="J768" s="48" t="str">
        <f t="array" ref="J768">IF(G768="","",IFERROR(LET(ev_cost,INDEX(Events!$G$5:$G$505,MATCH(G768,Events!$A$5:$A$505,0)),ev_split,INDEX(Events!$I$5:$I$505,MATCH(G768,Events!$A$5:$A$505,0)),att_offset,MATCH(G768,Attendance!$B$3:$AV$3,0),attendees,COUNTIF(INDEX(Attendance!$B$7:$AV$206,0,att_offset),"1"),IF(ev_split="Equal Split",ev_cost/MAX(1,COUNTA(Roster!$A$5:$A$204)),ev_cost/MAX(1,attendees))),"N/A"))</f>
        <v/>
      </c>
      <c r="K768" s="5"/>
      <c r="L768" s="5"/>
      <c r="M768" s="5"/>
      <c r="N768" s="5"/>
      <c r="O768" s="5"/>
      <c r="P768" s="5"/>
      <c r="Q768" s="5"/>
      <c r="R768" s="5"/>
      <c r="S768" s="5"/>
      <c r="T768" s="5"/>
      <c r="U768" s="5"/>
      <c r="V768" s="5"/>
      <c r="W768" s="5"/>
      <c r="X768" s="5"/>
      <c r="Y768" s="5"/>
      <c r="Z768" s="5"/>
    </row>
    <row r="769" ht="19.5" customHeight="1">
      <c r="A769" s="49"/>
      <c r="B769" s="50"/>
      <c r="C769" s="50"/>
      <c r="D769" s="50"/>
      <c r="E769" s="50"/>
      <c r="F769" s="51"/>
      <c r="G769" s="50"/>
      <c r="H769" s="50"/>
      <c r="I769" s="50"/>
      <c r="J769" s="48" t="str">
        <f t="array" ref="J769">IF(G769="","",IFERROR(LET(ev_cost,INDEX(Events!$G$5:$G$505,MATCH(G769,Events!$A$5:$A$505,0)),ev_split,INDEX(Events!$I$5:$I$505,MATCH(G769,Events!$A$5:$A$505,0)),att_offset,MATCH(G769,Attendance!$B$3:$AV$3,0),attendees,COUNTIF(INDEX(Attendance!$B$7:$AV$206,0,att_offset),"1"),IF(ev_split="Equal Split",ev_cost/MAX(1,COUNTA(Roster!$A$5:$A$204)),ev_cost/MAX(1,attendees))),"N/A"))</f>
        <v/>
      </c>
      <c r="K769" s="5"/>
      <c r="L769" s="5"/>
      <c r="M769" s="5"/>
      <c r="N769" s="5"/>
      <c r="O769" s="5"/>
      <c r="P769" s="5"/>
      <c r="Q769" s="5"/>
      <c r="R769" s="5"/>
      <c r="S769" s="5"/>
      <c r="T769" s="5"/>
      <c r="U769" s="5"/>
      <c r="V769" s="5"/>
      <c r="W769" s="5"/>
      <c r="X769" s="5"/>
      <c r="Y769" s="5"/>
      <c r="Z769" s="5"/>
    </row>
    <row r="770" ht="19.5" customHeight="1">
      <c r="A770" s="52"/>
      <c r="B770" s="53"/>
      <c r="C770" s="53"/>
      <c r="D770" s="53"/>
      <c r="E770" s="53"/>
      <c r="F770" s="61"/>
      <c r="G770" s="53"/>
      <c r="H770" s="53"/>
      <c r="I770" s="53"/>
      <c r="J770" s="48" t="str">
        <f t="array" ref="J770">IF(G770="","",IFERROR(LET(ev_cost,INDEX(Events!$G$5:$G$505,MATCH(G770,Events!$A$5:$A$505,0)),ev_split,INDEX(Events!$I$5:$I$505,MATCH(G770,Events!$A$5:$A$505,0)),att_offset,MATCH(G770,Attendance!$B$3:$AV$3,0),attendees,COUNTIF(INDEX(Attendance!$B$7:$AV$206,0,att_offset),"1"),IF(ev_split="Equal Split",ev_cost/MAX(1,COUNTA(Roster!$A$5:$A$204)),ev_cost/MAX(1,attendees))),"N/A"))</f>
        <v/>
      </c>
      <c r="K770" s="5"/>
      <c r="L770" s="5"/>
      <c r="M770" s="5"/>
      <c r="N770" s="5"/>
      <c r="O770" s="5"/>
      <c r="P770" s="5"/>
      <c r="Q770" s="5"/>
      <c r="R770" s="5"/>
      <c r="S770" s="5"/>
      <c r="T770" s="5"/>
      <c r="U770" s="5"/>
      <c r="V770" s="5"/>
      <c r="W770" s="5"/>
      <c r="X770" s="5"/>
      <c r="Y770" s="5"/>
      <c r="Z770" s="5"/>
    </row>
    <row r="771" ht="19.5" customHeight="1">
      <c r="A771" s="49"/>
      <c r="B771" s="50"/>
      <c r="C771" s="50"/>
      <c r="D771" s="50"/>
      <c r="E771" s="50"/>
      <c r="F771" s="51"/>
      <c r="G771" s="50"/>
      <c r="H771" s="50"/>
      <c r="I771" s="50"/>
      <c r="J771" s="48" t="str">
        <f t="array" ref="J771">IF(G771="","",IFERROR(LET(ev_cost,INDEX(Events!$G$5:$G$505,MATCH(G771,Events!$A$5:$A$505,0)),ev_split,INDEX(Events!$I$5:$I$505,MATCH(G771,Events!$A$5:$A$505,0)),att_offset,MATCH(G771,Attendance!$B$3:$AV$3,0),attendees,COUNTIF(INDEX(Attendance!$B$7:$AV$206,0,att_offset),"1"),IF(ev_split="Equal Split",ev_cost/MAX(1,COUNTA(Roster!$A$5:$A$204)),ev_cost/MAX(1,attendees))),"N/A"))</f>
        <v/>
      </c>
      <c r="K771" s="5"/>
      <c r="L771" s="5"/>
      <c r="M771" s="5"/>
      <c r="N771" s="5"/>
      <c r="O771" s="5"/>
      <c r="P771" s="5"/>
      <c r="Q771" s="5"/>
      <c r="R771" s="5"/>
      <c r="S771" s="5"/>
      <c r="T771" s="5"/>
      <c r="U771" s="5"/>
      <c r="V771" s="5"/>
      <c r="W771" s="5"/>
      <c r="X771" s="5"/>
      <c r="Y771" s="5"/>
      <c r="Z771" s="5"/>
    </row>
    <row r="772" ht="19.5" customHeight="1">
      <c r="A772" s="52"/>
      <c r="B772" s="53"/>
      <c r="C772" s="53"/>
      <c r="D772" s="53"/>
      <c r="E772" s="53"/>
      <c r="F772" s="61"/>
      <c r="G772" s="53"/>
      <c r="H772" s="53"/>
      <c r="I772" s="53"/>
      <c r="J772" s="48" t="str">
        <f t="array" ref="J772">IF(G772="","",IFERROR(LET(ev_cost,INDEX(Events!$G$5:$G$505,MATCH(G772,Events!$A$5:$A$505,0)),ev_split,INDEX(Events!$I$5:$I$505,MATCH(G772,Events!$A$5:$A$505,0)),att_offset,MATCH(G772,Attendance!$B$3:$AV$3,0),attendees,COUNTIF(INDEX(Attendance!$B$7:$AV$206,0,att_offset),"1"),IF(ev_split="Equal Split",ev_cost/MAX(1,COUNTA(Roster!$A$5:$A$204)),ev_cost/MAX(1,attendees))),"N/A"))</f>
        <v/>
      </c>
      <c r="K772" s="5"/>
      <c r="L772" s="5"/>
      <c r="M772" s="5"/>
      <c r="N772" s="5"/>
      <c r="O772" s="5"/>
      <c r="P772" s="5"/>
      <c r="Q772" s="5"/>
      <c r="R772" s="5"/>
      <c r="S772" s="5"/>
      <c r="T772" s="5"/>
      <c r="U772" s="5"/>
      <c r="V772" s="5"/>
      <c r="W772" s="5"/>
      <c r="X772" s="5"/>
      <c r="Y772" s="5"/>
      <c r="Z772" s="5"/>
    </row>
    <row r="773" ht="19.5" customHeight="1">
      <c r="A773" s="49"/>
      <c r="B773" s="50"/>
      <c r="C773" s="50"/>
      <c r="D773" s="50"/>
      <c r="E773" s="50"/>
      <c r="F773" s="51"/>
      <c r="G773" s="50"/>
      <c r="H773" s="50"/>
      <c r="I773" s="50"/>
      <c r="J773" s="48" t="str">
        <f t="array" ref="J773">IF(G773="","",IFERROR(LET(ev_cost,INDEX(Events!$G$5:$G$505,MATCH(G773,Events!$A$5:$A$505,0)),ev_split,INDEX(Events!$I$5:$I$505,MATCH(G773,Events!$A$5:$A$505,0)),att_offset,MATCH(G773,Attendance!$B$3:$AV$3,0),attendees,COUNTIF(INDEX(Attendance!$B$7:$AV$206,0,att_offset),"1"),IF(ev_split="Equal Split",ev_cost/MAX(1,COUNTA(Roster!$A$5:$A$204)),ev_cost/MAX(1,attendees))),"N/A"))</f>
        <v/>
      </c>
      <c r="K773" s="5"/>
      <c r="L773" s="5"/>
      <c r="M773" s="5"/>
      <c r="N773" s="5"/>
      <c r="O773" s="5"/>
      <c r="P773" s="5"/>
      <c r="Q773" s="5"/>
      <c r="R773" s="5"/>
      <c r="S773" s="5"/>
      <c r="T773" s="5"/>
      <c r="U773" s="5"/>
      <c r="V773" s="5"/>
      <c r="W773" s="5"/>
      <c r="X773" s="5"/>
      <c r="Y773" s="5"/>
      <c r="Z773" s="5"/>
    </row>
    <row r="774" ht="19.5" customHeight="1">
      <c r="A774" s="52"/>
      <c r="B774" s="53"/>
      <c r="C774" s="53"/>
      <c r="D774" s="53"/>
      <c r="E774" s="53"/>
      <c r="F774" s="61"/>
      <c r="G774" s="53"/>
      <c r="H774" s="53"/>
      <c r="I774" s="53"/>
      <c r="J774" s="48" t="str">
        <f t="array" ref="J774">IF(G774="","",IFERROR(LET(ev_cost,INDEX(Events!$G$5:$G$505,MATCH(G774,Events!$A$5:$A$505,0)),ev_split,INDEX(Events!$I$5:$I$505,MATCH(G774,Events!$A$5:$A$505,0)),att_offset,MATCH(G774,Attendance!$B$3:$AV$3,0),attendees,COUNTIF(INDEX(Attendance!$B$7:$AV$206,0,att_offset),"1"),IF(ev_split="Equal Split",ev_cost/MAX(1,COUNTA(Roster!$A$5:$A$204)),ev_cost/MAX(1,attendees))),"N/A"))</f>
        <v/>
      </c>
      <c r="K774" s="5"/>
      <c r="L774" s="5"/>
      <c r="M774" s="5"/>
      <c r="N774" s="5"/>
      <c r="O774" s="5"/>
      <c r="P774" s="5"/>
      <c r="Q774" s="5"/>
      <c r="R774" s="5"/>
      <c r="S774" s="5"/>
      <c r="T774" s="5"/>
      <c r="U774" s="5"/>
      <c r="V774" s="5"/>
      <c r="W774" s="5"/>
      <c r="X774" s="5"/>
      <c r="Y774" s="5"/>
      <c r="Z774" s="5"/>
    </row>
    <row r="775" ht="19.5" customHeight="1">
      <c r="A775" s="49"/>
      <c r="B775" s="50"/>
      <c r="C775" s="50"/>
      <c r="D775" s="50"/>
      <c r="E775" s="50"/>
      <c r="F775" s="51"/>
      <c r="G775" s="50"/>
      <c r="H775" s="50"/>
      <c r="I775" s="50"/>
      <c r="J775" s="48" t="str">
        <f t="array" ref="J775">IF(G775="","",IFERROR(LET(ev_cost,INDEX(Events!$G$5:$G$505,MATCH(G775,Events!$A$5:$A$505,0)),ev_split,INDEX(Events!$I$5:$I$505,MATCH(G775,Events!$A$5:$A$505,0)),att_offset,MATCH(G775,Attendance!$B$3:$AV$3,0),attendees,COUNTIF(INDEX(Attendance!$B$7:$AV$206,0,att_offset),"1"),IF(ev_split="Equal Split",ev_cost/MAX(1,COUNTA(Roster!$A$5:$A$204)),ev_cost/MAX(1,attendees))),"N/A"))</f>
        <v/>
      </c>
      <c r="K775" s="5"/>
      <c r="L775" s="5"/>
      <c r="M775" s="5"/>
      <c r="N775" s="5"/>
      <c r="O775" s="5"/>
      <c r="P775" s="5"/>
      <c r="Q775" s="5"/>
      <c r="R775" s="5"/>
      <c r="S775" s="5"/>
      <c r="T775" s="5"/>
      <c r="U775" s="5"/>
      <c r="V775" s="5"/>
      <c r="W775" s="5"/>
      <c r="X775" s="5"/>
      <c r="Y775" s="5"/>
      <c r="Z775" s="5"/>
    </row>
    <row r="776" ht="19.5" customHeight="1">
      <c r="A776" s="52"/>
      <c r="B776" s="53"/>
      <c r="C776" s="53"/>
      <c r="D776" s="53"/>
      <c r="E776" s="53"/>
      <c r="F776" s="61"/>
      <c r="G776" s="53"/>
      <c r="H776" s="53"/>
      <c r="I776" s="53"/>
      <c r="J776" s="48" t="str">
        <f t="array" ref="J776">IF(G776="","",IFERROR(LET(ev_cost,INDEX(Events!$G$5:$G$505,MATCH(G776,Events!$A$5:$A$505,0)),ev_split,INDEX(Events!$I$5:$I$505,MATCH(G776,Events!$A$5:$A$505,0)),att_offset,MATCH(G776,Attendance!$B$3:$AV$3,0),attendees,COUNTIF(INDEX(Attendance!$B$7:$AV$206,0,att_offset),"1"),IF(ev_split="Equal Split",ev_cost/MAX(1,COUNTA(Roster!$A$5:$A$204)),ev_cost/MAX(1,attendees))),"N/A"))</f>
        <v/>
      </c>
      <c r="K776" s="5"/>
      <c r="L776" s="5"/>
      <c r="M776" s="5"/>
      <c r="N776" s="5"/>
      <c r="O776" s="5"/>
      <c r="P776" s="5"/>
      <c r="Q776" s="5"/>
      <c r="R776" s="5"/>
      <c r="S776" s="5"/>
      <c r="T776" s="5"/>
      <c r="U776" s="5"/>
      <c r="V776" s="5"/>
      <c r="W776" s="5"/>
      <c r="X776" s="5"/>
      <c r="Y776" s="5"/>
      <c r="Z776" s="5"/>
    </row>
    <row r="777" ht="19.5" customHeight="1">
      <c r="A777" s="49"/>
      <c r="B777" s="50"/>
      <c r="C777" s="50"/>
      <c r="D777" s="50"/>
      <c r="E777" s="50"/>
      <c r="F777" s="51"/>
      <c r="G777" s="50"/>
      <c r="H777" s="50"/>
      <c r="I777" s="50"/>
      <c r="J777" s="48" t="str">
        <f t="array" ref="J777">IF(G777="","",IFERROR(LET(ev_cost,INDEX(Events!$G$5:$G$505,MATCH(G777,Events!$A$5:$A$505,0)),ev_split,INDEX(Events!$I$5:$I$505,MATCH(G777,Events!$A$5:$A$505,0)),att_offset,MATCH(G777,Attendance!$B$3:$AV$3,0),attendees,COUNTIF(INDEX(Attendance!$B$7:$AV$206,0,att_offset),"1"),IF(ev_split="Equal Split",ev_cost/MAX(1,COUNTA(Roster!$A$5:$A$204)),ev_cost/MAX(1,attendees))),"N/A"))</f>
        <v/>
      </c>
      <c r="K777" s="5"/>
      <c r="L777" s="5"/>
      <c r="M777" s="5"/>
      <c r="N777" s="5"/>
      <c r="O777" s="5"/>
      <c r="P777" s="5"/>
      <c r="Q777" s="5"/>
      <c r="R777" s="5"/>
      <c r="S777" s="5"/>
      <c r="T777" s="5"/>
      <c r="U777" s="5"/>
      <c r="V777" s="5"/>
      <c r="W777" s="5"/>
      <c r="X777" s="5"/>
      <c r="Y777" s="5"/>
      <c r="Z777" s="5"/>
    </row>
    <row r="778" ht="19.5" customHeight="1">
      <c r="A778" s="52"/>
      <c r="B778" s="53"/>
      <c r="C778" s="53"/>
      <c r="D778" s="53"/>
      <c r="E778" s="53"/>
      <c r="F778" s="61"/>
      <c r="G778" s="53"/>
      <c r="H778" s="53"/>
      <c r="I778" s="53"/>
      <c r="J778" s="48" t="str">
        <f t="array" ref="J778">IF(G778="","",IFERROR(LET(ev_cost,INDEX(Events!$G$5:$G$505,MATCH(G778,Events!$A$5:$A$505,0)),ev_split,INDEX(Events!$I$5:$I$505,MATCH(G778,Events!$A$5:$A$505,0)),att_offset,MATCH(G778,Attendance!$B$3:$AV$3,0),attendees,COUNTIF(INDEX(Attendance!$B$7:$AV$206,0,att_offset),"1"),IF(ev_split="Equal Split",ev_cost/MAX(1,COUNTA(Roster!$A$5:$A$204)),ev_cost/MAX(1,attendees))),"N/A"))</f>
        <v/>
      </c>
      <c r="K778" s="5"/>
      <c r="L778" s="5"/>
      <c r="M778" s="5"/>
      <c r="N778" s="5"/>
      <c r="O778" s="5"/>
      <c r="P778" s="5"/>
      <c r="Q778" s="5"/>
      <c r="R778" s="5"/>
      <c r="S778" s="5"/>
      <c r="T778" s="5"/>
      <c r="U778" s="5"/>
      <c r="V778" s="5"/>
      <c r="W778" s="5"/>
      <c r="X778" s="5"/>
      <c r="Y778" s="5"/>
      <c r="Z778" s="5"/>
    </row>
    <row r="779" ht="19.5" customHeight="1">
      <c r="A779" s="49"/>
      <c r="B779" s="50"/>
      <c r="C779" s="50"/>
      <c r="D779" s="50"/>
      <c r="E779" s="50"/>
      <c r="F779" s="51"/>
      <c r="G779" s="50"/>
      <c r="H779" s="50"/>
      <c r="I779" s="50"/>
      <c r="J779" s="48" t="str">
        <f t="array" ref="J779">IF(G779="","",IFERROR(LET(ev_cost,INDEX(Events!$G$5:$G$505,MATCH(G779,Events!$A$5:$A$505,0)),ev_split,INDEX(Events!$I$5:$I$505,MATCH(G779,Events!$A$5:$A$505,0)),att_offset,MATCH(G779,Attendance!$B$3:$AV$3,0),attendees,COUNTIF(INDEX(Attendance!$B$7:$AV$206,0,att_offset),"1"),IF(ev_split="Equal Split",ev_cost/MAX(1,COUNTA(Roster!$A$5:$A$204)),ev_cost/MAX(1,attendees))),"N/A"))</f>
        <v/>
      </c>
      <c r="K779" s="5"/>
      <c r="L779" s="5"/>
      <c r="M779" s="5"/>
      <c r="N779" s="5"/>
      <c r="O779" s="5"/>
      <c r="P779" s="5"/>
      <c r="Q779" s="5"/>
      <c r="R779" s="5"/>
      <c r="S779" s="5"/>
      <c r="T779" s="5"/>
      <c r="U779" s="5"/>
      <c r="V779" s="5"/>
      <c r="W779" s="5"/>
      <c r="X779" s="5"/>
      <c r="Y779" s="5"/>
      <c r="Z779" s="5"/>
    </row>
    <row r="780" ht="19.5" customHeight="1">
      <c r="A780" s="52"/>
      <c r="B780" s="53"/>
      <c r="C780" s="53"/>
      <c r="D780" s="53"/>
      <c r="E780" s="53"/>
      <c r="F780" s="61"/>
      <c r="G780" s="53"/>
      <c r="H780" s="53"/>
      <c r="I780" s="53"/>
      <c r="J780" s="48" t="str">
        <f t="array" ref="J780">IF(G780="","",IFERROR(LET(ev_cost,INDEX(Events!$G$5:$G$505,MATCH(G780,Events!$A$5:$A$505,0)),ev_split,INDEX(Events!$I$5:$I$505,MATCH(G780,Events!$A$5:$A$505,0)),att_offset,MATCH(G780,Attendance!$B$3:$AV$3,0),attendees,COUNTIF(INDEX(Attendance!$B$7:$AV$206,0,att_offset),"1"),IF(ev_split="Equal Split",ev_cost/MAX(1,COUNTA(Roster!$A$5:$A$204)),ev_cost/MAX(1,attendees))),"N/A"))</f>
        <v/>
      </c>
      <c r="K780" s="5"/>
      <c r="L780" s="5"/>
      <c r="M780" s="5"/>
      <c r="N780" s="5"/>
      <c r="O780" s="5"/>
      <c r="P780" s="5"/>
      <c r="Q780" s="5"/>
      <c r="R780" s="5"/>
      <c r="S780" s="5"/>
      <c r="T780" s="5"/>
      <c r="U780" s="5"/>
      <c r="V780" s="5"/>
      <c r="W780" s="5"/>
      <c r="X780" s="5"/>
      <c r="Y780" s="5"/>
      <c r="Z780" s="5"/>
    </row>
    <row r="781" ht="19.5" customHeight="1">
      <c r="A781" s="49"/>
      <c r="B781" s="50"/>
      <c r="C781" s="50"/>
      <c r="D781" s="50"/>
      <c r="E781" s="50"/>
      <c r="F781" s="51"/>
      <c r="G781" s="50"/>
      <c r="H781" s="50"/>
      <c r="I781" s="50"/>
      <c r="J781" s="48" t="str">
        <f t="array" ref="J781">IF(G781="","",IFERROR(LET(ev_cost,INDEX(Events!$G$5:$G$505,MATCH(G781,Events!$A$5:$A$505,0)),ev_split,INDEX(Events!$I$5:$I$505,MATCH(G781,Events!$A$5:$A$505,0)),att_offset,MATCH(G781,Attendance!$B$3:$AV$3,0),attendees,COUNTIF(INDEX(Attendance!$B$7:$AV$206,0,att_offset),"1"),IF(ev_split="Equal Split",ev_cost/MAX(1,COUNTA(Roster!$A$5:$A$204)),ev_cost/MAX(1,attendees))),"N/A"))</f>
        <v/>
      </c>
      <c r="K781" s="5"/>
      <c r="L781" s="5"/>
      <c r="M781" s="5"/>
      <c r="N781" s="5"/>
      <c r="O781" s="5"/>
      <c r="P781" s="5"/>
      <c r="Q781" s="5"/>
      <c r="R781" s="5"/>
      <c r="S781" s="5"/>
      <c r="T781" s="5"/>
      <c r="U781" s="5"/>
      <c r="V781" s="5"/>
      <c r="W781" s="5"/>
      <c r="X781" s="5"/>
      <c r="Y781" s="5"/>
      <c r="Z781" s="5"/>
    </row>
    <row r="782" ht="19.5" customHeight="1">
      <c r="A782" s="52"/>
      <c r="B782" s="53"/>
      <c r="C782" s="53"/>
      <c r="D782" s="53"/>
      <c r="E782" s="53"/>
      <c r="F782" s="61"/>
      <c r="G782" s="53"/>
      <c r="H782" s="53"/>
      <c r="I782" s="53"/>
      <c r="J782" s="48" t="str">
        <f t="array" ref="J782">IF(G782="","",IFERROR(LET(ev_cost,INDEX(Events!$G$5:$G$505,MATCH(G782,Events!$A$5:$A$505,0)),ev_split,INDEX(Events!$I$5:$I$505,MATCH(G782,Events!$A$5:$A$505,0)),att_offset,MATCH(G782,Attendance!$B$3:$AV$3,0),attendees,COUNTIF(INDEX(Attendance!$B$7:$AV$206,0,att_offset),"1"),IF(ev_split="Equal Split",ev_cost/MAX(1,COUNTA(Roster!$A$5:$A$204)),ev_cost/MAX(1,attendees))),"N/A"))</f>
        <v/>
      </c>
      <c r="K782" s="5"/>
      <c r="L782" s="5"/>
      <c r="M782" s="5"/>
      <c r="N782" s="5"/>
      <c r="O782" s="5"/>
      <c r="P782" s="5"/>
      <c r="Q782" s="5"/>
      <c r="R782" s="5"/>
      <c r="S782" s="5"/>
      <c r="T782" s="5"/>
      <c r="U782" s="5"/>
      <c r="V782" s="5"/>
      <c r="W782" s="5"/>
      <c r="X782" s="5"/>
      <c r="Y782" s="5"/>
      <c r="Z782" s="5"/>
    </row>
    <row r="783" ht="19.5" customHeight="1">
      <c r="A783" s="49"/>
      <c r="B783" s="50"/>
      <c r="C783" s="50"/>
      <c r="D783" s="50"/>
      <c r="E783" s="50"/>
      <c r="F783" s="51"/>
      <c r="G783" s="50"/>
      <c r="H783" s="50"/>
      <c r="I783" s="50"/>
      <c r="J783" s="48" t="str">
        <f t="array" ref="J783">IF(G783="","",IFERROR(LET(ev_cost,INDEX(Events!$G$5:$G$505,MATCH(G783,Events!$A$5:$A$505,0)),ev_split,INDEX(Events!$I$5:$I$505,MATCH(G783,Events!$A$5:$A$505,0)),att_offset,MATCH(G783,Attendance!$B$3:$AV$3,0),attendees,COUNTIF(INDEX(Attendance!$B$7:$AV$206,0,att_offset),"1"),IF(ev_split="Equal Split",ev_cost/MAX(1,COUNTA(Roster!$A$5:$A$204)),ev_cost/MAX(1,attendees))),"N/A"))</f>
        <v/>
      </c>
      <c r="K783" s="5"/>
      <c r="L783" s="5"/>
      <c r="M783" s="5"/>
      <c r="N783" s="5"/>
      <c r="O783" s="5"/>
      <c r="P783" s="5"/>
      <c r="Q783" s="5"/>
      <c r="R783" s="5"/>
      <c r="S783" s="5"/>
      <c r="T783" s="5"/>
      <c r="U783" s="5"/>
      <c r="V783" s="5"/>
      <c r="W783" s="5"/>
      <c r="X783" s="5"/>
      <c r="Y783" s="5"/>
      <c r="Z783" s="5"/>
    </row>
    <row r="784" ht="19.5" customHeight="1">
      <c r="A784" s="52"/>
      <c r="B784" s="53"/>
      <c r="C784" s="53"/>
      <c r="D784" s="53"/>
      <c r="E784" s="53"/>
      <c r="F784" s="61"/>
      <c r="G784" s="53"/>
      <c r="H784" s="53"/>
      <c r="I784" s="53"/>
      <c r="J784" s="48" t="str">
        <f t="array" ref="J784">IF(G784="","",IFERROR(LET(ev_cost,INDEX(Events!$G$5:$G$505,MATCH(G784,Events!$A$5:$A$505,0)),ev_split,INDEX(Events!$I$5:$I$505,MATCH(G784,Events!$A$5:$A$505,0)),att_offset,MATCH(G784,Attendance!$B$3:$AV$3,0),attendees,COUNTIF(INDEX(Attendance!$B$7:$AV$206,0,att_offset),"1"),IF(ev_split="Equal Split",ev_cost/MAX(1,COUNTA(Roster!$A$5:$A$204)),ev_cost/MAX(1,attendees))),"N/A"))</f>
        <v/>
      </c>
      <c r="K784" s="5"/>
      <c r="L784" s="5"/>
      <c r="M784" s="5"/>
      <c r="N784" s="5"/>
      <c r="O784" s="5"/>
      <c r="P784" s="5"/>
      <c r="Q784" s="5"/>
      <c r="R784" s="5"/>
      <c r="S784" s="5"/>
      <c r="T784" s="5"/>
      <c r="U784" s="5"/>
      <c r="V784" s="5"/>
      <c r="W784" s="5"/>
      <c r="X784" s="5"/>
      <c r="Y784" s="5"/>
      <c r="Z784" s="5"/>
    </row>
    <row r="785" ht="19.5" customHeight="1">
      <c r="A785" s="49"/>
      <c r="B785" s="50"/>
      <c r="C785" s="50"/>
      <c r="D785" s="50"/>
      <c r="E785" s="50"/>
      <c r="F785" s="51"/>
      <c r="G785" s="50"/>
      <c r="H785" s="50"/>
      <c r="I785" s="50"/>
      <c r="J785" s="48" t="str">
        <f t="array" ref="J785">IF(G785="","",IFERROR(LET(ev_cost,INDEX(Events!$G$5:$G$505,MATCH(G785,Events!$A$5:$A$505,0)),ev_split,INDEX(Events!$I$5:$I$505,MATCH(G785,Events!$A$5:$A$505,0)),att_offset,MATCH(G785,Attendance!$B$3:$AV$3,0),attendees,COUNTIF(INDEX(Attendance!$B$7:$AV$206,0,att_offset),"1"),IF(ev_split="Equal Split",ev_cost/MAX(1,COUNTA(Roster!$A$5:$A$204)),ev_cost/MAX(1,attendees))),"N/A"))</f>
        <v/>
      </c>
      <c r="K785" s="5"/>
      <c r="L785" s="5"/>
      <c r="M785" s="5"/>
      <c r="N785" s="5"/>
      <c r="O785" s="5"/>
      <c r="P785" s="5"/>
      <c r="Q785" s="5"/>
      <c r="R785" s="5"/>
      <c r="S785" s="5"/>
      <c r="T785" s="5"/>
      <c r="U785" s="5"/>
      <c r="V785" s="5"/>
      <c r="W785" s="5"/>
      <c r="X785" s="5"/>
      <c r="Y785" s="5"/>
      <c r="Z785" s="5"/>
    </row>
    <row r="786" ht="19.5" customHeight="1">
      <c r="A786" s="52"/>
      <c r="B786" s="53"/>
      <c r="C786" s="53"/>
      <c r="D786" s="53"/>
      <c r="E786" s="53"/>
      <c r="F786" s="61"/>
      <c r="G786" s="53"/>
      <c r="H786" s="53"/>
      <c r="I786" s="53"/>
      <c r="J786" s="48" t="str">
        <f t="array" ref="J786">IF(G786="","",IFERROR(LET(ev_cost,INDEX(Events!$G$5:$G$505,MATCH(G786,Events!$A$5:$A$505,0)),ev_split,INDEX(Events!$I$5:$I$505,MATCH(G786,Events!$A$5:$A$505,0)),att_offset,MATCH(G786,Attendance!$B$3:$AV$3,0),attendees,COUNTIF(INDEX(Attendance!$B$7:$AV$206,0,att_offset),"1"),IF(ev_split="Equal Split",ev_cost/MAX(1,COUNTA(Roster!$A$5:$A$204)),ev_cost/MAX(1,attendees))),"N/A"))</f>
        <v/>
      </c>
      <c r="K786" s="5"/>
      <c r="L786" s="5"/>
      <c r="M786" s="5"/>
      <c r="N786" s="5"/>
      <c r="O786" s="5"/>
      <c r="P786" s="5"/>
      <c r="Q786" s="5"/>
      <c r="R786" s="5"/>
      <c r="S786" s="5"/>
      <c r="T786" s="5"/>
      <c r="U786" s="5"/>
      <c r="V786" s="5"/>
      <c r="W786" s="5"/>
      <c r="X786" s="5"/>
      <c r="Y786" s="5"/>
      <c r="Z786" s="5"/>
    </row>
    <row r="787" ht="19.5" customHeight="1">
      <c r="A787" s="49"/>
      <c r="B787" s="50"/>
      <c r="C787" s="50"/>
      <c r="D787" s="50"/>
      <c r="E787" s="50"/>
      <c r="F787" s="51"/>
      <c r="G787" s="50"/>
      <c r="H787" s="50"/>
      <c r="I787" s="50"/>
      <c r="J787" s="48" t="str">
        <f t="array" ref="J787">IF(G787="","",IFERROR(LET(ev_cost,INDEX(Events!$G$5:$G$505,MATCH(G787,Events!$A$5:$A$505,0)),ev_split,INDEX(Events!$I$5:$I$505,MATCH(G787,Events!$A$5:$A$505,0)),att_offset,MATCH(G787,Attendance!$B$3:$AV$3,0),attendees,COUNTIF(INDEX(Attendance!$B$7:$AV$206,0,att_offset),"1"),IF(ev_split="Equal Split",ev_cost/MAX(1,COUNTA(Roster!$A$5:$A$204)),ev_cost/MAX(1,attendees))),"N/A"))</f>
        <v/>
      </c>
      <c r="K787" s="5"/>
      <c r="L787" s="5"/>
      <c r="M787" s="5"/>
      <c r="N787" s="5"/>
      <c r="O787" s="5"/>
      <c r="P787" s="5"/>
      <c r="Q787" s="5"/>
      <c r="R787" s="5"/>
      <c r="S787" s="5"/>
      <c r="T787" s="5"/>
      <c r="U787" s="5"/>
      <c r="V787" s="5"/>
      <c r="W787" s="5"/>
      <c r="X787" s="5"/>
      <c r="Y787" s="5"/>
      <c r="Z787" s="5"/>
    </row>
    <row r="788" ht="19.5" customHeight="1">
      <c r="A788" s="52"/>
      <c r="B788" s="53"/>
      <c r="C788" s="53"/>
      <c r="D788" s="53"/>
      <c r="E788" s="53"/>
      <c r="F788" s="61"/>
      <c r="G788" s="53"/>
      <c r="H788" s="53"/>
      <c r="I788" s="53"/>
      <c r="J788" s="48" t="str">
        <f t="array" ref="J788">IF(G788="","",IFERROR(LET(ev_cost,INDEX(Events!$G$5:$G$505,MATCH(G788,Events!$A$5:$A$505,0)),ev_split,INDEX(Events!$I$5:$I$505,MATCH(G788,Events!$A$5:$A$505,0)),att_offset,MATCH(G788,Attendance!$B$3:$AV$3,0),attendees,COUNTIF(INDEX(Attendance!$B$7:$AV$206,0,att_offset),"1"),IF(ev_split="Equal Split",ev_cost/MAX(1,COUNTA(Roster!$A$5:$A$204)),ev_cost/MAX(1,attendees))),"N/A"))</f>
        <v/>
      </c>
      <c r="K788" s="5"/>
      <c r="L788" s="5"/>
      <c r="M788" s="5"/>
      <c r="N788" s="5"/>
      <c r="O788" s="5"/>
      <c r="P788" s="5"/>
      <c r="Q788" s="5"/>
      <c r="R788" s="5"/>
      <c r="S788" s="5"/>
      <c r="T788" s="5"/>
      <c r="U788" s="5"/>
      <c r="V788" s="5"/>
      <c r="W788" s="5"/>
      <c r="X788" s="5"/>
      <c r="Y788" s="5"/>
      <c r="Z788" s="5"/>
    </row>
    <row r="789" ht="19.5" customHeight="1">
      <c r="A789" s="49"/>
      <c r="B789" s="50"/>
      <c r="C789" s="50"/>
      <c r="D789" s="50"/>
      <c r="E789" s="50"/>
      <c r="F789" s="51"/>
      <c r="G789" s="50"/>
      <c r="H789" s="50"/>
      <c r="I789" s="50"/>
      <c r="J789" s="48" t="str">
        <f t="array" ref="J789">IF(G789="","",IFERROR(LET(ev_cost,INDEX(Events!$G$5:$G$505,MATCH(G789,Events!$A$5:$A$505,0)),ev_split,INDEX(Events!$I$5:$I$505,MATCH(G789,Events!$A$5:$A$505,0)),att_offset,MATCH(G789,Attendance!$B$3:$AV$3,0),attendees,COUNTIF(INDEX(Attendance!$B$7:$AV$206,0,att_offset),"1"),IF(ev_split="Equal Split",ev_cost/MAX(1,COUNTA(Roster!$A$5:$A$204)),ev_cost/MAX(1,attendees))),"N/A"))</f>
        <v/>
      </c>
      <c r="K789" s="5"/>
      <c r="L789" s="5"/>
      <c r="M789" s="5"/>
      <c r="N789" s="5"/>
      <c r="O789" s="5"/>
      <c r="P789" s="5"/>
      <c r="Q789" s="5"/>
      <c r="R789" s="5"/>
      <c r="S789" s="5"/>
      <c r="T789" s="5"/>
      <c r="U789" s="5"/>
      <c r="V789" s="5"/>
      <c r="W789" s="5"/>
      <c r="X789" s="5"/>
      <c r="Y789" s="5"/>
      <c r="Z789" s="5"/>
    </row>
    <row r="790" ht="19.5" customHeight="1">
      <c r="A790" s="52"/>
      <c r="B790" s="53"/>
      <c r="C790" s="53"/>
      <c r="D790" s="53"/>
      <c r="E790" s="53"/>
      <c r="F790" s="61"/>
      <c r="G790" s="53"/>
      <c r="H790" s="53"/>
      <c r="I790" s="53"/>
      <c r="J790" s="48" t="str">
        <f t="array" ref="J790">IF(G790="","",IFERROR(LET(ev_cost,INDEX(Events!$G$5:$G$505,MATCH(G790,Events!$A$5:$A$505,0)),ev_split,INDEX(Events!$I$5:$I$505,MATCH(G790,Events!$A$5:$A$505,0)),att_offset,MATCH(G790,Attendance!$B$3:$AV$3,0),attendees,COUNTIF(INDEX(Attendance!$B$7:$AV$206,0,att_offset),"1"),IF(ev_split="Equal Split",ev_cost/MAX(1,COUNTA(Roster!$A$5:$A$204)),ev_cost/MAX(1,attendees))),"N/A"))</f>
        <v/>
      </c>
      <c r="K790" s="5"/>
      <c r="L790" s="5"/>
      <c r="M790" s="5"/>
      <c r="N790" s="5"/>
      <c r="O790" s="5"/>
      <c r="P790" s="5"/>
      <c r="Q790" s="5"/>
      <c r="R790" s="5"/>
      <c r="S790" s="5"/>
      <c r="T790" s="5"/>
      <c r="U790" s="5"/>
      <c r="V790" s="5"/>
      <c r="W790" s="5"/>
      <c r="X790" s="5"/>
      <c r="Y790" s="5"/>
      <c r="Z790" s="5"/>
    </row>
    <row r="791" ht="19.5" customHeight="1">
      <c r="A791" s="49"/>
      <c r="B791" s="50"/>
      <c r="C791" s="50"/>
      <c r="D791" s="50"/>
      <c r="E791" s="50"/>
      <c r="F791" s="51"/>
      <c r="G791" s="50"/>
      <c r="H791" s="50"/>
      <c r="I791" s="50"/>
      <c r="J791" s="48" t="str">
        <f t="array" ref="J791">IF(G791="","",IFERROR(LET(ev_cost,INDEX(Events!$G$5:$G$505,MATCH(G791,Events!$A$5:$A$505,0)),ev_split,INDEX(Events!$I$5:$I$505,MATCH(G791,Events!$A$5:$A$505,0)),att_offset,MATCH(G791,Attendance!$B$3:$AV$3,0),attendees,COUNTIF(INDEX(Attendance!$B$7:$AV$206,0,att_offset),"1"),IF(ev_split="Equal Split",ev_cost/MAX(1,COUNTA(Roster!$A$5:$A$204)),ev_cost/MAX(1,attendees))),"N/A"))</f>
        <v/>
      </c>
      <c r="K791" s="5"/>
      <c r="L791" s="5"/>
      <c r="M791" s="5"/>
      <c r="N791" s="5"/>
      <c r="O791" s="5"/>
      <c r="P791" s="5"/>
      <c r="Q791" s="5"/>
      <c r="R791" s="5"/>
      <c r="S791" s="5"/>
      <c r="T791" s="5"/>
      <c r="U791" s="5"/>
      <c r="V791" s="5"/>
      <c r="W791" s="5"/>
      <c r="X791" s="5"/>
      <c r="Y791" s="5"/>
      <c r="Z791" s="5"/>
    </row>
    <row r="792" ht="19.5" customHeight="1">
      <c r="A792" s="52"/>
      <c r="B792" s="53"/>
      <c r="C792" s="53"/>
      <c r="D792" s="53"/>
      <c r="E792" s="53"/>
      <c r="F792" s="61"/>
      <c r="G792" s="53"/>
      <c r="H792" s="53"/>
      <c r="I792" s="53"/>
      <c r="J792" s="48" t="str">
        <f t="array" ref="J792">IF(G792="","",IFERROR(LET(ev_cost,INDEX(Events!$G$5:$G$505,MATCH(G792,Events!$A$5:$A$505,0)),ev_split,INDEX(Events!$I$5:$I$505,MATCH(G792,Events!$A$5:$A$505,0)),att_offset,MATCH(G792,Attendance!$B$3:$AV$3,0),attendees,COUNTIF(INDEX(Attendance!$B$7:$AV$206,0,att_offset),"1"),IF(ev_split="Equal Split",ev_cost/MAX(1,COUNTA(Roster!$A$5:$A$204)),ev_cost/MAX(1,attendees))),"N/A"))</f>
        <v/>
      </c>
      <c r="K792" s="5"/>
      <c r="L792" s="5"/>
      <c r="M792" s="5"/>
      <c r="N792" s="5"/>
      <c r="O792" s="5"/>
      <c r="P792" s="5"/>
      <c r="Q792" s="5"/>
      <c r="R792" s="5"/>
      <c r="S792" s="5"/>
      <c r="T792" s="5"/>
      <c r="U792" s="5"/>
      <c r="V792" s="5"/>
      <c r="W792" s="5"/>
      <c r="X792" s="5"/>
      <c r="Y792" s="5"/>
      <c r="Z792" s="5"/>
    </row>
    <row r="793" ht="19.5" customHeight="1">
      <c r="A793" s="49"/>
      <c r="B793" s="50"/>
      <c r="C793" s="50"/>
      <c r="D793" s="50"/>
      <c r="E793" s="50"/>
      <c r="F793" s="51"/>
      <c r="G793" s="50"/>
      <c r="H793" s="50"/>
      <c r="I793" s="50"/>
      <c r="J793" s="48" t="str">
        <f t="array" ref="J793">IF(G793="","",IFERROR(LET(ev_cost,INDEX(Events!$G$5:$G$505,MATCH(G793,Events!$A$5:$A$505,0)),ev_split,INDEX(Events!$I$5:$I$505,MATCH(G793,Events!$A$5:$A$505,0)),att_offset,MATCH(G793,Attendance!$B$3:$AV$3,0),attendees,COUNTIF(INDEX(Attendance!$B$7:$AV$206,0,att_offset),"1"),IF(ev_split="Equal Split",ev_cost/MAX(1,COUNTA(Roster!$A$5:$A$204)),ev_cost/MAX(1,attendees))),"N/A"))</f>
        <v/>
      </c>
      <c r="K793" s="5"/>
      <c r="L793" s="5"/>
      <c r="M793" s="5"/>
      <c r="N793" s="5"/>
      <c r="O793" s="5"/>
      <c r="P793" s="5"/>
      <c r="Q793" s="5"/>
      <c r="R793" s="5"/>
      <c r="S793" s="5"/>
      <c r="T793" s="5"/>
      <c r="U793" s="5"/>
      <c r="V793" s="5"/>
      <c r="W793" s="5"/>
      <c r="X793" s="5"/>
      <c r="Y793" s="5"/>
      <c r="Z793" s="5"/>
    </row>
    <row r="794" ht="19.5" customHeight="1">
      <c r="A794" s="52"/>
      <c r="B794" s="53"/>
      <c r="C794" s="53"/>
      <c r="D794" s="53"/>
      <c r="E794" s="53"/>
      <c r="F794" s="61"/>
      <c r="G794" s="53"/>
      <c r="H794" s="53"/>
      <c r="I794" s="53"/>
      <c r="J794" s="48" t="str">
        <f t="array" ref="J794">IF(G794="","",IFERROR(LET(ev_cost,INDEX(Events!$G$5:$G$505,MATCH(G794,Events!$A$5:$A$505,0)),ev_split,INDEX(Events!$I$5:$I$505,MATCH(G794,Events!$A$5:$A$505,0)),att_offset,MATCH(G794,Attendance!$B$3:$AV$3,0),attendees,COUNTIF(INDEX(Attendance!$B$7:$AV$206,0,att_offset),"1"),IF(ev_split="Equal Split",ev_cost/MAX(1,COUNTA(Roster!$A$5:$A$204)),ev_cost/MAX(1,attendees))),"N/A"))</f>
        <v/>
      </c>
      <c r="K794" s="5"/>
      <c r="L794" s="5"/>
      <c r="M794" s="5"/>
      <c r="N794" s="5"/>
      <c r="O794" s="5"/>
      <c r="P794" s="5"/>
      <c r="Q794" s="5"/>
      <c r="R794" s="5"/>
      <c r="S794" s="5"/>
      <c r="T794" s="5"/>
      <c r="U794" s="5"/>
      <c r="V794" s="5"/>
      <c r="W794" s="5"/>
      <c r="X794" s="5"/>
      <c r="Y794" s="5"/>
      <c r="Z794" s="5"/>
    </row>
    <row r="795" ht="19.5" customHeight="1">
      <c r="A795" s="49"/>
      <c r="B795" s="50"/>
      <c r="C795" s="50"/>
      <c r="D795" s="50"/>
      <c r="E795" s="50"/>
      <c r="F795" s="51"/>
      <c r="G795" s="50"/>
      <c r="H795" s="50"/>
      <c r="I795" s="50"/>
      <c r="J795" s="48" t="str">
        <f t="array" ref="J795">IF(G795="","",IFERROR(LET(ev_cost,INDEX(Events!$G$5:$G$505,MATCH(G795,Events!$A$5:$A$505,0)),ev_split,INDEX(Events!$I$5:$I$505,MATCH(G795,Events!$A$5:$A$505,0)),att_offset,MATCH(G795,Attendance!$B$3:$AV$3,0),attendees,COUNTIF(INDEX(Attendance!$B$7:$AV$206,0,att_offset),"1"),IF(ev_split="Equal Split",ev_cost/MAX(1,COUNTA(Roster!$A$5:$A$204)),ev_cost/MAX(1,attendees))),"N/A"))</f>
        <v/>
      </c>
      <c r="K795" s="5"/>
      <c r="L795" s="5"/>
      <c r="M795" s="5"/>
      <c r="N795" s="5"/>
      <c r="O795" s="5"/>
      <c r="P795" s="5"/>
      <c r="Q795" s="5"/>
      <c r="R795" s="5"/>
      <c r="S795" s="5"/>
      <c r="T795" s="5"/>
      <c r="U795" s="5"/>
      <c r="V795" s="5"/>
      <c r="W795" s="5"/>
      <c r="X795" s="5"/>
      <c r="Y795" s="5"/>
      <c r="Z795" s="5"/>
    </row>
    <row r="796" ht="19.5" customHeight="1">
      <c r="A796" s="52"/>
      <c r="B796" s="53"/>
      <c r="C796" s="53"/>
      <c r="D796" s="53"/>
      <c r="E796" s="53"/>
      <c r="F796" s="61"/>
      <c r="G796" s="53"/>
      <c r="H796" s="53"/>
      <c r="I796" s="53"/>
      <c r="J796" s="48" t="str">
        <f t="array" ref="J796">IF(G796="","",IFERROR(LET(ev_cost,INDEX(Events!$G$5:$G$505,MATCH(G796,Events!$A$5:$A$505,0)),ev_split,INDEX(Events!$I$5:$I$505,MATCH(G796,Events!$A$5:$A$505,0)),att_offset,MATCH(G796,Attendance!$B$3:$AV$3,0),attendees,COUNTIF(INDEX(Attendance!$B$7:$AV$206,0,att_offset),"1"),IF(ev_split="Equal Split",ev_cost/MAX(1,COUNTA(Roster!$A$5:$A$204)),ev_cost/MAX(1,attendees))),"N/A"))</f>
        <v/>
      </c>
      <c r="K796" s="5"/>
      <c r="L796" s="5"/>
      <c r="M796" s="5"/>
      <c r="N796" s="5"/>
      <c r="O796" s="5"/>
      <c r="P796" s="5"/>
      <c r="Q796" s="5"/>
      <c r="R796" s="5"/>
      <c r="S796" s="5"/>
      <c r="T796" s="5"/>
      <c r="U796" s="5"/>
      <c r="V796" s="5"/>
      <c r="W796" s="5"/>
      <c r="X796" s="5"/>
      <c r="Y796" s="5"/>
      <c r="Z796" s="5"/>
    </row>
    <row r="797" ht="19.5" customHeight="1">
      <c r="A797" s="49"/>
      <c r="B797" s="50"/>
      <c r="C797" s="50"/>
      <c r="D797" s="50"/>
      <c r="E797" s="50"/>
      <c r="F797" s="51"/>
      <c r="G797" s="50"/>
      <c r="H797" s="50"/>
      <c r="I797" s="50"/>
      <c r="J797" s="48" t="str">
        <f t="array" ref="J797">IF(G797="","",IFERROR(LET(ev_cost,INDEX(Events!$G$5:$G$505,MATCH(G797,Events!$A$5:$A$505,0)),ev_split,INDEX(Events!$I$5:$I$505,MATCH(G797,Events!$A$5:$A$505,0)),att_offset,MATCH(G797,Attendance!$B$3:$AV$3,0),attendees,COUNTIF(INDEX(Attendance!$B$7:$AV$206,0,att_offset),"1"),IF(ev_split="Equal Split",ev_cost/MAX(1,COUNTA(Roster!$A$5:$A$204)),ev_cost/MAX(1,attendees))),"N/A"))</f>
        <v/>
      </c>
      <c r="K797" s="5"/>
      <c r="L797" s="5"/>
      <c r="M797" s="5"/>
      <c r="N797" s="5"/>
      <c r="O797" s="5"/>
      <c r="P797" s="5"/>
      <c r="Q797" s="5"/>
      <c r="R797" s="5"/>
      <c r="S797" s="5"/>
      <c r="T797" s="5"/>
      <c r="U797" s="5"/>
      <c r="V797" s="5"/>
      <c r="W797" s="5"/>
      <c r="X797" s="5"/>
      <c r="Y797" s="5"/>
      <c r="Z797" s="5"/>
    </row>
    <row r="798" ht="19.5" customHeight="1">
      <c r="A798" s="52"/>
      <c r="B798" s="53"/>
      <c r="C798" s="53"/>
      <c r="D798" s="53"/>
      <c r="E798" s="53"/>
      <c r="F798" s="61"/>
      <c r="G798" s="53"/>
      <c r="H798" s="53"/>
      <c r="I798" s="53"/>
      <c r="J798" s="48" t="str">
        <f t="array" ref="J798">IF(G798="","",IFERROR(LET(ev_cost,INDEX(Events!$G$5:$G$505,MATCH(G798,Events!$A$5:$A$505,0)),ev_split,INDEX(Events!$I$5:$I$505,MATCH(G798,Events!$A$5:$A$505,0)),att_offset,MATCH(G798,Attendance!$B$3:$AV$3,0),attendees,COUNTIF(INDEX(Attendance!$B$7:$AV$206,0,att_offset),"1"),IF(ev_split="Equal Split",ev_cost/MAX(1,COUNTA(Roster!$A$5:$A$204)),ev_cost/MAX(1,attendees))),"N/A"))</f>
        <v/>
      </c>
      <c r="K798" s="5"/>
      <c r="L798" s="5"/>
      <c r="M798" s="5"/>
      <c r="N798" s="5"/>
      <c r="O798" s="5"/>
      <c r="P798" s="5"/>
      <c r="Q798" s="5"/>
      <c r="R798" s="5"/>
      <c r="S798" s="5"/>
      <c r="T798" s="5"/>
      <c r="U798" s="5"/>
      <c r="V798" s="5"/>
      <c r="W798" s="5"/>
      <c r="X798" s="5"/>
      <c r="Y798" s="5"/>
      <c r="Z798" s="5"/>
    </row>
    <row r="799" ht="19.5" customHeight="1">
      <c r="A799" s="49"/>
      <c r="B799" s="50"/>
      <c r="C799" s="50"/>
      <c r="D799" s="50"/>
      <c r="E799" s="50"/>
      <c r="F799" s="51"/>
      <c r="G799" s="50"/>
      <c r="H799" s="50"/>
      <c r="I799" s="50"/>
      <c r="J799" s="48" t="str">
        <f t="array" ref="J799">IF(G799="","",IFERROR(LET(ev_cost,INDEX(Events!$G$5:$G$505,MATCH(G799,Events!$A$5:$A$505,0)),ev_split,INDEX(Events!$I$5:$I$505,MATCH(G799,Events!$A$5:$A$505,0)),att_offset,MATCH(G799,Attendance!$B$3:$AV$3,0),attendees,COUNTIF(INDEX(Attendance!$B$7:$AV$206,0,att_offset),"1"),IF(ev_split="Equal Split",ev_cost/MAX(1,COUNTA(Roster!$A$5:$A$204)),ev_cost/MAX(1,attendees))),"N/A"))</f>
        <v/>
      </c>
      <c r="K799" s="5"/>
      <c r="L799" s="5"/>
      <c r="M799" s="5"/>
      <c r="N799" s="5"/>
      <c r="O799" s="5"/>
      <c r="P799" s="5"/>
      <c r="Q799" s="5"/>
      <c r="R799" s="5"/>
      <c r="S799" s="5"/>
      <c r="T799" s="5"/>
      <c r="U799" s="5"/>
      <c r="V799" s="5"/>
      <c r="W799" s="5"/>
      <c r="X799" s="5"/>
      <c r="Y799" s="5"/>
      <c r="Z799" s="5"/>
    </row>
    <row r="800" ht="19.5" customHeight="1">
      <c r="A800" s="52"/>
      <c r="B800" s="53"/>
      <c r="C800" s="53"/>
      <c r="D800" s="53"/>
      <c r="E800" s="53"/>
      <c r="F800" s="61"/>
      <c r="G800" s="53"/>
      <c r="H800" s="53"/>
      <c r="I800" s="53"/>
      <c r="J800" s="48" t="str">
        <f t="array" ref="J800">IF(G800="","",IFERROR(LET(ev_cost,INDEX(Events!$G$5:$G$505,MATCH(G800,Events!$A$5:$A$505,0)),ev_split,INDEX(Events!$I$5:$I$505,MATCH(G800,Events!$A$5:$A$505,0)),att_offset,MATCH(G800,Attendance!$B$3:$AV$3,0),attendees,COUNTIF(INDEX(Attendance!$B$7:$AV$206,0,att_offset),"1"),IF(ev_split="Equal Split",ev_cost/MAX(1,COUNTA(Roster!$A$5:$A$204)),ev_cost/MAX(1,attendees))),"N/A"))</f>
        <v/>
      </c>
      <c r="K800" s="5"/>
      <c r="L800" s="5"/>
      <c r="M800" s="5"/>
      <c r="N800" s="5"/>
      <c r="O800" s="5"/>
      <c r="P800" s="5"/>
      <c r="Q800" s="5"/>
      <c r="R800" s="5"/>
      <c r="S800" s="5"/>
      <c r="T800" s="5"/>
      <c r="U800" s="5"/>
      <c r="V800" s="5"/>
      <c r="W800" s="5"/>
      <c r="X800" s="5"/>
      <c r="Y800" s="5"/>
      <c r="Z800" s="5"/>
    </row>
    <row r="801" ht="19.5" customHeight="1">
      <c r="A801" s="49"/>
      <c r="B801" s="50"/>
      <c r="C801" s="50"/>
      <c r="D801" s="50"/>
      <c r="E801" s="50"/>
      <c r="F801" s="51"/>
      <c r="G801" s="50"/>
      <c r="H801" s="50"/>
      <c r="I801" s="50"/>
      <c r="J801" s="48" t="str">
        <f t="array" ref="J801">IF(G801="","",IFERROR(LET(ev_cost,INDEX(Events!$G$5:$G$505,MATCH(G801,Events!$A$5:$A$505,0)),ev_split,INDEX(Events!$I$5:$I$505,MATCH(G801,Events!$A$5:$A$505,0)),att_offset,MATCH(G801,Attendance!$B$3:$AV$3,0),attendees,COUNTIF(INDEX(Attendance!$B$7:$AV$206,0,att_offset),"1"),IF(ev_split="Equal Split",ev_cost/MAX(1,COUNTA(Roster!$A$5:$A$204)),ev_cost/MAX(1,attendees))),"N/A"))</f>
        <v/>
      </c>
      <c r="K801" s="5"/>
      <c r="L801" s="5"/>
      <c r="M801" s="5"/>
      <c r="N801" s="5"/>
      <c r="O801" s="5"/>
      <c r="P801" s="5"/>
      <c r="Q801" s="5"/>
      <c r="R801" s="5"/>
      <c r="S801" s="5"/>
      <c r="T801" s="5"/>
      <c r="U801" s="5"/>
      <c r="V801" s="5"/>
      <c r="W801" s="5"/>
      <c r="X801" s="5"/>
      <c r="Y801" s="5"/>
      <c r="Z801" s="5"/>
    </row>
    <row r="802" ht="19.5" customHeight="1">
      <c r="A802" s="52"/>
      <c r="B802" s="53"/>
      <c r="C802" s="53"/>
      <c r="D802" s="53"/>
      <c r="E802" s="53"/>
      <c r="F802" s="61"/>
      <c r="G802" s="53"/>
      <c r="H802" s="53"/>
      <c r="I802" s="53"/>
      <c r="J802" s="48" t="str">
        <f t="array" ref="J802">IF(G802="","",IFERROR(LET(ev_cost,INDEX(Events!$G$5:$G$505,MATCH(G802,Events!$A$5:$A$505,0)),ev_split,INDEX(Events!$I$5:$I$505,MATCH(G802,Events!$A$5:$A$505,0)),att_offset,MATCH(G802,Attendance!$B$3:$AV$3,0),attendees,COUNTIF(INDEX(Attendance!$B$7:$AV$206,0,att_offset),"1"),IF(ev_split="Equal Split",ev_cost/MAX(1,COUNTA(Roster!$A$5:$A$204)),ev_cost/MAX(1,attendees))),"N/A"))</f>
        <v/>
      </c>
      <c r="K802" s="5"/>
      <c r="L802" s="5"/>
      <c r="M802" s="5"/>
      <c r="N802" s="5"/>
      <c r="O802" s="5"/>
      <c r="P802" s="5"/>
      <c r="Q802" s="5"/>
      <c r="R802" s="5"/>
      <c r="S802" s="5"/>
      <c r="T802" s="5"/>
      <c r="U802" s="5"/>
      <c r="V802" s="5"/>
      <c r="W802" s="5"/>
      <c r="X802" s="5"/>
      <c r="Y802" s="5"/>
      <c r="Z802" s="5"/>
    </row>
    <row r="803" ht="19.5" customHeight="1">
      <c r="A803" s="49"/>
      <c r="B803" s="50"/>
      <c r="C803" s="50"/>
      <c r="D803" s="50"/>
      <c r="E803" s="50"/>
      <c r="F803" s="51"/>
      <c r="G803" s="50"/>
      <c r="H803" s="50"/>
      <c r="I803" s="50"/>
      <c r="J803" s="48" t="str">
        <f t="array" ref="J803">IF(G803="","",IFERROR(LET(ev_cost,INDEX(Events!$G$5:$G$505,MATCH(G803,Events!$A$5:$A$505,0)),ev_split,INDEX(Events!$I$5:$I$505,MATCH(G803,Events!$A$5:$A$505,0)),att_offset,MATCH(G803,Attendance!$B$3:$AV$3,0),attendees,COUNTIF(INDEX(Attendance!$B$7:$AV$206,0,att_offset),"1"),IF(ev_split="Equal Split",ev_cost/MAX(1,COUNTA(Roster!$A$5:$A$204)),ev_cost/MAX(1,attendees))),"N/A"))</f>
        <v/>
      </c>
      <c r="K803" s="5"/>
      <c r="L803" s="5"/>
      <c r="M803" s="5"/>
      <c r="N803" s="5"/>
      <c r="O803" s="5"/>
      <c r="P803" s="5"/>
      <c r="Q803" s="5"/>
      <c r="R803" s="5"/>
      <c r="S803" s="5"/>
      <c r="T803" s="5"/>
      <c r="U803" s="5"/>
      <c r="V803" s="5"/>
      <c r="W803" s="5"/>
      <c r="X803" s="5"/>
      <c r="Y803" s="5"/>
      <c r="Z803" s="5"/>
    </row>
    <row r="804" ht="19.5" customHeight="1">
      <c r="A804" s="52"/>
      <c r="B804" s="53"/>
      <c r="C804" s="53"/>
      <c r="D804" s="53"/>
      <c r="E804" s="53"/>
      <c r="F804" s="61"/>
      <c r="G804" s="53"/>
      <c r="H804" s="53"/>
      <c r="I804" s="53"/>
      <c r="J804" s="48" t="str">
        <f t="array" ref="J804">IF(G804="","",IFERROR(LET(ev_cost,INDEX(Events!$G$5:$G$505,MATCH(G804,Events!$A$5:$A$505,0)),ev_split,INDEX(Events!$I$5:$I$505,MATCH(G804,Events!$A$5:$A$505,0)),att_offset,MATCH(G804,Attendance!$B$3:$AV$3,0),attendees,COUNTIF(INDEX(Attendance!$B$7:$AV$206,0,att_offset),"1"),IF(ev_split="Equal Split",ev_cost/MAX(1,COUNTA(Roster!$A$5:$A$204)),ev_cost/MAX(1,attendees))),"N/A"))</f>
        <v/>
      </c>
      <c r="K804" s="5"/>
      <c r="L804" s="5"/>
      <c r="M804" s="5"/>
      <c r="N804" s="5"/>
      <c r="O804" s="5"/>
      <c r="P804" s="5"/>
      <c r="Q804" s="5"/>
      <c r="R804" s="5"/>
      <c r="S804" s="5"/>
      <c r="T804" s="5"/>
      <c r="U804" s="5"/>
      <c r="V804" s="5"/>
      <c r="W804" s="5"/>
      <c r="X804" s="5"/>
      <c r="Y804" s="5"/>
      <c r="Z804" s="5"/>
    </row>
    <row r="805" ht="19.5" customHeight="1">
      <c r="A805" s="49"/>
      <c r="B805" s="50"/>
      <c r="C805" s="50"/>
      <c r="D805" s="50"/>
      <c r="E805" s="50"/>
      <c r="F805" s="51"/>
      <c r="G805" s="50"/>
      <c r="H805" s="50"/>
      <c r="I805" s="50"/>
      <c r="J805" s="48" t="str">
        <f t="array" ref="J805">IF(G805="","",IFERROR(LET(ev_cost,INDEX(Events!$G$5:$G$505,MATCH(G805,Events!$A$5:$A$505,0)),ev_split,INDEX(Events!$I$5:$I$505,MATCH(G805,Events!$A$5:$A$505,0)),att_offset,MATCH(G805,Attendance!$B$3:$AV$3,0),attendees,COUNTIF(INDEX(Attendance!$B$7:$AV$206,0,att_offset),"1"),IF(ev_split="Equal Split",ev_cost/MAX(1,COUNTA(Roster!$A$5:$A$204)),ev_cost/MAX(1,attendees))),"N/A"))</f>
        <v/>
      </c>
      <c r="K805" s="5"/>
      <c r="L805" s="5"/>
      <c r="M805" s="5"/>
      <c r="N805" s="5"/>
      <c r="O805" s="5"/>
      <c r="P805" s="5"/>
      <c r="Q805" s="5"/>
      <c r="R805" s="5"/>
      <c r="S805" s="5"/>
      <c r="T805" s="5"/>
      <c r="U805" s="5"/>
      <c r="V805" s="5"/>
      <c r="W805" s="5"/>
      <c r="X805" s="5"/>
      <c r="Y805" s="5"/>
      <c r="Z805" s="5"/>
    </row>
    <row r="806" ht="19.5" customHeight="1">
      <c r="A806" s="52"/>
      <c r="B806" s="53"/>
      <c r="C806" s="53"/>
      <c r="D806" s="53"/>
      <c r="E806" s="53"/>
      <c r="F806" s="61"/>
      <c r="G806" s="53"/>
      <c r="H806" s="53"/>
      <c r="I806" s="53"/>
      <c r="J806" s="48" t="str">
        <f t="array" ref="J806">IF(G806="","",IFERROR(LET(ev_cost,INDEX(Events!$G$5:$G$505,MATCH(G806,Events!$A$5:$A$505,0)),ev_split,INDEX(Events!$I$5:$I$505,MATCH(G806,Events!$A$5:$A$505,0)),att_offset,MATCH(G806,Attendance!$B$3:$AV$3,0),attendees,COUNTIF(INDEX(Attendance!$B$7:$AV$206,0,att_offset),"1"),IF(ev_split="Equal Split",ev_cost/MAX(1,COUNTA(Roster!$A$5:$A$204)),ev_cost/MAX(1,attendees))),"N/A"))</f>
        <v/>
      </c>
      <c r="K806" s="5"/>
      <c r="L806" s="5"/>
      <c r="M806" s="5"/>
      <c r="N806" s="5"/>
      <c r="O806" s="5"/>
      <c r="P806" s="5"/>
      <c r="Q806" s="5"/>
      <c r="R806" s="5"/>
      <c r="S806" s="5"/>
      <c r="T806" s="5"/>
      <c r="U806" s="5"/>
      <c r="V806" s="5"/>
      <c r="W806" s="5"/>
      <c r="X806" s="5"/>
      <c r="Y806" s="5"/>
      <c r="Z806" s="5"/>
    </row>
    <row r="807" ht="19.5" customHeight="1">
      <c r="A807" s="49"/>
      <c r="B807" s="50"/>
      <c r="C807" s="50"/>
      <c r="D807" s="50"/>
      <c r="E807" s="50"/>
      <c r="F807" s="51"/>
      <c r="G807" s="50"/>
      <c r="H807" s="50"/>
      <c r="I807" s="50"/>
      <c r="J807" s="48" t="str">
        <f t="array" ref="J807">IF(G807="","",IFERROR(LET(ev_cost,INDEX(Events!$G$5:$G$505,MATCH(G807,Events!$A$5:$A$505,0)),ev_split,INDEX(Events!$I$5:$I$505,MATCH(G807,Events!$A$5:$A$505,0)),att_offset,MATCH(G807,Attendance!$B$3:$AV$3,0),attendees,COUNTIF(INDEX(Attendance!$B$7:$AV$206,0,att_offset),"1"),IF(ev_split="Equal Split",ev_cost/MAX(1,COUNTA(Roster!$A$5:$A$204)),ev_cost/MAX(1,attendees))),"N/A"))</f>
        <v/>
      </c>
      <c r="K807" s="5"/>
      <c r="L807" s="5"/>
      <c r="M807" s="5"/>
      <c r="N807" s="5"/>
      <c r="O807" s="5"/>
      <c r="P807" s="5"/>
      <c r="Q807" s="5"/>
      <c r="R807" s="5"/>
      <c r="S807" s="5"/>
      <c r="T807" s="5"/>
      <c r="U807" s="5"/>
      <c r="V807" s="5"/>
      <c r="W807" s="5"/>
      <c r="X807" s="5"/>
      <c r="Y807" s="5"/>
      <c r="Z807" s="5"/>
    </row>
    <row r="808" ht="19.5" customHeight="1">
      <c r="A808" s="52"/>
      <c r="B808" s="53"/>
      <c r="C808" s="53"/>
      <c r="D808" s="53"/>
      <c r="E808" s="53"/>
      <c r="F808" s="61"/>
      <c r="G808" s="53"/>
      <c r="H808" s="53"/>
      <c r="I808" s="53"/>
      <c r="J808" s="48" t="str">
        <f t="array" ref="J808">IF(G808="","",IFERROR(LET(ev_cost,INDEX(Events!$G$5:$G$505,MATCH(G808,Events!$A$5:$A$505,0)),ev_split,INDEX(Events!$I$5:$I$505,MATCH(G808,Events!$A$5:$A$505,0)),att_offset,MATCH(G808,Attendance!$B$3:$AV$3,0),attendees,COUNTIF(INDEX(Attendance!$B$7:$AV$206,0,att_offset),"1"),IF(ev_split="Equal Split",ev_cost/MAX(1,COUNTA(Roster!$A$5:$A$204)),ev_cost/MAX(1,attendees))),"N/A"))</f>
        <v/>
      </c>
      <c r="K808" s="5"/>
      <c r="L808" s="5"/>
      <c r="M808" s="5"/>
      <c r="N808" s="5"/>
      <c r="O808" s="5"/>
      <c r="P808" s="5"/>
      <c r="Q808" s="5"/>
      <c r="R808" s="5"/>
      <c r="S808" s="5"/>
      <c r="T808" s="5"/>
      <c r="U808" s="5"/>
      <c r="V808" s="5"/>
      <c r="W808" s="5"/>
      <c r="X808" s="5"/>
      <c r="Y808" s="5"/>
      <c r="Z808" s="5"/>
    </row>
    <row r="809" ht="19.5" customHeight="1">
      <c r="A809" s="49"/>
      <c r="B809" s="50"/>
      <c r="C809" s="50"/>
      <c r="D809" s="50"/>
      <c r="E809" s="50"/>
      <c r="F809" s="51"/>
      <c r="G809" s="50"/>
      <c r="H809" s="50"/>
      <c r="I809" s="50"/>
      <c r="J809" s="48" t="str">
        <f t="array" ref="J809">IF(G809="","",IFERROR(LET(ev_cost,INDEX(Events!$G$5:$G$505,MATCH(G809,Events!$A$5:$A$505,0)),ev_split,INDEX(Events!$I$5:$I$505,MATCH(G809,Events!$A$5:$A$505,0)),att_offset,MATCH(G809,Attendance!$B$3:$AV$3,0),attendees,COUNTIF(INDEX(Attendance!$B$7:$AV$206,0,att_offset),"1"),IF(ev_split="Equal Split",ev_cost/MAX(1,COUNTA(Roster!$A$5:$A$204)),ev_cost/MAX(1,attendees))),"N/A"))</f>
        <v/>
      </c>
      <c r="K809" s="5"/>
      <c r="L809" s="5"/>
      <c r="M809" s="5"/>
      <c r="N809" s="5"/>
      <c r="O809" s="5"/>
      <c r="P809" s="5"/>
      <c r="Q809" s="5"/>
      <c r="R809" s="5"/>
      <c r="S809" s="5"/>
      <c r="T809" s="5"/>
      <c r="U809" s="5"/>
      <c r="V809" s="5"/>
      <c r="W809" s="5"/>
      <c r="X809" s="5"/>
      <c r="Y809" s="5"/>
      <c r="Z809" s="5"/>
    </row>
    <row r="810" ht="19.5" customHeight="1">
      <c r="A810" s="52"/>
      <c r="B810" s="53"/>
      <c r="C810" s="53"/>
      <c r="D810" s="53"/>
      <c r="E810" s="53"/>
      <c r="F810" s="61"/>
      <c r="G810" s="53"/>
      <c r="H810" s="53"/>
      <c r="I810" s="53"/>
      <c r="J810" s="48" t="str">
        <f t="array" ref="J810">IF(G810="","",IFERROR(LET(ev_cost,INDEX(Events!$G$5:$G$505,MATCH(G810,Events!$A$5:$A$505,0)),ev_split,INDEX(Events!$I$5:$I$505,MATCH(G810,Events!$A$5:$A$505,0)),att_offset,MATCH(G810,Attendance!$B$3:$AV$3,0),attendees,COUNTIF(INDEX(Attendance!$B$7:$AV$206,0,att_offset),"1"),IF(ev_split="Equal Split",ev_cost/MAX(1,COUNTA(Roster!$A$5:$A$204)),ev_cost/MAX(1,attendees))),"N/A"))</f>
        <v/>
      </c>
      <c r="K810" s="5"/>
      <c r="L810" s="5"/>
      <c r="M810" s="5"/>
      <c r="N810" s="5"/>
      <c r="O810" s="5"/>
      <c r="P810" s="5"/>
      <c r="Q810" s="5"/>
      <c r="R810" s="5"/>
      <c r="S810" s="5"/>
      <c r="T810" s="5"/>
      <c r="U810" s="5"/>
      <c r="V810" s="5"/>
      <c r="W810" s="5"/>
      <c r="X810" s="5"/>
      <c r="Y810" s="5"/>
      <c r="Z810" s="5"/>
    </row>
    <row r="811" ht="19.5" customHeight="1">
      <c r="A811" s="49"/>
      <c r="B811" s="50"/>
      <c r="C811" s="50"/>
      <c r="D811" s="50"/>
      <c r="E811" s="50"/>
      <c r="F811" s="51"/>
      <c r="G811" s="50"/>
      <c r="H811" s="50"/>
      <c r="I811" s="50"/>
      <c r="J811" s="48" t="str">
        <f t="array" ref="J811">IF(G811="","",IFERROR(LET(ev_cost,INDEX(Events!$G$5:$G$505,MATCH(G811,Events!$A$5:$A$505,0)),ev_split,INDEX(Events!$I$5:$I$505,MATCH(G811,Events!$A$5:$A$505,0)),att_offset,MATCH(G811,Attendance!$B$3:$AV$3,0),attendees,COUNTIF(INDEX(Attendance!$B$7:$AV$206,0,att_offset),"1"),IF(ev_split="Equal Split",ev_cost/MAX(1,COUNTA(Roster!$A$5:$A$204)),ev_cost/MAX(1,attendees))),"N/A"))</f>
        <v/>
      </c>
      <c r="K811" s="5"/>
      <c r="L811" s="5"/>
      <c r="M811" s="5"/>
      <c r="N811" s="5"/>
      <c r="O811" s="5"/>
      <c r="P811" s="5"/>
      <c r="Q811" s="5"/>
      <c r="R811" s="5"/>
      <c r="S811" s="5"/>
      <c r="T811" s="5"/>
      <c r="U811" s="5"/>
      <c r="V811" s="5"/>
      <c r="W811" s="5"/>
      <c r="X811" s="5"/>
      <c r="Y811" s="5"/>
      <c r="Z811" s="5"/>
    </row>
    <row r="812" ht="19.5" customHeight="1">
      <c r="A812" s="52"/>
      <c r="B812" s="53"/>
      <c r="C812" s="53"/>
      <c r="D812" s="53"/>
      <c r="E812" s="53"/>
      <c r="F812" s="61"/>
      <c r="G812" s="53"/>
      <c r="H812" s="53"/>
      <c r="I812" s="53"/>
      <c r="J812" s="48" t="str">
        <f t="array" ref="J812">IF(G812="","",IFERROR(LET(ev_cost,INDEX(Events!$G$5:$G$505,MATCH(G812,Events!$A$5:$A$505,0)),ev_split,INDEX(Events!$I$5:$I$505,MATCH(G812,Events!$A$5:$A$505,0)),att_offset,MATCH(G812,Attendance!$B$3:$AV$3,0),attendees,COUNTIF(INDEX(Attendance!$B$7:$AV$206,0,att_offset),"1"),IF(ev_split="Equal Split",ev_cost/MAX(1,COUNTA(Roster!$A$5:$A$204)),ev_cost/MAX(1,attendees))),"N/A"))</f>
        <v/>
      </c>
      <c r="K812" s="5"/>
      <c r="L812" s="5"/>
      <c r="M812" s="5"/>
      <c r="N812" s="5"/>
      <c r="O812" s="5"/>
      <c r="P812" s="5"/>
      <c r="Q812" s="5"/>
      <c r="R812" s="5"/>
      <c r="S812" s="5"/>
      <c r="T812" s="5"/>
      <c r="U812" s="5"/>
      <c r="V812" s="5"/>
      <c r="W812" s="5"/>
      <c r="X812" s="5"/>
      <c r="Y812" s="5"/>
      <c r="Z812" s="5"/>
    </row>
    <row r="813" ht="19.5" customHeight="1">
      <c r="A813" s="49"/>
      <c r="B813" s="50"/>
      <c r="C813" s="50"/>
      <c r="D813" s="50"/>
      <c r="E813" s="50"/>
      <c r="F813" s="51"/>
      <c r="G813" s="50"/>
      <c r="H813" s="50"/>
      <c r="I813" s="50"/>
      <c r="J813" s="48" t="str">
        <f t="array" ref="J813">IF(G813="","",IFERROR(LET(ev_cost,INDEX(Events!$G$5:$G$505,MATCH(G813,Events!$A$5:$A$505,0)),ev_split,INDEX(Events!$I$5:$I$505,MATCH(G813,Events!$A$5:$A$505,0)),att_offset,MATCH(G813,Attendance!$B$3:$AV$3,0),attendees,COUNTIF(INDEX(Attendance!$B$7:$AV$206,0,att_offset),"1"),IF(ev_split="Equal Split",ev_cost/MAX(1,COUNTA(Roster!$A$5:$A$204)),ev_cost/MAX(1,attendees))),"N/A"))</f>
        <v/>
      </c>
      <c r="K813" s="5"/>
      <c r="L813" s="5"/>
      <c r="M813" s="5"/>
      <c r="N813" s="5"/>
      <c r="O813" s="5"/>
      <c r="P813" s="5"/>
      <c r="Q813" s="5"/>
      <c r="R813" s="5"/>
      <c r="S813" s="5"/>
      <c r="T813" s="5"/>
      <c r="U813" s="5"/>
      <c r="V813" s="5"/>
      <c r="W813" s="5"/>
      <c r="X813" s="5"/>
      <c r="Y813" s="5"/>
      <c r="Z813" s="5"/>
    </row>
    <row r="814" ht="19.5" customHeight="1">
      <c r="A814" s="52"/>
      <c r="B814" s="53"/>
      <c r="C814" s="53"/>
      <c r="D814" s="53"/>
      <c r="E814" s="53"/>
      <c r="F814" s="61"/>
      <c r="G814" s="53"/>
      <c r="H814" s="53"/>
      <c r="I814" s="53"/>
      <c r="J814" s="48" t="str">
        <f t="array" ref="J814">IF(G814="","",IFERROR(LET(ev_cost,INDEX(Events!$G$5:$G$505,MATCH(G814,Events!$A$5:$A$505,0)),ev_split,INDEX(Events!$I$5:$I$505,MATCH(G814,Events!$A$5:$A$505,0)),att_offset,MATCH(G814,Attendance!$B$3:$AV$3,0),attendees,COUNTIF(INDEX(Attendance!$B$7:$AV$206,0,att_offset),"1"),IF(ev_split="Equal Split",ev_cost/MAX(1,COUNTA(Roster!$A$5:$A$204)),ev_cost/MAX(1,attendees))),"N/A"))</f>
        <v/>
      </c>
      <c r="K814" s="5"/>
      <c r="L814" s="5"/>
      <c r="M814" s="5"/>
      <c r="N814" s="5"/>
      <c r="O814" s="5"/>
      <c r="P814" s="5"/>
      <c r="Q814" s="5"/>
      <c r="R814" s="5"/>
      <c r="S814" s="5"/>
      <c r="T814" s="5"/>
      <c r="U814" s="5"/>
      <c r="V814" s="5"/>
      <c r="W814" s="5"/>
      <c r="X814" s="5"/>
      <c r="Y814" s="5"/>
      <c r="Z814" s="5"/>
    </row>
    <row r="815" ht="19.5" customHeight="1">
      <c r="A815" s="49"/>
      <c r="B815" s="50"/>
      <c r="C815" s="50"/>
      <c r="D815" s="50"/>
      <c r="E815" s="50"/>
      <c r="F815" s="51"/>
      <c r="G815" s="50"/>
      <c r="H815" s="50"/>
      <c r="I815" s="50"/>
      <c r="J815" s="48" t="str">
        <f t="array" ref="J815">IF(G815="","",IFERROR(LET(ev_cost,INDEX(Events!$G$5:$G$505,MATCH(G815,Events!$A$5:$A$505,0)),ev_split,INDEX(Events!$I$5:$I$505,MATCH(G815,Events!$A$5:$A$505,0)),att_offset,MATCH(G815,Attendance!$B$3:$AV$3,0),attendees,COUNTIF(INDEX(Attendance!$B$7:$AV$206,0,att_offset),"1"),IF(ev_split="Equal Split",ev_cost/MAX(1,COUNTA(Roster!$A$5:$A$204)),ev_cost/MAX(1,attendees))),"N/A"))</f>
        <v/>
      </c>
      <c r="K815" s="5"/>
      <c r="L815" s="5"/>
      <c r="M815" s="5"/>
      <c r="N815" s="5"/>
      <c r="O815" s="5"/>
      <c r="P815" s="5"/>
      <c r="Q815" s="5"/>
      <c r="R815" s="5"/>
      <c r="S815" s="5"/>
      <c r="T815" s="5"/>
      <c r="U815" s="5"/>
      <c r="V815" s="5"/>
      <c r="W815" s="5"/>
      <c r="X815" s="5"/>
      <c r="Y815" s="5"/>
      <c r="Z815" s="5"/>
    </row>
    <row r="816" ht="19.5" customHeight="1">
      <c r="A816" s="52"/>
      <c r="B816" s="53"/>
      <c r="C816" s="53"/>
      <c r="D816" s="53"/>
      <c r="E816" s="53"/>
      <c r="F816" s="61"/>
      <c r="G816" s="53"/>
      <c r="H816" s="53"/>
      <c r="I816" s="53"/>
      <c r="J816" s="48" t="str">
        <f t="array" ref="J816">IF(G816="","",IFERROR(LET(ev_cost,INDEX(Events!$G$5:$G$505,MATCH(G816,Events!$A$5:$A$505,0)),ev_split,INDEX(Events!$I$5:$I$505,MATCH(G816,Events!$A$5:$A$505,0)),att_offset,MATCH(G816,Attendance!$B$3:$AV$3,0),attendees,COUNTIF(INDEX(Attendance!$B$7:$AV$206,0,att_offset),"1"),IF(ev_split="Equal Split",ev_cost/MAX(1,COUNTA(Roster!$A$5:$A$204)),ev_cost/MAX(1,attendees))),"N/A"))</f>
        <v/>
      </c>
      <c r="K816" s="5"/>
      <c r="L816" s="5"/>
      <c r="M816" s="5"/>
      <c r="N816" s="5"/>
      <c r="O816" s="5"/>
      <c r="P816" s="5"/>
      <c r="Q816" s="5"/>
      <c r="R816" s="5"/>
      <c r="S816" s="5"/>
      <c r="T816" s="5"/>
      <c r="U816" s="5"/>
      <c r="V816" s="5"/>
      <c r="W816" s="5"/>
      <c r="X816" s="5"/>
      <c r="Y816" s="5"/>
      <c r="Z816" s="5"/>
    </row>
    <row r="817" ht="19.5" customHeight="1">
      <c r="A817" s="49"/>
      <c r="B817" s="50"/>
      <c r="C817" s="50"/>
      <c r="D817" s="50"/>
      <c r="E817" s="50"/>
      <c r="F817" s="51"/>
      <c r="G817" s="50"/>
      <c r="H817" s="50"/>
      <c r="I817" s="50"/>
      <c r="J817" s="48" t="str">
        <f t="array" ref="J817">IF(G817="","",IFERROR(LET(ev_cost,INDEX(Events!$G$5:$G$505,MATCH(G817,Events!$A$5:$A$505,0)),ev_split,INDEX(Events!$I$5:$I$505,MATCH(G817,Events!$A$5:$A$505,0)),att_offset,MATCH(G817,Attendance!$B$3:$AV$3,0),attendees,COUNTIF(INDEX(Attendance!$B$7:$AV$206,0,att_offset),"1"),IF(ev_split="Equal Split",ev_cost/MAX(1,COUNTA(Roster!$A$5:$A$204)),ev_cost/MAX(1,attendees))),"N/A"))</f>
        <v/>
      </c>
      <c r="K817" s="5"/>
      <c r="L817" s="5"/>
      <c r="M817" s="5"/>
      <c r="N817" s="5"/>
      <c r="O817" s="5"/>
      <c r="P817" s="5"/>
      <c r="Q817" s="5"/>
      <c r="R817" s="5"/>
      <c r="S817" s="5"/>
      <c r="T817" s="5"/>
      <c r="U817" s="5"/>
      <c r="V817" s="5"/>
      <c r="W817" s="5"/>
      <c r="X817" s="5"/>
      <c r="Y817" s="5"/>
      <c r="Z817" s="5"/>
    </row>
    <row r="818" ht="19.5" customHeight="1">
      <c r="A818" s="52"/>
      <c r="B818" s="53"/>
      <c r="C818" s="53"/>
      <c r="D818" s="53"/>
      <c r="E818" s="53"/>
      <c r="F818" s="61"/>
      <c r="G818" s="53"/>
      <c r="H818" s="53"/>
      <c r="I818" s="53"/>
      <c r="J818" s="48" t="str">
        <f t="array" ref="J818">IF(G818="","",IFERROR(LET(ev_cost,INDEX(Events!$G$5:$G$505,MATCH(G818,Events!$A$5:$A$505,0)),ev_split,INDEX(Events!$I$5:$I$505,MATCH(G818,Events!$A$5:$A$505,0)),att_offset,MATCH(G818,Attendance!$B$3:$AV$3,0),attendees,COUNTIF(INDEX(Attendance!$B$7:$AV$206,0,att_offset),"1"),IF(ev_split="Equal Split",ev_cost/MAX(1,COUNTA(Roster!$A$5:$A$204)),ev_cost/MAX(1,attendees))),"N/A"))</f>
        <v/>
      </c>
      <c r="K818" s="5"/>
      <c r="L818" s="5"/>
      <c r="M818" s="5"/>
      <c r="N818" s="5"/>
      <c r="O818" s="5"/>
      <c r="P818" s="5"/>
      <c r="Q818" s="5"/>
      <c r="R818" s="5"/>
      <c r="S818" s="5"/>
      <c r="T818" s="5"/>
      <c r="U818" s="5"/>
      <c r="V818" s="5"/>
      <c r="W818" s="5"/>
      <c r="X818" s="5"/>
      <c r="Y818" s="5"/>
      <c r="Z818" s="5"/>
    </row>
    <row r="819" ht="19.5" customHeight="1">
      <c r="A819" s="49"/>
      <c r="B819" s="50"/>
      <c r="C819" s="50"/>
      <c r="D819" s="50"/>
      <c r="E819" s="50"/>
      <c r="F819" s="51"/>
      <c r="G819" s="50"/>
      <c r="H819" s="50"/>
      <c r="I819" s="50"/>
      <c r="J819" s="48" t="str">
        <f t="array" ref="J819">IF(G819="","",IFERROR(LET(ev_cost,INDEX(Events!$G$5:$G$505,MATCH(G819,Events!$A$5:$A$505,0)),ev_split,INDEX(Events!$I$5:$I$505,MATCH(G819,Events!$A$5:$A$505,0)),att_offset,MATCH(G819,Attendance!$B$3:$AV$3,0),attendees,COUNTIF(INDEX(Attendance!$B$7:$AV$206,0,att_offset),"1"),IF(ev_split="Equal Split",ev_cost/MAX(1,COUNTA(Roster!$A$5:$A$204)),ev_cost/MAX(1,attendees))),"N/A"))</f>
        <v/>
      </c>
      <c r="K819" s="5"/>
      <c r="L819" s="5"/>
      <c r="M819" s="5"/>
      <c r="N819" s="5"/>
      <c r="O819" s="5"/>
      <c r="P819" s="5"/>
      <c r="Q819" s="5"/>
      <c r="R819" s="5"/>
      <c r="S819" s="5"/>
      <c r="T819" s="5"/>
      <c r="U819" s="5"/>
      <c r="V819" s="5"/>
      <c r="W819" s="5"/>
      <c r="X819" s="5"/>
      <c r="Y819" s="5"/>
      <c r="Z819" s="5"/>
    </row>
    <row r="820" ht="19.5" customHeight="1">
      <c r="A820" s="52"/>
      <c r="B820" s="53"/>
      <c r="C820" s="53"/>
      <c r="D820" s="53"/>
      <c r="E820" s="53"/>
      <c r="F820" s="61"/>
      <c r="G820" s="53"/>
      <c r="H820" s="53"/>
      <c r="I820" s="53"/>
      <c r="J820" s="48" t="str">
        <f t="array" ref="J820">IF(G820="","",IFERROR(LET(ev_cost,INDEX(Events!$G$5:$G$505,MATCH(G820,Events!$A$5:$A$505,0)),ev_split,INDEX(Events!$I$5:$I$505,MATCH(G820,Events!$A$5:$A$505,0)),att_offset,MATCH(G820,Attendance!$B$3:$AV$3,0),attendees,COUNTIF(INDEX(Attendance!$B$7:$AV$206,0,att_offset),"1"),IF(ev_split="Equal Split",ev_cost/MAX(1,COUNTA(Roster!$A$5:$A$204)),ev_cost/MAX(1,attendees))),"N/A"))</f>
        <v/>
      </c>
      <c r="K820" s="5"/>
      <c r="L820" s="5"/>
      <c r="M820" s="5"/>
      <c r="N820" s="5"/>
      <c r="O820" s="5"/>
      <c r="P820" s="5"/>
      <c r="Q820" s="5"/>
      <c r="R820" s="5"/>
      <c r="S820" s="5"/>
      <c r="T820" s="5"/>
      <c r="U820" s="5"/>
      <c r="V820" s="5"/>
      <c r="W820" s="5"/>
      <c r="X820" s="5"/>
      <c r="Y820" s="5"/>
      <c r="Z820" s="5"/>
    </row>
    <row r="821" ht="19.5" customHeight="1">
      <c r="A821" s="49"/>
      <c r="B821" s="50"/>
      <c r="C821" s="50"/>
      <c r="D821" s="50"/>
      <c r="E821" s="50"/>
      <c r="F821" s="51"/>
      <c r="G821" s="50"/>
      <c r="H821" s="50"/>
      <c r="I821" s="50"/>
      <c r="J821" s="48" t="str">
        <f t="array" ref="J821">IF(G821="","",IFERROR(LET(ev_cost,INDEX(Events!$G$5:$G$505,MATCH(G821,Events!$A$5:$A$505,0)),ev_split,INDEX(Events!$I$5:$I$505,MATCH(G821,Events!$A$5:$A$505,0)),att_offset,MATCH(G821,Attendance!$B$3:$AV$3,0),attendees,COUNTIF(INDEX(Attendance!$B$7:$AV$206,0,att_offset),"1"),IF(ev_split="Equal Split",ev_cost/MAX(1,COUNTA(Roster!$A$5:$A$204)),ev_cost/MAX(1,attendees))),"N/A"))</f>
        <v/>
      </c>
      <c r="K821" s="5"/>
      <c r="L821" s="5"/>
      <c r="M821" s="5"/>
      <c r="N821" s="5"/>
      <c r="O821" s="5"/>
      <c r="P821" s="5"/>
      <c r="Q821" s="5"/>
      <c r="R821" s="5"/>
      <c r="S821" s="5"/>
      <c r="T821" s="5"/>
      <c r="U821" s="5"/>
      <c r="V821" s="5"/>
      <c r="W821" s="5"/>
      <c r="X821" s="5"/>
      <c r="Y821" s="5"/>
      <c r="Z821" s="5"/>
    </row>
    <row r="822" ht="19.5" customHeight="1">
      <c r="A822" s="52"/>
      <c r="B822" s="53"/>
      <c r="C822" s="53"/>
      <c r="D822" s="53"/>
      <c r="E822" s="53"/>
      <c r="F822" s="61"/>
      <c r="G822" s="53"/>
      <c r="H822" s="53"/>
      <c r="I822" s="53"/>
      <c r="J822" s="48" t="str">
        <f t="array" ref="J822">IF(G822="","",IFERROR(LET(ev_cost,INDEX(Events!$G$5:$G$505,MATCH(G822,Events!$A$5:$A$505,0)),ev_split,INDEX(Events!$I$5:$I$505,MATCH(G822,Events!$A$5:$A$505,0)),att_offset,MATCH(G822,Attendance!$B$3:$AV$3,0),attendees,COUNTIF(INDEX(Attendance!$B$7:$AV$206,0,att_offset),"1"),IF(ev_split="Equal Split",ev_cost/MAX(1,COUNTA(Roster!$A$5:$A$204)),ev_cost/MAX(1,attendees))),"N/A"))</f>
        <v/>
      </c>
      <c r="K822" s="5"/>
      <c r="L822" s="5"/>
      <c r="M822" s="5"/>
      <c r="N822" s="5"/>
      <c r="O822" s="5"/>
      <c r="P822" s="5"/>
      <c r="Q822" s="5"/>
      <c r="R822" s="5"/>
      <c r="S822" s="5"/>
      <c r="T822" s="5"/>
      <c r="U822" s="5"/>
      <c r="V822" s="5"/>
      <c r="W822" s="5"/>
      <c r="X822" s="5"/>
      <c r="Y822" s="5"/>
      <c r="Z822" s="5"/>
    </row>
    <row r="823" ht="19.5" customHeight="1">
      <c r="A823" s="49"/>
      <c r="B823" s="50"/>
      <c r="C823" s="50"/>
      <c r="D823" s="50"/>
      <c r="E823" s="50"/>
      <c r="F823" s="51"/>
      <c r="G823" s="50"/>
      <c r="H823" s="50"/>
      <c r="I823" s="50"/>
      <c r="J823" s="48" t="str">
        <f t="array" ref="J823">IF(G823="","",IFERROR(LET(ev_cost,INDEX(Events!$G$5:$G$505,MATCH(G823,Events!$A$5:$A$505,0)),ev_split,INDEX(Events!$I$5:$I$505,MATCH(G823,Events!$A$5:$A$505,0)),att_offset,MATCH(G823,Attendance!$B$3:$AV$3,0),attendees,COUNTIF(INDEX(Attendance!$B$7:$AV$206,0,att_offset),"1"),IF(ev_split="Equal Split",ev_cost/MAX(1,COUNTA(Roster!$A$5:$A$204)),ev_cost/MAX(1,attendees))),"N/A"))</f>
        <v/>
      </c>
      <c r="K823" s="5"/>
      <c r="L823" s="5"/>
      <c r="M823" s="5"/>
      <c r="N823" s="5"/>
      <c r="O823" s="5"/>
      <c r="P823" s="5"/>
      <c r="Q823" s="5"/>
      <c r="R823" s="5"/>
      <c r="S823" s="5"/>
      <c r="T823" s="5"/>
      <c r="U823" s="5"/>
      <c r="V823" s="5"/>
      <c r="W823" s="5"/>
      <c r="X823" s="5"/>
      <c r="Y823" s="5"/>
      <c r="Z823" s="5"/>
    </row>
    <row r="824" ht="19.5" customHeight="1">
      <c r="A824" s="52"/>
      <c r="B824" s="53"/>
      <c r="C824" s="53"/>
      <c r="D824" s="53"/>
      <c r="E824" s="53"/>
      <c r="F824" s="61"/>
      <c r="G824" s="53"/>
      <c r="H824" s="53"/>
      <c r="I824" s="53"/>
      <c r="J824" s="48" t="str">
        <f t="array" ref="J824">IF(G824="","",IFERROR(LET(ev_cost,INDEX(Events!$G$5:$G$505,MATCH(G824,Events!$A$5:$A$505,0)),ev_split,INDEX(Events!$I$5:$I$505,MATCH(G824,Events!$A$5:$A$505,0)),att_offset,MATCH(G824,Attendance!$B$3:$AV$3,0),attendees,COUNTIF(INDEX(Attendance!$B$7:$AV$206,0,att_offset),"1"),IF(ev_split="Equal Split",ev_cost/MAX(1,COUNTA(Roster!$A$5:$A$204)),ev_cost/MAX(1,attendees))),"N/A"))</f>
        <v/>
      </c>
      <c r="K824" s="5"/>
      <c r="L824" s="5"/>
      <c r="M824" s="5"/>
      <c r="N824" s="5"/>
      <c r="O824" s="5"/>
      <c r="P824" s="5"/>
      <c r="Q824" s="5"/>
      <c r="R824" s="5"/>
      <c r="S824" s="5"/>
      <c r="T824" s="5"/>
      <c r="U824" s="5"/>
      <c r="V824" s="5"/>
      <c r="W824" s="5"/>
      <c r="X824" s="5"/>
      <c r="Y824" s="5"/>
      <c r="Z824" s="5"/>
    </row>
    <row r="825" ht="19.5" customHeight="1">
      <c r="A825" s="49"/>
      <c r="B825" s="50"/>
      <c r="C825" s="50"/>
      <c r="D825" s="50"/>
      <c r="E825" s="50"/>
      <c r="F825" s="51"/>
      <c r="G825" s="50"/>
      <c r="H825" s="50"/>
      <c r="I825" s="50"/>
      <c r="J825" s="48" t="str">
        <f t="array" ref="J825">IF(G825="","",IFERROR(LET(ev_cost,INDEX(Events!$G$5:$G$505,MATCH(G825,Events!$A$5:$A$505,0)),ev_split,INDEX(Events!$I$5:$I$505,MATCH(G825,Events!$A$5:$A$505,0)),att_offset,MATCH(G825,Attendance!$B$3:$AV$3,0),attendees,COUNTIF(INDEX(Attendance!$B$7:$AV$206,0,att_offset),"1"),IF(ev_split="Equal Split",ev_cost/MAX(1,COUNTA(Roster!$A$5:$A$204)),ev_cost/MAX(1,attendees))),"N/A"))</f>
        <v/>
      </c>
      <c r="K825" s="5"/>
      <c r="L825" s="5"/>
      <c r="M825" s="5"/>
      <c r="N825" s="5"/>
      <c r="O825" s="5"/>
      <c r="P825" s="5"/>
      <c r="Q825" s="5"/>
      <c r="R825" s="5"/>
      <c r="S825" s="5"/>
      <c r="T825" s="5"/>
      <c r="U825" s="5"/>
      <c r="V825" s="5"/>
      <c r="W825" s="5"/>
      <c r="X825" s="5"/>
      <c r="Y825" s="5"/>
      <c r="Z825" s="5"/>
    </row>
    <row r="826" ht="19.5" customHeight="1">
      <c r="A826" s="52"/>
      <c r="B826" s="53"/>
      <c r="C826" s="53"/>
      <c r="D826" s="53"/>
      <c r="E826" s="53"/>
      <c r="F826" s="61"/>
      <c r="G826" s="53"/>
      <c r="H826" s="53"/>
      <c r="I826" s="53"/>
      <c r="J826" s="48" t="str">
        <f t="array" ref="J826">IF(G826="","",IFERROR(LET(ev_cost,INDEX(Events!$G$5:$G$505,MATCH(G826,Events!$A$5:$A$505,0)),ev_split,INDEX(Events!$I$5:$I$505,MATCH(G826,Events!$A$5:$A$505,0)),att_offset,MATCH(G826,Attendance!$B$3:$AV$3,0),attendees,COUNTIF(INDEX(Attendance!$B$7:$AV$206,0,att_offset),"1"),IF(ev_split="Equal Split",ev_cost/MAX(1,COUNTA(Roster!$A$5:$A$204)),ev_cost/MAX(1,attendees))),"N/A"))</f>
        <v/>
      </c>
      <c r="K826" s="5"/>
      <c r="L826" s="5"/>
      <c r="M826" s="5"/>
      <c r="N826" s="5"/>
      <c r="O826" s="5"/>
      <c r="P826" s="5"/>
      <c r="Q826" s="5"/>
      <c r="R826" s="5"/>
      <c r="S826" s="5"/>
      <c r="T826" s="5"/>
      <c r="U826" s="5"/>
      <c r="V826" s="5"/>
      <c r="W826" s="5"/>
      <c r="X826" s="5"/>
      <c r="Y826" s="5"/>
      <c r="Z826" s="5"/>
    </row>
    <row r="827" ht="19.5" customHeight="1">
      <c r="A827" s="49"/>
      <c r="B827" s="50"/>
      <c r="C827" s="50"/>
      <c r="D827" s="50"/>
      <c r="E827" s="50"/>
      <c r="F827" s="51"/>
      <c r="G827" s="50"/>
      <c r="H827" s="50"/>
      <c r="I827" s="50"/>
      <c r="J827" s="48" t="str">
        <f t="array" ref="J827">IF(G827="","",IFERROR(LET(ev_cost,INDEX(Events!$G$5:$G$505,MATCH(G827,Events!$A$5:$A$505,0)),ev_split,INDEX(Events!$I$5:$I$505,MATCH(G827,Events!$A$5:$A$505,0)),att_offset,MATCH(G827,Attendance!$B$3:$AV$3,0),attendees,COUNTIF(INDEX(Attendance!$B$7:$AV$206,0,att_offset),"1"),IF(ev_split="Equal Split",ev_cost/MAX(1,COUNTA(Roster!$A$5:$A$204)),ev_cost/MAX(1,attendees))),"N/A"))</f>
        <v/>
      </c>
      <c r="K827" s="5"/>
      <c r="L827" s="5"/>
      <c r="M827" s="5"/>
      <c r="N827" s="5"/>
      <c r="O827" s="5"/>
      <c r="P827" s="5"/>
      <c r="Q827" s="5"/>
      <c r="R827" s="5"/>
      <c r="S827" s="5"/>
      <c r="T827" s="5"/>
      <c r="U827" s="5"/>
      <c r="V827" s="5"/>
      <c r="W827" s="5"/>
      <c r="X827" s="5"/>
      <c r="Y827" s="5"/>
      <c r="Z827" s="5"/>
    </row>
    <row r="828" ht="19.5" customHeight="1">
      <c r="A828" s="52"/>
      <c r="B828" s="53"/>
      <c r="C828" s="53"/>
      <c r="D828" s="53"/>
      <c r="E828" s="53"/>
      <c r="F828" s="61"/>
      <c r="G828" s="53"/>
      <c r="H828" s="53"/>
      <c r="I828" s="53"/>
      <c r="J828" s="48" t="str">
        <f t="array" ref="J828">IF(G828="","",IFERROR(LET(ev_cost,INDEX(Events!$G$5:$G$505,MATCH(G828,Events!$A$5:$A$505,0)),ev_split,INDEX(Events!$I$5:$I$505,MATCH(G828,Events!$A$5:$A$505,0)),att_offset,MATCH(G828,Attendance!$B$3:$AV$3,0),attendees,COUNTIF(INDEX(Attendance!$B$7:$AV$206,0,att_offset),"1"),IF(ev_split="Equal Split",ev_cost/MAX(1,COUNTA(Roster!$A$5:$A$204)),ev_cost/MAX(1,attendees))),"N/A"))</f>
        <v/>
      </c>
      <c r="K828" s="5"/>
      <c r="L828" s="5"/>
      <c r="M828" s="5"/>
      <c r="N828" s="5"/>
      <c r="O828" s="5"/>
      <c r="P828" s="5"/>
      <c r="Q828" s="5"/>
      <c r="R828" s="5"/>
      <c r="S828" s="5"/>
      <c r="T828" s="5"/>
      <c r="U828" s="5"/>
      <c r="V828" s="5"/>
      <c r="W828" s="5"/>
      <c r="X828" s="5"/>
      <c r="Y828" s="5"/>
      <c r="Z828" s="5"/>
    </row>
    <row r="829" ht="19.5" customHeight="1">
      <c r="A829" s="49"/>
      <c r="B829" s="50"/>
      <c r="C829" s="50"/>
      <c r="D829" s="50"/>
      <c r="E829" s="50"/>
      <c r="F829" s="51"/>
      <c r="G829" s="50"/>
      <c r="H829" s="50"/>
      <c r="I829" s="50"/>
      <c r="J829" s="48" t="str">
        <f t="array" ref="J829">IF(G829="","",IFERROR(LET(ev_cost,INDEX(Events!$G$5:$G$505,MATCH(G829,Events!$A$5:$A$505,0)),ev_split,INDEX(Events!$I$5:$I$505,MATCH(G829,Events!$A$5:$A$505,0)),att_offset,MATCH(G829,Attendance!$B$3:$AV$3,0),attendees,COUNTIF(INDEX(Attendance!$B$7:$AV$206,0,att_offset),"1"),IF(ev_split="Equal Split",ev_cost/MAX(1,COUNTA(Roster!$A$5:$A$204)),ev_cost/MAX(1,attendees))),"N/A"))</f>
        <v/>
      </c>
      <c r="K829" s="5"/>
      <c r="L829" s="5"/>
      <c r="M829" s="5"/>
      <c r="N829" s="5"/>
      <c r="O829" s="5"/>
      <c r="P829" s="5"/>
      <c r="Q829" s="5"/>
      <c r="R829" s="5"/>
      <c r="S829" s="5"/>
      <c r="T829" s="5"/>
      <c r="U829" s="5"/>
      <c r="V829" s="5"/>
      <c r="W829" s="5"/>
      <c r="X829" s="5"/>
      <c r="Y829" s="5"/>
      <c r="Z829" s="5"/>
    </row>
    <row r="830" ht="19.5" customHeight="1">
      <c r="A830" s="52"/>
      <c r="B830" s="53"/>
      <c r="C830" s="53"/>
      <c r="D830" s="53"/>
      <c r="E830" s="53"/>
      <c r="F830" s="61"/>
      <c r="G830" s="53"/>
      <c r="H830" s="53"/>
      <c r="I830" s="53"/>
      <c r="J830" s="48" t="str">
        <f t="array" ref="J830">IF(G830="","",IFERROR(LET(ev_cost,INDEX(Events!$G$5:$G$505,MATCH(G830,Events!$A$5:$A$505,0)),ev_split,INDEX(Events!$I$5:$I$505,MATCH(G830,Events!$A$5:$A$505,0)),att_offset,MATCH(G830,Attendance!$B$3:$AV$3,0),attendees,COUNTIF(INDEX(Attendance!$B$7:$AV$206,0,att_offset),"1"),IF(ev_split="Equal Split",ev_cost/MAX(1,COUNTA(Roster!$A$5:$A$204)),ev_cost/MAX(1,attendees))),"N/A"))</f>
        <v/>
      </c>
      <c r="K830" s="5"/>
      <c r="L830" s="5"/>
      <c r="M830" s="5"/>
      <c r="N830" s="5"/>
      <c r="O830" s="5"/>
      <c r="P830" s="5"/>
      <c r="Q830" s="5"/>
      <c r="R830" s="5"/>
      <c r="S830" s="5"/>
      <c r="T830" s="5"/>
      <c r="U830" s="5"/>
      <c r="V830" s="5"/>
      <c r="W830" s="5"/>
      <c r="X830" s="5"/>
      <c r="Y830" s="5"/>
      <c r="Z830" s="5"/>
    </row>
    <row r="831" ht="19.5" customHeight="1">
      <c r="A831" s="49"/>
      <c r="B831" s="50"/>
      <c r="C831" s="50"/>
      <c r="D831" s="50"/>
      <c r="E831" s="50"/>
      <c r="F831" s="51"/>
      <c r="G831" s="50"/>
      <c r="H831" s="50"/>
      <c r="I831" s="50"/>
      <c r="J831" s="48" t="str">
        <f t="array" ref="J831">IF(G831="","",IFERROR(LET(ev_cost,INDEX(Events!$G$5:$G$505,MATCH(G831,Events!$A$5:$A$505,0)),ev_split,INDEX(Events!$I$5:$I$505,MATCH(G831,Events!$A$5:$A$505,0)),att_offset,MATCH(G831,Attendance!$B$3:$AV$3,0),attendees,COUNTIF(INDEX(Attendance!$B$7:$AV$206,0,att_offset),"1"),IF(ev_split="Equal Split",ev_cost/MAX(1,COUNTA(Roster!$A$5:$A$204)),ev_cost/MAX(1,attendees))),"N/A"))</f>
        <v/>
      </c>
      <c r="K831" s="5"/>
      <c r="L831" s="5"/>
      <c r="M831" s="5"/>
      <c r="N831" s="5"/>
      <c r="O831" s="5"/>
      <c r="P831" s="5"/>
      <c r="Q831" s="5"/>
      <c r="R831" s="5"/>
      <c r="S831" s="5"/>
      <c r="T831" s="5"/>
      <c r="U831" s="5"/>
      <c r="V831" s="5"/>
      <c r="W831" s="5"/>
      <c r="X831" s="5"/>
      <c r="Y831" s="5"/>
      <c r="Z831" s="5"/>
    </row>
    <row r="832" ht="19.5" customHeight="1">
      <c r="A832" s="52"/>
      <c r="B832" s="53"/>
      <c r="C832" s="53"/>
      <c r="D832" s="53"/>
      <c r="E832" s="53"/>
      <c r="F832" s="61"/>
      <c r="G832" s="53"/>
      <c r="H832" s="53"/>
      <c r="I832" s="53"/>
      <c r="J832" s="48" t="str">
        <f t="array" ref="J832">IF(G832="","",IFERROR(LET(ev_cost,INDEX(Events!$G$5:$G$505,MATCH(G832,Events!$A$5:$A$505,0)),ev_split,INDEX(Events!$I$5:$I$505,MATCH(G832,Events!$A$5:$A$505,0)),att_offset,MATCH(G832,Attendance!$B$3:$AV$3,0),attendees,COUNTIF(INDEX(Attendance!$B$7:$AV$206,0,att_offset),"1"),IF(ev_split="Equal Split",ev_cost/MAX(1,COUNTA(Roster!$A$5:$A$204)),ev_cost/MAX(1,attendees))),"N/A"))</f>
        <v/>
      </c>
      <c r="K832" s="5"/>
      <c r="L832" s="5"/>
      <c r="M832" s="5"/>
      <c r="N832" s="5"/>
      <c r="O832" s="5"/>
      <c r="P832" s="5"/>
      <c r="Q832" s="5"/>
      <c r="R832" s="5"/>
      <c r="S832" s="5"/>
      <c r="T832" s="5"/>
      <c r="U832" s="5"/>
      <c r="V832" s="5"/>
      <c r="W832" s="5"/>
      <c r="X832" s="5"/>
      <c r="Y832" s="5"/>
      <c r="Z832" s="5"/>
    </row>
    <row r="833" ht="19.5" customHeight="1">
      <c r="A833" s="49"/>
      <c r="B833" s="50"/>
      <c r="C833" s="50"/>
      <c r="D833" s="50"/>
      <c r="E833" s="50"/>
      <c r="F833" s="51"/>
      <c r="G833" s="50"/>
      <c r="H833" s="50"/>
      <c r="I833" s="50"/>
      <c r="J833" s="48" t="str">
        <f t="array" ref="J833">IF(G833="","",IFERROR(LET(ev_cost,INDEX(Events!$G$5:$G$505,MATCH(G833,Events!$A$5:$A$505,0)),ev_split,INDEX(Events!$I$5:$I$505,MATCH(G833,Events!$A$5:$A$505,0)),att_offset,MATCH(G833,Attendance!$B$3:$AV$3,0),attendees,COUNTIF(INDEX(Attendance!$B$7:$AV$206,0,att_offset),"1"),IF(ev_split="Equal Split",ev_cost/MAX(1,COUNTA(Roster!$A$5:$A$204)),ev_cost/MAX(1,attendees))),"N/A"))</f>
        <v/>
      </c>
      <c r="K833" s="5"/>
      <c r="L833" s="5"/>
      <c r="M833" s="5"/>
      <c r="N833" s="5"/>
      <c r="O833" s="5"/>
      <c r="P833" s="5"/>
      <c r="Q833" s="5"/>
      <c r="R833" s="5"/>
      <c r="S833" s="5"/>
      <c r="T833" s="5"/>
      <c r="U833" s="5"/>
      <c r="V833" s="5"/>
      <c r="W833" s="5"/>
      <c r="X833" s="5"/>
      <c r="Y833" s="5"/>
      <c r="Z833" s="5"/>
    </row>
    <row r="834" ht="19.5" customHeight="1">
      <c r="A834" s="52"/>
      <c r="B834" s="53"/>
      <c r="C834" s="53"/>
      <c r="D834" s="53"/>
      <c r="E834" s="53"/>
      <c r="F834" s="61"/>
      <c r="G834" s="53"/>
      <c r="H834" s="53"/>
      <c r="I834" s="53"/>
      <c r="J834" s="48" t="str">
        <f t="array" ref="J834">IF(G834="","",IFERROR(LET(ev_cost,INDEX(Events!$G$5:$G$505,MATCH(G834,Events!$A$5:$A$505,0)),ev_split,INDEX(Events!$I$5:$I$505,MATCH(G834,Events!$A$5:$A$505,0)),att_offset,MATCH(G834,Attendance!$B$3:$AV$3,0),attendees,COUNTIF(INDEX(Attendance!$B$7:$AV$206,0,att_offset),"1"),IF(ev_split="Equal Split",ev_cost/MAX(1,COUNTA(Roster!$A$5:$A$204)),ev_cost/MAX(1,attendees))),"N/A"))</f>
        <v/>
      </c>
      <c r="K834" s="5"/>
      <c r="L834" s="5"/>
      <c r="M834" s="5"/>
      <c r="N834" s="5"/>
      <c r="O834" s="5"/>
      <c r="P834" s="5"/>
      <c r="Q834" s="5"/>
      <c r="R834" s="5"/>
      <c r="S834" s="5"/>
      <c r="T834" s="5"/>
      <c r="U834" s="5"/>
      <c r="V834" s="5"/>
      <c r="W834" s="5"/>
      <c r="X834" s="5"/>
      <c r="Y834" s="5"/>
      <c r="Z834" s="5"/>
    </row>
    <row r="835" ht="19.5" customHeight="1">
      <c r="A835" s="49"/>
      <c r="B835" s="50"/>
      <c r="C835" s="50"/>
      <c r="D835" s="50"/>
      <c r="E835" s="50"/>
      <c r="F835" s="51"/>
      <c r="G835" s="50"/>
      <c r="H835" s="50"/>
      <c r="I835" s="50"/>
      <c r="J835" s="48" t="str">
        <f t="array" ref="J835">IF(G835="","",IFERROR(LET(ev_cost,INDEX(Events!$G$5:$G$505,MATCH(G835,Events!$A$5:$A$505,0)),ev_split,INDEX(Events!$I$5:$I$505,MATCH(G835,Events!$A$5:$A$505,0)),att_offset,MATCH(G835,Attendance!$B$3:$AV$3,0),attendees,COUNTIF(INDEX(Attendance!$B$7:$AV$206,0,att_offset),"1"),IF(ev_split="Equal Split",ev_cost/MAX(1,COUNTA(Roster!$A$5:$A$204)),ev_cost/MAX(1,attendees))),"N/A"))</f>
        <v/>
      </c>
      <c r="K835" s="5"/>
      <c r="L835" s="5"/>
      <c r="M835" s="5"/>
      <c r="N835" s="5"/>
      <c r="O835" s="5"/>
      <c r="P835" s="5"/>
      <c r="Q835" s="5"/>
      <c r="R835" s="5"/>
      <c r="S835" s="5"/>
      <c r="T835" s="5"/>
      <c r="U835" s="5"/>
      <c r="V835" s="5"/>
      <c r="W835" s="5"/>
      <c r="X835" s="5"/>
      <c r="Y835" s="5"/>
      <c r="Z835" s="5"/>
    </row>
    <row r="836" ht="19.5" customHeight="1">
      <c r="A836" s="52"/>
      <c r="B836" s="53"/>
      <c r="C836" s="53"/>
      <c r="D836" s="53"/>
      <c r="E836" s="53"/>
      <c r="F836" s="61"/>
      <c r="G836" s="53"/>
      <c r="H836" s="53"/>
      <c r="I836" s="53"/>
      <c r="J836" s="48" t="str">
        <f t="array" ref="J836">IF(G836="","",IFERROR(LET(ev_cost,INDEX(Events!$G$5:$G$505,MATCH(G836,Events!$A$5:$A$505,0)),ev_split,INDEX(Events!$I$5:$I$505,MATCH(G836,Events!$A$5:$A$505,0)),att_offset,MATCH(G836,Attendance!$B$3:$AV$3,0),attendees,COUNTIF(INDEX(Attendance!$B$7:$AV$206,0,att_offset),"1"),IF(ev_split="Equal Split",ev_cost/MAX(1,COUNTA(Roster!$A$5:$A$204)),ev_cost/MAX(1,attendees))),"N/A"))</f>
        <v/>
      </c>
      <c r="K836" s="5"/>
      <c r="L836" s="5"/>
      <c r="M836" s="5"/>
      <c r="N836" s="5"/>
      <c r="O836" s="5"/>
      <c r="P836" s="5"/>
      <c r="Q836" s="5"/>
      <c r="R836" s="5"/>
      <c r="S836" s="5"/>
      <c r="T836" s="5"/>
      <c r="U836" s="5"/>
      <c r="V836" s="5"/>
      <c r="W836" s="5"/>
      <c r="X836" s="5"/>
      <c r="Y836" s="5"/>
      <c r="Z836" s="5"/>
    </row>
    <row r="837" ht="19.5" customHeight="1">
      <c r="A837" s="49"/>
      <c r="B837" s="50"/>
      <c r="C837" s="50"/>
      <c r="D837" s="50"/>
      <c r="E837" s="50"/>
      <c r="F837" s="51"/>
      <c r="G837" s="50"/>
      <c r="H837" s="50"/>
      <c r="I837" s="50"/>
      <c r="J837" s="48" t="str">
        <f t="array" ref="J837">IF(G837="","",IFERROR(LET(ev_cost,INDEX(Events!$G$5:$G$505,MATCH(G837,Events!$A$5:$A$505,0)),ev_split,INDEX(Events!$I$5:$I$505,MATCH(G837,Events!$A$5:$A$505,0)),att_offset,MATCH(G837,Attendance!$B$3:$AV$3,0),attendees,COUNTIF(INDEX(Attendance!$B$7:$AV$206,0,att_offset),"1"),IF(ev_split="Equal Split",ev_cost/MAX(1,COUNTA(Roster!$A$5:$A$204)),ev_cost/MAX(1,attendees))),"N/A"))</f>
        <v/>
      </c>
      <c r="K837" s="5"/>
      <c r="L837" s="5"/>
      <c r="M837" s="5"/>
      <c r="N837" s="5"/>
      <c r="O837" s="5"/>
      <c r="P837" s="5"/>
      <c r="Q837" s="5"/>
      <c r="R837" s="5"/>
      <c r="S837" s="5"/>
      <c r="T837" s="5"/>
      <c r="U837" s="5"/>
      <c r="V837" s="5"/>
      <c r="W837" s="5"/>
      <c r="X837" s="5"/>
      <c r="Y837" s="5"/>
      <c r="Z837" s="5"/>
    </row>
    <row r="838" ht="19.5" customHeight="1">
      <c r="A838" s="52"/>
      <c r="B838" s="53"/>
      <c r="C838" s="53"/>
      <c r="D838" s="53"/>
      <c r="E838" s="53"/>
      <c r="F838" s="61"/>
      <c r="G838" s="53"/>
      <c r="H838" s="53"/>
      <c r="I838" s="53"/>
      <c r="J838" s="48" t="str">
        <f t="array" ref="J838">IF(G838="","",IFERROR(LET(ev_cost,INDEX(Events!$G$5:$G$505,MATCH(G838,Events!$A$5:$A$505,0)),ev_split,INDEX(Events!$I$5:$I$505,MATCH(G838,Events!$A$5:$A$505,0)),att_offset,MATCH(G838,Attendance!$B$3:$AV$3,0),attendees,COUNTIF(INDEX(Attendance!$B$7:$AV$206,0,att_offset),"1"),IF(ev_split="Equal Split",ev_cost/MAX(1,COUNTA(Roster!$A$5:$A$204)),ev_cost/MAX(1,attendees))),"N/A"))</f>
        <v/>
      </c>
      <c r="K838" s="5"/>
      <c r="L838" s="5"/>
      <c r="M838" s="5"/>
      <c r="N838" s="5"/>
      <c r="O838" s="5"/>
      <c r="P838" s="5"/>
      <c r="Q838" s="5"/>
      <c r="R838" s="5"/>
      <c r="S838" s="5"/>
      <c r="T838" s="5"/>
      <c r="U838" s="5"/>
      <c r="V838" s="5"/>
      <c r="W838" s="5"/>
      <c r="X838" s="5"/>
      <c r="Y838" s="5"/>
      <c r="Z838" s="5"/>
    </row>
    <row r="839" ht="19.5" customHeight="1">
      <c r="A839" s="49"/>
      <c r="B839" s="50"/>
      <c r="C839" s="50"/>
      <c r="D839" s="50"/>
      <c r="E839" s="50"/>
      <c r="F839" s="51"/>
      <c r="G839" s="50"/>
      <c r="H839" s="50"/>
      <c r="I839" s="50"/>
      <c r="J839" s="48" t="str">
        <f t="array" ref="J839">IF(G839="","",IFERROR(LET(ev_cost,INDEX(Events!$G$5:$G$505,MATCH(G839,Events!$A$5:$A$505,0)),ev_split,INDEX(Events!$I$5:$I$505,MATCH(G839,Events!$A$5:$A$505,0)),att_offset,MATCH(G839,Attendance!$B$3:$AV$3,0),attendees,COUNTIF(INDEX(Attendance!$B$7:$AV$206,0,att_offset),"1"),IF(ev_split="Equal Split",ev_cost/MAX(1,COUNTA(Roster!$A$5:$A$204)),ev_cost/MAX(1,attendees))),"N/A"))</f>
        <v/>
      </c>
      <c r="K839" s="5"/>
      <c r="L839" s="5"/>
      <c r="M839" s="5"/>
      <c r="N839" s="5"/>
      <c r="O839" s="5"/>
      <c r="P839" s="5"/>
      <c r="Q839" s="5"/>
      <c r="R839" s="5"/>
      <c r="S839" s="5"/>
      <c r="T839" s="5"/>
      <c r="U839" s="5"/>
      <c r="V839" s="5"/>
      <c r="W839" s="5"/>
      <c r="X839" s="5"/>
      <c r="Y839" s="5"/>
      <c r="Z839" s="5"/>
    </row>
    <row r="840" ht="19.5" customHeight="1">
      <c r="A840" s="52"/>
      <c r="B840" s="53"/>
      <c r="C840" s="53"/>
      <c r="D840" s="53"/>
      <c r="E840" s="53"/>
      <c r="F840" s="61"/>
      <c r="G840" s="53"/>
      <c r="H840" s="53"/>
      <c r="I840" s="53"/>
      <c r="J840" s="48" t="str">
        <f t="array" ref="J840">IF(G840="","",IFERROR(LET(ev_cost,INDEX(Events!$G$5:$G$505,MATCH(G840,Events!$A$5:$A$505,0)),ev_split,INDEX(Events!$I$5:$I$505,MATCH(G840,Events!$A$5:$A$505,0)),att_offset,MATCH(G840,Attendance!$B$3:$AV$3,0),attendees,COUNTIF(INDEX(Attendance!$B$7:$AV$206,0,att_offset),"1"),IF(ev_split="Equal Split",ev_cost/MAX(1,COUNTA(Roster!$A$5:$A$204)),ev_cost/MAX(1,attendees))),"N/A"))</f>
        <v/>
      </c>
      <c r="K840" s="5"/>
      <c r="L840" s="5"/>
      <c r="M840" s="5"/>
      <c r="N840" s="5"/>
      <c r="O840" s="5"/>
      <c r="P840" s="5"/>
      <c r="Q840" s="5"/>
      <c r="R840" s="5"/>
      <c r="S840" s="5"/>
      <c r="T840" s="5"/>
      <c r="U840" s="5"/>
      <c r="V840" s="5"/>
      <c r="W840" s="5"/>
      <c r="X840" s="5"/>
      <c r="Y840" s="5"/>
      <c r="Z840" s="5"/>
    </row>
    <row r="841" ht="19.5" customHeight="1">
      <c r="A841" s="49"/>
      <c r="B841" s="50"/>
      <c r="C841" s="50"/>
      <c r="D841" s="50"/>
      <c r="E841" s="50"/>
      <c r="F841" s="51"/>
      <c r="G841" s="50"/>
      <c r="H841" s="50"/>
      <c r="I841" s="50"/>
      <c r="J841" s="48" t="str">
        <f t="array" ref="J841">IF(G841="","",IFERROR(LET(ev_cost,INDEX(Events!$G$5:$G$505,MATCH(G841,Events!$A$5:$A$505,0)),ev_split,INDEX(Events!$I$5:$I$505,MATCH(G841,Events!$A$5:$A$505,0)),att_offset,MATCH(G841,Attendance!$B$3:$AV$3,0),attendees,COUNTIF(INDEX(Attendance!$B$7:$AV$206,0,att_offset),"1"),IF(ev_split="Equal Split",ev_cost/MAX(1,COUNTA(Roster!$A$5:$A$204)),ev_cost/MAX(1,attendees))),"N/A"))</f>
        <v/>
      </c>
      <c r="K841" s="5"/>
      <c r="L841" s="5"/>
      <c r="M841" s="5"/>
      <c r="N841" s="5"/>
      <c r="O841" s="5"/>
      <c r="P841" s="5"/>
      <c r="Q841" s="5"/>
      <c r="R841" s="5"/>
      <c r="S841" s="5"/>
      <c r="T841" s="5"/>
      <c r="U841" s="5"/>
      <c r="V841" s="5"/>
      <c r="W841" s="5"/>
      <c r="X841" s="5"/>
      <c r="Y841" s="5"/>
      <c r="Z841" s="5"/>
    </row>
    <row r="842" ht="19.5" customHeight="1">
      <c r="A842" s="52"/>
      <c r="B842" s="53"/>
      <c r="C842" s="53"/>
      <c r="D842" s="53"/>
      <c r="E842" s="53"/>
      <c r="F842" s="61"/>
      <c r="G842" s="53"/>
      <c r="H842" s="53"/>
      <c r="I842" s="53"/>
      <c r="J842" s="48" t="str">
        <f t="array" ref="J842">IF(G842="","",IFERROR(LET(ev_cost,INDEX(Events!$G$5:$G$505,MATCH(G842,Events!$A$5:$A$505,0)),ev_split,INDEX(Events!$I$5:$I$505,MATCH(G842,Events!$A$5:$A$505,0)),att_offset,MATCH(G842,Attendance!$B$3:$AV$3,0),attendees,COUNTIF(INDEX(Attendance!$B$7:$AV$206,0,att_offset),"1"),IF(ev_split="Equal Split",ev_cost/MAX(1,COUNTA(Roster!$A$5:$A$204)),ev_cost/MAX(1,attendees))),"N/A"))</f>
        <v/>
      </c>
      <c r="K842" s="5"/>
      <c r="L842" s="5"/>
      <c r="M842" s="5"/>
      <c r="N842" s="5"/>
      <c r="O842" s="5"/>
      <c r="P842" s="5"/>
      <c r="Q842" s="5"/>
      <c r="R842" s="5"/>
      <c r="S842" s="5"/>
      <c r="T842" s="5"/>
      <c r="U842" s="5"/>
      <c r="V842" s="5"/>
      <c r="W842" s="5"/>
      <c r="X842" s="5"/>
      <c r="Y842" s="5"/>
      <c r="Z842" s="5"/>
    </row>
    <row r="843" ht="19.5" customHeight="1">
      <c r="A843" s="49"/>
      <c r="B843" s="50"/>
      <c r="C843" s="50"/>
      <c r="D843" s="50"/>
      <c r="E843" s="50"/>
      <c r="F843" s="51"/>
      <c r="G843" s="50"/>
      <c r="H843" s="50"/>
      <c r="I843" s="50"/>
      <c r="J843" s="48" t="str">
        <f t="array" ref="J843">IF(G843="","",IFERROR(LET(ev_cost,INDEX(Events!$G$5:$G$505,MATCH(G843,Events!$A$5:$A$505,0)),ev_split,INDEX(Events!$I$5:$I$505,MATCH(G843,Events!$A$5:$A$505,0)),att_offset,MATCH(G843,Attendance!$B$3:$AV$3,0),attendees,COUNTIF(INDEX(Attendance!$B$7:$AV$206,0,att_offset),"1"),IF(ev_split="Equal Split",ev_cost/MAX(1,COUNTA(Roster!$A$5:$A$204)),ev_cost/MAX(1,attendees))),"N/A"))</f>
        <v/>
      </c>
      <c r="K843" s="5"/>
      <c r="L843" s="5"/>
      <c r="M843" s="5"/>
      <c r="N843" s="5"/>
      <c r="O843" s="5"/>
      <c r="P843" s="5"/>
      <c r="Q843" s="5"/>
      <c r="R843" s="5"/>
      <c r="S843" s="5"/>
      <c r="T843" s="5"/>
      <c r="U843" s="5"/>
      <c r="V843" s="5"/>
      <c r="W843" s="5"/>
      <c r="X843" s="5"/>
      <c r="Y843" s="5"/>
      <c r="Z843" s="5"/>
    </row>
    <row r="844" ht="19.5" customHeight="1">
      <c r="A844" s="52"/>
      <c r="B844" s="53"/>
      <c r="C844" s="53"/>
      <c r="D844" s="53"/>
      <c r="E844" s="53"/>
      <c r="F844" s="61"/>
      <c r="G844" s="53"/>
      <c r="H844" s="53"/>
      <c r="I844" s="53"/>
      <c r="J844" s="48" t="str">
        <f t="array" ref="J844">IF(G844="","",IFERROR(LET(ev_cost,INDEX(Events!$G$5:$G$505,MATCH(G844,Events!$A$5:$A$505,0)),ev_split,INDEX(Events!$I$5:$I$505,MATCH(G844,Events!$A$5:$A$505,0)),att_offset,MATCH(G844,Attendance!$B$3:$AV$3,0),attendees,COUNTIF(INDEX(Attendance!$B$7:$AV$206,0,att_offset),"1"),IF(ev_split="Equal Split",ev_cost/MAX(1,COUNTA(Roster!$A$5:$A$204)),ev_cost/MAX(1,attendees))),"N/A"))</f>
        <v/>
      </c>
      <c r="K844" s="5"/>
      <c r="L844" s="5"/>
      <c r="M844" s="5"/>
      <c r="N844" s="5"/>
      <c r="O844" s="5"/>
      <c r="P844" s="5"/>
      <c r="Q844" s="5"/>
      <c r="R844" s="5"/>
      <c r="S844" s="5"/>
      <c r="T844" s="5"/>
      <c r="U844" s="5"/>
      <c r="V844" s="5"/>
      <c r="W844" s="5"/>
      <c r="X844" s="5"/>
      <c r="Y844" s="5"/>
      <c r="Z844" s="5"/>
    </row>
    <row r="845" ht="19.5" customHeight="1">
      <c r="A845" s="49"/>
      <c r="B845" s="50"/>
      <c r="C845" s="50"/>
      <c r="D845" s="50"/>
      <c r="E845" s="50"/>
      <c r="F845" s="51"/>
      <c r="G845" s="50"/>
      <c r="H845" s="50"/>
      <c r="I845" s="50"/>
      <c r="J845" s="48" t="str">
        <f t="array" ref="J845">IF(G845="","",IFERROR(LET(ev_cost,INDEX(Events!$G$5:$G$505,MATCH(G845,Events!$A$5:$A$505,0)),ev_split,INDEX(Events!$I$5:$I$505,MATCH(G845,Events!$A$5:$A$505,0)),att_offset,MATCH(G845,Attendance!$B$3:$AV$3,0),attendees,COUNTIF(INDEX(Attendance!$B$7:$AV$206,0,att_offset),"1"),IF(ev_split="Equal Split",ev_cost/MAX(1,COUNTA(Roster!$A$5:$A$204)),ev_cost/MAX(1,attendees))),"N/A"))</f>
        <v/>
      </c>
      <c r="K845" s="5"/>
      <c r="L845" s="5"/>
      <c r="M845" s="5"/>
      <c r="N845" s="5"/>
      <c r="O845" s="5"/>
      <c r="P845" s="5"/>
      <c r="Q845" s="5"/>
      <c r="R845" s="5"/>
      <c r="S845" s="5"/>
      <c r="T845" s="5"/>
      <c r="U845" s="5"/>
      <c r="V845" s="5"/>
      <c r="W845" s="5"/>
      <c r="X845" s="5"/>
      <c r="Y845" s="5"/>
      <c r="Z845" s="5"/>
    </row>
    <row r="846" ht="19.5" customHeight="1">
      <c r="A846" s="52"/>
      <c r="B846" s="53"/>
      <c r="C846" s="53"/>
      <c r="D846" s="53"/>
      <c r="E846" s="53"/>
      <c r="F846" s="61"/>
      <c r="G846" s="53"/>
      <c r="H846" s="53"/>
      <c r="I846" s="53"/>
      <c r="J846" s="48" t="str">
        <f t="array" ref="J846">IF(G846="","",IFERROR(LET(ev_cost,INDEX(Events!$G$5:$G$505,MATCH(G846,Events!$A$5:$A$505,0)),ev_split,INDEX(Events!$I$5:$I$505,MATCH(G846,Events!$A$5:$A$505,0)),att_offset,MATCH(G846,Attendance!$B$3:$AV$3,0),attendees,COUNTIF(INDEX(Attendance!$B$7:$AV$206,0,att_offset),"1"),IF(ev_split="Equal Split",ev_cost/MAX(1,COUNTA(Roster!$A$5:$A$204)),ev_cost/MAX(1,attendees))),"N/A"))</f>
        <v/>
      </c>
      <c r="K846" s="5"/>
      <c r="L846" s="5"/>
      <c r="M846" s="5"/>
      <c r="N846" s="5"/>
      <c r="O846" s="5"/>
      <c r="P846" s="5"/>
      <c r="Q846" s="5"/>
      <c r="R846" s="5"/>
      <c r="S846" s="5"/>
      <c r="T846" s="5"/>
      <c r="U846" s="5"/>
      <c r="V846" s="5"/>
      <c r="W846" s="5"/>
      <c r="X846" s="5"/>
      <c r="Y846" s="5"/>
      <c r="Z846" s="5"/>
    </row>
    <row r="847" ht="19.5" customHeight="1">
      <c r="A847" s="49"/>
      <c r="B847" s="50"/>
      <c r="C847" s="50"/>
      <c r="D847" s="50"/>
      <c r="E847" s="50"/>
      <c r="F847" s="51"/>
      <c r="G847" s="50"/>
      <c r="H847" s="50"/>
      <c r="I847" s="50"/>
      <c r="J847" s="48" t="str">
        <f t="array" ref="J847">IF(G847="","",IFERROR(LET(ev_cost,INDEX(Events!$G$5:$G$505,MATCH(G847,Events!$A$5:$A$505,0)),ev_split,INDEX(Events!$I$5:$I$505,MATCH(G847,Events!$A$5:$A$505,0)),att_offset,MATCH(G847,Attendance!$B$3:$AV$3,0),attendees,COUNTIF(INDEX(Attendance!$B$7:$AV$206,0,att_offset),"1"),IF(ev_split="Equal Split",ev_cost/MAX(1,COUNTA(Roster!$A$5:$A$204)),ev_cost/MAX(1,attendees))),"N/A"))</f>
        <v/>
      </c>
      <c r="K847" s="5"/>
      <c r="L847" s="5"/>
      <c r="M847" s="5"/>
      <c r="N847" s="5"/>
      <c r="O847" s="5"/>
      <c r="P847" s="5"/>
      <c r="Q847" s="5"/>
      <c r="R847" s="5"/>
      <c r="S847" s="5"/>
      <c r="T847" s="5"/>
      <c r="U847" s="5"/>
      <c r="V847" s="5"/>
      <c r="W847" s="5"/>
      <c r="X847" s="5"/>
      <c r="Y847" s="5"/>
      <c r="Z847" s="5"/>
    </row>
    <row r="848" ht="19.5" customHeight="1">
      <c r="A848" s="52"/>
      <c r="B848" s="53"/>
      <c r="C848" s="53"/>
      <c r="D848" s="53"/>
      <c r="E848" s="53"/>
      <c r="F848" s="61"/>
      <c r="G848" s="53"/>
      <c r="H848" s="53"/>
      <c r="I848" s="53"/>
      <c r="J848" s="48" t="str">
        <f t="array" ref="J848">IF(G848="","",IFERROR(LET(ev_cost,INDEX(Events!$G$5:$G$505,MATCH(G848,Events!$A$5:$A$505,0)),ev_split,INDEX(Events!$I$5:$I$505,MATCH(G848,Events!$A$5:$A$505,0)),att_offset,MATCH(G848,Attendance!$B$3:$AV$3,0),attendees,COUNTIF(INDEX(Attendance!$B$7:$AV$206,0,att_offset),"1"),IF(ev_split="Equal Split",ev_cost/MAX(1,COUNTA(Roster!$A$5:$A$204)),ev_cost/MAX(1,attendees))),"N/A"))</f>
        <v/>
      </c>
      <c r="K848" s="5"/>
      <c r="L848" s="5"/>
      <c r="M848" s="5"/>
      <c r="N848" s="5"/>
      <c r="O848" s="5"/>
      <c r="P848" s="5"/>
      <c r="Q848" s="5"/>
      <c r="R848" s="5"/>
      <c r="S848" s="5"/>
      <c r="T848" s="5"/>
      <c r="U848" s="5"/>
      <c r="V848" s="5"/>
      <c r="W848" s="5"/>
      <c r="X848" s="5"/>
      <c r="Y848" s="5"/>
      <c r="Z848" s="5"/>
    </row>
    <row r="849" ht="19.5" customHeight="1">
      <c r="A849" s="49"/>
      <c r="B849" s="50"/>
      <c r="C849" s="50"/>
      <c r="D849" s="50"/>
      <c r="E849" s="50"/>
      <c r="F849" s="51"/>
      <c r="G849" s="50"/>
      <c r="H849" s="50"/>
      <c r="I849" s="50"/>
      <c r="J849" s="48" t="str">
        <f t="array" ref="J849">IF(G849="","",IFERROR(LET(ev_cost,INDEX(Events!$G$5:$G$505,MATCH(G849,Events!$A$5:$A$505,0)),ev_split,INDEX(Events!$I$5:$I$505,MATCH(G849,Events!$A$5:$A$505,0)),att_offset,MATCH(G849,Attendance!$B$3:$AV$3,0),attendees,COUNTIF(INDEX(Attendance!$B$7:$AV$206,0,att_offset),"1"),IF(ev_split="Equal Split",ev_cost/MAX(1,COUNTA(Roster!$A$5:$A$204)),ev_cost/MAX(1,attendees))),"N/A"))</f>
        <v/>
      </c>
      <c r="K849" s="5"/>
      <c r="L849" s="5"/>
      <c r="M849" s="5"/>
      <c r="N849" s="5"/>
      <c r="O849" s="5"/>
      <c r="P849" s="5"/>
      <c r="Q849" s="5"/>
      <c r="R849" s="5"/>
      <c r="S849" s="5"/>
      <c r="T849" s="5"/>
      <c r="U849" s="5"/>
      <c r="V849" s="5"/>
      <c r="W849" s="5"/>
      <c r="X849" s="5"/>
      <c r="Y849" s="5"/>
      <c r="Z849" s="5"/>
    </row>
    <row r="850" ht="19.5" customHeight="1">
      <c r="A850" s="52"/>
      <c r="B850" s="53"/>
      <c r="C850" s="53"/>
      <c r="D850" s="53"/>
      <c r="E850" s="53"/>
      <c r="F850" s="61"/>
      <c r="G850" s="53"/>
      <c r="H850" s="53"/>
      <c r="I850" s="53"/>
      <c r="J850" s="48" t="str">
        <f t="array" ref="J850">IF(G850="","",IFERROR(LET(ev_cost,INDEX(Events!$G$5:$G$505,MATCH(G850,Events!$A$5:$A$505,0)),ev_split,INDEX(Events!$I$5:$I$505,MATCH(G850,Events!$A$5:$A$505,0)),att_offset,MATCH(G850,Attendance!$B$3:$AV$3,0),attendees,COUNTIF(INDEX(Attendance!$B$7:$AV$206,0,att_offset),"1"),IF(ev_split="Equal Split",ev_cost/MAX(1,COUNTA(Roster!$A$5:$A$204)),ev_cost/MAX(1,attendees))),"N/A"))</f>
        <v/>
      </c>
      <c r="K850" s="5"/>
      <c r="L850" s="5"/>
      <c r="M850" s="5"/>
      <c r="N850" s="5"/>
      <c r="O850" s="5"/>
      <c r="P850" s="5"/>
      <c r="Q850" s="5"/>
      <c r="R850" s="5"/>
      <c r="S850" s="5"/>
      <c r="T850" s="5"/>
      <c r="U850" s="5"/>
      <c r="V850" s="5"/>
      <c r="W850" s="5"/>
      <c r="X850" s="5"/>
      <c r="Y850" s="5"/>
      <c r="Z850" s="5"/>
    </row>
    <row r="851" ht="19.5" customHeight="1">
      <c r="A851" s="49"/>
      <c r="B851" s="50"/>
      <c r="C851" s="50"/>
      <c r="D851" s="50"/>
      <c r="E851" s="50"/>
      <c r="F851" s="51"/>
      <c r="G851" s="50"/>
      <c r="H851" s="50"/>
      <c r="I851" s="50"/>
      <c r="J851" s="48" t="str">
        <f t="array" ref="J851">IF(G851="","",IFERROR(LET(ev_cost,INDEX(Events!$G$5:$G$505,MATCH(G851,Events!$A$5:$A$505,0)),ev_split,INDEX(Events!$I$5:$I$505,MATCH(G851,Events!$A$5:$A$505,0)),att_offset,MATCH(G851,Attendance!$B$3:$AV$3,0),attendees,COUNTIF(INDEX(Attendance!$B$7:$AV$206,0,att_offset),"1"),IF(ev_split="Equal Split",ev_cost/MAX(1,COUNTA(Roster!$A$5:$A$204)),ev_cost/MAX(1,attendees))),"N/A"))</f>
        <v/>
      </c>
      <c r="K851" s="5"/>
      <c r="L851" s="5"/>
      <c r="M851" s="5"/>
      <c r="N851" s="5"/>
      <c r="O851" s="5"/>
      <c r="P851" s="5"/>
      <c r="Q851" s="5"/>
      <c r="R851" s="5"/>
      <c r="S851" s="5"/>
      <c r="T851" s="5"/>
      <c r="U851" s="5"/>
      <c r="V851" s="5"/>
      <c r="W851" s="5"/>
      <c r="X851" s="5"/>
      <c r="Y851" s="5"/>
      <c r="Z851" s="5"/>
    </row>
    <row r="852" ht="19.5" customHeight="1">
      <c r="A852" s="52"/>
      <c r="B852" s="53"/>
      <c r="C852" s="53"/>
      <c r="D852" s="53"/>
      <c r="E852" s="53"/>
      <c r="F852" s="61"/>
      <c r="G852" s="53"/>
      <c r="H852" s="53"/>
      <c r="I852" s="53"/>
      <c r="J852" s="48" t="str">
        <f t="array" ref="J852">IF(G852="","",IFERROR(LET(ev_cost,INDEX(Events!$G$5:$G$505,MATCH(G852,Events!$A$5:$A$505,0)),ev_split,INDEX(Events!$I$5:$I$505,MATCH(G852,Events!$A$5:$A$505,0)),att_offset,MATCH(G852,Attendance!$B$3:$AV$3,0),attendees,COUNTIF(INDEX(Attendance!$B$7:$AV$206,0,att_offset),"1"),IF(ev_split="Equal Split",ev_cost/MAX(1,COUNTA(Roster!$A$5:$A$204)),ev_cost/MAX(1,attendees))),"N/A"))</f>
        <v/>
      </c>
      <c r="K852" s="5"/>
      <c r="L852" s="5"/>
      <c r="M852" s="5"/>
      <c r="N852" s="5"/>
      <c r="O852" s="5"/>
      <c r="P852" s="5"/>
      <c r="Q852" s="5"/>
      <c r="R852" s="5"/>
      <c r="S852" s="5"/>
      <c r="T852" s="5"/>
      <c r="U852" s="5"/>
      <c r="V852" s="5"/>
      <c r="W852" s="5"/>
      <c r="X852" s="5"/>
      <c r="Y852" s="5"/>
      <c r="Z852" s="5"/>
    </row>
    <row r="853" ht="19.5" customHeight="1">
      <c r="A853" s="49"/>
      <c r="B853" s="50"/>
      <c r="C853" s="50"/>
      <c r="D853" s="50"/>
      <c r="E853" s="50"/>
      <c r="F853" s="51"/>
      <c r="G853" s="50"/>
      <c r="H853" s="50"/>
      <c r="I853" s="50"/>
      <c r="J853" s="48" t="str">
        <f t="array" ref="J853">IF(G853="","",IFERROR(LET(ev_cost,INDEX(Events!$G$5:$G$505,MATCH(G853,Events!$A$5:$A$505,0)),ev_split,INDEX(Events!$I$5:$I$505,MATCH(G853,Events!$A$5:$A$505,0)),att_offset,MATCH(G853,Attendance!$B$3:$AV$3,0),attendees,COUNTIF(INDEX(Attendance!$B$7:$AV$206,0,att_offset),"1"),IF(ev_split="Equal Split",ev_cost/MAX(1,COUNTA(Roster!$A$5:$A$204)),ev_cost/MAX(1,attendees))),"N/A"))</f>
        <v/>
      </c>
      <c r="K853" s="5"/>
      <c r="L853" s="5"/>
      <c r="M853" s="5"/>
      <c r="N853" s="5"/>
      <c r="O853" s="5"/>
      <c r="P853" s="5"/>
      <c r="Q853" s="5"/>
      <c r="R853" s="5"/>
      <c r="S853" s="5"/>
      <c r="T853" s="5"/>
      <c r="U853" s="5"/>
      <c r="V853" s="5"/>
      <c r="W853" s="5"/>
      <c r="X853" s="5"/>
      <c r="Y853" s="5"/>
      <c r="Z853" s="5"/>
    </row>
    <row r="854" ht="19.5" customHeight="1">
      <c r="A854" s="52"/>
      <c r="B854" s="53"/>
      <c r="C854" s="53"/>
      <c r="D854" s="53"/>
      <c r="E854" s="53"/>
      <c r="F854" s="61"/>
      <c r="G854" s="53"/>
      <c r="H854" s="53"/>
      <c r="I854" s="53"/>
      <c r="J854" s="48" t="str">
        <f t="array" ref="J854">IF(G854="","",IFERROR(LET(ev_cost,INDEX(Events!$G$5:$G$505,MATCH(G854,Events!$A$5:$A$505,0)),ev_split,INDEX(Events!$I$5:$I$505,MATCH(G854,Events!$A$5:$A$505,0)),att_offset,MATCH(G854,Attendance!$B$3:$AV$3,0),attendees,COUNTIF(INDEX(Attendance!$B$7:$AV$206,0,att_offset),"1"),IF(ev_split="Equal Split",ev_cost/MAX(1,COUNTA(Roster!$A$5:$A$204)),ev_cost/MAX(1,attendees))),"N/A"))</f>
        <v/>
      </c>
      <c r="K854" s="5"/>
      <c r="L854" s="5"/>
      <c r="M854" s="5"/>
      <c r="N854" s="5"/>
      <c r="O854" s="5"/>
      <c r="P854" s="5"/>
      <c r="Q854" s="5"/>
      <c r="R854" s="5"/>
      <c r="S854" s="5"/>
      <c r="T854" s="5"/>
      <c r="U854" s="5"/>
      <c r="V854" s="5"/>
      <c r="W854" s="5"/>
      <c r="X854" s="5"/>
      <c r="Y854" s="5"/>
      <c r="Z854" s="5"/>
    </row>
    <row r="855" ht="19.5" customHeight="1">
      <c r="A855" s="49"/>
      <c r="B855" s="50"/>
      <c r="C855" s="50"/>
      <c r="D855" s="50"/>
      <c r="E855" s="50"/>
      <c r="F855" s="51"/>
      <c r="G855" s="50"/>
      <c r="H855" s="50"/>
      <c r="I855" s="50"/>
      <c r="J855" s="48" t="str">
        <f t="array" ref="J855">IF(G855="","",IFERROR(LET(ev_cost,INDEX(Events!$G$5:$G$505,MATCH(G855,Events!$A$5:$A$505,0)),ev_split,INDEX(Events!$I$5:$I$505,MATCH(G855,Events!$A$5:$A$505,0)),att_offset,MATCH(G855,Attendance!$B$3:$AV$3,0),attendees,COUNTIF(INDEX(Attendance!$B$7:$AV$206,0,att_offset),"1"),IF(ev_split="Equal Split",ev_cost/MAX(1,COUNTA(Roster!$A$5:$A$204)),ev_cost/MAX(1,attendees))),"N/A"))</f>
        <v/>
      </c>
      <c r="K855" s="5"/>
      <c r="L855" s="5"/>
      <c r="M855" s="5"/>
      <c r="N855" s="5"/>
      <c r="O855" s="5"/>
      <c r="P855" s="5"/>
      <c r="Q855" s="5"/>
      <c r="R855" s="5"/>
      <c r="S855" s="5"/>
      <c r="T855" s="5"/>
      <c r="U855" s="5"/>
      <c r="V855" s="5"/>
      <c r="W855" s="5"/>
      <c r="X855" s="5"/>
      <c r="Y855" s="5"/>
      <c r="Z855" s="5"/>
    </row>
    <row r="856" ht="19.5" customHeight="1">
      <c r="A856" s="52"/>
      <c r="B856" s="53"/>
      <c r="C856" s="53"/>
      <c r="D856" s="53"/>
      <c r="E856" s="53"/>
      <c r="F856" s="61"/>
      <c r="G856" s="53"/>
      <c r="H856" s="53"/>
      <c r="I856" s="53"/>
      <c r="J856" s="48" t="str">
        <f t="array" ref="J856">IF(G856="","",IFERROR(LET(ev_cost,INDEX(Events!$G$5:$G$505,MATCH(G856,Events!$A$5:$A$505,0)),ev_split,INDEX(Events!$I$5:$I$505,MATCH(G856,Events!$A$5:$A$505,0)),att_offset,MATCH(G856,Attendance!$B$3:$AV$3,0),attendees,COUNTIF(INDEX(Attendance!$B$7:$AV$206,0,att_offset),"1"),IF(ev_split="Equal Split",ev_cost/MAX(1,COUNTA(Roster!$A$5:$A$204)),ev_cost/MAX(1,attendees))),"N/A"))</f>
        <v/>
      </c>
      <c r="K856" s="5"/>
      <c r="L856" s="5"/>
      <c r="M856" s="5"/>
      <c r="N856" s="5"/>
      <c r="O856" s="5"/>
      <c r="P856" s="5"/>
      <c r="Q856" s="5"/>
      <c r="R856" s="5"/>
      <c r="S856" s="5"/>
      <c r="T856" s="5"/>
      <c r="U856" s="5"/>
      <c r="V856" s="5"/>
      <c r="W856" s="5"/>
      <c r="X856" s="5"/>
      <c r="Y856" s="5"/>
      <c r="Z856" s="5"/>
    </row>
    <row r="857" ht="19.5" customHeight="1">
      <c r="A857" s="49"/>
      <c r="B857" s="50"/>
      <c r="C857" s="50"/>
      <c r="D857" s="50"/>
      <c r="E857" s="50"/>
      <c r="F857" s="51"/>
      <c r="G857" s="50"/>
      <c r="H857" s="50"/>
      <c r="I857" s="50"/>
      <c r="J857" s="48" t="str">
        <f t="array" ref="J857">IF(G857="","",IFERROR(LET(ev_cost,INDEX(Events!$G$5:$G$505,MATCH(G857,Events!$A$5:$A$505,0)),ev_split,INDEX(Events!$I$5:$I$505,MATCH(G857,Events!$A$5:$A$505,0)),att_offset,MATCH(G857,Attendance!$B$3:$AV$3,0),attendees,COUNTIF(INDEX(Attendance!$B$7:$AV$206,0,att_offset),"1"),IF(ev_split="Equal Split",ev_cost/MAX(1,COUNTA(Roster!$A$5:$A$204)),ev_cost/MAX(1,attendees))),"N/A"))</f>
        <v/>
      </c>
      <c r="K857" s="5"/>
      <c r="L857" s="5"/>
      <c r="M857" s="5"/>
      <c r="N857" s="5"/>
      <c r="O857" s="5"/>
      <c r="P857" s="5"/>
      <c r="Q857" s="5"/>
      <c r="R857" s="5"/>
      <c r="S857" s="5"/>
      <c r="T857" s="5"/>
      <c r="U857" s="5"/>
      <c r="V857" s="5"/>
      <c r="W857" s="5"/>
      <c r="X857" s="5"/>
      <c r="Y857" s="5"/>
      <c r="Z857" s="5"/>
    </row>
    <row r="858" ht="19.5" customHeight="1">
      <c r="A858" s="52"/>
      <c r="B858" s="53"/>
      <c r="C858" s="53"/>
      <c r="D858" s="53"/>
      <c r="E858" s="53"/>
      <c r="F858" s="61"/>
      <c r="G858" s="53"/>
      <c r="H858" s="53"/>
      <c r="I858" s="53"/>
      <c r="J858" s="48" t="str">
        <f t="array" ref="J858">IF(G858="","",IFERROR(LET(ev_cost,INDEX(Events!$G$5:$G$505,MATCH(G858,Events!$A$5:$A$505,0)),ev_split,INDEX(Events!$I$5:$I$505,MATCH(G858,Events!$A$5:$A$505,0)),att_offset,MATCH(G858,Attendance!$B$3:$AV$3,0),attendees,COUNTIF(INDEX(Attendance!$B$7:$AV$206,0,att_offset),"1"),IF(ev_split="Equal Split",ev_cost/MAX(1,COUNTA(Roster!$A$5:$A$204)),ev_cost/MAX(1,attendees))),"N/A"))</f>
        <v/>
      </c>
      <c r="K858" s="5"/>
      <c r="L858" s="5"/>
      <c r="M858" s="5"/>
      <c r="N858" s="5"/>
      <c r="O858" s="5"/>
      <c r="P858" s="5"/>
      <c r="Q858" s="5"/>
      <c r="R858" s="5"/>
      <c r="S858" s="5"/>
      <c r="T858" s="5"/>
      <c r="U858" s="5"/>
      <c r="V858" s="5"/>
      <c r="W858" s="5"/>
      <c r="X858" s="5"/>
      <c r="Y858" s="5"/>
      <c r="Z858" s="5"/>
    </row>
    <row r="859" ht="19.5" customHeight="1">
      <c r="A859" s="49"/>
      <c r="B859" s="50"/>
      <c r="C859" s="50"/>
      <c r="D859" s="50"/>
      <c r="E859" s="50"/>
      <c r="F859" s="51"/>
      <c r="G859" s="50"/>
      <c r="H859" s="50"/>
      <c r="I859" s="50"/>
      <c r="J859" s="48" t="str">
        <f t="array" ref="J859">IF(G859="","",IFERROR(LET(ev_cost,INDEX(Events!$G$5:$G$505,MATCH(G859,Events!$A$5:$A$505,0)),ev_split,INDEX(Events!$I$5:$I$505,MATCH(G859,Events!$A$5:$A$505,0)),att_offset,MATCH(G859,Attendance!$B$3:$AV$3,0),attendees,COUNTIF(INDEX(Attendance!$B$7:$AV$206,0,att_offset),"1"),IF(ev_split="Equal Split",ev_cost/MAX(1,COUNTA(Roster!$A$5:$A$204)),ev_cost/MAX(1,attendees))),"N/A"))</f>
        <v/>
      </c>
      <c r="K859" s="5"/>
      <c r="L859" s="5"/>
      <c r="M859" s="5"/>
      <c r="N859" s="5"/>
      <c r="O859" s="5"/>
      <c r="P859" s="5"/>
      <c r="Q859" s="5"/>
      <c r="R859" s="5"/>
      <c r="S859" s="5"/>
      <c r="T859" s="5"/>
      <c r="U859" s="5"/>
      <c r="V859" s="5"/>
      <c r="W859" s="5"/>
      <c r="X859" s="5"/>
      <c r="Y859" s="5"/>
      <c r="Z859" s="5"/>
    </row>
    <row r="860" ht="19.5" customHeight="1">
      <c r="A860" s="52"/>
      <c r="B860" s="53"/>
      <c r="C860" s="53"/>
      <c r="D860" s="53"/>
      <c r="E860" s="53"/>
      <c r="F860" s="61"/>
      <c r="G860" s="53"/>
      <c r="H860" s="53"/>
      <c r="I860" s="53"/>
      <c r="J860" s="48" t="str">
        <f t="array" ref="J860">IF(G860="","",IFERROR(LET(ev_cost,INDEX(Events!$G$5:$G$505,MATCH(G860,Events!$A$5:$A$505,0)),ev_split,INDEX(Events!$I$5:$I$505,MATCH(G860,Events!$A$5:$A$505,0)),att_offset,MATCH(G860,Attendance!$B$3:$AV$3,0),attendees,COUNTIF(INDEX(Attendance!$B$7:$AV$206,0,att_offset),"1"),IF(ev_split="Equal Split",ev_cost/MAX(1,COUNTA(Roster!$A$5:$A$204)),ev_cost/MAX(1,attendees))),"N/A"))</f>
        <v/>
      </c>
      <c r="K860" s="5"/>
      <c r="L860" s="5"/>
      <c r="M860" s="5"/>
      <c r="N860" s="5"/>
      <c r="O860" s="5"/>
      <c r="P860" s="5"/>
      <c r="Q860" s="5"/>
      <c r="R860" s="5"/>
      <c r="S860" s="5"/>
      <c r="T860" s="5"/>
      <c r="U860" s="5"/>
      <c r="V860" s="5"/>
      <c r="W860" s="5"/>
      <c r="X860" s="5"/>
      <c r="Y860" s="5"/>
      <c r="Z860" s="5"/>
    </row>
    <row r="861" ht="19.5" customHeight="1">
      <c r="A861" s="49"/>
      <c r="B861" s="50"/>
      <c r="C861" s="50"/>
      <c r="D861" s="50"/>
      <c r="E861" s="50"/>
      <c r="F861" s="51"/>
      <c r="G861" s="50"/>
      <c r="H861" s="50"/>
      <c r="I861" s="50"/>
      <c r="J861" s="48" t="str">
        <f t="array" ref="J861">IF(G861="","",IFERROR(LET(ev_cost,INDEX(Events!$G$5:$G$505,MATCH(G861,Events!$A$5:$A$505,0)),ev_split,INDEX(Events!$I$5:$I$505,MATCH(G861,Events!$A$5:$A$505,0)),att_offset,MATCH(G861,Attendance!$B$3:$AV$3,0),attendees,COUNTIF(INDEX(Attendance!$B$7:$AV$206,0,att_offset),"1"),IF(ev_split="Equal Split",ev_cost/MAX(1,COUNTA(Roster!$A$5:$A$204)),ev_cost/MAX(1,attendees))),"N/A"))</f>
        <v/>
      </c>
      <c r="K861" s="5"/>
      <c r="L861" s="5"/>
      <c r="M861" s="5"/>
      <c r="N861" s="5"/>
      <c r="O861" s="5"/>
      <c r="P861" s="5"/>
      <c r="Q861" s="5"/>
      <c r="R861" s="5"/>
      <c r="S861" s="5"/>
      <c r="T861" s="5"/>
      <c r="U861" s="5"/>
      <c r="V861" s="5"/>
      <c r="W861" s="5"/>
      <c r="X861" s="5"/>
      <c r="Y861" s="5"/>
      <c r="Z861" s="5"/>
    </row>
    <row r="862" ht="19.5" customHeight="1">
      <c r="A862" s="52"/>
      <c r="B862" s="53"/>
      <c r="C862" s="53"/>
      <c r="D862" s="53"/>
      <c r="E862" s="53"/>
      <c r="F862" s="61"/>
      <c r="G862" s="53"/>
      <c r="H862" s="53"/>
      <c r="I862" s="53"/>
      <c r="J862" s="48" t="str">
        <f t="array" ref="J862">IF(G862="","",IFERROR(LET(ev_cost,INDEX(Events!$G$5:$G$505,MATCH(G862,Events!$A$5:$A$505,0)),ev_split,INDEX(Events!$I$5:$I$505,MATCH(G862,Events!$A$5:$A$505,0)),att_offset,MATCH(G862,Attendance!$B$3:$AV$3,0),attendees,COUNTIF(INDEX(Attendance!$B$7:$AV$206,0,att_offset),"1"),IF(ev_split="Equal Split",ev_cost/MAX(1,COUNTA(Roster!$A$5:$A$204)),ev_cost/MAX(1,attendees))),"N/A"))</f>
        <v/>
      </c>
      <c r="K862" s="5"/>
      <c r="L862" s="5"/>
      <c r="M862" s="5"/>
      <c r="N862" s="5"/>
      <c r="O862" s="5"/>
      <c r="P862" s="5"/>
      <c r="Q862" s="5"/>
      <c r="R862" s="5"/>
      <c r="S862" s="5"/>
      <c r="T862" s="5"/>
      <c r="U862" s="5"/>
      <c r="V862" s="5"/>
      <c r="W862" s="5"/>
      <c r="X862" s="5"/>
      <c r="Y862" s="5"/>
      <c r="Z862" s="5"/>
    </row>
    <row r="863" ht="19.5" customHeight="1">
      <c r="A863" s="49"/>
      <c r="B863" s="50"/>
      <c r="C863" s="50"/>
      <c r="D863" s="50"/>
      <c r="E863" s="50"/>
      <c r="F863" s="51"/>
      <c r="G863" s="50"/>
      <c r="H863" s="50"/>
      <c r="I863" s="50"/>
      <c r="J863" s="48" t="str">
        <f t="array" ref="J863">IF(G863="","",IFERROR(LET(ev_cost,INDEX(Events!$G$5:$G$505,MATCH(G863,Events!$A$5:$A$505,0)),ev_split,INDEX(Events!$I$5:$I$505,MATCH(G863,Events!$A$5:$A$505,0)),att_offset,MATCH(G863,Attendance!$B$3:$AV$3,0),attendees,COUNTIF(INDEX(Attendance!$B$7:$AV$206,0,att_offset),"1"),IF(ev_split="Equal Split",ev_cost/MAX(1,COUNTA(Roster!$A$5:$A$204)),ev_cost/MAX(1,attendees))),"N/A"))</f>
        <v/>
      </c>
      <c r="K863" s="5"/>
      <c r="L863" s="5"/>
      <c r="M863" s="5"/>
      <c r="N863" s="5"/>
      <c r="O863" s="5"/>
      <c r="P863" s="5"/>
      <c r="Q863" s="5"/>
      <c r="R863" s="5"/>
      <c r="S863" s="5"/>
      <c r="T863" s="5"/>
      <c r="U863" s="5"/>
      <c r="V863" s="5"/>
      <c r="W863" s="5"/>
      <c r="X863" s="5"/>
      <c r="Y863" s="5"/>
      <c r="Z863" s="5"/>
    </row>
    <row r="864" ht="19.5" customHeight="1">
      <c r="A864" s="52"/>
      <c r="B864" s="53"/>
      <c r="C864" s="53"/>
      <c r="D864" s="53"/>
      <c r="E864" s="53"/>
      <c r="F864" s="61"/>
      <c r="G864" s="53"/>
      <c r="H864" s="53"/>
      <c r="I864" s="53"/>
      <c r="J864" s="48" t="str">
        <f t="array" ref="J864">IF(G864="","",IFERROR(LET(ev_cost,INDEX(Events!$G$5:$G$505,MATCH(G864,Events!$A$5:$A$505,0)),ev_split,INDEX(Events!$I$5:$I$505,MATCH(G864,Events!$A$5:$A$505,0)),att_offset,MATCH(G864,Attendance!$B$3:$AV$3,0),attendees,COUNTIF(INDEX(Attendance!$B$7:$AV$206,0,att_offset),"1"),IF(ev_split="Equal Split",ev_cost/MAX(1,COUNTA(Roster!$A$5:$A$204)),ev_cost/MAX(1,attendees))),"N/A"))</f>
        <v/>
      </c>
      <c r="K864" s="5"/>
      <c r="L864" s="5"/>
      <c r="M864" s="5"/>
      <c r="N864" s="5"/>
      <c r="O864" s="5"/>
      <c r="P864" s="5"/>
      <c r="Q864" s="5"/>
      <c r="R864" s="5"/>
      <c r="S864" s="5"/>
      <c r="T864" s="5"/>
      <c r="U864" s="5"/>
      <c r="V864" s="5"/>
      <c r="W864" s="5"/>
      <c r="X864" s="5"/>
      <c r="Y864" s="5"/>
      <c r="Z864" s="5"/>
    </row>
    <row r="865" ht="19.5" customHeight="1">
      <c r="A865" s="49"/>
      <c r="B865" s="50"/>
      <c r="C865" s="50"/>
      <c r="D865" s="50"/>
      <c r="E865" s="50"/>
      <c r="F865" s="51"/>
      <c r="G865" s="50"/>
      <c r="H865" s="50"/>
      <c r="I865" s="50"/>
      <c r="J865" s="48" t="str">
        <f t="array" ref="J865">IF(G865="","",IFERROR(LET(ev_cost,INDEX(Events!$G$5:$G$505,MATCH(G865,Events!$A$5:$A$505,0)),ev_split,INDEX(Events!$I$5:$I$505,MATCH(G865,Events!$A$5:$A$505,0)),att_offset,MATCH(G865,Attendance!$B$3:$AV$3,0),attendees,COUNTIF(INDEX(Attendance!$B$7:$AV$206,0,att_offset),"1"),IF(ev_split="Equal Split",ev_cost/MAX(1,COUNTA(Roster!$A$5:$A$204)),ev_cost/MAX(1,attendees))),"N/A"))</f>
        <v/>
      </c>
      <c r="K865" s="5"/>
      <c r="L865" s="5"/>
      <c r="M865" s="5"/>
      <c r="N865" s="5"/>
      <c r="O865" s="5"/>
      <c r="P865" s="5"/>
      <c r="Q865" s="5"/>
      <c r="R865" s="5"/>
      <c r="S865" s="5"/>
      <c r="T865" s="5"/>
      <c r="U865" s="5"/>
      <c r="V865" s="5"/>
      <c r="W865" s="5"/>
      <c r="X865" s="5"/>
      <c r="Y865" s="5"/>
      <c r="Z865" s="5"/>
    </row>
    <row r="866" ht="19.5" customHeight="1">
      <c r="A866" s="52"/>
      <c r="B866" s="53"/>
      <c r="C866" s="53"/>
      <c r="D866" s="53"/>
      <c r="E866" s="53"/>
      <c r="F866" s="61"/>
      <c r="G866" s="53"/>
      <c r="H866" s="53"/>
      <c r="I866" s="53"/>
      <c r="J866" s="48" t="str">
        <f t="array" ref="J866">IF(G866="","",IFERROR(LET(ev_cost,INDEX(Events!$G$5:$G$505,MATCH(G866,Events!$A$5:$A$505,0)),ev_split,INDEX(Events!$I$5:$I$505,MATCH(G866,Events!$A$5:$A$505,0)),att_offset,MATCH(G866,Attendance!$B$3:$AV$3,0),attendees,COUNTIF(INDEX(Attendance!$B$7:$AV$206,0,att_offset),"1"),IF(ev_split="Equal Split",ev_cost/MAX(1,COUNTA(Roster!$A$5:$A$204)),ev_cost/MAX(1,attendees))),"N/A"))</f>
        <v/>
      </c>
      <c r="K866" s="5"/>
      <c r="L866" s="5"/>
      <c r="M866" s="5"/>
      <c r="N866" s="5"/>
      <c r="O866" s="5"/>
      <c r="P866" s="5"/>
      <c r="Q866" s="5"/>
      <c r="R866" s="5"/>
      <c r="S866" s="5"/>
      <c r="T866" s="5"/>
      <c r="U866" s="5"/>
      <c r="V866" s="5"/>
      <c r="W866" s="5"/>
      <c r="X866" s="5"/>
      <c r="Y866" s="5"/>
      <c r="Z866" s="5"/>
    </row>
    <row r="867" ht="19.5" customHeight="1">
      <c r="A867" s="49"/>
      <c r="B867" s="50"/>
      <c r="C867" s="50"/>
      <c r="D867" s="50"/>
      <c r="E867" s="50"/>
      <c r="F867" s="51"/>
      <c r="G867" s="50"/>
      <c r="H867" s="50"/>
      <c r="I867" s="50"/>
      <c r="J867" s="48" t="str">
        <f t="array" ref="J867">IF(G867="","",IFERROR(LET(ev_cost,INDEX(Events!$G$5:$G$505,MATCH(G867,Events!$A$5:$A$505,0)),ev_split,INDEX(Events!$I$5:$I$505,MATCH(G867,Events!$A$5:$A$505,0)),att_offset,MATCH(G867,Attendance!$B$3:$AV$3,0),attendees,COUNTIF(INDEX(Attendance!$B$7:$AV$206,0,att_offset),"1"),IF(ev_split="Equal Split",ev_cost/MAX(1,COUNTA(Roster!$A$5:$A$204)),ev_cost/MAX(1,attendees))),"N/A"))</f>
        <v/>
      </c>
      <c r="K867" s="5"/>
      <c r="L867" s="5"/>
      <c r="M867" s="5"/>
      <c r="N867" s="5"/>
      <c r="O867" s="5"/>
      <c r="P867" s="5"/>
      <c r="Q867" s="5"/>
      <c r="R867" s="5"/>
      <c r="S867" s="5"/>
      <c r="T867" s="5"/>
      <c r="U867" s="5"/>
      <c r="V867" s="5"/>
      <c r="W867" s="5"/>
      <c r="X867" s="5"/>
      <c r="Y867" s="5"/>
      <c r="Z867" s="5"/>
    </row>
    <row r="868" ht="19.5" customHeight="1">
      <c r="A868" s="52"/>
      <c r="B868" s="53"/>
      <c r="C868" s="53"/>
      <c r="D868" s="53"/>
      <c r="E868" s="53"/>
      <c r="F868" s="61"/>
      <c r="G868" s="53"/>
      <c r="H868" s="53"/>
      <c r="I868" s="53"/>
      <c r="J868" s="48" t="str">
        <f t="array" ref="J868">IF(G868="","",IFERROR(LET(ev_cost,INDEX(Events!$G$5:$G$505,MATCH(G868,Events!$A$5:$A$505,0)),ev_split,INDEX(Events!$I$5:$I$505,MATCH(G868,Events!$A$5:$A$505,0)),att_offset,MATCH(G868,Attendance!$B$3:$AV$3,0),attendees,COUNTIF(INDEX(Attendance!$B$7:$AV$206,0,att_offset),"1"),IF(ev_split="Equal Split",ev_cost/MAX(1,COUNTA(Roster!$A$5:$A$204)),ev_cost/MAX(1,attendees))),"N/A"))</f>
        <v/>
      </c>
      <c r="K868" s="5"/>
      <c r="L868" s="5"/>
      <c r="M868" s="5"/>
      <c r="N868" s="5"/>
      <c r="O868" s="5"/>
      <c r="P868" s="5"/>
      <c r="Q868" s="5"/>
      <c r="R868" s="5"/>
      <c r="S868" s="5"/>
      <c r="T868" s="5"/>
      <c r="U868" s="5"/>
      <c r="V868" s="5"/>
      <c r="W868" s="5"/>
      <c r="X868" s="5"/>
      <c r="Y868" s="5"/>
      <c r="Z868" s="5"/>
    </row>
    <row r="869" ht="19.5" customHeight="1">
      <c r="A869" s="49"/>
      <c r="B869" s="50"/>
      <c r="C869" s="50"/>
      <c r="D869" s="50"/>
      <c r="E869" s="50"/>
      <c r="F869" s="51"/>
      <c r="G869" s="50"/>
      <c r="H869" s="50"/>
      <c r="I869" s="50"/>
      <c r="J869" s="48" t="str">
        <f t="array" ref="J869">IF(G869="","",IFERROR(LET(ev_cost,INDEX(Events!$G$5:$G$505,MATCH(G869,Events!$A$5:$A$505,0)),ev_split,INDEX(Events!$I$5:$I$505,MATCH(G869,Events!$A$5:$A$505,0)),att_offset,MATCH(G869,Attendance!$B$3:$AV$3,0),attendees,COUNTIF(INDEX(Attendance!$B$7:$AV$206,0,att_offset),"1"),IF(ev_split="Equal Split",ev_cost/MAX(1,COUNTA(Roster!$A$5:$A$204)),ev_cost/MAX(1,attendees))),"N/A"))</f>
        <v/>
      </c>
      <c r="K869" s="5"/>
      <c r="L869" s="5"/>
      <c r="M869" s="5"/>
      <c r="N869" s="5"/>
      <c r="O869" s="5"/>
      <c r="P869" s="5"/>
      <c r="Q869" s="5"/>
      <c r="R869" s="5"/>
      <c r="S869" s="5"/>
      <c r="T869" s="5"/>
      <c r="U869" s="5"/>
      <c r="V869" s="5"/>
      <c r="W869" s="5"/>
      <c r="X869" s="5"/>
      <c r="Y869" s="5"/>
      <c r="Z869" s="5"/>
    </row>
    <row r="870" ht="19.5" customHeight="1">
      <c r="A870" s="52"/>
      <c r="B870" s="53"/>
      <c r="C870" s="53"/>
      <c r="D870" s="53"/>
      <c r="E870" s="53"/>
      <c r="F870" s="61"/>
      <c r="G870" s="53"/>
      <c r="H870" s="53"/>
      <c r="I870" s="53"/>
      <c r="J870" s="48" t="str">
        <f t="array" ref="J870">IF(G870="","",IFERROR(LET(ev_cost,INDEX(Events!$G$5:$G$505,MATCH(G870,Events!$A$5:$A$505,0)),ev_split,INDEX(Events!$I$5:$I$505,MATCH(G870,Events!$A$5:$A$505,0)),att_offset,MATCH(G870,Attendance!$B$3:$AV$3,0),attendees,COUNTIF(INDEX(Attendance!$B$7:$AV$206,0,att_offset),"1"),IF(ev_split="Equal Split",ev_cost/MAX(1,COUNTA(Roster!$A$5:$A$204)),ev_cost/MAX(1,attendees))),"N/A"))</f>
        <v/>
      </c>
      <c r="K870" s="5"/>
      <c r="L870" s="5"/>
      <c r="M870" s="5"/>
      <c r="N870" s="5"/>
      <c r="O870" s="5"/>
      <c r="P870" s="5"/>
      <c r="Q870" s="5"/>
      <c r="R870" s="5"/>
      <c r="S870" s="5"/>
      <c r="T870" s="5"/>
      <c r="U870" s="5"/>
      <c r="V870" s="5"/>
      <c r="W870" s="5"/>
      <c r="X870" s="5"/>
      <c r="Y870" s="5"/>
      <c r="Z870" s="5"/>
    </row>
    <row r="871" ht="19.5" customHeight="1">
      <c r="A871" s="49"/>
      <c r="B871" s="50"/>
      <c r="C871" s="50"/>
      <c r="D871" s="50"/>
      <c r="E871" s="50"/>
      <c r="F871" s="51"/>
      <c r="G871" s="50"/>
      <c r="H871" s="50"/>
      <c r="I871" s="50"/>
      <c r="J871" s="48" t="str">
        <f t="array" ref="J871">IF(G871="","",IFERROR(LET(ev_cost,INDEX(Events!$G$5:$G$505,MATCH(G871,Events!$A$5:$A$505,0)),ev_split,INDEX(Events!$I$5:$I$505,MATCH(G871,Events!$A$5:$A$505,0)),att_offset,MATCH(G871,Attendance!$B$3:$AV$3,0),attendees,COUNTIF(INDEX(Attendance!$B$7:$AV$206,0,att_offset),"1"),IF(ev_split="Equal Split",ev_cost/MAX(1,COUNTA(Roster!$A$5:$A$204)),ev_cost/MAX(1,attendees))),"N/A"))</f>
        <v/>
      </c>
      <c r="K871" s="5"/>
      <c r="L871" s="5"/>
      <c r="M871" s="5"/>
      <c r="N871" s="5"/>
      <c r="O871" s="5"/>
      <c r="P871" s="5"/>
      <c r="Q871" s="5"/>
      <c r="R871" s="5"/>
      <c r="S871" s="5"/>
      <c r="T871" s="5"/>
      <c r="U871" s="5"/>
      <c r="V871" s="5"/>
      <c r="W871" s="5"/>
      <c r="X871" s="5"/>
      <c r="Y871" s="5"/>
      <c r="Z871" s="5"/>
    </row>
    <row r="872" ht="19.5" customHeight="1">
      <c r="A872" s="52"/>
      <c r="B872" s="53"/>
      <c r="C872" s="53"/>
      <c r="D872" s="53"/>
      <c r="E872" s="53"/>
      <c r="F872" s="61"/>
      <c r="G872" s="53"/>
      <c r="H872" s="53"/>
      <c r="I872" s="53"/>
      <c r="J872" s="48" t="str">
        <f t="array" ref="J872">IF(G872="","",IFERROR(LET(ev_cost,INDEX(Events!$G$5:$G$505,MATCH(G872,Events!$A$5:$A$505,0)),ev_split,INDEX(Events!$I$5:$I$505,MATCH(G872,Events!$A$5:$A$505,0)),att_offset,MATCH(G872,Attendance!$B$3:$AV$3,0),attendees,COUNTIF(INDEX(Attendance!$B$7:$AV$206,0,att_offset),"1"),IF(ev_split="Equal Split",ev_cost/MAX(1,COUNTA(Roster!$A$5:$A$204)),ev_cost/MAX(1,attendees))),"N/A"))</f>
        <v/>
      </c>
      <c r="K872" s="5"/>
      <c r="L872" s="5"/>
      <c r="M872" s="5"/>
      <c r="N872" s="5"/>
      <c r="O872" s="5"/>
      <c r="P872" s="5"/>
      <c r="Q872" s="5"/>
      <c r="R872" s="5"/>
      <c r="S872" s="5"/>
      <c r="T872" s="5"/>
      <c r="U872" s="5"/>
      <c r="V872" s="5"/>
      <c r="W872" s="5"/>
      <c r="X872" s="5"/>
      <c r="Y872" s="5"/>
      <c r="Z872" s="5"/>
    </row>
    <row r="873" ht="19.5" customHeight="1">
      <c r="A873" s="49"/>
      <c r="B873" s="50"/>
      <c r="C873" s="50"/>
      <c r="D873" s="50"/>
      <c r="E873" s="50"/>
      <c r="F873" s="51"/>
      <c r="G873" s="50"/>
      <c r="H873" s="50"/>
      <c r="I873" s="50"/>
      <c r="J873" s="48" t="str">
        <f t="array" ref="J873">IF(G873="","",IFERROR(LET(ev_cost,INDEX(Events!$G$5:$G$505,MATCH(G873,Events!$A$5:$A$505,0)),ev_split,INDEX(Events!$I$5:$I$505,MATCH(G873,Events!$A$5:$A$505,0)),att_offset,MATCH(G873,Attendance!$B$3:$AV$3,0),attendees,COUNTIF(INDEX(Attendance!$B$7:$AV$206,0,att_offset),"1"),IF(ev_split="Equal Split",ev_cost/MAX(1,COUNTA(Roster!$A$5:$A$204)),ev_cost/MAX(1,attendees))),"N/A"))</f>
        <v/>
      </c>
      <c r="K873" s="5"/>
      <c r="L873" s="5"/>
      <c r="M873" s="5"/>
      <c r="N873" s="5"/>
      <c r="O873" s="5"/>
      <c r="P873" s="5"/>
      <c r="Q873" s="5"/>
      <c r="R873" s="5"/>
      <c r="S873" s="5"/>
      <c r="T873" s="5"/>
      <c r="U873" s="5"/>
      <c r="V873" s="5"/>
      <c r="W873" s="5"/>
      <c r="X873" s="5"/>
      <c r="Y873" s="5"/>
      <c r="Z873" s="5"/>
    </row>
    <row r="874" ht="19.5" customHeight="1">
      <c r="A874" s="52"/>
      <c r="B874" s="53"/>
      <c r="C874" s="53"/>
      <c r="D874" s="53"/>
      <c r="E874" s="53"/>
      <c r="F874" s="61"/>
      <c r="G874" s="53"/>
      <c r="H874" s="53"/>
      <c r="I874" s="53"/>
      <c r="J874" s="48" t="str">
        <f t="array" ref="J874">IF(G874="","",IFERROR(LET(ev_cost,INDEX(Events!$G$5:$G$505,MATCH(G874,Events!$A$5:$A$505,0)),ev_split,INDEX(Events!$I$5:$I$505,MATCH(G874,Events!$A$5:$A$505,0)),att_offset,MATCH(G874,Attendance!$B$3:$AV$3,0),attendees,COUNTIF(INDEX(Attendance!$B$7:$AV$206,0,att_offset),"1"),IF(ev_split="Equal Split",ev_cost/MAX(1,COUNTA(Roster!$A$5:$A$204)),ev_cost/MAX(1,attendees))),"N/A"))</f>
        <v/>
      </c>
      <c r="K874" s="5"/>
      <c r="L874" s="5"/>
      <c r="M874" s="5"/>
      <c r="N874" s="5"/>
      <c r="O874" s="5"/>
      <c r="P874" s="5"/>
      <c r="Q874" s="5"/>
      <c r="R874" s="5"/>
      <c r="S874" s="5"/>
      <c r="T874" s="5"/>
      <c r="U874" s="5"/>
      <c r="V874" s="5"/>
      <c r="W874" s="5"/>
      <c r="X874" s="5"/>
      <c r="Y874" s="5"/>
      <c r="Z874" s="5"/>
    </row>
    <row r="875" ht="19.5" customHeight="1">
      <c r="A875" s="49"/>
      <c r="B875" s="50"/>
      <c r="C875" s="50"/>
      <c r="D875" s="50"/>
      <c r="E875" s="50"/>
      <c r="F875" s="51"/>
      <c r="G875" s="50"/>
      <c r="H875" s="50"/>
      <c r="I875" s="50"/>
      <c r="J875" s="48" t="str">
        <f t="array" ref="J875">IF(G875="","",IFERROR(LET(ev_cost,INDEX(Events!$G$5:$G$505,MATCH(G875,Events!$A$5:$A$505,0)),ev_split,INDEX(Events!$I$5:$I$505,MATCH(G875,Events!$A$5:$A$505,0)),att_offset,MATCH(G875,Attendance!$B$3:$AV$3,0),attendees,COUNTIF(INDEX(Attendance!$B$7:$AV$206,0,att_offset),"1"),IF(ev_split="Equal Split",ev_cost/MAX(1,COUNTA(Roster!$A$5:$A$204)),ev_cost/MAX(1,attendees))),"N/A"))</f>
        <v/>
      </c>
      <c r="K875" s="5"/>
      <c r="L875" s="5"/>
      <c r="M875" s="5"/>
      <c r="N875" s="5"/>
      <c r="O875" s="5"/>
      <c r="P875" s="5"/>
      <c r="Q875" s="5"/>
      <c r="R875" s="5"/>
      <c r="S875" s="5"/>
      <c r="T875" s="5"/>
      <c r="U875" s="5"/>
      <c r="V875" s="5"/>
      <c r="W875" s="5"/>
      <c r="X875" s="5"/>
      <c r="Y875" s="5"/>
      <c r="Z875" s="5"/>
    </row>
    <row r="876" ht="19.5" customHeight="1">
      <c r="A876" s="52"/>
      <c r="B876" s="53"/>
      <c r="C876" s="53"/>
      <c r="D876" s="53"/>
      <c r="E876" s="53"/>
      <c r="F876" s="61"/>
      <c r="G876" s="53"/>
      <c r="H876" s="53"/>
      <c r="I876" s="53"/>
      <c r="J876" s="48" t="str">
        <f t="array" ref="J876">IF(G876="","",IFERROR(LET(ev_cost,INDEX(Events!$G$5:$G$505,MATCH(G876,Events!$A$5:$A$505,0)),ev_split,INDEX(Events!$I$5:$I$505,MATCH(G876,Events!$A$5:$A$505,0)),att_offset,MATCH(G876,Attendance!$B$3:$AV$3,0),attendees,COUNTIF(INDEX(Attendance!$B$7:$AV$206,0,att_offset),"1"),IF(ev_split="Equal Split",ev_cost/MAX(1,COUNTA(Roster!$A$5:$A$204)),ev_cost/MAX(1,attendees))),"N/A"))</f>
        <v/>
      </c>
      <c r="K876" s="5"/>
      <c r="L876" s="5"/>
      <c r="M876" s="5"/>
      <c r="N876" s="5"/>
      <c r="O876" s="5"/>
      <c r="P876" s="5"/>
      <c r="Q876" s="5"/>
      <c r="R876" s="5"/>
      <c r="S876" s="5"/>
      <c r="T876" s="5"/>
      <c r="U876" s="5"/>
      <c r="V876" s="5"/>
      <c r="W876" s="5"/>
      <c r="X876" s="5"/>
      <c r="Y876" s="5"/>
      <c r="Z876" s="5"/>
    </row>
    <row r="877" ht="19.5" customHeight="1">
      <c r="A877" s="49"/>
      <c r="B877" s="50"/>
      <c r="C877" s="50"/>
      <c r="D877" s="50"/>
      <c r="E877" s="50"/>
      <c r="F877" s="51"/>
      <c r="G877" s="50"/>
      <c r="H877" s="50"/>
      <c r="I877" s="50"/>
      <c r="J877" s="48" t="str">
        <f t="array" ref="J877">IF(G877="","",IFERROR(LET(ev_cost,INDEX(Events!$G$5:$G$505,MATCH(G877,Events!$A$5:$A$505,0)),ev_split,INDEX(Events!$I$5:$I$505,MATCH(G877,Events!$A$5:$A$505,0)),att_offset,MATCH(G877,Attendance!$B$3:$AV$3,0),attendees,COUNTIF(INDEX(Attendance!$B$7:$AV$206,0,att_offset),"1"),IF(ev_split="Equal Split",ev_cost/MAX(1,COUNTA(Roster!$A$5:$A$204)),ev_cost/MAX(1,attendees))),"N/A"))</f>
        <v/>
      </c>
      <c r="K877" s="5"/>
      <c r="L877" s="5"/>
      <c r="M877" s="5"/>
      <c r="N877" s="5"/>
      <c r="O877" s="5"/>
      <c r="P877" s="5"/>
      <c r="Q877" s="5"/>
      <c r="R877" s="5"/>
      <c r="S877" s="5"/>
      <c r="T877" s="5"/>
      <c r="U877" s="5"/>
      <c r="V877" s="5"/>
      <c r="W877" s="5"/>
      <c r="X877" s="5"/>
      <c r="Y877" s="5"/>
      <c r="Z877" s="5"/>
    </row>
    <row r="878" ht="19.5" customHeight="1">
      <c r="A878" s="52"/>
      <c r="B878" s="53"/>
      <c r="C878" s="53"/>
      <c r="D878" s="53"/>
      <c r="E878" s="53"/>
      <c r="F878" s="61"/>
      <c r="G878" s="53"/>
      <c r="H878" s="53"/>
      <c r="I878" s="53"/>
      <c r="J878" s="48" t="str">
        <f t="array" ref="J878">IF(G878="","",IFERROR(LET(ev_cost,INDEX(Events!$G$5:$G$505,MATCH(G878,Events!$A$5:$A$505,0)),ev_split,INDEX(Events!$I$5:$I$505,MATCH(G878,Events!$A$5:$A$505,0)),att_offset,MATCH(G878,Attendance!$B$3:$AV$3,0),attendees,COUNTIF(INDEX(Attendance!$B$7:$AV$206,0,att_offset),"1"),IF(ev_split="Equal Split",ev_cost/MAX(1,COUNTA(Roster!$A$5:$A$204)),ev_cost/MAX(1,attendees))),"N/A"))</f>
        <v/>
      </c>
      <c r="K878" s="5"/>
      <c r="L878" s="5"/>
      <c r="M878" s="5"/>
      <c r="N878" s="5"/>
      <c r="O878" s="5"/>
      <c r="P878" s="5"/>
      <c r="Q878" s="5"/>
      <c r="R878" s="5"/>
      <c r="S878" s="5"/>
      <c r="T878" s="5"/>
      <c r="U878" s="5"/>
      <c r="V878" s="5"/>
      <c r="W878" s="5"/>
      <c r="X878" s="5"/>
      <c r="Y878" s="5"/>
      <c r="Z878" s="5"/>
    </row>
    <row r="879" ht="19.5" customHeight="1">
      <c r="A879" s="49"/>
      <c r="B879" s="50"/>
      <c r="C879" s="50"/>
      <c r="D879" s="50"/>
      <c r="E879" s="50"/>
      <c r="F879" s="51"/>
      <c r="G879" s="50"/>
      <c r="H879" s="50"/>
      <c r="I879" s="50"/>
      <c r="J879" s="48" t="str">
        <f t="array" ref="J879">IF(G879="","",IFERROR(LET(ev_cost,INDEX(Events!$G$5:$G$505,MATCH(G879,Events!$A$5:$A$505,0)),ev_split,INDEX(Events!$I$5:$I$505,MATCH(G879,Events!$A$5:$A$505,0)),att_offset,MATCH(G879,Attendance!$B$3:$AV$3,0),attendees,COUNTIF(INDEX(Attendance!$B$7:$AV$206,0,att_offset),"1"),IF(ev_split="Equal Split",ev_cost/MAX(1,COUNTA(Roster!$A$5:$A$204)),ev_cost/MAX(1,attendees))),"N/A"))</f>
        <v/>
      </c>
      <c r="K879" s="5"/>
      <c r="L879" s="5"/>
      <c r="M879" s="5"/>
      <c r="N879" s="5"/>
      <c r="O879" s="5"/>
      <c r="P879" s="5"/>
      <c r="Q879" s="5"/>
      <c r="R879" s="5"/>
      <c r="S879" s="5"/>
      <c r="T879" s="5"/>
      <c r="U879" s="5"/>
      <c r="V879" s="5"/>
      <c r="W879" s="5"/>
      <c r="X879" s="5"/>
      <c r="Y879" s="5"/>
      <c r="Z879" s="5"/>
    </row>
    <row r="880" ht="19.5" customHeight="1">
      <c r="A880" s="52"/>
      <c r="B880" s="53"/>
      <c r="C880" s="53"/>
      <c r="D880" s="53"/>
      <c r="E880" s="53"/>
      <c r="F880" s="61"/>
      <c r="G880" s="53"/>
      <c r="H880" s="53"/>
      <c r="I880" s="53"/>
      <c r="J880" s="48" t="str">
        <f t="array" ref="J880">IF(G880="","",IFERROR(LET(ev_cost,INDEX(Events!$G$5:$G$505,MATCH(G880,Events!$A$5:$A$505,0)),ev_split,INDEX(Events!$I$5:$I$505,MATCH(G880,Events!$A$5:$A$505,0)),att_offset,MATCH(G880,Attendance!$B$3:$AV$3,0),attendees,COUNTIF(INDEX(Attendance!$B$7:$AV$206,0,att_offset),"1"),IF(ev_split="Equal Split",ev_cost/MAX(1,COUNTA(Roster!$A$5:$A$204)),ev_cost/MAX(1,attendees))),"N/A"))</f>
        <v/>
      </c>
      <c r="K880" s="5"/>
      <c r="L880" s="5"/>
      <c r="M880" s="5"/>
      <c r="N880" s="5"/>
      <c r="O880" s="5"/>
      <c r="P880" s="5"/>
      <c r="Q880" s="5"/>
      <c r="R880" s="5"/>
      <c r="S880" s="5"/>
      <c r="T880" s="5"/>
      <c r="U880" s="5"/>
      <c r="V880" s="5"/>
      <c r="W880" s="5"/>
      <c r="X880" s="5"/>
      <c r="Y880" s="5"/>
      <c r="Z880" s="5"/>
    </row>
    <row r="881" ht="19.5" customHeight="1">
      <c r="A881" s="49"/>
      <c r="B881" s="50"/>
      <c r="C881" s="50"/>
      <c r="D881" s="50"/>
      <c r="E881" s="50"/>
      <c r="F881" s="51"/>
      <c r="G881" s="50"/>
      <c r="H881" s="50"/>
      <c r="I881" s="50"/>
      <c r="J881" s="48" t="str">
        <f t="array" ref="J881">IF(G881="","",IFERROR(LET(ev_cost,INDEX(Events!$G$5:$G$505,MATCH(G881,Events!$A$5:$A$505,0)),ev_split,INDEX(Events!$I$5:$I$505,MATCH(G881,Events!$A$5:$A$505,0)),att_offset,MATCH(G881,Attendance!$B$3:$AV$3,0),attendees,COUNTIF(INDEX(Attendance!$B$7:$AV$206,0,att_offset),"1"),IF(ev_split="Equal Split",ev_cost/MAX(1,COUNTA(Roster!$A$5:$A$204)),ev_cost/MAX(1,attendees))),"N/A"))</f>
        <v/>
      </c>
      <c r="K881" s="5"/>
      <c r="L881" s="5"/>
      <c r="M881" s="5"/>
      <c r="N881" s="5"/>
      <c r="O881" s="5"/>
      <c r="P881" s="5"/>
      <c r="Q881" s="5"/>
      <c r="R881" s="5"/>
      <c r="S881" s="5"/>
      <c r="T881" s="5"/>
      <c r="U881" s="5"/>
      <c r="V881" s="5"/>
      <c r="W881" s="5"/>
      <c r="X881" s="5"/>
      <c r="Y881" s="5"/>
      <c r="Z881" s="5"/>
    </row>
    <row r="882" ht="19.5" customHeight="1">
      <c r="A882" s="52"/>
      <c r="B882" s="53"/>
      <c r="C882" s="53"/>
      <c r="D882" s="53"/>
      <c r="E882" s="53"/>
      <c r="F882" s="61"/>
      <c r="G882" s="53"/>
      <c r="H882" s="53"/>
      <c r="I882" s="53"/>
      <c r="J882" s="48" t="str">
        <f t="array" ref="J882">IF(G882="","",IFERROR(LET(ev_cost,INDEX(Events!$G$5:$G$505,MATCH(G882,Events!$A$5:$A$505,0)),ev_split,INDEX(Events!$I$5:$I$505,MATCH(G882,Events!$A$5:$A$505,0)),att_offset,MATCH(G882,Attendance!$B$3:$AV$3,0),attendees,COUNTIF(INDEX(Attendance!$B$7:$AV$206,0,att_offset),"1"),IF(ev_split="Equal Split",ev_cost/MAX(1,COUNTA(Roster!$A$5:$A$204)),ev_cost/MAX(1,attendees))),"N/A"))</f>
        <v/>
      </c>
      <c r="K882" s="5"/>
      <c r="L882" s="5"/>
      <c r="M882" s="5"/>
      <c r="N882" s="5"/>
      <c r="O882" s="5"/>
      <c r="P882" s="5"/>
      <c r="Q882" s="5"/>
      <c r="R882" s="5"/>
      <c r="S882" s="5"/>
      <c r="T882" s="5"/>
      <c r="U882" s="5"/>
      <c r="V882" s="5"/>
      <c r="W882" s="5"/>
      <c r="X882" s="5"/>
      <c r="Y882" s="5"/>
      <c r="Z882" s="5"/>
    </row>
    <row r="883" ht="19.5" customHeight="1">
      <c r="A883" s="49"/>
      <c r="B883" s="50"/>
      <c r="C883" s="50"/>
      <c r="D883" s="50"/>
      <c r="E883" s="50"/>
      <c r="F883" s="51"/>
      <c r="G883" s="50"/>
      <c r="H883" s="50"/>
      <c r="I883" s="50"/>
      <c r="J883" s="48" t="str">
        <f t="array" ref="J883">IF(G883="","",IFERROR(LET(ev_cost,INDEX(Events!$G$5:$G$505,MATCH(G883,Events!$A$5:$A$505,0)),ev_split,INDEX(Events!$I$5:$I$505,MATCH(G883,Events!$A$5:$A$505,0)),att_offset,MATCH(G883,Attendance!$B$3:$AV$3,0),attendees,COUNTIF(INDEX(Attendance!$B$7:$AV$206,0,att_offset),"1"),IF(ev_split="Equal Split",ev_cost/MAX(1,COUNTA(Roster!$A$5:$A$204)),ev_cost/MAX(1,attendees))),"N/A"))</f>
        <v/>
      </c>
      <c r="K883" s="5"/>
      <c r="L883" s="5"/>
      <c r="M883" s="5"/>
      <c r="N883" s="5"/>
      <c r="O883" s="5"/>
      <c r="P883" s="5"/>
      <c r="Q883" s="5"/>
      <c r="R883" s="5"/>
      <c r="S883" s="5"/>
      <c r="T883" s="5"/>
      <c r="U883" s="5"/>
      <c r="V883" s="5"/>
      <c r="W883" s="5"/>
      <c r="X883" s="5"/>
      <c r="Y883" s="5"/>
      <c r="Z883" s="5"/>
    </row>
    <row r="884" ht="19.5" customHeight="1">
      <c r="A884" s="52"/>
      <c r="B884" s="53"/>
      <c r="C884" s="53"/>
      <c r="D884" s="53"/>
      <c r="E884" s="53"/>
      <c r="F884" s="61"/>
      <c r="G884" s="53"/>
      <c r="H884" s="53"/>
      <c r="I884" s="53"/>
      <c r="J884" s="48" t="str">
        <f t="array" ref="J884">IF(G884="","",IFERROR(LET(ev_cost,INDEX(Events!$G$5:$G$505,MATCH(G884,Events!$A$5:$A$505,0)),ev_split,INDEX(Events!$I$5:$I$505,MATCH(G884,Events!$A$5:$A$505,0)),att_offset,MATCH(G884,Attendance!$B$3:$AV$3,0),attendees,COUNTIF(INDEX(Attendance!$B$7:$AV$206,0,att_offset),"1"),IF(ev_split="Equal Split",ev_cost/MAX(1,COUNTA(Roster!$A$5:$A$204)),ev_cost/MAX(1,attendees))),"N/A"))</f>
        <v/>
      </c>
      <c r="K884" s="5"/>
      <c r="L884" s="5"/>
      <c r="M884" s="5"/>
      <c r="N884" s="5"/>
      <c r="O884" s="5"/>
      <c r="P884" s="5"/>
      <c r="Q884" s="5"/>
      <c r="R884" s="5"/>
      <c r="S884" s="5"/>
      <c r="T884" s="5"/>
      <c r="U884" s="5"/>
      <c r="V884" s="5"/>
      <c r="W884" s="5"/>
      <c r="X884" s="5"/>
      <c r="Y884" s="5"/>
      <c r="Z884" s="5"/>
    </row>
    <row r="885" ht="19.5" customHeight="1">
      <c r="A885" s="49"/>
      <c r="B885" s="50"/>
      <c r="C885" s="50"/>
      <c r="D885" s="50"/>
      <c r="E885" s="50"/>
      <c r="F885" s="51"/>
      <c r="G885" s="50"/>
      <c r="H885" s="50"/>
      <c r="I885" s="50"/>
      <c r="J885" s="48" t="str">
        <f t="array" ref="J885">IF(G885="","",IFERROR(LET(ev_cost,INDEX(Events!$G$5:$G$505,MATCH(G885,Events!$A$5:$A$505,0)),ev_split,INDEX(Events!$I$5:$I$505,MATCH(G885,Events!$A$5:$A$505,0)),att_offset,MATCH(G885,Attendance!$B$3:$AV$3,0),attendees,COUNTIF(INDEX(Attendance!$B$7:$AV$206,0,att_offset),"1"),IF(ev_split="Equal Split",ev_cost/MAX(1,COUNTA(Roster!$A$5:$A$204)),ev_cost/MAX(1,attendees))),"N/A"))</f>
        <v/>
      </c>
      <c r="K885" s="5"/>
      <c r="L885" s="5"/>
      <c r="M885" s="5"/>
      <c r="N885" s="5"/>
      <c r="O885" s="5"/>
      <c r="P885" s="5"/>
      <c r="Q885" s="5"/>
      <c r="R885" s="5"/>
      <c r="S885" s="5"/>
      <c r="T885" s="5"/>
      <c r="U885" s="5"/>
      <c r="V885" s="5"/>
      <c r="W885" s="5"/>
      <c r="X885" s="5"/>
      <c r="Y885" s="5"/>
      <c r="Z885" s="5"/>
    </row>
    <row r="886" ht="19.5" customHeight="1">
      <c r="A886" s="52"/>
      <c r="B886" s="53"/>
      <c r="C886" s="53"/>
      <c r="D886" s="53"/>
      <c r="E886" s="53"/>
      <c r="F886" s="61"/>
      <c r="G886" s="53"/>
      <c r="H886" s="53"/>
      <c r="I886" s="53"/>
      <c r="J886" s="48" t="str">
        <f t="array" ref="J886">IF(G886="","",IFERROR(LET(ev_cost,INDEX(Events!$G$5:$G$505,MATCH(G886,Events!$A$5:$A$505,0)),ev_split,INDEX(Events!$I$5:$I$505,MATCH(G886,Events!$A$5:$A$505,0)),att_offset,MATCH(G886,Attendance!$B$3:$AV$3,0),attendees,COUNTIF(INDEX(Attendance!$B$7:$AV$206,0,att_offset),"1"),IF(ev_split="Equal Split",ev_cost/MAX(1,COUNTA(Roster!$A$5:$A$204)),ev_cost/MAX(1,attendees))),"N/A"))</f>
        <v/>
      </c>
      <c r="K886" s="5"/>
      <c r="L886" s="5"/>
      <c r="M886" s="5"/>
      <c r="N886" s="5"/>
      <c r="O886" s="5"/>
      <c r="P886" s="5"/>
      <c r="Q886" s="5"/>
      <c r="R886" s="5"/>
      <c r="S886" s="5"/>
      <c r="T886" s="5"/>
      <c r="U886" s="5"/>
      <c r="V886" s="5"/>
      <c r="W886" s="5"/>
      <c r="X886" s="5"/>
      <c r="Y886" s="5"/>
      <c r="Z886" s="5"/>
    </row>
    <row r="887" ht="19.5" customHeight="1">
      <c r="A887" s="49"/>
      <c r="B887" s="50"/>
      <c r="C887" s="50"/>
      <c r="D887" s="50"/>
      <c r="E887" s="50"/>
      <c r="F887" s="51"/>
      <c r="G887" s="50"/>
      <c r="H887" s="50"/>
      <c r="I887" s="50"/>
      <c r="J887" s="48" t="str">
        <f t="array" ref="J887">IF(G887="","",IFERROR(LET(ev_cost,INDEX(Events!$G$5:$G$505,MATCH(G887,Events!$A$5:$A$505,0)),ev_split,INDEX(Events!$I$5:$I$505,MATCH(G887,Events!$A$5:$A$505,0)),att_offset,MATCH(G887,Attendance!$B$3:$AV$3,0),attendees,COUNTIF(INDEX(Attendance!$B$7:$AV$206,0,att_offset),"1"),IF(ev_split="Equal Split",ev_cost/MAX(1,COUNTA(Roster!$A$5:$A$204)),ev_cost/MAX(1,attendees))),"N/A"))</f>
        <v/>
      </c>
      <c r="K887" s="5"/>
      <c r="L887" s="5"/>
      <c r="M887" s="5"/>
      <c r="N887" s="5"/>
      <c r="O887" s="5"/>
      <c r="P887" s="5"/>
      <c r="Q887" s="5"/>
      <c r="R887" s="5"/>
      <c r="S887" s="5"/>
      <c r="T887" s="5"/>
      <c r="U887" s="5"/>
      <c r="V887" s="5"/>
      <c r="W887" s="5"/>
      <c r="X887" s="5"/>
      <c r="Y887" s="5"/>
      <c r="Z887" s="5"/>
    </row>
    <row r="888" ht="19.5" customHeight="1">
      <c r="A888" s="52"/>
      <c r="B888" s="53"/>
      <c r="C888" s="53"/>
      <c r="D888" s="53"/>
      <c r="E888" s="53"/>
      <c r="F888" s="61"/>
      <c r="G888" s="53"/>
      <c r="H888" s="53"/>
      <c r="I888" s="53"/>
      <c r="J888" s="48" t="str">
        <f t="array" ref="J888">IF(G888="","",IFERROR(LET(ev_cost,INDEX(Events!$G$5:$G$505,MATCH(G888,Events!$A$5:$A$505,0)),ev_split,INDEX(Events!$I$5:$I$505,MATCH(G888,Events!$A$5:$A$505,0)),att_offset,MATCH(G888,Attendance!$B$3:$AV$3,0),attendees,COUNTIF(INDEX(Attendance!$B$7:$AV$206,0,att_offset),"1"),IF(ev_split="Equal Split",ev_cost/MAX(1,COUNTA(Roster!$A$5:$A$204)),ev_cost/MAX(1,attendees))),"N/A"))</f>
        <v/>
      </c>
      <c r="K888" s="5"/>
      <c r="L888" s="5"/>
      <c r="M888" s="5"/>
      <c r="N888" s="5"/>
      <c r="O888" s="5"/>
      <c r="P888" s="5"/>
      <c r="Q888" s="5"/>
      <c r="R888" s="5"/>
      <c r="S888" s="5"/>
      <c r="T888" s="5"/>
      <c r="U888" s="5"/>
      <c r="V888" s="5"/>
      <c r="W888" s="5"/>
      <c r="X888" s="5"/>
      <c r="Y888" s="5"/>
      <c r="Z888" s="5"/>
    </row>
    <row r="889" ht="19.5" customHeight="1">
      <c r="A889" s="49"/>
      <c r="B889" s="50"/>
      <c r="C889" s="50"/>
      <c r="D889" s="50"/>
      <c r="E889" s="50"/>
      <c r="F889" s="51"/>
      <c r="G889" s="50"/>
      <c r="H889" s="50"/>
      <c r="I889" s="50"/>
      <c r="J889" s="48" t="str">
        <f t="array" ref="J889">IF(G889="","",IFERROR(LET(ev_cost,INDEX(Events!$G$5:$G$505,MATCH(G889,Events!$A$5:$A$505,0)),ev_split,INDEX(Events!$I$5:$I$505,MATCH(G889,Events!$A$5:$A$505,0)),att_offset,MATCH(G889,Attendance!$B$3:$AV$3,0),attendees,COUNTIF(INDEX(Attendance!$B$7:$AV$206,0,att_offset),"1"),IF(ev_split="Equal Split",ev_cost/MAX(1,COUNTA(Roster!$A$5:$A$204)),ev_cost/MAX(1,attendees))),"N/A"))</f>
        <v/>
      </c>
      <c r="K889" s="5"/>
      <c r="L889" s="5"/>
      <c r="M889" s="5"/>
      <c r="N889" s="5"/>
      <c r="O889" s="5"/>
      <c r="P889" s="5"/>
      <c r="Q889" s="5"/>
      <c r="R889" s="5"/>
      <c r="S889" s="5"/>
      <c r="T889" s="5"/>
      <c r="U889" s="5"/>
      <c r="V889" s="5"/>
      <c r="W889" s="5"/>
      <c r="X889" s="5"/>
      <c r="Y889" s="5"/>
      <c r="Z889" s="5"/>
    </row>
    <row r="890" ht="19.5" customHeight="1">
      <c r="A890" s="52"/>
      <c r="B890" s="53"/>
      <c r="C890" s="53"/>
      <c r="D890" s="53"/>
      <c r="E890" s="53"/>
      <c r="F890" s="61"/>
      <c r="G890" s="53"/>
      <c r="H890" s="53"/>
      <c r="I890" s="53"/>
      <c r="J890" s="48" t="str">
        <f t="array" ref="J890">IF(G890="","",IFERROR(LET(ev_cost,INDEX(Events!$G$5:$G$505,MATCH(G890,Events!$A$5:$A$505,0)),ev_split,INDEX(Events!$I$5:$I$505,MATCH(G890,Events!$A$5:$A$505,0)),att_offset,MATCH(G890,Attendance!$B$3:$AV$3,0),attendees,COUNTIF(INDEX(Attendance!$B$7:$AV$206,0,att_offset),"1"),IF(ev_split="Equal Split",ev_cost/MAX(1,COUNTA(Roster!$A$5:$A$204)),ev_cost/MAX(1,attendees))),"N/A"))</f>
        <v/>
      </c>
      <c r="K890" s="5"/>
      <c r="L890" s="5"/>
      <c r="M890" s="5"/>
      <c r="N890" s="5"/>
      <c r="O890" s="5"/>
      <c r="P890" s="5"/>
      <c r="Q890" s="5"/>
      <c r="R890" s="5"/>
      <c r="S890" s="5"/>
      <c r="T890" s="5"/>
      <c r="U890" s="5"/>
      <c r="V890" s="5"/>
      <c r="W890" s="5"/>
      <c r="X890" s="5"/>
      <c r="Y890" s="5"/>
      <c r="Z890" s="5"/>
    </row>
    <row r="891" ht="19.5" customHeight="1">
      <c r="A891" s="49"/>
      <c r="B891" s="50"/>
      <c r="C891" s="50"/>
      <c r="D891" s="50"/>
      <c r="E891" s="50"/>
      <c r="F891" s="51"/>
      <c r="G891" s="50"/>
      <c r="H891" s="50"/>
      <c r="I891" s="50"/>
      <c r="J891" s="48" t="str">
        <f t="array" ref="J891">IF(G891="","",IFERROR(LET(ev_cost,INDEX(Events!$G$5:$G$505,MATCH(G891,Events!$A$5:$A$505,0)),ev_split,INDEX(Events!$I$5:$I$505,MATCH(G891,Events!$A$5:$A$505,0)),att_offset,MATCH(G891,Attendance!$B$3:$AV$3,0),attendees,COUNTIF(INDEX(Attendance!$B$7:$AV$206,0,att_offset),"1"),IF(ev_split="Equal Split",ev_cost/MAX(1,COUNTA(Roster!$A$5:$A$204)),ev_cost/MAX(1,attendees))),"N/A"))</f>
        <v/>
      </c>
      <c r="K891" s="5"/>
      <c r="L891" s="5"/>
      <c r="M891" s="5"/>
      <c r="N891" s="5"/>
      <c r="O891" s="5"/>
      <c r="P891" s="5"/>
      <c r="Q891" s="5"/>
      <c r="R891" s="5"/>
      <c r="S891" s="5"/>
      <c r="T891" s="5"/>
      <c r="U891" s="5"/>
      <c r="V891" s="5"/>
      <c r="W891" s="5"/>
      <c r="X891" s="5"/>
      <c r="Y891" s="5"/>
      <c r="Z891" s="5"/>
    </row>
    <row r="892" ht="19.5" customHeight="1">
      <c r="A892" s="52"/>
      <c r="B892" s="53"/>
      <c r="C892" s="53"/>
      <c r="D892" s="53"/>
      <c r="E892" s="53"/>
      <c r="F892" s="61"/>
      <c r="G892" s="53"/>
      <c r="H892" s="53"/>
      <c r="I892" s="53"/>
      <c r="J892" s="48" t="str">
        <f t="array" ref="J892">IF(G892="","",IFERROR(LET(ev_cost,INDEX(Events!$G$5:$G$505,MATCH(G892,Events!$A$5:$A$505,0)),ev_split,INDEX(Events!$I$5:$I$505,MATCH(G892,Events!$A$5:$A$505,0)),att_offset,MATCH(G892,Attendance!$B$3:$AV$3,0),attendees,COUNTIF(INDEX(Attendance!$B$7:$AV$206,0,att_offset),"1"),IF(ev_split="Equal Split",ev_cost/MAX(1,COUNTA(Roster!$A$5:$A$204)),ev_cost/MAX(1,attendees))),"N/A"))</f>
        <v/>
      </c>
      <c r="K892" s="5"/>
      <c r="L892" s="5"/>
      <c r="M892" s="5"/>
      <c r="N892" s="5"/>
      <c r="O892" s="5"/>
      <c r="P892" s="5"/>
      <c r="Q892" s="5"/>
      <c r="R892" s="5"/>
      <c r="S892" s="5"/>
      <c r="T892" s="5"/>
      <c r="U892" s="5"/>
      <c r="V892" s="5"/>
      <c r="W892" s="5"/>
      <c r="X892" s="5"/>
      <c r="Y892" s="5"/>
      <c r="Z892" s="5"/>
    </row>
    <row r="893" ht="19.5" customHeight="1">
      <c r="A893" s="49"/>
      <c r="B893" s="50"/>
      <c r="C893" s="50"/>
      <c r="D893" s="50"/>
      <c r="E893" s="50"/>
      <c r="F893" s="51"/>
      <c r="G893" s="50"/>
      <c r="H893" s="50"/>
      <c r="I893" s="50"/>
      <c r="J893" s="48" t="str">
        <f t="array" ref="J893">IF(G893="","",IFERROR(LET(ev_cost,INDEX(Events!$G$5:$G$505,MATCH(G893,Events!$A$5:$A$505,0)),ev_split,INDEX(Events!$I$5:$I$505,MATCH(G893,Events!$A$5:$A$505,0)),att_offset,MATCH(G893,Attendance!$B$3:$AV$3,0),attendees,COUNTIF(INDEX(Attendance!$B$7:$AV$206,0,att_offset),"1"),IF(ev_split="Equal Split",ev_cost/MAX(1,COUNTA(Roster!$A$5:$A$204)),ev_cost/MAX(1,attendees))),"N/A"))</f>
        <v/>
      </c>
      <c r="K893" s="5"/>
      <c r="L893" s="5"/>
      <c r="M893" s="5"/>
      <c r="N893" s="5"/>
      <c r="O893" s="5"/>
      <c r="P893" s="5"/>
      <c r="Q893" s="5"/>
      <c r="R893" s="5"/>
      <c r="S893" s="5"/>
      <c r="T893" s="5"/>
      <c r="U893" s="5"/>
      <c r="V893" s="5"/>
      <c r="W893" s="5"/>
      <c r="X893" s="5"/>
      <c r="Y893" s="5"/>
      <c r="Z893" s="5"/>
    </row>
    <row r="894" ht="19.5" customHeight="1">
      <c r="A894" s="52"/>
      <c r="B894" s="53"/>
      <c r="C894" s="53"/>
      <c r="D894" s="53"/>
      <c r="E894" s="53"/>
      <c r="F894" s="61"/>
      <c r="G894" s="53"/>
      <c r="H894" s="53"/>
      <c r="I894" s="53"/>
      <c r="J894" s="48" t="str">
        <f t="array" ref="J894">IF(G894="","",IFERROR(LET(ev_cost,INDEX(Events!$G$5:$G$505,MATCH(G894,Events!$A$5:$A$505,0)),ev_split,INDEX(Events!$I$5:$I$505,MATCH(G894,Events!$A$5:$A$505,0)),att_offset,MATCH(G894,Attendance!$B$3:$AV$3,0),attendees,COUNTIF(INDEX(Attendance!$B$7:$AV$206,0,att_offset),"1"),IF(ev_split="Equal Split",ev_cost/MAX(1,COUNTA(Roster!$A$5:$A$204)),ev_cost/MAX(1,attendees))),"N/A"))</f>
        <v/>
      </c>
      <c r="K894" s="5"/>
      <c r="L894" s="5"/>
      <c r="M894" s="5"/>
      <c r="N894" s="5"/>
      <c r="O894" s="5"/>
      <c r="P894" s="5"/>
      <c r="Q894" s="5"/>
      <c r="R894" s="5"/>
      <c r="S894" s="5"/>
      <c r="T894" s="5"/>
      <c r="U894" s="5"/>
      <c r="V894" s="5"/>
      <c r="W894" s="5"/>
      <c r="X894" s="5"/>
      <c r="Y894" s="5"/>
      <c r="Z894" s="5"/>
    </row>
    <row r="895" ht="19.5" customHeight="1">
      <c r="A895" s="49"/>
      <c r="B895" s="50"/>
      <c r="C895" s="50"/>
      <c r="D895" s="50"/>
      <c r="E895" s="50"/>
      <c r="F895" s="51"/>
      <c r="G895" s="50"/>
      <c r="H895" s="50"/>
      <c r="I895" s="50"/>
      <c r="J895" s="48" t="str">
        <f t="array" ref="J895">IF(G895="","",IFERROR(LET(ev_cost,INDEX(Events!$G$5:$G$505,MATCH(G895,Events!$A$5:$A$505,0)),ev_split,INDEX(Events!$I$5:$I$505,MATCH(G895,Events!$A$5:$A$505,0)),att_offset,MATCH(G895,Attendance!$B$3:$AV$3,0),attendees,COUNTIF(INDEX(Attendance!$B$7:$AV$206,0,att_offset),"1"),IF(ev_split="Equal Split",ev_cost/MAX(1,COUNTA(Roster!$A$5:$A$204)),ev_cost/MAX(1,attendees))),"N/A"))</f>
        <v/>
      </c>
      <c r="K895" s="5"/>
      <c r="L895" s="5"/>
      <c r="M895" s="5"/>
      <c r="N895" s="5"/>
      <c r="O895" s="5"/>
      <c r="P895" s="5"/>
      <c r="Q895" s="5"/>
      <c r="R895" s="5"/>
      <c r="S895" s="5"/>
      <c r="T895" s="5"/>
      <c r="U895" s="5"/>
      <c r="V895" s="5"/>
      <c r="W895" s="5"/>
      <c r="X895" s="5"/>
      <c r="Y895" s="5"/>
      <c r="Z895" s="5"/>
    </row>
    <row r="896" ht="19.5" customHeight="1">
      <c r="A896" s="52"/>
      <c r="B896" s="53"/>
      <c r="C896" s="53"/>
      <c r="D896" s="53"/>
      <c r="E896" s="53"/>
      <c r="F896" s="61"/>
      <c r="G896" s="53"/>
      <c r="H896" s="53"/>
      <c r="I896" s="53"/>
      <c r="J896" s="48" t="str">
        <f t="array" ref="J896">IF(G896="","",IFERROR(LET(ev_cost,INDEX(Events!$G$5:$G$505,MATCH(G896,Events!$A$5:$A$505,0)),ev_split,INDEX(Events!$I$5:$I$505,MATCH(G896,Events!$A$5:$A$505,0)),att_offset,MATCH(G896,Attendance!$B$3:$AV$3,0),attendees,COUNTIF(INDEX(Attendance!$B$7:$AV$206,0,att_offset),"1"),IF(ev_split="Equal Split",ev_cost/MAX(1,COUNTA(Roster!$A$5:$A$204)),ev_cost/MAX(1,attendees))),"N/A"))</f>
        <v/>
      </c>
      <c r="K896" s="5"/>
      <c r="L896" s="5"/>
      <c r="M896" s="5"/>
      <c r="N896" s="5"/>
      <c r="O896" s="5"/>
      <c r="P896" s="5"/>
      <c r="Q896" s="5"/>
      <c r="R896" s="5"/>
      <c r="S896" s="5"/>
      <c r="T896" s="5"/>
      <c r="U896" s="5"/>
      <c r="V896" s="5"/>
      <c r="W896" s="5"/>
      <c r="X896" s="5"/>
      <c r="Y896" s="5"/>
      <c r="Z896" s="5"/>
    </row>
    <row r="897" ht="19.5" customHeight="1">
      <c r="A897" s="49"/>
      <c r="B897" s="50"/>
      <c r="C897" s="50"/>
      <c r="D897" s="50"/>
      <c r="E897" s="50"/>
      <c r="F897" s="51"/>
      <c r="G897" s="50"/>
      <c r="H897" s="50"/>
      <c r="I897" s="50"/>
      <c r="J897" s="48" t="str">
        <f t="array" ref="J897">IF(G897="","",IFERROR(LET(ev_cost,INDEX(Events!$G$5:$G$505,MATCH(G897,Events!$A$5:$A$505,0)),ev_split,INDEX(Events!$I$5:$I$505,MATCH(G897,Events!$A$5:$A$505,0)),att_offset,MATCH(G897,Attendance!$B$3:$AV$3,0),attendees,COUNTIF(INDEX(Attendance!$B$7:$AV$206,0,att_offset),"1"),IF(ev_split="Equal Split",ev_cost/MAX(1,COUNTA(Roster!$A$5:$A$204)),ev_cost/MAX(1,attendees))),"N/A"))</f>
        <v/>
      </c>
      <c r="K897" s="5"/>
      <c r="L897" s="5"/>
      <c r="M897" s="5"/>
      <c r="N897" s="5"/>
      <c r="O897" s="5"/>
      <c r="P897" s="5"/>
      <c r="Q897" s="5"/>
      <c r="R897" s="5"/>
      <c r="S897" s="5"/>
      <c r="T897" s="5"/>
      <c r="U897" s="5"/>
      <c r="V897" s="5"/>
      <c r="W897" s="5"/>
      <c r="X897" s="5"/>
      <c r="Y897" s="5"/>
      <c r="Z897" s="5"/>
    </row>
    <row r="898" ht="19.5" customHeight="1">
      <c r="A898" s="52"/>
      <c r="B898" s="53"/>
      <c r="C898" s="53"/>
      <c r="D898" s="53"/>
      <c r="E898" s="53"/>
      <c r="F898" s="61"/>
      <c r="G898" s="53"/>
      <c r="H898" s="53"/>
      <c r="I898" s="53"/>
      <c r="J898" s="48" t="str">
        <f t="array" ref="J898">IF(G898="","",IFERROR(LET(ev_cost,INDEX(Events!$G$5:$G$505,MATCH(G898,Events!$A$5:$A$505,0)),ev_split,INDEX(Events!$I$5:$I$505,MATCH(G898,Events!$A$5:$A$505,0)),att_offset,MATCH(G898,Attendance!$B$3:$AV$3,0),attendees,COUNTIF(INDEX(Attendance!$B$7:$AV$206,0,att_offset),"1"),IF(ev_split="Equal Split",ev_cost/MAX(1,COUNTA(Roster!$A$5:$A$204)),ev_cost/MAX(1,attendees))),"N/A"))</f>
        <v/>
      </c>
      <c r="K898" s="5"/>
      <c r="L898" s="5"/>
      <c r="M898" s="5"/>
      <c r="N898" s="5"/>
      <c r="O898" s="5"/>
      <c r="P898" s="5"/>
      <c r="Q898" s="5"/>
      <c r="R898" s="5"/>
      <c r="S898" s="5"/>
      <c r="T898" s="5"/>
      <c r="U898" s="5"/>
      <c r="V898" s="5"/>
      <c r="W898" s="5"/>
      <c r="X898" s="5"/>
      <c r="Y898" s="5"/>
      <c r="Z898" s="5"/>
    </row>
    <row r="899" ht="19.5" customHeight="1">
      <c r="A899" s="49"/>
      <c r="B899" s="50"/>
      <c r="C899" s="50"/>
      <c r="D899" s="50"/>
      <c r="E899" s="50"/>
      <c r="F899" s="51"/>
      <c r="G899" s="50"/>
      <c r="H899" s="50"/>
      <c r="I899" s="50"/>
      <c r="J899" s="48" t="str">
        <f t="array" ref="J899">IF(G899="","",IFERROR(LET(ev_cost,INDEX(Events!$G$5:$G$505,MATCH(G899,Events!$A$5:$A$505,0)),ev_split,INDEX(Events!$I$5:$I$505,MATCH(G899,Events!$A$5:$A$505,0)),att_offset,MATCH(G899,Attendance!$B$3:$AV$3,0),attendees,COUNTIF(INDEX(Attendance!$B$7:$AV$206,0,att_offset),"1"),IF(ev_split="Equal Split",ev_cost/MAX(1,COUNTA(Roster!$A$5:$A$204)),ev_cost/MAX(1,attendees))),"N/A"))</f>
        <v/>
      </c>
      <c r="K899" s="5"/>
      <c r="L899" s="5"/>
      <c r="M899" s="5"/>
      <c r="N899" s="5"/>
      <c r="O899" s="5"/>
      <c r="P899" s="5"/>
      <c r="Q899" s="5"/>
      <c r="R899" s="5"/>
      <c r="S899" s="5"/>
      <c r="T899" s="5"/>
      <c r="U899" s="5"/>
      <c r="V899" s="5"/>
      <c r="W899" s="5"/>
      <c r="X899" s="5"/>
      <c r="Y899" s="5"/>
      <c r="Z899" s="5"/>
    </row>
    <row r="900" ht="19.5" customHeight="1">
      <c r="A900" s="52"/>
      <c r="B900" s="53"/>
      <c r="C900" s="53"/>
      <c r="D900" s="53"/>
      <c r="E900" s="53"/>
      <c r="F900" s="61"/>
      <c r="G900" s="53"/>
      <c r="H900" s="53"/>
      <c r="I900" s="53"/>
      <c r="J900" s="48" t="str">
        <f t="array" ref="J900">IF(G900="","",IFERROR(LET(ev_cost,INDEX(Events!$G$5:$G$505,MATCH(G900,Events!$A$5:$A$505,0)),ev_split,INDEX(Events!$I$5:$I$505,MATCH(G900,Events!$A$5:$A$505,0)),att_offset,MATCH(G900,Attendance!$B$3:$AV$3,0),attendees,COUNTIF(INDEX(Attendance!$B$7:$AV$206,0,att_offset),"1"),IF(ev_split="Equal Split",ev_cost/MAX(1,COUNTA(Roster!$A$5:$A$204)),ev_cost/MAX(1,attendees))),"N/A"))</f>
        <v/>
      </c>
      <c r="K900" s="5"/>
      <c r="L900" s="5"/>
      <c r="M900" s="5"/>
      <c r="N900" s="5"/>
      <c r="O900" s="5"/>
      <c r="P900" s="5"/>
      <c r="Q900" s="5"/>
      <c r="R900" s="5"/>
      <c r="S900" s="5"/>
      <c r="T900" s="5"/>
      <c r="U900" s="5"/>
      <c r="V900" s="5"/>
      <c r="W900" s="5"/>
      <c r="X900" s="5"/>
      <c r="Y900" s="5"/>
      <c r="Z900" s="5"/>
    </row>
    <row r="901" ht="19.5" customHeight="1">
      <c r="A901" s="49"/>
      <c r="B901" s="50"/>
      <c r="C901" s="50"/>
      <c r="D901" s="50"/>
      <c r="E901" s="50"/>
      <c r="F901" s="51"/>
      <c r="G901" s="50"/>
      <c r="H901" s="50"/>
      <c r="I901" s="50"/>
      <c r="J901" s="48" t="str">
        <f t="array" ref="J901">IF(G901="","",IFERROR(LET(ev_cost,INDEX(Events!$G$5:$G$505,MATCH(G901,Events!$A$5:$A$505,0)),ev_split,INDEX(Events!$I$5:$I$505,MATCH(G901,Events!$A$5:$A$505,0)),att_offset,MATCH(G901,Attendance!$B$3:$AV$3,0),attendees,COUNTIF(INDEX(Attendance!$B$7:$AV$206,0,att_offset),"1"),IF(ev_split="Equal Split",ev_cost/MAX(1,COUNTA(Roster!$A$5:$A$204)),ev_cost/MAX(1,attendees))),"N/A"))</f>
        <v/>
      </c>
      <c r="K901" s="5"/>
      <c r="L901" s="5"/>
      <c r="M901" s="5"/>
      <c r="N901" s="5"/>
      <c r="O901" s="5"/>
      <c r="P901" s="5"/>
      <c r="Q901" s="5"/>
      <c r="R901" s="5"/>
      <c r="S901" s="5"/>
      <c r="T901" s="5"/>
      <c r="U901" s="5"/>
      <c r="V901" s="5"/>
      <c r="W901" s="5"/>
      <c r="X901" s="5"/>
      <c r="Y901" s="5"/>
      <c r="Z901" s="5"/>
    </row>
    <row r="902" ht="19.5" customHeight="1">
      <c r="A902" s="52"/>
      <c r="B902" s="53"/>
      <c r="C902" s="53"/>
      <c r="D902" s="53"/>
      <c r="E902" s="53"/>
      <c r="F902" s="61"/>
      <c r="G902" s="53"/>
      <c r="H902" s="53"/>
      <c r="I902" s="53"/>
      <c r="J902" s="48" t="str">
        <f t="array" ref="J902">IF(G902="","",IFERROR(LET(ev_cost,INDEX(Events!$G$5:$G$505,MATCH(G902,Events!$A$5:$A$505,0)),ev_split,INDEX(Events!$I$5:$I$505,MATCH(G902,Events!$A$5:$A$505,0)),att_offset,MATCH(G902,Attendance!$B$3:$AV$3,0),attendees,COUNTIF(INDEX(Attendance!$B$7:$AV$206,0,att_offset),"1"),IF(ev_split="Equal Split",ev_cost/MAX(1,COUNTA(Roster!$A$5:$A$204)),ev_cost/MAX(1,attendees))),"N/A"))</f>
        <v/>
      </c>
      <c r="K902" s="5"/>
      <c r="L902" s="5"/>
      <c r="M902" s="5"/>
      <c r="N902" s="5"/>
      <c r="O902" s="5"/>
      <c r="P902" s="5"/>
      <c r="Q902" s="5"/>
      <c r="R902" s="5"/>
      <c r="S902" s="5"/>
      <c r="T902" s="5"/>
      <c r="U902" s="5"/>
      <c r="V902" s="5"/>
      <c r="W902" s="5"/>
      <c r="X902" s="5"/>
      <c r="Y902" s="5"/>
      <c r="Z902" s="5"/>
    </row>
    <row r="903" ht="19.5" customHeight="1">
      <c r="A903" s="49"/>
      <c r="B903" s="50"/>
      <c r="C903" s="50"/>
      <c r="D903" s="50"/>
      <c r="E903" s="50"/>
      <c r="F903" s="51"/>
      <c r="G903" s="50"/>
      <c r="H903" s="50"/>
      <c r="I903" s="50"/>
      <c r="J903" s="48" t="str">
        <f t="array" ref="J903">IF(G903="","",IFERROR(LET(ev_cost,INDEX(Events!$G$5:$G$505,MATCH(G903,Events!$A$5:$A$505,0)),ev_split,INDEX(Events!$I$5:$I$505,MATCH(G903,Events!$A$5:$A$505,0)),att_offset,MATCH(G903,Attendance!$B$3:$AV$3,0),attendees,COUNTIF(INDEX(Attendance!$B$7:$AV$206,0,att_offset),"1"),IF(ev_split="Equal Split",ev_cost/MAX(1,COUNTA(Roster!$A$5:$A$204)),ev_cost/MAX(1,attendees))),"N/A"))</f>
        <v/>
      </c>
      <c r="K903" s="5"/>
      <c r="L903" s="5"/>
      <c r="M903" s="5"/>
      <c r="N903" s="5"/>
      <c r="O903" s="5"/>
      <c r="P903" s="5"/>
      <c r="Q903" s="5"/>
      <c r="R903" s="5"/>
      <c r="S903" s="5"/>
      <c r="T903" s="5"/>
      <c r="U903" s="5"/>
      <c r="V903" s="5"/>
      <c r="W903" s="5"/>
      <c r="X903" s="5"/>
      <c r="Y903" s="5"/>
      <c r="Z903" s="5"/>
    </row>
    <row r="904" ht="19.5" customHeight="1">
      <c r="A904" s="52"/>
      <c r="B904" s="53"/>
      <c r="C904" s="53"/>
      <c r="D904" s="53"/>
      <c r="E904" s="53"/>
      <c r="F904" s="61"/>
      <c r="G904" s="53"/>
      <c r="H904" s="53"/>
      <c r="I904" s="53"/>
      <c r="J904" s="48" t="str">
        <f t="array" ref="J904">IF(G904="","",IFERROR(LET(ev_cost,INDEX(Events!$G$5:$G$505,MATCH(G904,Events!$A$5:$A$505,0)),ev_split,INDEX(Events!$I$5:$I$505,MATCH(G904,Events!$A$5:$A$505,0)),att_offset,MATCH(G904,Attendance!$B$3:$AV$3,0),attendees,COUNTIF(INDEX(Attendance!$B$7:$AV$206,0,att_offset),"1"),IF(ev_split="Equal Split",ev_cost/MAX(1,COUNTA(Roster!$A$5:$A$204)),ev_cost/MAX(1,attendees))),"N/A"))</f>
        <v/>
      </c>
      <c r="K904" s="5"/>
      <c r="L904" s="5"/>
      <c r="M904" s="5"/>
      <c r="N904" s="5"/>
      <c r="O904" s="5"/>
      <c r="P904" s="5"/>
      <c r="Q904" s="5"/>
      <c r="R904" s="5"/>
      <c r="S904" s="5"/>
      <c r="T904" s="5"/>
      <c r="U904" s="5"/>
      <c r="V904" s="5"/>
      <c r="W904" s="5"/>
      <c r="X904" s="5"/>
      <c r="Y904" s="5"/>
      <c r="Z904" s="5"/>
    </row>
    <row r="905" ht="19.5" customHeight="1">
      <c r="A905" s="49"/>
      <c r="B905" s="50"/>
      <c r="C905" s="50"/>
      <c r="D905" s="50"/>
      <c r="E905" s="50"/>
      <c r="F905" s="51"/>
      <c r="G905" s="50"/>
      <c r="H905" s="50"/>
      <c r="I905" s="50"/>
      <c r="J905" s="48" t="str">
        <f t="array" ref="J905">IF(G905="","",IFERROR(LET(ev_cost,INDEX(Events!$G$5:$G$505,MATCH(G905,Events!$A$5:$A$505,0)),ev_split,INDEX(Events!$I$5:$I$505,MATCH(G905,Events!$A$5:$A$505,0)),att_offset,MATCH(G905,Attendance!$B$3:$AV$3,0),attendees,COUNTIF(INDEX(Attendance!$B$7:$AV$206,0,att_offset),"1"),IF(ev_split="Equal Split",ev_cost/MAX(1,COUNTA(Roster!$A$5:$A$204)),ev_cost/MAX(1,attendees))),"N/A"))</f>
        <v/>
      </c>
      <c r="K905" s="5"/>
      <c r="L905" s="5"/>
      <c r="M905" s="5"/>
      <c r="N905" s="5"/>
      <c r="O905" s="5"/>
      <c r="P905" s="5"/>
      <c r="Q905" s="5"/>
      <c r="R905" s="5"/>
      <c r="S905" s="5"/>
      <c r="T905" s="5"/>
      <c r="U905" s="5"/>
      <c r="V905" s="5"/>
      <c r="W905" s="5"/>
      <c r="X905" s="5"/>
      <c r="Y905" s="5"/>
      <c r="Z905" s="5"/>
    </row>
    <row r="906" ht="19.5" customHeight="1">
      <c r="A906" s="52"/>
      <c r="B906" s="53"/>
      <c r="C906" s="53"/>
      <c r="D906" s="53"/>
      <c r="E906" s="53"/>
      <c r="F906" s="61"/>
      <c r="G906" s="53"/>
      <c r="H906" s="53"/>
      <c r="I906" s="53"/>
      <c r="J906" s="48" t="str">
        <f t="array" ref="J906">IF(G906="","",IFERROR(LET(ev_cost,INDEX(Events!$G$5:$G$505,MATCH(G906,Events!$A$5:$A$505,0)),ev_split,INDEX(Events!$I$5:$I$505,MATCH(G906,Events!$A$5:$A$505,0)),att_offset,MATCH(G906,Attendance!$B$3:$AV$3,0),attendees,COUNTIF(INDEX(Attendance!$B$7:$AV$206,0,att_offset),"1"),IF(ev_split="Equal Split",ev_cost/MAX(1,COUNTA(Roster!$A$5:$A$204)),ev_cost/MAX(1,attendees))),"N/A"))</f>
        <v/>
      </c>
      <c r="K906" s="5"/>
      <c r="L906" s="5"/>
      <c r="M906" s="5"/>
      <c r="N906" s="5"/>
      <c r="O906" s="5"/>
      <c r="P906" s="5"/>
      <c r="Q906" s="5"/>
      <c r="R906" s="5"/>
      <c r="S906" s="5"/>
      <c r="T906" s="5"/>
      <c r="U906" s="5"/>
      <c r="V906" s="5"/>
      <c r="W906" s="5"/>
      <c r="X906" s="5"/>
      <c r="Y906" s="5"/>
      <c r="Z906" s="5"/>
    </row>
    <row r="907" ht="19.5" customHeight="1">
      <c r="A907" s="49"/>
      <c r="B907" s="50"/>
      <c r="C907" s="50"/>
      <c r="D907" s="50"/>
      <c r="E907" s="50"/>
      <c r="F907" s="51"/>
      <c r="G907" s="50"/>
      <c r="H907" s="50"/>
      <c r="I907" s="50"/>
      <c r="J907" s="48" t="str">
        <f t="array" ref="J907">IF(G907="","",IFERROR(LET(ev_cost,INDEX(Events!$G$5:$G$505,MATCH(G907,Events!$A$5:$A$505,0)),ev_split,INDEX(Events!$I$5:$I$505,MATCH(G907,Events!$A$5:$A$505,0)),att_offset,MATCH(G907,Attendance!$B$3:$AV$3,0),attendees,COUNTIF(INDEX(Attendance!$B$7:$AV$206,0,att_offset),"1"),IF(ev_split="Equal Split",ev_cost/MAX(1,COUNTA(Roster!$A$5:$A$204)),ev_cost/MAX(1,attendees))),"N/A"))</f>
        <v/>
      </c>
      <c r="K907" s="5"/>
      <c r="L907" s="5"/>
      <c r="M907" s="5"/>
      <c r="N907" s="5"/>
      <c r="O907" s="5"/>
      <c r="P907" s="5"/>
      <c r="Q907" s="5"/>
      <c r="R907" s="5"/>
      <c r="S907" s="5"/>
      <c r="T907" s="5"/>
      <c r="U907" s="5"/>
      <c r="V907" s="5"/>
      <c r="W907" s="5"/>
      <c r="X907" s="5"/>
      <c r="Y907" s="5"/>
      <c r="Z907" s="5"/>
    </row>
    <row r="908" ht="19.5" customHeight="1">
      <c r="A908" s="52"/>
      <c r="B908" s="53"/>
      <c r="C908" s="53"/>
      <c r="D908" s="53"/>
      <c r="E908" s="53"/>
      <c r="F908" s="61"/>
      <c r="G908" s="53"/>
      <c r="H908" s="53"/>
      <c r="I908" s="53"/>
      <c r="J908" s="48" t="str">
        <f t="array" ref="J908">IF(G908="","",IFERROR(LET(ev_cost,INDEX(Events!$G$5:$G$505,MATCH(G908,Events!$A$5:$A$505,0)),ev_split,INDEX(Events!$I$5:$I$505,MATCH(G908,Events!$A$5:$A$505,0)),att_offset,MATCH(G908,Attendance!$B$3:$AV$3,0),attendees,COUNTIF(INDEX(Attendance!$B$7:$AV$206,0,att_offset),"1"),IF(ev_split="Equal Split",ev_cost/MAX(1,COUNTA(Roster!$A$5:$A$204)),ev_cost/MAX(1,attendees))),"N/A"))</f>
        <v/>
      </c>
      <c r="K908" s="5"/>
      <c r="L908" s="5"/>
      <c r="M908" s="5"/>
      <c r="N908" s="5"/>
      <c r="O908" s="5"/>
      <c r="P908" s="5"/>
      <c r="Q908" s="5"/>
      <c r="R908" s="5"/>
      <c r="S908" s="5"/>
      <c r="T908" s="5"/>
      <c r="U908" s="5"/>
      <c r="V908" s="5"/>
      <c r="W908" s="5"/>
      <c r="X908" s="5"/>
      <c r="Y908" s="5"/>
      <c r="Z908" s="5"/>
    </row>
    <row r="909" ht="19.5" customHeight="1">
      <c r="A909" s="49"/>
      <c r="B909" s="50"/>
      <c r="C909" s="50"/>
      <c r="D909" s="50"/>
      <c r="E909" s="50"/>
      <c r="F909" s="51"/>
      <c r="G909" s="50"/>
      <c r="H909" s="50"/>
      <c r="I909" s="50"/>
      <c r="J909" s="48" t="str">
        <f t="array" ref="J909">IF(G909="","",IFERROR(LET(ev_cost,INDEX(Events!$G$5:$G$505,MATCH(G909,Events!$A$5:$A$505,0)),ev_split,INDEX(Events!$I$5:$I$505,MATCH(G909,Events!$A$5:$A$505,0)),att_offset,MATCH(G909,Attendance!$B$3:$AV$3,0),attendees,COUNTIF(INDEX(Attendance!$B$7:$AV$206,0,att_offset),"1"),IF(ev_split="Equal Split",ev_cost/MAX(1,COUNTA(Roster!$A$5:$A$204)),ev_cost/MAX(1,attendees))),"N/A"))</f>
        <v/>
      </c>
      <c r="K909" s="5"/>
      <c r="L909" s="5"/>
      <c r="M909" s="5"/>
      <c r="N909" s="5"/>
      <c r="O909" s="5"/>
      <c r="P909" s="5"/>
      <c r="Q909" s="5"/>
      <c r="R909" s="5"/>
      <c r="S909" s="5"/>
      <c r="T909" s="5"/>
      <c r="U909" s="5"/>
      <c r="V909" s="5"/>
      <c r="W909" s="5"/>
      <c r="X909" s="5"/>
      <c r="Y909" s="5"/>
      <c r="Z909" s="5"/>
    </row>
    <row r="910" ht="19.5" customHeight="1">
      <c r="A910" s="52"/>
      <c r="B910" s="53"/>
      <c r="C910" s="53"/>
      <c r="D910" s="53"/>
      <c r="E910" s="53"/>
      <c r="F910" s="61"/>
      <c r="G910" s="53"/>
      <c r="H910" s="53"/>
      <c r="I910" s="53"/>
      <c r="J910" s="48" t="str">
        <f t="array" ref="J910">IF(G910="","",IFERROR(LET(ev_cost,INDEX(Events!$G$5:$G$505,MATCH(G910,Events!$A$5:$A$505,0)),ev_split,INDEX(Events!$I$5:$I$505,MATCH(G910,Events!$A$5:$A$505,0)),att_offset,MATCH(G910,Attendance!$B$3:$AV$3,0),attendees,COUNTIF(INDEX(Attendance!$B$7:$AV$206,0,att_offset),"1"),IF(ev_split="Equal Split",ev_cost/MAX(1,COUNTA(Roster!$A$5:$A$204)),ev_cost/MAX(1,attendees))),"N/A"))</f>
        <v/>
      </c>
      <c r="K910" s="5"/>
      <c r="L910" s="5"/>
      <c r="M910" s="5"/>
      <c r="N910" s="5"/>
      <c r="O910" s="5"/>
      <c r="P910" s="5"/>
      <c r="Q910" s="5"/>
      <c r="R910" s="5"/>
      <c r="S910" s="5"/>
      <c r="T910" s="5"/>
      <c r="U910" s="5"/>
      <c r="V910" s="5"/>
      <c r="W910" s="5"/>
      <c r="X910" s="5"/>
      <c r="Y910" s="5"/>
      <c r="Z910" s="5"/>
    </row>
    <row r="911" ht="19.5" customHeight="1">
      <c r="A911" s="49"/>
      <c r="B911" s="50"/>
      <c r="C911" s="50"/>
      <c r="D911" s="50"/>
      <c r="E911" s="50"/>
      <c r="F911" s="51"/>
      <c r="G911" s="50"/>
      <c r="H911" s="50"/>
      <c r="I911" s="50"/>
      <c r="J911" s="48" t="str">
        <f t="array" ref="J911">IF(G911="","",IFERROR(LET(ev_cost,INDEX(Events!$G$5:$G$505,MATCH(G911,Events!$A$5:$A$505,0)),ev_split,INDEX(Events!$I$5:$I$505,MATCH(G911,Events!$A$5:$A$505,0)),att_offset,MATCH(G911,Attendance!$B$3:$AV$3,0),attendees,COUNTIF(INDEX(Attendance!$B$7:$AV$206,0,att_offset),"1"),IF(ev_split="Equal Split",ev_cost/MAX(1,COUNTA(Roster!$A$5:$A$204)),ev_cost/MAX(1,attendees))),"N/A"))</f>
        <v/>
      </c>
      <c r="K911" s="5"/>
      <c r="L911" s="5"/>
      <c r="M911" s="5"/>
      <c r="N911" s="5"/>
      <c r="O911" s="5"/>
      <c r="P911" s="5"/>
      <c r="Q911" s="5"/>
      <c r="R911" s="5"/>
      <c r="S911" s="5"/>
      <c r="T911" s="5"/>
      <c r="U911" s="5"/>
      <c r="V911" s="5"/>
      <c r="W911" s="5"/>
      <c r="X911" s="5"/>
      <c r="Y911" s="5"/>
      <c r="Z911" s="5"/>
    </row>
    <row r="912" ht="19.5" customHeight="1">
      <c r="A912" s="52"/>
      <c r="B912" s="53"/>
      <c r="C912" s="53"/>
      <c r="D912" s="53"/>
      <c r="E912" s="53"/>
      <c r="F912" s="61"/>
      <c r="G912" s="53"/>
      <c r="H912" s="53"/>
      <c r="I912" s="53"/>
      <c r="J912" s="48" t="str">
        <f t="array" ref="J912">IF(G912="","",IFERROR(LET(ev_cost,INDEX(Events!$G$5:$G$505,MATCH(G912,Events!$A$5:$A$505,0)),ev_split,INDEX(Events!$I$5:$I$505,MATCH(G912,Events!$A$5:$A$505,0)),att_offset,MATCH(G912,Attendance!$B$3:$AV$3,0),attendees,COUNTIF(INDEX(Attendance!$B$7:$AV$206,0,att_offset),"1"),IF(ev_split="Equal Split",ev_cost/MAX(1,COUNTA(Roster!$A$5:$A$204)),ev_cost/MAX(1,attendees))),"N/A"))</f>
        <v/>
      </c>
      <c r="K912" s="5"/>
      <c r="L912" s="5"/>
      <c r="M912" s="5"/>
      <c r="N912" s="5"/>
      <c r="O912" s="5"/>
      <c r="P912" s="5"/>
      <c r="Q912" s="5"/>
      <c r="R912" s="5"/>
      <c r="S912" s="5"/>
      <c r="T912" s="5"/>
      <c r="U912" s="5"/>
      <c r="V912" s="5"/>
      <c r="W912" s="5"/>
      <c r="X912" s="5"/>
      <c r="Y912" s="5"/>
      <c r="Z912" s="5"/>
    </row>
    <row r="913" ht="19.5" customHeight="1">
      <c r="A913" s="49"/>
      <c r="B913" s="50"/>
      <c r="C913" s="50"/>
      <c r="D913" s="50"/>
      <c r="E913" s="50"/>
      <c r="F913" s="51"/>
      <c r="G913" s="50"/>
      <c r="H913" s="50"/>
      <c r="I913" s="50"/>
      <c r="J913" s="48" t="str">
        <f t="array" ref="J913">IF(G913="","",IFERROR(LET(ev_cost,INDEX(Events!$G$5:$G$505,MATCH(G913,Events!$A$5:$A$505,0)),ev_split,INDEX(Events!$I$5:$I$505,MATCH(G913,Events!$A$5:$A$505,0)),att_offset,MATCH(G913,Attendance!$B$3:$AV$3,0),attendees,COUNTIF(INDEX(Attendance!$B$7:$AV$206,0,att_offset),"1"),IF(ev_split="Equal Split",ev_cost/MAX(1,COUNTA(Roster!$A$5:$A$204)),ev_cost/MAX(1,attendees))),"N/A"))</f>
        <v/>
      </c>
      <c r="K913" s="5"/>
      <c r="L913" s="5"/>
      <c r="M913" s="5"/>
      <c r="N913" s="5"/>
      <c r="O913" s="5"/>
      <c r="P913" s="5"/>
      <c r="Q913" s="5"/>
      <c r="R913" s="5"/>
      <c r="S913" s="5"/>
      <c r="T913" s="5"/>
      <c r="U913" s="5"/>
      <c r="V913" s="5"/>
      <c r="W913" s="5"/>
      <c r="X913" s="5"/>
      <c r="Y913" s="5"/>
      <c r="Z913" s="5"/>
    </row>
    <row r="914" ht="19.5" customHeight="1">
      <c r="A914" s="52"/>
      <c r="B914" s="53"/>
      <c r="C914" s="53"/>
      <c r="D914" s="53"/>
      <c r="E914" s="53"/>
      <c r="F914" s="61"/>
      <c r="G914" s="53"/>
      <c r="H914" s="53"/>
      <c r="I914" s="53"/>
      <c r="J914" s="48" t="str">
        <f t="array" ref="J914">IF(G914="","",IFERROR(LET(ev_cost,INDEX(Events!$G$5:$G$505,MATCH(G914,Events!$A$5:$A$505,0)),ev_split,INDEX(Events!$I$5:$I$505,MATCH(G914,Events!$A$5:$A$505,0)),att_offset,MATCH(G914,Attendance!$B$3:$AV$3,0),attendees,COUNTIF(INDEX(Attendance!$B$7:$AV$206,0,att_offset),"1"),IF(ev_split="Equal Split",ev_cost/MAX(1,COUNTA(Roster!$A$5:$A$204)),ev_cost/MAX(1,attendees))),"N/A"))</f>
        <v/>
      </c>
      <c r="K914" s="5"/>
      <c r="L914" s="5"/>
      <c r="M914" s="5"/>
      <c r="N914" s="5"/>
      <c r="O914" s="5"/>
      <c r="P914" s="5"/>
      <c r="Q914" s="5"/>
      <c r="R914" s="5"/>
      <c r="S914" s="5"/>
      <c r="T914" s="5"/>
      <c r="U914" s="5"/>
      <c r="V914" s="5"/>
      <c r="W914" s="5"/>
      <c r="X914" s="5"/>
      <c r="Y914" s="5"/>
      <c r="Z914" s="5"/>
    </row>
    <row r="915" ht="19.5" customHeight="1">
      <c r="A915" s="49"/>
      <c r="B915" s="50"/>
      <c r="C915" s="50"/>
      <c r="D915" s="50"/>
      <c r="E915" s="50"/>
      <c r="F915" s="51"/>
      <c r="G915" s="50"/>
      <c r="H915" s="50"/>
      <c r="I915" s="50"/>
      <c r="J915" s="48" t="str">
        <f t="array" ref="J915">IF(G915="","",IFERROR(LET(ev_cost,INDEX(Events!$G$5:$G$505,MATCH(G915,Events!$A$5:$A$505,0)),ev_split,INDEX(Events!$I$5:$I$505,MATCH(G915,Events!$A$5:$A$505,0)),att_offset,MATCH(G915,Attendance!$B$3:$AV$3,0),attendees,COUNTIF(INDEX(Attendance!$B$7:$AV$206,0,att_offset),"1"),IF(ev_split="Equal Split",ev_cost/MAX(1,COUNTA(Roster!$A$5:$A$204)),ev_cost/MAX(1,attendees))),"N/A"))</f>
        <v/>
      </c>
      <c r="K915" s="5"/>
      <c r="L915" s="5"/>
      <c r="M915" s="5"/>
      <c r="N915" s="5"/>
      <c r="O915" s="5"/>
      <c r="P915" s="5"/>
      <c r="Q915" s="5"/>
      <c r="R915" s="5"/>
      <c r="S915" s="5"/>
      <c r="T915" s="5"/>
      <c r="U915" s="5"/>
      <c r="V915" s="5"/>
      <c r="W915" s="5"/>
      <c r="X915" s="5"/>
      <c r="Y915" s="5"/>
      <c r="Z915" s="5"/>
    </row>
    <row r="916" ht="19.5" customHeight="1">
      <c r="A916" s="52"/>
      <c r="B916" s="53"/>
      <c r="C916" s="53"/>
      <c r="D916" s="53"/>
      <c r="E916" s="53"/>
      <c r="F916" s="61"/>
      <c r="G916" s="53"/>
      <c r="H916" s="53"/>
      <c r="I916" s="53"/>
      <c r="J916" s="48" t="str">
        <f t="array" ref="J916">IF(G916="","",IFERROR(LET(ev_cost,INDEX(Events!$G$5:$G$505,MATCH(G916,Events!$A$5:$A$505,0)),ev_split,INDEX(Events!$I$5:$I$505,MATCH(G916,Events!$A$5:$A$505,0)),att_offset,MATCH(G916,Attendance!$B$3:$AV$3,0),attendees,COUNTIF(INDEX(Attendance!$B$7:$AV$206,0,att_offset),"1"),IF(ev_split="Equal Split",ev_cost/MAX(1,COUNTA(Roster!$A$5:$A$204)),ev_cost/MAX(1,attendees))),"N/A"))</f>
        <v/>
      </c>
      <c r="K916" s="5"/>
      <c r="L916" s="5"/>
      <c r="M916" s="5"/>
      <c r="N916" s="5"/>
      <c r="O916" s="5"/>
      <c r="P916" s="5"/>
      <c r="Q916" s="5"/>
      <c r="R916" s="5"/>
      <c r="S916" s="5"/>
      <c r="T916" s="5"/>
      <c r="U916" s="5"/>
      <c r="V916" s="5"/>
      <c r="W916" s="5"/>
      <c r="X916" s="5"/>
      <c r="Y916" s="5"/>
      <c r="Z916" s="5"/>
    </row>
    <row r="917" ht="19.5" customHeight="1">
      <c r="A917" s="49"/>
      <c r="B917" s="50"/>
      <c r="C917" s="50"/>
      <c r="D917" s="50"/>
      <c r="E917" s="50"/>
      <c r="F917" s="51"/>
      <c r="G917" s="50"/>
      <c r="H917" s="50"/>
      <c r="I917" s="50"/>
      <c r="J917" s="48" t="str">
        <f t="array" ref="J917">IF(G917="","",IFERROR(LET(ev_cost,INDEX(Events!$G$5:$G$505,MATCH(G917,Events!$A$5:$A$505,0)),ev_split,INDEX(Events!$I$5:$I$505,MATCH(G917,Events!$A$5:$A$505,0)),att_offset,MATCH(G917,Attendance!$B$3:$AV$3,0),attendees,COUNTIF(INDEX(Attendance!$B$7:$AV$206,0,att_offset),"1"),IF(ev_split="Equal Split",ev_cost/MAX(1,COUNTA(Roster!$A$5:$A$204)),ev_cost/MAX(1,attendees))),"N/A"))</f>
        <v/>
      </c>
      <c r="K917" s="5"/>
      <c r="L917" s="5"/>
      <c r="M917" s="5"/>
      <c r="N917" s="5"/>
      <c r="O917" s="5"/>
      <c r="P917" s="5"/>
      <c r="Q917" s="5"/>
      <c r="R917" s="5"/>
      <c r="S917" s="5"/>
      <c r="T917" s="5"/>
      <c r="U917" s="5"/>
      <c r="V917" s="5"/>
      <c r="W917" s="5"/>
      <c r="X917" s="5"/>
      <c r="Y917" s="5"/>
      <c r="Z917" s="5"/>
    </row>
    <row r="918" ht="19.5" customHeight="1">
      <c r="A918" s="52"/>
      <c r="B918" s="53"/>
      <c r="C918" s="53"/>
      <c r="D918" s="53"/>
      <c r="E918" s="53"/>
      <c r="F918" s="61"/>
      <c r="G918" s="53"/>
      <c r="H918" s="53"/>
      <c r="I918" s="53"/>
      <c r="J918" s="48" t="str">
        <f t="array" ref="J918">IF(G918="","",IFERROR(LET(ev_cost,INDEX(Events!$G$5:$G$505,MATCH(G918,Events!$A$5:$A$505,0)),ev_split,INDEX(Events!$I$5:$I$505,MATCH(G918,Events!$A$5:$A$505,0)),att_offset,MATCH(G918,Attendance!$B$3:$AV$3,0),attendees,COUNTIF(INDEX(Attendance!$B$7:$AV$206,0,att_offset),"1"),IF(ev_split="Equal Split",ev_cost/MAX(1,COUNTA(Roster!$A$5:$A$204)),ev_cost/MAX(1,attendees))),"N/A"))</f>
        <v/>
      </c>
      <c r="K918" s="5"/>
      <c r="L918" s="5"/>
      <c r="M918" s="5"/>
      <c r="N918" s="5"/>
      <c r="O918" s="5"/>
      <c r="P918" s="5"/>
      <c r="Q918" s="5"/>
      <c r="R918" s="5"/>
      <c r="S918" s="5"/>
      <c r="T918" s="5"/>
      <c r="U918" s="5"/>
      <c r="V918" s="5"/>
      <c r="W918" s="5"/>
      <c r="X918" s="5"/>
      <c r="Y918" s="5"/>
      <c r="Z918" s="5"/>
    </row>
    <row r="919" ht="19.5" customHeight="1">
      <c r="A919" s="49"/>
      <c r="B919" s="50"/>
      <c r="C919" s="50"/>
      <c r="D919" s="50"/>
      <c r="E919" s="50"/>
      <c r="F919" s="51"/>
      <c r="G919" s="50"/>
      <c r="H919" s="50"/>
      <c r="I919" s="50"/>
      <c r="J919" s="48" t="str">
        <f t="array" ref="J919">IF(G919="","",IFERROR(LET(ev_cost,INDEX(Events!$G$5:$G$505,MATCH(G919,Events!$A$5:$A$505,0)),ev_split,INDEX(Events!$I$5:$I$505,MATCH(G919,Events!$A$5:$A$505,0)),att_offset,MATCH(G919,Attendance!$B$3:$AV$3,0),attendees,COUNTIF(INDEX(Attendance!$B$7:$AV$206,0,att_offset),"1"),IF(ev_split="Equal Split",ev_cost/MAX(1,COUNTA(Roster!$A$5:$A$204)),ev_cost/MAX(1,attendees))),"N/A"))</f>
        <v/>
      </c>
      <c r="K919" s="5"/>
      <c r="L919" s="5"/>
      <c r="M919" s="5"/>
      <c r="N919" s="5"/>
      <c r="O919" s="5"/>
      <c r="P919" s="5"/>
      <c r="Q919" s="5"/>
      <c r="R919" s="5"/>
      <c r="S919" s="5"/>
      <c r="T919" s="5"/>
      <c r="U919" s="5"/>
      <c r="V919" s="5"/>
      <c r="W919" s="5"/>
      <c r="X919" s="5"/>
      <c r="Y919" s="5"/>
      <c r="Z919" s="5"/>
    </row>
    <row r="920" ht="19.5" customHeight="1">
      <c r="A920" s="52"/>
      <c r="B920" s="53"/>
      <c r="C920" s="53"/>
      <c r="D920" s="53"/>
      <c r="E920" s="53"/>
      <c r="F920" s="61"/>
      <c r="G920" s="53"/>
      <c r="H920" s="53"/>
      <c r="I920" s="53"/>
      <c r="J920" s="48" t="str">
        <f t="array" ref="J920">IF(G920="","",IFERROR(LET(ev_cost,INDEX(Events!$G$5:$G$505,MATCH(G920,Events!$A$5:$A$505,0)),ev_split,INDEX(Events!$I$5:$I$505,MATCH(G920,Events!$A$5:$A$505,0)),att_offset,MATCH(G920,Attendance!$B$3:$AV$3,0),attendees,COUNTIF(INDEX(Attendance!$B$7:$AV$206,0,att_offset),"1"),IF(ev_split="Equal Split",ev_cost/MAX(1,COUNTA(Roster!$A$5:$A$204)),ev_cost/MAX(1,attendees))),"N/A"))</f>
        <v/>
      </c>
      <c r="K920" s="5"/>
      <c r="L920" s="5"/>
      <c r="M920" s="5"/>
      <c r="N920" s="5"/>
      <c r="O920" s="5"/>
      <c r="P920" s="5"/>
      <c r="Q920" s="5"/>
      <c r="R920" s="5"/>
      <c r="S920" s="5"/>
      <c r="T920" s="5"/>
      <c r="U920" s="5"/>
      <c r="V920" s="5"/>
      <c r="W920" s="5"/>
      <c r="X920" s="5"/>
      <c r="Y920" s="5"/>
      <c r="Z920" s="5"/>
    </row>
    <row r="921" ht="19.5" customHeight="1">
      <c r="A921" s="49"/>
      <c r="B921" s="50"/>
      <c r="C921" s="50"/>
      <c r="D921" s="50"/>
      <c r="E921" s="50"/>
      <c r="F921" s="51"/>
      <c r="G921" s="50"/>
      <c r="H921" s="50"/>
      <c r="I921" s="50"/>
      <c r="J921" s="48" t="str">
        <f t="array" ref="J921">IF(G921="","",IFERROR(LET(ev_cost,INDEX(Events!$G$5:$G$505,MATCH(G921,Events!$A$5:$A$505,0)),ev_split,INDEX(Events!$I$5:$I$505,MATCH(G921,Events!$A$5:$A$505,0)),att_offset,MATCH(G921,Attendance!$B$3:$AV$3,0),attendees,COUNTIF(INDEX(Attendance!$B$7:$AV$206,0,att_offset),"1"),IF(ev_split="Equal Split",ev_cost/MAX(1,COUNTA(Roster!$A$5:$A$204)),ev_cost/MAX(1,attendees))),"N/A"))</f>
        <v/>
      </c>
      <c r="K921" s="5"/>
      <c r="L921" s="5"/>
      <c r="M921" s="5"/>
      <c r="N921" s="5"/>
      <c r="O921" s="5"/>
      <c r="P921" s="5"/>
      <c r="Q921" s="5"/>
      <c r="R921" s="5"/>
      <c r="S921" s="5"/>
      <c r="T921" s="5"/>
      <c r="U921" s="5"/>
      <c r="V921" s="5"/>
      <c r="W921" s="5"/>
      <c r="X921" s="5"/>
      <c r="Y921" s="5"/>
      <c r="Z921" s="5"/>
    </row>
    <row r="922" ht="19.5" customHeight="1">
      <c r="A922" s="52"/>
      <c r="B922" s="53"/>
      <c r="C922" s="53"/>
      <c r="D922" s="53"/>
      <c r="E922" s="53"/>
      <c r="F922" s="61"/>
      <c r="G922" s="53"/>
      <c r="H922" s="53"/>
      <c r="I922" s="53"/>
      <c r="J922" s="48" t="str">
        <f t="array" ref="J922">IF(G922="","",IFERROR(LET(ev_cost,INDEX(Events!$G$5:$G$505,MATCH(G922,Events!$A$5:$A$505,0)),ev_split,INDEX(Events!$I$5:$I$505,MATCH(G922,Events!$A$5:$A$505,0)),att_offset,MATCH(G922,Attendance!$B$3:$AV$3,0),attendees,COUNTIF(INDEX(Attendance!$B$7:$AV$206,0,att_offset),"1"),IF(ev_split="Equal Split",ev_cost/MAX(1,COUNTA(Roster!$A$5:$A$204)),ev_cost/MAX(1,attendees))),"N/A"))</f>
        <v/>
      </c>
      <c r="K922" s="5"/>
      <c r="L922" s="5"/>
      <c r="M922" s="5"/>
      <c r="N922" s="5"/>
      <c r="O922" s="5"/>
      <c r="P922" s="5"/>
      <c r="Q922" s="5"/>
      <c r="R922" s="5"/>
      <c r="S922" s="5"/>
      <c r="T922" s="5"/>
      <c r="U922" s="5"/>
      <c r="V922" s="5"/>
      <c r="W922" s="5"/>
      <c r="X922" s="5"/>
      <c r="Y922" s="5"/>
      <c r="Z922" s="5"/>
    </row>
    <row r="923" ht="19.5" customHeight="1">
      <c r="A923" s="49"/>
      <c r="B923" s="50"/>
      <c r="C923" s="50"/>
      <c r="D923" s="50"/>
      <c r="E923" s="50"/>
      <c r="F923" s="51"/>
      <c r="G923" s="50"/>
      <c r="H923" s="50"/>
      <c r="I923" s="50"/>
      <c r="J923" s="48" t="str">
        <f t="array" ref="J923">IF(G923="","",IFERROR(LET(ev_cost,INDEX(Events!$G$5:$G$505,MATCH(G923,Events!$A$5:$A$505,0)),ev_split,INDEX(Events!$I$5:$I$505,MATCH(G923,Events!$A$5:$A$505,0)),att_offset,MATCH(G923,Attendance!$B$3:$AV$3,0),attendees,COUNTIF(INDEX(Attendance!$B$7:$AV$206,0,att_offset),"1"),IF(ev_split="Equal Split",ev_cost/MAX(1,COUNTA(Roster!$A$5:$A$204)),ev_cost/MAX(1,attendees))),"N/A"))</f>
        <v/>
      </c>
      <c r="K923" s="5"/>
      <c r="L923" s="5"/>
      <c r="M923" s="5"/>
      <c r="N923" s="5"/>
      <c r="O923" s="5"/>
      <c r="P923" s="5"/>
      <c r="Q923" s="5"/>
      <c r="R923" s="5"/>
      <c r="S923" s="5"/>
      <c r="T923" s="5"/>
      <c r="U923" s="5"/>
      <c r="V923" s="5"/>
      <c r="W923" s="5"/>
      <c r="X923" s="5"/>
      <c r="Y923" s="5"/>
      <c r="Z923" s="5"/>
    </row>
    <row r="924" ht="19.5" customHeight="1">
      <c r="A924" s="52"/>
      <c r="B924" s="53"/>
      <c r="C924" s="53"/>
      <c r="D924" s="53"/>
      <c r="E924" s="53"/>
      <c r="F924" s="61"/>
      <c r="G924" s="53"/>
      <c r="H924" s="53"/>
      <c r="I924" s="53"/>
      <c r="J924" s="48" t="str">
        <f t="array" ref="J924">IF(G924="","",IFERROR(LET(ev_cost,INDEX(Events!$G$5:$G$505,MATCH(G924,Events!$A$5:$A$505,0)),ev_split,INDEX(Events!$I$5:$I$505,MATCH(G924,Events!$A$5:$A$505,0)),att_offset,MATCH(G924,Attendance!$B$3:$AV$3,0),attendees,COUNTIF(INDEX(Attendance!$B$7:$AV$206,0,att_offset),"1"),IF(ev_split="Equal Split",ev_cost/MAX(1,COUNTA(Roster!$A$5:$A$204)),ev_cost/MAX(1,attendees))),"N/A"))</f>
        <v/>
      </c>
      <c r="K924" s="5"/>
      <c r="L924" s="5"/>
      <c r="M924" s="5"/>
      <c r="N924" s="5"/>
      <c r="O924" s="5"/>
      <c r="P924" s="5"/>
      <c r="Q924" s="5"/>
      <c r="R924" s="5"/>
      <c r="S924" s="5"/>
      <c r="T924" s="5"/>
      <c r="U924" s="5"/>
      <c r="V924" s="5"/>
      <c r="W924" s="5"/>
      <c r="X924" s="5"/>
      <c r="Y924" s="5"/>
      <c r="Z924" s="5"/>
    </row>
    <row r="925" ht="19.5" customHeight="1">
      <c r="A925" s="49"/>
      <c r="B925" s="50"/>
      <c r="C925" s="50"/>
      <c r="D925" s="50"/>
      <c r="E925" s="50"/>
      <c r="F925" s="51"/>
      <c r="G925" s="50"/>
      <c r="H925" s="50"/>
      <c r="I925" s="50"/>
      <c r="J925" s="48" t="str">
        <f t="array" ref="J925">IF(G925="","",IFERROR(LET(ev_cost,INDEX(Events!$G$5:$G$505,MATCH(G925,Events!$A$5:$A$505,0)),ev_split,INDEX(Events!$I$5:$I$505,MATCH(G925,Events!$A$5:$A$505,0)),att_offset,MATCH(G925,Attendance!$B$3:$AV$3,0),attendees,COUNTIF(INDEX(Attendance!$B$7:$AV$206,0,att_offset),"1"),IF(ev_split="Equal Split",ev_cost/MAX(1,COUNTA(Roster!$A$5:$A$204)),ev_cost/MAX(1,attendees))),"N/A"))</f>
        <v/>
      </c>
      <c r="K925" s="5"/>
      <c r="L925" s="5"/>
      <c r="M925" s="5"/>
      <c r="N925" s="5"/>
      <c r="O925" s="5"/>
      <c r="P925" s="5"/>
      <c r="Q925" s="5"/>
      <c r="R925" s="5"/>
      <c r="S925" s="5"/>
      <c r="T925" s="5"/>
      <c r="U925" s="5"/>
      <c r="V925" s="5"/>
      <c r="W925" s="5"/>
      <c r="X925" s="5"/>
      <c r="Y925" s="5"/>
      <c r="Z925" s="5"/>
    </row>
    <row r="926" ht="19.5" customHeight="1">
      <c r="A926" s="52"/>
      <c r="B926" s="53"/>
      <c r="C926" s="53"/>
      <c r="D926" s="53"/>
      <c r="E926" s="53"/>
      <c r="F926" s="61"/>
      <c r="G926" s="53"/>
      <c r="H926" s="53"/>
      <c r="I926" s="53"/>
      <c r="J926" s="48" t="str">
        <f t="array" ref="J926">IF(G926="","",IFERROR(LET(ev_cost,INDEX(Events!$G$5:$G$505,MATCH(G926,Events!$A$5:$A$505,0)),ev_split,INDEX(Events!$I$5:$I$505,MATCH(G926,Events!$A$5:$A$505,0)),att_offset,MATCH(G926,Attendance!$B$3:$AV$3,0),attendees,COUNTIF(INDEX(Attendance!$B$7:$AV$206,0,att_offset),"1"),IF(ev_split="Equal Split",ev_cost/MAX(1,COUNTA(Roster!$A$5:$A$204)),ev_cost/MAX(1,attendees))),"N/A"))</f>
        <v/>
      </c>
      <c r="K926" s="5"/>
      <c r="L926" s="5"/>
      <c r="M926" s="5"/>
      <c r="N926" s="5"/>
      <c r="O926" s="5"/>
      <c r="P926" s="5"/>
      <c r="Q926" s="5"/>
      <c r="R926" s="5"/>
      <c r="S926" s="5"/>
      <c r="T926" s="5"/>
      <c r="U926" s="5"/>
      <c r="V926" s="5"/>
      <c r="W926" s="5"/>
      <c r="X926" s="5"/>
      <c r="Y926" s="5"/>
      <c r="Z926" s="5"/>
    </row>
    <row r="927" ht="19.5" customHeight="1">
      <c r="A927" s="49"/>
      <c r="B927" s="50"/>
      <c r="C927" s="50"/>
      <c r="D927" s="50"/>
      <c r="E927" s="50"/>
      <c r="F927" s="51"/>
      <c r="G927" s="50"/>
      <c r="H927" s="50"/>
      <c r="I927" s="50"/>
      <c r="J927" s="48" t="str">
        <f t="array" ref="J927">IF(G927="","",IFERROR(LET(ev_cost,INDEX(Events!$G$5:$G$505,MATCH(G927,Events!$A$5:$A$505,0)),ev_split,INDEX(Events!$I$5:$I$505,MATCH(G927,Events!$A$5:$A$505,0)),att_offset,MATCH(G927,Attendance!$B$3:$AV$3,0),attendees,COUNTIF(INDEX(Attendance!$B$7:$AV$206,0,att_offset),"1"),IF(ev_split="Equal Split",ev_cost/MAX(1,COUNTA(Roster!$A$5:$A$204)),ev_cost/MAX(1,attendees))),"N/A"))</f>
        <v/>
      </c>
      <c r="K927" s="5"/>
      <c r="L927" s="5"/>
      <c r="M927" s="5"/>
      <c r="N927" s="5"/>
      <c r="O927" s="5"/>
      <c r="P927" s="5"/>
      <c r="Q927" s="5"/>
      <c r="R927" s="5"/>
      <c r="S927" s="5"/>
      <c r="T927" s="5"/>
      <c r="U927" s="5"/>
      <c r="V927" s="5"/>
      <c r="W927" s="5"/>
      <c r="X927" s="5"/>
      <c r="Y927" s="5"/>
      <c r="Z927" s="5"/>
    </row>
    <row r="928" ht="19.5" customHeight="1">
      <c r="A928" s="52"/>
      <c r="B928" s="53"/>
      <c r="C928" s="53"/>
      <c r="D928" s="53"/>
      <c r="E928" s="53"/>
      <c r="F928" s="61"/>
      <c r="G928" s="53"/>
      <c r="H928" s="53"/>
      <c r="I928" s="53"/>
      <c r="J928" s="48" t="str">
        <f t="array" ref="J928">IF(G928="","",IFERROR(LET(ev_cost,INDEX(Events!$G$5:$G$505,MATCH(G928,Events!$A$5:$A$505,0)),ev_split,INDEX(Events!$I$5:$I$505,MATCH(G928,Events!$A$5:$A$505,0)),att_offset,MATCH(G928,Attendance!$B$3:$AV$3,0),attendees,COUNTIF(INDEX(Attendance!$B$7:$AV$206,0,att_offset),"1"),IF(ev_split="Equal Split",ev_cost/MAX(1,COUNTA(Roster!$A$5:$A$204)),ev_cost/MAX(1,attendees))),"N/A"))</f>
        <v/>
      </c>
      <c r="K928" s="5"/>
      <c r="L928" s="5"/>
      <c r="M928" s="5"/>
      <c r="N928" s="5"/>
      <c r="O928" s="5"/>
      <c r="P928" s="5"/>
      <c r="Q928" s="5"/>
      <c r="R928" s="5"/>
      <c r="S928" s="5"/>
      <c r="T928" s="5"/>
      <c r="U928" s="5"/>
      <c r="V928" s="5"/>
      <c r="W928" s="5"/>
      <c r="X928" s="5"/>
      <c r="Y928" s="5"/>
      <c r="Z928" s="5"/>
    </row>
    <row r="929" ht="19.5" customHeight="1">
      <c r="A929" s="49"/>
      <c r="B929" s="50"/>
      <c r="C929" s="50"/>
      <c r="D929" s="50"/>
      <c r="E929" s="50"/>
      <c r="F929" s="51"/>
      <c r="G929" s="50"/>
      <c r="H929" s="50"/>
      <c r="I929" s="50"/>
      <c r="J929" s="48" t="str">
        <f t="array" ref="J929">IF(G929="","",IFERROR(LET(ev_cost,INDEX(Events!$G$5:$G$505,MATCH(G929,Events!$A$5:$A$505,0)),ev_split,INDEX(Events!$I$5:$I$505,MATCH(G929,Events!$A$5:$A$505,0)),att_offset,MATCH(G929,Attendance!$B$3:$AV$3,0),attendees,COUNTIF(INDEX(Attendance!$B$7:$AV$206,0,att_offset),"1"),IF(ev_split="Equal Split",ev_cost/MAX(1,COUNTA(Roster!$A$5:$A$204)),ev_cost/MAX(1,attendees))),"N/A"))</f>
        <v/>
      </c>
      <c r="K929" s="5"/>
      <c r="L929" s="5"/>
      <c r="M929" s="5"/>
      <c r="N929" s="5"/>
      <c r="O929" s="5"/>
      <c r="P929" s="5"/>
      <c r="Q929" s="5"/>
      <c r="R929" s="5"/>
      <c r="S929" s="5"/>
      <c r="T929" s="5"/>
      <c r="U929" s="5"/>
      <c r="V929" s="5"/>
      <c r="W929" s="5"/>
      <c r="X929" s="5"/>
      <c r="Y929" s="5"/>
      <c r="Z929" s="5"/>
    </row>
    <row r="930" ht="19.5" customHeight="1">
      <c r="A930" s="52"/>
      <c r="B930" s="53"/>
      <c r="C930" s="53"/>
      <c r="D930" s="53"/>
      <c r="E930" s="53"/>
      <c r="F930" s="61"/>
      <c r="G930" s="53"/>
      <c r="H930" s="53"/>
      <c r="I930" s="53"/>
      <c r="J930" s="48" t="str">
        <f t="array" ref="J930">IF(G930="","",IFERROR(LET(ev_cost,INDEX(Events!$G$5:$G$505,MATCH(G930,Events!$A$5:$A$505,0)),ev_split,INDEX(Events!$I$5:$I$505,MATCH(G930,Events!$A$5:$A$505,0)),att_offset,MATCH(G930,Attendance!$B$3:$AV$3,0),attendees,COUNTIF(INDEX(Attendance!$B$7:$AV$206,0,att_offset),"1"),IF(ev_split="Equal Split",ev_cost/MAX(1,COUNTA(Roster!$A$5:$A$204)),ev_cost/MAX(1,attendees))),"N/A"))</f>
        <v/>
      </c>
      <c r="K930" s="5"/>
      <c r="L930" s="5"/>
      <c r="M930" s="5"/>
      <c r="N930" s="5"/>
      <c r="O930" s="5"/>
      <c r="P930" s="5"/>
      <c r="Q930" s="5"/>
      <c r="R930" s="5"/>
      <c r="S930" s="5"/>
      <c r="T930" s="5"/>
      <c r="U930" s="5"/>
      <c r="V930" s="5"/>
      <c r="W930" s="5"/>
      <c r="X930" s="5"/>
      <c r="Y930" s="5"/>
      <c r="Z930" s="5"/>
    </row>
    <row r="931" ht="19.5" customHeight="1">
      <c r="A931" s="49"/>
      <c r="B931" s="50"/>
      <c r="C931" s="50"/>
      <c r="D931" s="50"/>
      <c r="E931" s="50"/>
      <c r="F931" s="51"/>
      <c r="G931" s="50"/>
      <c r="H931" s="50"/>
      <c r="I931" s="50"/>
      <c r="J931" s="48" t="str">
        <f t="array" ref="J931">IF(G931="","",IFERROR(LET(ev_cost,INDEX(Events!$G$5:$G$505,MATCH(G931,Events!$A$5:$A$505,0)),ev_split,INDEX(Events!$I$5:$I$505,MATCH(G931,Events!$A$5:$A$505,0)),att_offset,MATCH(G931,Attendance!$B$3:$AV$3,0),attendees,COUNTIF(INDEX(Attendance!$B$7:$AV$206,0,att_offset),"1"),IF(ev_split="Equal Split",ev_cost/MAX(1,COUNTA(Roster!$A$5:$A$204)),ev_cost/MAX(1,attendees))),"N/A"))</f>
        <v/>
      </c>
      <c r="K931" s="5"/>
      <c r="L931" s="5"/>
      <c r="M931" s="5"/>
      <c r="N931" s="5"/>
      <c r="O931" s="5"/>
      <c r="P931" s="5"/>
      <c r="Q931" s="5"/>
      <c r="R931" s="5"/>
      <c r="S931" s="5"/>
      <c r="T931" s="5"/>
      <c r="U931" s="5"/>
      <c r="V931" s="5"/>
      <c r="W931" s="5"/>
      <c r="X931" s="5"/>
      <c r="Y931" s="5"/>
      <c r="Z931" s="5"/>
    </row>
    <row r="932" ht="19.5" customHeight="1">
      <c r="A932" s="52"/>
      <c r="B932" s="53"/>
      <c r="C932" s="53"/>
      <c r="D932" s="53"/>
      <c r="E932" s="53"/>
      <c r="F932" s="61"/>
      <c r="G932" s="53"/>
      <c r="H932" s="53"/>
      <c r="I932" s="53"/>
      <c r="J932" s="48" t="str">
        <f t="array" ref="J932">IF(G932="","",IFERROR(LET(ev_cost,INDEX(Events!$G$5:$G$505,MATCH(G932,Events!$A$5:$A$505,0)),ev_split,INDEX(Events!$I$5:$I$505,MATCH(G932,Events!$A$5:$A$505,0)),att_offset,MATCH(G932,Attendance!$B$3:$AV$3,0),attendees,COUNTIF(INDEX(Attendance!$B$7:$AV$206,0,att_offset),"1"),IF(ev_split="Equal Split",ev_cost/MAX(1,COUNTA(Roster!$A$5:$A$204)),ev_cost/MAX(1,attendees))),"N/A"))</f>
        <v/>
      </c>
      <c r="K932" s="5"/>
      <c r="L932" s="5"/>
      <c r="M932" s="5"/>
      <c r="N932" s="5"/>
      <c r="O932" s="5"/>
      <c r="P932" s="5"/>
      <c r="Q932" s="5"/>
      <c r="R932" s="5"/>
      <c r="S932" s="5"/>
      <c r="T932" s="5"/>
      <c r="U932" s="5"/>
      <c r="V932" s="5"/>
      <c r="W932" s="5"/>
      <c r="X932" s="5"/>
      <c r="Y932" s="5"/>
      <c r="Z932" s="5"/>
    </row>
    <row r="933" ht="19.5" customHeight="1">
      <c r="A933" s="49"/>
      <c r="B933" s="50"/>
      <c r="C933" s="50"/>
      <c r="D933" s="50"/>
      <c r="E933" s="50"/>
      <c r="F933" s="51"/>
      <c r="G933" s="50"/>
      <c r="H933" s="50"/>
      <c r="I933" s="50"/>
      <c r="J933" s="48" t="str">
        <f t="array" ref="J933">IF(G933="","",IFERROR(LET(ev_cost,INDEX(Events!$G$5:$G$505,MATCH(G933,Events!$A$5:$A$505,0)),ev_split,INDEX(Events!$I$5:$I$505,MATCH(G933,Events!$A$5:$A$505,0)),att_offset,MATCH(G933,Attendance!$B$3:$AV$3,0),attendees,COUNTIF(INDEX(Attendance!$B$7:$AV$206,0,att_offset),"1"),IF(ev_split="Equal Split",ev_cost/MAX(1,COUNTA(Roster!$A$5:$A$204)),ev_cost/MAX(1,attendees))),"N/A"))</f>
        <v/>
      </c>
      <c r="K933" s="5"/>
      <c r="L933" s="5"/>
      <c r="M933" s="5"/>
      <c r="N933" s="5"/>
      <c r="O933" s="5"/>
      <c r="P933" s="5"/>
      <c r="Q933" s="5"/>
      <c r="R933" s="5"/>
      <c r="S933" s="5"/>
      <c r="T933" s="5"/>
      <c r="U933" s="5"/>
      <c r="V933" s="5"/>
      <c r="W933" s="5"/>
      <c r="X933" s="5"/>
      <c r="Y933" s="5"/>
      <c r="Z933" s="5"/>
    </row>
    <row r="934" ht="19.5" customHeight="1">
      <c r="A934" s="52"/>
      <c r="B934" s="53"/>
      <c r="C934" s="53"/>
      <c r="D934" s="53"/>
      <c r="E934" s="53"/>
      <c r="F934" s="61"/>
      <c r="G934" s="53"/>
      <c r="H934" s="53"/>
      <c r="I934" s="53"/>
      <c r="J934" s="48" t="str">
        <f t="array" ref="J934">IF(G934="","",IFERROR(LET(ev_cost,INDEX(Events!$G$5:$G$505,MATCH(G934,Events!$A$5:$A$505,0)),ev_split,INDEX(Events!$I$5:$I$505,MATCH(G934,Events!$A$5:$A$505,0)),att_offset,MATCH(G934,Attendance!$B$3:$AV$3,0),attendees,COUNTIF(INDEX(Attendance!$B$7:$AV$206,0,att_offset),"1"),IF(ev_split="Equal Split",ev_cost/MAX(1,COUNTA(Roster!$A$5:$A$204)),ev_cost/MAX(1,attendees))),"N/A"))</f>
        <v/>
      </c>
      <c r="K934" s="5"/>
      <c r="L934" s="5"/>
      <c r="M934" s="5"/>
      <c r="N934" s="5"/>
      <c r="O934" s="5"/>
      <c r="P934" s="5"/>
      <c r="Q934" s="5"/>
      <c r="R934" s="5"/>
      <c r="S934" s="5"/>
      <c r="T934" s="5"/>
      <c r="U934" s="5"/>
      <c r="V934" s="5"/>
      <c r="W934" s="5"/>
      <c r="X934" s="5"/>
      <c r="Y934" s="5"/>
      <c r="Z934" s="5"/>
    </row>
    <row r="935" ht="19.5" customHeight="1">
      <c r="A935" s="49"/>
      <c r="B935" s="50"/>
      <c r="C935" s="50"/>
      <c r="D935" s="50"/>
      <c r="E935" s="50"/>
      <c r="F935" s="51"/>
      <c r="G935" s="50"/>
      <c r="H935" s="50"/>
      <c r="I935" s="50"/>
      <c r="J935" s="48" t="str">
        <f t="array" ref="J935">IF(G935="","",IFERROR(LET(ev_cost,INDEX(Events!$G$5:$G$505,MATCH(G935,Events!$A$5:$A$505,0)),ev_split,INDEX(Events!$I$5:$I$505,MATCH(G935,Events!$A$5:$A$505,0)),att_offset,MATCH(G935,Attendance!$B$3:$AV$3,0),attendees,COUNTIF(INDEX(Attendance!$B$7:$AV$206,0,att_offset),"1"),IF(ev_split="Equal Split",ev_cost/MAX(1,COUNTA(Roster!$A$5:$A$204)),ev_cost/MAX(1,attendees))),"N/A"))</f>
        <v/>
      </c>
      <c r="K935" s="5"/>
      <c r="L935" s="5"/>
      <c r="M935" s="5"/>
      <c r="N935" s="5"/>
      <c r="O935" s="5"/>
      <c r="P935" s="5"/>
      <c r="Q935" s="5"/>
      <c r="R935" s="5"/>
      <c r="S935" s="5"/>
      <c r="T935" s="5"/>
      <c r="U935" s="5"/>
      <c r="V935" s="5"/>
      <c r="W935" s="5"/>
      <c r="X935" s="5"/>
      <c r="Y935" s="5"/>
      <c r="Z935" s="5"/>
    </row>
    <row r="936" ht="19.5" customHeight="1">
      <c r="A936" s="52"/>
      <c r="B936" s="53"/>
      <c r="C936" s="53"/>
      <c r="D936" s="53"/>
      <c r="E936" s="53"/>
      <c r="F936" s="61"/>
      <c r="G936" s="53"/>
      <c r="H936" s="53"/>
      <c r="I936" s="53"/>
      <c r="J936" s="48" t="str">
        <f t="array" ref="J936">IF(G936="","",IFERROR(LET(ev_cost,INDEX(Events!$G$5:$G$505,MATCH(G936,Events!$A$5:$A$505,0)),ev_split,INDEX(Events!$I$5:$I$505,MATCH(G936,Events!$A$5:$A$505,0)),att_offset,MATCH(G936,Attendance!$B$3:$AV$3,0),attendees,COUNTIF(INDEX(Attendance!$B$7:$AV$206,0,att_offset),"1"),IF(ev_split="Equal Split",ev_cost/MAX(1,COUNTA(Roster!$A$5:$A$204)),ev_cost/MAX(1,attendees))),"N/A"))</f>
        <v/>
      </c>
      <c r="K936" s="5"/>
      <c r="L936" s="5"/>
      <c r="M936" s="5"/>
      <c r="N936" s="5"/>
      <c r="O936" s="5"/>
      <c r="P936" s="5"/>
      <c r="Q936" s="5"/>
      <c r="R936" s="5"/>
      <c r="S936" s="5"/>
      <c r="T936" s="5"/>
      <c r="U936" s="5"/>
      <c r="V936" s="5"/>
      <c r="W936" s="5"/>
      <c r="X936" s="5"/>
      <c r="Y936" s="5"/>
      <c r="Z936" s="5"/>
    </row>
    <row r="937" ht="19.5" customHeight="1">
      <c r="A937" s="49"/>
      <c r="B937" s="50"/>
      <c r="C937" s="50"/>
      <c r="D937" s="50"/>
      <c r="E937" s="50"/>
      <c r="F937" s="51"/>
      <c r="G937" s="50"/>
      <c r="H937" s="50"/>
      <c r="I937" s="50"/>
      <c r="J937" s="48" t="str">
        <f t="array" ref="J937">IF(G937="","",IFERROR(LET(ev_cost,INDEX(Events!$G$5:$G$505,MATCH(G937,Events!$A$5:$A$505,0)),ev_split,INDEX(Events!$I$5:$I$505,MATCH(G937,Events!$A$5:$A$505,0)),att_offset,MATCH(G937,Attendance!$B$3:$AV$3,0),attendees,COUNTIF(INDEX(Attendance!$B$7:$AV$206,0,att_offset),"1"),IF(ev_split="Equal Split",ev_cost/MAX(1,COUNTA(Roster!$A$5:$A$204)),ev_cost/MAX(1,attendees))),"N/A"))</f>
        <v/>
      </c>
      <c r="K937" s="5"/>
      <c r="L937" s="5"/>
      <c r="M937" s="5"/>
      <c r="N937" s="5"/>
      <c r="O937" s="5"/>
      <c r="P937" s="5"/>
      <c r="Q937" s="5"/>
      <c r="R937" s="5"/>
      <c r="S937" s="5"/>
      <c r="T937" s="5"/>
      <c r="U937" s="5"/>
      <c r="V937" s="5"/>
      <c r="W937" s="5"/>
      <c r="X937" s="5"/>
      <c r="Y937" s="5"/>
      <c r="Z937" s="5"/>
    </row>
    <row r="938" ht="19.5" customHeight="1">
      <c r="A938" s="52"/>
      <c r="B938" s="53"/>
      <c r="C938" s="53"/>
      <c r="D938" s="53"/>
      <c r="E938" s="53"/>
      <c r="F938" s="61"/>
      <c r="G938" s="53"/>
      <c r="H938" s="53"/>
      <c r="I938" s="53"/>
      <c r="J938" s="48" t="str">
        <f t="array" ref="J938">IF(G938="","",IFERROR(LET(ev_cost,INDEX(Events!$G$5:$G$505,MATCH(G938,Events!$A$5:$A$505,0)),ev_split,INDEX(Events!$I$5:$I$505,MATCH(G938,Events!$A$5:$A$505,0)),att_offset,MATCH(G938,Attendance!$B$3:$AV$3,0),attendees,COUNTIF(INDEX(Attendance!$B$7:$AV$206,0,att_offset),"1"),IF(ev_split="Equal Split",ev_cost/MAX(1,COUNTA(Roster!$A$5:$A$204)),ev_cost/MAX(1,attendees))),"N/A"))</f>
        <v/>
      </c>
      <c r="K938" s="5"/>
      <c r="L938" s="5"/>
      <c r="M938" s="5"/>
      <c r="N938" s="5"/>
      <c r="O938" s="5"/>
      <c r="P938" s="5"/>
      <c r="Q938" s="5"/>
      <c r="R938" s="5"/>
      <c r="S938" s="5"/>
      <c r="T938" s="5"/>
      <c r="U938" s="5"/>
      <c r="V938" s="5"/>
      <c r="W938" s="5"/>
      <c r="X938" s="5"/>
      <c r="Y938" s="5"/>
      <c r="Z938" s="5"/>
    </row>
    <row r="939" ht="19.5" customHeight="1">
      <c r="A939" s="49"/>
      <c r="B939" s="50"/>
      <c r="C939" s="50"/>
      <c r="D939" s="50"/>
      <c r="E939" s="50"/>
      <c r="F939" s="51"/>
      <c r="G939" s="50"/>
      <c r="H939" s="50"/>
      <c r="I939" s="50"/>
      <c r="J939" s="48" t="str">
        <f t="array" ref="J939">IF(G939="","",IFERROR(LET(ev_cost,INDEX(Events!$G$5:$G$505,MATCH(G939,Events!$A$5:$A$505,0)),ev_split,INDEX(Events!$I$5:$I$505,MATCH(G939,Events!$A$5:$A$505,0)),att_offset,MATCH(G939,Attendance!$B$3:$AV$3,0),attendees,COUNTIF(INDEX(Attendance!$B$7:$AV$206,0,att_offset),"1"),IF(ev_split="Equal Split",ev_cost/MAX(1,COUNTA(Roster!$A$5:$A$204)),ev_cost/MAX(1,attendees))),"N/A"))</f>
        <v/>
      </c>
      <c r="K939" s="5"/>
      <c r="L939" s="5"/>
      <c r="M939" s="5"/>
      <c r="N939" s="5"/>
      <c r="O939" s="5"/>
      <c r="P939" s="5"/>
      <c r="Q939" s="5"/>
      <c r="R939" s="5"/>
      <c r="S939" s="5"/>
      <c r="T939" s="5"/>
      <c r="U939" s="5"/>
      <c r="V939" s="5"/>
      <c r="W939" s="5"/>
      <c r="X939" s="5"/>
      <c r="Y939" s="5"/>
      <c r="Z939" s="5"/>
    </row>
    <row r="940" ht="19.5" customHeight="1">
      <c r="A940" s="52"/>
      <c r="B940" s="53"/>
      <c r="C940" s="53"/>
      <c r="D940" s="53"/>
      <c r="E940" s="53"/>
      <c r="F940" s="61"/>
      <c r="G940" s="53"/>
      <c r="H940" s="53"/>
      <c r="I940" s="53"/>
      <c r="J940" s="48" t="str">
        <f t="array" ref="J940">IF(G940="","",IFERROR(LET(ev_cost,INDEX(Events!$G$5:$G$505,MATCH(G940,Events!$A$5:$A$505,0)),ev_split,INDEX(Events!$I$5:$I$505,MATCH(G940,Events!$A$5:$A$505,0)),att_offset,MATCH(G940,Attendance!$B$3:$AV$3,0),attendees,COUNTIF(INDEX(Attendance!$B$7:$AV$206,0,att_offset),"1"),IF(ev_split="Equal Split",ev_cost/MAX(1,COUNTA(Roster!$A$5:$A$204)),ev_cost/MAX(1,attendees))),"N/A"))</f>
        <v/>
      </c>
      <c r="K940" s="5"/>
      <c r="L940" s="5"/>
      <c r="M940" s="5"/>
      <c r="N940" s="5"/>
      <c r="O940" s="5"/>
      <c r="P940" s="5"/>
      <c r="Q940" s="5"/>
      <c r="R940" s="5"/>
      <c r="S940" s="5"/>
      <c r="T940" s="5"/>
      <c r="U940" s="5"/>
      <c r="V940" s="5"/>
      <c r="W940" s="5"/>
      <c r="X940" s="5"/>
      <c r="Y940" s="5"/>
      <c r="Z940" s="5"/>
    </row>
    <row r="941" ht="19.5" customHeight="1">
      <c r="A941" s="49"/>
      <c r="B941" s="50"/>
      <c r="C941" s="50"/>
      <c r="D941" s="50"/>
      <c r="E941" s="50"/>
      <c r="F941" s="51"/>
      <c r="G941" s="50"/>
      <c r="H941" s="50"/>
      <c r="I941" s="50"/>
      <c r="J941" s="48" t="str">
        <f t="array" ref="J941">IF(G941="","",IFERROR(LET(ev_cost,INDEX(Events!$G$5:$G$505,MATCH(G941,Events!$A$5:$A$505,0)),ev_split,INDEX(Events!$I$5:$I$505,MATCH(G941,Events!$A$5:$A$505,0)),att_offset,MATCH(G941,Attendance!$B$3:$AV$3,0),attendees,COUNTIF(INDEX(Attendance!$B$7:$AV$206,0,att_offset),"1"),IF(ev_split="Equal Split",ev_cost/MAX(1,COUNTA(Roster!$A$5:$A$204)),ev_cost/MAX(1,attendees))),"N/A"))</f>
        <v/>
      </c>
      <c r="K941" s="5"/>
      <c r="L941" s="5"/>
      <c r="M941" s="5"/>
      <c r="N941" s="5"/>
      <c r="O941" s="5"/>
      <c r="P941" s="5"/>
      <c r="Q941" s="5"/>
      <c r="R941" s="5"/>
      <c r="S941" s="5"/>
      <c r="T941" s="5"/>
      <c r="U941" s="5"/>
      <c r="V941" s="5"/>
      <c r="W941" s="5"/>
      <c r="X941" s="5"/>
      <c r="Y941" s="5"/>
      <c r="Z941" s="5"/>
    </row>
    <row r="942" ht="19.5" customHeight="1">
      <c r="A942" s="52"/>
      <c r="B942" s="53"/>
      <c r="C942" s="53"/>
      <c r="D942" s="53"/>
      <c r="E942" s="53"/>
      <c r="F942" s="61"/>
      <c r="G942" s="53"/>
      <c r="H942" s="53"/>
      <c r="I942" s="53"/>
      <c r="J942" s="48" t="str">
        <f t="array" ref="J942">IF(G942="","",IFERROR(LET(ev_cost,INDEX(Events!$G$5:$G$505,MATCH(G942,Events!$A$5:$A$505,0)),ev_split,INDEX(Events!$I$5:$I$505,MATCH(G942,Events!$A$5:$A$505,0)),att_offset,MATCH(G942,Attendance!$B$3:$AV$3,0),attendees,COUNTIF(INDEX(Attendance!$B$7:$AV$206,0,att_offset),"1"),IF(ev_split="Equal Split",ev_cost/MAX(1,COUNTA(Roster!$A$5:$A$204)),ev_cost/MAX(1,attendees))),"N/A"))</f>
        <v/>
      </c>
      <c r="K942" s="5"/>
      <c r="L942" s="5"/>
      <c r="M942" s="5"/>
      <c r="N942" s="5"/>
      <c r="O942" s="5"/>
      <c r="P942" s="5"/>
      <c r="Q942" s="5"/>
      <c r="R942" s="5"/>
      <c r="S942" s="5"/>
      <c r="T942" s="5"/>
      <c r="U942" s="5"/>
      <c r="V942" s="5"/>
      <c r="W942" s="5"/>
      <c r="X942" s="5"/>
      <c r="Y942" s="5"/>
      <c r="Z942" s="5"/>
    </row>
    <row r="943" ht="19.5" customHeight="1">
      <c r="A943" s="49"/>
      <c r="B943" s="50"/>
      <c r="C943" s="50"/>
      <c r="D943" s="50"/>
      <c r="E943" s="50"/>
      <c r="F943" s="51"/>
      <c r="G943" s="50"/>
      <c r="H943" s="50"/>
      <c r="I943" s="50"/>
      <c r="J943" s="48" t="str">
        <f t="array" ref="J943">IF(G943="","",IFERROR(LET(ev_cost,INDEX(Events!$G$5:$G$505,MATCH(G943,Events!$A$5:$A$505,0)),ev_split,INDEX(Events!$I$5:$I$505,MATCH(G943,Events!$A$5:$A$505,0)),att_offset,MATCH(G943,Attendance!$B$3:$AV$3,0),attendees,COUNTIF(INDEX(Attendance!$B$7:$AV$206,0,att_offset),"1"),IF(ev_split="Equal Split",ev_cost/MAX(1,COUNTA(Roster!$A$5:$A$204)),ev_cost/MAX(1,attendees))),"N/A"))</f>
        <v/>
      </c>
      <c r="K943" s="5"/>
      <c r="L943" s="5"/>
      <c r="M943" s="5"/>
      <c r="N943" s="5"/>
      <c r="O943" s="5"/>
      <c r="P943" s="5"/>
      <c r="Q943" s="5"/>
      <c r="R943" s="5"/>
      <c r="S943" s="5"/>
      <c r="T943" s="5"/>
      <c r="U943" s="5"/>
      <c r="V943" s="5"/>
      <c r="W943" s="5"/>
      <c r="X943" s="5"/>
      <c r="Y943" s="5"/>
      <c r="Z943" s="5"/>
    </row>
    <row r="944" ht="19.5" customHeight="1">
      <c r="A944" s="52"/>
      <c r="B944" s="53"/>
      <c r="C944" s="53"/>
      <c r="D944" s="53"/>
      <c r="E944" s="53"/>
      <c r="F944" s="61"/>
      <c r="G944" s="53"/>
      <c r="H944" s="53"/>
      <c r="I944" s="53"/>
      <c r="J944" s="48" t="str">
        <f t="array" ref="J944">IF(G944="","",IFERROR(LET(ev_cost,INDEX(Events!$G$5:$G$505,MATCH(G944,Events!$A$5:$A$505,0)),ev_split,INDEX(Events!$I$5:$I$505,MATCH(G944,Events!$A$5:$A$505,0)),att_offset,MATCH(G944,Attendance!$B$3:$AV$3,0),attendees,COUNTIF(INDEX(Attendance!$B$7:$AV$206,0,att_offset),"1"),IF(ev_split="Equal Split",ev_cost/MAX(1,COUNTA(Roster!$A$5:$A$204)),ev_cost/MAX(1,attendees))),"N/A"))</f>
        <v/>
      </c>
      <c r="K944" s="5"/>
      <c r="L944" s="5"/>
      <c r="M944" s="5"/>
      <c r="N944" s="5"/>
      <c r="O944" s="5"/>
      <c r="P944" s="5"/>
      <c r="Q944" s="5"/>
      <c r="R944" s="5"/>
      <c r="S944" s="5"/>
      <c r="T944" s="5"/>
      <c r="U944" s="5"/>
      <c r="V944" s="5"/>
      <c r="W944" s="5"/>
      <c r="X944" s="5"/>
      <c r="Y944" s="5"/>
      <c r="Z944" s="5"/>
    </row>
    <row r="945" ht="19.5" customHeight="1">
      <c r="A945" s="49"/>
      <c r="B945" s="50"/>
      <c r="C945" s="50"/>
      <c r="D945" s="50"/>
      <c r="E945" s="50"/>
      <c r="F945" s="51"/>
      <c r="G945" s="50"/>
      <c r="H945" s="50"/>
      <c r="I945" s="50"/>
      <c r="J945" s="48" t="str">
        <f t="array" ref="J945">IF(G945="","",IFERROR(LET(ev_cost,INDEX(Events!$G$5:$G$505,MATCH(G945,Events!$A$5:$A$505,0)),ev_split,INDEX(Events!$I$5:$I$505,MATCH(G945,Events!$A$5:$A$505,0)),att_offset,MATCH(G945,Attendance!$B$3:$AV$3,0),attendees,COUNTIF(INDEX(Attendance!$B$7:$AV$206,0,att_offset),"1"),IF(ev_split="Equal Split",ev_cost/MAX(1,COUNTA(Roster!$A$5:$A$204)),ev_cost/MAX(1,attendees))),"N/A"))</f>
        <v/>
      </c>
      <c r="K945" s="5"/>
      <c r="L945" s="5"/>
      <c r="M945" s="5"/>
      <c r="N945" s="5"/>
      <c r="O945" s="5"/>
      <c r="P945" s="5"/>
      <c r="Q945" s="5"/>
      <c r="R945" s="5"/>
      <c r="S945" s="5"/>
      <c r="T945" s="5"/>
      <c r="U945" s="5"/>
      <c r="V945" s="5"/>
      <c r="W945" s="5"/>
      <c r="X945" s="5"/>
      <c r="Y945" s="5"/>
      <c r="Z945" s="5"/>
    </row>
    <row r="946" ht="19.5" customHeight="1">
      <c r="A946" s="52"/>
      <c r="B946" s="53"/>
      <c r="C946" s="53"/>
      <c r="D946" s="53"/>
      <c r="E946" s="53"/>
      <c r="F946" s="61"/>
      <c r="G946" s="53"/>
      <c r="H946" s="53"/>
      <c r="I946" s="53"/>
      <c r="J946" s="48" t="str">
        <f t="array" ref="J946">IF(G946="","",IFERROR(LET(ev_cost,INDEX(Events!$G$5:$G$505,MATCH(G946,Events!$A$5:$A$505,0)),ev_split,INDEX(Events!$I$5:$I$505,MATCH(G946,Events!$A$5:$A$505,0)),att_offset,MATCH(G946,Attendance!$B$3:$AV$3,0),attendees,COUNTIF(INDEX(Attendance!$B$7:$AV$206,0,att_offset),"1"),IF(ev_split="Equal Split",ev_cost/MAX(1,COUNTA(Roster!$A$5:$A$204)),ev_cost/MAX(1,attendees))),"N/A"))</f>
        <v/>
      </c>
      <c r="K946" s="5"/>
      <c r="L946" s="5"/>
      <c r="M946" s="5"/>
      <c r="N946" s="5"/>
      <c r="O946" s="5"/>
      <c r="P946" s="5"/>
      <c r="Q946" s="5"/>
      <c r="R946" s="5"/>
      <c r="S946" s="5"/>
      <c r="T946" s="5"/>
      <c r="U946" s="5"/>
      <c r="V946" s="5"/>
      <c r="W946" s="5"/>
      <c r="X946" s="5"/>
      <c r="Y946" s="5"/>
      <c r="Z946" s="5"/>
    </row>
    <row r="947" ht="19.5" customHeight="1">
      <c r="A947" s="49"/>
      <c r="B947" s="50"/>
      <c r="C947" s="50"/>
      <c r="D947" s="50"/>
      <c r="E947" s="50"/>
      <c r="F947" s="51"/>
      <c r="G947" s="50"/>
      <c r="H947" s="50"/>
      <c r="I947" s="50"/>
      <c r="J947" s="48" t="str">
        <f t="array" ref="J947">IF(G947="","",IFERROR(LET(ev_cost,INDEX(Events!$G$5:$G$505,MATCH(G947,Events!$A$5:$A$505,0)),ev_split,INDEX(Events!$I$5:$I$505,MATCH(G947,Events!$A$5:$A$505,0)),att_offset,MATCH(G947,Attendance!$B$3:$AV$3,0),attendees,COUNTIF(INDEX(Attendance!$B$7:$AV$206,0,att_offset),"1"),IF(ev_split="Equal Split",ev_cost/MAX(1,COUNTA(Roster!$A$5:$A$204)),ev_cost/MAX(1,attendees))),"N/A"))</f>
        <v/>
      </c>
      <c r="K947" s="5"/>
      <c r="L947" s="5"/>
      <c r="M947" s="5"/>
      <c r="N947" s="5"/>
      <c r="O947" s="5"/>
      <c r="P947" s="5"/>
      <c r="Q947" s="5"/>
      <c r="R947" s="5"/>
      <c r="S947" s="5"/>
      <c r="T947" s="5"/>
      <c r="U947" s="5"/>
      <c r="V947" s="5"/>
      <c r="W947" s="5"/>
      <c r="X947" s="5"/>
      <c r="Y947" s="5"/>
      <c r="Z947" s="5"/>
    </row>
    <row r="948" ht="19.5" customHeight="1">
      <c r="A948" s="52"/>
      <c r="B948" s="53"/>
      <c r="C948" s="53"/>
      <c r="D948" s="53"/>
      <c r="E948" s="53"/>
      <c r="F948" s="61"/>
      <c r="G948" s="53"/>
      <c r="H948" s="53"/>
      <c r="I948" s="53"/>
      <c r="J948" s="48" t="str">
        <f t="array" ref="J948">IF(G948="","",IFERROR(LET(ev_cost,INDEX(Events!$G$5:$G$505,MATCH(G948,Events!$A$5:$A$505,0)),ev_split,INDEX(Events!$I$5:$I$505,MATCH(G948,Events!$A$5:$A$505,0)),att_offset,MATCH(G948,Attendance!$B$3:$AV$3,0),attendees,COUNTIF(INDEX(Attendance!$B$7:$AV$206,0,att_offset),"1"),IF(ev_split="Equal Split",ev_cost/MAX(1,COUNTA(Roster!$A$5:$A$204)),ev_cost/MAX(1,attendees))),"N/A"))</f>
        <v/>
      </c>
      <c r="K948" s="5"/>
      <c r="L948" s="5"/>
      <c r="M948" s="5"/>
      <c r="N948" s="5"/>
      <c r="O948" s="5"/>
      <c r="P948" s="5"/>
      <c r="Q948" s="5"/>
      <c r="R948" s="5"/>
      <c r="S948" s="5"/>
      <c r="T948" s="5"/>
      <c r="U948" s="5"/>
      <c r="V948" s="5"/>
      <c r="W948" s="5"/>
      <c r="X948" s="5"/>
      <c r="Y948" s="5"/>
      <c r="Z948" s="5"/>
    </row>
    <row r="949" ht="19.5" customHeight="1">
      <c r="A949" s="49"/>
      <c r="B949" s="50"/>
      <c r="C949" s="50"/>
      <c r="D949" s="50"/>
      <c r="E949" s="50"/>
      <c r="F949" s="51"/>
      <c r="G949" s="50"/>
      <c r="H949" s="50"/>
      <c r="I949" s="50"/>
      <c r="J949" s="48" t="str">
        <f t="array" ref="J949">IF(G949="","",IFERROR(LET(ev_cost,INDEX(Events!$G$5:$G$505,MATCH(G949,Events!$A$5:$A$505,0)),ev_split,INDEX(Events!$I$5:$I$505,MATCH(G949,Events!$A$5:$A$505,0)),att_offset,MATCH(G949,Attendance!$B$3:$AV$3,0),attendees,COUNTIF(INDEX(Attendance!$B$7:$AV$206,0,att_offset),"1"),IF(ev_split="Equal Split",ev_cost/MAX(1,COUNTA(Roster!$A$5:$A$204)),ev_cost/MAX(1,attendees))),"N/A"))</f>
        <v/>
      </c>
      <c r="K949" s="5"/>
      <c r="L949" s="5"/>
      <c r="M949" s="5"/>
      <c r="N949" s="5"/>
      <c r="O949" s="5"/>
      <c r="P949" s="5"/>
      <c r="Q949" s="5"/>
      <c r="R949" s="5"/>
      <c r="S949" s="5"/>
      <c r="T949" s="5"/>
      <c r="U949" s="5"/>
      <c r="V949" s="5"/>
      <c r="W949" s="5"/>
      <c r="X949" s="5"/>
      <c r="Y949" s="5"/>
      <c r="Z949" s="5"/>
    </row>
    <row r="950" ht="19.5" customHeight="1">
      <c r="A950" s="52"/>
      <c r="B950" s="53"/>
      <c r="C950" s="53"/>
      <c r="D950" s="53"/>
      <c r="E950" s="53"/>
      <c r="F950" s="61"/>
      <c r="G950" s="53"/>
      <c r="H950" s="53"/>
      <c r="I950" s="53"/>
      <c r="J950" s="48" t="str">
        <f t="array" ref="J950">IF(G950="","",IFERROR(LET(ev_cost,INDEX(Events!$G$5:$G$505,MATCH(G950,Events!$A$5:$A$505,0)),ev_split,INDEX(Events!$I$5:$I$505,MATCH(G950,Events!$A$5:$A$505,0)),att_offset,MATCH(G950,Attendance!$B$3:$AV$3,0),attendees,COUNTIF(INDEX(Attendance!$B$7:$AV$206,0,att_offset),"1"),IF(ev_split="Equal Split",ev_cost/MAX(1,COUNTA(Roster!$A$5:$A$204)),ev_cost/MAX(1,attendees))),"N/A"))</f>
        <v/>
      </c>
      <c r="K950" s="5"/>
      <c r="L950" s="5"/>
      <c r="M950" s="5"/>
      <c r="N950" s="5"/>
      <c r="O950" s="5"/>
      <c r="P950" s="5"/>
      <c r="Q950" s="5"/>
      <c r="R950" s="5"/>
      <c r="S950" s="5"/>
      <c r="T950" s="5"/>
      <c r="U950" s="5"/>
      <c r="V950" s="5"/>
      <c r="W950" s="5"/>
      <c r="X950" s="5"/>
      <c r="Y950" s="5"/>
      <c r="Z950" s="5"/>
    </row>
    <row r="951" ht="19.5" customHeight="1">
      <c r="A951" s="49"/>
      <c r="B951" s="50"/>
      <c r="C951" s="50"/>
      <c r="D951" s="50"/>
      <c r="E951" s="50"/>
      <c r="F951" s="51"/>
      <c r="G951" s="50"/>
      <c r="H951" s="50"/>
      <c r="I951" s="50"/>
      <c r="J951" s="48" t="str">
        <f t="array" ref="J951">IF(G951="","",IFERROR(LET(ev_cost,INDEX(Events!$G$5:$G$505,MATCH(G951,Events!$A$5:$A$505,0)),ev_split,INDEX(Events!$I$5:$I$505,MATCH(G951,Events!$A$5:$A$505,0)),att_offset,MATCH(G951,Attendance!$B$3:$AV$3,0),attendees,COUNTIF(INDEX(Attendance!$B$7:$AV$206,0,att_offset),"1"),IF(ev_split="Equal Split",ev_cost/MAX(1,COUNTA(Roster!$A$5:$A$204)),ev_cost/MAX(1,attendees))),"N/A"))</f>
        <v/>
      </c>
      <c r="K951" s="5"/>
      <c r="L951" s="5"/>
      <c r="M951" s="5"/>
      <c r="N951" s="5"/>
      <c r="O951" s="5"/>
      <c r="P951" s="5"/>
      <c r="Q951" s="5"/>
      <c r="R951" s="5"/>
      <c r="S951" s="5"/>
      <c r="T951" s="5"/>
      <c r="U951" s="5"/>
      <c r="V951" s="5"/>
      <c r="W951" s="5"/>
      <c r="X951" s="5"/>
      <c r="Y951" s="5"/>
      <c r="Z951" s="5"/>
    </row>
    <row r="952" ht="19.5" customHeight="1">
      <c r="A952" s="52"/>
      <c r="B952" s="53"/>
      <c r="C952" s="53"/>
      <c r="D952" s="53"/>
      <c r="E952" s="53"/>
      <c r="F952" s="61"/>
      <c r="G952" s="53"/>
      <c r="H952" s="53"/>
      <c r="I952" s="53"/>
      <c r="J952" s="48" t="str">
        <f t="array" ref="J952">IF(G952="","",IFERROR(LET(ev_cost,INDEX(Events!$G$5:$G$505,MATCH(G952,Events!$A$5:$A$505,0)),ev_split,INDEX(Events!$I$5:$I$505,MATCH(G952,Events!$A$5:$A$505,0)),att_offset,MATCH(G952,Attendance!$B$3:$AV$3,0),attendees,COUNTIF(INDEX(Attendance!$B$7:$AV$206,0,att_offset),"1"),IF(ev_split="Equal Split",ev_cost/MAX(1,COUNTA(Roster!$A$5:$A$204)),ev_cost/MAX(1,attendees))),"N/A"))</f>
        <v/>
      </c>
      <c r="K952" s="5"/>
      <c r="L952" s="5"/>
      <c r="M952" s="5"/>
      <c r="N952" s="5"/>
      <c r="O952" s="5"/>
      <c r="P952" s="5"/>
      <c r="Q952" s="5"/>
      <c r="R952" s="5"/>
      <c r="S952" s="5"/>
      <c r="T952" s="5"/>
      <c r="U952" s="5"/>
      <c r="V952" s="5"/>
      <c r="W952" s="5"/>
      <c r="X952" s="5"/>
      <c r="Y952" s="5"/>
      <c r="Z952" s="5"/>
    </row>
    <row r="953" ht="19.5" customHeight="1">
      <c r="A953" s="49"/>
      <c r="B953" s="50"/>
      <c r="C953" s="50"/>
      <c r="D953" s="50"/>
      <c r="E953" s="50"/>
      <c r="F953" s="51"/>
      <c r="G953" s="50"/>
      <c r="H953" s="50"/>
      <c r="I953" s="50"/>
      <c r="J953" s="48" t="str">
        <f t="array" ref="J953">IF(G953="","",IFERROR(LET(ev_cost,INDEX(Events!$G$5:$G$505,MATCH(G953,Events!$A$5:$A$505,0)),ev_split,INDEX(Events!$I$5:$I$505,MATCH(G953,Events!$A$5:$A$505,0)),att_offset,MATCH(G953,Attendance!$B$3:$AV$3,0),attendees,COUNTIF(INDEX(Attendance!$B$7:$AV$206,0,att_offset),"1"),IF(ev_split="Equal Split",ev_cost/MAX(1,COUNTA(Roster!$A$5:$A$204)),ev_cost/MAX(1,attendees))),"N/A"))</f>
        <v/>
      </c>
      <c r="K953" s="5"/>
      <c r="L953" s="5"/>
      <c r="M953" s="5"/>
      <c r="N953" s="5"/>
      <c r="O953" s="5"/>
      <c r="P953" s="5"/>
      <c r="Q953" s="5"/>
      <c r="R953" s="5"/>
      <c r="S953" s="5"/>
      <c r="T953" s="5"/>
      <c r="U953" s="5"/>
      <c r="V953" s="5"/>
      <c r="W953" s="5"/>
      <c r="X953" s="5"/>
      <c r="Y953" s="5"/>
      <c r="Z953" s="5"/>
    </row>
    <row r="954" ht="19.5" customHeight="1">
      <c r="A954" s="52"/>
      <c r="B954" s="53"/>
      <c r="C954" s="53"/>
      <c r="D954" s="53"/>
      <c r="E954" s="53"/>
      <c r="F954" s="61"/>
      <c r="G954" s="53"/>
      <c r="H954" s="53"/>
      <c r="I954" s="53"/>
      <c r="J954" s="48" t="str">
        <f t="array" ref="J954">IF(G954="","",IFERROR(LET(ev_cost,INDEX(Events!$G$5:$G$505,MATCH(G954,Events!$A$5:$A$505,0)),ev_split,INDEX(Events!$I$5:$I$505,MATCH(G954,Events!$A$5:$A$505,0)),att_offset,MATCH(G954,Attendance!$B$3:$AV$3,0),attendees,COUNTIF(INDEX(Attendance!$B$7:$AV$206,0,att_offset),"1"),IF(ev_split="Equal Split",ev_cost/MAX(1,COUNTA(Roster!$A$5:$A$204)),ev_cost/MAX(1,attendees))),"N/A"))</f>
        <v/>
      </c>
      <c r="K954" s="5"/>
      <c r="L954" s="5"/>
      <c r="M954" s="5"/>
      <c r="N954" s="5"/>
      <c r="O954" s="5"/>
      <c r="P954" s="5"/>
      <c r="Q954" s="5"/>
      <c r="R954" s="5"/>
      <c r="S954" s="5"/>
      <c r="T954" s="5"/>
      <c r="U954" s="5"/>
      <c r="V954" s="5"/>
      <c r="W954" s="5"/>
      <c r="X954" s="5"/>
      <c r="Y954" s="5"/>
      <c r="Z954" s="5"/>
    </row>
    <row r="955" ht="19.5" customHeight="1">
      <c r="A955" s="49"/>
      <c r="B955" s="50"/>
      <c r="C955" s="50"/>
      <c r="D955" s="50"/>
      <c r="E955" s="50"/>
      <c r="F955" s="51"/>
      <c r="G955" s="50"/>
      <c r="H955" s="50"/>
      <c r="I955" s="50"/>
      <c r="J955" s="48" t="str">
        <f t="array" ref="J955">IF(G955="","",IFERROR(LET(ev_cost,INDEX(Events!$G$5:$G$505,MATCH(G955,Events!$A$5:$A$505,0)),ev_split,INDEX(Events!$I$5:$I$505,MATCH(G955,Events!$A$5:$A$505,0)),att_offset,MATCH(G955,Attendance!$B$3:$AV$3,0),attendees,COUNTIF(INDEX(Attendance!$B$7:$AV$206,0,att_offset),"1"),IF(ev_split="Equal Split",ev_cost/MAX(1,COUNTA(Roster!$A$5:$A$204)),ev_cost/MAX(1,attendees))),"N/A"))</f>
        <v/>
      </c>
      <c r="K955" s="5"/>
      <c r="L955" s="5"/>
      <c r="M955" s="5"/>
      <c r="N955" s="5"/>
      <c r="O955" s="5"/>
      <c r="P955" s="5"/>
      <c r="Q955" s="5"/>
      <c r="R955" s="5"/>
      <c r="S955" s="5"/>
      <c r="T955" s="5"/>
      <c r="U955" s="5"/>
      <c r="V955" s="5"/>
      <c r="W955" s="5"/>
      <c r="X955" s="5"/>
      <c r="Y955" s="5"/>
      <c r="Z955" s="5"/>
    </row>
    <row r="956" ht="19.5" customHeight="1">
      <c r="A956" s="52"/>
      <c r="B956" s="53"/>
      <c r="C956" s="53"/>
      <c r="D956" s="53"/>
      <c r="E956" s="53"/>
      <c r="F956" s="61"/>
      <c r="G956" s="53"/>
      <c r="H956" s="53"/>
      <c r="I956" s="53"/>
      <c r="J956" s="48" t="str">
        <f t="array" ref="J956">IF(G956="","",IFERROR(LET(ev_cost,INDEX(Events!$G$5:$G$505,MATCH(G956,Events!$A$5:$A$505,0)),ev_split,INDEX(Events!$I$5:$I$505,MATCH(G956,Events!$A$5:$A$505,0)),att_offset,MATCH(G956,Attendance!$B$3:$AV$3,0),attendees,COUNTIF(INDEX(Attendance!$B$7:$AV$206,0,att_offset),"1"),IF(ev_split="Equal Split",ev_cost/MAX(1,COUNTA(Roster!$A$5:$A$204)),ev_cost/MAX(1,attendees))),"N/A"))</f>
        <v/>
      </c>
      <c r="K956" s="5"/>
      <c r="L956" s="5"/>
      <c r="M956" s="5"/>
      <c r="N956" s="5"/>
      <c r="O956" s="5"/>
      <c r="P956" s="5"/>
      <c r="Q956" s="5"/>
      <c r="R956" s="5"/>
      <c r="S956" s="5"/>
      <c r="T956" s="5"/>
      <c r="U956" s="5"/>
      <c r="V956" s="5"/>
      <c r="W956" s="5"/>
      <c r="X956" s="5"/>
      <c r="Y956" s="5"/>
      <c r="Z956" s="5"/>
    </row>
    <row r="957" ht="19.5" customHeight="1">
      <c r="A957" s="49"/>
      <c r="B957" s="50"/>
      <c r="C957" s="50"/>
      <c r="D957" s="50"/>
      <c r="E957" s="50"/>
      <c r="F957" s="51"/>
      <c r="G957" s="50"/>
      <c r="H957" s="50"/>
      <c r="I957" s="50"/>
      <c r="J957" s="48" t="str">
        <f t="array" ref="J957">IF(G957="","",IFERROR(LET(ev_cost,INDEX(Events!$G$5:$G$505,MATCH(G957,Events!$A$5:$A$505,0)),ev_split,INDEX(Events!$I$5:$I$505,MATCH(G957,Events!$A$5:$A$505,0)),att_offset,MATCH(G957,Attendance!$B$3:$AV$3,0),attendees,COUNTIF(INDEX(Attendance!$B$7:$AV$206,0,att_offset),"1"),IF(ev_split="Equal Split",ev_cost/MAX(1,COUNTA(Roster!$A$5:$A$204)),ev_cost/MAX(1,attendees))),"N/A"))</f>
        <v/>
      </c>
      <c r="K957" s="5"/>
      <c r="L957" s="5"/>
      <c r="M957" s="5"/>
      <c r="N957" s="5"/>
      <c r="O957" s="5"/>
      <c r="P957" s="5"/>
      <c r="Q957" s="5"/>
      <c r="R957" s="5"/>
      <c r="S957" s="5"/>
      <c r="T957" s="5"/>
      <c r="U957" s="5"/>
      <c r="V957" s="5"/>
      <c r="W957" s="5"/>
      <c r="X957" s="5"/>
      <c r="Y957" s="5"/>
      <c r="Z957" s="5"/>
    </row>
    <row r="958" ht="19.5" customHeight="1">
      <c r="A958" s="52"/>
      <c r="B958" s="53"/>
      <c r="C958" s="53"/>
      <c r="D958" s="53"/>
      <c r="E958" s="53"/>
      <c r="F958" s="61"/>
      <c r="G958" s="53"/>
      <c r="H958" s="53"/>
      <c r="I958" s="53"/>
      <c r="J958" s="48" t="str">
        <f t="array" ref="J958">IF(G958="","",IFERROR(LET(ev_cost,INDEX(Events!$G$5:$G$505,MATCH(G958,Events!$A$5:$A$505,0)),ev_split,INDEX(Events!$I$5:$I$505,MATCH(G958,Events!$A$5:$A$505,0)),att_offset,MATCH(G958,Attendance!$B$3:$AV$3,0),attendees,COUNTIF(INDEX(Attendance!$B$7:$AV$206,0,att_offset),"1"),IF(ev_split="Equal Split",ev_cost/MAX(1,COUNTA(Roster!$A$5:$A$204)),ev_cost/MAX(1,attendees))),"N/A"))</f>
        <v/>
      </c>
      <c r="K958" s="5"/>
      <c r="L958" s="5"/>
      <c r="M958" s="5"/>
      <c r="N958" s="5"/>
      <c r="O958" s="5"/>
      <c r="P958" s="5"/>
      <c r="Q958" s="5"/>
      <c r="R958" s="5"/>
      <c r="S958" s="5"/>
      <c r="T958" s="5"/>
      <c r="U958" s="5"/>
      <c r="V958" s="5"/>
      <c r="W958" s="5"/>
      <c r="X958" s="5"/>
      <c r="Y958" s="5"/>
      <c r="Z958" s="5"/>
    </row>
    <row r="959" ht="19.5" customHeight="1">
      <c r="A959" s="49"/>
      <c r="B959" s="50"/>
      <c r="C959" s="50"/>
      <c r="D959" s="50"/>
      <c r="E959" s="50"/>
      <c r="F959" s="51"/>
      <c r="G959" s="50"/>
      <c r="H959" s="50"/>
      <c r="I959" s="50"/>
      <c r="J959" s="48" t="str">
        <f t="array" ref="J959">IF(G959="","",IFERROR(LET(ev_cost,INDEX(Events!$G$5:$G$505,MATCH(G959,Events!$A$5:$A$505,0)),ev_split,INDEX(Events!$I$5:$I$505,MATCH(G959,Events!$A$5:$A$505,0)),att_offset,MATCH(G959,Attendance!$B$3:$AV$3,0),attendees,COUNTIF(INDEX(Attendance!$B$7:$AV$206,0,att_offset),"1"),IF(ev_split="Equal Split",ev_cost/MAX(1,COUNTA(Roster!$A$5:$A$204)),ev_cost/MAX(1,attendees))),"N/A"))</f>
        <v/>
      </c>
      <c r="K959" s="5"/>
      <c r="L959" s="5"/>
      <c r="M959" s="5"/>
      <c r="N959" s="5"/>
      <c r="O959" s="5"/>
      <c r="P959" s="5"/>
      <c r="Q959" s="5"/>
      <c r="R959" s="5"/>
      <c r="S959" s="5"/>
      <c r="T959" s="5"/>
      <c r="U959" s="5"/>
      <c r="V959" s="5"/>
      <c r="W959" s="5"/>
      <c r="X959" s="5"/>
      <c r="Y959" s="5"/>
      <c r="Z959" s="5"/>
    </row>
    <row r="960" ht="19.5" customHeight="1">
      <c r="A960" s="52"/>
      <c r="B960" s="53"/>
      <c r="C960" s="53"/>
      <c r="D960" s="53"/>
      <c r="E960" s="53"/>
      <c r="F960" s="61"/>
      <c r="G960" s="53"/>
      <c r="H960" s="53"/>
      <c r="I960" s="53"/>
      <c r="J960" s="48" t="str">
        <f t="array" ref="J960">IF(G960="","",IFERROR(LET(ev_cost,INDEX(Events!$G$5:$G$505,MATCH(G960,Events!$A$5:$A$505,0)),ev_split,INDEX(Events!$I$5:$I$505,MATCH(G960,Events!$A$5:$A$505,0)),att_offset,MATCH(G960,Attendance!$B$3:$AV$3,0),attendees,COUNTIF(INDEX(Attendance!$B$7:$AV$206,0,att_offset),"1"),IF(ev_split="Equal Split",ev_cost/MAX(1,COUNTA(Roster!$A$5:$A$204)),ev_cost/MAX(1,attendees))),"N/A"))</f>
        <v/>
      </c>
      <c r="K960" s="5"/>
      <c r="L960" s="5"/>
      <c r="M960" s="5"/>
      <c r="N960" s="5"/>
      <c r="O960" s="5"/>
      <c r="P960" s="5"/>
      <c r="Q960" s="5"/>
      <c r="R960" s="5"/>
      <c r="S960" s="5"/>
      <c r="T960" s="5"/>
      <c r="U960" s="5"/>
      <c r="V960" s="5"/>
      <c r="W960" s="5"/>
      <c r="X960" s="5"/>
      <c r="Y960" s="5"/>
      <c r="Z960" s="5"/>
    </row>
    <row r="961" ht="19.5" customHeight="1">
      <c r="A961" s="49"/>
      <c r="B961" s="50"/>
      <c r="C961" s="50"/>
      <c r="D961" s="50"/>
      <c r="E961" s="50"/>
      <c r="F961" s="51"/>
      <c r="G961" s="50"/>
      <c r="H961" s="50"/>
      <c r="I961" s="50"/>
      <c r="J961" s="48" t="str">
        <f t="array" ref="J961">IF(G961="","",IFERROR(LET(ev_cost,INDEX(Events!$G$5:$G$505,MATCH(G961,Events!$A$5:$A$505,0)),ev_split,INDEX(Events!$I$5:$I$505,MATCH(G961,Events!$A$5:$A$505,0)),att_offset,MATCH(G961,Attendance!$B$3:$AV$3,0),attendees,COUNTIF(INDEX(Attendance!$B$7:$AV$206,0,att_offset),"1"),IF(ev_split="Equal Split",ev_cost/MAX(1,COUNTA(Roster!$A$5:$A$204)),ev_cost/MAX(1,attendees))),"N/A"))</f>
        <v/>
      </c>
      <c r="K961" s="5"/>
      <c r="L961" s="5"/>
      <c r="M961" s="5"/>
      <c r="N961" s="5"/>
      <c r="O961" s="5"/>
      <c r="P961" s="5"/>
      <c r="Q961" s="5"/>
      <c r="R961" s="5"/>
      <c r="S961" s="5"/>
      <c r="T961" s="5"/>
      <c r="U961" s="5"/>
      <c r="V961" s="5"/>
      <c r="W961" s="5"/>
      <c r="X961" s="5"/>
      <c r="Y961" s="5"/>
      <c r="Z961" s="5"/>
    </row>
    <row r="962" ht="19.5" customHeight="1">
      <c r="A962" s="52"/>
      <c r="B962" s="53"/>
      <c r="C962" s="53"/>
      <c r="D962" s="53"/>
      <c r="E962" s="53"/>
      <c r="F962" s="61"/>
      <c r="G962" s="53"/>
      <c r="H962" s="53"/>
      <c r="I962" s="53"/>
      <c r="J962" s="48" t="str">
        <f t="array" ref="J962">IF(G962="","",IFERROR(LET(ev_cost,INDEX(Events!$G$5:$G$505,MATCH(G962,Events!$A$5:$A$505,0)),ev_split,INDEX(Events!$I$5:$I$505,MATCH(G962,Events!$A$5:$A$505,0)),att_offset,MATCH(G962,Attendance!$B$3:$AV$3,0),attendees,COUNTIF(INDEX(Attendance!$B$7:$AV$206,0,att_offset),"1"),IF(ev_split="Equal Split",ev_cost/MAX(1,COUNTA(Roster!$A$5:$A$204)),ev_cost/MAX(1,attendees))),"N/A"))</f>
        <v/>
      </c>
      <c r="K962" s="5"/>
      <c r="L962" s="5"/>
      <c r="M962" s="5"/>
      <c r="N962" s="5"/>
      <c r="O962" s="5"/>
      <c r="P962" s="5"/>
      <c r="Q962" s="5"/>
      <c r="R962" s="5"/>
      <c r="S962" s="5"/>
      <c r="T962" s="5"/>
      <c r="U962" s="5"/>
      <c r="V962" s="5"/>
      <c r="W962" s="5"/>
      <c r="X962" s="5"/>
      <c r="Y962" s="5"/>
      <c r="Z962" s="5"/>
    </row>
    <row r="963" ht="19.5" customHeight="1">
      <c r="A963" s="49"/>
      <c r="B963" s="50"/>
      <c r="C963" s="50"/>
      <c r="D963" s="50"/>
      <c r="E963" s="50"/>
      <c r="F963" s="51"/>
      <c r="G963" s="50"/>
      <c r="H963" s="50"/>
      <c r="I963" s="50"/>
      <c r="J963" s="48" t="str">
        <f t="array" ref="J963">IF(G963="","",IFERROR(LET(ev_cost,INDEX(Events!$G$5:$G$505,MATCH(G963,Events!$A$5:$A$505,0)),ev_split,INDEX(Events!$I$5:$I$505,MATCH(G963,Events!$A$5:$A$505,0)),att_offset,MATCH(G963,Attendance!$B$3:$AV$3,0),attendees,COUNTIF(INDEX(Attendance!$B$7:$AV$206,0,att_offset),"1"),IF(ev_split="Equal Split",ev_cost/MAX(1,COUNTA(Roster!$A$5:$A$204)),ev_cost/MAX(1,attendees))),"N/A"))</f>
        <v/>
      </c>
      <c r="K963" s="5"/>
      <c r="L963" s="5"/>
      <c r="M963" s="5"/>
      <c r="N963" s="5"/>
      <c r="O963" s="5"/>
      <c r="P963" s="5"/>
      <c r="Q963" s="5"/>
      <c r="R963" s="5"/>
      <c r="S963" s="5"/>
      <c r="T963" s="5"/>
      <c r="U963" s="5"/>
      <c r="V963" s="5"/>
      <c r="W963" s="5"/>
      <c r="X963" s="5"/>
      <c r="Y963" s="5"/>
      <c r="Z963" s="5"/>
    </row>
    <row r="964" ht="19.5" customHeight="1">
      <c r="A964" s="52"/>
      <c r="B964" s="53"/>
      <c r="C964" s="53"/>
      <c r="D964" s="53"/>
      <c r="E964" s="53"/>
      <c r="F964" s="61"/>
      <c r="G964" s="53"/>
      <c r="H964" s="53"/>
      <c r="I964" s="53"/>
      <c r="J964" s="48" t="str">
        <f t="array" ref="J964">IF(G964="","",IFERROR(LET(ev_cost,INDEX(Events!$G$5:$G$505,MATCH(G964,Events!$A$5:$A$505,0)),ev_split,INDEX(Events!$I$5:$I$505,MATCH(G964,Events!$A$5:$A$505,0)),att_offset,MATCH(G964,Attendance!$B$3:$AV$3,0),attendees,COUNTIF(INDEX(Attendance!$B$7:$AV$206,0,att_offset),"1"),IF(ev_split="Equal Split",ev_cost/MAX(1,COUNTA(Roster!$A$5:$A$204)),ev_cost/MAX(1,attendees))),"N/A"))</f>
        <v/>
      </c>
      <c r="K964" s="5"/>
      <c r="L964" s="5"/>
      <c r="M964" s="5"/>
      <c r="N964" s="5"/>
      <c r="O964" s="5"/>
      <c r="P964" s="5"/>
      <c r="Q964" s="5"/>
      <c r="R964" s="5"/>
      <c r="S964" s="5"/>
      <c r="T964" s="5"/>
      <c r="U964" s="5"/>
      <c r="V964" s="5"/>
      <c r="W964" s="5"/>
      <c r="X964" s="5"/>
      <c r="Y964" s="5"/>
      <c r="Z964" s="5"/>
    </row>
    <row r="965" ht="19.5" customHeight="1">
      <c r="A965" s="49"/>
      <c r="B965" s="50"/>
      <c r="C965" s="50"/>
      <c r="D965" s="50"/>
      <c r="E965" s="50"/>
      <c r="F965" s="51"/>
      <c r="G965" s="50"/>
      <c r="H965" s="50"/>
      <c r="I965" s="50"/>
      <c r="J965" s="48" t="str">
        <f t="array" ref="J965">IF(G965="","",IFERROR(LET(ev_cost,INDEX(Events!$G$5:$G$505,MATCH(G965,Events!$A$5:$A$505,0)),ev_split,INDEX(Events!$I$5:$I$505,MATCH(G965,Events!$A$5:$A$505,0)),att_offset,MATCH(G965,Attendance!$B$3:$AV$3,0),attendees,COUNTIF(INDEX(Attendance!$B$7:$AV$206,0,att_offset),"1"),IF(ev_split="Equal Split",ev_cost/MAX(1,COUNTA(Roster!$A$5:$A$204)),ev_cost/MAX(1,attendees))),"N/A"))</f>
        <v/>
      </c>
      <c r="K965" s="5"/>
      <c r="L965" s="5"/>
      <c r="M965" s="5"/>
      <c r="N965" s="5"/>
      <c r="O965" s="5"/>
      <c r="P965" s="5"/>
      <c r="Q965" s="5"/>
      <c r="R965" s="5"/>
      <c r="S965" s="5"/>
      <c r="T965" s="5"/>
      <c r="U965" s="5"/>
      <c r="V965" s="5"/>
      <c r="W965" s="5"/>
      <c r="X965" s="5"/>
      <c r="Y965" s="5"/>
      <c r="Z965" s="5"/>
    </row>
    <row r="966" ht="19.5" customHeight="1">
      <c r="A966" s="52"/>
      <c r="B966" s="53"/>
      <c r="C966" s="53"/>
      <c r="D966" s="53"/>
      <c r="E966" s="53"/>
      <c r="F966" s="61"/>
      <c r="G966" s="53"/>
      <c r="H966" s="53"/>
      <c r="I966" s="53"/>
      <c r="J966" s="48" t="str">
        <f t="array" ref="J966">IF(G966="","",IFERROR(LET(ev_cost,INDEX(Events!$G$5:$G$505,MATCH(G966,Events!$A$5:$A$505,0)),ev_split,INDEX(Events!$I$5:$I$505,MATCH(G966,Events!$A$5:$A$505,0)),att_offset,MATCH(G966,Attendance!$B$3:$AV$3,0),attendees,COUNTIF(INDEX(Attendance!$B$7:$AV$206,0,att_offset),"1"),IF(ev_split="Equal Split",ev_cost/MAX(1,COUNTA(Roster!$A$5:$A$204)),ev_cost/MAX(1,attendees))),"N/A"))</f>
        <v/>
      </c>
      <c r="K966" s="5"/>
      <c r="L966" s="5"/>
      <c r="M966" s="5"/>
      <c r="N966" s="5"/>
      <c r="O966" s="5"/>
      <c r="P966" s="5"/>
      <c r="Q966" s="5"/>
      <c r="R966" s="5"/>
      <c r="S966" s="5"/>
      <c r="T966" s="5"/>
      <c r="U966" s="5"/>
      <c r="V966" s="5"/>
      <c r="W966" s="5"/>
      <c r="X966" s="5"/>
      <c r="Y966" s="5"/>
      <c r="Z966" s="5"/>
    </row>
    <row r="967" ht="19.5" customHeight="1">
      <c r="A967" s="49"/>
      <c r="B967" s="50"/>
      <c r="C967" s="50"/>
      <c r="D967" s="50"/>
      <c r="E967" s="50"/>
      <c r="F967" s="51"/>
      <c r="G967" s="50"/>
      <c r="H967" s="50"/>
      <c r="I967" s="50"/>
      <c r="J967" s="48" t="str">
        <f t="array" ref="J967">IF(G967="","",IFERROR(LET(ev_cost,INDEX(Events!$G$5:$G$505,MATCH(G967,Events!$A$5:$A$505,0)),ev_split,INDEX(Events!$I$5:$I$505,MATCH(G967,Events!$A$5:$A$505,0)),att_offset,MATCH(G967,Attendance!$B$3:$AV$3,0),attendees,COUNTIF(INDEX(Attendance!$B$7:$AV$206,0,att_offset),"1"),IF(ev_split="Equal Split",ev_cost/MAX(1,COUNTA(Roster!$A$5:$A$204)),ev_cost/MAX(1,attendees))),"N/A"))</f>
        <v/>
      </c>
      <c r="K967" s="5"/>
      <c r="L967" s="5"/>
      <c r="M967" s="5"/>
      <c r="N967" s="5"/>
      <c r="O967" s="5"/>
      <c r="P967" s="5"/>
      <c r="Q967" s="5"/>
      <c r="R967" s="5"/>
      <c r="S967" s="5"/>
      <c r="T967" s="5"/>
      <c r="U967" s="5"/>
      <c r="V967" s="5"/>
      <c r="W967" s="5"/>
      <c r="X967" s="5"/>
      <c r="Y967" s="5"/>
      <c r="Z967" s="5"/>
    </row>
    <row r="968" ht="19.5" customHeight="1">
      <c r="A968" s="52"/>
      <c r="B968" s="53"/>
      <c r="C968" s="53"/>
      <c r="D968" s="53"/>
      <c r="E968" s="53"/>
      <c r="F968" s="61"/>
      <c r="G968" s="53"/>
      <c r="H968" s="53"/>
      <c r="I968" s="53"/>
      <c r="J968" s="48" t="str">
        <f t="array" ref="J968">IF(G968="","",IFERROR(LET(ev_cost,INDEX(Events!$G$5:$G$505,MATCH(G968,Events!$A$5:$A$505,0)),ev_split,INDEX(Events!$I$5:$I$505,MATCH(G968,Events!$A$5:$A$505,0)),att_offset,MATCH(G968,Attendance!$B$3:$AV$3,0),attendees,COUNTIF(INDEX(Attendance!$B$7:$AV$206,0,att_offset),"1"),IF(ev_split="Equal Split",ev_cost/MAX(1,COUNTA(Roster!$A$5:$A$204)),ev_cost/MAX(1,attendees))),"N/A"))</f>
        <v/>
      </c>
      <c r="K968" s="5"/>
      <c r="L968" s="5"/>
      <c r="M968" s="5"/>
      <c r="N968" s="5"/>
      <c r="O968" s="5"/>
      <c r="P968" s="5"/>
      <c r="Q968" s="5"/>
      <c r="R968" s="5"/>
      <c r="S968" s="5"/>
      <c r="T968" s="5"/>
      <c r="U968" s="5"/>
      <c r="V968" s="5"/>
      <c r="W968" s="5"/>
      <c r="X968" s="5"/>
      <c r="Y968" s="5"/>
      <c r="Z968" s="5"/>
    </row>
    <row r="969" ht="19.5" customHeight="1">
      <c r="A969" s="49"/>
      <c r="B969" s="50"/>
      <c r="C969" s="50"/>
      <c r="D969" s="50"/>
      <c r="E969" s="50"/>
      <c r="F969" s="51"/>
      <c r="G969" s="50"/>
      <c r="H969" s="50"/>
      <c r="I969" s="50"/>
      <c r="J969" s="48" t="str">
        <f t="array" ref="J969">IF(G969="","",IFERROR(LET(ev_cost,INDEX(Events!$G$5:$G$505,MATCH(G969,Events!$A$5:$A$505,0)),ev_split,INDEX(Events!$I$5:$I$505,MATCH(G969,Events!$A$5:$A$505,0)),att_offset,MATCH(G969,Attendance!$B$3:$AV$3,0),attendees,COUNTIF(INDEX(Attendance!$B$7:$AV$206,0,att_offset),"1"),IF(ev_split="Equal Split",ev_cost/MAX(1,COUNTA(Roster!$A$5:$A$204)),ev_cost/MAX(1,attendees))),"N/A"))</f>
        <v/>
      </c>
      <c r="K969" s="5"/>
      <c r="L969" s="5"/>
      <c r="M969" s="5"/>
      <c r="N969" s="5"/>
      <c r="O969" s="5"/>
      <c r="P969" s="5"/>
      <c r="Q969" s="5"/>
      <c r="R969" s="5"/>
      <c r="S969" s="5"/>
      <c r="T969" s="5"/>
      <c r="U969" s="5"/>
      <c r="V969" s="5"/>
      <c r="W969" s="5"/>
      <c r="X969" s="5"/>
      <c r="Y969" s="5"/>
      <c r="Z969" s="5"/>
    </row>
    <row r="970" ht="19.5" customHeight="1">
      <c r="A970" s="52"/>
      <c r="B970" s="53"/>
      <c r="C970" s="53"/>
      <c r="D970" s="53"/>
      <c r="E970" s="53"/>
      <c r="F970" s="61"/>
      <c r="G970" s="53"/>
      <c r="H970" s="53"/>
      <c r="I970" s="53"/>
      <c r="J970" s="48" t="str">
        <f t="array" ref="J970">IF(G970="","",IFERROR(LET(ev_cost,INDEX(Events!$G$5:$G$505,MATCH(G970,Events!$A$5:$A$505,0)),ev_split,INDEX(Events!$I$5:$I$505,MATCH(G970,Events!$A$5:$A$505,0)),att_offset,MATCH(G970,Attendance!$B$3:$AV$3,0),attendees,COUNTIF(INDEX(Attendance!$B$7:$AV$206,0,att_offset),"1"),IF(ev_split="Equal Split",ev_cost/MAX(1,COUNTA(Roster!$A$5:$A$204)),ev_cost/MAX(1,attendees))),"N/A"))</f>
        <v/>
      </c>
      <c r="K970" s="5"/>
      <c r="L970" s="5"/>
      <c r="M970" s="5"/>
      <c r="N970" s="5"/>
      <c r="O970" s="5"/>
      <c r="P970" s="5"/>
      <c r="Q970" s="5"/>
      <c r="R970" s="5"/>
      <c r="S970" s="5"/>
      <c r="T970" s="5"/>
      <c r="U970" s="5"/>
      <c r="V970" s="5"/>
      <c r="W970" s="5"/>
      <c r="X970" s="5"/>
      <c r="Y970" s="5"/>
      <c r="Z970" s="5"/>
    </row>
    <row r="971" ht="19.5" customHeight="1">
      <c r="A971" s="49"/>
      <c r="B971" s="50"/>
      <c r="C971" s="50"/>
      <c r="D971" s="50"/>
      <c r="E971" s="50"/>
      <c r="F971" s="51"/>
      <c r="G971" s="50"/>
      <c r="H971" s="50"/>
      <c r="I971" s="50"/>
      <c r="J971" s="48" t="str">
        <f t="array" ref="J971">IF(G971="","",IFERROR(LET(ev_cost,INDEX(Events!$G$5:$G$505,MATCH(G971,Events!$A$5:$A$505,0)),ev_split,INDEX(Events!$I$5:$I$505,MATCH(G971,Events!$A$5:$A$505,0)),att_offset,MATCH(G971,Attendance!$B$3:$AV$3,0),attendees,COUNTIF(INDEX(Attendance!$B$7:$AV$206,0,att_offset),"1"),IF(ev_split="Equal Split",ev_cost/MAX(1,COUNTA(Roster!$A$5:$A$204)),ev_cost/MAX(1,attendees))),"N/A"))</f>
        <v/>
      </c>
      <c r="K971" s="5"/>
      <c r="L971" s="5"/>
      <c r="M971" s="5"/>
      <c r="N971" s="5"/>
      <c r="O971" s="5"/>
      <c r="P971" s="5"/>
      <c r="Q971" s="5"/>
      <c r="R971" s="5"/>
      <c r="S971" s="5"/>
      <c r="T971" s="5"/>
      <c r="U971" s="5"/>
      <c r="V971" s="5"/>
      <c r="W971" s="5"/>
      <c r="X971" s="5"/>
      <c r="Y971" s="5"/>
      <c r="Z971" s="5"/>
    </row>
    <row r="972" ht="19.5" customHeight="1">
      <c r="A972" s="52"/>
      <c r="B972" s="53"/>
      <c r="C972" s="53"/>
      <c r="D972" s="53"/>
      <c r="E972" s="53"/>
      <c r="F972" s="61"/>
      <c r="G972" s="53"/>
      <c r="H972" s="53"/>
      <c r="I972" s="53"/>
      <c r="J972" s="48" t="str">
        <f t="array" ref="J972">IF(G972="","",IFERROR(LET(ev_cost,INDEX(Events!$G$5:$G$505,MATCH(G972,Events!$A$5:$A$505,0)),ev_split,INDEX(Events!$I$5:$I$505,MATCH(G972,Events!$A$5:$A$505,0)),att_offset,MATCH(G972,Attendance!$B$3:$AV$3,0),attendees,COUNTIF(INDEX(Attendance!$B$7:$AV$206,0,att_offset),"1"),IF(ev_split="Equal Split",ev_cost/MAX(1,COUNTA(Roster!$A$5:$A$204)),ev_cost/MAX(1,attendees))),"N/A"))</f>
        <v/>
      </c>
      <c r="K972" s="5"/>
      <c r="L972" s="5"/>
      <c r="M972" s="5"/>
      <c r="N972" s="5"/>
      <c r="O972" s="5"/>
      <c r="P972" s="5"/>
      <c r="Q972" s="5"/>
      <c r="R972" s="5"/>
      <c r="S972" s="5"/>
      <c r="T972" s="5"/>
      <c r="U972" s="5"/>
      <c r="V972" s="5"/>
      <c r="W972" s="5"/>
      <c r="X972" s="5"/>
      <c r="Y972" s="5"/>
      <c r="Z972" s="5"/>
    </row>
    <row r="973" ht="19.5" customHeight="1">
      <c r="A973" s="49"/>
      <c r="B973" s="50"/>
      <c r="C973" s="50"/>
      <c r="D973" s="50"/>
      <c r="E973" s="50"/>
      <c r="F973" s="51"/>
      <c r="G973" s="50"/>
      <c r="H973" s="50"/>
      <c r="I973" s="50"/>
      <c r="J973" s="48" t="str">
        <f t="array" ref="J973">IF(G973="","",IFERROR(LET(ev_cost,INDEX(Events!$G$5:$G$505,MATCH(G973,Events!$A$5:$A$505,0)),ev_split,INDEX(Events!$I$5:$I$505,MATCH(G973,Events!$A$5:$A$505,0)),att_offset,MATCH(G973,Attendance!$B$3:$AV$3,0),attendees,COUNTIF(INDEX(Attendance!$B$7:$AV$206,0,att_offset),"1"),IF(ev_split="Equal Split",ev_cost/MAX(1,COUNTA(Roster!$A$5:$A$204)),ev_cost/MAX(1,attendees))),"N/A"))</f>
        <v/>
      </c>
      <c r="K973" s="5"/>
      <c r="L973" s="5"/>
      <c r="M973" s="5"/>
      <c r="N973" s="5"/>
      <c r="O973" s="5"/>
      <c r="P973" s="5"/>
      <c r="Q973" s="5"/>
      <c r="R973" s="5"/>
      <c r="S973" s="5"/>
      <c r="T973" s="5"/>
      <c r="U973" s="5"/>
      <c r="V973" s="5"/>
      <c r="W973" s="5"/>
      <c r="X973" s="5"/>
      <c r="Y973" s="5"/>
      <c r="Z973" s="5"/>
    </row>
    <row r="974" ht="19.5" customHeight="1">
      <c r="A974" s="52"/>
      <c r="B974" s="53"/>
      <c r="C974" s="53"/>
      <c r="D974" s="53"/>
      <c r="E974" s="53"/>
      <c r="F974" s="61"/>
      <c r="G974" s="53"/>
      <c r="H974" s="53"/>
      <c r="I974" s="53"/>
      <c r="J974" s="48" t="str">
        <f t="array" ref="J974">IF(G974="","",IFERROR(LET(ev_cost,INDEX(Events!$G$5:$G$505,MATCH(G974,Events!$A$5:$A$505,0)),ev_split,INDEX(Events!$I$5:$I$505,MATCH(G974,Events!$A$5:$A$505,0)),att_offset,MATCH(G974,Attendance!$B$3:$AV$3,0),attendees,COUNTIF(INDEX(Attendance!$B$7:$AV$206,0,att_offset),"1"),IF(ev_split="Equal Split",ev_cost/MAX(1,COUNTA(Roster!$A$5:$A$204)),ev_cost/MAX(1,attendees))),"N/A"))</f>
        <v/>
      </c>
      <c r="K974" s="5"/>
      <c r="L974" s="5"/>
      <c r="M974" s="5"/>
      <c r="N974" s="5"/>
      <c r="O974" s="5"/>
      <c r="P974" s="5"/>
      <c r="Q974" s="5"/>
      <c r="R974" s="5"/>
      <c r="S974" s="5"/>
      <c r="T974" s="5"/>
      <c r="U974" s="5"/>
      <c r="V974" s="5"/>
      <c r="W974" s="5"/>
      <c r="X974" s="5"/>
      <c r="Y974" s="5"/>
      <c r="Z974" s="5"/>
    </row>
    <row r="975" ht="19.5" customHeight="1">
      <c r="A975" s="49"/>
      <c r="B975" s="50"/>
      <c r="C975" s="50"/>
      <c r="D975" s="50"/>
      <c r="E975" s="50"/>
      <c r="F975" s="51"/>
      <c r="G975" s="50"/>
      <c r="H975" s="50"/>
      <c r="I975" s="50"/>
      <c r="J975" s="48" t="str">
        <f t="array" ref="J975">IF(G975="","",IFERROR(LET(ev_cost,INDEX(Events!$G$5:$G$505,MATCH(G975,Events!$A$5:$A$505,0)),ev_split,INDEX(Events!$I$5:$I$505,MATCH(G975,Events!$A$5:$A$505,0)),att_offset,MATCH(G975,Attendance!$B$3:$AV$3,0),attendees,COUNTIF(INDEX(Attendance!$B$7:$AV$206,0,att_offset),"1"),IF(ev_split="Equal Split",ev_cost/MAX(1,COUNTA(Roster!$A$5:$A$204)),ev_cost/MAX(1,attendees))),"N/A"))</f>
        <v/>
      </c>
      <c r="K975" s="5"/>
      <c r="L975" s="5"/>
      <c r="M975" s="5"/>
      <c r="N975" s="5"/>
      <c r="O975" s="5"/>
      <c r="P975" s="5"/>
      <c r="Q975" s="5"/>
      <c r="R975" s="5"/>
      <c r="S975" s="5"/>
      <c r="T975" s="5"/>
      <c r="U975" s="5"/>
      <c r="V975" s="5"/>
      <c r="W975" s="5"/>
      <c r="X975" s="5"/>
      <c r="Y975" s="5"/>
      <c r="Z975" s="5"/>
    </row>
    <row r="976" ht="19.5" customHeight="1">
      <c r="A976" s="52"/>
      <c r="B976" s="53"/>
      <c r="C976" s="53"/>
      <c r="D976" s="53"/>
      <c r="E976" s="53"/>
      <c r="F976" s="61"/>
      <c r="G976" s="53"/>
      <c r="H976" s="53"/>
      <c r="I976" s="53"/>
      <c r="J976" s="48" t="str">
        <f t="array" ref="J976">IF(G976="","",IFERROR(LET(ev_cost,INDEX(Events!$G$5:$G$505,MATCH(G976,Events!$A$5:$A$505,0)),ev_split,INDEX(Events!$I$5:$I$505,MATCH(G976,Events!$A$5:$A$505,0)),att_offset,MATCH(G976,Attendance!$B$3:$AV$3,0),attendees,COUNTIF(INDEX(Attendance!$B$7:$AV$206,0,att_offset),"1"),IF(ev_split="Equal Split",ev_cost/MAX(1,COUNTA(Roster!$A$5:$A$204)),ev_cost/MAX(1,attendees))),"N/A"))</f>
        <v/>
      </c>
      <c r="K976" s="5"/>
      <c r="L976" s="5"/>
      <c r="M976" s="5"/>
      <c r="N976" s="5"/>
      <c r="O976" s="5"/>
      <c r="P976" s="5"/>
      <c r="Q976" s="5"/>
      <c r="R976" s="5"/>
      <c r="S976" s="5"/>
      <c r="T976" s="5"/>
      <c r="U976" s="5"/>
      <c r="V976" s="5"/>
      <c r="W976" s="5"/>
      <c r="X976" s="5"/>
      <c r="Y976" s="5"/>
      <c r="Z976" s="5"/>
    </row>
    <row r="977" ht="19.5" customHeight="1">
      <c r="A977" s="49"/>
      <c r="B977" s="50"/>
      <c r="C977" s="50"/>
      <c r="D977" s="50"/>
      <c r="E977" s="50"/>
      <c r="F977" s="51"/>
      <c r="G977" s="50"/>
      <c r="H977" s="50"/>
      <c r="I977" s="50"/>
      <c r="J977" s="48" t="str">
        <f t="array" ref="J977">IF(G977="","",IFERROR(LET(ev_cost,INDEX(Events!$G$5:$G$505,MATCH(G977,Events!$A$5:$A$505,0)),ev_split,INDEX(Events!$I$5:$I$505,MATCH(G977,Events!$A$5:$A$505,0)),att_offset,MATCH(G977,Attendance!$B$3:$AV$3,0),attendees,COUNTIF(INDEX(Attendance!$B$7:$AV$206,0,att_offset),"1"),IF(ev_split="Equal Split",ev_cost/MAX(1,COUNTA(Roster!$A$5:$A$204)),ev_cost/MAX(1,attendees))),"N/A"))</f>
        <v/>
      </c>
      <c r="K977" s="5"/>
      <c r="L977" s="5"/>
      <c r="M977" s="5"/>
      <c r="N977" s="5"/>
      <c r="O977" s="5"/>
      <c r="P977" s="5"/>
      <c r="Q977" s="5"/>
      <c r="R977" s="5"/>
      <c r="S977" s="5"/>
      <c r="T977" s="5"/>
      <c r="U977" s="5"/>
      <c r="V977" s="5"/>
      <c r="W977" s="5"/>
      <c r="X977" s="5"/>
      <c r="Y977" s="5"/>
      <c r="Z977" s="5"/>
    </row>
    <row r="978" ht="19.5" customHeight="1">
      <c r="A978" s="52"/>
      <c r="B978" s="53"/>
      <c r="C978" s="53"/>
      <c r="D978" s="53"/>
      <c r="E978" s="53"/>
      <c r="F978" s="61"/>
      <c r="G978" s="53"/>
      <c r="H978" s="53"/>
      <c r="I978" s="53"/>
      <c r="J978" s="48" t="str">
        <f t="array" ref="J978">IF(G978="","",IFERROR(LET(ev_cost,INDEX(Events!$G$5:$G$505,MATCH(G978,Events!$A$5:$A$505,0)),ev_split,INDEX(Events!$I$5:$I$505,MATCH(G978,Events!$A$5:$A$505,0)),att_offset,MATCH(G978,Attendance!$B$3:$AV$3,0),attendees,COUNTIF(INDEX(Attendance!$B$7:$AV$206,0,att_offset),"1"),IF(ev_split="Equal Split",ev_cost/MAX(1,COUNTA(Roster!$A$5:$A$204)),ev_cost/MAX(1,attendees))),"N/A"))</f>
        <v/>
      </c>
      <c r="K978" s="5"/>
      <c r="L978" s="5"/>
      <c r="M978" s="5"/>
      <c r="N978" s="5"/>
      <c r="O978" s="5"/>
      <c r="P978" s="5"/>
      <c r="Q978" s="5"/>
      <c r="R978" s="5"/>
      <c r="S978" s="5"/>
      <c r="T978" s="5"/>
      <c r="U978" s="5"/>
      <c r="V978" s="5"/>
      <c r="W978" s="5"/>
      <c r="X978" s="5"/>
      <c r="Y978" s="5"/>
      <c r="Z978" s="5"/>
    </row>
    <row r="979" ht="19.5" customHeight="1">
      <c r="A979" s="49"/>
      <c r="B979" s="50"/>
      <c r="C979" s="50"/>
      <c r="D979" s="50"/>
      <c r="E979" s="50"/>
      <c r="F979" s="51"/>
      <c r="G979" s="50"/>
      <c r="H979" s="50"/>
      <c r="I979" s="50"/>
      <c r="J979" s="48" t="str">
        <f t="array" ref="J979">IF(G979="","",IFERROR(LET(ev_cost,INDEX(Events!$G$5:$G$505,MATCH(G979,Events!$A$5:$A$505,0)),ev_split,INDEX(Events!$I$5:$I$505,MATCH(G979,Events!$A$5:$A$505,0)),att_offset,MATCH(G979,Attendance!$B$3:$AV$3,0),attendees,COUNTIF(INDEX(Attendance!$B$7:$AV$206,0,att_offset),"1"),IF(ev_split="Equal Split",ev_cost/MAX(1,COUNTA(Roster!$A$5:$A$204)),ev_cost/MAX(1,attendees))),"N/A"))</f>
        <v/>
      </c>
      <c r="K979" s="5"/>
      <c r="L979" s="5"/>
      <c r="M979" s="5"/>
      <c r="N979" s="5"/>
      <c r="O979" s="5"/>
      <c r="P979" s="5"/>
      <c r="Q979" s="5"/>
      <c r="R979" s="5"/>
      <c r="S979" s="5"/>
      <c r="T979" s="5"/>
      <c r="U979" s="5"/>
      <c r="V979" s="5"/>
      <c r="W979" s="5"/>
      <c r="X979" s="5"/>
      <c r="Y979" s="5"/>
      <c r="Z979" s="5"/>
    </row>
    <row r="980" ht="19.5" customHeight="1">
      <c r="A980" s="52"/>
      <c r="B980" s="53"/>
      <c r="C980" s="53"/>
      <c r="D980" s="53"/>
      <c r="E980" s="53"/>
      <c r="F980" s="61"/>
      <c r="G980" s="53"/>
      <c r="H980" s="53"/>
      <c r="I980" s="53"/>
      <c r="J980" s="48" t="str">
        <f t="array" ref="J980">IF(G980="","",IFERROR(LET(ev_cost,INDEX(Events!$G$5:$G$505,MATCH(G980,Events!$A$5:$A$505,0)),ev_split,INDEX(Events!$I$5:$I$505,MATCH(G980,Events!$A$5:$A$505,0)),att_offset,MATCH(G980,Attendance!$B$3:$AV$3,0),attendees,COUNTIF(INDEX(Attendance!$B$7:$AV$206,0,att_offset),"1"),IF(ev_split="Equal Split",ev_cost/MAX(1,COUNTA(Roster!$A$5:$A$204)),ev_cost/MAX(1,attendees))),"N/A"))</f>
        <v/>
      </c>
      <c r="K980" s="5"/>
      <c r="L980" s="5"/>
      <c r="M980" s="5"/>
      <c r="N980" s="5"/>
      <c r="O980" s="5"/>
      <c r="P980" s="5"/>
      <c r="Q980" s="5"/>
      <c r="R980" s="5"/>
      <c r="S980" s="5"/>
      <c r="T980" s="5"/>
      <c r="U980" s="5"/>
      <c r="V980" s="5"/>
      <c r="W980" s="5"/>
      <c r="X980" s="5"/>
      <c r="Y980" s="5"/>
      <c r="Z980" s="5"/>
    </row>
    <row r="981" ht="19.5" customHeight="1">
      <c r="A981" s="49"/>
      <c r="B981" s="50"/>
      <c r="C981" s="50"/>
      <c r="D981" s="50"/>
      <c r="E981" s="50"/>
      <c r="F981" s="51"/>
      <c r="G981" s="50"/>
      <c r="H981" s="50"/>
      <c r="I981" s="50"/>
      <c r="J981" s="48" t="str">
        <f t="array" ref="J981">IF(G981="","",IFERROR(LET(ev_cost,INDEX(Events!$G$5:$G$505,MATCH(G981,Events!$A$5:$A$505,0)),ev_split,INDEX(Events!$I$5:$I$505,MATCH(G981,Events!$A$5:$A$505,0)),att_offset,MATCH(G981,Attendance!$B$3:$AV$3,0),attendees,COUNTIF(INDEX(Attendance!$B$7:$AV$206,0,att_offset),"1"),IF(ev_split="Equal Split",ev_cost/MAX(1,COUNTA(Roster!$A$5:$A$204)),ev_cost/MAX(1,attendees))),"N/A"))</f>
        <v/>
      </c>
      <c r="K981" s="5"/>
      <c r="L981" s="5"/>
      <c r="M981" s="5"/>
      <c r="N981" s="5"/>
      <c r="O981" s="5"/>
      <c r="P981" s="5"/>
      <c r="Q981" s="5"/>
      <c r="R981" s="5"/>
      <c r="S981" s="5"/>
      <c r="T981" s="5"/>
      <c r="U981" s="5"/>
      <c r="V981" s="5"/>
      <c r="W981" s="5"/>
      <c r="X981" s="5"/>
      <c r="Y981" s="5"/>
      <c r="Z981" s="5"/>
    </row>
    <row r="982" ht="19.5" customHeight="1">
      <c r="A982" s="52"/>
      <c r="B982" s="53"/>
      <c r="C982" s="53"/>
      <c r="D982" s="53"/>
      <c r="E982" s="53"/>
      <c r="F982" s="61"/>
      <c r="G982" s="53"/>
      <c r="H982" s="53"/>
      <c r="I982" s="53"/>
      <c r="J982" s="48" t="str">
        <f t="array" ref="J982">IF(G982="","",IFERROR(LET(ev_cost,INDEX(Events!$G$5:$G$505,MATCH(G982,Events!$A$5:$A$505,0)),ev_split,INDEX(Events!$I$5:$I$505,MATCH(G982,Events!$A$5:$A$505,0)),att_offset,MATCH(G982,Attendance!$B$3:$AV$3,0),attendees,COUNTIF(INDEX(Attendance!$B$7:$AV$206,0,att_offset),"1"),IF(ev_split="Equal Split",ev_cost/MAX(1,COUNTA(Roster!$A$5:$A$204)),ev_cost/MAX(1,attendees))),"N/A"))</f>
        <v/>
      </c>
      <c r="K982" s="5"/>
      <c r="L982" s="5"/>
      <c r="M982" s="5"/>
      <c r="N982" s="5"/>
      <c r="O982" s="5"/>
      <c r="P982" s="5"/>
      <c r="Q982" s="5"/>
      <c r="R982" s="5"/>
      <c r="S982" s="5"/>
      <c r="T982" s="5"/>
      <c r="U982" s="5"/>
      <c r="V982" s="5"/>
      <c r="W982" s="5"/>
      <c r="X982" s="5"/>
      <c r="Y982" s="5"/>
      <c r="Z982" s="5"/>
    </row>
    <row r="983" ht="19.5" customHeight="1">
      <c r="A983" s="49"/>
      <c r="B983" s="50"/>
      <c r="C983" s="50"/>
      <c r="D983" s="50"/>
      <c r="E983" s="50"/>
      <c r="F983" s="51"/>
      <c r="G983" s="50"/>
      <c r="H983" s="50"/>
      <c r="I983" s="50"/>
      <c r="J983" s="48" t="str">
        <f t="array" ref="J983">IF(G983="","",IFERROR(LET(ev_cost,INDEX(Events!$G$5:$G$505,MATCH(G983,Events!$A$5:$A$505,0)),ev_split,INDEX(Events!$I$5:$I$505,MATCH(G983,Events!$A$5:$A$505,0)),att_offset,MATCH(G983,Attendance!$B$3:$AV$3,0),attendees,COUNTIF(INDEX(Attendance!$B$7:$AV$206,0,att_offset),"1"),IF(ev_split="Equal Split",ev_cost/MAX(1,COUNTA(Roster!$A$5:$A$204)),ev_cost/MAX(1,attendees))),"N/A"))</f>
        <v/>
      </c>
      <c r="K983" s="5"/>
      <c r="L983" s="5"/>
      <c r="M983" s="5"/>
      <c r="N983" s="5"/>
      <c r="O983" s="5"/>
      <c r="P983" s="5"/>
      <c r="Q983" s="5"/>
      <c r="R983" s="5"/>
      <c r="S983" s="5"/>
      <c r="T983" s="5"/>
      <c r="U983" s="5"/>
      <c r="V983" s="5"/>
      <c r="W983" s="5"/>
      <c r="X983" s="5"/>
      <c r="Y983" s="5"/>
      <c r="Z983" s="5"/>
    </row>
    <row r="984" ht="19.5" customHeight="1">
      <c r="A984" s="52"/>
      <c r="B984" s="53"/>
      <c r="C984" s="53"/>
      <c r="D984" s="53"/>
      <c r="E984" s="53"/>
      <c r="F984" s="61"/>
      <c r="G984" s="53"/>
      <c r="H984" s="53"/>
      <c r="I984" s="53"/>
      <c r="J984" s="48" t="str">
        <f t="array" ref="J984">IF(G984="","",IFERROR(LET(ev_cost,INDEX(Events!$G$5:$G$505,MATCH(G984,Events!$A$5:$A$505,0)),ev_split,INDEX(Events!$I$5:$I$505,MATCH(G984,Events!$A$5:$A$505,0)),att_offset,MATCH(G984,Attendance!$B$3:$AV$3,0),attendees,COUNTIF(INDEX(Attendance!$B$7:$AV$206,0,att_offset),"1"),IF(ev_split="Equal Split",ev_cost/MAX(1,COUNTA(Roster!$A$5:$A$204)),ev_cost/MAX(1,attendees))),"N/A"))</f>
        <v/>
      </c>
      <c r="K984" s="5"/>
      <c r="L984" s="5"/>
      <c r="M984" s="5"/>
      <c r="N984" s="5"/>
      <c r="O984" s="5"/>
      <c r="P984" s="5"/>
      <c r="Q984" s="5"/>
      <c r="R984" s="5"/>
      <c r="S984" s="5"/>
      <c r="T984" s="5"/>
      <c r="U984" s="5"/>
      <c r="V984" s="5"/>
      <c r="W984" s="5"/>
      <c r="X984" s="5"/>
      <c r="Y984" s="5"/>
      <c r="Z984" s="5"/>
    </row>
    <row r="985" ht="19.5" customHeight="1">
      <c r="A985" s="49"/>
      <c r="B985" s="50"/>
      <c r="C985" s="50"/>
      <c r="D985" s="50"/>
      <c r="E985" s="50"/>
      <c r="F985" s="51"/>
      <c r="G985" s="50"/>
      <c r="H985" s="50"/>
      <c r="I985" s="50"/>
      <c r="J985" s="48" t="str">
        <f t="array" ref="J985">IF(G985="","",IFERROR(LET(ev_cost,INDEX(Events!$G$5:$G$505,MATCH(G985,Events!$A$5:$A$505,0)),ev_split,INDEX(Events!$I$5:$I$505,MATCH(G985,Events!$A$5:$A$505,0)),att_offset,MATCH(G985,Attendance!$B$3:$AV$3,0),attendees,COUNTIF(INDEX(Attendance!$B$7:$AV$206,0,att_offset),"1"),IF(ev_split="Equal Split",ev_cost/MAX(1,COUNTA(Roster!$A$5:$A$204)),ev_cost/MAX(1,attendees))),"N/A"))</f>
        <v/>
      </c>
      <c r="K985" s="5"/>
      <c r="L985" s="5"/>
      <c r="M985" s="5"/>
      <c r="N985" s="5"/>
      <c r="O985" s="5"/>
      <c r="P985" s="5"/>
      <c r="Q985" s="5"/>
      <c r="R985" s="5"/>
      <c r="S985" s="5"/>
      <c r="T985" s="5"/>
      <c r="U985" s="5"/>
      <c r="V985" s="5"/>
      <c r="W985" s="5"/>
      <c r="X985" s="5"/>
      <c r="Y985" s="5"/>
      <c r="Z985" s="5"/>
    </row>
    <row r="986" ht="19.5" customHeight="1">
      <c r="A986" s="52"/>
      <c r="B986" s="53"/>
      <c r="C986" s="53"/>
      <c r="D986" s="53"/>
      <c r="E986" s="53"/>
      <c r="F986" s="61"/>
      <c r="G986" s="53"/>
      <c r="H986" s="53"/>
      <c r="I986" s="53"/>
      <c r="J986" s="48" t="str">
        <f t="array" ref="J986">IF(G986="","",IFERROR(LET(ev_cost,INDEX(Events!$G$5:$G$505,MATCH(G986,Events!$A$5:$A$505,0)),ev_split,INDEX(Events!$I$5:$I$505,MATCH(G986,Events!$A$5:$A$505,0)),att_offset,MATCH(G986,Attendance!$B$3:$AV$3,0),attendees,COUNTIF(INDEX(Attendance!$B$7:$AV$206,0,att_offset),"1"),IF(ev_split="Equal Split",ev_cost/MAX(1,COUNTA(Roster!$A$5:$A$204)),ev_cost/MAX(1,attendees))),"N/A"))</f>
        <v/>
      </c>
      <c r="K986" s="5"/>
      <c r="L986" s="5"/>
      <c r="M986" s="5"/>
      <c r="N986" s="5"/>
      <c r="O986" s="5"/>
      <c r="P986" s="5"/>
      <c r="Q986" s="5"/>
      <c r="R986" s="5"/>
      <c r="S986" s="5"/>
      <c r="T986" s="5"/>
      <c r="U986" s="5"/>
      <c r="V986" s="5"/>
      <c r="W986" s="5"/>
      <c r="X986" s="5"/>
      <c r="Y986" s="5"/>
      <c r="Z986" s="5"/>
    </row>
    <row r="987" ht="19.5" customHeight="1">
      <c r="A987" s="49"/>
      <c r="B987" s="50"/>
      <c r="C987" s="50"/>
      <c r="D987" s="50"/>
      <c r="E987" s="50"/>
      <c r="F987" s="51"/>
      <c r="G987" s="50"/>
      <c r="H987" s="50"/>
      <c r="I987" s="50"/>
      <c r="J987" s="48" t="str">
        <f t="array" ref="J987">IF(G987="","",IFERROR(LET(ev_cost,INDEX(Events!$G$5:$G$505,MATCH(G987,Events!$A$5:$A$505,0)),ev_split,INDEX(Events!$I$5:$I$505,MATCH(G987,Events!$A$5:$A$505,0)),att_offset,MATCH(G987,Attendance!$B$3:$AV$3,0),attendees,COUNTIF(INDEX(Attendance!$B$7:$AV$206,0,att_offset),"1"),IF(ev_split="Equal Split",ev_cost/MAX(1,COUNTA(Roster!$A$5:$A$204)),ev_cost/MAX(1,attendees))),"N/A"))</f>
        <v/>
      </c>
      <c r="K987" s="5"/>
      <c r="L987" s="5"/>
      <c r="M987" s="5"/>
      <c r="N987" s="5"/>
      <c r="O987" s="5"/>
      <c r="P987" s="5"/>
      <c r="Q987" s="5"/>
      <c r="R987" s="5"/>
      <c r="S987" s="5"/>
      <c r="T987" s="5"/>
      <c r="U987" s="5"/>
      <c r="V987" s="5"/>
      <c r="W987" s="5"/>
      <c r="X987" s="5"/>
      <c r="Y987" s="5"/>
      <c r="Z987" s="5"/>
    </row>
    <row r="988" ht="19.5" customHeight="1">
      <c r="A988" s="52"/>
      <c r="B988" s="53"/>
      <c r="C988" s="53"/>
      <c r="D988" s="53"/>
      <c r="E988" s="53"/>
      <c r="F988" s="61"/>
      <c r="G988" s="53"/>
      <c r="H988" s="53"/>
      <c r="I988" s="53"/>
      <c r="J988" s="48" t="str">
        <f t="array" ref="J988">IF(G988="","",IFERROR(LET(ev_cost,INDEX(Events!$G$5:$G$505,MATCH(G988,Events!$A$5:$A$505,0)),ev_split,INDEX(Events!$I$5:$I$505,MATCH(G988,Events!$A$5:$A$505,0)),att_offset,MATCH(G988,Attendance!$B$3:$AV$3,0),attendees,COUNTIF(INDEX(Attendance!$B$7:$AV$206,0,att_offset),"1"),IF(ev_split="Equal Split",ev_cost/MAX(1,COUNTA(Roster!$A$5:$A$204)),ev_cost/MAX(1,attendees))),"N/A"))</f>
        <v/>
      </c>
      <c r="K988" s="5"/>
      <c r="L988" s="5"/>
      <c r="M988" s="5"/>
      <c r="N988" s="5"/>
      <c r="O988" s="5"/>
      <c r="P988" s="5"/>
      <c r="Q988" s="5"/>
      <c r="R988" s="5"/>
      <c r="S988" s="5"/>
      <c r="T988" s="5"/>
      <c r="U988" s="5"/>
      <c r="V988" s="5"/>
      <c r="W988" s="5"/>
      <c r="X988" s="5"/>
      <c r="Y988" s="5"/>
      <c r="Z988" s="5"/>
    </row>
    <row r="989" ht="19.5" customHeight="1">
      <c r="A989" s="49"/>
      <c r="B989" s="50"/>
      <c r="C989" s="50"/>
      <c r="D989" s="50"/>
      <c r="E989" s="50"/>
      <c r="F989" s="51"/>
      <c r="G989" s="50"/>
      <c r="H989" s="50"/>
      <c r="I989" s="50"/>
      <c r="J989" s="48" t="str">
        <f t="array" ref="J989">IF(G989="","",IFERROR(LET(ev_cost,INDEX(Events!$G$5:$G$505,MATCH(G989,Events!$A$5:$A$505,0)),ev_split,INDEX(Events!$I$5:$I$505,MATCH(G989,Events!$A$5:$A$505,0)),att_offset,MATCH(G989,Attendance!$B$3:$AV$3,0),attendees,COUNTIF(INDEX(Attendance!$B$7:$AV$206,0,att_offset),"1"),IF(ev_split="Equal Split",ev_cost/MAX(1,COUNTA(Roster!$A$5:$A$204)),ev_cost/MAX(1,attendees))),"N/A"))</f>
        <v/>
      </c>
      <c r="K989" s="5"/>
      <c r="L989" s="5"/>
      <c r="M989" s="5"/>
      <c r="N989" s="5"/>
      <c r="O989" s="5"/>
      <c r="P989" s="5"/>
      <c r="Q989" s="5"/>
      <c r="R989" s="5"/>
      <c r="S989" s="5"/>
      <c r="T989" s="5"/>
      <c r="U989" s="5"/>
      <c r="V989" s="5"/>
      <c r="W989" s="5"/>
      <c r="X989" s="5"/>
      <c r="Y989" s="5"/>
      <c r="Z989" s="5"/>
    </row>
    <row r="990" ht="15.75" customHeight="1">
      <c r="A990" s="5"/>
      <c r="B990" s="5"/>
      <c r="C990" s="5"/>
      <c r="D990" s="5"/>
      <c r="E990" s="5"/>
      <c r="F990" s="23"/>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23"/>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23"/>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23"/>
      <c r="G993" s="5"/>
      <c r="H993" s="5"/>
      <c r="I993" s="5"/>
      <c r="J993" s="5"/>
      <c r="K993" s="5"/>
      <c r="L993" s="5"/>
      <c r="M993" s="5"/>
      <c r="N993" s="5"/>
      <c r="O993" s="5"/>
      <c r="P993" s="5"/>
      <c r="Q993" s="5"/>
      <c r="R993" s="5"/>
      <c r="S993" s="5"/>
      <c r="T993" s="5"/>
      <c r="U993" s="5"/>
      <c r="V993" s="5"/>
      <c r="W993" s="5"/>
      <c r="X993" s="5"/>
      <c r="Y993" s="5"/>
      <c r="Z993" s="5"/>
    </row>
  </sheetData>
  <mergeCells count="1">
    <mergeCell ref="A1:I1"/>
  </mergeCells>
  <dataValidations>
    <dataValidation type="list" allowBlank="1" sqref="G2:G993">
      <formula1>Events!$A$5:$A$505</formula1>
    </dataValidation>
    <dataValidation type="list" allowBlank="1" sqref="C7:C989">
      <formula1>"Dues,Tournament Fee,Field Fee,Hotel,Travel,Equipment,Fundraiser Income,Sponsorship,Refund,Other"</formula1>
    </dataValidation>
    <dataValidation type="list" allowBlank="1" sqref="D7:D989">
      <formula1>"Income,Expense,Fundraiser,Credit,Reimbursement,Adjustment"</formula1>
    </dataValidation>
    <dataValidation type="list" allowBlank="1" sqref="I7:I989">
      <formula1>"Cleared,Pending,Disputed"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25.88"/>
    <col customWidth="1" min="7" max="7" width="19.88"/>
  </cols>
  <sheetData>
    <row r="1">
      <c r="A1" s="75" t="s">
        <v>179</v>
      </c>
      <c r="D1" s="76" t="s">
        <v>180</v>
      </c>
      <c r="F1" s="75" t="s">
        <v>181</v>
      </c>
      <c r="G1" s="77"/>
      <c r="H1" s="77"/>
      <c r="I1" s="77"/>
    </row>
    <row r="2">
      <c r="A2" s="76" t="s">
        <v>182</v>
      </c>
      <c r="B2" s="78">
        <f>8.88+11.11</f>
        <v>19.99</v>
      </c>
      <c r="D2" s="78">
        <f>SUM(B:B)</f>
        <v>3792.99</v>
      </c>
      <c r="F2" s="75" t="s">
        <v>183</v>
      </c>
      <c r="G2" s="75" t="s">
        <v>184</v>
      </c>
      <c r="H2" s="75" t="s">
        <v>185</v>
      </c>
      <c r="I2" s="75" t="s">
        <v>186</v>
      </c>
      <c r="K2" s="75" t="s">
        <v>187</v>
      </c>
    </row>
    <row r="3">
      <c r="A3" s="76" t="s">
        <v>188</v>
      </c>
      <c r="B3" s="76">
        <v>50.0</v>
      </c>
      <c r="F3" s="76" t="s">
        <v>189</v>
      </c>
      <c r="G3" s="76" t="s">
        <v>190</v>
      </c>
      <c r="H3" s="76" t="s">
        <v>191</v>
      </c>
      <c r="I3" s="76" t="s">
        <v>192</v>
      </c>
      <c r="J3" s="78">
        <f t="shared" ref="J3:J37" si="1">INT(I3)</f>
        <v>40</v>
      </c>
      <c r="K3" s="78">
        <f>sum(J:J)-sum(N:N)</f>
        <v>735</v>
      </c>
    </row>
    <row r="4">
      <c r="A4" s="76" t="s">
        <v>193</v>
      </c>
      <c r="B4" s="76">
        <v>25.0</v>
      </c>
      <c r="F4" s="76" t="s">
        <v>194</v>
      </c>
      <c r="G4" s="76" t="s">
        <v>195</v>
      </c>
      <c r="H4" s="76" t="s">
        <v>191</v>
      </c>
      <c r="I4" s="76" t="s">
        <v>196</v>
      </c>
      <c r="J4" s="78">
        <f t="shared" si="1"/>
        <v>20</v>
      </c>
    </row>
    <row r="5">
      <c r="A5" s="76" t="s">
        <v>197</v>
      </c>
      <c r="B5" s="76">
        <v>10.0</v>
      </c>
      <c r="F5" s="76" t="s">
        <v>198</v>
      </c>
      <c r="G5" s="76" t="s">
        <v>199</v>
      </c>
      <c r="H5" s="76" t="s">
        <v>191</v>
      </c>
      <c r="I5" s="76" t="s">
        <v>196</v>
      </c>
      <c r="J5" s="78">
        <f t="shared" si="1"/>
        <v>20</v>
      </c>
    </row>
    <row r="6">
      <c r="A6" s="76" t="s">
        <v>200</v>
      </c>
      <c r="B6" s="76">
        <v>20.0</v>
      </c>
      <c r="F6" s="76" t="s">
        <v>201</v>
      </c>
      <c r="G6" s="76" t="s">
        <v>202</v>
      </c>
      <c r="H6" s="76" t="s">
        <v>191</v>
      </c>
      <c r="I6" s="76" t="s">
        <v>203</v>
      </c>
      <c r="J6" s="78">
        <f t="shared" si="1"/>
        <v>1</v>
      </c>
    </row>
    <row r="7">
      <c r="F7" s="76" t="s">
        <v>204</v>
      </c>
      <c r="G7" s="76" t="s">
        <v>74</v>
      </c>
      <c r="H7" s="76" t="s">
        <v>191</v>
      </c>
      <c r="I7" s="76" t="s">
        <v>196</v>
      </c>
      <c r="J7" s="78">
        <f t="shared" si="1"/>
        <v>20</v>
      </c>
    </row>
    <row r="8">
      <c r="F8" s="76" t="s">
        <v>205</v>
      </c>
      <c r="G8" s="76" t="s">
        <v>206</v>
      </c>
      <c r="H8" s="76" t="s">
        <v>191</v>
      </c>
      <c r="I8" s="76" t="s">
        <v>207</v>
      </c>
      <c r="J8" s="78">
        <f t="shared" si="1"/>
        <v>10</v>
      </c>
    </row>
    <row r="9">
      <c r="F9" s="76" t="s">
        <v>208</v>
      </c>
      <c r="G9" s="76" t="s">
        <v>209</v>
      </c>
      <c r="H9" s="76" t="s">
        <v>191</v>
      </c>
      <c r="I9" s="76" t="s">
        <v>207</v>
      </c>
      <c r="J9" s="78">
        <f t="shared" si="1"/>
        <v>10</v>
      </c>
      <c r="M9" s="76" t="s">
        <v>210</v>
      </c>
      <c r="N9" s="76">
        <v>20.0</v>
      </c>
    </row>
    <row r="10">
      <c r="F10" s="76" t="s">
        <v>211</v>
      </c>
      <c r="G10" s="76" t="s">
        <v>212</v>
      </c>
      <c r="H10" s="76" t="s">
        <v>191</v>
      </c>
      <c r="I10" s="76" t="s">
        <v>196</v>
      </c>
      <c r="J10" s="78">
        <f t="shared" si="1"/>
        <v>20</v>
      </c>
      <c r="M10" s="76" t="s">
        <v>213</v>
      </c>
      <c r="N10" s="76">
        <v>20.0</v>
      </c>
    </row>
    <row r="11">
      <c r="A11" s="75" t="s">
        <v>214</v>
      </c>
      <c r="F11" s="76" t="s">
        <v>215</v>
      </c>
      <c r="G11" s="76" t="s">
        <v>212</v>
      </c>
      <c r="H11" s="76" t="s">
        <v>191</v>
      </c>
      <c r="I11" s="76" t="s">
        <v>196</v>
      </c>
      <c r="J11" s="78">
        <f t="shared" si="1"/>
        <v>20</v>
      </c>
      <c r="M11" s="76" t="s">
        <v>216</v>
      </c>
      <c r="N11" s="76">
        <v>20.0</v>
      </c>
    </row>
    <row r="12">
      <c r="A12" s="76" t="s">
        <v>217</v>
      </c>
      <c r="B12" s="76">
        <v>3668.0</v>
      </c>
      <c r="F12" s="76" t="s">
        <v>218</v>
      </c>
      <c r="G12" s="76" t="s">
        <v>219</v>
      </c>
      <c r="H12" s="76" t="s">
        <v>191</v>
      </c>
      <c r="I12" s="76" t="s">
        <v>220</v>
      </c>
      <c r="J12" s="78">
        <f t="shared" si="1"/>
        <v>25</v>
      </c>
      <c r="M12" s="76" t="s">
        <v>222</v>
      </c>
      <c r="N12" s="76">
        <v>20.0</v>
      </c>
    </row>
    <row r="13">
      <c r="F13" s="76" t="s">
        <v>223</v>
      </c>
      <c r="G13" s="76" t="s">
        <v>224</v>
      </c>
      <c r="H13" s="76" t="s">
        <v>191</v>
      </c>
      <c r="I13" s="76" t="s">
        <v>225</v>
      </c>
      <c r="J13" s="78">
        <f t="shared" si="1"/>
        <v>6</v>
      </c>
      <c r="M13" s="76" t="s">
        <v>226</v>
      </c>
      <c r="N13" s="76">
        <v>20.0</v>
      </c>
    </row>
    <row r="14">
      <c r="F14" s="76" t="s">
        <v>227</v>
      </c>
      <c r="G14" s="76" t="s">
        <v>228</v>
      </c>
      <c r="H14" s="76" t="s">
        <v>191</v>
      </c>
      <c r="I14" s="76" t="s">
        <v>207</v>
      </c>
      <c r="J14" s="78">
        <f t="shared" si="1"/>
        <v>10</v>
      </c>
      <c r="M14" s="76" t="s">
        <v>229</v>
      </c>
      <c r="N14" s="76">
        <v>20.0</v>
      </c>
    </row>
    <row r="15">
      <c r="F15" s="76" t="s">
        <v>205</v>
      </c>
      <c r="G15" s="76" t="s">
        <v>116</v>
      </c>
      <c r="H15" s="76" t="s">
        <v>191</v>
      </c>
      <c r="I15" s="76" t="s">
        <v>207</v>
      </c>
      <c r="J15" s="78">
        <f t="shared" si="1"/>
        <v>10</v>
      </c>
      <c r="M15" s="76" t="s">
        <v>230</v>
      </c>
      <c r="N15" s="76">
        <v>20.0</v>
      </c>
    </row>
    <row r="16">
      <c r="F16" s="76" t="s">
        <v>231</v>
      </c>
      <c r="G16" s="76" t="s">
        <v>232</v>
      </c>
      <c r="H16" s="76" t="s">
        <v>191</v>
      </c>
      <c r="I16" s="76" t="s">
        <v>207</v>
      </c>
      <c r="J16" s="78">
        <f t="shared" si="1"/>
        <v>10</v>
      </c>
      <c r="M16" s="76" t="s">
        <v>233</v>
      </c>
      <c r="N16" s="76">
        <v>20.0</v>
      </c>
    </row>
    <row r="17">
      <c r="F17" s="76" t="s">
        <v>234</v>
      </c>
      <c r="G17" s="76" t="s">
        <v>235</v>
      </c>
      <c r="H17" s="76" t="s">
        <v>191</v>
      </c>
      <c r="I17" s="76" t="s">
        <v>207</v>
      </c>
      <c r="J17" s="78">
        <f t="shared" si="1"/>
        <v>10</v>
      </c>
      <c r="M17" s="76" t="s">
        <v>236</v>
      </c>
      <c r="N17" s="76">
        <v>20.0</v>
      </c>
    </row>
    <row r="18">
      <c r="F18" s="76" t="s">
        <v>237</v>
      </c>
      <c r="G18" s="76" t="s">
        <v>238</v>
      </c>
      <c r="H18" s="76" t="s">
        <v>191</v>
      </c>
      <c r="I18" s="76" t="s">
        <v>239</v>
      </c>
      <c r="J18" s="78">
        <f t="shared" si="1"/>
        <v>21</v>
      </c>
    </row>
    <row r="19">
      <c r="F19" s="76" t="s">
        <v>208</v>
      </c>
      <c r="G19" s="76" t="s">
        <v>240</v>
      </c>
      <c r="H19" s="76" t="s">
        <v>191</v>
      </c>
      <c r="I19" s="76" t="s">
        <v>241</v>
      </c>
      <c r="J19" s="78">
        <f t="shared" si="1"/>
        <v>5</v>
      </c>
    </row>
    <row r="20">
      <c r="F20" s="76" t="s">
        <v>242</v>
      </c>
      <c r="G20" s="76" t="s">
        <v>219</v>
      </c>
      <c r="H20" s="76" t="s">
        <v>191</v>
      </c>
      <c r="I20" s="76" t="s">
        <v>243</v>
      </c>
      <c r="J20" s="78">
        <f t="shared" si="1"/>
        <v>2</v>
      </c>
    </row>
    <row r="21">
      <c r="F21" s="76" t="s">
        <v>244</v>
      </c>
      <c r="G21" s="76" t="s">
        <v>190</v>
      </c>
      <c r="H21" s="76" t="s">
        <v>191</v>
      </c>
      <c r="I21" s="76" t="s">
        <v>245</v>
      </c>
      <c r="J21" s="78">
        <f t="shared" si="1"/>
        <v>3</v>
      </c>
    </row>
    <row r="22">
      <c r="F22" s="76" t="s">
        <v>246</v>
      </c>
      <c r="G22" s="76" t="s">
        <v>130</v>
      </c>
      <c r="H22" s="76" t="s">
        <v>191</v>
      </c>
      <c r="I22" s="76" t="s">
        <v>243</v>
      </c>
      <c r="J22" s="78">
        <f t="shared" si="1"/>
        <v>2</v>
      </c>
    </row>
    <row r="23">
      <c r="F23" s="76" t="s">
        <v>244</v>
      </c>
      <c r="G23" s="76" t="s">
        <v>247</v>
      </c>
      <c r="H23" s="76" t="s">
        <v>191</v>
      </c>
      <c r="I23" s="76" t="s">
        <v>243</v>
      </c>
      <c r="J23" s="78">
        <f t="shared" si="1"/>
        <v>2</v>
      </c>
    </row>
    <row r="24">
      <c r="F24" s="76" t="s">
        <v>248</v>
      </c>
      <c r="G24" s="76" t="s">
        <v>247</v>
      </c>
      <c r="H24" s="76" t="s">
        <v>191</v>
      </c>
      <c r="I24" s="76" t="s">
        <v>196</v>
      </c>
      <c r="J24" s="78">
        <f t="shared" si="1"/>
        <v>20</v>
      </c>
    </row>
    <row r="25">
      <c r="F25" s="76" t="s">
        <v>249</v>
      </c>
      <c r="G25" s="76" t="s">
        <v>168</v>
      </c>
      <c r="H25" s="76" t="s">
        <v>191</v>
      </c>
      <c r="I25" s="76" t="s">
        <v>196</v>
      </c>
      <c r="J25" s="78">
        <f t="shared" si="1"/>
        <v>20</v>
      </c>
    </row>
    <row r="26">
      <c r="F26" s="76" t="s">
        <v>250</v>
      </c>
      <c r="G26" s="76" t="s">
        <v>251</v>
      </c>
      <c r="H26" s="76" t="s">
        <v>191</v>
      </c>
      <c r="I26" s="76" t="s">
        <v>196</v>
      </c>
      <c r="J26" s="78">
        <f t="shared" si="1"/>
        <v>20</v>
      </c>
    </row>
    <row r="27">
      <c r="F27" s="76" t="s">
        <v>252</v>
      </c>
      <c r="G27" s="76" t="s">
        <v>253</v>
      </c>
      <c r="H27" s="76" t="s">
        <v>191</v>
      </c>
      <c r="I27" s="76" t="s">
        <v>196</v>
      </c>
      <c r="J27" s="78">
        <f t="shared" si="1"/>
        <v>20</v>
      </c>
    </row>
    <row r="28">
      <c r="F28" s="76" t="s">
        <v>205</v>
      </c>
      <c r="G28" s="76" t="s">
        <v>254</v>
      </c>
      <c r="H28" s="76" t="s">
        <v>191</v>
      </c>
      <c r="I28" s="76" t="s">
        <v>241</v>
      </c>
      <c r="J28" s="78">
        <f t="shared" si="1"/>
        <v>5</v>
      </c>
    </row>
    <row r="29">
      <c r="F29" s="76" t="s">
        <v>255</v>
      </c>
      <c r="G29" s="76" t="s">
        <v>256</v>
      </c>
      <c r="H29" s="76" t="s">
        <v>191</v>
      </c>
      <c r="I29" s="76" t="s">
        <v>257</v>
      </c>
      <c r="J29" s="78">
        <f t="shared" si="1"/>
        <v>23</v>
      </c>
    </row>
    <row r="30">
      <c r="F30" s="76" t="s">
        <v>258</v>
      </c>
      <c r="G30" s="76" t="s">
        <v>166</v>
      </c>
      <c r="H30" s="76" t="s">
        <v>191</v>
      </c>
      <c r="I30" s="76" t="s">
        <v>220</v>
      </c>
      <c r="J30" s="78">
        <f t="shared" si="1"/>
        <v>25</v>
      </c>
    </row>
    <row r="31">
      <c r="F31" s="76" t="s">
        <v>259</v>
      </c>
      <c r="G31" s="76" t="s">
        <v>260</v>
      </c>
      <c r="H31" s="76" t="s">
        <v>191</v>
      </c>
      <c r="I31" s="76" t="s">
        <v>207</v>
      </c>
      <c r="J31" s="78">
        <f t="shared" si="1"/>
        <v>10</v>
      </c>
    </row>
    <row r="32">
      <c r="F32" s="76" t="s">
        <v>261</v>
      </c>
      <c r="G32" s="76" t="s">
        <v>262</v>
      </c>
      <c r="H32" s="76" t="s">
        <v>191</v>
      </c>
      <c r="I32" s="76" t="s">
        <v>196</v>
      </c>
      <c r="J32" s="78">
        <f t="shared" si="1"/>
        <v>20</v>
      </c>
    </row>
    <row r="33">
      <c r="F33" s="76" t="s">
        <v>263</v>
      </c>
      <c r="G33" s="76" t="s">
        <v>264</v>
      </c>
      <c r="H33" s="76" t="s">
        <v>191</v>
      </c>
      <c r="I33" s="76" t="s">
        <v>196</v>
      </c>
      <c r="J33" s="78">
        <f t="shared" si="1"/>
        <v>20</v>
      </c>
    </row>
    <row r="34">
      <c r="F34" s="76" t="s">
        <v>261</v>
      </c>
      <c r="G34" s="76" t="s">
        <v>265</v>
      </c>
      <c r="H34" s="76" t="s">
        <v>191</v>
      </c>
      <c r="I34" s="76" t="s">
        <v>196</v>
      </c>
      <c r="J34" s="78">
        <f t="shared" si="1"/>
        <v>20</v>
      </c>
    </row>
    <row r="35">
      <c r="F35" s="76" t="s">
        <v>261</v>
      </c>
      <c r="G35" s="76" t="s">
        <v>212</v>
      </c>
      <c r="H35" s="76" t="s">
        <v>191</v>
      </c>
      <c r="I35" s="76" t="s">
        <v>196</v>
      </c>
      <c r="J35" s="78">
        <f t="shared" si="1"/>
        <v>20</v>
      </c>
    </row>
    <row r="36">
      <c r="F36" s="76" t="s">
        <v>37</v>
      </c>
      <c r="G36" s="76" t="s">
        <v>266</v>
      </c>
      <c r="H36" s="76" t="s">
        <v>191</v>
      </c>
      <c r="I36" s="76" t="s">
        <v>220</v>
      </c>
      <c r="J36" s="78">
        <f t="shared" si="1"/>
        <v>25</v>
      </c>
    </row>
    <row r="37">
      <c r="F37" s="76" t="s">
        <v>267</v>
      </c>
      <c r="G37" s="76" t="s">
        <v>193</v>
      </c>
      <c r="H37" s="76" t="s">
        <v>191</v>
      </c>
      <c r="I37" s="76" t="s">
        <v>268</v>
      </c>
      <c r="J37" s="78">
        <f t="shared" si="1"/>
        <v>24</v>
      </c>
    </row>
    <row r="38">
      <c r="F38" s="76" t="s">
        <v>269</v>
      </c>
      <c r="G38" s="76" t="s">
        <v>105</v>
      </c>
      <c r="H38" s="76" t="s">
        <v>191</v>
      </c>
      <c r="J38" s="76">
        <v>96.0</v>
      </c>
    </row>
    <row r="39">
      <c r="F39" s="76" t="s">
        <v>270</v>
      </c>
      <c r="G39" s="76" t="s">
        <v>271</v>
      </c>
      <c r="H39" s="76" t="s">
        <v>191</v>
      </c>
      <c r="I39" s="79" t="s">
        <v>272</v>
      </c>
      <c r="J39" s="78">
        <f>INT(I39)</f>
        <v>280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9.25"/>
    <col customWidth="1" min="2" max="2" width="17.5"/>
    <col customWidth="1" min="3" max="3" width="15.75"/>
    <col customWidth="1" min="4" max="4" width="21.0"/>
    <col customWidth="1" min="5" max="6" width="15.75"/>
    <col customWidth="1" min="7" max="7" width="14.0"/>
    <col customWidth="1" min="8" max="8" width="17.5"/>
  </cols>
  <sheetData>
    <row r="1" ht="37.5" customHeight="1">
      <c r="A1" s="1" t="s">
        <v>277</v>
      </c>
      <c r="B1" s="2"/>
      <c r="C1" s="2"/>
      <c r="D1" s="2"/>
      <c r="E1" s="2"/>
      <c r="F1" s="2"/>
      <c r="G1" s="2"/>
      <c r="H1" s="3"/>
      <c r="I1" s="5"/>
      <c r="J1" s="5"/>
      <c r="K1" s="5"/>
      <c r="L1" s="5"/>
      <c r="M1" s="5"/>
      <c r="N1" s="5"/>
      <c r="O1" s="5"/>
      <c r="P1" s="5"/>
      <c r="Q1" s="5"/>
      <c r="R1" s="5"/>
      <c r="S1" s="5"/>
      <c r="T1" s="5"/>
      <c r="U1" s="5"/>
      <c r="V1" s="5"/>
      <c r="W1" s="5"/>
      <c r="X1" s="5"/>
      <c r="Y1" s="5"/>
      <c r="Z1" s="5"/>
    </row>
    <row r="2" ht="13.5" customHeight="1">
      <c r="A2" s="5"/>
      <c r="B2" s="5"/>
      <c r="C2" s="5"/>
      <c r="D2" s="5"/>
      <c r="E2" s="5"/>
      <c r="F2" s="5"/>
      <c r="G2" s="80"/>
      <c r="H2" s="80"/>
      <c r="I2" s="5"/>
      <c r="J2" s="5"/>
      <c r="K2" s="5"/>
      <c r="L2" s="5"/>
      <c r="M2" s="5"/>
      <c r="N2" s="5"/>
      <c r="O2" s="5"/>
      <c r="P2" s="5"/>
      <c r="Q2" s="5"/>
      <c r="R2" s="5"/>
      <c r="S2" s="5"/>
      <c r="T2" s="5"/>
      <c r="U2" s="5"/>
      <c r="V2" s="5"/>
      <c r="W2" s="5"/>
      <c r="X2" s="5"/>
      <c r="Y2" s="5"/>
      <c r="Z2" s="5"/>
    </row>
    <row r="3" ht="21.75" customHeight="1">
      <c r="A3" s="81" t="s">
        <v>278</v>
      </c>
      <c r="B3" s="81" t="s">
        <v>279</v>
      </c>
      <c r="C3" s="81" t="s">
        <v>280</v>
      </c>
      <c r="D3" s="81" t="s">
        <v>281</v>
      </c>
      <c r="E3" s="81" t="s">
        <v>282</v>
      </c>
      <c r="F3" s="80"/>
      <c r="G3" s="80"/>
      <c r="H3" s="80"/>
      <c r="I3" s="5"/>
      <c r="J3" s="5"/>
      <c r="K3" s="5"/>
      <c r="L3" s="5"/>
      <c r="M3" s="5"/>
      <c r="N3" s="5"/>
      <c r="O3" s="5"/>
      <c r="P3" s="5"/>
      <c r="Q3" s="5"/>
      <c r="R3" s="5"/>
      <c r="S3" s="5"/>
      <c r="T3" s="5"/>
      <c r="U3" s="5"/>
      <c r="V3" s="5"/>
      <c r="W3" s="5"/>
      <c r="X3" s="5"/>
      <c r="Y3" s="5"/>
      <c r="Z3" s="5"/>
    </row>
    <row r="4" ht="21.75" customHeight="1">
      <c r="A4" s="82">
        <f>SUMIF(E7:E206,"&gt;0",E7:E206)</f>
        <v>0</v>
      </c>
      <c r="B4" s="82">
        <f>SUMIF(E7:E206,"&lt;0",E7:E206)</f>
        <v>-50663.78</v>
      </c>
      <c r="C4" s="82">
        <f>SUM(E7:E206)</f>
        <v>-50663.78</v>
      </c>
      <c r="D4" s="83">
        <f>COUNTIF(F7:F206,"Settled")</f>
        <v>8</v>
      </c>
      <c r="E4" s="83">
        <f>COUNTIF(F7:F206,"Unsettled")</f>
        <v>30</v>
      </c>
      <c r="F4" s="80"/>
      <c r="G4" s="80"/>
      <c r="H4" s="80"/>
      <c r="I4" s="5"/>
      <c r="J4" s="5"/>
      <c r="K4" s="5"/>
      <c r="L4" s="5"/>
      <c r="M4" s="5"/>
      <c r="N4" s="5"/>
      <c r="O4" s="5"/>
      <c r="P4" s="5"/>
      <c r="Q4" s="5"/>
      <c r="R4" s="5"/>
      <c r="S4" s="5"/>
      <c r="T4" s="5"/>
      <c r="U4" s="5"/>
      <c r="V4" s="5"/>
      <c r="W4" s="5"/>
      <c r="X4" s="5"/>
      <c r="Y4" s="5"/>
      <c r="Z4" s="5"/>
    </row>
    <row r="5" ht="7.5" customHeight="1">
      <c r="A5" s="5"/>
      <c r="B5" s="5"/>
      <c r="C5" s="5"/>
      <c r="D5" s="5"/>
      <c r="E5" s="5"/>
      <c r="F5" s="5"/>
      <c r="G5" s="80"/>
      <c r="H5" s="80"/>
      <c r="I5" s="5"/>
      <c r="J5" s="5"/>
      <c r="K5" s="5"/>
      <c r="L5" s="5"/>
      <c r="M5" s="5"/>
      <c r="N5" s="5"/>
      <c r="O5" s="5"/>
      <c r="P5" s="5"/>
      <c r="Q5" s="5"/>
      <c r="R5" s="5"/>
      <c r="S5" s="5"/>
      <c r="T5" s="5"/>
      <c r="U5" s="5"/>
      <c r="V5" s="5"/>
      <c r="W5" s="5"/>
      <c r="X5" s="5"/>
      <c r="Y5" s="5"/>
      <c r="Z5" s="5"/>
    </row>
    <row r="6" ht="21.75" customHeight="1">
      <c r="A6" s="8" t="s">
        <v>95</v>
      </c>
      <c r="B6" s="8" t="s">
        <v>283</v>
      </c>
      <c r="C6" s="8" t="s">
        <v>284</v>
      </c>
      <c r="D6" s="8" t="s">
        <v>285</v>
      </c>
      <c r="E6" s="8" t="s">
        <v>286</v>
      </c>
      <c r="F6" s="8" t="s">
        <v>21</v>
      </c>
      <c r="G6" s="8" t="s">
        <v>287</v>
      </c>
      <c r="H6" s="80"/>
      <c r="I6" s="5"/>
      <c r="J6" s="5"/>
      <c r="K6" s="5"/>
      <c r="L6" s="5"/>
      <c r="M6" s="5"/>
      <c r="N6" s="5"/>
      <c r="O6" s="5"/>
      <c r="P6" s="5"/>
      <c r="Q6" s="5"/>
      <c r="R6" s="5"/>
      <c r="S6" s="5"/>
      <c r="T6" s="5"/>
      <c r="U6" s="5"/>
      <c r="V6" s="5"/>
      <c r="W6" s="5"/>
      <c r="X6" s="5"/>
      <c r="Y6" s="5"/>
      <c r="Z6" s="5"/>
    </row>
    <row r="7" ht="19.5" customHeight="1">
      <c r="A7" s="84" t="str">
        <f>IF(Roster!$A$5&lt;&gt;"",Roster!$A$5,"")</f>
        <v>At</v>
      </c>
      <c r="B7" s="84">
        <f t="array" ref="B7">IF(A7&lt;&gt;"",IFERROR(SUMPRODUCT((INDEX(Attendance!$B$7:$EE$206,MATCH(A7,Attendance!$A$7:$A$206,0),0)=1)*Attendance!$B$4:$EE$4),0),"")</f>
        <v>0</v>
      </c>
      <c r="C7" s="85">
        <f>IF(A7&lt;&gt;"",SUMIFS(Transactions!$F$7:$F$989,Transactions!$D$7:$D$989,"Income",Transactions!$E$7:$E$989,A7),"")</f>
        <v>470.58</v>
      </c>
      <c r="D7" s="85">
        <f>IF(A7&lt;&gt;"",SUMIFS(Transactions!$F$7:$F$989,Transactions!$D$7:$D$989,"Expense",Transactions!$E$7:$E$989,A7),"")</f>
        <v>0</v>
      </c>
      <c r="E7" s="82">
        <f t="shared" ref="E7:E206" si="1">IF(A7&lt;&gt;"",B7-C7-D7-G7,"")</f>
        <v>-470.58</v>
      </c>
      <c r="F7" s="82" t="str">
        <f t="shared" ref="F7:F206" si="2">IF(A7&lt;&gt;"",IF(E7=0,"Settled","Unsettled"),"")</f>
        <v>Unsettled</v>
      </c>
      <c r="G7" s="86">
        <f>IF(A7&lt;&gt;"",SUMIFS(Transactions!$F$7:$F$989,Transactions!$D$7:$D$989,"Credit",Transactions!$H$7:$H$989,A7),"")</f>
        <v>0</v>
      </c>
      <c r="H7" s="80"/>
      <c r="I7" s="5"/>
      <c r="J7" s="5"/>
      <c r="K7" s="5"/>
      <c r="L7" s="5"/>
      <c r="M7" s="5"/>
      <c r="N7" s="5"/>
      <c r="O7" s="5"/>
      <c r="P7" s="5"/>
      <c r="Q7" s="5"/>
      <c r="R7" s="5"/>
      <c r="S7" s="5"/>
      <c r="T7" s="5"/>
      <c r="U7" s="5"/>
      <c r="V7" s="5"/>
      <c r="W7" s="5"/>
      <c r="X7" s="5"/>
      <c r="Y7" s="5"/>
      <c r="Z7" s="5"/>
    </row>
    <row r="8" ht="19.5" customHeight="1">
      <c r="A8" s="84" t="str">
        <f>IF(Roster!$A$6&lt;&gt;"",Roster!$A$6,"")</f>
        <v>Alex Warrington</v>
      </c>
      <c r="B8" s="84">
        <f t="array" ref="B8">IF(A8&lt;&gt;"",IFERROR(SUMPRODUCT((INDEX(Attendance!$B$7:$EE$206,MATCH(A8,Attendance!$A$7:$A$206,0),0)=1)*Attendance!$B$4:$EE$4),0),"")</f>
        <v>0</v>
      </c>
      <c r="C8" s="85">
        <f>IF(A8&lt;&gt;"",SUMIFS(Transactions!$F$7:$F$989,Transactions!$D$7:$D$989,"Income",Transactions!$E$7:$E$989,A8),"")</f>
        <v>0</v>
      </c>
      <c r="D8" s="85">
        <f>IF(A8&lt;&gt;"",SUMIFS(Transactions!$F$7:$F$989,Transactions!$D$7:$D$989,"Expense",Transactions!$E$7:$E$989,A8),"")</f>
        <v>180</v>
      </c>
      <c r="E8" s="82">
        <f t="shared" si="1"/>
        <v>-180</v>
      </c>
      <c r="F8" s="82" t="str">
        <f t="shared" si="2"/>
        <v>Unsettled</v>
      </c>
      <c r="G8" s="86">
        <f>IF(A8&lt;&gt;"",SUMIFS(Transactions!$F$7:$F$989,Transactions!$D$7:$D$989,"Credit",Transactions!$H$7:$H$989,A8),"")</f>
        <v>0</v>
      </c>
      <c r="H8" s="80"/>
      <c r="I8" s="5"/>
      <c r="J8" s="5"/>
      <c r="K8" s="5"/>
      <c r="L8" s="5"/>
      <c r="M8" s="5"/>
      <c r="N8" s="5"/>
      <c r="O8" s="5"/>
      <c r="P8" s="5"/>
      <c r="Q8" s="5"/>
      <c r="R8" s="5"/>
      <c r="S8" s="5"/>
      <c r="T8" s="5"/>
      <c r="U8" s="5"/>
      <c r="V8" s="5"/>
      <c r="W8" s="5"/>
      <c r="X8" s="5"/>
      <c r="Y8" s="5"/>
      <c r="Z8" s="5"/>
    </row>
    <row r="9" ht="19.5" customHeight="1">
      <c r="A9" s="84" t="str">
        <f>IF(Roster!$A$7&lt;&gt;"",Roster!$A$7,"")</f>
        <v>Chris Wohl</v>
      </c>
      <c r="B9" s="84">
        <f t="array" ref="B9">IF(A9&lt;&gt;"",IFERROR(SUMPRODUCT((INDEX(Attendance!$B$7:$EE$206,MATCH(A9,Attendance!$A$7:$A$206,0),0)=1)*Attendance!$B$4:$EE$4),0),"")</f>
        <v>0</v>
      </c>
      <c r="C9" s="85">
        <f>IF(A9&lt;&gt;"",SUMIFS(Transactions!$F$7:$F$989,Transactions!$D$7:$D$989,"Income",Transactions!$E$7:$E$989,A9),"")</f>
        <v>608.36</v>
      </c>
      <c r="D9" s="85">
        <f>IF(A9&lt;&gt;"",SUMIFS(Transactions!$F$7:$F$989,Transactions!$D$7:$D$989,"Expense",Transactions!$E$7:$E$989,A9),"")</f>
        <v>0</v>
      </c>
      <c r="E9" s="82">
        <f t="shared" si="1"/>
        <v>-608.36</v>
      </c>
      <c r="F9" s="82" t="str">
        <f t="shared" si="2"/>
        <v>Unsettled</v>
      </c>
      <c r="G9" s="86">
        <f>IF(A9&lt;&gt;"",SUMIFS(Transactions!$F$7:$F$989,Transactions!$D$7:$D$989,"Credit",Transactions!$H$7:$H$989,A9),"")</f>
        <v>0</v>
      </c>
      <c r="H9" s="80"/>
      <c r="I9" s="5"/>
      <c r="J9" s="5"/>
      <c r="K9" s="5"/>
      <c r="L9" s="5"/>
      <c r="M9" s="5"/>
      <c r="N9" s="5"/>
      <c r="O9" s="5"/>
      <c r="P9" s="5"/>
      <c r="Q9" s="5"/>
      <c r="R9" s="5"/>
      <c r="S9" s="5"/>
      <c r="T9" s="5"/>
      <c r="U9" s="5"/>
      <c r="V9" s="5"/>
      <c r="W9" s="5"/>
      <c r="X9" s="5"/>
      <c r="Y9" s="5"/>
      <c r="Z9" s="5"/>
    </row>
    <row r="10" ht="19.5" customHeight="1">
      <c r="A10" s="84" t="str">
        <f>IF(Roster!$A$8&lt;&gt;"",Roster!$A$8,"")</f>
        <v>Darra Reppermund</v>
      </c>
      <c r="B10" s="84">
        <f t="array" ref="B10">IF(A10&lt;&gt;"",IFERROR(SUMPRODUCT((INDEX(Attendance!$B$7:$EE$206,MATCH(A10,Attendance!$A$7:$A$206,0),0)=1)*Attendance!$B$4:$EE$4),0),"")</f>
        <v>0</v>
      </c>
      <c r="C10" s="85">
        <f>IF(A10&lt;&gt;"",SUMIFS(Transactions!$F$7:$F$989,Transactions!$D$7:$D$989,"Income",Transactions!$E$7:$E$989,A10),"")</f>
        <v>628.81</v>
      </c>
      <c r="D10" s="85">
        <f>IF(A10&lt;&gt;"",SUMIFS(Transactions!$F$7:$F$989,Transactions!$D$7:$D$989,"Expense",Transactions!$E$7:$E$989,A10),"")</f>
        <v>438.62</v>
      </c>
      <c r="E10" s="82">
        <f t="shared" si="1"/>
        <v>-1252.96</v>
      </c>
      <c r="F10" s="82" t="str">
        <f t="shared" si="2"/>
        <v>Unsettled</v>
      </c>
      <c r="G10" s="86">
        <f>IF(A10&lt;&gt;"",SUMIFS(Transactions!$F$7:$F$989,Transactions!$D$7:$D$989,"Credit",Transactions!$H$7:$H$989,A10),"")</f>
        <v>185.53</v>
      </c>
      <c r="H10" s="80"/>
      <c r="I10" s="5"/>
      <c r="J10" s="5"/>
      <c r="K10" s="5"/>
      <c r="L10" s="5"/>
      <c r="M10" s="5"/>
      <c r="N10" s="5"/>
      <c r="O10" s="5"/>
      <c r="P10" s="5"/>
      <c r="Q10" s="5"/>
      <c r="R10" s="5"/>
      <c r="S10" s="5"/>
      <c r="T10" s="5"/>
      <c r="U10" s="5"/>
      <c r="V10" s="5"/>
      <c r="W10" s="5"/>
      <c r="X10" s="5"/>
      <c r="Y10" s="5"/>
      <c r="Z10" s="5"/>
    </row>
    <row r="11" ht="19.5" customHeight="1">
      <c r="A11" s="84" t="str">
        <f>IF(Roster!$A$9&lt;&gt;"",Roster!$A$9,"")</f>
        <v>Dylan Best</v>
      </c>
      <c r="B11" s="84">
        <f t="array" ref="B11">IF(A11&lt;&gt;"",IFERROR(SUMPRODUCT((INDEX(Attendance!$B$7:$EE$206,MATCH(A11,Attendance!$A$7:$A$206,0),0)=1)*Attendance!$B$4:$EE$4),0),"")</f>
        <v>0</v>
      </c>
      <c r="C11" s="85">
        <f>IF(A11&lt;&gt;"",SUMIFS(Transactions!$F$7:$F$989,Transactions!$D$7:$D$989,"Income",Transactions!$E$7:$E$989,A11),"")</f>
        <v>0</v>
      </c>
      <c r="D11" s="85">
        <f>IF(A11&lt;&gt;"",SUMIFS(Transactions!$F$7:$F$989,Transactions!$D$7:$D$989,"Expense",Transactions!$E$7:$E$989,A11),"")</f>
        <v>90</v>
      </c>
      <c r="E11" s="82">
        <f t="shared" si="1"/>
        <v>-118</v>
      </c>
      <c r="F11" s="82" t="str">
        <f t="shared" si="2"/>
        <v>Unsettled</v>
      </c>
      <c r="G11" s="86">
        <f>IF(A11&lt;&gt;"",SUMIFS(Transactions!$F$7:$F$989,Transactions!$D$7:$D$989,"Credit",Transactions!$H$7:$H$989,A11),"")</f>
        <v>28</v>
      </c>
      <c r="H11" s="80"/>
      <c r="I11" s="5"/>
      <c r="J11" s="5"/>
      <c r="K11" s="5"/>
      <c r="L11" s="5"/>
      <c r="M11" s="5"/>
      <c r="N11" s="5"/>
      <c r="O11" s="5"/>
      <c r="P11" s="5"/>
      <c r="Q11" s="5"/>
      <c r="R11" s="5"/>
      <c r="S11" s="5"/>
      <c r="T11" s="5"/>
      <c r="U11" s="5"/>
      <c r="V11" s="5"/>
      <c r="W11" s="5"/>
      <c r="X11" s="5"/>
      <c r="Y11" s="5"/>
      <c r="Z11" s="5"/>
    </row>
    <row r="12" ht="19.5" customHeight="1">
      <c r="A12" s="87" t="str">
        <f>IF(Roster!$A$10&lt;&gt;"",Roster!$A$10,"")</f>
        <v>Griffin O'Neal-Freeman</v>
      </c>
      <c r="B12" s="84">
        <f t="array" ref="B12">IF(A12&lt;&gt;"",IFERROR(SUMPRODUCT((INDEX(Attendance!$B$7:$EE$206,MATCH(A12,Attendance!$A$7:$A$206,0),0)=1)*Attendance!$B$4:$EE$4),0),"")</f>
        <v>0</v>
      </c>
      <c r="C12" s="88">
        <f>IF(A12&lt;&gt;"",SUMIFS(Transactions!$F$7:$F$989,Transactions!$D$7:$D$989,"Income",Transactions!$E$7:$E$989,A12),"")</f>
        <v>1447.04</v>
      </c>
      <c r="D12" s="88">
        <f>IF(A12&lt;&gt;"",SUMIFS(Transactions!$F$7:$F$989,Transactions!$D$7:$D$989,"Expense",Transactions!$E$7:$E$989,A12),"")</f>
        <v>201.45</v>
      </c>
      <c r="E12" s="89">
        <f t="shared" si="1"/>
        <v>-1648.49</v>
      </c>
      <c r="F12" s="89" t="str">
        <f t="shared" si="2"/>
        <v>Unsettled</v>
      </c>
      <c r="G12" s="86">
        <f>IF(A12&lt;&gt;"",SUMIFS(Transactions!$F$7:$F$989,Transactions!$D$7:$D$989,"Credit",Transactions!$H$7:$H$989,A12),"")</f>
        <v>0</v>
      </c>
      <c r="H12" s="80"/>
      <c r="I12" s="5"/>
      <c r="J12" s="5"/>
      <c r="K12" s="5"/>
      <c r="L12" s="5"/>
      <c r="M12" s="5"/>
      <c r="N12" s="5"/>
      <c r="O12" s="5"/>
      <c r="P12" s="5"/>
      <c r="Q12" s="5"/>
      <c r="R12" s="5"/>
      <c r="S12" s="5"/>
      <c r="T12" s="5"/>
      <c r="U12" s="5"/>
      <c r="V12" s="5"/>
      <c r="W12" s="5"/>
      <c r="X12" s="5"/>
      <c r="Y12" s="5"/>
      <c r="Z12" s="5"/>
    </row>
    <row r="13" ht="19.5" customHeight="1">
      <c r="A13" s="84" t="str">
        <f>IF(Roster!$A$11&lt;&gt;"",Roster!$A$11,"")</f>
        <v>Haley Young</v>
      </c>
      <c r="B13" s="84">
        <f t="array" ref="B13">IF(A13&lt;&gt;"",IFERROR(SUMPRODUCT((INDEX(Attendance!$B$7:$EE$206,MATCH(A13,Attendance!$A$7:$A$206,0),0)=1)*Attendance!$B$4:$EE$4),0),"")</f>
        <v>0</v>
      </c>
      <c r="C13" s="85">
        <f>IF(A13&lt;&gt;"",SUMIFS(Transactions!$F$7:$F$989,Transactions!$D$7:$D$989,"Income",Transactions!$E$7:$E$989,A13),"")</f>
        <v>1188.17</v>
      </c>
      <c r="D13" s="85">
        <f>IF(A13&lt;&gt;"",SUMIFS(Transactions!$F$7:$F$989,Transactions!$D$7:$D$989,"Expense",Transactions!$E$7:$E$989,A13),"")</f>
        <v>127.02</v>
      </c>
      <c r="E13" s="82">
        <f t="shared" si="1"/>
        <v>-1315.19</v>
      </c>
      <c r="F13" s="82" t="str">
        <f t="shared" si="2"/>
        <v>Unsettled</v>
      </c>
      <c r="G13" s="86">
        <f>IF(A13&lt;&gt;"",SUMIFS(Transactions!$F$7:$F$989,Transactions!$D$7:$D$989,"Credit",Transactions!$H$7:$H$989,A13),"")</f>
        <v>0</v>
      </c>
      <c r="H13" s="80"/>
      <c r="I13" s="5"/>
      <c r="J13" s="5"/>
      <c r="K13" s="5"/>
      <c r="L13" s="5"/>
      <c r="M13" s="5"/>
      <c r="N13" s="5"/>
      <c r="O13" s="5"/>
      <c r="P13" s="5"/>
      <c r="Q13" s="5"/>
      <c r="R13" s="5"/>
      <c r="S13" s="5"/>
      <c r="T13" s="5"/>
      <c r="U13" s="5"/>
      <c r="V13" s="5"/>
      <c r="W13" s="5"/>
      <c r="X13" s="5"/>
      <c r="Y13" s="5"/>
      <c r="Z13" s="5"/>
    </row>
    <row r="14" ht="19.5" customHeight="1">
      <c r="A14" s="87" t="str">
        <f>IF(Roster!$A$12&lt;&gt;"",Roster!$A$12,"")</f>
        <v>Harry Park</v>
      </c>
      <c r="B14" s="84">
        <f t="array" ref="B14">IF(A14&lt;&gt;"",IFERROR(SUMPRODUCT((INDEX(Attendance!$B$7:$EE$206,MATCH(A14,Attendance!$A$7:$A$206,0),0)=1)*Attendance!$B$4:$EE$4),0),"")</f>
        <v>0</v>
      </c>
      <c r="C14" s="88">
        <f>IF(A14&lt;&gt;"",SUMIFS(Transactions!$F$7:$F$989,Transactions!$D$7:$D$989,"Income",Transactions!$E$7:$E$989,A14),"")</f>
        <v>568.37</v>
      </c>
      <c r="D14" s="88">
        <f>IF(A14&lt;&gt;"",SUMIFS(Transactions!$F$7:$F$989,Transactions!$D$7:$D$989,"Expense",Transactions!$E$7:$E$989,A14),"")</f>
        <v>5576.93</v>
      </c>
      <c r="E14" s="89">
        <f t="shared" si="1"/>
        <v>-6165.42</v>
      </c>
      <c r="F14" s="89" t="str">
        <f t="shared" si="2"/>
        <v>Unsettled</v>
      </c>
      <c r="G14" s="86">
        <f>IF(A14&lt;&gt;"",SUMIFS(Transactions!$F$7:$F$989,Transactions!$D$7:$D$989,"Credit",Transactions!$H$7:$H$989,A14),"")</f>
        <v>20.12</v>
      </c>
      <c r="H14" s="80"/>
      <c r="I14" s="5"/>
      <c r="J14" s="5"/>
      <c r="K14" s="5"/>
      <c r="L14" s="5"/>
      <c r="M14" s="5"/>
      <c r="N14" s="5"/>
      <c r="O14" s="5"/>
      <c r="P14" s="5"/>
      <c r="Q14" s="5"/>
      <c r="R14" s="5"/>
      <c r="S14" s="5"/>
      <c r="T14" s="5"/>
      <c r="U14" s="5"/>
      <c r="V14" s="5"/>
      <c r="W14" s="5"/>
      <c r="X14" s="5"/>
      <c r="Y14" s="5"/>
      <c r="Z14" s="5"/>
    </row>
    <row r="15" ht="19.5" customHeight="1">
      <c r="A15" s="84" t="str">
        <f>IF(Roster!$A$13&lt;&gt;"",Roster!$A$13,"")</f>
        <v>Ian Piper</v>
      </c>
      <c r="B15" s="84">
        <f t="array" ref="B15">IF(A15&lt;&gt;"",IFERROR(SUMPRODUCT((INDEX(Attendance!$B$7:$EE$206,MATCH(A15,Attendance!$A$7:$A$206,0),0)=1)*Attendance!$B$4:$EE$4),0),"")</f>
        <v>0</v>
      </c>
      <c r="C15" s="85">
        <f>IF(A15&lt;&gt;"",SUMIFS(Transactions!$F$7:$F$989,Transactions!$D$7:$D$989,"Income",Transactions!$E$7:$E$989,A15),"")</f>
        <v>1264.2</v>
      </c>
      <c r="D15" s="85">
        <f>IF(A15&lt;&gt;"",SUMIFS(Transactions!$F$7:$F$989,Transactions!$D$7:$D$989,"Expense",Transactions!$E$7:$E$989,A15),"")</f>
        <v>23.87</v>
      </c>
      <c r="E15" s="82">
        <f t="shared" si="1"/>
        <v>-1288.07</v>
      </c>
      <c r="F15" s="82" t="str">
        <f t="shared" si="2"/>
        <v>Unsettled</v>
      </c>
      <c r="G15" s="86">
        <f>IF(A15&lt;&gt;"",SUMIFS(Transactions!$F$7:$F$989,Transactions!$D$7:$D$989,"Credit",Transactions!$H$7:$H$989,A15),"")</f>
        <v>0</v>
      </c>
      <c r="H15" s="80"/>
      <c r="I15" s="5"/>
      <c r="J15" s="5"/>
      <c r="K15" s="5"/>
      <c r="L15" s="5"/>
      <c r="M15" s="5"/>
      <c r="N15" s="5"/>
      <c r="O15" s="5"/>
      <c r="P15" s="5"/>
      <c r="Q15" s="5"/>
      <c r="R15" s="5"/>
      <c r="S15" s="5"/>
      <c r="T15" s="5"/>
      <c r="U15" s="5"/>
      <c r="V15" s="5"/>
      <c r="W15" s="5"/>
      <c r="X15" s="5"/>
      <c r="Y15" s="5"/>
      <c r="Z15" s="5"/>
    </row>
    <row r="16" ht="19.5" customHeight="1">
      <c r="A16" s="87" t="str">
        <f>IF(Roster!$A$14&lt;&gt;"",Roster!$A$14,"")</f>
        <v>Jake Murray</v>
      </c>
      <c r="B16" s="84">
        <f t="array" ref="B16">IF(A16&lt;&gt;"",IFERROR(SUMPRODUCT((INDEX(Attendance!$B$7:$EE$206,MATCH(A16,Attendance!$A$7:$A$206,0),0)=1)*Attendance!$B$4:$EE$4),0),"")</f>
        <v>0</v>
      </c>
      <c r="C16" s="88">
        <f>IF(A16&lt;&gt;"",SUMIFS(Transactions!$F$7:$F$989,Transactions!$D$7:$D$989,"Income",Transactions!$E$7:$E$989,A16),"")</f>
        <v>0</v>
      </c>
      <c r="D16" s="88">
        <f>IF(A16&lt;&gt;"",SUMIFS(Transactions!$F$7:$F$989,Transactions!$D$7:$D$989,"Expense",Transactions!$E$7:$E$989,A16),"")</f>
        <v>14489.97</v>
      </c>
      <c r="E16" s="89">
        <f t="shared" si="1"/>
        <v>-14548.81</v>
      </c>
      <c r="F16" s="89" t="str">
        <f t="shared" si="2"/>
        <v>Unsettled</v>
      </c>
      <c r="G16" s="86">
        <f>IF(A16&lt;&gt;"",SUMIFS(Transactions!$F$7:$F$989,Transactions!$D$7:$D$989,"Credit",Transactions!$H$7:$H$989,A16),"")</f>
        <v>58.84</v>
      </c>
      <c r="H16" s="80"/>
      <c r="I16" s="5"/>
      <c r="J16" s="5"/>
      <c r="K16" s="5"/>
      <c r="L16" s="5"/>
      <c r="M16" s="5"/>
      <c r="N16" s="5"/>
      <c r="O16" s="5"/>
      <c r="P16" s="5"/>
      <c r="Q16" s="5"/>
      <c r="R16" s="5"/>
      <c r="S16" s="5"/>
      <c r="T16" s="5"/>
      <c r="U16" s="5"/>
      <c r="V16" s="5"/>
      <c r="W16" s="5"/>
      <c r="X16" s="5"/>
      <c r="Y16" s="5"/>
      <c r="Z16" s="5"/>
    </row>
    <row r="17" ht="19.5" customHeight="1">
      <c r="A17" s="84" t="str">
        <f>IF(Roster!$A$15&lt;&gt;"",Roster!$A$15,"")</f>
        <v>Jenna Nold</v>
      </c>
      <c r="B17" s="84">
        <f t="array" ref="B17">IF(A17&lt;&gt;"",IFERROR(SUMPRODUCT((INDEX(Attendance!$B$7:$EE$206,MATCH(A17,Attendance!$A$7:$A$206,0),0)=1)*Attendance!$B$4:$EE$4),0),"")</f>
        <v>0</v>
      </c>
      <c r="C17" s="85">
        <f>IF(A17&lt;&gt;"",SUMIFS(Transactions!$F$7:$F$989,Transactions!$D$7:$D$989,"Income",Transactions!$E$7:$E$989,A17),"")</f>
        <v>900</v>
      </c>
      <c r="D17" s="85">
        <f>IF(A17&lt;&gt;"",SUMIFS(Transactions!$F$7:$F$989,Transactions!$D$7:$D$989,"Expense",Transactions!$E$7:$E$989,A17),"")</f>
        <v>185.69</v>
      </c>
      <c r="E17" s="82">
        <f t="shared" si="1"/>
        <v>-1085.69</v>
      </c>
      <c r="F17" s="82" t="str">
        <f t="shared" si="2"/>
        <v>Unsettled</v>
      </c>
      <c r="G17" s="86">
        <f>IF(A17&lt;&gt;"",SUMIFS(Transactions!$F$7:$F$989,Transactions!$D$7:$D$989,"Credit",Transactions!$H$7:$H$989,A17),"")</f>
        <v>0</v>
      </c>
      <c r="H17" s="80"/>
      <c r="I17" s="5"/>
      <c r="J17" s="5"/>
      <c r="K17" s="5"/>
      <c r="L17" s="5"/>
      <c r="M17" s="5"/>
      <c r="N17" s="5"/>
      <c r="O17" s="5"/>
      <c r="P17" s="5"/>
      <c r="Q17" s="5"/>
      <c r="R17" s="5"/>
      <c r="S17" s="5"/>
      <c r="T17" s="5"/>
      <c r="U17" s="5"/>
      <c r="V17" s="5"/>
      <c r="W17" s="5"/>
      <c r="X17" s="5"/>
      <c r="Y17" s="5"/>
      <c r="Z17" s="5"/>
    </row>
    <row r="18" ht="19.5" customHeight="1">
      <c r="A18" s="87" t="str">
        <f>IF(Roster!$A$16&lt;&gt;"",Roster!$A$16,"")</f>
        <v>Jimmy Towle</v>
      </c>
      <c r="B18" s="84">
        <f t="array" ref="B18">IF(A18&lt;&gt;"",IFERROR(SUMPRODUCT((INDEX(Attendance!$B$7:$EE$206,MATCH(A18,Attendance!$A$7:$A$206,0),0)=1)*Attendance!$B$4:$EE$4),0),"")</f>
        <v>0</v>
      </c>
      <c r="C18" s="88">
        <f>IF(A18&lt;&gt;"",SUMIFS(Transactions!$F$7:$F$989,Transactions!$D$7:$D$989,"Income",Transactions!$E$7:$E$989,A18),"")</f>
        <v>28.75</v>
      </c>
      <c r="D18" s="88">
        <f>IF(A18&lt;&gt;"",SUMIFS(Transactions!$F$7:$F$989,Transactions!$D$7:$D$989,"Expense",Transactions!$E$7:$E$989,A18),"")</f>
        <v>0</v>
      </c>
      <c r="E18" s="89">
        <f t="shared" si="1"/>
        <v>-28.75</v>
      </c>
      <c r="F18" s="89" t="str">
        <f t="shared" si="2"/>
        <v>Unsettled</v>
      </c>
      <c r="G18" s="86">
        <f>IF(A18&lt;&gt;"",SUMIFS(Transactions!$F$7:$F$989,Transactions!$D$7:$D$989,"Credit",Transactions!$H$7:$H$989,A18),"")</f>
        <v>0</v>
      </c>
      <c r="H18" s="80"/>
      <c r="I18" s="5"/>
      <c r="J18" s="5"/>
      <c r="K18" s="5"/>
      <c r="L18" s="5"/>
      <c r="M18" s="5"/>
      <c r="N18" s="5"/>
      <c r="O18" s="5"/>
      <c r="P18" s="5"/>
      <c r="Q18" s="5"/>
      <c r="R18" s="5"/>
      <c r="S18" s="5"/>
      <c r="T18" s="5"/>
      <c r="U18" s="5"/>
      <c r="V18" s="5"/>
      <c r="W18" s="5"/>
      <c r="X18" s="5"/>
      <c r="Y18" s="5"/>
      <c r="Z18" s="5"/>
    </row>
    <row r="19" ht="19.5" customHeight="1">
      <c r="A19" s="84" t="str">
        <f>IF(Roster!$A$17&lt;&gt;"",Roster!$A$17,"")</f>
        <v>Kailey Rugani</v>
      </c>
      <c r="B19" s="84">
        <f t="array" ref="B19">IF(A19&lt;&gt;"",IFERROR(SUMPRODUCT((INDEX(Attendance!$B$7:$EE$206,MATCH(A19,Attendance!$A$7:$A$206,0),0)=1)*Attendance!$B$4:$EE$4),0),"")</f>
        <v>0</v>
      </c>
      <c r="C19" s="85">
        <f>IF(A19&lt;&gt;"",SUMIFS(Transactions!$F$7:$F$989,Transactions!$D$7:$D$989,"Income",Transactions!$E$7:$E$989,A19),"")</f>
        <v>0</v>
      </c>
      <c r="D19" s="85">
        <f>IF(A19&lt;&gt;"",SUMIFS(Transactions!$F$7:$F$989,Transactions!$D$7:$D$989,"Expense",Transactions!$E$7:$E$989,A19),"")</f>
        <v>0</v>
      </c>
      <c r="E19" s="82">
        <f t="shared" si="1"/>
        <v>0</v>
      </c>
      <c r="F19" s="82" t="str">
        <f t="shared" si="2"/>
        <v>Settled</v>
      </c>
      <c r="G19" s="86">
        <f>IF(A19&lt;&gt;"",SUMIFS(Transactions!$F$7:$F$989,Transactions!$D$7:$D$989,"Credit",Transactions!$H$7:$H$989,A19),"")</f>
        <v>0</v>
      </c>
      <c r="H19" s="80"/>
      <c r="I19" s="5"/>
      <c r="J19" s="5"/>
      <c r="K19" s="5"/>
      <c r="L19" s="5"/>
      <c r="M19" s="5"/>
      <c r="N19" s="5"/>
      <c r="O19" s="5"/>
      <c r="P19" s="5"/>
      <c r="Q19" s="5"/>
      <c r="R19" s="5"/>
      <c r="S19" s="5"/>
      <c r="T19" s="5"/>
      <c r="U19" s="5"/>
      <c r="V19" s="5"/>
      <c r="W19" s="5"/>
      <c r="X19" s="5"/>
      <c r="Y19" s="5"/>
      <c r="Z19" s="5"/>
    </row>
    <row r="20" ht="19.5" customHeight="1">
      <c r="A20" s="87" t="str">
        <f>IF(Roster!$A$18&lt;&gt;"",Roster!$A$18,"")</f>
        <v>Kasey Schock</v>
      </c>
      <c r="B20" s="84">
        <f t="array" ref="B20">IF(A20&lt;&gt;"",IFERROR(SUMPRODUCT((INDEX(Attendance!$B$7:$EE$206,MATCH(A20,Attendance!$A$7:$A$206,0),0)=1)*Attendance!$B$4:$EE$4),0),"")</f>
        <v>0</v>
      </c>
      <c r="C20" s="88">
        <f>IF(A20&lt;&gt;"",SUMIFS(Transactions!$F$7:$F$989,Transactions!$D$7:$D$989,"Income",Transactions!$E$7:$E$989,A20),"")</f>
        <v>954.62</v>
      </c>
      <c r="D20" s="88">
        <f>IF(A20&lt;&gt;"",SUMIFS(Transactions!$F$7:$F$989,Transactions!$D$7:$D$989,"Expense",Transactions!$E$7:$E$989,A20),"")</f>
        <v>55.5</v>
      </c>
      <c r="E20" s="89">
        <f t="shared" si="1"/>
        <v>-1010.12</v>
      </c>
      <c r="F20" s="89" t="str">
        <f t="shared" si="2"/>
        <v>Unsettled</v>
      </c>
      <c r="G20" s="86">
        <f>IF(A20&lt;&gt;"",SUMIFS(Transactions!$F$7:$F$989,Transactions!$D$7:$D$989,"Credit",Transactions!$H$7:$H$989,A20),"")</f>
        <v>0</v>
      </c>
      <c r="H20" s="80"/>
      <c r="I20" s="5"/>
      <c r="J20" s="5"/>
      <c r="K20" s="5"/>
      <c r="L20" s="5"/>
      <c r="M20" s="5"/>
      <c r="N20" s="5"/>
      <c r="O20" s="5"/>
      <c r="P20" s="5"/>
      <c r="Q20" s="5"/>
      <c r="R20" s="5"/>
      <c r="S20" s="5"/>
      <c r="T20" s="5"/>
      <c r="U20" s="5"/>
      <c r="V20" s="5"/>
      <c r="W20" s="5"/>
      <c r="X20" s="5"/>
      <c r="Y20" s="5"/>
      <c r="Z20" s="5"/>
    </row>
    <row r="21" ht="19.5" customHeight="1">
      <c r="A21" s="84" t="str">
        <f>IF(Roster!$A$19&lt;&gt;"",Roster!$A$19,"")</f>
        <v>Kevin Nicholl</v>
      </c>
      <c r="B21" s="84">
        <f t="array" ref="B21">IF(A21&lt;&gt;"",IFERROR(SUMPRODUCT((INDEX(Attendance!$B$7:$EE$206,MATCH(A21,Attendance!$A$7:$A$206,0),0)=1)*Attendance!$B$4:$EE$4),0),"")</f>
        <v>0</v>
      </c>
      <c r="C21" s="85">
        <f>IF(A21&lt;&gt;"",SUMIFS(Transactions!$F$7:$F$989,Transactions!$D$7:$D$989,"Income",Transactions!$E$7:$E$989,A21),"")</f>
        <v>710.33</v>
      </c>
      <c r="D21" s="85">
        <f>IF(A21&lt;&gt;"",SUMIFS(Transactions!$F$7:$F$989,Transactions!$D$7:$D$989,"Expense",Transactions!$E$7:$E$989,A21),"")</f>
        <v>145.44</v>
      </c>
      <c r="E21" s="82">
        <f t="shared" si="1"/>
        <v>-855.77</v>
      </c>
      <c r="F21" s="82" t="str">
        <f t="shared" si="2"/>
        <v>Unsettled</v>
      </c>
      <c r="G21" s="86">
        <f>IF(A21&lt;&gt;"",SUMIFS(Transactions!$F$7:$F$989,Transactions!$D$7:$D$989,"Credit",Transactions!$H$7:$H$989,A21),"")</f>
        <v>0</v>
      </c>
      <c r="H21" s="80"/>
      <c r="I21" s="5"/>
      <c r="J21" s="5"/>
      <c r="K21" s="5"/>
      <c r="L21" s="5"/>
      <c r="M21" s="5"/>
      <c r="N21" s="5"/>
      <c r="O21" s="5"/>
      <c r="P21" s="5"/>
      <c r="Q21" s="5"/>
      <c r="R21" s="5"/>
      <c r="S21" s="5"/>
      <c r="T21" s="5"/>
      <c r="U21" s="5"/>
      <c r="V21" s="5"/>
      <c r="W21" s="5"/>
      <c r="X21" s="5"/>
      <c r="Y21" s="5"/>
      <c r="Z21" s="5"/>
    </row>
    <row r="22" ht="19.5" customHeight="1">
      <c r="A22" s="87" t="str">
        <f>IF(Roster!$A$20&lt;&gt;"",Roster!$A$20,"")</f>
        <v>Kit Asterin</v>
      </c>
      <c r="B22" s="84">
        <f t="array" ref="B22">IF(A22&lt;&gt;"",IFERROR(SUMPRODUCT((INDEX(Attendance!$B$7:$EE$206,MATCH(A22,Attendance!$A$7:$A$206,0),0)=1)*Attendance!$B$4:$EE$4),0),"")</f>
        <v>0</v>
      </c>
      <c r="C22" s="88">
        <f>IF(A22&lt;&gt;"",SUMIFS(Transactions!$F$7:$F$989,Transactions!$D$7:$D$989,"Income",Transactions!$E$7:$E$989,A22),"")</f>
        <v>781.37</v>
      </c>
      <c r="D22" s="88">
        <f>IF(A22&lt;&gt;"",SUMIFS(Transactions!$F$7:$F$989,Transactions!$D$7:$D$989,"Expense",Transactions!$E$7:$E$989,A22),"")</f>
        <v>0</v>
      </c>
      <c r="E22" s="89">
        <f t="shared" si="1"/>
        <v>-781.37</v>
      </c>
      <c r="F22" s="89" t="str">
        <f t="shared" si="2"/>
        <v>Unsettled</v>
      </c>
      <c r="G22" s="86">
        <f>IF(A22&lt;&gt;"",SUMIFS(Transactions!$F$7:$F$989,Transactions!$D$7:$D$989,"Credit",Transactions!$H$7:$H$989,A22),"")</f>
        <v>0</v>
      </c>
      <c r="H22" s="80"/>
      <c r="I22" s="5"/>
      <c r="J22" s="5"/>
      <c r="K22" s="5"/>
      <c r="L22" s="5"/>
      <c r="M22" s="5"/>
      <c r="N22" s="5"/>
      <c r="O22" s="5"/>
      <c r="P22" s="5"/>
      <c r="Q22" s="5"/>
      <c r="R22" s="5"/>
      <c r="S22" s="5"/>
      <c r="T22" s="5"/>
      <c r="U22" s="5"/>
      <c r="V22" s="5"/>
      <c r="W22" s="5"/>
      <c r="X22" s="5"/>
      <c r="Y22" s="5"/>
      <c r="Z22" s="5"/>
    </row>
    <row r="23" ht="19.5" customHeight="1">
      <c r="A23" s="84" t="str">
        <f>IF(Roster!$A$21&lt;&gt;"",Roster!$A$21,"")</f>
        <v>Kristin Dudley</v>
      </c>
      <c r="B23" s="84">
        <f t="array" ref="B23">IF(A23&lt;&gt;"",IFERROR(SUMPRODUCT((INDEX(Attendance!$B$7:$EE$206,MATCH(A23,Attendance!$A$7:$A$206,0),0)=1)*Attendance!$B$4:$EE$4),0),"")</f>
        <v>0</v>
      </c>
      <c r="C23" s="85">
        <f>IF(A23&lt;&gt;"",SUMIFS(Transactions!$F$7:$F$989,Transactions!$D$7:$D$989,"Income",Transactions!$E$7:$E$989,A23),"")</f>
        <v>1079.85</v>
      </c>
      <c r="D23" s="85">
        <f>IF(A23&lt;&gt;"",SUMIFS(Transactions!$F$7:$F$989,Transactions!$D$7:$D$989,"Expense",Transactions!$E$7:$E$989,A23),"")</f>
        <v>236.95</v>
      </c>
      <c r="E23" s="82">
        <f t="shared" si="1"/>
        <v>-1316.8</v>
      </c>
      <c r="F23" s="82" t="str">
        <f t="shared" si="2"/>
        <v>Unsettled</v>
      </c>
      <c r="G23" s="86">
        <f>IF(A23&lt;&gt;"",SUMIFS(Transactions!$F$7:$F$989,Transactions!$D$7:$D$989,"Credit",Transactions!$H$7:$H$989,A23),"")</f>
        <v>0</v>
      </c>
      <c r="H23" s="80"/>
      <c r="I23" s="5"/>
      <c r="J23" s="5"/>
      <c r="K23" s="5"/>
      <c r="L23" s="5"/>
      <c r="M23" s="5"/>
      <c r="N23" s="5"/>
      <c r="O23" s="5"/>
      <c r="P23" s="5"/>
      <c r="Q23" s="5"/>
      <c r="R23" s="5"/>
      <c r="S23" s="5"/>
      <c r="T23" s="5"/>
      <c r="U23" s="5"/>
      <c r="V23" s="5"/>
      <c r="W23" s="5"/>
      <c r="X23" s="5"/>
      <c r="Y23" s="5"/>
      <c r="Z23" s="5"/>
    </row>
    <row r="24" ht="19.5" customHeight="1">
      <c r="A24" s="87" t="str">
        <f>IF(Roster!$A$22&lt;&gt;"",Roster!$A$22,"")</f>
        <v>Lexie Thomas</v>
      </c>
      <c r="B24" s="84">
        <f t="array" ref="B24">IF(A24&lt;&gt;"",IFERROR(SUMPRODUCT((INDEX(Attendance!$B$7:$EE$206,MATCH(A24,Attendance!$A$7:$A$206,0),0)=1)*Attendance!$B$4:$EE$4),0),"")</f>
        <v>0</v>
      </c>
      <c r="C24" s="88">
        <f>IF(A24&lt;&gt;"",SUMIFS(Transactions!$F$7:$F$989,Transactions!$D$7:$D$989,"Income",Transactions!$E$7:$E$989,A24),"")</f>
        <v>218.75</v>
      </c>
      <c r="D24" s="88">
        <f>IF(A24&lt;&gt;"",SUMIFS(Transactions!$F$7:$F$989,Transactions!$D$7:$D$989,"Expense",Transactions!$E$7:$E$989,A24),"")</f>
        <v>0</v>
      </c>
      <c r="E24" s="89">
        <f t="shared" si="1"/>
        <v>-255.55</v>
      </c>
      <c r="F24" s="89" t="str">
        <f t="shared" si="2"/>
        <v>Unsettled</v>
      </c>
      <c r="G24" s="86">
        <f>IF(A24&lt;&gt;"",SUMIFS(Transactions!$F$7:$F$989,Transactions!$D$7:$D$989,"Credit",Transactions!$H$7:$H$989,A24),"")</f>
        <v>36.8</v>
      </c>
      <c r="H24" s="80"/>
      <c r="I24" s="5"/>
      <c r="J24" s="5"/>
      <c r="K24" s="5"/>
      <c r="L24" s="5"/>
      <c r="M24" s="5"/>
      <c r="N24" s="5"/>
      <c r="O24" s="5"/>
      <c r="P24" s="5"/>
      <c r="Q24" s="5"/>
      <c r="R24" s="5"/>
      <c r="S24" s="5"/>
      <c r="T24" s="5"/>
      <c r="U24" s="5"/>
      <c r="V24" s="5"/>
      <c r="W24" s="5"/>
      <c r="X24" s="5"/>
      <c r="Y24" s="5"/>
      <c r="Z24" s="5"/>
    </row>
    <row r="25" ht="19.5" customHeight="1">
      <c r="A25" s="84" t="str">
        <f>IF(Roster!$A$23&lt;&gt;"",Roster!$A$23,"")</f>
        <v>Lucas Jones</v>
      </c>
      <c r="B25" s="84">
        <f t="array" ref="B25">IF(A25&lt;&gt;"",IFERROR(SUMPRODUCT((INDEX(Attendance!$B$7:$EE$206,MATCH(A25,Attendance!$A$7:$A$206,0),0)=1)*Attendance!$B$4:$EE$4),0),"")</f>
        <v>0</v>
      </c>
      <c r="C25" s="85">
        <f>IF(A25&lt;&gt;"",SUMIFS(Transactions!$F$7:$F$989,Transactions!$D$7:$D$989,"Income",Transactions!$E$7:$E$989,A25),"")</f>
        <v>0</v>
      </c>
      <c r="D25" s="85">
        <f>IF(A25&lt;&gt;"",SUMIFS(Transactions!$F$7:$F$989,Transactions!$D$7:$D$989,"Expense",Transactions!$E$7:$E$989,A25),"")</f>
        <v>0</v>
      </c>
      <c r="E25" s="82">
        <f t="shared" si="1"/>
        <v>0</v>
      </c>
      <c r="F25" s="82" t="str">
        <f t="shared" si="2"/>
        <v>Settled</v>
      </c>
      <c r="G25" s="86">
        <f>IF(A25&lt;&gt;"",SUMIFS(Transactions!$F$7:$F$989,Transactions!$D$7:$D$989,"Credit",Transactions!$H$7:$H$989,A25),"")</f>
        <v>0</v>
      </c>
      <c r="H25" s="80"/>
      <c r="I25" s="5"/>
      <c r="J25" s="5"/>
      <c r="K25" s="5"/>
      <c r="L25" s="5"/>
      <c r="M25" s="5"/>
      <c r="N25" s="5"/>
      <c r="O25" s="5"/>
      <c r="P25" s="5"/>
      <c r="Q25" s="5"/>
      <c r="R25" s="5"/>
      <c r="S25" s="5"/>
      <c r="T25" s="5"/>
      <c r="U25" s="5"/>
      <c r="V25" s="5"/>
      <c r="W25" s="5"/>
      <c r="X25" s="5"/>
      <c r="Y25" s="5"/>
      <c r="Z25" s="5"/>
    </row>
    <row r="26" ht="19.5" customHeight="1">
      <c r="A26" s="87" t="str">
        <f>IF(Roster!$A$24&lt;&gt;"",Roster!$A$24,"")</f>
        <v>Max Sheppard</v>
      </c>
      <c r="B26" s="84">
        <f t="array" ref="B26">IF(A26&lt;&gt;"",IFERROR(SUMPRODUCT((INDEX(Attendance!$B$7:$EE$206,MATCH(A26,Attendance!$A$7:$A$206,0),0)=1)*Attendance!$B$4:$EE$4),0),"")</f>
        <v>0</v>
      </c>
      <c r="C26" s="88">
        <f>IF(A26&lt;&gt;"",SUMIFS(Transactions!$F$7:$F$989,Transactions!$D$7:$D$989,"Income",Transactions!$E$7:$E$989,A26),"")</f>
        <v>0</v>
      </c>
      <c r="D26" s="88">
        <f>IF(A26&lt;&gt;"",SUMIFS(Transactions!$F$7:$F$989,Transactions!$D$7:$D$989,"Expense",Transactions!$E$7:$E$989,A26),"")</f>
        <v>0</v>
      </c>
      <c r="E26" s="89">
        <f t="shared" si="1"/>
        <v>0</v>
      </c>
      <c r="F26" s="89" t="str">
        <f t="shared" si="2"/>
        <v>Settled</v>
      </c>
      <c r="G26" s="86">
        <f>IF(A26&lt;&gt;"",SUMIFS(Transactions!$F$7:$F$989,Transactions!$D$7:$D$989,"Credit",Transactions!$H$7:$H$989,A26),"")</f>
        <v>0</v>
      </c>
      <c r="H26" s="80"/>
      <c r="I26" s="5"/>
      <c r="J26" s="5"/>
      <c r="K26" s="5"/>
      <c r="L26" s="5"/>
      <c r="M26" s="5"/>
      <c r="N26" s="5"/>
      <c r="O26" s="5"/>
      <c r="P26" s="5"/>
      <c r="Q26" s="5"/>
      <c r="R26" s="5"/>
      <c r="S26" s="5"/>
      <c r="T26" s="5"/>
      <c r="U26" s="5"/>
      <c r="V26" s="5"/>
      <c r="W26" s="5"/>
      <c r="X26" s="5"/>
      <c r="Y26" s="5"/>
      <c r="Z26" s="5"/>
    </row>
    <row r="27" ht="19.5" customHeight="1">
      <c r="A27" s="84" t="str">
        <f>IF(Roster!$A$25&lt;&gt;"",Roster!$A$25,"")</f>
        <v>Lucius Christie</v>
      </c>
      <c r="B27" s="84">
        <f t="array" ref="B27">IF(A27&lt;&gt;"",IFERROR(SUMPRODUCT((INDEX(Attendance!$B$7:$EE$206,MATCH(A27,Attendance!$A$7:$A$206,0),0)=1)*Attendance!$B$4:$EE$4),0),"")</f>
        <v>0</v>
      </c>
      <c r="C27" s="85">
        <f>IF(A27&lt;&gt;"",SUMIFS(Transactions!$F$7:$F$989,Transactions!$D$7:$D$989,"Income",Transactions!$E$7:$E$989,A27),"")</f>
        <v>0</v>
      </c>
      <c r="D27" s="85">
        <f>IF(A27&lt;&gt;"",SUMIFS(Transactions!$F$7:$F$989,Transactions!$D$7:$D$989,"Expense",Transactions!$E$7:$E$989,A27),"")</f>
        <v>21</v>
      </c>
      <c r="E27" s="82">
        <f t="shared" si="1"/>
        <v>-21</v>
      </c>
      <c r="F27" s="82" t="str">
        <f t="shared" si="2"/>
        <v>Unsettled</v>
      </c>
      <c r="G27" s="86">
        <f>IF(A27&lt;&gt;"",SUMIFS(Transactions!$F$7:$F$989,Transactions!$D$7:$D$989,"Credit",Transactions!$H$7:$H$989,A27),"")</f>
        <v>0</v>
      </c>
      <c r="H27" s="80"/>
      <c r="I27" s="5"/>
      <c r="J27" s="5"/>
      <c r="K27" s="5"/>
      <c r="L27" s="5"/>
      <c r="M27" s="5"/>
      <c r="N27" s="5"/>
      <c r="O27" s="5"/>
      <c r="P27" s="5"/>
      <c r="Q27" s="5"/>
      <c r="R27" s="5"/>
      <c r="S27" s="5"/>
      <c r="T27" s="5"/>
      <c r="U27" s="5"/>
      <c r="V27" s="5"/>
      <c r="W27" s="5"/>
      <c r="X27" s="5"/>
      <c r="Y27" s="5"/>
      <c r="Z27" s="5"/>
    </row>
    <row r="28" ht="19.5" customHeight="1">
      <c r="A28" s="87" t="str">
        <f>IF(Roster!$A$26&lt;&gt;"",Roster!$A$26,"")</f>
        <v>Patrick McMullen</v>
      </c>
      <c r="B28" s="84">
        <f t="array" ref="B28">IF(A28&lt;&gt;"",IFERROR(SUMPRODUCT((INDEX(Attendance!$B$7:$EE$206,MATCH(A28,Attendance!$A$7:$A$206,0),0)=1)*Attendance!$B$4:$EE$4),0),"")</f>
        <v>0</v>
      </c>
      <c r="C28" s="88">
        <f>IF(A28&lt;&gt;"",SUMIFS(Transactions!$F$7:$F$989,Transactions!$D$7:$D$989,"Income",Transactions!$E$7:$E$989,A28),"")</f>
        <v>1336.93</v>
      </c>
      <c r="D28" s="88">
        <f>IF(A28&lt;&gt;"",SUMIFS(Transactions!$F$7:$F$989,Transactions!$D$7:$D$989,"Expense",Transactions!$E$7:$E$989,A28),"")</f>
        <v>0</v>
      </c>
      <c r="E28" s="89">
        <f t="shared" si="1"/>
        <v>-1336.93</v>
      </c>
      <c r="F28" s="89" t="str">
        <f t="shared" si="2"/>
        <v>Unsettled</v>
      </c>
      <c r="G28" s="86">
        <f>IF(A28&lt;&gt;"",SUMIFS(Transactions!$F$7:$F$989,Transactions!$D$7:$D$989,"Credit",Transactions!$H$7:$H$989,A28),"")</f>
        <v>0</v>
      </c>
      <c r="H28" s="80"/>
      <c r="I28" s="5"/>
      <c r="J28" s="5"/>
      <c r="K28" s="5"/>
      <c r="L28" s="5"/>
      <c r="M28" s="5"/>
      <c r="N28" s="5"/>
      <c r="O28" s="5"/>
      <c r="P28" s="5"/>
      <c r="Q28" s="5"/>
      <c r="R28" s="5"/>
      <c r="S28" s="5"/>
      <c r="T28" s="5"/>
      <c r="U28" s="5"/>
      <c r="V28" s="5"/>
      <c r="W28" s="5"/>
      <c r="X28" s="5"/>
      <c r="Y28" s="5"/>
      <c r="Z28" s="5"/>
    </row>
    <row r="29" ht="19.5" customHeight="1">
      <c r="A29" s="84" t="str">
        <f>IF(Roster!$A$27&lt;&gt;"",Roster!$A$27,"")</f>
        <v>Rachel Graber</v>
      </c>
      <c r="B29" s="84">
        <f t="array" ref="B29">IF(A29&lt;&gt;"",IFERROR(SUMPRODUCT((INDEX(Attendance!$B$7:$EE$206,MATCH(A29,Attendance!$A$7:$A$206,0),0)=1)*Attendance!$B$4:$EE$4),0),"")</f>
        <v>0</v>
      </c>
      <c r="C29" s="85">
        <f>IF(A29&lt;&gt;"",SUMIFS(Transactions!$F$7:$F$989,Transactions!$D$7:$D$989,"Income",Transactions!$E$7:$E$989,A29),"")</f>
        <v>602.89</v>
      </c>
      <c r="D29" s="85">
        <f>IF(A29&lt;&gt;"",SUMIFS(Transactions!$F$7:$F$989,Transactions!$D$7:$D$989,"Expense",Transactions!$E$7:$E$989,A29),"")</f>
        <v>0</v>
      </c>
      <c r="E29" s="82">
        <f t="shared" si="1"/>
        <v>-602.89</v>
      </c>
      <c r="F29" s="82" t="str">
        <f t="shared" si="2"/>
        <v>Unsettled</v>
      </c>
      <c r="G29" s="86">
        <f>IF(A29&lt;&gt;"",SUMIFS(Transactions!$F$7:$F$989,Transactions!$D$7:$D$989,"Credit",Transactions!$H$7:$H$989,A29),"")</f>
        <v>0</v>
      </c>
      <c r="H29" s="80"/>
      <c r="I29" s="5"/>
      <c r="J29" s="5"/>
      <c r="K29" s="5"/>
      <c r="L29" s="5"/>
      <c r="M29" s="5"/>
      <c r="N29" s="5"/>
      <c r="O29" s="5"/>
      <c r="P29" s="5"/>
      <c r="Q29" s="5"/>
      <c r="R29" s="5"/>
      <c r="S29" s="5"/>
      <c r="T29" s="5"/>
      <c r="U29" s="5"/>
      <c r="V29" s="5"/>
      <c r="W29" s="5"/>
      <c r="X29" s="5"/>
      <c r="Y29" s="5"/>
      <c r="Z29" s="5"/>
    </row>
    <row r="30" ht="19.5" customHeight="1">
      <c r="A30" s="87" t="str">
        <f>IF(Roster!$A$28&lt;&gt;"",Roster!$A$28,"")</f>
        <v>Ryan Kindell</v>
      </c>
      <c r="B30" s="84">
        <f t="array" ref="B30">IF(A30&lt;&gt;"",IFERROR(SUMPRODUCT((INDEX(Attendance!$B$7:$EE$206,MATCH(A30,Attendance!$A$7:$A$206,0),0)=1)*Attendance!$B$4:$EE$4),0),"")</f>
        <v>0</v>
      </c>
      <c r="C30" s="88">
        <f>IF(A30&lt;&gt;"",SUMIFS(Transactions!$F$7:$F$989,Transactions!$D$7:$D$989,"Income",Transactions!$E$7:$E$989,A30),"")</f>
        <v>500</v>
      </c>
      <c r="D30" s="88">
        <f>IF(A30&lt;&gt;"",SUMIFS(Transactions!$F$7:$F$989,Transactions!$D$7:$D$989,"Expense",Transactions!$E$7:$E$989,A30),"")</f>
        <v>272.15</v>
      </c>
      <c r="E30" s="89">
        <f t="shared" si="1"/>
        <v>-772.15</v>
      </c>
      <c r="F30" s="89" t="str">
        <f t="shared" si="2"/>
        <v>Unsettled</v>
      </c>
      <c r="G30" s="86">
        <f>IF(A30&lt;&gt;"",SUMIFS(Transactions!$F$7:$F$989,Transactions!$D$7:$D$989,"Credit",Transactions!$H$7:$H$989,A30),"")</f>
        <v>0</v>
      </c>
      <c r="H30" s="80"/>
      <c r="I30" s="5"/>
      <c r="J30" s="5"/>
      <c r="K30" s="5"/>
      <c r="L30" s="5"/>
      <c r="M30" s="5"/>
      <c r="N30" s="5"/>
      <c r="O30" s="5"/>
      <c r="P30" s="5"/>
      <c r="Q30" s="5"/>
      <c r="R30" s="5"/>
      <c r="S30" s="5"/>
      <c r="T30" s="5"/>
      <c r="U30" s="5"/>
      <c r="V30" s="5"/>
      <c r="W30" s="5"/>
      <c r="X30" s="5"/>
      <c r="Y30" s="5"/>
      <c r="Z30" s="5"/>
    </row>
    <row r="31" ht="19.5" customHeight="1">
      <c r="A31" s="84" t="str">
        <f>IF(Roster!$A$29&lt;&gt;"",Roster!$A$29,"")</f>
        <v>Ryan Ward</v>
      </c>
      <c r="B31" s="84">
        <f t="array" ref="B31">IF(A31&lt;&gt;"",IFERROR(SUMPRODUCT((INDEX(Attendance!$B$7:$EE$206,MATCH(A31,Attendance!$A$7:$A$206,0),0)=1)*Attendance!$B$4:$EE$4),0),"")</f>
        <v>0</v>
      </c>
      <c r="C31" s="85">
        <f>IF(A31&lt;&gt;"",SUMIFS(Transactions!$F$7:$F$989,Transactions!$D$7:$D$989,"Income",Transactions!$E$7:$E$989,A31),"")</f>
        <v>673.89</v>
      </c>
      <c r="D31" s="85">
        <f>IF(A31&lt;&gt;"",SUMIFS(Transactions!$F$7:$F$989,Transactions!$D$7:$D$989,"Expense",Transactions!$E$7:$E$989,A31),"")</f>
        <v>202.26</v>
      </c>
      <c r="E31" s="82">
        <f t="shared" si="1"/>
        <v>-876.15</v>
      </c>
      <c r="F31" s="82" t="str">
        <f t="shared" si="2"/>
        <v>Unsettled</v>
      </c>
      <c r="G31" s="86">
        <f>IF(A31&lt;&gt;"",SUMIFS(Transactions!$F$7:$F$989,Transactions!$D$7:$D$989,"Credit",Transactions!$H$7:$H$989,A31),"")</f>
        <v>0</v>
      </c>
      <c r="H31" s="80"/>
      <c r="I31" s="5"/>
      <c r="J31" s="5"/>
      <c r="K31" s="5"/>
      <c r="L31" s="5"/>
      <c r="M31" s="5"/>
      <c r="N31" s="5"/>
      <c r="O31" s="5"/>
      <c r="P31" s="5"/>
      <c r="Q31" s="5"/>
      <c r="R31" s="5"/>
      <c r="S31" s="5"/>
      <c r="T31" s="5"/>
      <c r="U31" s="5"/>
      <c r="V31" s="5"/>
      <c r="W31" s="5"/>
      <c r="X31" s="5"/>
      <c r="Y31" s="5"/>
      <c r="Z31" s="5"/>
    </row>
    <row r="32" ht="19.5" customHeight="1">
      <c r="A32" s="87" t="str">
        <f>IF(Roster!$A$30&lt;&gt;"",Roster!$A$30,"")</f>
        <v>Sam Gombiner</v>
      </c>
      <c r="B32" s="84">
        <f t="array" ref="B32">IF(A32&lt;&gt;"",IFERROR(SUMPRODUCT((INDEX(Attendance!$B$7:$EE$206,MATCH(A32,Attendance!$A$7:$A$206,0),0)=1)*Attendance!$B$4:$EE$4),0),"")</f>
        <v>0</v>
      </c>
      <c r="C32" s="88">
        <f>IF(A32&lt;&gt;"",SUMIFS(Transactions!$F$7:$F$989,Transactions!$D$7:$D$989,"Income",Transactions!$E$7:$E$989,A32),"")</f>
        <v>0</v>
      </c>
      <c r="D32" s="88">
        <f>IF(A32&lt;&gt;"",SUMIFS(Transactions!$F$7:$F$989,Transactions!$D$7:$D$989,"Expense",Transactions!$E$7:$E$989,A32),"")</f>
        <v>0</v>
      </c>
      <c r="E32" s="89">
        <f t="shared" si="1"/>
        <v>0</v>
      </c>
      <c r="F32" s="89" t="str">
        <f t="shared" si="2"/>
        <v>Settled</v>
      </c>
      <c r="G32" s="86">
        <f>IF(A32&lt;&gt;"",SUMIFS(Transactions!$F$7:$F$989,Transactions!$D$7:$D$989,"Credit",Transactions!$H$7:$H$989,A32),"")</f>
        <v>0</v>
      </c>
      <c r="H32" s="80"/>
      <c r="I32" s="5"/>
      <c r="J32" s="5"/>
      <c r="K32" s="5"/>
      <c r="L32" s="5"/>
      <c r="M32" s="5"/>
      <c r="N32" s="5"/>
      <c r="O32" s="5"/>
      <c r="P32" s="5"/>
      <c r="Q32" s="5"/>
      <c r="R32" s="5"/>
      <c r="S32" s="5"/>
      <c r="T32" s="5"/>
      <c r="U32" s="5"/>
      <c r="V32" s="5"/>
      <c r="W32" s="5"/>
      <c r="X32" s="5"/>
      <c r="Y32" s="5"/>
      <c r="Z32" s="5"/>
    </row>
    <row r="33" ht="19.5" customHeight="1">
      <c r="A33" s="84" t="str">
        <f>IF(Roster!$A$31&lt;&gt;"",Roster!$A$31,"")</f>
        <v>Sarah Kingsley-Hart</v>
      </c>
      <c r="B33" s="84">
        <f t="array" ref="B33">IF(A33&lt;&gt;"",IFERROR(SUMPRODUCT((INDEX(Attendance!$B$7:$EE$206,MATCH(A33,Attendance!$A$7:$A$206,0),0)=1)*Attendance!$B$4:$EE$4),0),"")</f>
        <v>0</v>
      </c>
      <c r="C33" s="85">
        <f>IF(A33&lt;&gt;"",SUMIFS(Transactions!$F$7:$F$989,Transactions!$D$7:$D$989,"Income",Transactions!$E$7:$E$989,A33),"")</f>
        <v>249.39</v>
      </c>
      <c r="D33" s="85">
        <f>IF(A33&lt;&gt;"",SUMIFS(Transactions!$F$7:$F$989,Transactions!$D$7:$D$989,"Expense",Transactions!$E$7:$E$989,A33),"")</f>
        <v>21</v>
      </c>
      <c r="E33" s="82">
        <f t="shared" si="1"/>
        <v>-270.39</v>
      </c>
      <c r="F33" s="82" t="str">
        <f t="shared" si="2"/>
        <v>Unsettled</v>
      </c>
      <c r="G33" s="86">
        <f>IF(A33&lt;&gt;"",SUMIFS(Transactions!$F$7:$F$989,Transactions!$D$7:$D$989,"Credit",Transactions!$H$7:$H$989,A33),"")</f>
        <v>0</v>
      </c>
      <c r="H33" s="80"/>
      <c r="I33" s="5"/>
      <c r="J33" s="5"/>
      <c r="K33" s="5"/>
      <c r="L33" s="5"/>
      <c r="M33" s="5"/>
      <c r="N33" s="5"/>
      <c r="O33" s="5"/>
      <c r="P33" s="5"/>
      <c r="Q33" s="5"/>
      <c r="R33" s="5"/>
      <c r="S33" s="5"/>
      <c r="T33" s="5"/>
      <c r="U33" s="5"/>
      <c r="V33" s="5"/>
      <c r="W33" s="5"/>
      <c r="X33" s="5"/>
      <c r="Y33" s="5"/>
      <c r="Z33" s="5"/>
    </row>
    <row r="34" ht="19.5" customHeight="1">
      <c r="A34" s="87" t="str">
        <f>IF(Roster!$A$32&lt;&gt;"",Roster!$A$32,"")</f>
        <v>Sarah Lynch</v>
      </c>
      <c r="B34" s="84">
        <f t="array" ref="B34">IF(A34&lt;&gt;"",IFERROR(SUMPRODUCT((INDEX(Attendance!$B$7:$EE$206,MATCH(A34,Attendance!$A$7:$A$206,0),0)=1)*Attendance!$B$4:$EE$4),0),"")</f>
        <v>0</v>
      </c>
      <c r="C34" s="88">
        <f>IF(A34&lt;&gt;"",SUMIFS(Transactions!$F$7:$F$989,Transactions!$D$7:$D$989,"Income",Transactions!$E$7:$E$989,A34),"")</f>
        <v>451.86</v>
      </c>
      <c r="D34" s="88">
        <f>IF(A34&lt;&gt;"",SUMIFS(Transactions!$F$7:$F$989,Transactions!$D$7:$D$989,"Expense",Transactions!$E$7:$E$989,A34),"")</f>
        <v>207.51</v>
      </c>
      <c r="E34" s="89">
        <f t="shared" si="1"/>
        <v>-659.37</v>
      </c>
      <c r="F34" s="89" t="str">
        <f t="shared" si="2"/>
        <v>Unsettled</v>
      </c>
      <c r="G34" s="86">
        <f>IF(A34&lt;&gt;"",SUMIFS(Transactions!$F$7:$F$989,Transactions!$D$7:$D$989,"Credit",Transactions!$H$7:$H$989,A34),"")</f>
        <v>0</v>
      </c>
      <c r="H34" s="80"/>
      <c r="I34" s="5"/>
      <c r="J34" s="5"/>
      <c r="K34" s="5"/>
      <c r="L34" s="5"/>
      <c r="M34" s="5"/>
      <c r="N34" s="5"/>
      <c r="O34" s="5"/>
      <c r="P34" s="5"/>
      <c r="Q34" s="5"/>
      <c r="R34" s="5"/>
      <c r="S34" s="5"/>
      <c r="T34" s="5"/>
      <c r="U34" s="5"/>
      <c r="V34" s="5"/>
      <c r="W34" s="5"/>
      <c r="X34" s="5"/>
      <c r="Y34" s="5"/>
      <c r="Z34" s="5"/>
    </row>
    <row r="35" ht="19.5" customHeight="1">
      <c r="A35" s="84" t="str">
        <f>IF(Roster!$A$33&lt;&gt;"",Roster!$A$33,"")</f>
        <v>Shani Rosenthal</v>
      </c>
      <c r="B35" s="84">
        <f t="array" ref="B35">IF(A35&lt;&gt;"",IFERROR(SUMPRODUCT((INDEX(Attendance!$B$7:$EE$206,MATCH(A35,Attendance!$A$7:$A$206,0),0)=1)*Attendance!$B$4:$EE$4),0),"")</f>
        <v>0</v>
      </c>
      <c r="C35" s="85">
        <f>IF(A35&lt;&gt;"",SUMIFS(Transactions!$F$7:$F$989,Transactions!$D$7:$D$989,"Income",Transactions!$E$7:$E$989,A35),"")</f>
        <v>0</v>
      </c>
      <c r="D35" s="85">
        <f>IF(A35&lt;&gt;"",SUMIFS(Transactions!$F$7:$F$989,Transactions!$D$7:$D$989,"Expense",Transactions!$E$7:$E$989,A35),"")</f>
        <v>8409.89</v>
      </c>
      <c r="E35" s="82">
        <f t="shared" si="1"/>
        <v>-8409.89</v>
      </c>
      <c r="F35" s="82" t="str">
        <f t="shared" si="2"/>
        <v>Unsettled</v>
      </c>
      <c r="G35" s="86">
        <f>IF(A35&lt;&gt;"",SUMIFS(Transactions!$F$7:$F$989,Transactions!$D$7:$D$989,"Credit",Transactions!$H$7:$H$989,A35),"")</f>
        <v>0</v>
      </c>
      <c r="H35" s="80"/>
      <c r="I35" s="5"/>
      <c r="J35" s="5"/>
      <c r="K35" s="5"/>
      <c r="L35" s="5"/>
      <c r="M35" s="5"/>
      <c r="N35" s="5"/>
      <c r="O35" s="5"/>
      <c r="P35" s="5"/>
      <c r="Q35" s="5"/>
      <c r="R35" s="5"/>
      <c r="S35" s="5"/>
      <c r="T35" s="5"/>
      <c r="U35" s="5"/>
      <c r="V35" s="5"/>
      <c r="W35" s="5"/>
      <c r="X35" s="5"/>
      <c r="Y35" s="5"/>
      <c r="Z35" s="5"/>
    </row>
    <row r="36" ht="19.5" customHeight="1">
      <c r="A36" s="87" t="str">
        <f>IF(Roster!$A$34&lt;&gt;"",Roster!$A$34,"")</f>
        <v>Vivian Shen</v>
      </c>
      <c r="B36" s="84">
        <f t="array" ref="B36">IF(A36&lt;&gt;"",IFERROR(SUMPRODUCT((INDEX(Attendance!$B$7:$EE$206,MATCH(A36,Attendance!$A$7:$A$206,0),0)=1)*Attendance!$B$4:$EE$4),0),"")</f>
        <v>0</v>
      </c>
      <c r="C36" s="88">
        <f>IF(A36&lt;&gt;"",SUMIFS(Transactions!$F$7:$F$989,Transactions!$D$7:$D$989,"Income",Transactions!$E$7:$E$989,A36),"")</f>
        <v>400</v>
      </c>
      <c r="D36" s="88">
        <f>IF(A36&lt;&gt;"",SUMIFS(Transactions!$F$7:$F$989,Transactions!$D$7:$D$989,"Expense",Transactions!$E$7:$E$989,A36),"")</f>
        <v>3780</v>
      </c>
      <c r="E36" s="89">
        <f t="shared" si="1"/>
        <v>-4180</v>
      </c>
      <c r="F36" s="89" t="str">
        <f t="shared" si="2"/>
        <v>Unsettled</v>
      </c>
      <c r="G36" s="86">
        <f>IF(A36&lt;&gt;"",SUMIFS(Transactions!$F$7:$F$989,Transactions!$D$7:$D$989,"Credit",Transactions!$H$7:$H$989,A36),"")</f>
        <v>0</v>
      </c>
      <c r="H36" s="80"/>
      <c r="I36" s="5"/>
      <c r="J36" s="5"/>
      <c r="K36" s="5"/>
      <c r="L36" s="5"/>
      <c r="M36" s="5"/>
      <c r="N36" s="5"/>
      <c r="O36" s="5"/>
      <c r="P36" s="5"/>
      <c r="Q36" s="5"/>
      <c r="R36" s="5"/>
      <c r="S36" s="5"/>
      <c r="T36" s="5"/>
      <c r="U36" s="5"/>
      <c r="V36" s="5"/>
      <c r="W36" s="5"/>
      <c r="X36" s="5"/>
      <c r="Y36" s="5"/>
      <c r="Z36" s="5"/>
    </row>
    <row r="37" ht="19.5" customHeight="1">
      <c r="A37" s="84" t="str">
        <f>IF(Roster!$A$35&lt;&gt;"",Roster!$A$35,"")</f>
        <v>Zach Esakof</v>
      </c>
      <c r="B37" s="84">
        <f t="array" ref="B37">IF(A37&lt;&gt;"",IFERROR(SUMPRODUCT((INDEX(Attendance!$B$7:$EE$206,MATCH(A37,Attendance!$A$7:$A$206,0),0)=1)*Attendance!$B$4:$EE$4),0),"")</f>
        <v>0</v>
      </c>
      <c r="C37" s="85">
        <f>IF(A37&lt;&gt;"",SUMIFS(Transactions!$F$7:$F$989,Transactions!$D$7:$D$989,"Income",Transactions!$E$7:$E$989,A37),"")</f>
        <v>0</v>
      </c>
      <c r="D37" s="85">
        <f>IF(A37&lt;&gt;"",SUMIFS(Transactions!$F$7:$F$989,Transactions!$D$7:$D$989,"Expense",Transactions!$E$7:$E$989,A37),"")</f>
        <v>0</v>
      </c>
      <c r="E37" s="82">
        <f t="shared" si="1"/>
        <v>0</v>
      </c>
      <c r="F37" s="82" t="str">
        <f t="shared" si="2"/>
        <v>Settled</v>
      </c>
      <c r="G37" s="86">
        <f>IF(A37&lt;&gt;"",SUMIFS(Transactions!$F$7:$F$989,Transactions!$D$7:$D$989,"Credit",Transactions!$H$7:$H$989,A37),"")</f>
        <v>0</v>
      </c>
      <c r="H37" s="80"/>
      <c r="I37" s="5"/>
      <c r="J37" s="5"/>
      <c r="K37" s="5"/>
      <c r="L37" s="5"/>
      <c r="M37" s="5"/>
      <c r="N37" s="5"/>
      <c r="O37" s="5"/>
      <c r="P37" s="5"/>
      <c r="Q37" s="5"/>
      <c r="R37" s="5"/>
      <c r="S37" s="5"/>
      <c r="T37" s="5"/>
      <c r="U37" s="5"/>
      <c r="V37" s="5"/>
      <c r="W37" s="5"/>
      <c r="X37" s="5"/>
      <c r="Y37" s="5"/>
      <c r="Z37" s="5"/>
    </row>
    <row r="38" ht="19.5" customHeight="1">
      <c r="A38" s="87" t="str">
        <f>IF(Roster!$A$36&lt;&gt;"",Roster!$A$36,"")</f>
        <v>Annette Kukunas-Piper</v>
      </c>
      <c r="B38" s="84">
        <f t="array" ref="B38">IF(A38&lt;&gt;"",IFERROR(SUMPRODUCT((INDEX(Attendance!$B$7:$EE$206,MATCH(A38,Attendance!$A$7:$A$206,0),0)=1)*Attendance!$B$4:$EE$4),0),"")</f>
        <v>0</v>
      </c>
      <c r="C38" s="88">
        <f>IF(A38&lt;&gt;"",SUMIFS(Transactions!$F$7:$F$989,Transactions!$D$7:$D$989,"Income",Transactions!$E$7:$E$989,A38),"")</f>
        <v>69.31</v>
      </c>
      <c r="D38" s="88">
        <f>IF(A38&lt;&gt;"",SUMIFS(Transactions!$F$7:$F$989,Transactions!$D$7:$D$989,"Expense",Transactions!$E$7:$E$989,A38),"")</f>
        <v>148.82</v>
      </c>
      <c r="E38" s="89">
        <f t="shared" si="1"/>
        <v>-218.13</v>
      </c>
      <c r="F38" s="89" t="str">
        <f t="shared" si="2"/>
        <v>Unsettled</v>
      </c>
      <c r="G38" s="86">
        <f>IF(A38&lt;&gt;"",SUMIFS(Transactions!$F$7:$F$989,Transactions!$D$7:$D$989,"Credit",Transactions!$H$7:$H$989,A38),"")</f>
        <v>0</v>
      </c>
      <c r="H38" s="80"/>
      <c r="I38" s="5"/>
      <c r="J38" s="5"/>
      <c r="K38" s="5"/>
      <c r="L38" s="5"/>
      <c r="M38" s="5"/>
      <c r="N38" s="5"/>
      <c r="O38" s="5"/>
      <c r="P38" s="5"/>
      <c r="Q38" s="5"/>
      <c r="R38" s="5"/>
      <c r="S38" s="5"/>
      <c r="T38" s="5"/>
      <c r="U38" s="5"/>
      <c r="V38" s="5"/>
      <c r="W38" s="5"/>
      <c r="X38" s="5"/>
      <c r="Y38" s="5"/>
      <c r="Z38" s="5"/>
    </row>
    <row r="39" ht="19.5" customHeight="1">
      <c r="A39" s="84" t="str">
        <f>IF(Roster!$A$37&lt;&gt;"",Roster!$A$37,"")</f>
        <v>Matt Duffy</v>
      </c>
      <c r="B39" s="84">
        <f t="array" ref="B39">IF(A39&lt;&gt;"",IFERROR(SUMPRODUCT((INDEX(Attendance!$B$7:$EE$206,MATCH(A39,Attendance!$A$7:$A$206,0),0)=1)*Attendance!$B$4:$EE$4),0),"")</f>
        <v>0</v>
      </c>
      <c r="C39" s="85">
        <f>IF(A39&lt;&gt;"",SUMIFS(Transactions!$F$7:$F$989,Transactions!$D$7:$D$989,"Income",Transactions!$E$7:$E$989,A39),"")</f>
        <v>180.13</v>
      </c>
      <c r="D39" s="85">
        <f>IF(A39&lt;&gt;"",SUMIFS(Transactions!$F$7:$F$989,Transactions!$D$7:$D$989,"Expense",Transactions!$E$7:$E$989,A39),"")</f>
        <v>51</v>
      </c>
      <c r="E39" s="82">
        <f t="shared" si="1"/>
        <v>-231.13</v>
      </c>
      <c r="F39" s="82" t="str">
        <f t="shared" si="2"/>
        <v>Unsettled</v>
      </c>
      <c r="G39" s="86">
        <f>IF(A39&lt;&gt;"",SUMIFS(Transactions!$F$7:$F$989,Transactions!$D$7:$D$989,"Credit",Transactions!$H$7:$H$989,A39),"")</f>
        <v>0</v>
      </c>
      <c r="H39" s="80"/>
      <c r="I39" s="5"/>
      <c r="J39" s="5"/>
      <c r="K39" s="5"/>
      <c r="L39" s="5"/>
      <c r="M39" s="5"/>
      <c r="N39" s="5"/>
      <c r="O39" s="5"/>
      <c r="P39" s="5"/>
      <c r="Q39" s="5"/>
      <c r="R39" s="5"/>
      <c r="S39" s="5"/>
      <c r="T39" s="5"/>
      <c r="U39" s="5"/>
      <c r="V39" s="5"/>
      <c r="W39" s="5"/>
      <c r="X39" s="5"/>
      <c r="Y39" s="5"/>
      <c r="Z39" s="5"/>
    </row>
    <row r="40" ht="19.5" customHeight="1">
      <c r="A40" s="87" t="str">
        <f>IF(Roster!$A$38&lt;&gt;"",Roster!$A$38,"")</f>
        <v>Ryan Birchard</v>
      </c>
      <c r="B40" s="84">
        <f t="array" ref="B40">IF(A40&lt;&gt;"",IFERROR(SUMPRODUCT((INDEX(Attendance!$B$7:$EE$206,MATCH(A40,Attendance!$A$7:$A$206,0),0)=1)*Attendance!$B$4:$EE$4),0),"")</f>
        <v>0</v>
      </c>
      <c r="C40" s="88">
        <f>IF(A40&lt;&gt;"",SUMIFS(Transactions!$F$7:$F$989,Transactions!$D$7:$D$989,"Income",Transactions!$E$7:$E$989,A40),"")</f>
        <v>0</v>
      </c>
      <c r="D40" s="88">
        <f>IF(A40&lt;&gt;"",SUMIFS(Transactions!$F$7:$F$989,Transactions!$D$7:$D$989,"Expense",Transactions!$E$7:$E$989,A40),"")</f>
        <v>95.83</v>
      </c>
      <c r="E40" s="89">
        <f t="shared" si="1"/>
        <v>-95.83</v>
      </c>
      <c r="F40" s="89" t="str">
        <f t="shared" si="2"/>
        <v>Unsettled</v>
      </c>
      <c r="G40" s="86">
        <f>IF(A40&lt;&gt;"",SUMIFS(Transactions!$F$7:$F$989,Transactions!$D$7:$D$989,"Credit",Transactions!$H$7:$H$989,A40),"")</f>
        <v>0</v>
      </c>
      <c r="H40" s="80"/>
      <c r="I40" s="5"/>
      <c r="J40" s="5"/>
      <c r="K40" s="5"/>
      <c r="L40" s="5"/>
      <c r="M40" s="5"/>
      <c r="N40" s="5"/>
      <c r="O40" s="5"/>
      <c r="P40" s="5"/>
      <c r="Q40" s="5"/>
      <c r="R40" s="5"/>
      <c r="S40" s="5"/>
      <c r="T40" s="5"/>
      <c r="U40" s="5"/>
      <c r="V40" s="5"/>
      <c r="W40" s="5"/>
      <c r="X40" s="5"/>
      <c r="Y40" s="5"/>
      <c r="Z40" s="5"/>
    </row>
    <row r="41" ht="19.5" customHeight="1">
      <c r="A41" s="84" t="str">
        <f>IF(Roster!$A$39&lt;&gt;"",Roster!$A$39,"")</f>
        <v>Nick Blair</v>
      </c>
      <c r="B41" s="84">
        <f t="array" ref="B41">IF(A41&lt;&gt;"",IFERROR(SUMPRODUCT((INDEX(Attendance!$B$7:$EE$206,MATCH(A41,Attendance!$A$7:$A$206,0),0)=1)*Attendance!$B$4:$EE$4),0),"")</f>
        <v>0</v>
      </c>
      <c r="C41" s="85">
        <f>IF(A41&lt;&gt;"",SUMIFS(Transactions!$F$7:$F$989,Transactions!$D$7:$D$989,"Income",Transactions!$E$7:$E$989,A41),"")</f>
        <v>0</v>
      </c>
      <c r="D41" s="85">
        <f>IF(A41&lt;&gt;"",SUMIFS(Transactions!$F$7:$F$989,Transactions!$D$7:$D$989,"Expense",Transactions!$E$7:$E$989,A41),"")</f>
        <v>0</v>
      </c>
      <c r="E41" s="82">
        <f t="shared" si="1"/>
        <v>-59.99</v>
      </c>
      <c r="F41" s="82" t="str">
        <f t="shared" si="2"/>
        <v>Unsettled</v>
      </c>
      <c r="G41" s="86">
        <f>IF(A41&lt;&gt;"",SUMIFS(Transactions!$F$7:$F$989,Transactions!$D$7:$D$989,"Credit",Transactions!$H$7:$H$989,A41),"")</f>
        <v>59.99</v>
      </c>
      <c r="H41" s="80"/>
      <c r="I41" s="5"/>
      <c r="J41" s="5"/>
      <c r="K41" s="5"/>
      <c r="L41" s="5"/>
      <c r="M41" s="5"/>
      <c r="N41" s="5"/>
      <c r="O41" s="5"/>
      <c r="P41" s="5"/>
      <c r="Q41" s="5"/>
      <c r="R41" s="5"/>
      <c r="S41" s="5"/>
      <c r="T41" s="5"/>
      <c r="U41" s="5"/>
      <c r="V41" s="5"/>
      <c r="W41" s="5"/>
      <c r="X41" s="5"/>
      <c r="Y41" s="5"/>
      <c r="Z41" s="5"/>
    </row>
    <row r="42" ht="19.5" customHeight="1">
      <c r="A42" s="87" t="str">
        <f>IF(Roster!$A$40&lt;&gt;"",Roster!$A$40,"")</f>
        <v>Lily Nguyen</v>
      </c>
      <c r="B42" s="84">
        <f t="array" ref="B42">IF(A42&lt;&gt;"",IFERROR(SUMPRODUCT((INDEX(Attendance!$B$7:$EE$206,MATCH(A42,Attendance!$A$7:$A$206,0),0)=1)*Attendance!$B$4:$EE$4),0),"")</f>
        <v>0</v>
      </c>
      <c r="C42" s="88">
        <f>IF(A42&lt;&gt;"",SUMIFS(Transactions!$F$7:$F$989,Transactions!$D$7:$D$989,"Income",Transactions!$E$7:$E$989,A42),"")</f>
        <v>0</v>
      </c>
      <c r="D42" s="88">
        <f>IF(A42&lt;&gt;"",SUMIFS(Transactions!$F$7:$F$989,Transactions!$D$7:$D$989,"Expense",Transactions!$E$7:$E$989,A42),"")</f>
        <v>0</v>
      </c>
      <c r="E42" s="89">
        <f t="shared" si="1"/>
        <v>0</v>
      </c>
      <c r="F42" s="89" t="str">
        <f t="shared" si="2"/>
        <v>Settled</v>
      </c>
      <c r="G42" s="86">
        <f>IF(A42&lt;&gt;"",SUMIFS(Transactions!$F$7:$F$989,Transactions!$D$7:$D$989,"Credit",Transactions!$H$7:$H$989,A42),"")</f>
        <v>0</v>
      </c>
      <c r="H42" s="80"/>
      <c r="I42" s="5"/>
      <c r="J42" s="5"/>
      <c r="K42" s="5"/>
      <c r="L42" s="5"/>
      <c r="M42" s="5"/>
      <c r="N42" s="5"/>
      <c r="O42" s="5"/>
      <c r="P42" s="5"/>
      <c r="Q42" s="5"/>
      <c r="R42" s="5"/>
      <c r="S42" s="5"/>
      <c r="T42" s="5"/>
      <c r="U42" s="5"/>
      <c r="V42" s="5"/>
      <c r="W42" s="5"/>
      <c r="X42" s="5"/>
      <c r="Y42" s="5"/>
      <c r="Z42" s="5"/>
    </row>
    <row r="43" ht="19.5" customHeight="1">
      <c r="A43" s="84" t="str">
        <f>IF(Roster!$A$41&lt;&gt;"",Roster!$A$41,"")</f>
        <v>Griff Soren</v>
      </c>
      <c r="B43" s="84">
        <f t="array" ref="B43">IF(A43&lt;&gt;"",IFERROR(SUMPRODUCT((INDEX(Attendance!$B$7:$EE$206,MATCH(A43,Attendance!$A$7:$A$206,0),0)=1)*Attendance!$B$4:$EE$4),0),"")</f>
        <v>0</v>
      </c>
      <c r="C43" s="85">
        <f>IF(A43&lt;&gt;"",SUMIFS(Transactions!$F$7:$F$989,Transactions!$D$7:$D$989,"Income",Transactions!$E$7:$E$989,A43),"")</f>
        <v>0</v>
      </c>
      <c r="D43" s="85">
        <f>IF(A43&lt;&gt;"",SUMIFS(Transactions!$F$7:$F$989,Transactions!$D$7:$D$989,"Expense",Transactions!$E$7:$E$989,A43),"")</f>
        <v>0</v>
      </c>
      <c r="E43" s="82">
        <f t="shared" si="1"/>
        <v>0</v>
      </c>
      <c r="F43" s="82" t="str">
        <f t="shared" si="2"/>
        <v>Settled</v>
      </c>
      <c r="G43" s="86">
        <f>IF(A43&lt;&gt;"",SUMIFS(Transactions!$F$7:$F$989,Transactions!$D$7:$D$989,"Credit",Transactions!$H$7:$H$989,A43),"")</f>
        <v>0</v>
      </c>
      <c r="H43" s="80"/>
      <c r="I43" s="5"/>
      <c r="J43" s="5"/>
      <c r="K43" s="5"/>
      <c r="L43" s="5"/>
      <c r="M43" s="5"/>
      <c r="N43" s="5"/>
      <c r="O43" s="5"/>
      <c r="P43" s="5"/>
      <c r="Q43" s="5"/>
      <c r="R43" s="5"/>
      <c r="S43" s="5"/>
      <c r="T43" s="5"/>
      <c r="U43" s="5"/>
      <c r="V43" s="5"/>
      <c r="W43" s="5"/>
      <c r="X43" s="5"/>
      <c r="Y43" s="5"/>
      <c r="Z43" s="5"/>
    </row>
    <row r="44" ht="19.5" customHeight="1">
      <c r="A44" s="87" t="str">
        <f>IF(Roster!$A$42&lt;&gt;"",Roster!$A$42,"")</f>
        <v>Griff Alice</v>
      </c>
      <c r="B44" s="84">
        <f t="array" ref="B44">IF(A44&lt;&gt;"",IFERROR(SUMPRODUCT((INDEX(Attendance!$B$7:$EE$206,MATCH(A44,Attendance!$A$7:$A$206,0),0)=1)*Attendance!$B$4:$EE$4),0),"")</f>
        <v>0</v>
      </c>
      <c r="C44" s="88">
        <f>IF(A44&lt;&gt;"",SUMIFS(Transactions!$F$7:$F$989,Transactions!$D$7:$D$989,"Income",Transactions!$E$7:$E$989,A44),"")</f>
        <v>0</v>
      </c>
      <c r="D44" s="88">
        <f>IF(A44&lt;&gt;"",SUMIFS(Transactions!$F$7:$F$989,Transactions!$D$7:$D$989,"Expense",Transactions!$E$7:$E$989,A44),"")</f>
        <v>0</v>
      </c>
      <c r="E44" s="89">
        <f t="shared" si="1"/>
        <v>0</v>
      </c>
      <c r="F44" s="89" t="str">
        <f t="shared" si="2"/>
        <v>Settled</v>
      </c>
      <c r="G44" s="86">
        <f>IF(A44&lt;&gt;"",SUMIFS(Transactions!$F$7:$F$989,Transactions!$D$7:$D$989,"Credit",Transactions!$H$7:$H$989,A44),"")</f>
        <v>0</v>
      </c>
      <c r="H44" s="80"/>
      <c r="I44" s="5"/>
      <c r="J44" s="5"/>
      <c r="K44" s="5"/>
      <c r="L44" s="5"/>
      <c r="M44" s="5"/>
      <c r="N44" s="5"/>
      <c r="O44" s="5"/>
      <c r="P44" s="5"/>
      <c r="Q44" s="5"/>
      <c r="R44" s="5"/>
      <c r="S44" s="5"/>
      <c r="T44" s="5"/>
      <c r="U44" s="5"/>
      <c r="V44" s="5"/>
      <c r="W44" s="5"/>
      <c r="X44" s="5"/>
      <c r="Y44" s="5"/>
      <c r="Z44" s="5"/>
    </row>
    <row r="45" ht="19.5" customHeight="1">
      <c r="A45" s="84" t="str">
        <f>IF(Roster!$A$43&lt;&gt;"",Roster!$A$43,"")</f>
        <v/>
      </c>
      <c r="B45" s="84" t="str">
        <f t="array" ref="B45">IF(A45&lt;&gt;"",IFERROR(SUMPRODUCT((INDEX(Attendance!$B$7:$AV$206,MATCH(A45,Attendance!$A$7:$A$206,0),0)=1)*Attendance!$B$4:$AV$4),0),"")</f>
        <v/>
      </c>
      <c r="C45" s="85" t="str">
        <f>IF(A45&lt;&gt;"",SUMIFS(Transactions!$F$7:$F$989,Transactions!$D$7:$D$989,"Income",Transactions!$E$7:$E$989,A45),"")</f>
        <v/>
      </c>
      <c r="D45" s="85" t="str">
        <f>IF(A45&lt;&gt;"",SUMIFS(Transactions!$F$7:$F$989,Transactions!$D$7:$D$989,"Expense",Transactions!$E$7:$E$989,A45),"")</f>
        <v/>
      </c>
      <c r="E45" s="82" t="str">
        <f t="shared" si="1"/>
        <v/>
      </c>
      <c r="F45" s="82" t="str">
        <f t="shared" si="2"/>
        <v/>
      </c>
      <c r="G45" s="86" t="str">
        <f>IF(A45&lt;&gt;"",SUMIFS(Transactions!$F$7:$F$989,Transactions!$D$7:$D$989,"Credit",Transactions!$H$7:$H$989,A45),"")</f>
        <v/>
      </c>
      <c r="H45" s="80"/>
      <c r="I45" s="5"/>
      <c r="J45" s="5"/>
      <c r="K45" s="5"/>
      <c r="L45" s="5"/>
      <c r="M45" s="5"/>
      <c r="N45" s="5"/>
      <c r="O45" s="5"/>
      <c r="P45" s="5"/>
      <c r="Q45" s="5"/>
      <c r="R45" s="5"/>
      <c r="S45" s="5"/>
      <c r="T45" s="5"/>
      <c r="U45" s="5"/>
      <c r="V45" s="5"/>
      <c r="W45" s="5"/>
      <c r="X45" s="5"/>
      <c r="Y45" s="5"/>
      <c r="Z45" s="5"/>
    </row>
    <row r="46" ht="19.5" customHeight="1">
      <c r="A46" s="87" t="str">
        <f>IF(Roster!$A$44&lt;&gt;"",Roster!$A$44,"")</f>
        <v/>
      </c>
      <c r="B46" s="87" t="str">
        <f t="array" ref="B46">IF(A46&lt;&gt;"",IFERROR(SUMPRODUCT((INDEX(Attendance!$B$7:$AV$206,MATCH(A46,Attendance!$A$7:$A$206,0),0)=1)*Attendance!$B$4:$AV$4),0),"")</f>
        <v/>
      </c>
      <c r="C46" s="88" t="str">
        <f>IF(A46&lt;&gt;"",SUMIFS(Transactions!$F$7:$F$989,Transactions!$D$7:$D$989,"Income",Transactions!$E$7:$E$989,A46),"")</f>
        <v/>
      </c>
      <c r="D46" s="88" t="str">
        <f>IF(A46&lt;&gt;"",SUMIFS(Transactions!$F$7:$F$989,Transactions!$D$7:$D$989,"Expense",Transactions!$E$7:$E$989,A46),"")</f>
        <v/>
      </c>
      <c r="E46" s="89" t="str">
        <f t="shared" si="1"/>
        <v/>
      </c>
      <c r="F46" s="89" t="str">
        <f t="shared" si="2"/>
        <v/>
      </c>
      <c r="G46" s="86" t="str">
        <f>IF(A46&lt;&gt;"",SUMIFS(Transactions!$F$7:$F$989,Transactions!$D$7:$D$989,"Credit",Transactions!$H$7:$H$989,A46),"")</f>
        <v/>
      </c>
      <c r="H46" s="80"/>
      <c r="I46" s="5"/>
      <c r="J46" s="5"/>
      <c r="K46" s="5"/>
      <c r="L46" s="5"/>
      <c r="M46" s="5"/>
      <c r="N46" s="5"/>
      <c r="O46" s="5"/>
      <c r="P46" s="5"/>
      <c r="Q46" s="5"/>
      <c r="R46" s="5"/>
      <c r="S46" s="5"/>
      <c r="T46" s="5"/>
      <c r="U46" s="5"/>
      <c r="V46" s="5"/>
      <c r="W46" s="5"/>
      <c r="X46" s="5"/>
      <c r="Y46" s="5"/>
      <c r="Z46" s="5"/>
    </row>
    <row r="47" ht="19.5" customHeight="1">
      <c r="A47" s="84" t="str">
        <f>IF(Roster!$A$45&lt;&gt;"",Roster!$A$45,"")</f>
        <v/>
      </c>
      <c r="B47" s="84" t="str">
        <f t="array" ref="B47">IF(A47&lt;&gt;"",IFERROR(SUMPRODUCT((INDEX(Attendance!$B$7:$AV$206,MATCH(A47,Attendance!$A$7:$A$206,0),0)=1)*Attendance!$B$4:$AV$4),0),"")</f>
        <v/>
      </c>
      <c r="C47" s="85" t="str">
        <f>IF(A47&lt;&gt;"",SUMIFS(Transactions!$F$7:$F$989,Transactions!$D$7:$D$989,"Income",Transactions!$E$7:$E$989,A47),"")</f>
        <v/>
      </c>
      <c r="D47" s="85" t="str">
        <f>IF(A47&lt;&gt;"",SUMIFS(Transactions!$F$7:$F$989,Transactions!$D$7:$D$989,"Expense",Transactions!$E$7:$E$989,A47),"")</f>
        <v/>
      </c>
      <c r="E47" s="82" t="str">
        <f t="shared" si="1"/>
        <v/>
      </c>
      <c r="F47" s="82" t="str">
        <f t="shared" si="2"/>
        <v/>
      </c>
      <c r="G47" s="86" t="str">
        <f>IF(A47&lt;&gt;"",SUMIFS(Transactions!$F$7:$F$989,Transactions!$D$7:$D$989,"Credit",Transactions!$H$7:$H$989,A47),"")</f>
        <v/>
      </c>
      <c r="H47" s="80"/>
      <c r="I47" s="5"/>
      <c r="J47" s="5"/>
      <c r="K47" s="5"/>
      <c r="L47" s="5"/>
      <c r="M47" s="5"/>
      <c r="N47" s="5"/>
      <c r="O47" s="5"/>
      <c r="P47" s="5"/>
      <c r="Q47" s="5"/>
      <c r="R47" s="5"/>
      <c r="S47" s="5"/>
      <c r="T47" s="5"/>
      <c r="U47" s="5"/>
      <c r="V47" s="5"/>
      <c r="W47" s="5"/>
      <c r="X47" s="5"/>
      <c r="Y47" s="5"/>
      <c r="Z47" s="5"/>
    </row>
    <row r="48" ht="19.5" customHeight="1">
      <c r="A48" s="87" t="str">
        <f>IF(Roster!$A$46&lt;&gt;"",Roster!$A$46,"")</f>
        <v/>
      </c>
      <c r="B48" s="87" t="str">
        <f t="array" ref="B48">IF(A48&lt;&gt;"",IFERROR(SUMPRODUCT((INDEX(Attendance!$B$7:$AV$206,MATCH(A48,Attendance!$A$7:$A$206,0),0)=1)*Attendance!$B$4:$AV$4),0),"")</f>
        <v/>
      </c>
      <c r="C48" s="88" t="str">
        <f>IF(A48&lt;&gt;"",SUMIFS(Transactions!$F$7:$F$989,Transactions!$D$7:$D$989,"Income",Transactions!$E$7:$E$989,A48),"")</f>
        <v/>
      </c>
      <c r="D48" s="88" t="str">
        <f>IF(A48&lt;&gt;"",SUMIFS(Transactions!$F$7:$F$989,Transactions!$D$7:$D$989,"Expense",Transactions!$E$7:$E$989,A48),"")</f>
        <v/>
      </c>
      <c r="E48" s="89" t="str">
        <f t="shared" si="1"/>
        <v/>
      </c>
      <c r="F48" s="89" t="str">
        <f t="shared" si="2"/>
        <v/>
      </c>
      <c r="G48" s="86" t="str">
        <f>IF(A48&lt;&gt;"",SUMIFS(Transactions!$F$7:$F$989,Transactions!$D$7:$D$989,"Credit",Transactions!$H$7:$H$989,A48),"")</f>
        <v/>
      </c>
      <c r="H48" s="80"/>
      <c r="I48" s="5"/>
      <c r="J48" s="5"/>
      <c r="K48" s="5"/>
      <c r="L48" s="5"/>
      <c r="M48" s="5"/>
      <c r="N48" s="5"/>
      <c r="O48" s="5"/>
      <c r="P48" s="5"/>
      <c r="Q48" s="5"/>
      <c r="R48" s="5"/>
      <c r="S48" s="5"/>
      <c r="T48" s="5"/>
      <c r="U48" s="5"/>
      <c r="V48" s="5"/>
      <c r="W48" s="5"/>
      <c r="X48" s="5"/>
      <c r="Y48" s="5"/>
      <c r="Z48" s="5"/>
    </row>
    <row r="49" ht="19.5" customHeight="1">
      <c r="A49" s="84" t="str">
        <f>IF(Roster!$A$47&lt;&gt;"",Roster!$A$47,"")</f>
        <v/>
      </c>
      <c r="B49" s="84" t="str">
        <f t="array" ref="B49">IF(A49&lt;&gt;"",IFERROR(SUMPRODUCT((INDEX(Attendance!$B$7:$AV$206,MATCH(A49,Attendance!$A$7:$A$206,0),0)=1)*Attendance!$B$4:$AV$4),0),"")</f>
        <v/>
      </c>
      <c r="C49" s="85" t="str">
        <f>IF(A49&lt;&gt;"",SUMIFS(Transactions!$F$7:$F$989,Transactions!$D$7:$D$989,"Income",Transactions!$E$7:$E$989,A49),"")</f>
        <v/>
      </c>
      <c r="D49" s="85" t="str">
        <f>IF(A49&lt;&gt;"",SUMIFS(Transactions!$F$7:$F$989,Transactions!$D$7:$D$989,"Expense",Transactions!$E$7:$E$989,A49),"")</f>
        <v/>
      </c>
      <c r="E49" s="82" t="str">
        <f t="shared" si="1"/>
        <v/>
      </c>
      <c r="F49" s="82" t="str">
        <f t="shared" si="2"/>
        <v/>
      </c>
      <c r="G49" s="86" t="str">
        <f>IF(A49&lt;&gt;"",SUMIFS(Transactions!$F$7:$F$989,Transactions!$D$7:$D$989,"Credit",Transactions!$H$7:$H$989,A49),"")</f>
        <v/>
      </c>
      <c r="H49" s="80"/>
      <c r="I49" s="5"/>
      <c r="J49" s="5"/>
      <c r="K49" s="5"/>
      <c r="L49" s="5"/>
      <c r="M49" s="5"/>
      <c r="N49" s="5"/>
      <c r="O49" s="5"/>
      <c r="P49" s="5"/>
      <c r="Q49" s="5"/>
      <c r="R49" s="5"/>
      <c r="S49" s="5"/>
      <c r="T49" s="5"/>
      <c r="U49" s="5"/>
      <c r="V49" s="5"/>
      <c r="W49" s="5"/>
      <c r="X49" s="5"/>
      <c r="Y49" s="5"/>
      <c r="Z49" s="5"/>
    </row>
    <row r="50" ht="19.5" customHeight="1">
      <c r="A50" s="87" t="str">
        <f>IF(Roster!$A$48&lt;&gt;"",Roster!$A$48,"")</f>
        <v/>
      </c>
      <c r="B50" s="87" t="str">
        <f t="array" ref="B50">IF(A50&lt;&gt;"",IFERROR(SUMPRODUCT((INDEX(Attendance!$B$7:$AV$206,MATCH(A50,Attendance!$A$7:$A$206,0),0)=1)*Attendance!$B$4:$AV$4),0),"")</f>
        <v/>
      </c>
      <c r="C50" s="88" t="str">
        <f>IF(A50&lt;&gt;"",SUMIFS(Transactions!$F$7:$F$989,Transactions!$D$7:$D$989,"Income",Transactions!$E$7:$E$989,A50),"")</f>
        <v/>
      </c>
      <c r="D50" s="88" t="str">
        <f>IF(A50&lt;&gt;"",SUMIFS(Transactions!$F$7:$F$989,Transactions!$D$7:$D$989,"Expense",Transactions!$E$7:$E$989,A50),"")</f>
        <v/>
      </c>
      <c r="E50" s="89" t="str">
        <f t="shared" si="1"/>
        <v/>
      </c>
      <c r="F50" s="89" t="str">
        <f t="shared" si="2"/>
        <v/>
      </c>
      <c r="G50" s="86" t="str">
        <f>IF(A50&lt;&gt;"",SUMIFS(Transactions!$F$7:$F$989,Transactions!$D$7:$D$989,"Credit",Transactions!$H$7:$H$989,A50),"")</f>
        <v/>
      </c>
      <c r="H50" s="80"/>
      <c r="I50" s="5"/>
      <c r="J50" s="5"/>
      <c r="K50" s="5"/>
      <c r="L50" s="5"/>
      <c r="M50" s="5"/>
      <c r="N50" s="5"/>
      <c r="O50" s="5"/>
      <c r="P50" s="5"/>
      <c r="Q50" s="5"/>
      <c r="R50" s="5"/>
      <c r="S50" s="5"/>
      <c r="T50" s="5"/>
      <c r="U50" s="5"/>
      <c r="V50" s="5"/>
      <c r="W50" s="5"/>
      <c r="X50" s="5"/>
      <c r="Y50" s="5"/>
      <c r="Z50" s="5"/>
    </row>
    <row r="51" ht="19.5" customHeight="1">
      <c r="A51" s="84" t="str">
        <f>IF(Roster!$A$49&lt;&gt;"",Roster!$A$49,"")</f>
        <v/>
      </c>
      <c r="B51" s="84" t="str">
        <f t="array" ref="B51">IF(A51&lt;&gt;"",IFERROR(SUMPRODUCT((INDEX(Attendance!$B$7:$AV$206,MATCH(A51,Attendance!$A$7:$A$206,0),0)=1)*Attendance!$B$4:$AV$4),0),"")</f>
        <v/>
      </c>
      <c r="C51" s="85" t="str">
        <f>IF(A51&lt;&gt;"",SUMIFS(Transactions!$F$7:$F$989,Transactions!$D$7:$D$989,"Income",Transactions!$E$7:$E$989,A51),"")</f>
        <v/>
      </c>
      <c r="D51" s="85" t="str">
        <f>IF(A51&lt;&gt;"",SUMIFS(Transactions!$F$7:$F$989,Transactions!$D$7:$D$989,"Expense",Transactions!$E$7:$E$989,A51),"")</f>
        <v/>
      </c>
      <c r="E51" s="82" t="str">
        <f t="shared" si="1"/>
        <v/>
      </c>
      <c r="F51" s="82" t="str">
        <f t="shared" si="2"/>
        <v/>
      </c>
      <c r="G51" s="86" t="str">
        <f>IF(A51&lt;&gt;"",SUMIFS(Transactions!$F$7:$F$989,Transactions!$D$7:$D$989,"Credit",Transactions!$H$7:$H$989,A51),"")</f>
        <v/>
      </c>
      <c r="H51" s="80"/>
      <c r="I51" s="5"/>
      <c r="J51" s="5"/>
      <c r="K51" s="5"/>
      <c r="L51" s="5"/>
      <c r="M51" s="5"/>
      <c r="N51" s="5"/>
      <c r="O51" s="5"/>
      <c r="P51" s="5"/>
      <c r="Q51" s="5"/>
      <c r="R51" s="5"/>
      <c r="S51" s="5"/>
      <c r="T51" s="5"/>
      <c r="U51" s="5"/>
      <c r="V51" s="5"/>
      <c r="W51" s="5"/>
      <c r="X51" s="5"/>
      <c r="Y51" s="5"/>
      <c r="Z51" s="5"/>
    </row>
    <row r="52" ht="19.5" customHeight="1">
      <c r="A52" s="87" t="str">
        <f>IF(Roster!$A$50&lt;&gt;"",Roster!$A$50,"")</f>
        <v/>
      </c>
      <c r="B52" s="87" t="str">
        <f t="array" ref="B52">IF(A52&lt;&gt;"",IFERROR(SUMPRODUCT((INDEX(Attendance!$B$7:$AV$206,MATCH(A52,Attendance!$A$7:$A$206,0),0)=1)*Attendance!$B$4:$AV$4),0),"")</f>
        <v/>
      </c>
      <c r="C52" s="88" t="str">
        <f>IF(A52&lt;&gt;"",SUMIFS(Transactions!$F$7:$F$989,Transactions!$D$7:$D$989,"Income",Transactions!$E$7:$E$989,A52),"")</f>
        <v/>
      </c>
      <c r="D52" s="88" t="str">
        <f>IF(A52&lt;&gt;"",SUMIFS(Transactions!$F$7:$F$989,Transactions!$D$7:$D$989,"Expense",Transactions!$E$7:$E$989,A52),"")</f>
        <v/>
      </c>
      <c r="E52" s="89" t="str">
        <f t="shared" si="1"/>
        <v/>
      </c>
      <c r="F52" s="89" t="str">
        <f t="shared" si="2"/>
        <v/>
      </c>
      <c r="G52" s="86" t="str">
        <f>IF(A52&lt;&gt;"",SUMIFS(Transactions!$F$7:$F$989,Transactions!$D$7:$D$989,"Credit",Transactions!$H$7:$H$989,A52),"")</f>
        <v/>
      </c>
      <c r="H52" s="80"/>
      <c r="I52" s="5"/>
      <c r="J52" s="5"/>
      <c r="K52" s="5"/>
      <c r="L52" s="5"/>
      <c r="M52" s="5"/>
      <c r="N52" s="5"/>
      <c r="O52" s="5"/>
      <c r="P52" s="5"/>
      <c r="Q52" s="5"/>
      <c r="R52" s="5"/>
      <c r="S52" s="5"/>
      <c r="T52" s="5"/>
      <c r="U52" s="5"/>
      <c r="V52" s="5"/>
      <c r="W52" s="5"/>
      <c r="X52" s="5"/>
      <c r="Y52" s="5"/>
      <c r="Z52" s="5"/>
    </row>
    <row r="53" ht="19.5" customHeight="1">
      <c r="A53" s="84" t="str">
        <f>IF(Roster!$A$51&lt;&gt;"",Roster!$A$51,"")</f>
        <v/>
      </c>
      <c r="B53" s="84" t="str">
        <f t="array" ref="B53">IF(A53&lt;&gt;"",IFERROR(SUMPRODUCT((INDEX(Attendance!$B$7:$AV$206,MATCH(A53,Attendance!$A$7:$A$206,0),0)=1)*Attendance!$B$4:$AV$4),0),"")</f>
        <v/>
      </c>
      <c r="C53" s="85" t="str">
        <f>IF(A53&lt;&gt;"",SUMIFS(Transactions!$F$7:$F$989,Transactions!$D$7:$D$989,"Income",Transactions!$E$7:$E$989,A53),"")</f>
        <v/>
      </c>
      <c r="D53" s="85" t="str">
        <f>IF(A53&lt;&gt;"",SUMIFS(Transactions!$F$7:$F$989,Transactions!$D$7:$D$989,"Expense",Transactions!$E$7:$E$989,A53),"")</f>
        <v/>
      </c>
      <c r="E53" s="82" t="str">
        <f t="shared" si="1"/>
        <v/>
      </c>
      <c r="F53" s="82" t="str">
        <f t="shared" si="2"/>
        <v/>
      </c>
      <c r="G53" s="86" t="str">
        <f>IF(A53&lt;&gt;"",SUMIFS(Transactions!$F$7:$F$989,Transactions!$D$7:$D$989,"Credit",Transactions!$H$7:$H$989,A53),"")</f>
        <v/>
      </c>
      <c r="H53" s="80"/>
      <c r="I53" s="5"/>
      <c r="J53" s="5"/>
      <c r="K53" s="5"/>
      <c r="L53" s="5"/>
      <c r="M53" s="5"/>
      <c r="N53" s="5"/>
      <c r="O53" s="5"/>
      <c r="P53" s="5"/>
      <c r="Q53" s="5"/>
      <c r="R53" s="5"/>
      <c r="S53" s="5"/>
      <c r="T53" s="5"/>
      <c r="U53" s="5"/>
      <c r="V53" s="5"/>
      <c r="W53" s="5"/>
      <c r="X53" s="5"/>
      <c r="Y53" s="5"/>
      <c r="Z53" s="5"/>
    </row>
    <row r="54" ht="19.5" customHeight="1">
      <c r="A54" s="87" t="str">
        <f>IF(Roster!$A$52&lt;&gt;"",Roster!$A$52,"")</f>
        <v/>
      </c>
      <c r="B54" s="87" t="str">
        <f t="array" ref="B54">IF(A54&lt;&gt;"",IFERROR(SUMPRODUCT((INDEX(Attendance!$B$7:$AV$206,MATCH(A54,Attendance!$A$7:$A$206,0),0)=1)*Attendance!$B$4:$AV$4),0),"")</f>
        <v/>
      </c>
      <c r="C54" s="88" t="str">
        <f>IF(A54&lt;&gt;"",SUMIFS(Transactions!$F$7:$F$989,Transactions!$D$7:$D$989,"Income",Transactions!$E$7:$E$989,A54),"")</f>
        <v/>
      </c>
      <c r="D54" s="88" t="str">
        <f>IF(A54&lt;&gt;"",SUMIFS(Transactions!$F$7:$F$989,Transactions!$D$7:$D$989,"Expense",Transactions!$E$7:$E$989,A54),"")</f>
        <v/>
      </c>
      <c r="E54" s="89" t="str">
        <f t="shared" si="1"/>
        <v/>
      </c>
      <c r="F54" s="89" t="str">
        <f t="shared" si="2"/>
        <v/>
      </c>
      <c r="G54" s="86" t="str">
        <f>IF(A54&lt;&gt;"",SUMIFS(Transactions!$F$7:$F$989,Transactions!$D$7:$D$989,"Credit",Transactions!$H$7:$H$989,A54),"")</f>
        <v/>
      </c>
      <c r="H54" s="80"/>
      <c r="I54" s="5"/>
      <c r="J54" s="5"/>
      <c r="K54" s="5"/>
      <c r="L54" s="5"/>
      <c r="M54" s="5"/>
      <c r="N54" s="5"/>
      <c r="O54" s="5"/>
      <c r="P54" s="5"/>
      <c r="Q54" s="5"/>
      <c r="R54" s="5"/>
      <c r="S54" s="5"/>
      <c r="T54" s="5"/>
      <c r="U54" s="5"/>
      <c r="V54" s="5"/>
      <c r="W54" s="5"/>
      <c r="X54" s="5"/>
      <c r="Y54" s="5"/>
      <c r="Z54" s="5"/>
    </row>
    <row r="55" ht="19.5" customHeight="1">
      <c r="A55" s="84" t="str">
        <f>IF(Roster!$A$53&lt;&gt;"",Roster!$A$53,"")</f>
        <v/>
      </c>
      <c r="B55" s="84" t="str">
        <f t="array" ref="B55">IF(A55&lt;&gt;"",IFERROR(SUMPRODUCT((INDEX(Attendance!$B$7:$AV$206,MATCH(A55,Attendance!$A$7:$A$206,0),0)=1)*Attendance!$B$4:$AV$4),0),"")</f>
        <v/>
      </c>
      <c r="C55" s="85" t="str">
        <f>IF(A55&lt;&gt;"",SUMIFS(Transactions!$F$7:$F$989,Transactions!$D$7:$D$989,"Income",Transactions!$E$7:$E$989,A55),"")</f>
        <v/>
      </c>
      <c r="D55" s="85" t="str">
        <f>IF(A55&lt;&gt;"",SUMIFS(Transactions!$F$7:$F$989,Transactions!$D$7:$D$989,"Expense",Transactions!$E$7:$E$989,A55),"")</f>
        <v/>
      </c>
      <c r="E55" s="82" t="str">
        <f t="shared" si="1"/>
        <v/>
      </c>
      <c r="F55" s="82" t="str">
        <f t="shared" si="2"/>
        <v/>
      </c>
      <c r="G55" s="86" t="str">
        <f>IF(A55&lt;&gt;"",SUMIFS(Transactions!$F$7:$F$989,Transactions!$D$7:$D$989,"Credit",Transactions!$H$7:$H$989,A55),"")</f>
        <v/>
      </c>
      <c r="H55" s="80"/>
      <c r="I55" s="5"/>
      <c r="J55" s="5"/>
      <c r="K55" s="5"/>
      <c r="L55" s="5"/>
      <c r="M55" s="5"/>
      <c r="N55" s="5"/>
      <c r="O55" s="5"/>
      <c r="P55" s="5"/>
      <c r="Q55" s="5"/>
      <c r="R55" s="5"/>
      <c r="S55" s="5"/>
      <c r="T55" s="5"/>
      <c r="U55" s="5"/>
      <c r="V55" s="5"/>
      <c r="W55" s="5"/>
      <c r="X55" s="5"/>
      <c r="Y55" s="5"/>
      <c r="Z55" s="5"/>
    </row>
    <row r="56" ht="19.5" customHeight="1">
      <c r="A56" s="87" t="str">
        <f>IF(Roster!$A$54&lt;&gt;"",Roster!$A$54,"")</f>
        <v/>
      </c>
      <c r="B56" s="87" t="str">
        <f t="array" ref="B56">IF(A56&lt;&gt;"",IFERROR(SUMPRODUCT((INDEX(Attendance!$B$7:$AV$206,MATCH(A56,Attendance!$A$7:$A$206,0),0)=1)*Attendance!$B$4:$AV$4),0),"")</f>
        <v/>
      </c>
      <c r="C56" s="88" t="str">
        <f>IF(A56&lt;&gt;"",SUMIFS(Transactions!$F$7:$F$989,Transactions!$D$7:$D$989,"Income",Transactions!$E$7:$E$989,A56),"")</f>
        <v/>
      </c>
      <c r="D56" s="88" t="str">
        <f>IF(A56&lt;&gt;"",SUMIFS(Transactions!$F$7:$F$989,Transactions!$D$7:$D$989,"Expense",Transactions!$E$7:$E$989,A56),"")</f>
        <v/>
      </c>
      <c r="E56" s="89" t="str">
        <f t="shared" si="1"/>
        <v/>
      </c>
      <c r="F56" s="89" t="str">
        <f t="shared" si="2"/>
        <v/>
      </c>
      <c r="G56" s="86" t="str">
        <f>IF(A56&lt;&gt;"",SUMIFS(Transactions!$F$7:$F$989,Transactions!$D$7:$D$989,"Credit",Transactions!$H$7:$H$989,A56),"")</f>
        <v/>
      </c>
      <c r="H56" s="80"/>
      <c r="I56" s="5"/>
      <c r="J56" s="5"/>
      <c r="K56" s="5"/>
      <c r="L56" s="5"/>
      <c r="M56" s="5"/>
      <c r="N56" s="5"/>
      <c r="O56" s="5"/>
      <c r="P56" s="5"/>
      <c r="Q56" s="5"/>
      <c r="R56" s="5"/>
      <c r="S56" s="5"/>
      <c r="T56" s="5"/>
      <c r="U56" s="5"/>
      <c r="V56" s="5"/>
      <c r="W56" s="5"/>
      <c r="X56" s="5"/>
      <c r="Y56" s="5"/>
      <c r="Z56" s="5"/>
    </row>
    <row r="57" ht="19.5" customHeight="1">
      <c r="A57" s="84" t="str">
        <f>IF(Roster!$A$55&lt;&gt;"",Roster!$A$55,"")</f>
        <v/>
      </c>
      <c r="B57" s="84" t="str">
        <f t="array" ref="B57">IF(A57&lt;&gt;"",IFERROR(SUMPRODUCT((INDEX(Attendance!$B$7:$AV$206,MATCH(A57,Attendance!$A$7:$A$206,0),0)=1)*Attendance!$B$4:$AV$4),0),"")</f>
        <v/>
      </c>
      <c r="C57" s="85" t="str">
        <f>IF(A57&lt;&gt;"",SUMIFS(Transactions!$F$7:$F$989,Transactions!$D$7:$D$989,"Income",Transactions!$E$7:$E$989,A57),"")</f>
        <v/>
      </c>
      <c r="D57" s="85" t="str">
        <f>IF(A57&lt;&gt;"",SUMIFS(Transactions!$F$7:$F$989,Transactions!$D$7:$D$989,"Expense",Transactions!$E$7:$E$989,A57),"")</f>
        <v/>
      </c>
      <c r="E57" s="82" t="str">
        <f t="shared" si="1"/>
        <v/>
      </c>
      <c r="F57" s="82" t="str">
        <f t="shared" si="2"/>
        <v/>
      </c>
      <c r="G57" s="86" t="str">
        <f>IF(A57&lt;&gt;"",SUMIFS(Transactions!$F$7:$F$989,Transactions!$D$7:$D$989,"Credit",Transactions!$H$7:$H$989,A57),"")</f>
        <v/>
      </c>
      <c r="H57" s="80"/>
      <c r="I57" s="5"/>
      <c r="J57" s="5"/>
      <c r="K57" s="5"/>
      <c r="L57" s="5"/>
      <c r="M57" s="5"/>
      <c r="N57" s="5"/>
      <c r="O57" s="5"/>
      <c r="P57" s="5"/>
      <c r="Q57" s="5"/>
      <c r="R57" s="5"/>
      <c r="S57" s="5"/>
      <c r="T57" s="5"/>
      <c r="U57" s="5"/>
      <c r="V57" s="5"/>
      <c r="W57" s="5"/>
      <c r="X57" s="5"/>
      <c r="Y57" s="5"/>
      <c r="Z57" s="5"/>
    </row>
    <row r="58" ht="19.5" customHeight="1">
      <c r="A58" s="87" t="str">
        <f>IF(Roster!$A$56&lt;&gt;"",Roster!$A$56,"")</f>
        <v/>
      </c>
      <c r="B58" s="87" t="str">
        <f t="array" ref="B58">IF(A58&lt;&gt;"",IFERROR(SUMPRODUCT((INDEX(Attendance!$B$7:$AV$206,MATCH(A58,Attendance!$A$7:$A$206,0),0)=1)*Attendance!$B$4:$AV$4),0),"")</f>
        <v/>
      </c>
      <c r="C58" s="88" t="str">
        <f>IF(A58&lt;&gt;"",SUMIFS(Transactions!$F$7:$F$989,Transactions!$D$7:$D$989,"Income",Transactions!$E$7:$E$989,A58),"")</f>
        <v/>
      </c>
      <c r="D58" s="88" t="str">
        <f>IF(A58&lt;&gt;"",SUMIFS(Transactions!$F$7:$F$989,Transactions!$D$7:$D$989,"Expense",Transactions!$E$7:$E$989,A58),"")</f>
        <v/>
      </c>
      <c r="E58" s="89" t="str">
        <f t="shared" si="1"/>
        <v/>
      </c>
      <c r="F58" s="89" t="str">
        <f t="shared" si="2"/>
        <v/>
      </c>
      <c r="G58" s="86" t="str">
        <f>IF(A58&lt;&gt;"",SUMIFS(Transactions!$F$7:$F$989,Transactions!$D$7:$D$989,"Credit",Transactions!$H$7:$H$989,A58),"")</f>
        <v/>
      </c>
      <c r="H58" s="80"/>
      <c r="I58" s="5"/>
      <c r="J58" s="5"/>
      <c r="K58" s="5"/>
      <c r="L58" s="5"/>
      <c r="M58" s="5"/>
      <c r="N58" s="5"/>
      <c r="O58" s="5"/>
      <c r="P58" s="5"/>
      <c r="Q58" s="5"/>
      <c r="R58" s="5"/>
      <c r="S58" s="5"/>
      <c r="T58" s="5"/>
      <c r="U58" s="5"/>
      <c r="V58" s="5"/>
      <c r="W58" s="5"/>
      <c r="X58" s="5"/>
      <c r="Y58" s="5"/>
      <c r="Z58" s="5"/>
    </row>
    <row r="59" ht="19.5" customHeight="1">
      <c r="A59" s="84" t="str">
        <f>IF(Roster!$A$57&lt;&gt;"",Roster!$A$57,"")</f>
        <v/>
      </c>
      <c r="B59" s="84" t="str">
        <f t="array" ref="B59">IF(A59&lt;&gt;"",IFERROR(SUMPRODUCT((INDEX(Attendance!$B$7:$AV$206,MATCH(A59,Attendance!$A$7:$A$206,0),0)=1)*Attendance!$B$4:$AV$4),0),"")</f>
        <v/>
      </c>
      <c r="C59" s="85" t="str">
        <f>IF(A59&lt;&gt;"",SUMIFS(Transactions!$F$7:$F$989,Transactions!$D$7:$D$989,"Income",Transactions!$E$7:$E$989,A59),"")</f>
        <v/>
      </c>
      <c r="D59" s="85" t="str">
        <f>IF(A59&lt;&gt;"",SUMIFS(Transactions!$F$7:$F$989,Transactions!$D$7:$D$989,"Expense",Transactions!$E$7:$E$989,A59),"")</f>
        <v/>
      </c>
      <c r="E59" s="82" t="str">
        <f t="shared" si="1"/>
        <v/>
      </c>
      <c r="F59" s="82" t="str">
        <f t="shared" si="2"/>
        <v/>
      </c>
      <c r="G59" s="86" t="str">
        <f>IF(A59&lt;&gt;"",SUMIFS(Transactions!$F$7:$F$989,Transactions!$D$7:$D$989,"Credit",Transactions!$H$7:$H$989,A59),"")</f>
        <v/>
      </c>
      <c r="H59" s="80"/>
      <c r="I59" s="5"/>
      <c r="J59" s="5"/>
      <c r="K59" s="5"/>
      <c r="L59" s="5"/>
      <c r="M59" s="5"/>
      <c r="N59" s="5"/>
      <c r="O59" s="5"/>
      <c r="P59" s="5"/>
      <c r="Q59" s="5"/>
      <c r="R59" s="5"/>
      <c r="S59" s="5"/>
      <c r="T59" s="5"/>
      <c r="U59" s="5"/>
      <c r="V59" s="5"/>
      <c r="W59" s="5"/>
      <c r="X59" s="5"/>
      <c r="Y59" s="5"/>
      <c r="Z59" s="5"/>
    </row>
    <row r="60" ht="19.5" customHeight="1">
      <c r="A60" s="87" t="str">
        <f>IF(Roster!$A$58&lt;&gt;"",Roster!$A$58,"")</f>
        <v/>
      </c>
      <c r="B60" s="87" t="str">
        <f t="array" ref="B60">IF(A60&lt;&gt;"",IFERROR(SUMPRODUCT((INDEX(Attendance!$B$7:$AV$206,MATCH(A60,Attendance!$A$7:$A$206,0),0)=1)*Attendance!$B$4:$AV$4),0),"")</f>
        <v/>
      </c>
      <c r="C60" s="88" t="str">
        <f>IF(A60&lt;&gt;"",SUMIFS(Transactions!$F$7:$F$989,Transactions!$D$7:$D$989,"Income",Transactions!$E$7:$E$989,A60),"")</f>
        <v/>
      </c>
      <c r="D60" s="88" t="str">
        <f>IF(A60&lt;&gt;"",SUMIFS(Transactions!$F$7:$F$989,Transactions!$D$7:$D$989,"Expense",Transactions!$E$7:$E$989,A60),"")</f>
        <v/>
      </c>
      <c r="E60" s="89" t="str">
        <f t="shared" si="1"/>
        <v/>
      </c>
      <c r="F60" s="89" t="str">
        <f t="shared" si="2"/>
        <v/>
      </c>
      <c r="G60" s="86" t="str">
        <f>IF(A60&lt;&gt;"",SUMIFS(Transactions!$F$7:$F$989,Transactions!$D$7:$D$989,"Credit",Transactions!$H$7:$H$989,A60),"")</f>
        <v/>
      </c>
      <c r="H60" s="80"/>
      <c r="I60" s="5"/>
      <c r="J60" s="5"/>
      <c r="K60" s="5"/>
      <c r="L60" s="5"/>
      <c r="M60" s="5"/>
      <c r="N60" s="5"/>
      <c r="O60" s="5"/>
      <c r="P60" s="5"/>
      <c r="Q60" s="5"/>
      <c r="R60" s="5"/>
      <c r="S60" s="5"/>
      <c r="T60" s="5"/>
      <c r="U60" s="5"/>
      <c r="V60" s="5"/>
      <c r="W60" s="5"/>
      <c r="X60" s="5"/>
      <c r="Y60" s="5"/>
      <c r="Z60" s="5"/>
    </row>
    <row r="61" ht="19.5" customHeight="1">
      <c r="A61" s="84" t="str">
        <f>IF(Roster!$A$59&lt;&gt;"",Roster!$A$59,"")</f>
        <v/>
      </c>
      <c r="B61" s="84" t="str">
        <f t="array" ref="B61">IF(A61&lt;&gt;"",IFERROR(SUMPRODUCT((INDEX(Attendance!$B$7:$AV$206,MATCH(A61,Attendance!$A$7:$A$206,0),0)=1)*Attendance!$B$4:$AV$4),0),"")</f>
        <v/>
      </c>
      <c r="C61" s="85" t="str">
        <f>IF(A61&lt;&gt;"",SUMIFS(Transactions!$F$7:$F$989,Transactions!$D$7:$D$989,"Income",Transactions!$E$7:$E$989,A61),"")</f>
        <v/>
      </c>
      <c r="D61" s="85" t="str">
        <f>IF(A61&lt;&gt;"",SUMIFS(Transactions!$F$7:$F$989,Transactions!$D$7:$D$989,"Expense",Transactions!$E$7:$E$989,A61),"")</f>
        <v/>
      </c>
      <c r="E61" s="82" t="str">
        <f t="shared" si="1"/>
        <v/>
      </c>
      <c r="F61" s="82" t="str">
        <f t="shared" si="2"/>
        <v/>
      </c>
      <c r="G61" s="86" t="str">
        <f>IF(A61&lt;&gt;"",SUMIFS(Transactions!$F$7:$F$989,Transactions!$D$7:$D$989,"Credit",Transactions!$H$7:$H$989,A61),"")</f>
        <v/>
      </c>
      <c r="H61" s="80"/>
      <c r="I61" s="5"/>
      <c r="J61" s="5"/>
      <c r="K61" s="5"/>
      <c r="L61" s="5"/>
      <c r="M61" s="5"/>
      <c r="N61" s="5"/>
      <c r="O61" s="5"/>
      <c r="P61" s="5"/>
      <c r="Q61" s="5"/>
      <c r="R61" s="5"/>
      <c r="S61" s="5"/>
      <c r="T61" s="5"/>
      <c r="U61" s="5"/>
      <c r="V61" s="5"/>
      <c r="W61" s="5"/>
      <c r="X61" s="5"/>
      <c r="Y61" s="5"/>
      <c r="Z61" s="5"/>
    </row>
    <row r="62" ht="19.5" customHeight="1">
      <c r="A62" s="87" t="str">
        <f>IF(Roster!$A$60&lt;&gt;"",Roster!$A$60,"")</f>
        <v/>
      </c>
      <c r="B62" s="87" t="str">
        <f t="array" ref="B62">IF(A62&lt;&gt;"",IFERROR(SUMPRODUCT((INDEX(Attendance!$B$7:$AV$206,MATCH(A62,Attendance!$A$7:$A$206,0),0)=1)*Attendance!$B$4:$AV$4),0),"")</f>
        <v/>
      </c>
      <c r="C62" s="88" t="str">
        <f>IF(A62&lt;&gt;"",SUMIFS(Transactions!$F$7:$F$989,Transactions!$D$7:$D$989,"Income",Transactions!$E$7:$E$989,A62),"")</f>
        <v/>
      </c>
      <c r="D62" s="88" t="str">
        <f>IF(A62&lt;&gt;"",SUMIFS(Transactions!$F$7:$F$989,Transactions!$D$7:$D$989,"Expense",Transactions!$E$7:$E$989,A62),"")</f>
        <v/>
      </c>
      <c r="E62" s="89" t="str">
        <f t="shared" si="1"/>
        <v/>
      </c>
      <c r="F62" s="89" t="str">
        <f t="shared" si="2"/>
        <v/>
      </c>
      <c r="G62" s="86" t="str">
        <f>IF(A62&lt;&gt;"",SUMIFS(Transactions!$F$7:$F$989,Transactions!$D$7:$D$989,"Credit",Transactions!$H$7:$H$989,A62),"")</f>
        <v/>
      </c>
      <c r="H62" s="80"/>
      <c r="I62" s="5"/>
      <c r="J62" s="5"/>
      <c r="K62" s="5"/>
      <c r="L62" s="5"/>
      <c r="M62" s="5"/>
      <c r="N62" s="5"/>
      <c r="O62" s="5"/>
      <c r="P62" s="5"/>
      <c r="Q62" s="5"/>
      <c r="R62" s="5"/>
      <c r="S62" s="5"/>
      <c r="T62" s="5"/>
      <c r="U62" s="5"/>
      <c r="V62" s="5"/>
      <c r="W62" s="5"/>
      <c r="X62" s="5"/>
      <c r="Y62" s="5"/>
      <c r="Z62" s="5"/>
    </row>
    <row r="63" ht="19.5" customHeight="1">
      <c r="A63" s="84" t="str">
        <f>IF(Roster!$A$61&lt;&gt;"",Roster!$A$61,"")</f>
        <v/>
      </c>
      <c r="B63" s="84" t="str">
        <f t="array" ref="B63">IF(A63&lt;&gt;"",IFERROR(SUMPRODUCT((INDEX(Attendance!$B$7:$AV$206,MATCH(A63,Attendance!$A$7:$A$206,0),0)=1)*Attendance!$B$4:$AV$4),0),"")</f>
        <v/>
      </c>
      <c r="C63" s="85" t="str">
        <f>IF(A63&lt;&gt;"",SUMIFS(Transactions!$F$7:$F$989,Transactions!$D$7:$D$989,"Income",Transactions!$E$7:$E$989,A63),"")</f>
        <v/>
      </c>
      <c r="D63" s="85" t="str">
        <f>IF(A63&lt;&gt;"",SUMIFS(Transactions!$F$7:$F$989,Transactions!$D$7:$D$989,"Expense",Transactions!$E$7:$E$989,A63),"")</f>
        <v/>
      </c>
      <c r="E63" s="82" t="str">
        <f t="shared" si="1"/>
        <v/>
      </c>
      <c r="F63" s="82" t="str">
        <f t="shared" si="2"/>
        <v/>
      </c>
      <c r="G63" s="86" t="str">
        <f>IF(A63&lt;&gt;"",SUMIFS(Transactions!$F$7:$F$989,Transactions!$D$7:$D$989,"Credit",Transactions!$H$7:$H$989,A63),"")</f>
        <v/>
      </c>
      <c r="H63" s="80"/>
      <c r="I63" s="5"/>
      <c r="J63" s="5"/>
      <c r="K63" s="5"/>
      <c r="L63" s="5"/>
      <c r="M63" s="5"/>
      <c r="N63" s="5"/>
      <c r="O63" s="5"/>
      <c r="P63" s="5"/>
      <c r="Q63" s="5"/>
      <c r="R63" s="5"/>
      <c r="S63" s="5"/>
      <c r="T63" s="5"/>
      <c r="U63" s="5"/>
      <c r="V63" s="5"/>
      <c r="W63" s="5"/>
      <c r="X63" s="5"/>
      <c r="Y63" s="5"/>
      <c r="Z63" s="5"/>
    </row>
    <row r="64" ht="19.5" customHeight="1">
      <c r="A64" s="87" t="str">
        <f>IF(Roster!$A$62&lt;&gt;"",Roster!$A$62,"")</f>
        <v/>
      </c>
      <c r="B64" s="87" t="str">
        <f t="array" ref="B64">IF(A64&lt;&gt;"",IFERROR(SUMPRODUCT((INDEX(Attendance!$B$7:$AV$206,MATCH(A64,Attendance!$A$7:$A$206,0),0)=1)*Attendance!$B$4:$AV$4),0),"")</f>
        <v/>
      </c>
      <c r="C64" s="88" t="str">
        <f>IF(A64&lt;&gt;"",SUMIFS(Transactions!$F$7:$F$989,Transactions!$D$7:$D$989,"Income",Transactions!$E$7:$E$989,A64),"")</f>
        <v/>
      </c>
      <c r="D64" s="88" t="str">
        <f>IF(A64&lt;&gt;"",SUMIFS(Transactions!$F$7:$F$989,Transactions!$D$7:$D$989,"Expense",Transactions!$E$7:$E$989,A64),"")</f>
        <v/>
      </c>
      <c r="E64" s="89" t="str">
        <f t="shared" si="1"/>
        <v/>
      </c>
      <c r="F64" s="89" t="str">
        <f t="shared" si="2"/>
        <v/>
      </c>
      <c r="G64" s="86" t="str">
        <f>IF(A64&lt;&gt;"",SUMIFS(Transactions!$F$7:$F$989,Transactions!$D$7:$D$989,"Credit",Transactions!$H$7:$H$989,A64),"")</f>
        <v/>
      </c>
      <c r="H64" s="80"/>
      <c r="I64" s="5"/>
      <c r="J64" s="5"/>
      <c r="K64" s="5"/>
      <c r="L64" s="5"/>
      <c r="M64" s="5"/>
      <c r="N64" s="5"/>
      <c r="O64" s="5"/>
      <c r="P64" s="5"/>
      <c r="Q64" s="5"/>
      <c r="R64" s="5"/>
      <c r="S64" s="5"/>
      <c r="T64" s="5"/>
      <c r="U64" s="5"/>
      <c r="V64" s="5"/>
      <c r="W64" s="5"/>
      <c r="X64" s="5"/>
      <c r="Y64" s="5"/>
      <c r="Z64" s="5"/>
    </row>
    <row r="65" ht="19.5" customHeight="1">
      <c r="A65" s="84" t="str">
        <f>IF(Roster!$A$63&lt;&gt;"",Roster!$A$63,"")</f>
        <v/>
      </c>
      <c r="B65" s="84" t="str">
        <f t="array" ref="B65">IF(A65&lt;&gt;"",IFERROR(SUMPRODUCT((INDEX(Attendance!$B$7:$AV$206,MATCH(A65,Attendance!$A$7:$A$206,0),0)=1)*Attendance!$B$4:$AV$4),0),"")</f>
        <v/>
      </c>
      <c r="C65" s="85" t="str">
        <f>IF(A65&lt;&gt;"",SUMIFS(Transactions!$F$7:$F$989,Transactions!$D$7:$D$989,"Income",Transactions!$E$7:$E$989,A65),"")</f>
        <v/>
      </c>
      <c r="D65" s="85" t="str">
        <f>IF(A65&lt;&gt;"",SUMIFS(Transactions!$F$7:$F$989,Transactions!$D$7:$D$989,"Expense",Transactions!$E$7:$E$989,A65),"")</f>
        <v/>
      </c>
      <c r="E65" s="82" t="str">
        <f t="shared" si="1"/>
        <v/>
      </c>
      <c r="F65" s="82" t="str">
        <f t="shared" si="2"/>
        <v/>
      </c>
      <c r="G65" s="86" t="str">
        <f>IF(A65&lt;&gt;"",SUMIFS(Transactions!$F$7:$F$989,Transactions!$D$7:$D$989,"Credit",Transactions!$H$7:$H$989,A65),"")</f>
        <v/>
      </c>
      <c r="H65" s="80"/>
      <c r="I65" s="5"/>
      <c r="J65" s="5"/>
      <c r="K65" s="5"/>
      <c r="L65" s="5"/>
      <c r="M65" s="5"/>
      <c r="N65" s="5"/>
      <c r="O65" s="5"/>
      <c r="P65" s="5"/>
      <c r="Q65" s="5"/>
      <c r="R65" s="5"/>
      <c r="S65" s="5"/>
      <c r="T65" s="5"/>
      <c r="U65" s="5"/>
      <c r="V65" s="5"/>
      <c r="W65" s="5"/>
      <c r="X65" s="5"/>
      <c r="Y65" s="5"/>
      <c r="Z65" s="5"/>
    </row>
    <row r="66" ht="19.5" customHeight="1">
      <c r="A66" s="87" t="str">
        <f>IF(Roster!$A$64&lt;&gt;"",Roster!$A$64,"")</f>
        <v/>
      </c>
      <c r="B66" s="87" t="str">
        <f t="array" ref="B66">IF(A66&lt;&gt;"",IFERROR(SUMPRODUCT((INDEX(Attendance!$B$7:$AV$206,MATCH(A66,Attendance!$A$7:$A$206,0),0)=1)*Attendance!$B$4:$AV$4),0),"")</f>
        <v/>
      </c>
      <c r="C66" s="88" t="str">
        <f>IF(A66&lt;&gt;"",SUMIFS(Transactions!$F$7:$F$989,Transactions!$D$7:$D$989,"Income",Transactions!$E$7:$E$989,A66),"")</f>
        <v/>
      </c>
      <c r="D66" s="88" t="str">
        <f>IF(A66&lt;&gt;"",SUMIFS(Transactions!$F$7:$F$989,Transactions!$D$7:$D$989,"Expense",Transactions!$E$7:$E$989,A66),"")</f>
        <v/>
      </c>
      <c r="E66" s="89" t="str">
        <f t="shared" si="1"/>
        <v/>
      </c>
      <c r="F66" s="89" t="str">
        <f t="shared" si="2"/>
        <v/>
      </c>
      <c r="G66" s="86" t="str">
        <f>IF(A66&lt;&gt;"",SUMIFS(Transactions!$F$7:$F$989,Transactions!$D$7:$D$989,"Credit",Transactions!$H$7:$H$989,A66),"")</f>
        <v/>
      </c>
      <c r="H66" s="80"/>
      <c r="I66" s="5"/>
      <c r="J66" s="5"/>
      <c r="K66" s="5"/>
      <c r="L66" s="5"/>
      <c r="M66" s="5"/>
      <c r="N66" s="5"/>
      <c r="O66" s="5"/>
      <c r="P66" s="5"/>
      <c r="Q66" s="5"/>
      <c r="R66" s="5"/>
      <c r="S66" s="5"/>
      <c r="T66" s="5"/>
      <c r="U66" s="5"/>
      <c r="V66" s="5"/>
      <c r="W66" s="5"/>
      <c r="X66" s="5"/>
      <c r="Y66" s="5"/>
      <c r="Z66" s="5"/>
    </row>
    <row r="67" ht="19.5" customHeight="1">
      <c r="A67" s="84" t="str">
        <f>IF(Roster!$A$65&lt;&gt;"",Roster!$A$65,"")</f>
        <v/>
      </c>
      <c r="B67" s="84" t="str">
        <f t="array" ref="B67">IF(A67&lt;&gt;"",IFERROR(SUMPRODUCT((INDEX(Attendance!$B$7:$AV$206,MATCH(A67,Attendance!$A$7:$A$206,0),0)=1)*Attendance!$B$4:$AV$4),0),"")</f>
        <v/>
      </c>
      <c r="C67" s="85" t="str">
        <f>IF(A67&lt;&gt;"",SUMIFS(Transactions!$F$7:$F$989,Transactions!$D$7:$D$989,"Income",Transactions!$E$7:$E$989,A67),"")</f>
        <v/>
      </c>
      <c r="D67" s="85" t="str">
        <f>IF(A67&lt;&gt;"",SUMIFS(Transactions!$F$7:$F$989,Transactions!$D$7:$D$989,"Expense",Transactions!$E$7:$E$989,A67),"")</f>
        <v/>
      </c>
      <c r="E67" s="82" t="str">
        <f t="shared" si="1"/>
        <v/>
      </c>
      <c r="F67" s="82" t="str">
        <f t="shared" si="2"/>
        <v/>
      </c>
      <c r="G67" s="86" t="str">
        <f>IF(A67&lt;&gt;"",SUMIFS(Transactions!$F$7:$F$989,Transactions!$D$7:$D$989,"Credit",Transactions!$H$7:$H$989,A67),"")</f>
        <v/>
      </c>
      <c r="H67" s="80"/>
      <c r="I67" s="5"/>
      <c r="J67" s="5"/>
      <c r="K67" s="5"/>
      <c r="L67" s="5"/>
      <c r="M67" s="5"/>
      <c r="N67" s="5"/>
      <c r="O67" s="5"/>
      <c r="P67" s="5"/>
      <c r="Q67" s="5"/>
      <c r="R67" s="5"/>
      <c r="S67" s="5"/>
      <c r="T67" s="5"/>
      <c r="U67" s="5"/>
      <c r="V67" s="5"/>
      <c r="W67" s="5"/>
      <c r="X67" s="5"/>
      <c r="Y67" s="5"/>
      <c r="Z67" s="5"/>
    </row>
    <row r="68" ht="19.5" customHeight="1">
      <c r="A68" s="87" t="str">
        <f>IF(Roster!$A$66&lt;&gt;"",Roster!$A$66,"")</f>
        <v/>
      </c>
      <c r="B68" s="87" t="str">
        <f t="array" ref="B68">IF(A68&lt;&gt;"",IFERROR(SUMPRODUCT((INDEX(Attendance!$B$7:$AV$206,MATCH(A68,Attendance!$A$7:$A$206,0),0)=1)*Attendance!$B$4:$AV$4),0),"")</f>
        <v/>
      </c>
      <c r="C68" s="88" t="str">
        <f>IF(A68&lt;&gt;"",SUMIFS(Transactions!$F$7:$F$989,Transactions!$D$7:$D$989,"Income",Transactions!$E$7:$E$989,A68),"")</f>
        <v/>
      </c>
      <c r="D68" s="88" t="str">
        <f>IF(A68&lt;&gt;"",SUMIFS(Transactions!$F$7:$F$989,Transactions!$D$7:$D$989,"Expense",Transactions!$E$7:$E$989,A68),"")</f>
        <v/>
      </c>
      <c r="E68" s="89" t="str">
        <f t="shared" si="1"/>
        <v/>
      </c>
      <c r="F68" s="89" t="str">
        <f t="shared" si="2"/>
        <v/>
      </c>
      <c r="G68" s="86" t="str">
        <f>IF(A68&lt;&gt;"",SUMIFS(Transactions!$F$7:$F$989,Transactions!$D$7:$D$989,"Credit",Transactions!$H$7:$H$989,A68),"")</f>
        <v/>
      </c>
      <c r="H68" s="80"/>
      <c r="I68" s="5"/>
      <c r="J68" s="5"/>
      <c r="K68" s="5"/>
      <c r="L68" s="5"/>
      <c r="M68" s="5"/>
      <c r="N68" s="5"/>
      <c r="O68" s="5"/>
      <c r="P68" s="5"/>
      <c r="Q68" s="5"/>
      <c r="R68" s="5"/>
      <c r="S68" s="5"/>
      <c r="T68" s="5"/>
      <c r="U68" s="5"/>
      <c r="V68" s="5"/>
      <c r="W68" s="5"/>
      <c r="X68" s="5"/>
      <c r="Y68" s="5"/>
      <c r="Z68" s="5"/>
    </row>
    <row r="69" ht="19.5" customHeight="1">
      <c r="A69" s="84" t="str">
        <f>IF(Roster!$A$67&lt;&gt;"",Roster!$A$67,"")</f>
        <v/>
      </c>
      <c r="B69" s="84" t="str">
        <f t="array" ref="B69">IF(A69&lt;&gt;"",IFERROR(SUMPRODUCT((INDEX(Attendance!$B$7:$AV$206,MATCH(A69,Attendance!$A$7:$A$206,0),0)=1)*Attendance!$B$4:$AV$4),0),"")</f>
        <v/>
      </c>
      <c r="C69" s="85" t="str">
        <f>IF(A69&lt;&gt;"",SUMIFS(Transactions!$F$7:$F$989,Transactions!$D$7:$D$989,"Income",Transactions!$E$7:$E$989,A69),"")</f>
        <v/>
      </c>
      <c r="D69" s="85" t="str">
        <f>IF(A69&lt;&gt;"",SUMIFS(Transactions!$F$7:$F$989,Transactions!$D$7:$D$989,"Expense",Transactions!$E$7:$E$989,A69),"")</f>
        <v/>
      </c>
      <c r="E69" s="82" t="str">
        <f t="shared" si="1"/>
        <v/>
      </c>
      <c r="F69" s="82" t="str">
        <f t="shared" si="2"/>
        <v/>
      </c>
      <c r="G69" s="86" t="str">
        <f>IF(A69&lt;&gt;"",SUMIFS(Transactions!$F$7:$F$989,Transactions!$D$7:$D$989,"Credit",Transactions!$H$7:$H$989,A69),"")</f>
        <v/>
      </c>
      <c r="H69" s="80"/>
      <c r="I69" s="5"/>
      <c r="J69" s="5"/>
      <c r="K69" s="5"/>
      <c r="L69" s="5"/>
      <c r="M69" s="5"/>
      <c r="N69" s="5"/>
      <c r="O69" s="5"/>
      <c r="P69" s="5"/>
      <c r="Q69" s="5"/>
      <c r="R69" s="5"/>
      <c r="S69" s="5"/>
      <c r="T69" s="5"/>
      <c r="U69" s="5"/>
      <c r="V69" s="5"/>
      <c r="W69" s="5"/>
      <c r="X69" s="5"/>
      <c r="Y69" s="5"/>
      <c r="Z69" s="5"/>
    </row>
    <row r="70" ht="19.5" customHeight="1">
      <c r="A70" s="87" t="str">
        <f>IF(Roster!$A$68&lt;&gt;"",Roster!$A$68,"")</f>
        <v/>
      </c>
      <c r="B70" s="87" t="str">
        <f t="array" ref="B70">IF(A70&lt;&gt;"",IFERROR(SUMPRODUCT((INDEX(Attendance!$B$7:$AV$206,MATCH(A70,Attendance!$A$7:$A$206,0),0)=1)*Attendance!$B$4:$AV$4),0),"")</f>
        <v/>
      </c>
      <c r="C70" s="88" t="str">
        <f>IF(A70&lt;&gt;"",SUMIFS(Transactions!$F$7:$F$989,Transactions!$D$7:$D$989,"Income",Transactions!$E$7:$E$989,A70),"")</f>
        <v/>
      </c>
      <c r="D70" s="88" t="str">
        <f>IF(A70&lt;&gt;"",SUMIFS(Transactions!$F$7:$F$989,Transactions!$D$7:$D$989,"Expense",Transactions!$E$7:$E$989,A70),"")</f>
        <v/>
      </c>
      <c r="E70" s="89" t="str">
        <f t="shared" si="1"/>
        <v/>
      </c>
      <c r="F70" s="89" t="str">
        <f t="shared" si="2"/>
        <v/>
      </c>
      <c r="G70" s="86" t="str">
        <f>IF(A70&lt;&gt;"",SUMIFS(Transactions!$F$7:$F$989,Transactions!$D$7:$D$989,"Credit",Transactions!$H$7:$H$989,A70),"")</f>
        <v/>
      </c>
      <c r="H70" s="80"/>
      <c r="I70" s="5"/>
      <c r="J70" s="5"/>
      <c r="K70" s="5"/>
      <c r="L70" s="5"/>
      <c r="M70" s="5"/>
      <c r="N70" s="5"/>
      <c r="O70" s="5"/>
      <c r="P70" s="5"/>
      <c r="Q70" s="5"/>
      <c r="R70" s="5"/>
      <c r="S70" s="5"/>
      <c r="T70" s="5"/>
      <c r="U70" s="5"/>
      <c r="V70" s="5"/>
      <c r="W70" s="5"/>
      <c r="X70" s="5"/>
      <c r="Y70" s="5"/>
      <c r="Z70" s="5"/>
    </row>
    <row r="71" ht="19.5" customHeight="1">
      <c r="A71" s="84" t="str">
        <f>IF(Roster!$A$69&lt;&gt;"",Roster!$A$69,"")</f>
        <v/>
      </c>
      <c r="B71" s="84" t="str">
        <f t="array" ref="B71">IF(A71&lt;&gt;"",IFERROR(SUMPRODUCT((INDEX(Attendance!$B$7:$AV$206,MATCH(A71,Attendance!$A$7:$A$206,0),0)=1)*Attendance!$B$4:$AV$4),0),"")</f>
        <v/>
      </c>
      <c r="C71" s="85" t="str">
        <f>IF(A71&lt;&gt;"",SUMIFS(Transactions!$F$7:$F$989,Transactions!$D$7:$D$989,"Income",Transactions!$E$7:$E$989,A71),"")</f>
        <v/>
      </c>
      <c r="D71" s="85" t="str">
        <f>IF(A71&lt;&gt;"",SUMIFS(Transactions!$F$7:$F$989,Transactions!$D$7:$D$989,"Expense",Transactions!$E$7:$E$989,A71),"")</f>
        <v/>
      </c>
      <c r="E71" s="82" t="str">
        <f t="shared" si="1"/>
        <v/>
      </c>
      <c r="F71" s="82" t="str">
        <f t="shared" si="2"/>
        <v/>
      </c>
      <c r="G71" s="86" t="str">
        <f>IF(A71&lt;&gt;"",SUMIFS(Transactions!$F$7:$F$989,Transactions!$D$7:$D$989,"Credit",Transactions!$H$7:$H$989,A71),"")</f>
        <v/>
      </c>
      <c r="H71" s="80"/>
      <c r="I71" s="5"/>
      <c r="J71" s="5"/>
      <c r="K71" s="5"/>
      <c r="L71" s="5"/>
      <c r="M71" s="5"/>
      <c r="N71" s="5"/>
      <c r="O71" s="5"/>
      <c r="P71" s="5"/>
      <c r="Q71" s="5"/>
      <c r="R71" s="5"/>
      <c r="S71" s="5"/>
      <c r="T71" s="5"/>
      <c r="U71" s="5"/>
      <c r="V71" s="5"/>
      <c r="W71" s="5"/>
      <c r="X71" s="5"/>
      <c r="Y71" s="5"/>
      <c r="Z71" s="5"/>
    </row>
    <row r="72" ht="19.5" customHeight="1">
      <c r="A72" s="87" t="str">
        <f>IF(Roster!$A$70&lt;&gt;"",Roster!$A$70,"")</f>
        <v/>
      </c>
      <c r="B72" s="87" t="str">
        <f t="array" ref="B72">IF(A72&lt;&gt;"",IFERROR(SUMPRODUCT((INDEX(Attendance!$B$7:$AV$206,MATCH(A72,Attendance!$A$7:$A$206,0),0)=1)*Attendance!$B$4:$AV$4),0),"")</f>
        <v/>
      </c>
      <c r="C72" s="88" t="str">
        <f>IF(A72&lt;&gt;"",SUMIFS(Transactions!$F$7:$F$989,Transactions!$D$7:$D$989,"Income",Transactions!$E$7:$E$989,A72),"")</f>
        <v/>
      </c>
      <c r="D72" s="88" t="str">
        <f>IF(A72&lt;&gt;"",SUMIFS(Transactions!$F$7:$F$989,Transactions!$D$7:$D$989,"Expense",Transactions!$E$7:$E$989,A72),"")</f>
        <v/>
      </c>
      <c r="E72" s="89" t="str">
        <f t="shared" si="1"/>
        <v/>
      </c>
      <c r="F72" s="89" t="str">
        <f t="shared" si="2"/>
        <v/>
      </c>
      <c r="G72" s="86" t="str">
        <f>IF(A72&lt;&gt;"",SUMIFS(Transactions!$F$7:$F$989,Transactions!$D$7:$D$989,"Credit",Transactions!$H$7:$H$989,A72),"")</f>
        <v/>
      </c>
      <c r="H72" s="80"/>
      <c r="I72" s="5"/>
      <c r="J72" s="5"/>
      <c r="K72" s="5"/>
      <c r="L72" s="5"/>
      <c r="M72" s="5"/>
      <c r="N72" s="5"/>
      <c r="O72" s="5"/>
      <c r="P72" s="5"/>
      <c r="Q72" s="5"/>
      <c r="R72" s="5"/>
      <c r="S72" s="5"/>
      <c r="T72" s="5"/>
      <c r="U72" s="5"/>
      <c r="V72" s="5"/>
      <c r="W72" s="5"/>
      <c r="X72" s="5"/>
      <c r="Y72" s="5"/>
      <c r="Z72" s="5"/>
    </row>
    <row r="73" ht="19.5" customHeight="1">
      <c r="A73" s="84" t="str">
        <f>IF(Roster!$A$71&lt;&gt;"",Roster!$A$71,"")</f>
        <v/>
      </c>
      <c r="B73" s="84" t="str">
        <f t="array" ref="B73">IF(A73&lt;&gt;"",IFERROR(SUMPRODUCT((INDEX(Attendance!$B$7:$AV$206,MATCH(A73,Attendance!$A$7:$A$206,0),0)=1)*Attendance!$B$4:$AV$4),0),"")</f>
        <v/>
      </c>
      <c r="C73" s="85" t="str">
        <f>IF(A73&lt;&gt;"",SUMIFS(Transactions!$F$7:$F$989,Transactions!$D$7:$D$989,"Income",Transactions!$E$7:$E$989,A73),"")</f>
        <v/>
      </c>
      <c r="D73" s="85" t="str">
        <f>IF(A73&lt;&gt;"",SUMIFS(Transactions!$F$7:$F$989,Transactions!$D$7:$D$989,"Expense",Transactions!$E$7:$E$989,A73),"")</f>
        <v/>
      </c>
      <c r="E73" s="82" t="str">
        <f t="shared" si="1"/>
        <v/>
      </c>
      <c r="F73" s="82" t="str">
        <f t="shared" si="2"/>
        <v/>
      </c>
      <c r="G73" s="86" t="str">
        <f>IF(A73&lt;&gt;"",SUMIFS(Transactions!$F$7:$F$989,Transactions!$D$7:$D$989,"Credit",Transactions!$H$7:$H$989,A73),"")</f>
        <v/>
      </c>
      <c r="H73" s="80"/>
      <c r="I73" s="5"/>
      <c r="J73" s="5"/>
      <c r="K73" s="5"/>
      <c r="L73" s="5"/>
      <c r="M73" s="5"/>
      <c r="N73" s="5"/>
      <c r="O73" s="5"/>
      <c r="P73" s="5"/>
      <c r="Q73" s="5"/>
      <c r="R73" s="5"/>
      <c r="S73" s="5"/>
      <c r="T73" s="5"/>
      <c r="U73" s="5"/>
      <c r="V73" s="5"/>
      <c r="W73" s="5"/>
      <c r="X73" s="5"/>
      <c r="Y73" s="5"/>
      <c r="Z73" s="5"/>
    </row>
    <row r="74" ht="19.5" customHeight="1">
      <c r="A74" s="87" t="str">
        <f>IF(Roster!$A$72&lt;&gt;"",Roster!$A$72,"")</f>
        <v/>
      </c>
      <c r="B74" s="87" t="str">
        <f t="array" ref="B74">IF(A74&lt;&gt;"",IFERROR(SUMPRODUCT((INDEX(Attendance!$B$7:$AV$206,MATCH(A74,Attendance!$A$7:$A$206,0),0)=1)*Attendance!$B$4:$AV$4),0),"")</f>
        <v/>
      </c>
      <c r="C74" s="88" t="str">
        <f>IF(A74&lt;&gt;"",SUMIFS(Transactions!$F$7:$F$989,Transactions!$D$7:$D$989,"Income",Transactions!$E$7:$E$989,A74),"")</f>
        <v/>
      </c>
      <c r="D74" s="88" t="str">
        <f>IF(A74&lt;&gt;"",SUMIFS(Transactions!$F$7:$F$989,Transactions!$D$7:$D$989,"Expense",Transactions!$E$7:$E$989,A74),"")</f>
        <v/>
      </c>
      <c r="E74" s="89" t="str">
        <f t="shared" si="1"/>
        <v/>
      </c>
      <c r="F74" s="89" t="str">
        <f t="shared" si="2"/>
        <v/>
      </c>
      <c r="G74" s="86" t="str">
        <f>IF(A74&lt;&gt;"",SUMIFS(Transactions!$F$7:$F$989,Transactions!$D$7:$D$989,"Credit",Transactions!$H$7:$H$989,A74),"")</f>
        <v/>
      </c>
      <c r="H74" s="80"/>
      <c r="I74" s="5"/>
      <c r="J74" s="5"/>
      <c r="K74" s="5"/>
      <c r="L74" s="5"/>
      <c r="M74" s="5"/>
      <c r="N74" s="5"/>
      <c r="O74" s="5"/>
      <c r="P74" s="5"/>
      <c r="Q74" s="5"/>
      <c r="R74" s="5"/>
      <c r="S74" s="5"/>
      <c r="T74" s="5"/>
      <c r="U74" s="5"/>
      <c r="V74" s="5"/>
      <c r="W74" s="5"/>
      <c r="X74" s="5"/>
      <c r="Y74" s="5"/>
      <c r="Z74" s="5"/>
    </row>
    <row r="75" ht="19.5" customHeight="1">
      <c r="A75" s="84" t="str">
        <f>IF(Roster!$A$73&lt;&gt;"",Roster!$A$73,"")</f>
        <v/>
      </c>
      <c r="B75" s="84" t="str">
        <f t="array" ref="B75">IF(A75&lt;&gt;"",IFERROR(SUMPRODUCT((INDEX(Attendance!$B$7:$AV$206,MATCH(A75,Attendance!$A$7:$A$206,0),0)=1)*Attendance!$B$4:$AV$4),0),"")</f>
        <v/>
      </c>
      <c r="C75" s="85" t="str">
        <f>IF(A75&lt;&gt;"",SUMIFS(Transactions!$F$7:$F$989,Transactions!$D$7:$D$989,"Income",Transactions!$E$7:$E$989,A75),"")</f>
        <v/>
      </c>
      <c r="D75" s="85" t="str">
        <f>IF(A75&lt;&gt;"",SUMIFS(Transactions!$F$7:$F$989,Transactions!$D$7:$D$989,"Expense",Transactions!$E$7:$E$989,A75),"")</f>
        <v/>
      </c>
      <c r="E75" s="82" t="str">
        <f t="shared" si="1"/>
        <v/>
      </c>
      <c r="F75" s="82" t="str">
        <f t="shared" si="2"/>
        <v/>
      </c>
      <c r="G75" s="86" t="str">
        <f>IF(A75&lt;&gt;"",SUMIFS(Transactions!$F$7:$F$989,Transactions!$D$7:$D$989,"Credit",Transactions!$H$7:$H$989,A75),"")</f>
        <v/>
      </c>
      <c r="H75" s="80"/>
      <c r="I75" s="5"/>
      <c r="J75" s="5"/>
      <c r="K75" s="5"/>
      <c r="L75" s="5"/>
      <c r="M75" s="5"/>
      <c r="N75" s="5"/>
      <c r="O75" s="5"/>
      <c r="P75" s="5"/>
      <c r="Q75" s="5"/>
      <c r="R75" s="5"/>
      <c r="S75" s="5"/>
      <c r="T75" s="5"/>
      <c r="U75" s="5"/>
      <c r="V75" s="5"/>
      <c r="W75" s="5"/>
      <c r="X75" s="5"/>
      <c r="Y75" s="5"/>
      <c r="Z75" s="5"/>
    </row>
    <row r="76" ht="19.5" customHeight="1">
      <c r="A76" s="87" t="str">
        <f>IF(Roster!$A$74&lt;&gt;"",Roster!$A$74,"")</f>
        <v/>
      </c>
      <c r="B76" s="87" t="str">
        <f t="array" ref="B76">IF(A76&lt;&gt;"",IFERROR(SUMPRODUCT((INDEX(Attendance!$B$7:$AV$206,MATCH(A76,Attendance!$A$7:$A$206,0),0)=1)*Attendance!$B$4:$AV$4),0),"")</f>
        <v/>
      </c>
      <c r="C76" s="88" t="str">
        <f>IF(A76&lt;&gt;"",SUMIFS(Transactions!$F$7:$F$989,Transactions!$D$7:$D$989,"Income",Transactions!$E$7:$E$989,A76),"")</f>
        <v/>
      </c>
      <c r="D76" s="88" t="str">
        <f>IF(A76&lt;&gt;"",SUMIFS(Transactions!$F$7:$F$989,Transactions!$D$7:$D$989,"Expense",Transactions!$E$7:$E$989,A76),"")</f>
        <v/>
      </c>
      <c r="E76" s="89" t="str">
        <f t="shared" si="1"/>
        <v/>
      </c>
      <c r="F76" s="89" t="str">
        <f t="shared" si="2"/>
        <v/>
      </c>
      <c r="G76" s="86" t="str">
        <f>IF(A76&lt;&gt;"",SUMIFS(Transactions!$F$7:$F$989,Transactions!$D$7:$D$989,"Credit",Transactions!$H$7:$H$989,A76),"")</f>
        <v/>
      </c>
      <c r="H76" s="80"/>
      <c r="I76" s="5"/>
      <c r="J76" s="5"/>
      <c r="K76" s="5"/>
      <c r="L76" s="5"/>
      <c r="M76" s="5"/>
      <c r="N76" s="5"/>
      <c r="O76" s="5"/>
      <c r="P76" s="5"/>
      <c r="Q76" s="5"/>
      <c r="R76" s="5"/>
      <c r="S76" s="5"/>
      <c r="T76" s="5"/>
      <c r="U76" s="5"/>
      <c r="V76" s="5"/>
      <c r="W76" s="5"/>
      <c r="X76" s="5"/>
      <c r="Y76" s="5"/>
      <c r="Z76" s="5"/>
    </row>
    <row r="77" ht="19.5" customHeight="1">
      <c r="A77" s="84" t="str">
        <f>IF(Roster!$A$75&lt;&gt;"",Roster!$A$75,"")</f>
        <v/>
      </c>
      <c r="B77" s="84" t="str">
        <f t="array" ref="B77">IF(A77&lt;&gt;"",IFERROR(SUMPRODUCT((INDEX(Attendance!$B$7:$AV$206,MATCH(A77,Attendance!$A$7:$A$206,0),0)=1)*Attendance!$B$4:$AV$4),0),"")</f>
        <v/>
      </c>
      <c r="C77" s="85" t="str">
        <f>IF(A77&lt;&gt;"",SUMIFS(Transactions!$F$7:$F$989,Transactions!$D$7:$D$989,"Income",Transactions!$E$7:$E$989,A77),"")</f>
        <v/>
      </c>
      <c r="D77" s="85" t="str">
        <f>IF(A77&lt;&gt;"",SUMIFS(Transactions!$F$7:$F$989,Transactions!$D$7:$D$989,"Expense",Transactions!$E$7:$E$989,A77),"")</f>
        <v/>
      </c>
      <c r="E77" s="82" t="str">
        <f t="shared" si="1"/>
        <v/>
      </c>
      <c r="F77" s="82" t="str">
        <f t="shared" si="2"/>
        <v/>
      </c>
      <c r="G77" s="86" t="str">
        <f>IF(A77&lt;&gt;"",SUMIFS(Transactions!$F$7:$F$989,Transactions!$D$7:$D$989,"Credit",Transactions!$H$7:$H$989,A77),"")</f>
        <v/>
      </c>
      <c r="H77" s="80"/>
      <c r="I77" s="5"/>
      <c r="J77" s="5"/>
      <c r="K77" s="5"/>
      <c r="L77" s="5"/>
      <c r="M77" s="5"/>
      <c r="N77" s="5"/>
      <c r="O77" s="5"/>
      <c r="P77" s="5"/>
      <c r="Q77" s="5"/>
      <c r="R77" s="5"/>
      <c r="S77" s="5"/>
      <c r="T77" s="5"/>
      <c r="U77" s="5"/>
      <c r="V77" s="5"/>
      <c r="W77" s="5"/>
      <c r="X77" s="5"/>
      <c r="Y77" s="5"/>
      <c r="Z77" s="5"/>
    </row>
    <row r="78" ht="19.5" customHeight="1">
      <c r="A78" s="87" t="str">
        <f>IF(Roster!$A$76&lt;&gt;"",Roster!$A$76,"")</f>
        <v/>
      </c>
      <c r="B78" s="87" t="str">
        <f t="array" ref="B78">IF(A78&lt;&gt;"",IFERROR(SUMPRODUCT((INDEX(Attendance!$B$7:$AV$206,MATCH(A78,Attendance!$A$7:$A$206,0),0)=1)*Attendance!$B$4:$AV$4),0),"")</f>
        <v/>
      </c>
      <c r="C78" s="88" t="str">
        <f>IF(A78&lt;&gt;"",SUMIFS(Transactions!$F$7:$F$989,Transactions!$D$7:$D$989,"Income",Transactions!$E$7:$E$989,A78),"")</f>
        <v/>
      </c>
      <c r="D78" s="88" t="str">
        <f>IF(A78&lt;&gt;"",SUMIFS(Transactions!$F$7:$F$989,Transactions!$D$7:$D$989,"Expense",Transactions!$E$7:$E$989,A78),"")</f>
        <v/>
      </c>
      <c r="E78" s="89" t="str">
        <f t="shared" si="1"/>
        <v/>
      </c>
      <c r="F78" s="89" t="str">
        <f t="shared" si="2"/>
        <v/>
      </c>
      <c r="G78" s="86" t="str">
        <f>IF(A78&lt;&gt;"",SUMIFS(Transactions!$F$7:$F$989,Transactions!$D$7:$D$989,"Credit",Transactions!$H$7:$H$989,A78),"")</f>
        <v/>
      </c>
      <c r="H78" s="80"/>
      <c r="I78" s="5"/>
      <c r="J78" s="5"/>
      <c r="K78" s="5"/>
      <c r="L78" s="5"/>
      <c r="M78" s="5"/>
      <c r="N78" s="5"/>
      <c r="O78" s="5"/>
      <c r="P78" s="5"/>
      <c r="Q78" s="5"/>
      <c r="R78" s="5"/>
      <c r="S78" s="5"/>
      <c r="T78" s="5"/>
      <c r="U78" s="5"/>
      <c r="V78" s="5"/>
      <c r="W78" s="5"/>
      <c r="X78" s="5"/>
      <c r="Y78" s="5"/>
      <c r="Z78" s="5"/>
    </row>
    <row r="79" ht="19.5" customHeight="1">
      <c r="A79" s="84" t="str">
        <f>IF(Roster!$A$77&lt;&gt;"",Roster!$A$77,"")</f>
        <v/>
      </c>
      <c r="B79" s="84" t="str">
        <f t="array" ref="B79">IF(A79&lt;&gt;"",IFERROR(SUMPRODUCT((INDEX(Attendance!$B$7:$AV$206,MATCH(A79,Attendance!$A$7:$A$206,0),0)=1)*Attendance!$B$4:$AV$4),0),"")</f>
        <v/>
      </c>
      <c r="C79" s="85" t="str">
        <f>IF(A79&lt;&gt;"",SUMIFS(Transactions!$F$7:$F$989,Transactions!$D$7:$D$989,"Income",Transactions!$E$7:$E$989,A79),"")</f>
        <v/>
      </c>
      <c r="D79" s="85" t="str">
        <f>IF(A79&lt;&gt;"",SUMIFS(Transactions!$F$7:$F$989,Transactions!$D$7:$D$989,"Expense",Transactions!$E$7:$E$989,A79),"")</f>
        <v/>
      </c>
      <c r="E79" s="82" t="str">
        <f t="shared" si="1"/>
        <v/>
      </c>
      <c r="F79" s="82" t="str">
        <f t="shared" si="2"/>
        <v/>
      </c>
      <c r="G79" s="86" t="str">
        <f>IF(A79&lt;&gt;"",SUMIFS(Transactions!$F$7:$F$989,Transactions!$D$7:$D$989,"Credit",Transactions!$H$7:$H$989,A79),"")</f>
        <v/>
      </c>
      <c r="H79" s="80"/>
      <c r="I79" s="5"/>
      <c r="J79" s="5"/>
      <c r="K79" s="5"/>
      <c r="L79" s="5"/>
      <c r="M79" s="5"/>
      <c r="N79" s="5"/>
      <c r="O79" s="5"/>
      <c r="P79" s="5"/>
      <c r="Q79" s="5"/>
      <c r="R79" s="5"/>
      <c r="S79" s="5"/>
      <c r="T79" s="5"/>
      <c r="U79" s="5"/>
      <c r="V79" s="5"/>
      <c r="W79" s="5"/>
      <c r="X79" s="5"/>
      <c r="Y79" s="5"/>
      <c r="Z79" s="5"/>
    </row>
    <row r="80" ht="19.5" customHeight="1">
      <c r="A80" s="87" t="str">
        <f>IF(Roster!$A$78&lt;&gt;"",Roster!$A$78,"")</f>
        <v/>
      </c>
      <c r="B80" s="87" t="str">
        <f t="array" ref="B80">IF(A80&lt;&gt;"",IFERROR(SUMPRODUCT((INDEX(Attendance!$B$7:$AV$206,MATCH(A80,Attendance!$A$7:$A$206,0),0)=1)*Attendance!$B$4:$AV$4),0),"")</f>
        <v/>
      </c>
      <c r="C80" s="88" t="str">
        <f>IF(A80&lt;&gt;"",SUMIFS(Transactions!$F$7:$F$989,Transactions!$D$7:$D$989,"Income",Transactions!$E$7:$E$989,A80),"")</f>
        <v/>
      </c>
      <c r="D80" s="88" t="str">
        <f>IF(A80&lt;&gt;"",SUMIFS(Transactions!$F$7:$F$989,Transactions!$D$7:$D$989,"Expense",Transactions!$E$7:$E$989,A80),"")</f>
        <v/>
      </c>
      <c r="E80" s="89" t="str">
        <f t="shared" si="1"/>
        <v/>
      </c>
      <c r="F80" s="89" t="str">
        <f t="shared" si="2"/>
        <v/>
      </c>
      <c r="G80" s="86" t="str">
        <f>IF(A80&lt;&gt;"",SUMIFS(Transactions!$F$7:$F$989,Transactions!$D$7:$D$989,"Credit",Transactions!$H$7:$H$989,A80),"")</f>
        <v/>
      </c>
      <c r="H80" s="80"/>
      <c r="I80" s="5"/>
      <c r="J80" s="5"/>
      <c r="K80" s="5"/>
      <c r="L80" s="5"/>
      <c r="M80" s="5"/>
      <c r="N80" s="5"/>
      <c r="O80" s="5"/>
      <c r="P80" s="5"/>
      <c r="Q80" s="5"/>
      <c r="R80" s="5"/>
      <c r="S80" s="5"/>
      <c r="T80" s="5"/>
      <c r="U80" s="5"/>
      <c r="V80" s="5"/>
      <c r="W80" s="5"/>
      <c r="X80" s="5"/>
      <c r="Y80" s="5"/>
      <c r="Z80" s="5"/>
    </row>
    <row r="81" ht="19.5" customHeight="1">
      <c r="A81" s="84" t="str">
        <f>IF(Roster!$A$79&lt;&gt;"",Roster!$A$79,"")</f>
        <v/>
      </c>
      <c r="B81" s="84" t="str">
        <f t="array" ref="B81">IF(A81&lt;&gt;"",IFERROR(SUMPRODUCT((INDEX(Attendance!$B$7:$AV$206,MATCH(A81,Attendance!$A$7:$A$206,0),0)=1)*Attendance!$B$4:$AV$4),0),"")</f>
        <v/>
      </c>
      <c r="C81" s="85" t="str">
        <f>IF(A81&lt;&gt;"",SUMIFS(Transactions!$F$7:$F$989,Transactions!$D$7:$D$989,"Income",Transactions!$E$7:$E$989,A81),"")</f>
        <v/>
      </c>
      <c r="D81" s="85" t="str">
        <f>IF(A81&lt;&gt;"",SUMIFS(Transactions!$F$7:$F$989,Transactions!$D$7:$D$989,"Expense",Transactions!$E$7:$E$989,A81),"")</f>
        <v/>
      </c>
      <c r="E81" s="82" t="str">
        <f t="shared" si="1"/>
        <v/>
      </c>
      <c r="F81" s="82" t="str">
        <f t="shared" si="2"/>
        <v/>
      </c>
      <c r="G81" s="86" t="str">
        <f>IF(A81&lt;&gt;"",SUMIFS(Transactions!$F$7:$F$989,Transactions!$D$7:$D$989,"Credit",Transactions!$H$7:$H$989,A81),"")</f>
        <v/>
      </c>
      <c r="H81" s="80"/>
      <c r="I81" s="5"/>
      <c r="J81" s="5"/>
      <c r="K81" s="5"/>
      <c r="L81" s="5"/>
      <c r="M81" s="5"/>
      <c r="N81" s="5"/>
      <c r="O81" s="5"/>
      <c r="P81" s="5"/>
      <c r="Q81" s="5"/>
      <c r="R81" s="5"/>
      <c r="S81" s="5"/>
      <c r="T81" s="5"/>
      <c r="U81" s="5"/>
      <c r="V81" s="5"/>
      <c r="W81" s="5"/>
      <c r="X81" s="5"/>
      <c r="Y81" s="5"/>
      <c r="Z81" s="5"/>
    </row>
    <row r="82" ht="19.5" customHeight="1">
      <c r="A82" s="87" t="str">
        <f>IF(Roster!$A$80&lt;&gt;"",Roster!$A$80,"")</f>
        <v/>
      </c>
      <c r="B82" s="87" t="str">
        <f t="array" ref="B82">IF(A82&lt;&gt;"",IFERROR(SUMPRODUCT((INDEX(Attendance!$B$7:$AV$206,MATCH(A82,Attendance!$A$7:$A$206,0),0)=1)*Attendance!$B$4:$AV$4),0),"")</f>
        <v/>
      </c>
      <c r="C82" s="88" t="str">
        <f>IF(A82&lt;&gt;"",SUMIFS(Transactions!$F$7:$F$989,Transactions!$D$7:$D$989,"Income",Transactions!$E$7:$E$989,A82),"")</f>
        <v/>
      </c>
      <c r="D82" s="88" t="str">
        <f>IF(A82&lt;&gt;"",SUMIFS(Transactions!$F$7:$F$989,Transactions!$D$7:$D$989,"Expense",Transactions!$E$7:$E$989,A82),"")</f>
        <v/>
      </c>
      <c r="E82" s="89" t="str">
        <f t="shared" si="1"/>
        <v/>
      </c>
      <c r="F82" s="89" t="str">
        <f t="shared" si="2"/>
        <v/>
      </c>
      <c r="G82" s="86" t="str">
        <f>IF(A82&lt;&gt;"",SUMIFS(Transactions!$F$7:$F$989,Transactions!$D$7:$D$989,"Credit",Transactions!$H$7:$H$989,A82),"")</f>
        <v/>
      </c>
      <c r="H82" s="80"/>
      <c r="I82" s="5"/>
      <c r="J82" s="5"/>
      <c r="K82" s="5"/>
      <c r="L82" s="5"/>
      <c r="M82" s="5"/>
      <c r="N82" s="5"/>
      <c r="O82" s="5"/>
      <c r="P82" s="5"/>
      <c r="Q82" s="5"/>
      <c r="R82" s="5"/>
      <c r="S82" s="5"/>
      <c r="T82" s="5"/>
      <c r="U82" s="5"/>
      <c r="V82" s="5"/>
      <c r="W82" s="5"/>
      <c r="X82" s="5"/>
      <c r="Y82" s="5"/>
      <c r="Z82" s="5"/>
    </row>
    <row r="83" ht="19.5" customHeight="1">
      <c r="A83" s="84" t="str">
        <f>IF(Roster!$A$81&lt;&gt;"",Roster!$A$81,"")</f>
        <v/>
      </c>
      <c r="B83" s="84" t="str">
        <f t="array" ref="B83">IF(A83&lt;&gt;"",IFERROR(SUMPRODUCT((INDEX(Attendance!$B$7:$AV$206,MATCH(A83,Attendance!$A$7:$A$206,0),0)=1)*Attendance!$B$4:$AV$4),0),"")</f>
        <v/>
      </c>
      <c r="C83" s="85" t="str">
        <f>IF(A83&lt;&gt;"",SUMIFS(Transactions!$F$7:$F$989,Transactions!$D$7:$D$989,"Income",Transactions!$E$7:$E$989,A83),"")</f>
        <v/>
      </c>
      <c r="D83" s="85" t="str">
        <f>IF(A83&lt;&gt;"",SUMIFS(Transactions!$F$7:$F$989,Transactions!$D$7:$D$989,"Expense",Transactions!$E$7:$E$989,A83),"")</f>
        <v/>
      </c>
      <c r="E83" s="82" t="str">
        <f t="shared" si="1"/>
        <v/>
      </c>
      <c r="F83" s="82" t="str">
        <f t="shared" si="2"/>
        <v/>
      </c>
      <c r="G83" s="86" t="str">
        <f>IF(A83&lt;&gt;"",SUMIFS(Transactions!$F$7:$F$989,Transactions!$D$7:$D$989,"Credit",Transactions!$H$7:$H$989,A83),"")</f>
        <v/>
      </c>
      <c r="H83" s="80"/>
      <c r="I83" s="5"/>
      <c r="J83" s="5"/>
      <c r="K83" s="5"/>
      <c r="L83" s="5"/>
      <c r="M83" s="5"/>
      <c r="N83" s="5"/>
      <c r="O83" s="5"/>
      <c r="P83" s="5"/>
      <c r="Q83" s="5"/>
      <c r="R83" s="5"/>
      <c r="S83" s="5"/>
      <c r="T83" s="5"/>
      <c r="U83" s="5"/>
      <c r="V83" s="5"/>
      <c r="W83" s="5"/>
      <c r="X83" s="5"/>
      <c r="Y83" s="5"/>
      <c r="Z83" s="5"/>
    </row>
    <row r="84" ht="19.5" customHeight="1">
      <c r="A84" s="87" t="str">
        <f>IF(Roster!$A$82&lt;&gt;"",Roster!$A$82,"")</f>
        <v/>
      </c>
      <c r="B84" s="87" t="str">
        <f t="array" ref="B84">IF(A84&lt;&gt;"",IFERROR(SUMPRODUCT((INDEX(Attendance!$B$7:$AV$206,MATCH(A84,Attendance!$A$7:$A$206,0),0)=1)*Attendance!$B$4:$AV$4),0),"")</f>
        <v/>
      </c>
      <c r="C84" s="88" t="str">
        <f>IF(A84&lt;&gt;"",SUMIFS(Transactions!$F$7:$F$989,Transactions!$D$7:$D$989,"Income",Transactions!$E$7:$E$989,A84),"")</f>
        <v/>
      </c>
      <c r="D84" s="88" t="str">
        <f>IF(A84&lt;&gt;"",SUMIFS(Transactions!$F$7:$F$989,Transactions!$D$7:$D$989,"Expense",Transactions!$E$7:$E$989,A84),"")</f>
        <v/>
      </c>
      <c r="E84" s="89" t="str">
        <f t="shared" si="1"/>
        <v/>
      </c>
      <c r="F84" s="89" t="str">
        <f t="shared" si="2"/>
        <v/>
      </c>
      <c r="G84" s="86" t="str">
        <f>IF(A84&lt;&gt;"",SUMIFS(Transactions!$F$7:$F$989,Transactions!$D$7:$D$989,"Credit",Transactions!$H$7:$H$989,A84),"")</f>
        <v/>
      </c>
      <c r="H84" s="80"/>
      <c r="I84" s="5"/>
      <c r="J84" s="5"/>
      <c r="K84" s="5"/>
      <c r="L84" s="5"/>
      <c r="M84" s="5"/>
      <c r="N84" s="5"/>
      <c r="O84" s="5"/>
      <c r="P84" s="5"/>
      <c r="Q84" s="5"/>
      <c r="R84" s="5"/>
      <c r="S84" s="5"/>
      <c r="T84" s="5"/>
      <c r="U84" s="5"/>
      <c r="V84" s="5"/>
      <c r="W84" s="5"/>
      <c r="X84" s="5"/>
      <c r="Y84" s="5"/>
      <c r="Z84" s="5"/>
    </row>
    <row r="85" ht="19.5" customHeight="1">
      <c r="A85" s="84" t="str">
        <f>IF(Roster!$A$83&lt;&gt;"",Roster!$A$83,"")</f>
        <v/>
      </c>
      <c r="B85" s="84" t="str">
        <f t="array" ref="B85">IF(A85&lt;&gt;"",IFERROR(SUMPRODUCT((INDEX(Attendance!$B$7:$AV$206,MATCH(A85,Attendance!$A$7:$A$206,0),0)=1)*Attendance!$B$4:$AV$4),0),"")</f>
        <v/>
      </c>
      <c r="C85" s="85" t="str">
        <f>IF(A85&lt;&gt;"",SUMIFS(Transactions!$F$7:$F$989,Transactions!$D$7:$D$989,"Income",Transactions!$E$7:$E$989,A85),"")</f>
        <v/>
      </c>
      <c r="D85" s="85" t="str">
        <f>IF(A85&lt;&gt;"",SUMIFS(Transactions!$F$7:$F$989,Transactions!$D$7:$D$989,"Expense",Transactions!$E$7:$E$989,A85),"")</f>
        <v/>
      </c>
      <c r="E85" s="82" t="str">
        <f t="shared" si="1"/>
        <v/>
      </c>
      <c r="F85" s="82" t="str">
        <f t="shared" si="2"/>
        <v/>
      </c>
      <c r="G85" s="86" t="str">
        <f>IF(A85&lt;&gt;"",SUMIFS(Transactions!$F$7:$F$989,Transactions!$D$7:$D$989,"Credit",Transactions!$H$7:$H$989,A85),"")</f>
        <v/>
      </c>
      <c r="H85" s="80"/>
      <c r="I85" s="5"/>
      <c r="J85" s="5"/>
      <c r="K85" s="5"/>
      <c r="L85" s="5"/>
      <c r="M85" s="5"/>
      <c r="N85" s="5"/>
      <c r="O85" s="5"/>
      <c r="P85" s="5"/>
      <c r="Q85" s="5"/>
      <c r="R85" s="5"/>
      <c r="S85" s="5"/>
      <c r="T85" s="5"/>
      <c r="U85" s="5"/>
      <c r="V85" s="5"/>
      <c r="W85" s="5"/>
      <c r="X85" s="5"/>
      <c r="Y85" s="5"/>
      <c r="Z85" s="5"/>
    </row>
    <row r="86" ht="19.5" customHeight="1">
      <c r="A86" s="87" t="str">
        <f>IF(Roster!$A$84&lt;&gt;"",Roster!$A$84,"")</f>
        <v/>
      </c>
      <c r="B86" s="87" t="str">
        <f t="array" ref="B86">IF(A86&lt;&gt;"",IFERROR(SUMPRODUCT((INDEX(Attendance!$B$7:$AV$206,MATCH(A86,Attendance!$A$7:$A$206,0),0)=1)*Attendance!$B$4:$AV$4),0),"")</f>
        <v/>
      </c>
      <c r="C86" s="88" t="str">
        <f>IF(A86&lt;&gt;"",SUMIFS(Transactions!$F$7:$F$989,Transactions!$D$7:$D$989,"Income",Transactions!$E$7:$E$989,A86),"")</f>
        <v/>
      </c>
      <c r="D86" s="88" t="str">
        <f>IF(A86&lt;&gt;"",SUMIFS(Transactions!$F$7:$F$989,Transactions!$D$7:$D$989,"Expense",Transactions!$E$7:$E$989,A86),"")</f>
        <v/>
      </c>
      <c r="E86" s="89" t="str">
        <f t="shared" si="1"/>
        <v/>
      </c>
      <c r="F86" s="89" t="str">
        <f t="shared" si="2"/>
        <v/>
      </c>
      <c r="G86" s="86" t="str">
        <f>IF(A86&lt;&gt;"",SUMIFS(Transactions!$F$7:$F$989,Transactions!$D$7:$D$989,"Credit",Transactions!$H$7:$H$989,A86),"")</f>
        <v/>
      </c>
      <c r="H86" s="80"/>
      <c r="I86" s="5"/>
      <c r="J86" s="5"/>
      <c r="K86" s="5"/>
      <c r="L86" s="5"/>
      <c r="M86" s="5"/>
      <c r="N86" s="5"/>
      <c r="O86" s="5"/>
      <c r="P86" s="5"/>
      <c r="Q86" s="5"/>
      <c r="R86" s="5"/>
      <c r="S86" s="5"/>
      <c r="T86" s="5"/>
      <c r="U86" s="5"/>
      <c r="V86" s="5"/>
      <c r="W86" s="5"/>
      <c r="X86" s="5"/>
      <c r="Y86" s="5"/>
      <c r="Z86" s="5"/>
    </row>
    <row r="87" ht="19.5" customHeight="1">
      <c r="A87" s="84" t="str">
        <f>IF(Roster!$A$85&lt;&gt;"",Roster!$A$85,"")</f>
        <v/>
      </c>
      <c r="B87" s="84" t="str">
        <f t="array" ref="B87">IF(A87&lt;&gt;"",IFERROR(SUMPRODUCT((INDEX(Attendance!$B$7:$AV$206,MATCH(A87,Attendance!$A$7:$A$206,0),0)=1)*Attendance!$B$4:$AV$4),0),"")</f>
        <v/>
      </c>
      <c r="C87" s="85" t="str">
        <f>IF(A87&lt;&gt;"",SUMIFS(Transactions!$F$7:$F$989,Transactions!$D$7:$D$989,"Income",Transactions!$E$7:$E$989,A87),"")</f>
        <v/>
      </c>
      <c r="D87" s="85" t="str">
        <f>IF(A87&lt;&gt;"",SUMIFS(Transactions!$F$7:$F$989,Transactions!$D$7:$D$989,"Expense",Transactions!$E$7:$E$989,A87),"")</f>
        <v/>
      </c>
      <c r="E87" s="82" t="str">
        <f t="shared" si="1"/>
        <v/>
      </c>
      <c r="F87" s="82" t="str">
        <f t="shared" si="2"/>
        <v/>
      </c>
      <c r="G87" s="86" t="str">
        <f>IF(A87&lt;&gt;"",SUMIFS(Transactions!$F$7:$F$989,Transactions!$D$7:$D$989,"Credit",Transactions!$H$7:$H$989,A87),"")</f>
        <v/>
      </c>
      <c r="H87" s="80"/>
      <c r="I87" s="5"/>
      <c r="J87" s="5"/>
      <c r="K87" s="5"/>
      <c r="L87" s="5"/>
      <c r="M87" s="5"/>
      <c r="N87" s="5"/>
      <c r="O87" s="5"/>
      <c r="P87" s="5"/>
      <c r="Q87" s="5"/>
      <c r="R87" s="5"/>
      <c r="S87" s="5"/>
      <c r="T87" s="5"/>
      <c r="U87" s="5"/>
      <c r="V87" s="5"/>
      <c r="W87" s="5"/>
      <c r="X87" s="5"/>
      <c r="Y87" s="5"/>
      <c r="Z87" s="5"/>
    </row>
    <row r="88" ht="19.5" customHeight="1">
      <c r="A88" s="87" t="str">
        <f>IF(Roster!$A$86&lt;&gt;"",Roster!$A$86,"")</f>
        <v/>
      </c>
      <c r="B88" s="87" t="str">
        <f t="array" ref="B88">IF(A88&lt;&gt;"",IFERROR(SUMPRODUCT((INDEX(Attendance!$B$7:$AV$206,MATCH(A88,Attendance!$A$7:$A$206,0),0)=1)*Attendance!$B$4:$AV$4),0),"")</f>
        <v/>
      </c>
      <c r="C88" s="88" t="str">
        <f>IF(A88&lt;&gt;"",SUMIFS(Transactions!$F$7:$F$989,Transactions!$D$7:$D$989,"Income",Transactions!$E$7:$E$989,A88),"")</f>
        <v/>
      </c>
      <c r="D88" s="88" t="str">
        <f>IF(A88&lt;&gt;"",SUMIFS(Transactions!$F$7:$F$989,Transactions!$D$7:$D$989,"Expense",Transactions!$E$7:$E$989,A88),"")</f>
        <v/>
      </c>
      <c r="E88" s="89" t="str">
        <f t="shared" si="1"/>
        <v/>
      </c>
      <c r="F88" s="89" t="str">
        <f t="shared" si="2"/>
        <v/>
      </c>
      <c r="G88" s="86" t="str">
        <f>IF(A88&lt;&gt;"",SUMIFS(Transactions!$F$7:$F$989,Transactions!$D$7:$D$989,"Credit",Transactions!$H$7:$H$989,A88),"")</f>
        <v/>
      </c>
      <c r="H88" s="80"/>
      <c r="I88" s="5"/>
      <c r="J88" s="5"/>
      <c r="K88" s="5"/>
      <c r="L88" s="5"/>
      <c r="M88" s="5"/>
      <c r="N88" s="5"/>
      <c r="O88" s="5"/>
      <c r="P88" s="5"/>
      <c r="Q88" s="5"/>
      <c r="R88" s="5"/>
      <c r="S88" s="5"/>
      <c r="T88" s="5"/>
      <c r="U88" s="5"/>
      <c r="V88" s="5"/>
      <c r="W88" s="5"/>
      <c r="X88" s="5"/>
      <c r="Y88" s="5"/>
      <c r="Z88" s="5"/>
    </row>
    <row r="89" ht="19.5" customHeight="1">
      <c r="A89" s="84" t="str">
        <f>IF(Roster!$A$87&lt;&gt;"",Roster!$A$87,"")</f>
        <v/>
      </c>
      <c r="B89" s="84" t="str">
        <f t="array" ref="B89">IF(A89&lt;&gt;"",IFERROR(SUMPRODUCT((INDEX(Attendance!$B$7:$AV$206,MATCH(A89,Attendance!$A$7:$A$206,0),0)=1)*Attendance!$B$4:$AV$4),0),"")</f>
        <v/>
      </c>
      <c r="C89" s="85" t="str">
        <f>IF(A89&lt;&gt;"",SUMIFS(Transactions!$F$7:$F$989,Transactions!$D$7:$D$989,"Income",Transactions!$E$7:$E$989,A89),"")</f>
        <v/>
      </c>
      <c r="D89" s="85" t="str">
        <f>IF(A89&lt;&gt;"",SUMIFS(Transactions!$F$7:$F$989,Transactions!$D$7:$D$989,"Expense",Transactions!$E$7:$E$989,A89),"")</f>
        <v/>
      </c>
      <c r="E89" s="82" t="str">
        <f t="shared" si="1"/>
        <v/>
      </c>
      <c r="F89" s="82" t="str">
        <f t="shared" si="2"/>
        <v/>
      </c>
      <c r="G89" s="86" t="str">
        <f>IF(A89&lt;&gt;"",SUMIFS(Transactions!$F$7:$F$989,Transactions!$D$7:$D$989,"Credit",Transactions!$H$7:$H$989,A89),"")</f>
        <v/>
      </c>
      <c r="H89" s="80"/>
      <c r="I89" s="5"/>
      <c r="J89" s="5"/>
      <c r="K89" s="5"/>
      <c r="L89" s="5"/>
      <c r="M89" s="5"/>
      <c r="N89" s="5"/>
      <c r="O89" s="5"/>
      <c r="P89" s="5"/>
      <c r="Q89" s="5"/>
      <c r="R89" s="5"/>
      <c r="S89" s="5"/>
      <c r="T89" s="5"/>
      <c r="U89" s="5"/>
      <c r="V89" s="5"/>
      <c r="W89" s="5"/>
      <c r="X89" s="5"/>
      <c r="Y89" s="5"/>
      <c r="Z89" s="5"/>
    </row>
    <row r="90" ht="19.5" customHeight="1">
      <c r="A90" s="87" t="str">
        <f>IF(Roster!$A$88&lt;&gt;"",Roster!$A$88,"")</f>
        <v/>
      </c>
      <c r="B90" s="87" t="str">
        <f t="array" ref="B90">IF(A90&lt;&gt;"",IFERROR(SUMPRODUCT((INDEX(Attendance!$B$7:$AV$206,MATCH(A90,Attendance!$A$7:$A$206,0),0)=1)*Attendance!$B$4:$AV$4),0),"")</f>
        <v/>
      </c>
      <c r="C90" s="88" t="str">
        <f>IF(A90&lt;&gt;"",SUMIFS(Transactions!$F$7:$F$989,Transactions!$D$7:$D$989,"Income",Transactions!$E$7:$E$989,A90),"")</f>
        <v/>
      </c>
      <c r="D90" s="88" t="str">
        <f>IF(A90&lt;&gt;"",SUMIFS(Transactions!$F$7:$F$989,Transactions!$D$7:$D$989,"Expense",Transactions!$E$7:$E$989,A90),"")</f>
        <v/>
      </c>
      <c r="E90" s="89" t="str">
        <f t="shared" si="1"/>
        <v/>
      </c>
      <c r="F90" s="89" t="str">
        <f t="shared" si="2"/>
        <v/>
      </c>
      <c r="G90" s="86" t="str">
        <f>IF(A90&lt;&gt;"",SUMIFS(Transactions!$F$7:$F$989,Transactions!$D$7:$D$989,"Credit",Transactions!$H$7:$H$989,A90),"")</f>
        <v/>
      </c>
      <c r="H90" s="80"/>
      <c r="I90" s="5"/>
      <c r="J90" s="5"/>
      <c r="K90" s="5"/>
      <c r="L90" s="5"/>
      <c r="M90" s="5"/>
      <c r="N90" s="5"/>
      <c r="O90" s="5"/>
      <c r="P90" s="5"/>
      <c r="Q90" s="5"/>
      <c r="R90" s="5"/>
      <c r="S90" s="5"/>
      <c r="T90" s="5"/>
      <c r="U90" s="5"/>
      <c r="V90" s="5"/>
      <c r="W90" s="5"/>
      <c r="X90" s="5"/>
      <c r="Y90" s="5"/>
      <c r="Z90" s="5"/>
    </row>
    <row r="91" ht="19.5" customHeight="1">
      <c r="A91" s="84" t="str">
        <f>IF(Roster!$A$89&lt;&gt;"",Roster!$A$89,"")</f>
        <v/>
      </c>
      <c r="B91" s="84" t="str">
        <f t="array" ref="B91">IF(A91&lt;&gt;"",IFERROR(SUMPRODUCT((INDEX(Attendance!$B$7:$AV$206,MATCH(A91,Attendance!$A$7:$A$206,0),0)=1)*Attendance!$B$4:$AV$4),0),"")</f>
        <v/>
      </c>
      <c r="C91" s="85" t="str">
        <f>IF(A91&lt;&gt;"",SUMIFS(Transactions!$F$7:$F$989,Transactions!$D$7:$D$989,"Income",Transactions!$E$7:$E$989,A91),"")</f>
        <v/>
      </c>
      <c r="D91" s="85" t="str">
        <f>IF(A91&lt;&gt;"",SUMIFS(Transactions!$F$7:$F$989,Transactions!$D$7:$D$989,"Expense",Transactions!$E$7:$E$989,A91),"")</f>
        <v/>
      </c>
      <c r="E91" s="82" t="str">
        <f t="shared" si="1"/>
        <v/>
      </c>
      <c r="F91" s="82" t="str">
        <f t="shared" si="2"/>
        <v/>
      </c>
      <c r="G91" s="86" t="str">
        <f>IF(A91&lt;&gt;"",SUMIFS(Transactions!$F$7:$F$989,Transactions!$D$7:$D$989,"Credit",Transactions!$H$7:$H$989,A91),"")</f>
        <v/>
      </c>
      <c r="H91" s="80"/>
      <c r="I91" s="5"/>
      <c r="J91" s="5"/>
      <c r="K91" s="5"/>
      <c r="L91" s="5"/>
      <c r="M91" s="5"/>
      <c r="N91" s="5"/>
      <c r="O91" s="5"/>
      <c r="P91" s="5"/>
      <c r="Q91" s="5"/>
      <c r="R91" s="5"/>
      <c r="S91" s="5"/>
      <c r="T91" s="5"/>
      <c r="U91" s="5"/>
      <c r="V91" s="5"/>
      <c r="W91" s="5"/>
      <c r="X91" s="5"/>
      <c r="Y91" s="5"/>
      <c r="Z91" s="5"/>
    </row>
    <row r="92" ht="19.5" customHeight="1">
      <c r="A92" s="87" t="str">
        <f>IF(Roster!$A$90&lt;&gt;"",Roster!$A$90,"")</f>
        <v/>
      </c>
      <c r="B92" s="87" t="str">
        <f t="array" ref="B92">IF(A92&lt;&gt;"",IFERROR(SUMPRODUCT((INDEX(Attendance!$B$7:$AV$206,MATCH(A92,Attendance!$A$7:$A$206,0),0)=1)*Attendance!$B$4:$AV$4),0),"")</f>
        <v/>
      </c>
      <c r="C92" s="88" t="str">
        <f>IF(A92&lt;&gt;"",SUMIFS(Transactions!$F$7:$F$989,Transactions!$D$7:$D$989,"Income",Transactions!$E$7:$E$989,A92),"")</f>
        <v/>
      </c>
      <c r="D92" s="88" t="str">
        <f>IF(A92&lt;&gt;"",SUMIFS(Transactions!$F$7:$F$989,Transactions!$D$7:$D$989,"Expense",Transactions!$E$7:$E$989,A92),"")</f>
        <v/>
      </c>
      <c r="E92" s="89" t="str">
        <f t="shared" si="1"/>
        <v/>
      </c>
      <c r="F92" s="89" t="str">
        <f t="shared" si="2"/>
        <v/>
      </c>
      <c r="G92" s="86" t="str">
        <f>IF(A92&lt;&gt;"",SUMIFS(Transactions!$F$7:$F$989,Transactions!$D$7:$D$989,"Credit",Transactions!$H$7:$H$989,A92),"")</f>
        <v/>
      </c>
      <c r="H92" s="80"/>
      <c r="I92" s="5"/>
      <c r="J92" s="5"/>
      <c r="K92" s="5"/>
      <c r="L92" s="5"/>
      <c r="M92" s="5"/>
      <c r="N92" s="5"/>
      <c r="O92" s="5"/>
      <c r="P92" s="5"/>
      <c r="Q92" s="5"/>
      <c r="R92" s="5"/>
      <c r="S92" s="5"/>
      <c r="T92" s="5"/>
      <c r="U92" s="5"/>
      <c r="V92" s="5"/>
      <c r="W92" s="5"/>
      <c r="X92" s="5"/>
      <c r="Y92" s="5"/>
      <c r="Z92" s="5"/>
    </row>
    <row r="93" ht="19.5" customHeight="1">
      <c r="A93" s="84" t="str">
        <f>IF(Roster!$A$91&lt;&gt;"",Roster!$A$91,"")</f>
        <v/>
      </c>
      <c r="B93" s="84" t="str">
        <f t="array" ref="B93">IF(A93&lt;&gt;"",IFERROR(SUMPRODUCT((INDEX(Attendance!$B$7:$AV$206,MATCH(A93,Attendance!$A$7:$A$206,0),0)=1)*Attendance!$B$4:$AV$4),0),"")</f>
        <v/>
      </c>
      <c r="C93" s="85" t="str">
        <f>IF(A93&lt;&gt;"",SUMIFS(Transactions!$F$7:$F$989,Transactions!$D$7:$D$989,"Income",Transactions!$E$7:$E$989,A93),"")</f>
        <v/>
      </c>
      <c r="D93" s="85" t="str">
        <f>IF(A93&lt;&gt;"",SUMIFS(Transactions!$F$7:$F$989,Transactions!$D$7:$D$989,"Expense",Transactions!$E$7:$E$989,A93),"")</f>
        <v/>
      </c>
      <c r="E93" s="82" t="str">
        <f t="shared" si="1"/>
        <v/>
      </c>
      <c r="F93" s="82" t="str">
        <f t="shared" si="2"/>
        <v/>
      </c>
      <c r="G93" s="86" t="str">
        <f>IF(A93&lt;&gt;"",SUMIFS(Transactions!$F$7:$F$989,Transactions!$D$7:$D$989,"Credit",Transactions!$H$7:$H$989,A93),"")</f>
        <v/>
      </c>
      <c r="H93" s="80"/>
      <c r="I93" s="5"/>
      <c r="J93" s="5"/>
      <c r="K93" s="5"/>
      <c r="L93" s="5"/>
      <c r="M93" s="5"/>
      <c r="N93" s="5"/>
      <c r="O93" s="5"/>
      <c r="P93" s="5"/>
      <c r="Q93" s="5"/>
      <c r="R93" s="5"/>
      <c r="S93" s="5"/>
      <c r="T93" s="5"/>
      <c r="U93" s="5"/>
      <c r="V93" s="5"/>
      <c r="W93" s="5"/>
      <c r="X93" s="5"/>
      <c r="Y93" s="5"/>
      <c r="Z93" s="5"/>
    </row>
    <row r="94" ht="19.5" customHeight="1">
      <c r="A94" s="87" t="str">
        <f>IF(Roster!$A$92&lt;&gt;"",Roster!$A$92,"")</f>
        <v/>
      </c>
      <c r="B94" s="87" t="str">
        <f t="array" ref="B94">IF(A94&lt;&gt;"",IFERROR(SUMPRODUCT((INDEX(Attendance!$B$7:$AV$206,MATCH(A94,Attendance!$A$7:$A$206,0),0)=1)*Attendance!$B$4:$AV$4),0),"")</f>
        <v/>
      </c>
      <c r="C94" s="88" t="str">
        <f>IF(A94&lt;&gt;"",SUMIFS(Transactions!$F$7:$F$989,Transactions!$D$7:$D$989,"Income",Transactions!$E$7:$E$989,A94),"")</f>
        <v/>
      </c>
      <c r="D94" s="88" t="str">
        <f>IF(A94&lt;&gt;"",SUMIFS(Transactions!$F$7:$F$989,Transactions!$D$7:$D$989,"Expense",Transactions!$E$7:$E$989,A94),"")</f>
        <v/>
      </c>
      <c r="E94" s="89" t="str">
        <f t="shared" si="1"/>
        <v/>
      </c>
      <c r="F94" s="89" t="str">
        <f t="shared" si="2"/>
        <v/>
      </c>
      <c r="G94" s="86" t="str">
        <f>IF(A94&lt;&gt;"",SUMIFS(Transactions!$F$7:$F$989,Transactions!$D$7:$D$989,"Credit",Transactions!$H$7:$H$989,A94),"")</f>
        <v/>
      </c>
      <c r="H94" s="80"/>
      <c r="I94" s="5"/>
      <c r="J94" s="5"/>
      <c r="K94" s="5"/>
      <c r="L94" s="5"/>
      <c r="M94" s="5"/>
      <c r="N94" s="5"/>
      <c r="O94" s="5"/>
      <c r="P94" s="5"/>
      <c r="Q94" s="5"/>
      <c r="R94" s="5"/>
      <c r="S94" s="5"/>
      <c r="T94" s="5"/>
      <c r="U94" s="5"/>
      <c r="V94" s="5"/>
      <c r="W94" s="5"/>
      <c r="X94" s="5"/>
      <c r="Y94" s="5"/>
      <c r="Z94" s="5"/>
    </row>
    <row r="95" ht="19.5" customHeight="1">
      <c r="A95" s="84" t="str">
        <f>IF(Roster!$A$93&lt;&gt;"",Roster!$A$93,"")</f>
        <v/>
      </c>
      <c r="B95" s="84" t="str">
        <f t="array" ref="B95">IF(A95&lt;&gt;"",IFERROR(SUMPRODUCT((INDEX(Attendance!$B$7:$AV$206,MATCH(A95,Attendance!$A$7:$A$206,0),0)=1)*Attendance!$B$4:$AV$4),0),"")</f>
        <v/>
      </c>
      <c r="C95" s="85" t="str">
        <f>IF(A95&lt;&gt;"",SUMIFS(Transactions!$F$7:$F$989,Transactions!$D$7:$D$989,"Income",Transactions!$E$7:$E$989,A95),"")</f>
        <v/>
      </c>
      <c r="D95" s="85" t="str">
        <f>IF(A95&lt;&gt;"",SUMIFS(Transactions!$F$7:$F$989,Transactions!$D$7:$D$989,"Expense",Transactions!$E$7:$E$989,A95),"")</f>
        <v/>
      </c>
      <c r="E95" s="82" t="str">
        <f t="shared" si="1"/>
        <v/>
      </c>
      <c r="F95" s="82" t="str">
        <f t="shared" si="2"/>
        <v/>
      </c>
      <c r="G95" s="86" t="str">
        <f>IF(A95&lt;&gt;"",SUMIFS(Transactions!$F$7:$F$989,Transactions!$D$7:$D$989,"Credit",Transactions!$H$7:$H$989,A95),"")</f>
        <v/>
      </c>
      <c r="H95" s="80"/>
      <c r="I95" s="5"/>
      <c r="J95" s="5"/>
      <c r="K95" s="5"/>
      <c r="L95" s="5"/>
      <c r="M95" s="5"/>
      <c r="N95" s="5"/>
      <c r="O95" s="5"/>
      <c r="P95" s="5"/>
      <c r="Q95" s="5"/>
      <c r="R95" s="5"/>
      <c r="S95" s="5"/>
      <c r="T95" s="5"/>
      <c r="U95" s="5"/>
      <c r="V95" s="5"/>
      <c r="W95" s="5"/>
      <c r="X95" s="5"/>
      <c r="Y95" s="5"/>
      <c r="Z95" s="5"/>
    </row>
    <row r="96" ht="19.5" customHeight="1">
      <c r="A96" s="87" t="str">
        <f>IF(Roster!$A$94&lt;&gt;"",Roster!$A$94,"")</f>
        <v/>
      </c>
      <c r="B96" s="87" t="str">
        <f t="array" ref="B96">IF(A96&lt;&gt;"",IFERROR(SUMPRODUCT((INDEX(Attendance!$B$7:$AV$206,MATCH(A96,Attendance!$A$7:$A$206,0),0)=1)*Attendance!$B$4:$AV$4),0),"")</f>
        <v/>
      </c>
      <c r="C96" s="88" t="str">
        <f>IF(A96&lt;&gt;"",SUMIFS(Transactions!$F$7:$F$989,Transactions!$D$7:$D$989,"Income",Transactions!$E$7:$E$989,A96),"")</f>
        <v/>
      </c>
      <c r="D96" s="88" t="str">
        <f>IF(A96&lt;&gt;"",SUMIFS(Transactions!$F$7:$F$989,Transactions!$D$7:$D$989,"Expense",Transactions!$E$7:$E$989,A96),"")</f>
        <v/>
      </c>
      <c r="E96" s="89" t="str">
        <f t="shared" si="1"/>
        <v/>
      </c>
      <c r="F96" s="89" t="str">
        <f t="shared" si="2"/>
        <v/>
      </c>
      <c r="G96" s="86" t="str">
        <f>IF(A96&lt;&gt;"",SUMIFS(Transactions!$F$7:$F$989,Transactions!$D$7:$D$989,"Credit",Transactions!$H$7:$H$989,A96),"")</f>
        <v/>
      </c>
      <c r="H96" s="80"/>
      <c r="I96" s="5"/>
      <c r="J96" s="5"/>
      <c r="K96" s="5"/>
      <c r="L96" s="5"/>
      <c r="M96" s="5"/>
      <c r="N96" s="5"/>
      <c r="O96" s="5"/>
      <c r="P96" s="5"/>
      <c r="Q96" s="5"/>
      <c r="R96" s="5"/>
      <c r="S96" s="5"/>
      <c r="T96" s="5"/>
      <c r="U96" s="5"/>
      <c r="V96" s="5"/>
      <c r="W96" s="5"/>
      <c r="X96" s="5"/>
      <c r="Y96" s="5"/>
      <c r="Z96" s="5"/>
    </row>
    <row r="97" ht="19.5" customHeight="1">
      <c r="A97" s="84" t="str">
        <f>IF(Roster!$A$95&lt;&gt;"",Roster!$A$95,"")</f>
        <v/>
      </c>
      <c r="B97" s="84" t="str">
        <f t="array" ref="B97">IF(A97&lt;&gt;"",IFERROR(SUMPRODUCT((INDEX(Attendance!$B$7:$AV$206,MATCH(A97,Attendance!$A$7:$A$206,0),0)=1)*Attendance!$B$4:$AV$4),0),"")</f>
        <v/>
      </c>
      <c r="C97" s="85" t="str">
        <f>IF(A97&lt;&gt;"",SUMIFS(Transactions!$F$7:$F$989,Transactions!$D$7:$D$989,"Income",Transactions!$E$7:$E$989,A97),"")</f>
        <v/>
      </c>
      <c r="D97" s="85" t="str">
        <f>IF(A97&lt;&gt;"",SUMIFS(Transactions!$F$7:$F$989,Transactions!$D$7:$D$989,"Expense",Transactions!$E$7:$E$989,A97),"")</f>
        <v/>
      </c>
      <c r="E97" s="82" t="str">
        <f t="shared" si="1"/>
        <v/>
      </c>
      <c r="F97" s="82" t="str">
        <f t="shared" si="2"/>
        <v/>
      </c>
      <c r="G97" s="86" t="str">
        <f>IF(A97&lt;&gt;"",SUMIFS(Transactions!$F$7:$F$989,Transactions!$D$7:$D$989,"Credit",Transactions!$H$7:$H$989,A97),"")</f>
        <v/>
      </c>
      <c r="H97" s="80"/>
      <c r="I97" s="5"/>
      <c r="J97" s="5"/>
      <c r="K97" s="5"/>
      <c r="L97" s="5"/>
      <c r="M97" s="5"/>
      <c r="N97" s="5"/>
      <c r="O97" s="5"/>
      <c r="P97" s="5"/>
      <c r="Q97" s="5"/>
      <c r="R97" s="5"/>
      <c r="S97" s="5"/>
      <c r="T97" s="5"/>
      <c r="U97" s="5"/>
      <c r="V97" s="5"/>
      <c r="W97" s="5"/>
      <c r="X97" s="5"/>
      <c r="Y97" s="5"/>
      <c r="Z97" s="5"/>
    </row>
    <row r="98" ht="19.5" customHeight="1">
      <c r="A98" s="87" t="str">
        <f>IF(Roster!$A$96&lt;&gt;"",Roster!$A$96,"")</f>
        <v/>
      </c>
      <c r="B98" s="87" t="str">
        <f t="array" ref="B98">IF(A98&lt;&gt;"",IFERROR(SUMPRODUCT((INDEX(Attendance!$B$7:$AV$206,MATCH(A98,Attendance!$A$7:$A$206,0),0)=1)*Attendance!$B$4:$AV$4),0),"")</f>
        <v/>
      </c>
      <c r="C98" s="88" t="str">
        <f>IF(A98&lt;&gt;"",SUMIFS(Transactions!$F$7:$F$989,Transactions!$D$7:$D$989,"Income",Transactions!$E$7:$E$989,A98),"")</f>
        <v/>
      </c>
      <c r="D98" s="88" t="str">
        <f>IF(A98&lt;&gt;"",SUMIFS(Transactions!$F$7:$F$989,Transactions!$D$7:$D$989,"Expense",Transactions!$E$7:$E$989,A98),"")</f>
        <v/>
      </c>
      <c r="E98" s="89" t="str">
        <f t="shared" si="1"/>
        <v/>
      </c>
      <c r="F98" s="89" t="str">
        <f t="shared" si="2"/>
        <v/>
      </c>
      <c r="G98" s="86" t="str">
        <f>IF(A98&lt;&gt;"",SUMIFS(Transactions!$F$7:$F$989,Transactions!$D$7:$D$989,"Credit",Transactions!$H$7:$H$989,A98),"")</f>
        <v/>
      </c>
      <c r="H98" s="80"/>
      <c r="I98" s="5"/>
      <c r="J98" s="5"/>
      <c r="K98" s="5"/>
      <c r="L98" s="5"/>
      <c r="M98" s="5"/>
      <c r="N98" s="5"/>
      <c r="O98" s="5"/>
      <c r="P98" s="5"/>
      <c r="Q98" s="5"/>
      <c r="R98" s="5"/>
      <c r="S98" s="5"/>
      <c r="T98" s="5"/>
      <c r="U98" s="5"/>
      <c r="V98" s="5"/>
      <c r="W98" s="5"/>
      <c r="X98" s="5"/>
      <c r="Y98" s="5"/>
      <c r="Z98" s="5"/>
    </row>
    <row r="99" ht="19.5" customHeight="1">
      <c r="A99" s="84" t="str">
        <f>IF(Roster!$A$97&lt;&gt;"",Roster!$A$97,"")</f>
        <v/>
      </c>
      <c r="B99" s="84" t="str">
        <f t="array" ref="B99">IF(A99&lt;&gt;"",IFERROR(SUMPRODUCT((INDEX(Attendance!$B$7:$AV$206,MATCH(A99,Attendance!$A$7:$A$206,0),0)=1)*Attendance!$B$4:$AV$4),0),"")</f>
        <v/>
      </c>
      <c r="C99" s="85" t="str">
        <f>IF(A99&lt;&gt;"",SUMIFS(Transactions!$F$7:$F$989,Transactions!$D$7:$D$989,"Income",Transactions!$E$7:$E$989,A99),"")</f>
        <v/>
      </c>
      <c r="D99" s="85" t="str">
        <f>IF(A99&lt;&gt;"",SUMIFS(Transactions!$F$7:$F$989,Transactions!$D$7:$D$989,"Expense",Transactions!$E$7:$E$989,A99),"")</f>
        <v/>
      </c>
      <c r="E99" s="82" t="str">
        <f t="shared" si="1"/>
        <v/>
      </c>
      <c r="F99" s="82" t="str">
        <f t="shared" si="2"/>
        <v/>
      </c>
      <c r="G99" s="86" t="str">
        <f>IF(A99&lt;&gt;"",SUMIFS(Transactions!$F$7:$F$989,Transactions!$D$7:$D$989,"Credit",Transactions!$H$7:$H$989,A99),"")</f>
        <v/>
      </c>
      <c r="H99" s="80"/>
      <c r="I99" s="5"/>
      <c r="J99" s="5"/>
      <c r="K99" s="5"/>
      <c r="L99" s="5"/>
      <c r="M99" s="5"/>
      <c r="N99" s="5"/>
      <c r="O99" s="5"/>
      <c r="P99" s="5"/>
      <c r="Q99" s="5"/>
      <c r="R99" s="5"/>
      <c r="S99" s="5"/>
      <c r="T99" s="5"/>
      <c r="U99" s="5"/>
      <c r="V99" s="5"/>
      <c r="W99" s="5"/>
      <c r="X99" s="5"/>
      <c r="Y99" s="5"/>
      <c r="Z99" s="5"/>
    </row>
    <row r="100" ht="19.5" customHeight="1">
      <c r="A100" s="87" t="str">
        <f>IF(Roster!$A$98&lt;&gt;"",Roster!$A$98,"")</f>
        <v/>
      </c>
      <c r="B100" s="87" t="str">
        <f t="array" ref="B100">IF(A100&lt;&gt;"",IFERROR(SUMPRODUCT((INDEX(Attendance!$B$7:$AV$206,MATCH(A100,Attendance!$A$7:$A$206,0),0)=1)*Attendance!$B$4:$AV$4),0),"")</f>
        <v/>
      </c>
      <c r="C100" s="88" t="str">
        <f>IF(A100&lt;&gt;"",SUMIFS(Transactions!$F$7:$F$989,Transactions!$D$7:$D$989,"Income",Transactions!$E$7:$E$989,A100),"")</f>
        <v/>
      </c>
      <c r="D100" s="88" t="str">
        <f>IF(A100&lt;&gt;"",SUMIFS(Transactions!$F$7:$F$989,Transactions!$D$7:$D$989,"Expense",Transactions!$E$7:$E$989,A100),"")</f>
        <v/>
      </c>
      <c r="E100" s="89" t="str">
        <f t="shared" si="1"/>
        <v/>
      </c>
      <c r="F100" s="89" t="str">
        <f t="shared" si="2"/>
        <v/>
      </c>
      <c r="G100" s="86" t="str">
        <f>IF(A100&lt;&gt;"",SUMIFS(Transactions!$F$7:$F$989,Transactions!$D$7:$D$989,"Credit",Transactions!$H$7:$H$989,A100),"")</f>
        <v/>
      </c>
      <c r="H100" s="80"/>
      <c r="I100" s="5"/>
      <c r="J100" s="5"/>
      <c r="K100" s="5"/>
      <c r="L100" s="5"/>
      <c r="M100" s="5"/>
      <c r="N100" s="5"/>
      <c r="O100" s="5"/>
      <c r="P100" s="5"/>
      <c r="Q100" s="5"/>
      <c r="R100" s="5"/>
      <c r="S100" s="5"/>
      <c r="T100" s="5"/>
      <c r="U100" s="5"/>
      <c r="V100" s="5"/>
      <c r="W100" s="5"/>
      <c r="X100" s="5"/>
      <c r="Y100" s="5"/>
      <c r="Z100" s="5"/>
    </row>
    <row r="101" ht="19.5" customHeight="1">
      <c r="A101" s="84" t="str">
        <f>IF(Roster!$A$99&lt;&gt;"",Roster!$A$99,"")</f>
        <v/>
      </c>
      <c r="B101" s="84" t="str">
        <f t="array" ref="B101">IF(A101&lt;&gt;"",IFERROR(SUMPRODUCT((INDEX(Attendance!$B$7:$AV$206,MATCH(A101,Attendance!$A$7:$A$206,0),0)=1)*Attendance!$B$4:$AV$4),0),"")</f>
        <v/>
      </c>
      <c r="C101" s="85" t="str">
        <f>IF(A101&lt;&gt;"",SUMIFS(Transactions!$F$7:$F$989,Transactions!$D$7:$D$989,"Income",Transactions!$E$7:$E$989,A101),"")</f>
        <v/>
      </c>
      <c r="D101" s="85" t="str">
        <f>IF(A101&lt;&gt;"",SUMIFS(Transactions!$F$7:$F$989,Transactions!$D$7:$D$989,"Expense",Transactions!$E$7:$E$989,A101),"")</f>
        <v/>
      </c>
      <c r="E101" s="82" t="str">
        <f t="shared" si="1"/>
        <v/>
      </c>
      <c r="F101" s="82" t="str">
        <f t="shared" si="2"/>
        <v/>
      </c>
      <c r="G101" s="86" t="str">
        <f>IF(A101&lt;&gt;"",SUMIFS(Transactions!$F$7:$F$989,Transactions!$D$7:$D$989,"Credit",Transactions!$H$7:$H$989,A101),"")</f>
        <v/>
      </c>
      <c r="H101" s="80"/>
      <c r="I101" s="5"/>
      <c r="J101" s="5"/>
      <c r="K101" s="5"/>
      <c r="L101" s="5"/>
      <c r="M101" s="5"/>
      <c r="N101" s="5"/>
      <c r="O101" s="5"/>
      <c r="P101" s="5"/>
      <c r="Q101" s="5"/>
      <c r="R101" s="5"/>
      <c r="S101" s="5"/>
      <c r="T101" s="5"/>
      <c r="U101" s="5"/>
      <c r="V101" s="5"/>
      <c r="W101" s="5"/>
      <c r="X101" s="5"/>
      <c r="Y101" s="5"/>
      <c r="Z101" s="5"/>
    </row>
    <row r="102" ht="19.5" customHeight="1">
      <c r="A102" s="87" t="str">
        <f>IF(Roster!$A$100&lt;&gt;"",Roster!$A$100,"")</f>
        <v/>
      </c>
      <c r="B102" s="87" t="str">
        <f t="array" ref="B102">IF(A102&lt;&gt;"",IFERROR(SUMPRODUCT((INDEX(Attendance!$B$7:$AV$206,MATCH(A102,Attendance!$A$7:$A$206,0),0)=1)*Attendance!$B$4:$AV$4),0),"")</f>
        <v/>
      </c>
      <c r="C102" s="88" t="str">
        <f>IF(A102&lt;&gt;"",SUMIFS(Transactions!$F$7:$F$989,Transactions!$D$7:$D$989,"Income",Transactions!$E$7:$E$989,A102),"")</f>
        <v/>
      </c>
      <c r="D102" s="88" t="str">
        <f>IF(A102&lt;&gt;"",SUMIFS(Transactions!$F$7:$F$989,Transactions!$D$7:$D$989,"Expense",Transactions!$E$7:$E$989,A102),"")</f>
        <v/>
      </c>
      <c r="E102" s="89" t="str">
        <f t="shared" si="1"/>
        <v/>
      </c>
      <c r="F102" s="89" t="str">
        <f t="shared" si="2"/>
        <v/>
      </c>
      <c r="G102" s="86" t="str">
        <f>IF(A102&lt;&gt;"",SUMIFS(Transactions!$F$7:$F$989,Transactions!$D$7:$D$989,"Credit",Transactions!$H$7:$H$989,A102),"")</f>
        <v/>
      </c>
      <c r="H102" s="80"/>
      <c r="I102" s="5"/>
      <c r="J102" s="5"/>
      <c r="K102" s="5"/>
      <c r="L102" s="5"/>
      <c r="M102" s="5"/>
      <c r="N102" s="5"/>
      <c r="O102" s="5"/>
      <c r="P102" s="5"/>
      <c r="Q102" s="5"/>
      <c r="R102" s="5"/>
      <c r="S102" s="5"/>
      <c r="T102" s="5"/>
      <c r="U102" s="5"/>
      <c r="V102" s="5"/>
      <c r="W102" s="5"/>
      <c r="X102" s="5"/>
      <c r="Y102" s="5"/>
      <c r="Z102" s="5"/>
    </row>
    <row r="103" ht="19.5" customHeight="1">
      <c r="A103" s="84" t="str">
        <f>IF(Roster!$A$101&lt;&gt;"",Roster!$A$101,"")</f>
        <v/>
      </c>
      <c r="B103" s="84" t="str">
        <f t="array" ref="B103">IF(A103&lt;&gt;"",IFERROR(SUMPRODUCT((INDEX(Attendance!$B$7:$AV$206,MATCH(A103,Attendance!$A$7:$A$206,0),0)=1)*Attendance!$B$4:$AV$4),0),"")</f>
        <v/>
      </c>
      <c r="C103" s="85" t="str">
        <f>IF(A103&lt;&gt;"",SUMIFS(Transactions!$F$7:$F$989,Transactions!$D$7:$D$989,"Income",Transactions!$E$7:$E$989,A103),"")</f>
        <v/>
      </c>
      <c r="D103" s="85" t="str">
        <f>IF(A103&lt;&gt;"",SUMIFS(Transactions!$F$7:$F$989,Transactions!$D$7:$D$989,"Expense",Transactions!$E$7:$E$989,A103),"")</f>
        <v/>
      </c>
      <c r="E103" s="82" t="str">
        <f t="shared" si="1"/>
        <v/>
      </c>
      <c r="F103" s="82" t="str">
        <f t="shared" si="2"/>
        <v/>
      </c>
      <c r="G103" s="86" t="str">
        <f>IF(A103&lt;&gt;"",SUMIFS(Transactions!$F$7:$F$989,Transactions!$D$7:$D$989,"Credit",Transactions!$H$7:$H$989,A103),"")</f>
        <v/>
      </c>
      <c r="H103" s="80"/>
      <c r="I103" s="5"/>
      <c r="J103" s="5"/>
      <c r="K103" s="5"/>
      <c r="L103" s="5"/>
      <c r="M103" s="5"/>
      <c r="N103" s="5"/>
      <c r="O103" s="5"/>
      <c r="P103" s="5"/>
      <c r="Q103" s="5"/>
      <c r="R103" s="5"/>
      <c r="S103" s="5"/>
      <c r="T103" s="5"/>
      <c r="U103" s="5"/>
      <c r="V103" s="5"/>
      <c r="W103" s="5"/>
      <c r="X103" s="5"/>
      <c r="Y103" s="5"/>
      <c r="Z103" s="5"/>
    </row>
    <row r="104" ht="19.5" customHeight="1">
      <c r="A104" s="87" t="str">
        <f>IF(Roster!$A$102&lt;&gt;"",Roster!$A$102,"")</f>
        <v/>
      </c>
      <c r="B104" s="87" t="str">
        <f t="array" ref="B104">IF(A104&lt;&gt;"",IFERROR(SUMPRODUCT((INDEX(Attendance!$B$7:$AV$206,MATCH(A104,Attendance!$A$7:$A$206,0),0)=1)*Attendance!$B$4:$AV$4),0),"")</f>
        <v/>
      </c>
      <c r="C104" s="88" t="str">
        <f>IF(A104&lt;&gt;"",SUMIFS(Transactions!$F$7:$F$989,Transactions!$D$7:$D$989,"Income",Transactions!$E$7:$E$989,A104),"")</f>
        <v/>
      </c>
      <c r="D104" s="88" t="str">
        <f>IF(A104&lt;&gt;"",SUMIFS(Transactions!$F$7:$F$989,Transactions!$D$7:$D$989,"Expense",Transactions!$E$7:$E$989,A104),"")</f>
        <v/>
      </c>
      <c r="E104" s="89" t="str">
        <f t="shared" si="1"/>
        <v/>
      </c>
      <c r="F104" s="89" t="str">
        <f t="shared" si="2"/>
        <v/>
      </c>
      <c r="G104" s="86" t="str">
        <f>IF(A104&lt;&gt;"",SUMIFS(Transactions!$F$7:$F$989,Transactions!$D$7:$D$989,"Credit",Transactions!$H$7:$H$989,A104),"")</f>
        <v/>
      </c>
      <c r="H104" s="80"/>
      <c r="I104" s="5"/>
      <c r="J104" s="5"/>
      <c r="K104" s="5"/>
      <c r="L104" s="5"/>
      <c r="M104" s="5"/>
      <c r="N104" s="5"/>
      <c r="O104" s="5"/>
      <c r="P104" s="5"/>
      <c r="Q104" s="5"/>
      <c r="R104" s="5"/>
      <c r="S104" s="5"/>
      <c r="T104" s="5"/>
      <c r="U104" s="5"/>
      <c r="V104" s="5"/>
      <c r="W104" s="5"/>
      <c r="X104" s="5"/>
      <c r="Y104" s="5"/>
      <c r="Z104" s="5"/>
    </row>
    <row r="105" ht="19.5" customHeight="1">
      <c r="A105" s="84" t="str">
        <f>IF(Roster!$A$103&lt;&gt;"",Roster!$A$103,"")</f>
        <v/>
      </c>
      <c r="B105" s="84" t="str">
        <f t="array" ref="B105">IF(A105&lt;&gt;"",IFERROR(SUMPRODUCT((INDEX(Attendance!$B$7:$AV$206,MATCH(A105,Attendance!$A$7:$A$206,0),0)=1)*Attendance!$B$4:$AV$4),0),"")</f>
        <v/>
      </c>
      <c r="C105" s="85" t="str">
        <f>IF(A105&lt;&gt;"",SUMIFS(Transactions!$F$7:$F$989,Transactions!$D$7:$D$989,"Income",Transactions!$E$7:$E$989,A105),"")</f>
        <v/>
      </c>
      <c r="D105" s="85" t="str">
        <f>IF(A105&lt;&gt;"",SUMIFS(Transactions!$F$7:$F$989,Transactions!$D$7:$D$989,"Expense",Transactions!$E$7:$E$989,A105),"")</f>
        <v/>
      </c>
      <c r="E105" s="82" t="str">
        <f t="shared" si="1"/>
        <v/>
      </c>
      <c r="F105" s="82" t="str">
        <f t="shared" si="2"/>
        <v/>
      </c>
      <c r="G105" s="86" t="str">
        <f>IF(A105&lt;&gt;"",SUMIFS(Transactions!$F$7:$F$989,Transactions!$D$7:$D$989,"Credit",Transactions!$H$7:$H$989,A105),"")</f>
        <v/>
      </c>
      <c r="H105" s="80"/>
      <c r="I105" s="5"/>
      <c r="J105" s="5"/>
      <c r="K105" s="5"/>
      <c r="L105" s="5"/>
      <c r="M105" s="5"/>
      <c r="N105" s="5"/>
      <c r="O105" s="5"/>
      <c r="P105" s="5"/>
      <c r="Q105" s="5"/>
      <c r="R105" s="5"/>
      <c r="S105" s="5"/>
      <c r="T105" s="5"/>
      <c r="U105" s="5"/>
      <c r="V105" s="5"/>
      <c r="W105" s="5"/>
      <c r="X105" s="5"/>
      <c r="Y105" s="5"/>
      <c r="Z105" s="5"/>
    </row>
    <row r="106" ht="19.5" customHeight="1">
      <c r="A106" s="87" t="str">
        <f>IF(Roster!$A$104&lt;&gt;"",Roster!$A$104,"")</f>
        <v/>
      </c>
      <c r="B106" s="87" t="str">
        <f t="array" ref="B106">IF(A106&lt;&gt;"",IFERROR(SUMPRODUCT((INDEX(Attendance!$B$7:$AV$206,MATCH(A106,Attendance!$A$7:$A$206,0),0)=1)*Attendance!$B$4:$AV$4),0),"")</f>
        <v/>
      </c>
      <c r="C106" s="88" t="str">
        <f>IF(A106&lt;&gt;"",SUMIFS(Transactions!$F$7:$F$989,Transactions!$D$7:$D$989,"Income",Transactions!$E$7:$E$989,A106),"")</f>
        <v/>
      </c>
      <c r="D106" s="88" t="str">
        <f>IF(A106&lt;&gt;"",SUMIFS(Transactions!$F$7:$F$989,Transactions!$D$7:$D$989,"Expense",Transactions!$E$7:$E$989,A106),"")</f>
        <v/>
      </c>
      <c r="E106" s="89" t="str">
        <f t="shared" si="1"/>
        <v/>
      </c>
      <c r="F106" s="89" t="str">
        <f t="shared" si="2"/>
        <v/>
      </c>
      <c r="G106" s="86" t="str">
        <f>IF(A106&lt;&gt;"",SUMIFS(Transactions!$F$7:$F$989,Transactions!$D$7:$D$989,"Credit",Transactions!$H$7:$H$989,A106),"")</f>
        <v/>
      </c>
      <c r="H106" s="80"/>
      <c r="I106" s="5"/>
      <c r="J106" s="5"/>
      <c r="K106" s="5"/>
      <c r="L106" s="5"/>
      <c r="M106" s="5"/>
      <c r="N106" s="5"/>
      <c r="O106" s="5"/>
      <c r="P106" s="5"/>
      <c r="Q106" s="5"/>
      <c r="R106" s="5"/>
      <c r="S106" s="5"/>
      <c r="T106" s="5"/>
      <c r="U106" s="5"/>
      <c r="V106" s="5"/>
      <c r="W106" s="5"/>
      <c r="X106" s="5"/>
      <c r="Y106" s="5"/>
      <c r="Z106" s="5"/>
    </row>
    <row r="107" ht="19.5" customHeight="1">
      <c r="A107" s="84" t="str">
        <f>IF(Roster!$A$105&lt;&gt;"",Roster!$A$105,"")</f>
        <v/>
      </c>
      <c r="B107" s="84" t="str">
        <f t="array" ref="B107">IF(A107&lt;&gt;"",IFERROR(SUMPRODUCT((INDEX(Attendance!$B$7:$AV$206,MATCH(A107,Attendance!$A$7:$A$206,0),0)=1)*Attendance!$B$4:$AV$4),0),"")</f>
        <v/>
      </c>
      <c r="C107" s="85" t="str">
        <f>IF(A107&lt;&gt;"",SUMIFS(Transactions!$F$7:$F$989,Transactions!$D$7:$D$989,"Income",Transactions!$E$7:$E$989,A107),"")</f>
        <v/>
      </c>
      <c r="D107" s="85" t="str">
        <f>IF(A107&lt;&gt;"",SUMIFS(Transactions!$F$7:$F$989,Transactions!$D$7:$D$989,"Expense",Transactions!$E$7:$E$989,A107),"")</f>
        <v/>
      </c>
      <c r="E107" s="82" t="str">
        <f t="shared" si="1"/>
        <v/>
      </c>
      <c r="F107" s="82" t="str">
        <f t="shared" si="2"/>
        <v/>
      </c>
      <c r="G107" s="86" t="str">
        <f>IF(A107&lt;&gt;"",SUMIFS(Transactions!$F$7:$F$989,Transactions!$D$7:$D$989,"Credit",Transactions!$H$7:$H$989,A107),"")</f>
        <v/>
      </c>
      <c r="H107" s="80"/>
      <c r="I107" s="5"/>
      <c r="J107" s="5"/>
      <c r="K107" s="5"/>
      <c r="L107" s="5"/>
      <c r="M107" s="5"/>
      <c r="N107" s="5"/>
      <c r="O107" s="5"/>
      <c r="P107" s="5"/>
      <c r="Q107" s="5"/>
      <c r="R107" s="5"/>
      <c r="S107" s="5"/>
      <c r="T107" s="5"/>
      <c r="U107" s="5"/>
      <c r="V107" s="5"/>
      <c r="W107" s="5"/>
      <c r="X107" s="5"/>
      <c r="Y107" s="5"/>
      <c r="Z107" s="5"/>
    </row>
    <row r="108" ht="19.5" customHeight="1">
      <c r="A108" s="87" t="str">
        <f>IF(Roster!$A$106&lt;&gt;"",Roster!$A$106,"")</f>
        <v/>
      </c>
      <c r="B108" s="87" t="str">
        <f t="array" ref="B108">IF(A108&lt;&gt;"",IFERROR(SUMPRODUCT((INDEX(Attendance!$B$7:$AV$206,MATCH(A108,Attendance!$A$7:$A$206,0),0)=1)*Attendance!$B$4:$AV$4),0),"")</f>
        <v/>
      </c>
      <c r="C108" s="88" t="str">
        <f>IF(A108&lt;&gt;"",SUMIFS(Transactions!$F$7:$F$989,Transactions!$D$7:$D$989,"Income",Transactions!$E$7:$E$989,A108),"")</f>
        <v/>
      </c>
      <c r="D108" s="88" t="str">
        <f>IF(A108&lt;&gt;"",SUMIFS(Transactions!$F$7:$F$989,Transactions!$D$7:$D$989,"Expense",Transactions!$E$7:$E$989,A108),"")</f>
        <v/>
      </c>
      <c r="E108" s="89" t="str">
        <f t="shared" si="1"/>
        <v/>
      </c>
      <c r="F108" s="89" t="str">
        <f t="shared" si="2"/>
        <v/>
      </c>
      <c r="G108" s="86" t="str">
        <f>IF(A108&lt;&gt;"",SUMIFS(Transactions!$F$7:$F$989,Transactions!$D$7:$D$989,"Credit",Transactions!$H$7:$H$989,A108),"")</f>
        <v/>
      </c>
      <c r="H108" s="80"/>
      <c r="I108" s="5"/>
      <c r="J108" s="5"/>
      <c r="K108" s="5"/>
      <c r="L108" s="5"/>
      <c r="M108" s="5"/>
      <c r="N108" s="5"/>
      <c r="O108" s="5"/>
      <c r="P108" s="5"/>
      <c r="Q108" s="5"/>
      <c r="R108" s="5"/>
      <c r="S108" s="5"/>
      <c r="T108" s="5"/>
      <c r="U108" s="5"/>
      <c r="V108" s="5"/>
      <c r="W108" s="5"/>
      <c r="X108" s="5"/>
      <c r="Y108" s="5"/>
      <c r="Z108" s="5"/>
    </row>
    <row r="109" ht="19.5" customHeight="1">
      <c r="A109" s="84" t="str">
        <f>IF(Roster!$A$107&lt;&gt;"",Roster!$A$107,"")</f>
        <v/>
      </c>
      <c r="B109" s="84" t="str">
        <f t="array" ref="B109">IF(A109&lt;&gt;"",IFERROR(SUMPRODUCT((INDEX(Attendance!$B$7:$AV$206,MATCH(A109,Attendance!$A$7:$A$206,0),0)=1)*Attendance!$B$4:$AV$4),0),"")</f>
        <v/>
      </c>
      <c r="C109" s="85" t="str">
        <f>IF(A109&lt;&gt;"",SUMIFS(Transactions!$F$7:$F$989,Transactions!$D$7:$D$989,"Income",Transactions!$E$7:$E$989,A109),"")</f>
        <v/>
      </c>
      <c r="D109" s="85" t="str">
        <f>IF(A109&lt;&gt;"",SUMIFS(Transactions!$F$7:$F$989,Transactions!$D$7:$D$989,"Expense",Transactions!$E$7:$E$989,A109),"")</f>
        <v/>
      </c>
      <c r="E109" s="82" t="str">
        <f t="shared" si="1"/>
        <v/>
      </c>
      <c r="F109" s="82" t="str">
        <f t="shared" si="2"/>
        <v/>
      </c>
      <c r="G109" s="86" t="str">
        <f>IF(A109&lt;&gt;"",SUMIFS(Transactions!$F$7:$F$989,Transactions!$D$7:$D$989,"Credit",Transactions!$H$7:$H$989,A109),"")</f>
        <v/>
      </c>
      <c r="H109" s="80"/>
      <c r="I109" s="5"/>
      <c r="J109" s="5"/>
      <c r="K109" s="5"/>
      <c r="L109" s="5"/>
      <c r="M109" s="5"/>
      <c r="N109" s="5"/>
      <c r="O109" s="5"/>
      <c r="P109" s="5"/>
      <c r="Q109" s="5"/>
      <c r="R109" s="5"/>
      <c r="S109" s="5"/>
      <c r="T109" s="5"/>
      <c r="U109" s="5"/>
      <c r="V109" s="5"/>
      <c r="W109" s="5"/>
      <c r="X109" s="5"/>
      <c r="Y109" s="5"/>
      <c r="Z109" s="5"/>
    </row>
    <row r="110" ht="19.5" customHeight="1">
      <c r="A110" s="87" t="str">
        <f>IF(Roster!$A$108&lt;&gt;"",Roster!$A$108,"")</f>
        <v/>
      </c>
      <c r="B110" s="87" t="str">
        <f t="array" ref="B110">IF(A110&lt;&gt;"",IFERROR(SUMPRODUCT((INDEX(Attendance!$B$7:$AV$206,MATCH(A110,Attendance!$A$7:$A$206,0),0)=1)*Attendance!$B$4:$AV$4),0),"")</f>
        <v/>
      </c>
      <c r="C110" s="88" t="str">
        <f>IF(A110&lt;&gt;"",SUMIFS(Transactions!$F$7:$F$989,Transactions!$D$7:$D$989,"Income",Transactions!$E$7:$E$989,A110),"")</f>
        <v/>
      </c>
      <c r="D110" s="88" t="str">
        <f>IF(A110&lt;&gt;"",SUMIFS(Transactions!$F$7:$F$989,Transactions!$D$7:$D$989,"Expense",Transactions!$E$7:$E$989,A110),"")</f>
        <v/>
      </c>
      <c r="E110" s="89" t="str">
        <f t="shared" si="1"/>
        <v/>
      </c>
      <c r="F110" s="89" t="str">
        <f t="shared" si="2"/>
        <v/>
      </c>
      <c r="G110" s="86" t="str">
        <f>IF(A110&lt;&gt;"",SUMIFS(Transactions!$F$7:$F$989,Transactions!$D$7:$D$989,"Credit",Transactions!$H$7:$H$989,A110),"")</f>
        <v/>
      </c>
      <c r="H110" s="80"/>
      <c r="I110" s="5"/>
      <c r="J110" s="5"/>
      <c r="K110" s="5"/>
      <c r="L110" s="5"/>
      <c r="M110" s="5"/>
      <c r="N110" s="5"/>
      <c r="O110" s="5"/>
      <c r="P110" s="5"/>
      <c r="Q110" s="5"/>
      <c r="R110" s="5"/>
      <c r="S110" s="5"/>
      <c r="T110" s="5"/>
      <c r="U110" s="5"/>
      <c r="V110" s="5"/>
      <c r="W110" s="5"/>
      <c r="X110" s="5"/>
      <c r="Y110" s="5"/>
      <c r="Z110" s="5"/>
    </row>
    <row r="111" ht="19.5" customHeight="1">
      <c r="A111" s="84" t="str">
        <f>IF(Roster!$A$109&lt;&gt;"",Roster!$A$109,"")</f>
        <v/>
      </c>
      <c r="B111" s="84" t="str">
        <f t="array" ref="B111">IF(A111&lt;&gt;"",IFERROR(SUMPRODUCT((INDEX(Attendance!$B$7:$AV$206,MATCH(A111,Attendance!$A$7:$A$206,0),0)=1)*Attendance!$B$4:$AV$4),0),"")</f>
        <v/>
      </c>
      <c r="C111" s="85" t="str">
        <f>IF(A111&lt;&gt;"",SUMIFS(Transactions!$F$7:$F$989,Transactions!$D$7:$D$989,"Income",Transactions!$E$7:$E$989,A111),"")</f>
        <v/>
      </c>
      <c r="D111" s="85" t="str">
        <f>IF(A111&lt;&gt;"",SUMIFS(Transactions!$F$7:$F$989,Transactions!$D$7:$D$989,"Expense",Transactions!$E$7:$E$989,A111),"")</f>
        <v/>
      </c>
      <c r="E111" s="82" t="str">
        <f t="shared" si="1"/>
        <v/>
      </c>
      <c r="F111" s="82" t="str">
        <f t="shared" si="2"/>
        <v/>
      </c>
      <c r="G111" s="86" t="str">
        <f>IF(A111&lt;&gt;"",SUMIFS(Transactions!$F$7:$F$989,Transactions!$D$7:$D$989,"Credit",Transactions!$H$7:$H$989,A111),"")</f>
        <v/>
      </c>
      <c r="H111" s="80"/>
      <c r="I111" s="5"/>
      <c r="J111" s="5"/>
      <c r="K111" s="5"/>
      <c r="L111" s="5"/>
      <c r="M111" s="5"/>
      <c r="N111" s="5"/>
      <c r="O111" s="5"/>
      <c r="P111" s="5"/>
      <c r="Q111" s="5"/>
      <c r="R111" s="5"/>
      <c r="S111" s="5"/>
      <c r="T111" s="5"/>
      <c r="U111" s="5"/>
      <c r="V111" s="5"/>
      <c r="W111" s="5"/>
      <c r="X111" s="5"/>
      <c r="Y111" s="5"/>
      <c r="Z111" s="5"/>
    </row>
    <row r="112" ht="19.5" customHeight="1">
      <c r="A112" s="87" t="str">
        <f>IF(Roster!$A$110&lt;&gt;"",Roster!$A$110,"")</f>
        <v/>
      </c>
      <c r="B112" s="87" t="str">
        <f t="array" ref="B112">IF(A112&lt;&gt;"",IFERROR(SUMPRODUCT((INDEX(Attendance!$B$7:$AV$206,MATCH(A112,Attendance!$A$7:$A$206,0),0)=1)*Attendance!$B$4:$AV$4),0),"")</f>
        <v/>
      </c>
      <c r="C112" s="88" t="str">
        <f>IF(A112&lt;&gt;"",SUMIFS(Transactions!$F$7:$F$989,Transactions!$D$7:$D$989,"Income",Transactions!$E$7:$E$989,A112),"")</f>
        <v/>
      </c>
      <c r="D112" s="88" t="str">
        <f>IF(A112&lt;&gt;"",SUMIFS(Transactions!$F$7:$F$989,Transactions!$D$7:$D$989,"Expense",Transactions!$E$7:$E$989,A112),"")</f>
        <v/>
      </c>
      <c r="E112" s="89" t="str">
        <f t="shared" si="1"/>
        <v/>
      </c>
      <c r="F112" s="89" t="str">
        <f t="shared" si="2"/>
        <v/>
      </c>
      <c r="G112" s="86" t="str">
        <f>IF(A112&lt;&gt;"",SUMIFS(Transactions!$F$7:$F$989,Transactions!$D$7:$D$989,"Credit",Transactions!$H$7:$H$989,A112),"")</f>
        <v/>
      </c>
      <c r="H112" s="80"/>
      <c r="I112" s="5"/>
      <c r="J112" s="5"/>
      <c r="K112" s="5"/>
      <c r="L112" s="5"/>
      <c r="M112" s="5"/>
      <c r="N112" s="5"/>
      <c r="O112" s="5"/>
      <c r="P112" s="5"/>
      <c r="Q112" s="5"/>
      <c r="R112" s="5"/>
      <c r="S112" s="5"/>
      <c r="T112" s="5"/>
      <c r="U112" s="5"/>
      <c r="V112" s="5"/>
      <c r="W112" s="5"/>
      <c r="X112" s="5"/>
      <c r="Y112" s="5"/>
      <c r="Z112" s="5"/>
    </row>
    <row r="113" ht="19.5" customHeight="1">
      <c r="A113" s="84" t="str">
        <f>IF(Roster!$A$111&lt;&gt;"",Roster!$A$111,"")</f>
        <v/>
      </c>
      <c r="B113" s="84" t="str">
        <f t="array" ref="B113">IF(A113&lt;&gt;"",IFERROR(SUMPRODUCT((INDEX(Attendance!$B$7:$AV$206,MATCH(A113,Attendance!$A$7:$A$206,0),0)=1)*Attendance!$B$4:$AV$4),0),"")</f>
        <v/>
      </c>
      <c r="C113" s="85" t="str">
        <f>IF(A113&lt;&gt;"",SUMIFS(Transactions!$F$7:$F$989,Transactions!$D$7:$D$989,"Income",Transactions!$E$7:$E$989,A113),"")</f>
        <v/>
      </c>
      <c r="D113" s="85" t="str">
        <f>IF(A113&lt;&gt;"",SUMIFS(Transactions!$F$7:$F$989,Transactions!$D$7:$D$989,"Expense",Transactions!$E$7:$E$989,A113),"")</f>
        <v/>
      </c>
      <c r="E113" s="82" t="str">
        <f t="shared" si="1"/>
        <v/>
      </c>
      <c r="F113" s="82" t="str">
        <f t="shared" si="2"/>
        <v/>
      </c>
      <c r="G113" s="86" t="str">
        <f>IF(A113&lt;&gt;"",SUMIFS(Transactions!$F$7:$F$989,Transactions!$D$7:$D$989,"Credit",Transactions!$H$7:$H$989,A113),"")</f>
        <v/>
      </c>
      <c r="H113" s="80"/>
      <c r="I113" s="5"/>
      <c r="J113" s="5"/>
      <c r="K113" s="5"/>
      <c r="L113" s="5"/>
      <c r="M113" s="5"/>
      <c r="N113" s="5"/>
      <c r="O113" s="5"/>
      <c r="P113" s="5"/>
      <c r="Q113" s="5"/>
      <c r="R113" s="5"/>
      <c r="S113" s="5"/>
      <c r="T113" s="5"/>
      <c r="U113" s="5"/>
      <c r="V113" s="5"/>
      <c r="W113" s="5"/>
      <c r="X113" s="5"/>
      <c r="Y113" s="5"/>
      <c r="Z113" s="5"/>
    </row>
    <row r="114" ht="19.5" customHeight="1">
      <c r="A114" s="87" t="str">
        <f>IF(Roster!$A$112&lt;&gt;"",Roster!$A$112,"")</f>
        <v/>
      </c>
      <c r="B114" s="87" t="str">
        <f t="array" ref="B114">IF(A114&lt;&gt;"",IFERROR(SUMPRODUCT((INDEX(Attendance!$B$7:$AV$206,MATCH(A114,Attendance!$A$7:$A$206,0),0)=1)*Attendance!$B$4:$AV$4),0),"")</f>
        <v/>
      </c>
      <c r="C114" s="88" t="str">
        <f>IF(A114&lt;&gt;"",SUMIFS(Transactions!$F$7:$F$989,Transactions!$D$7:$D$989,"Income",Transactions!$E$7:$E$989,A114),"")</f>
        <v/>
      </c>
      <c r="D114" s="88" t="str">
        <f>IF(A114&lt;&gt;"",SUMIFS(Transactions!$F$7:$F$989,Transactions!$D$7:$D$989,"Expense",Transactions!$E$7:$E$989,A114),"")</f>
        <v/>
      </c>
      <c r="E114" s="89" t="str">
        <f t="shared" si="1"/>
        <v/>
      </c>
      <c r="F114" s="89" t="str">
        <f t="shared" si="2"/>
        <v/>
      </c>
      <c r="G114" s="86" t="str">
        <f>IF(A114&lt;&gt;"",SUMIFS(Transactions!$F$7:$F$989,Transactions!$D$7:$D$989,"Credit",Transactions!$H$7:$H$989,A114),"")</f>
        <v/>
      </c>
      <c r="H114" s="80"/>
      <c r="I114" s="5"/>
      <c r="J114" s="5"/>
      <c r="K114" s="5"/>
      <c r="L114" s="5"/>
      <c r="M114" s="5"/>
      <c r="N114" s="5"/>
      <c r="O114" s="5"/>
      <c r="P114" s="5"/>
      <c r="Q114" s="5"/>
      <c r="R114" s="5"/>
      <c r="S114" s="5"/>
      <c r="T114" s="5"/>
      <c r="U114" s="5"/>
      <c r="V114" s="5"/>
      <c r="W114" s="5"/>
      <c r="X114" s="5"/>
      <c r="Y114" s="5"/>
      <c r="Z114" s="5"/>
    </row>
    <row r="115" ht="19.5" customHeight="1">
      <c r="A115" s="84" t="str">
        <f>IF(Roster!$A$113&lt;&gt;"",Roster!$A$113,"")</f>
        <v/>
      </c>
      <c r="B115" s="84" t="str">
        <f t="array" ref="B115">IF(A115&lt;&gt;"",IFERROR(SUMPRODUCT((INDEX(Attendance!$B$7:$AV$206,MATCH(A115,Attendance!$A$7:$A$206,0),0)=1)*Attendance!$B$4:$AV$4),0),"")</f>
        <v/>
      </c>
      <c r="C115" s="85" t="str">
        <f>IF(A115&lt;&gt;"",SUMIFS(Transactions!$F$7:$F$989,Transactions!$D$7:$D$989,"Income",Transactions!$E$7:$E$989,A115),"")</f>
        <v/>
      </c>
      <c r="D115" s="85" t="str">
        <f>IF(A115&lt;&gt;"",SUMIFS(Transactions!$F$7:$F$989,Transactions!$D$7:$D$989,"Expense",Transactions!$E$7:$E$989,A115),"")</f>
        <v/>
      </c>
      <c r="E115" s="82" t="str">
        <f t="shared" si="1"/>
        <v/>
      </c>
      <c r="F115" s="82" t="str">
        <f t="shared" si="2"/>
        <v/>
      </c>
      <c r="G115" s="86" t="str">
        <f>IF(A115&lt;&gt;"",SUMIFS(Transactions!$F$7:$F$989,Transactions!$D$7:$D$989,"Credit",Transactions!$H$7:$H$989,A115),"")</f>
        <v/>
      </c>
      <c r="H115" s="80"/>
      <c r="I115" s="5"/>
      <c r="J115" s="5"/>
      <c r="K115" s="5"/>
      <c r="L115" s="5"/>
      <c r="M115" s="5"/>
      <c r="N115" s="5"/>
      <c r="O115" s="5"/>
      <c r="P115" s="5"/>
      <c r="Q115" s="5"/>
      <c r="R115" s="5"/>
      <c r="S115" s="5"/>
      <c r="T115" s="5"/>
      <c r="U115" s="5"/>
      <c r="V115" s="5"/>
      <c r="W115" s="5"/>
      <c r="X115" s="5"/>
      <c r="Y115" s="5"/>
      <c r="Z115" s="5"/>
    </row>
    <row r="116" ht="19.5" customHeight="1">
      <c r="A116" s="87" t="str">
        <f>IF(Roster!$A$114&lt;&gt;"",Roster!$A$114,"")</f>
        <v/>
      </c>
      <c r="B116" s="87" t="str">
        <f t="array" ref="B116">IF(A116&lt;&gt;"",IFERROR(SUMPRODUCT((INDEX(Attendance!$B$7:$AV$206,MATCH(A116,Attendance!$A$7:$A$206,0),0)=1)*Attendance!$B$4:$AV$4),0),"")</f>
        <v/>
      </c>
      <c r="C116" s="88" t="str">
        <f>IF(A116&lt;&gt;"",SUMIFS(Transactions!$F$7:$F$989,Transactions!$D$7:$D$989,"Income",Transactions!$E$7:$E$989,A116),"")</f>
        <v/>
      </c>
      <c r="D116" s="88" t="str">
        <f>IF(A116&lt;&gt;"",SUMIFS(Transactions!$F$7:$F$989,Transactions!$D$7:$D$989,"Expense",Transactions!$E$7:$E$989,A116),"")</f>
        <v/>
      </c>
      <c r="E116" s="89" t="str">
        <f t="shared" si="1"/>
        <v/>
      </c>
      <c r="F116" s="89" t="str">
        <f t="shared" si="2"/>
        <v/>
      </c>
      <c r="G116" s="86" t="str">
        <f>IF(A116&lt;&gt;"",SUMIFS(Transactions!$F$7:$F$989,Transactions!$D$7:$D$989,"Credit",Transactions!$H$7:$H$989,A116),"")</f>
        <v/>
      </c>
      <c r="H116" s="80"/>
      <c r="I116" s="5"/>
      <c r="J116" s="5"/>
      <c r="K116" s="5"/>
      <c r="L116" s="5"/>
      <c r="M116" s="5"/>
      <c r="N116" s="5"/>
      <c r="O116" s="5"/>
      <c r="P116" s="5"/>
      <c r="Q116" s="5"/>
      <c r="R116" s="5"/>
      <c r="S116" s="5"/>
      <c r="T116" s="5"/>
      <c r="U116" s="5"/>
      <c r="V116" s="5"/>
      <c r="W116" s="5"/>
      <c r="X116" s="5"/>
      <c r="Y116" s="5"/>
      <c r="Z116" s="5"/>
    </row>
    <row r="117" ht="19.5" customHeight="1">
      <c r="A117" s="84" t="str">
        <f>IF(Roster!$A$115&lt;&gt;"",Roster!$A$115,"")</f>
        <v/>
      </c>
      <c r="B117" s="84" t="str">
        <f t="array" ref="B117">IF(A117&lt;&gt;"",IFERROR(SUMPRODUCT((INDEX(Attendance!$B$7:$AV$206,MATCH(A117,Attendance!$A$7:$A$206,0),0)=1)*Attendance!$B$4:$AV$4),0),"")</f>
        <v/>
      </c>
      <c r="C117" s="85" t="str">
        <f>IF(A117&lt;&gt;"",SUMIFS(Transactions!$F$7:$F$989,Transactions!$D$7:$D$989,"Income",Transactions!$E$7:$E$989,A117),"")</f>
        <v/>
      </c>
      <c r="D117" s="85" t="str">
        <f>IF(A117&lt;&gt;"",SUMIFS(Transactions!$F$7:$F$989,Transactions!$D$7:$D$989,"Expense",Transactions!$E$7:$E$989,A117),"")</f>
        <v/>
      </c>
      <c r="E117" s="82" t="str">
        <f t="shared" si="1"/>
        <v/>
      </c>
      <c r="F117" s="82" t="str">
        <f t="shared" si="2"/>
        <v/>
      </c>
      <c r="G117" s="86" t="str">
        <f>IF(A117&lt;&gt;"",SUMIFS(Transactions!$F$7:$F$989,Transactions!$D$7:$D$989,"Credit",Transactions!$H$7:$H$989,A117),"")</f>
        <v/>
      </c>
      <c r="H117" s="80"/>
      <c r="I117" s="5"/>
      <c r="J117" s="5"/>
      <c r="K117" s="5"/>
      <c r="L117" s="5"/>
      <c r="M117" s="5"/>
      <c r="N117" s="5"/>
      <c r="O117" s="5"/>
      <c r="P117" s="5"/>
      <c r="Q117" s="5"/>
      <c r="R117" s="5"/>
      <c r="S117" s="5"/>
      <c r="T117" s="5"/>
      <c r="U117" s="5"/>
      <c r="V117" s="5"/>
      <c r="W117" s="5"/>
      <c r="X117" s="5"/>
      <c r="Y117" s="5"/>
      <c r="Z117" s="5"/>
    </row>
    <row r="118" ht="19.5" customHeight="1">
      <c r="A118" s="87" t="str">
        <f>IF(Roster!$A$116&lt;&gt;"",Roster!$A$116,"")</f>
        <v/>
      </c>
      <c r="B118" s="87" t="str">
        <f t="array" ref="B118">IF(A118&lt;&gt;"",IFERROR(SUMPRODUCT((INDEX(Attendance!$B$7:$AV$206,MATCH(A118,Attendance!$A$7:$A$206,0),0)=1)*Attendance!$B$4:$AV$4),0),"")</f>
        <v/>
      </c>
      <c r="C118" s="88" t="str">
        <f>IF(A118&lt;&gt;"",SUMIFS(Transactions!$F$7:$F$989,Transactions!$D$7:$D$989,"Income",Transactions!$E$7:$E$989,A118),"")</f>
        <v/>
      </c>
      <c r="D118" s="88" t="str">
        <f>IF(A118&lt;&gt;"",SUMIFS(Transactions!$F$7:$F$989,Transactions!$D$7:$D$989,"Expense",Transactions!$E$7:$E$989,A118),"")</f>
        <v/>
      </c>
      <c r="E118" s="89" t="str">
        <f t="shared" si="1"/>
        <v/>
      </c>
      <c r="F118" s="89" t="str">
        <f t="shared" si="2"/>
        <v/>
      </c>
      <c r="G118" s="86" t="str">
        <f>IF(A118&lt;&gt;"",SUMIFS(Transactions!$F$7:$F$989,Transactions!$D$7:$D$989,"Credit",Transactions!$H$7:$H$989,A118),"")</f>
        <v/>
      </c>
      <c r="H118" s="80"/>
      <c r="I118" s="5"/>
      <c r="J118" s="5"/>
      <c r="K118" s="5"/>
      <c r="L118" s="5"/>
      <c r="M118" s="5"/>
      <c r="N118" s="5"/>
      <c r="O118" s="5"/>
      <c r="P118" s="5"/>
      <c r="Q118" s="5"/>
      <c r="R118" s="5"/>
      <c r="S118" s="5"/>
      <c r="T118" s="5"/>
      <c r="U118" s="5"/>
      <c r="V118" s="5"/>
      <c r="W118" s="5"/>
      <c r="X118" s="5"/>
      <c r="Y118" s="5"/>
      <c r="Z118" s="5"/>
    </row>
    <row r="119" ht="19.5" customHeight="1">
      <c r="A119" s="84" t="str">
        <f>IF(Roster!$A$117&lt;&gt;"",Roster!$A$117,"")</f>
        <v/>
      </c>
      <c r="B119" s="84" t="str">
        <f t="array" ref="B119">IF(A119&lt;&gt;"",IFERROR(SUMPRODUCT((INDEX(Attendance!$B$7:$AV$206,MATCH(A119,Attendance!$A$7:$A$206,0),0)=1)*Attendance!$B$4:$AV$4),0),"")</f>
        <v/>
      </c>
      <c r="C119" s="85" t="str">
        <f>IF(A119&lt;&gt;"",SUMIFS(Transactions!$F$7:$F$989,Transactions!$D$7:$D$989,"Income",Transactions!$E$7:$E$989,A119),"")</f>
        <v/>
      </c>
      <c r="D119" s="85" t="str">
        <f>IF(A119&lt;&gt;"",SUMIFS(Transactions!$F$7:$F$989,Transactions!$D$7:$D$989,"Expense",Transactions!$E$7:$E$989,A119),"")</f>
        <v/>
      </c>
      <c r="E119" s="82" t="str">
        <f t="shared" si="1"/>
        <v/>
      </c>
      <c r="F119" s="82" t="str">
        <f t="shared" si="2"/>
        <v/>
      </c>
      <c r="G119" s="86" t="str">
        <f>IF(A119&lt;&gt;"",SUMIFS(Transactions!$F$7:$F$989,Transactions!$D$7:$D$989,"Credit",Transactions!$H$7:$H$989,A119),"")</f>
        <v/>
      </c>
      <c r="H119" s="80"/>
      <c r="I119" s="5"/>
      <c r="J119" s="5"/>
      <c r="K119" s="5"/>
      <c r="L119" s="5"/>
      <c r="M119" s="5"/>
      <c r="N119" s="5"/>
      <c r="O119" s="5"/>
      <c r="P119" s="5"/>
      <c r="Q119" s="5"/>
      <c r="R119" s="5"/>
      <c r="S119" s="5"/>
      <c r="T119" s="5"/>
      <c r="U119" s="5"/>
      <c r="V119" s="5"/>
      <c r="W119" s="5"/>
      <c r="X119" s="5"/>
      <c r="Y119" s="5"/>
      <c r="Z119" s="5"/>
    </row>
    <row r="120" ht="19.5" customHeight="1">
      <c r="A120" s="87" t="str">
        <f>IF(Roster!$A$118&lt;&gt;"",Roster!$A$118,"")</f>
        <v/>
      </c>
      <c r="B120" s="87" t="str">
        <f t="array" ref="B120">IF(A120&lt;&gt;"",IFERROR(SUMPRODUCT((INDEX(Attendance!$B$7:$AV$206,MATCH(A120,Attendance!$A$7:$A$206,0),0)=1)*Attendance!$B$4:$AV$4),0),"")</f>
        <v/>
      </c>
      <c r="C120" s="88" t="str">
        <f>IF(A120&lt;&gt;"",SUMIFS(Transactions!$F$7:$F$989,Transactions!$D$7:$D$989,"Income",Transactions!$E$7:$E$989,A120),"")</f>
        <v/>
      </c>
      <c r="D120" s="88" t="str">
        <f>IF(A120&lt;&gt;"",SUMIFS(Transactions!$F$7:$F$989,Transactions!$D$7:$D$989,"Expense",Transactions!$E$7:$E$989,A120),"")</f>
        <v/>
      </c>
      <c r="E120" s="89" t="str">
        <f t="shared" si="1"/>
        <v/>
      </c>
      <c r="F120" s="89" t="str">
        <f t="shared" si="2"/>
        <v/>
      </c>
      <c r="G120" s="86" t="str">
        <f>IF(A120&lt;&gt;"",SUMIFS(Transactions!$F$7:$F$989,Transactions!$D$7:$D$989,"Credit",Transactions!$H$7:$H$989,A120),"")</f>
        <v/>
      </c>
      <c r="H120" s="80"/>
      <c r="I120" s="5"/>
      <c r="J120" s="5"/>
      <c r="K120" s="5"/>
      <c r="L120" s="5"/>
      <c r="M120" s="5"/>
      <c r="N120" s="5"/>
      <c r="O120" s="5"/>
      <c r="P120" s="5"/>
      <c r="Q120" s="5"/>
      <c r="R120" s="5"/>
      <c r="S120" s="5"/>
      <c r="T120" s="5"/>
      <c r="U120" s="5"/>
      <c r="V120" s="5"/>
      <c r="W120" s="5"/>
      <c r="X120" s="5"/>
      <c r="Y120" s="5"/>
      <c r="Z120" s="5"/>
    </row>
    <row r="121" ht="19.5" customHeight="1">
      <c r="A121" s="84" t="str">
        <f>IF(Roster!$A$119&lt;&gt;"",Roster!$A$119,"")</f>
        <v/>
      </c>
      <c r="B121" s="84" t="str">
        <f t="array" ref="B121">IF(A121&lt;&gt;"",IFERROR(SUMPRODUCT((INDEX(Attendance!$B$7:$AV$206,MATCH(A121,Attendance!$A$7:$A$206,0),0)=1)*Attendance!$B$4:$AV$4),0),"")</f>
        <v/>
      </c>
      <c r="C121" s="85" t="str">
        <f>IF(A121&lt;&gt;"",SUMIFS(Transactions!$F$7:$F$989,Transactions!$D$7:$D$989,"Income",Transactions!$E$7:$E$989,A121),"")</f>
        <v/>
      </c>
      <c r="D121" s="85" t="str">
        <f>IF(A121&lt;&gt;"",SUMIFS(Transactions!$F$7:$F$989,Transactions!$D$7:$D$989,"Expense",Transactions!$E$7:$E$989,A121),"")</f>
        <v/>
      </c>
      <c r="E121" s="82" t="str">
        <f t="shared" si="1"/>
        <v/>
      </c>
      <c r="F121" s="82" t="str">
        <f t="shared" si="2"/>
        <v/>
      </c>
      <c r="G121" s="86" t="str">
        <f>IF(A121&lt;&gt;"",SUMIFS(Transactions!$F$7:$F$989,Transactions!$D$7:$D$989,"Credit",Transactions!$H$7:$H$989,A121),"")</f>
        <v/>
      </c>
      <c r="H121" s="80"/>
      <c r="I121" s="5"/>
      <c r="J121" s="5"/>
      <c r="K121" s="5"/>
      <c r="L121" s="5"/>
      <c r="M121" s="5"/>
      <c r="N121" s="5"/>
      <c r="O121" s="5"/>
      <c r="P121" s="5"/>
      <c r="Q121" s="5"/>
      <c r="R121" s="5"/>
      <c r="S121" s="5"/>
      <c r="T121" s="5"/>
      <c r="U121" s="5"/>
      <c r="V121" s="5"/>
      <c r="W121" s="5"/>
      <c r="X121" s="5"/>
      <c r="Y121" s="5"/>
      <c r="Z121" s="5"/>
    </row>
    <row r="122" ht="19.5" customHeight="1">
      <c r="A122" s="87" t="str">
        <f>IF(Roster!$A$120&lt;&gt;"",Roster!$A$120,"")</f>
        <v/>
      </c>
      <c r="B122" s="87" t="str">
        <f t="array" ref="B122">IF(A122&lt;&gt;"",IFERROR(SUMPRODUCT((INDEX(Attendance!$B$7:$AV$206,MATCH(A122,Attendance!$A$7:$A$206,0),0)=1)*Attendance!$B$4:$AV$4),0),"")</f>
        <v/>
      </c>
      <c r="C122" s="88" t="str">
        <f>IF(A122&lt;&gt;"",SUMIFS(Transactions!$F$7:$F$989,Transactions!$D$7:$D$989,"Income",Transactions!$E$7:$E$989,A122),"")</f>
        <v/>
      </c>
      <c r="D122" s="88" t="str">
        <f>IF(A122&lt;&gt;"",SUMIFS(Transactions!$F$7:$F$989,Transactions!$D$7:$D$989,"Expense",Transactions!$E$7:$E$989,A122),"")</f>
        <v/>
      </c>
      <c r="E122" s="89" t="str">
        <f t="shared" si="1"/>
        <v/>
      </c>
      <c r="F122" s="89" t="str">
        <f t="shared" si="2"/>
        <v/>
      </c>
      <c r="G122" s="86" t="str">
        <f>IF(A122&lt;&gt;"",SUMIFS(Transactions!$F$7:$F$989,Transactions!$D$7:$D$989,"Credit",Transactions!$H$7:$H$989,A122),"")</f>
        <v/>
      </c>
      <c r="H122" s="80"/>
      <c r="I122" s="5"/>
      <c r="J122" s="5"/>
      <c r="K122" s="5"/>
      <c r="L122" s="5"/>
      <c r="M122" s="5"/>
      <c r="N122" s="5"/>
      <c r="O122" s="5"/>
      <c r="P122" s="5"/>
      <c r="Q122" s="5"/>
      <c r="R122" s="5"/>
      <c r="S122" s="5"/>
      <c r="T122" s="5"/>
      <c r="U122" s="5"/>
      <c r="V122" s="5"/>
      <c r="W122" s="5"/>
      <c r="X122" s="5"/>
      <c r="Y122" s="5"/>
      <c r="Z122" s="5"/>
    </row>
    <row r="123" ht="19.5" customHeight="1">
      <c r="A123" s="84" t="str">
        <f>IF(Roster!$A$121&lt;&gt;"",Roster!$A$121,"")</f>
        <v/>
      </c>
      <c r="B123" s="84" t="str">
        <f t="array" ref="B123">IF(A123&lt;&gt;"",IFERROR(SUMPRODUCT((INDEX(Attendance!$B$7:$AV$206,MATCH(A123,Attendance!$A$7:$A$206,0),0)=1)*Attendance!$B$4:$AV$4),0),"")</f>
        <v/>
      </c>
      <c r="C123" s="85" t="str">
        <f>IF(A123&lt;&gt;"",SUMIFS(Transactions!$F$7:$F$989,Transactions!$D$7:$D$989,"Income",Transactions!$E$7:$E$989,A123),"")</f>
        <v/>
      </c>
      <c r="D123" s="85" t="str">
        <f>IF(A123&lt;&gt;"",SUMIFS(Transactions!$F$7:$F$989,Transactions!$D$7:$D$989,"Expense",Transactions!$E$7:$E$989,A123),"")</f>
        <v/>
      </c>
      <c r="E123" s="82" t="str">
        <f t="shared" si="1"/>
        <v/>
      </c>
      <c r="F123" s="82" t="str">
        <f t="shared" si="2"/>
        <v/>
      </c>
      <c r="G123" s="86" t="str">
        <f>IF(A123&lt;&gt;"",SUMIFS(Transactions!$F$7:$F$989,Transactions!$D$7:$D$989,"Credit",Transactions!$H$7:$H$989,A123),"")</f>
        <v/>
      </c>
      <c r="H123" s="80"/>
      <c r="I123" s="5"/>
      <c r="J123" s="5"/>
      <c r="K123" s="5"/>
      <c r="L123" s="5"/>
      <c r="M123" s="5"/>
      <c r="N123" s="5"/>
      <c r="O123" s="5"/>
      <c r="P123" s="5"/>
      <c r="Q123" s="5"/>
      <c r="R123" s="5"/>
      <c r="S123" s="5"/>
      <c r="T123" s="5"/>
      <c r="U123" s="5"/>
      <c r="V123" s="5"/>
      <c r="W123" s="5"/>
      <c r="X123" s="5"/>
      <c r="Y123" s="5"/>
      <c r="Z123" s="5"/>
    </row>
    <row r="124" ht="19.5" customHeight="1">
      <c r="A124" s="87" t="str">
        <f>IF(Roster!$A$122&lt;&gt;"",Roster!$A$122,"")</f>
        <v/>
      </c>
      <c r="B124" s="87" t="str">
        <f t="array" ref="B124">IF(A124&lt;&gt;"",IFERROR(SUMPRODUCT((INDEX(Attendance!$B$7:$AV$206,MATCH(A124,Attendance!$A$7:$A$206,0),0)=1)*Attendance!$B$4:$AV$4),0),"")</f>
        <v/>
      </c>
      <c r="C124" s="88" t="str">
        <f>IF(A124&lt;&gt;"",SUMIFS(Transactions!$F$7:$F$989,Transactions!$D$7:$D$989,"Income",Transactions!$E$7:$E$989,A124),"")</f>
        <v/>
      </c>
      <c r="D124" s="88" t="str">
        <f>IF(A124&lt;&gt;"",SUMIFS(Transactions!$F$7:$F$989,Transactions!$D$7:$D$989,"Expense",Transactions!$E$7:$E$989,A124),"")</f>
        <v/>
      </c>
      <c r="E124" s="89" t="str">
        <f t="shared" si="1"/>
        <v/>
      </c>
      <c r="F124" s="89" t="str">
        <f t="shared" si="2"/>
        <v/>
      </c>
      <c r="G124" s="86" t="str">
        <f>IF(A124&lt;&gt;"",SUMIFS(Transactions!$F$7:$F$989,Transactions!$D$7:$D$989,"Credit",Transactions!$H$7:$H$989,A124),"")</f>
        <v/>
      </c>
      <c r="H124" s="80"/>
      <c r="I124" s="5"/>
      <c r="J124" s="5"/>
      <c r="K124" s="5"/>
      <c r="L124" s="5"/>
      <c r="M124" s="5"/>
      <c r="N124" s="5"/>
      <c r="O124" s="5"/>
      <c r="P124" s="5"/>
      <c r="Q124" s="5"/>
      <c r="R124" s="5"/>
      <c r="S124" s="5"/>
      <c r="T124" s="5"/>
      <c r="U124" s="5"/>
      <c r="V124" s="5"/>
      <c r="W124" s="5"/>
      <c r="X124" s="5"/>
      <c r="Y124" s="5"/>
      <c r="Z124" s="5"/>
    </row>
    <row r="125" ht="19.5" customHeight="1">
      <c r="A125" s="84" t="str">
        <f>IF(Roster!$A$123&lt;&gt;"",Roster!$A$123,"")</f>
        <v/>
      </c>
      <c r="B125" s="84" t="str">
        <f t="array" ref="B125">IF(A125&lt;&gt;"",IFERROR(SUMPRODUCT((INDEX(Attendance!$B$7:$AV$206,MATCH(A125,Attendance!$A$7:$A$206,0),0)=1)*Attendance!$B$4:$AV$4),0),"")</f>
        <v/>
      </c>
      <c r="C125" s="85" t="str">
        <f>IF(A125&lt;&gt;"",SUMIFS(Transactions!$F$7:$F$989,Transactions!$D$7:$D$989,"Income",Transactions!$E$7:$E$989,A125),"")</f>
        <v/>
      </c>
      <c r="D125" s="85" t="str">
        <f>IF(A125&lt;&gt;"",SUMIFS(Transactions!$F$7:$F$989,Transactions!$D$7:$D$989,"Expense",Transactions!$E$7:$E$989,A125),"")</f>
        <v/>
      </c>
      <c r="E125" s="82" t="str">
        <f t="shared" si="1"/>
        <v/>
      </c>
      <c r="F125" s="82" t="str">
        <f t="shared" si="2"/>
        <v/>
      </c>
      <c r="G125" s="86" t="str">
        <f>IF(A125&lt;&gt;"",SUMIFS(Transactions!$F$7:$F$989,Transactions!$D$7:$D$989,"Credit",Transactions!$H$7:$H$989,A125),"")</f>
        <v/>
      </c>
      <c r="H125" s="80"/>
      <c r="I125" s="5"/>
      <c r="J125" s="5"/>
      <c r="K125" s="5"/>
      <c r="L125" s="5"/>
      <c r="M125" s="5"/>
      <c r="N125" s="5"/>
      <c r="O125" s="5"/>
      <c r="P125" s="5"/>
      <c r="Q125" s="5"/>
      <c r="R125" s="5"/>
      <c r="S125" s="5"/>
      <c r="T125" s="5"/>
      <c r="U125" s="5"/>
      <c r="V125" s="5"/>
      <c r="W125" s="5"/>
      <c r="X125" s="5"/>
      <c r="Y125" s="5"/>
      <c r="Z125" s="5"/>
    </row>
    <row r="126" ht="19.5" customHeight="1">
      <c r="A126" s="87" t="str">
        <f>IF(Roster!$A$124&lt;&gt;"",Roster!$A$124,"")</f>
        <v/>
      </c>
      <c r="B126" s="87" t="str">
        <f t="array" ref="B126">IF(A126&lt;&gt;"",IFERROR(SUMPRODUCT((INDEX(Attendance!$B$7:$AV$206,MATCH(A126,Attendance!$A$7:$A$206,0),0)=1)*Attendance!$B$4:$AV$4),0),"")</f>
        <v/>
      </c>
      <c r="C126" s="88" t="str">
        <f>IF(A126&lt;&gt;"",SUMIFS(Transactions!$F$7:$F$989,Transactions!$D$7:$D$989,"Income",Transactions!$E$7:$E$989,A126),"")</f>
        <v/>
      </c>
      <c r="D126" s="88" t="str">
        <f>IF(A126&lt;&gt;"",SUMIFS(Transactions!$F$7:$F$989,Transactions!$D$7:$D$989,"Expense",Transactions!$E$7:$E$989,A126),"")</f>
        <v/>
      </c>
      <c r="E126" s="89" t="str">
        <f t="shared" si="1"/>
        <v/>
      </c>
      <c r="F126" s="89" t="str">
        <f t="shared" si="2"/>
        <v/>
      </c>
      <c r="G126" s="86" t="str">
        <f>IF(A126&lt;&gt;"",SUMIFS(Transactions!$F$7:$F$989,Transactions!$D$7:$D$989,"Credit",Transactions!$H$7:$H$989,A126),"")</f>
        <v/>
      </c>
      <c r="H126" s="80"/>
      <c r="I126" s="5"/>
      <c r="J126" s="5"/>
      <c r="K126" s="5"/>
      <c r="L126" s="5"/>
      <c r="M126" s="5"/>
      <c r="N126" s="5"/>
      <c r="O126" s="5"/>
      <c r="P126" s="5"/>
      <c r="Q126" s="5"/>
      <c r="R126" s="5"/>
      <c r="S126" s="5"/>
      <c r="T126" s="5"/>
      <c r="U126" s="5"/>
      <c r="V126" s="5"/>
      <c r="W126" s="5"/>
      <c r="X126" s="5"/>
      <c r="Y126" s="5"/>
      <c r="Z126" s="5"/>
    </row>
    <row r="127" ht="19.5" customHeight="1">
      <c r="A127" s="84" t="str">
        <f>IF(Roster!$A$125&lt;&gt;"",Roster!$A$125,"")</f>
        <v/>
      </c>
      <c r="B127" s="84" t="str">
        <f t="array" ref="B127">IF(A127&lt;&gt;"",IFERROR(SUMPRODUCT((INDEX(Attendance!$B$7:$AV$206,MATCH(A127,Attendance!$A$7:$A$206,0),0)=1)*Attendance!$B$4:$AV$4),0),"")</f>
        <v/>
      </c>
      <c r="C127" s="85" t="str">
        <f>IF(A127&lt;&gt;"",SUMIFS(Transactions!$F$7:$F$989,Transactions!$D$7:$D$989,"Income",Transactions!$E$7:$E$989,A127),"")</f>
        <v/>
      </c>
      <c r="D127" s="85" t="str">
        <f>IF(A127&lt;&gt;"",SUMIFS(Transactions!$F$7:$F$989,Transactions!$D$7:$D$989,"Expense",Transactions!$E$7:$E$989,A127),"")</f>
        <v/>
      </c>
      <c r="E127" s="82" t="str">
        <f t="shared" si="1"/>
        <v/>
      </c>
      <c r="F127" s="82" t="str">
        <f t="shared" si="2"/>
        <v/>
      </c>
      <c r="G127" s="86" t="str">
        <f>IF(A127&lt;&gt;"",SUMIFS(Transactions!$F$7:$F$989,Transactions!$D$7:$D$989,"Credit",Transactions!$H$7:$H$989,A127),"")</f>
        <v/>
      </c>
      <c r="H127" s="80"/>
      <c r="I127" s="5"/>
      <c r="J127" s="5"/>
      <c r="K127" s="5"/>
      <c r="L127" s="5"/>
      <c r="M127" s="5"/>
      <c r="N127" s="5"/>
      <c r="O127" s="5"/>
      <c r="P127" s="5"/>
      <c r="Q127" s="5"/>
      <c r="R127" s="5"/>
      <c r="S127" s="5"/>
      <c r="T127" s="5"/>
      <c r="U127" s="5"/>
      <c r="V127" s="5"/>
      <c r="W127" s="5"/>
      <c r="X127" s="5"/>
      <c r="Y127" s="5"/>
      <c r="Z127" s="5"/>
    </row>
    <row r="128" ht="19.5" customHeight="1">
      <c r="A128" s="87" t="str">
        <f>IF(Roster!$A$126&lt;&gt;"",Roster!$A$126,"")</f>
        <v/>
      </c>
      <c r="B128" s="87" t="str">
        <f t="array" ref="B128">IF(A128&lt;&gt;"",IFERROR(SUMPRODUCT((INDEX(Attendance!$B$7:$AV$206,MATCH(A128,Attendance!$A$7:$A$206,0),0)=1)*Attendance!$B$4:$AV$4),0),"")</f>
        <v/>
      </c>
      <c r="C128" s="88" t="str">
        <f>IF(A128&lt;&gt;"",SUMIFS(Transactions!$F$7:$F$989,Transactions!$D$7:$D$989,"Income",Transactions!$E$7:$E$989,A128),"")</f>
        <v/>
      </c>
      <c r="D128" s="88" t="str">
        <f>IF(A128&lt;&gt;"",SUMIFS(Transactions!$F$7:$F$989,Transactions!$D$7:$D$989,"Expense",Transactions!$E$7:$E$989,A128),"")</f>
        <v/>
      </c>
      <c r="E128" s="89" t="str">
        <f t="shared" si="1"/>
        <v/>
      </c>
      <c r="F128" s="89" t="str">
        <f t="shared" si="2"/>
        <v/>
      </c>
      <c r="G128" s="86" t="str">
        <f>IF(A128&lt;&gt;"",SUMIFS(Transactions!$F$7:$F$989,Transactions!$D$7:$D$989,"Credit",Transactions!$H$7:$H$989,A128),"")</f>
        <v/>
      </c>
      <c r="H128" s="80"/>
      <c r="I128" s="5"/>
      <c r="J128" s="5"/>
      <c r="K128" s="5"/>
      <c r="L128" s="5"/>
      <c r="M128" s="5"/>
      <c r="N128" s="5"/>
      <c r="O128" s="5"/>
      <c r="P128" s="5"/>
      <c r="Q128" s="5"/>
      <c r="R128" s="5"/>
      <c r="S128" s="5"/>
      <c r="T128" s="5"/>
      <c r="U128" s="5"/>
      <c r="V128" s="5"/>
      <c r="W128" s="5"/>
      <c r="X128" s="5"/>
      <c r="Y128" s="5"/>
      <c r="Z128" s="5"/>
    </row>
    <row r="129" ht="19.5" customHeight="1">
      <c r="A129" s="84" t="str">
        <f>IF(Roster!$A$127&lt;&gt;"",Roster!$A$127,"")</f>
        <v/>
      </c>
      <c r="B129" s="84" t="str">
        <f t="array" ref="B129">IF(A129&lt;&gt;"",IFERROR(SUMPRODUCT((INDEX(Attendance!$B$7:$AV$206,MATCH(A129,Attendance!$A$7:$A$206,0),0)=1)*Attendance!$B$4:$AV$4),0),"")</f>
        <v/>
      </c>
      <c r="C129" s="85" t="str">
        <f>IF(A129&lt;&gt;"",SUMIFS(Transactions!$F$7:$F$989,Transactions!$D$7:$D$989,"Income",Transactions!$E$7:$E$989,A129),"")</f>
        <v/>
      </c>
      <c r="D129" s="85" t="str">
        <f>IF(A129&lt;&gt;"",SUMIFS(Transactions!$F$7:$F$989,Transactions!$D$7:$D$989,"Expense",Transactions!$E$7:$E$989,A129),"")</f>
        <v/>
      </c>
      <c r="E129" s="82" t="str">
        <f t="shared" si="1"/>
        <v/>
      </c>
      <c r="F129" s="82" t="str">
        <f t="shared" si="2"/>
        <v/>
      </c>
      <c r="G129" s="86" t="str">
        <f>IF(A129&lt;&gt;"",SUMIFS(Transactions!$F$7:$F$989,Transactions!$D$7:$D$989,"Credit",Transactions!$H$7:$H$989,A129),"")</f>
        <v/>
      </c>
      <c r="H129" s="80"/>
      <c r="I129" s="5"/>
      <c r="J129" s="5"/>
      <c r="K129" s="5"/>
      <c r="L129" s="5"/>
      <c r="M129" s="5"/>
      <c r="N129" s="5"/>
      <c r="O129" s="5"/>
      <c r="P129" s="5"/>
      <c r="Q129" s="5"/>
      <c r="R129" s="5"/>
      <c r="S129" s="5"/>
      <c r="T129" s="5"/>
      <c r="U129" s="5"/>
      <c r="V129" s="5"/>
      <c r="W129" s="5"/>
      <c r="X129" s="5"/>
      <c r="Y129" s="5"/>
      <c r="Z129" s="5"/>
    </row>
    <row r="130" ht="19.5" customHeight="1">
      <c r="A130" s="87" t="str">
        <f>IF(Roster!$A$128&lt;&gt;"",Roster!$A$128,"")</f>
        <v/>
      </c>
      <c r="B130" s="87" t="str">
        <f t="array" ref="B130">IF(A130&lt;&gt;"",IFERROR(SUMPRODUCT((INDEX(Attendance!$B$7:$AV$206,MATCH(A130,Attendance!$A$7:$A$206,0),0)=1)*Attendance!$B$4:$AV$4),0),"")</f>
        <v/>
      </c>
      <c r="C130" s="88" t="str">
        <f>IF(A130&lt;&gt;"",SUMIFS(Transactions!$F$7:$F$989,Transactions!$D$7:$D$989,"Income",Transactions!$E$7:$E$989,A130),"")</f>
        <v/>
      </c>
      <c r="D130" s="88" t="str">
        <f>IF(A130&lt;&gt;"",SUMIFS(Transactions!$F$7:$F$989,Transactions!$D$7:$D$989,"Expense",Transactions!$E$7:$E$989,A130),"")</f>
        <v/>
      </c>
      <c r="E130" s="89" t="str">
        <f t="shared" si="1"/>
        <v/>
      </c>
      <c r="F130" s="89" t="str">
        <f t="shared" si="2"/>
        <v/>
      </c>
      <c r="G130" s="86" t="str">
        <f>IF(A130&lt;&gt;"",SUMIFS(Transactions!$F$7:$F$989,Transactions!$D$7:$D$989,"Credit",Transactions!$H$7:$H$989,A130),"")</f>
        <v/>
      </c>
      <c r="H130" s="80"/>
      <c r="I130" s="5"/>
      <c r="J130" s="5"/>
      <c r="K130" s="5"/>
      <c r="L130" s="5"/>
      <c r="M130" s="5"/>
      <c r="N130" s="5"/>
      <c r="O130" s="5"/>
      <c r="P130" s="5"/>
      <c r="Q130" s="5"/>
      <c r="R130" s="5"/>
      <c r="S130" s="5"/>
      <c r="T130" s="5"/>
      <c r="U130" s="5"/>
      <c r="V130" s="5"/>
      <c r="W130" s="5"/>
      <c r="X130" s="5"/>
      <c r="Y130" s="5"/>
      <c r="Z130" s="5"/>
    </row>
    <row r="131" ht="19.5" customHeight="1">
      <c r="A131" s="84" t="str">
        <f>IF(Roster!$A$129&lt;&gt;"",Roster!$A$129,"")</f>
        <v/>
      </c>
      <c r="B131" s="84" t="str">
        <f t="array" ref="B131">IF(A131&lt;&gt;"",IFERROR(SUMPRODUCT((INDEX(Attendance!$B$7:$AV$206,MATCH(A131,Attendance!$A$7:$A$206,0),0)=1)*Attendance!$B$4:$AV$4),0),"")</f>
        <v/>
      </c>
      <c r="C131" s="85" t="str">
        <f>IF(A131&lt;&gt;"",SUMIFS(Transactions!$F$7:$F$989,Transactions!$D$7:$D$989,"Income",Transactions!$E$7:$E$989,A131),"")</f>
        <v/>
      </c>
      <c r="D131" s="85" t="str">
        <f>IF(A131&lt;&gt;"",SUMIFS(Transactions!$F$7:$F$989,Transactions!$D$7:$D$989,"Expense",Transactions!$E$7:$E$989,A131),"")</f>
        <v/>
      </c>
      <c r="E131" s="82" t="str">
        <f t="shared" si="1"/>
        <v/>
      </c>
      <c r="F131" s="82" t="str">
        <f t="shared" si="2"/>
        <v/>
      </c>
      <c r="G131" s="86" t="str">
        <f>IF(A131&lt;&gt;"",SUMIFS(Transactions!$F$7:$F$989,Transactions!$D$7:$D$989,"Credit",Transactions!$H$7:$H$989,A131),"")</f>
        <v/>
      </c>
      <c r="H131" s="80"/>
      <c r="I131" s="5"/>
      <c r="J131" s="5"/>
      <c r="K131" s="5"/>
      <c r="L131" s="5"/>
      <c r="M131" s="5"/>
      <c r="N131" s="5"/>
      <c r="O131" s="5"/>
      <c r="P131" s="5"/>
      <c r="Q131" s="5"/>
      <c r="R131" s="5"/>
      <c r="S131" s="5"/>
      <c r="T131" s="5"/>
      <c r="U131" s="5"/>
      <c r="V131" s="5"/>
      <c r="W131" s="5"/>
      <c r="X131" s="5"/>
      <c r="Y131" s="5"/>
      <c r="Z131" s="5"/>
    </row>
    <row r="132" ht="19.5" customHeight="1">
      <c r="A132" s="87" t="str">
        <f>IF(Roster!$A$130&lt;&gt;"",Roster!$A$130,"")</f>
        <v/>
      </c>
      <c r="B132" s="87" t="str">
        <f t="array" ref="B132">IF(A132&lt;&gt;"",IFERROR(SUMPRODUCT((INDEX(Attendance!$B$7:$AV$206,MATCH(A132,Attendance!$A$7:$A$206,0),0)=1)*Attendance!$B$4:$AV$4),0),"")</f>
        <v/>
      </c>
      <c r="C132" s="88" t="str">
        <f>IF(A132&lt;&gt;"",SUMIFS(Transactions!$F$7:$F$989,Transactions!$D$7:$D$989,"Income",Transactions!$E$7:$E$989,A132),"")</f>
        <v/>
      </c>
      <c r="D132" s="88" t="str">
        <f>IF(A132&lt;&gt;"",SUMIFS(Transactions!$F$7:$F$989,Transactions!$D$7:$D$989,"Expense",Transactions!$E$7:$E$989,A132),"")</f>
        <v/>
      </c>
      <c r="E132" s="89" t="str">
        <f t="shared" si="1"/>
        <v/>
      </c>
      <c r="F132" s="89" t="str">
        <f t="shared" si="2"/>
        <v/>
      </c>
      <c r="G132" s="86" t="str">
        <f>IF(A132&lt;&gt;"",SUMIFS(Transactions!$F$7:$F$989,Transactions!$D$7:$D$989,"Credit",Transactions!$H$7:$H$989,A132),"")</f>
        <v/>
      </c>
      <c r="H132" s="80"/>
      <c r="I132" s="5"/>
      <c r="J132" s="5"/>
      <c r="K132" s="5"/>
      <c r="L132" s="5"/>
      <c r="M132" s="5"/>
      <c r="N132" s="5"/>
      <c r="O132" s="5"/>
      <c r="P132" s="5"/>
      <c r="Q132" s="5"/>
      <c r="R132" s="5"/>
      <c r="S132" s="5"/>
      <c r="T132" s="5"/>
      <c r="U132" s="5"/>
      <c r="V132" s="5"/>
      <c r="W132" s="5"/>
      <c r="X132" s="5"/>
      <c r="Y132" s="5"/>
      <c r="Z132" s="5"/>
    </row>
    <row r="133" ht="19.5" customHeight="1">
      <c r="A133" s="84" t="str">
        <f>IF(Roster!$A$131&lt;&gt;"",Roster!$A$131,"")</f>
        <v/>
      </c>
      <c r="B133" s="84" t="str">
        <f t="array" ref="B133">IF(A133&lt;&gt;"",IFERROR(SUMPRODUCT((INDEX(Attendance!$B$7:$AV$206,MATCH(A133,Attendance!$A$7:$A$206,0),0)=1)*Attendance!$B$4:$AV$4),0),"")</f>
        <v/>
      </c>
      <c r="C133" s="85" t="str">
        <f>IF(A133&lt;&gt;"",SUMIFS(Transactions!$F$7:$F$989,Transactions!$D$7:$D$989,"Income",Transactions!$E$7:$E$989,A133),"")</f>
        <v/>
      </c>
      <c r="D133" s="85" t="str">
        <f>IF(A133&lt;&gt;"",SUMIFS(Transactions!$F$7:$F$989,Transactions!$D$7:$D$989,"Expense",Transactions!$E$7:$E$989,A133),"")</f>
        <v/>
      </c>
      <c r="E133" s="82" t="str">
        <f t="shared" si="1"/>
        <v/>
      </c>
      <c r="F133" s="82" t="str">
        <f t="shared" si="2"/>
        <v/>
      </c>
      <c r="G133" s="86" t="str">
        <f>IF(A133&lt;&gt;"",SUMIFS(Transactions!$F$7:$F$989,Transactions!$D$7:$D$989,"Credit",Transactions!$H$7:$H$989,A133),"")</f>
        <v/>
      </c>
      <c r="H133" s="80"/>
      <c r="I133" s="5"/>
      <c r="J133" s="5"/>
      <c r="K133" s="5"/>
      <c r="L133" s="5"/>
      <c r="M133" s="5"/>
      <c r="N133" s="5"/>
      <c r="O133" s="5"/>
      <c r="P133" s="5"/>
      <c r="Q133" s="5"/>
      <c r="R133" s="5"/>
      <c r="S133" s="5"/>
      <c r="T133" s="5"/>
      <c r="U133" s="5"/>
      <c r="V133" s="5"/>
      <c r="W133" s="5"/>
      <c r="X133" s="5"/>
      <c r="Y133" s="5"/>
      <c r="Z133" s="5"/>
    </row>
    <row r="134" ht="19.5" customHeight="1">
      <c r="A134" s="87" t="str">
        <f>IF(Roster!$A$132&lt;&gt;"",Roster!$A$132,"")</f>
        <v/>
      </c>
      <c r="B134" s="87" t="str">
        <f t="array" ref="B134">IF(A134&lt;&gt;"",IFERROR(SUMPRODUCT((INDEX(Attendance!$B$7:$AV$206,MATCH(A134,Attendance!$A$7:$A$206,0),0)=1)*Attendance!$B$4:$AV$4),0),"")</f>
        <v/>
      </c>
      <c r="C134" s="88" t="str">
        <f>IF(A134&lt;&gt;"",SUMIFS(Transactions!$F$7:$F$989,Transactions!$D$7:$D$989,"Income",Transactions!$E$7:$E$989,A134),"")</f>
        <v/>
      </c>
      <c r="D134" s="88" t="str">
        <f>IF(A134&lt;&gt;"",SUMIFS(Transactions!$F$7:$F$989,Transactions!$D$7:$D$989,"Expense",Transactions!$E$7:$E$989,A134),"")</f>
        <v/>
      </c>
      <c r="E134" s="89" t="str">
        <f t="shared" si="1"/>
        <v/>
      </c>
      <c r="F134" s="89" t="str">
        <f t="shared" si="2"/>
        <v/>
      </c>
      <c r="G134" s="86" t="str">
        <f>IF(A134&lt;&gt;"",SUMIFS(Transactions!$F$7:$F$989,Transactions!$D$7:$D$989,"Credit",Transactions!$H$7:$H$989,A134),"")</f>
        <v/>
      </c>
      <c r="H134" s="80"/>
      <c r="I134" s="5"/>
      <c r="J134" s="5"/>
      <c r="K134" s="5"/>
      <c r="L134" s="5"/>
      <c r="M134" s="5"/>
      <c r="N134" s="5"/>
      <c r="O134" s="5"/>
      <c r="P134" s="5"/>
      <c r="Q134" s="5"/>
      <c r="R134" s="5"/>
      <c r="S134" s="5"/>
      <c r="T134" s="5"/>
      <c r="U134" s="5"/>
      <c r="V134" s="5"/>
      <c r="W134" s="5"/>
      <c r="X134" s="5"/>
      <c r="Y134" s="5"/>
      <c r="Z134" s="5"/>
    </row>
    <row r="135" ht="19.5" customHeight="1">
      <c r="A135" s="84" t="str">
        <f>IF(Roster!$A$133&lt;&gt;"",Roster!$A$133,"")</f>
        <v/>
      </c>
      <c r="B135" s="84" t="str">
        <f t="array" ref="B135">IF(A135&lt;&gt;"",IFERROR(SUMPRODUCT((INDEX(Attendance!$B$7:$AV$206,MATCH(A135,Attendance!$A$7:$A$206,0),0)=1)*Attendance!$B$4:$AV$4),0),"")</f>
        <v/>
      </c>
      <c r="C135" s="85" t="str">
        <f>IF(A135&lt;&gt;"",SUMIFS(Transactions!$F$7:$F$989,Transactions!$D$7:$D$989,"Income",Transactions!$E$7:$E$989,A135),"")</f>
        <v/>
      </c>
      <c r="D135" s="85" t="str">
        <f>IF(A135&lt;&gt;"",SUMIFS(Transactions!$F$7:$F$989,Transactions!$D$7:$D$989,"Expense",Transactions!$E$7:$E$989,A135),"")</f>
        <v/>
      </c>
      <c r="E135" s="82" t="str">
        <f t="shared" si="1"/>
        <v/>
      </c>
      <c r="F135" s="82" t="str">
        <f t="shared" si="2"/>
        <v/>
      </c>
      <c r="G135" s="86" t="str">
        <f>IF(A135&lt;&gt;"",SUMIFS(Transactions!$F$7:$F$989,Transactions!$D$7:$D$989,"Credit",Transactions!$H$7:$H$989,A135),"")</f>
        <v/>
      </c>
      <c r="H135" s="80"/>
      <c r="I135" s="5"/>
      <c r="J135" s="5"/>
      <c r="K135" s="5"/>
      <c r="L135" s="5"/>
      <c r="M135" s="5"/>
      <c r="N135" s="5"/>
      <c r="O135" s="5"/>
      <c r="P135" s="5"/>
      <c r="Q135" s="5"/>
      <c r="R135" s="5"/>
      <c r="S135" s="5"/>
      <c r="T135" s="5"/>
      <c r="U135" s="5"/>
      <c r="V135" s="5"/>
      <c r="W135" s="5"/>
      <c r="X135" s="5"/>
      <c r="Y135" s="5"/>
      <c r="Z135" s="5"/>
    </row>
    <row r="136" ht="19.5" customHeight="1">
      <c r="A136" s="87" t="str">
        <f>IF(Roster!$A$134&lt;&gt;"",Roster!$A$134,"")</f>
        <v/>
      </c>
      <c r="B136" s="87" t="str">
        <f t="array" ref="B136">IF(A136&lt;&gt;"",IFERROR(SUMPRODUCT((INDEX(Attendance!$B$7:$AV$206,MATCH(A136,Attendance!$A$7:$A$206,0),0)=1)*Attendance!$B$4:$AV$4),0),"")</f>
        <v/>
      </c>
      <c r="C136" s="88" t="str">
        <f>IF(A136&lt;&gt;"",SUMIFS(Transactions!$F$7:$F$989,Transactions!$D$7:$D$989,"Income",Transactions!$E$7:$E$989,A136),"")</f>
        <v/>
      </c>
      <c r="D136" s="88" t="str">
        <f>IF(A136&lt;&gt;"",SUMIFS(Transactions!$F$7:$F$989,Transactions!$D$7:$D$989,"Expense",Transactions!$E$7:$E$989,A136),"")</f>
        <v/>
      </c>
      <c r="E136" s="89" t="str">
        <f t="shared" si="1"/>
        <v/>
      </c>
      <c r="F136" s="89" t="str">
        <f t="shared" si="2"/>
        <v/>
      </c>
      <c r="G136" s="86" t="str">
        <f>IF(A136&lt;&gt;"",SUMIFS(Transactions!$F$7:$F$989,Transactions!$D$7:$D$989,"Credit",Transactions!$H$7:$H$989,A136),"")</f>
        <v/>
      </c>
      <c r="H136" s="80"/>
      <c r="I136" s="5"/>
      <c r="J136" s="5"/>
      <c r="K136" s="5"/>
      <c r="L136" s="5"/>
      <c r="M136" s="5"/>
      <c r="N136" s="5"/>
      <c r="O136" s="5"/>
      <c r="P136" s="5"/>
      <c r="Q136" s="5"/>
      <c r="R136" s="5"/>
      <c r="S136" s="5"/>
      <c r="T136" s="5"/>
      <c r="U136" s="5"/>
      <c r="V136" s="5"/>
      <c r="W136" s="5"/>
      <c r="X136" s="5"/>
      <c r="Y136" s="5"/>
      <c r="Z136" s="5"/>
    </row>
    <row r="137" ht="19.5" customHeight="1">
      <c r="A137" s="84" t="str">
        <f>IF(Roster!$A$135&lt;&gt;"",Roster!$A$135,"")</f>
        <v/>
      </c>
      <c r="B137" s="84" t="str">
        <f t="array" ref="B137">IF(A137&lt;&gt;"",IFERROR(SUMPRODUCT((INDEX(Attendance!$B$7:$AV$206,MATCH(A137,Attendance!$A$7:$A$206,0),0)=1)*Attendance!$B$4:$AV$4),0),"")</f>
        <v/>
      </c>
      <c r="C137" s="85" t="str">
        <f>IF(A137&lt;&gt;"",SUMIFS(Transactions!$F$7:$F$989,Transactions!$D$7:$D$989,"Income",Transactions!$E$7:$E$989,A137),"")</f>
        <v/>
      </c>
      <c r="D137" s="85" t="str">
        <f>IF(A137&lt;&gt;"",SUMIFS(Transactions!$F$7:$F$989,Transactions!$D$7:$D$989,"Expense",Transactions!$E$7:$E$989,A137),"")</f>
        <v/>
      </c>
      <c r="E137" s="82" t="str">
        <f t="shared" si="1"/>
        <v/>
      </c>
      <c r="F137" s="82" t="str">
        <f t="shared" si="2"/>
        <v/>
      </c>
      <c r="G137" s="86" t="str">
        <f>IF(A137&lt;&gt;"",SUMIFS(Transactions!$F$7:$F$989,Transactions!$D$7:$D$989,"Credit",Transactions!$H$7:$H$989,A137),"")</f>
        <v/>
      </c>
      <c r="H137" s="80"/>
      <c r="I137" s="5"/>
      <c r="J137" s="5"/>
      <c r="K137" s="5"/>
      <c r="L137" s="5"/>
      <c r="M137" s="5"/>
      <c r="N137" s="5"/>
      <c r="O137" s="5"/>
      <c r="P137" s="5"/>
      <c r="Q137" s="5"/>
      <c r="R137" s="5"/>
      <c r="S137" s="5"/>
      <c r="T137" s="5"/>
      <c r="U137" s="5"/>
      <c r="V137" s="5"/>
      <c r="W137" s="5"/>
      <c r="X137" s="5"/>
      <c r="Y137" s="5"/>
      <c r="Z137" s="5"/>
    </row>
    <row r="138" ht="19.5" customHeight="1">
      <c r="A138" s="87" t="str">
        <f>IF(Roster!$A$136&lt;&gt;"",Roster!$A$136,"")</f>
        <v/>
      </c>
      <c r="B138" s="87" t="str">
        <f t="array" ref="B138">IF(A138&lt;&gt;"",IFERROR(SUMPRODUCT((INDEX(Attendance!$B$7:$AV$206,MATCH(A138,Attendance!$A$7:$A$206,0),0)=1)*Attendance!$B$4:$AV$4),0),"")</f>
        <v/>
      </c>
      <c r="C138" s="88" t="str">
        <f>IF(A138&lt;&gt;"",SUMIFS(Transactions!$F$7:$F$989,Transactions!$D$7:$D$989,"Income",Transactions!$E$7:$E$989,A138),"")</f>
        <v/>
      </c>
      <c r="D138" s="88" t="str">
        <f>IF(A138&lt;&gt;"",SUMIFS(Transactions!$F$7:$F$989,Transactions!$D$7:$D$989,"Expense",Transactions!$E$7:$E$989,A138),"")</f>
        <v/>
      </c>
      <c r="E138" s="89" t="str">
        <f t="shared" si="1"/>
        <v/>
      </c>
      <c r="F138" s="89" t="str">
        <f t="shared" si="2"/>
        <v/>
      </c>
      <c r="G138" s="86" t="str">
        <f>IF(A138&lt;&gt;"",SUMIFS(Transactions!$F$7:$F$989,Transactions!$D$7:$D$989,"Credit",Transactions!$H$7:$H$989,A138),"")</f>
        <v/>
      </c>
      <c r="H138" s="80"/>
      <c r="I138" s="5"/>
      <c r="J138" s="5"/>
      <c r="K138" s="5"/>
      <c r="L138" s="5"/>
      <c r="M138" s="5"/>
      <c r="N138" s="5"/>
      <c r="O138" s="5"/>
      <c r="P138" s="5"/>
      <c r="Q138" s="5"/>
      <c r="R138" s="5"/>
      <c r="S138" s="5"/>
      <c r="T138" s="5"/>
      <c r="U138" s="5"/>
      <c r="V138" s="5"/>
      <c r="W138" s="5"/>
      <c r="X138" s="5"/>
      <c r="Y138" s="5"/>
      <c r="Z138" s="5"/>
    </row>
    <row r="139" ht="19.5" customHeight="1">
      <c r="A139" s="84" t="str">
        <f>IF(Roster!$A$137&lt;&gt;"",Roster!$A$137,"")</f>
        <v/>
      </c>
      <c r="B139" s="84" t="str">
        <f t="array" ref="B139">IF(A139&lt;&gt;"",IFERROR(SUMPRODUCT((INDEX(Attendance!$B$7:$AV$206,MATCH(A139,Attendance!$A$7:$A$206,0),0)=1)*Attendance!$B$4:$AV$4),0),"")</f>
        <v/>
      </c>
      <c r="C139" s="85" t="str">
        <f>IF(A139&lt;&gt;"",SUMIFS(Transactions!$F$7:$F$989,Transactions!$D$7:$D$989,"Income",Transactions!$E$7:$E$989,A139),"")</f>
        <v/>
      </c>
      <c r="D139" s="85" t="str">
        <f>IF(A139&lt;&gt;"",SUMIFS(Transactions!$F$7:$F$989,Transactions!$D$7:$D$989,"Expense",Transactions!$E$7:$E$989,A139),"")</f>
        <v/>
      </c>
      <c r="E139" s="82" t="str">
        <f t="shared" si="1"/>
        <v/>
      </c>
      <c r="F139" s="82" t="str">
        <f t="shared" si="2"/>
        <v/>
      </c>
      <c r="G139" s="86" t="str">
        <f>IF(A139&lt;&gt;"",SUMIFS(Transactions!$F$7:$F$989,Transactions!$D$7:$D$989,"Credit",Transactions!$H$7:$H$989,A139),"")</f>
        <v/>
      </c>
      <c r="H139" s="80"/>
      <c r="I139" s="5"/>
      <c r="J139" s="5"/>
      <c r="K139" s="5"/>
      <c r="L139" s="5"/>
      <c r="M139" s="5"/>
      <c r="N139" s="5"/>
      <c r="O139" s="5"/>
      <c r="P139" s="5"/>
      <c r="Q139" s="5"/>
      <c r="R139" s="5"/>
      <c r="S139" s="5"/>
      <c r="T139" s="5"/>
      <c r="U139" s="5"/>
      <c r="V139" s="5"/>
      <c r="W139" s="5"/>
      <c r="X139" s="5"/>
      <c r="Y139" s="5"/>
      <c r="Z139" s="5"/>
    </row>
    <row r="140" ht="19.5" customHeight="1">
      <c r="A140" s="87" t="str">
        <f>IF(Roster!$A$138&lt;&gt;"",Roster!$A$138,"")</f>
        <v/>
      </c>
      <c r="B140" s="87" t="str">
        <f t="array" ref="B140">IF(A140&lt;&gt;"",IFERROR(SUMPRODUCT((INDEX(Attendance!$B$7:$AV$206,MATCH(A140,Attendance!$A$7:$A$206,0),0)=1)*Attendance!$B$4:$AV$4),0),"")</f>
        <v/>
      </c>
      <c r="C140" s="88" t="str">
        <f>IF(A140&lt;&gt;"",SUMIFS(Transactions!$F$7:$F$989,Transactions!$D$7:$D$989,"Income",Transactions!$E$7:$E$989,A140),"")</f>
        <v/>
      </c>
      <c r="D140" s="88" t="str">
        <f>IF(A140&lt;&gt;"",SUMIFS(Transactions!$F$7:$F$989,Transactions!$D$7:$D$989,"Expense",Transactions!$E$7:$E$989,A140),"")</f>
        <v/>
      </c>
      <c r="E140" s="89" t="str">
        <f t="shared" si="1"/>
        <v/>
      </c>
      <c r="F140" s="89" t="str">
        <f t="shared" si="2"/>
        <v/>
      </c>
      <c r="G140" s="86" t="str">
        <f>IF(A140&lt;&gt;"",SUMIFS(Transactions!$F$7:$F$989,Transactions!$D$7:$D$989,"Credit",Transactions!$H$7:$H$989,A140),"")</f>
        <v/>
      </c>
      <c r="H140" s="80"/>
      <c r="I140" s="5"/>
      <c r="J140" s="5"/>
      <c r="K140" s="5"/>
      <c r="L140" s="5"/>
      <c r="M140" s="5"/>
      <c r="N140" s="5"/>
      <c r="O140" s="5"/>
      <c r="P140" s="5"/>
      <c r="Q140" s="5"/>
      <c r="R140" s="5"/>
      <c r="S140" s="5"/>
      <c r="T140" s="5"/>
      <c r="U140" s="5"/>
      <c r="V140" s="5"/>
      <c r="W140" s="5"/>
      <c r="X140" s="5"/>
      <c r="Y140" s="5"/>
      <c r="Z140" s="5"/>
    </row>
    <row r="141" ht="19.5" customHeight="1">
      <c r="A141" s="84" t="str">
        <f>IF(Roster!$A$139&lt;&gt;"",Roster!$A$139,"")</f>
        <v/>
      </c>
      <c r="B141" s="84" t="str">
        <f t="array" ref="B141">IF(A141&lt;&gt;"",IFERROR(SUMPRODUCT((INDEX(Attendance!$B$7:$AV$206,MATCH(A141,Attendance!$A$7:$A$206,0),0)=1)*Attendance!$B$4:$AV$4),0),"")</f>
        <v/>
      </c>
      <c r="C141" s="85" t="str">
        <f>IF(A141&lt;&gt;"",SUMIFS(Transactions!$F$7:$F$989,Transactions!$D$7:$D$989,"Income",Transactions!$E$7:$E$989,A141),"")</f>
        <v/>
      </c>
      <c r="D141" s="85" t="str">
        <f>IF(A141&lt;&gt;"",SUMIFS(Transactions!$F$7:$F$989,Transactions!$D$7:$D$989,"Expense",Transactions!$E$7:$E$989,A141),"")</f>
        <v/>
      </c>
      <c r="E141" s="82" t="str">
        <f t="shared" si="1"/>
        <v/>
      </c>
      <c r="F141" s="82" t="str">
        <f t="shared" si="2"/>
        <v/>
      </c>
      <c r="G141" s="86" t="str">
        <f>IF(A141&lt;&gt;"",SUMIFS(Transactions!$F$7:$F$989,Transactions!$D$7:$D$989,"Credit",Transactions!$H$7:$H$989,A141),"")</f>
        <v/>
      </c>
      <c r="H141" s="80"/>
      <c r="I141" s="5"/>
      <c r="J141" s="5"/>
      <c r="K141" s="5"/>
      <c r="L141" s="5"/>
      <c r="M141" s="5"/>
      <c r="N141" s="5"/>
      <c r="O141" s="5"/>
      <c r="P141" s="5"/>
      <c r="Q141" s="5"/>
      <c r="R141" s="5"/>
      <c r="S141" s="5"/>
      <c r="T141" s="5"/>
      <c r="U141" s="5"/>
      <c r="V141" s="5"/>
      <c r="W141" s="5"/>
      <c r="X141" s="5"/>
      <c r="Y141" s="5"/>
      <c r="Z141" s="5"/>
    </row>
    <row r="142" ht="19.5" customHeight="1">
      <c r="A142" s="87" t="str">
        <f>IF(Roster!$A$140&lt;&gt;"",Roster!$A$140,"")</f>
        <v/>
      </c>
      <c r="B142" s="87" t="str">
        <f t="array" ref="B142">IF(A142&lt;&gt;"",IFERROR(SUMPRODUCT((INDEX(Attendance!$B$7:$AV$206,MATCH(A142,Attendance!$A$7:$A$206,0),0)=1)*Attendance!$B$4:$AV$4),0),"")</f>
        <v/>
      </c>
      <c r="C142" s="88" t="str">
        <f>IF(A142&lt;&gt;"",SUMIFS(Transactions!$F$7:$F$989,Transactions!$D$7:$D$989,"Income",Transactions!$E$7:$E$989,A142),"")</f>
        <v/>
      </c>
      <c r="D142" s="88" t="str">
        <f>IF(A142&lt;&gt;"",SUMIFS(Transactions!$F$7:$F$989,Transactions!$D$7:$D$989,"Expense",Transactions!$E$7:$E$989,A142),"")</f>
        <v/>
      </c>
      <c r="E142" s="89" t="str">
        <f t="shared" si="1"/>
        <v/>
      </c>
      <c r="F142" s="89" t="str">
        <f t="shared" si="2"/>
        <v/>
      </c>
      <c r="G142" s="86" t="str">
        <f>IF(A142&lt;&gt;"",SUMIFS(Transactions!$F$7:$F$989,Transactions!$D$7:$D$989,"Credit",Transactions!$H$7:$H$989,A142),"")</f>
        <v/>
      </c>
      <c r="H142" s="80"/>
      <c r="I142" s="5"/>
      <c r="J142" s="5"/>
      <c r="K142" s="5"/>
      <c r="L142" s="5"/>
      <c r="M142" s="5"/>
      <c r="N142" s="5"/>
      <c r="O142" s="5"/>
      <c r="P142" s="5"/>
      <c r="Q142" s="5"/>
      <c r="R142" s="5"/>
      <c r="S142" s="5"/>
      <c r="T142" s="5"/>
      <c r="U142" s="5"/>
      <c r="V142" s="5"/>
      <c r="W142" s="5"/>
      <c r="X142" s="5"/>
      <c r="Y142" s="5"/>
      <c r="Z142" s="5"/>
    </row>
    <row r="143" ht="19.5" customHeight="1">
      <c r="A143" s="84" t="str">
        <f>IF(Roster!$A$141&lt;&gt;"",Roster!$A$141,"")</f>
        <v/>
      </c>
      <c r="B143" s="84" t="str">
        <f t="array" ref="B143">IF(A143&lt;&gt;"",IFERROR(SUMPRODUCT((INDEX(Attendance!$B$7:$AV$206,MATCH(A143,Attendance!$A$7:$A$206,0),0)=1)*Attendance!$B$4:$AV$4),0),"")</f>
        <v/>
      </c>
      <c r="C143" s="85" t="str">
        <f>IF(A143&lt;&gt;"",SUMIFS(Transactions!$F$7:$F$989,Transactions!$D$7:$D$989,"Income",Transactions!$E$7:$E$989,A143),"")</f>
        <v/>
      </c>
      <c r="D143" s="85" t="str">
        <f>IF(A143&lt;&gt;"",SUMIFS(Transactions!$F$7:$F$989,Transactions!$D$7:$D$989,"Expense",Transactions!$E$7:$E$989,A143),"")</f>
        <v/>
      </c>
      <c r="E143" s="82" t="str">
        <f t="shared" si="1"/>
        <v/>
      </c>
      <c r="F143" s="82" t="str">
        <f t="shared" si="2"/>
        <v/>
      </c>
      <c r="G143" s="86" t="str">
        <f>IF(A143&lt;&gt;"",SUMIFS(Transactions!$F$7:$F$989,Transactions!$D$7:$D$989,"Credit",Transactions!$H$7:$H$989,A143),"")</f>
        <v/>
      </c>
      <c r="H143" s="80"/>
      <c r="I143" s="5"/>
      <c r="J143" s="5"/>
      <c r="K143" s="5"/>
      <c r="L143" s="5"/>
      <c r="M143" s="5"/>
      <c r="N143" s="5"/>
      <c r="O143" s="5"/>
      <c r="P143" s="5"/>
      <c r="Q143" s="5"/>
      <c r="R143" s="5"/>
      <c r="S143" s="5"/>
      <c r="T143" s="5"/>
      <c r="U143" s="5"/>
      <c r="V143" s="5"/>
      <c r="W143" s="5"/>
      <c r="X143" s="5"/>
      <c r="Y143" s="5"/>
      <c r="Z143" s="5"/>
    </row>
    <row r="144" ht="19.5" customHeight="1">
      <c r="A144" s="87" t="str">
        <f>IF(Roster!$A$142&lt;&gt;"",Roster!$A$142,"")</f>
        <v/>
      </c>
      <c r="B144" s="87" t="str">
        <f t="array" ref="B144">IF(A144&lt;&gt;"",IFERROR(SUMPRODUCT((INDEX(Attendance!$B$7:$AV$206,MATCH(A144,Attendance!$A$7:$A$206,0),0)=1)*Attendance!$B$4:$AV$4),0),"")</f>
        <v/>
      </c>
      <c r="C144" s="88" t="str">
        <f>IF(A144&lt;&gt;"",SUMIFS(Transactions!$F$7:$F$989,Transactions!$D$7:$D$989,"Income",Transactions!$E$7:$E$989,A144),"")</f>
        <v/>
      </c>
      <c r="D144" s="88" t="str">
        <f>IF(A144&lt;&gt;"",SUMIFS(Transactions!$F$7:$F$989,Transactions!$D$7:$D$989,"Expense",Transactions!$E$7:$E$989,A144),"")</f>
        <v/>
      </c>
      <c r="E144" s="89" t="str">
        <f t="shared" si="1"/>
        <v/>
      </c>
      <c r="F144" s="89" t="str">
        <f t="shared" si="2"/>
        <v/>
      </c>
      <c r="G144" s="86" t="str">
        <f>IF(A144&lt;&gt;"",SUMIFS(Transactions!$F$7:$F$989,Transactions!$D$7:$D$989,"Credit",Transactions!$H$7:$H$989,A144),"")</f>
        <v/>
      </c>
      <c r="H144" s="80"/>
      <c r="I144" s="5"/>
      <c r="J144" s="5"/>
      <c r="K144" s="5"/>
      <c r="L144" s="5"/>
      <c r="M144" s="5"/>
      <c r="N144" s="5"/>
      <c r="O144" s="5"/>
      <c r="P144" s="5"/>
      <c r="Q144" s="5"/>
      <c r="R144" s="5"/>
      <c r="S144" s="5"/>
      <c r="T144" s="5"/>
      <c r="U144" s="5"/>
      <c r="V144" s="5"/>
      <c r="W144" s="5"/>
      <c r="X144" s="5"/>
      <c r="Y144" s="5"/>
      <c r="Z144" s="5"/>
    </row>
    <row r="145" ht="19.5" customHeight="1">
      <c r="A145" s="84" t="str">
        <f>IF(Roster!$A$143&lt;&gt;"",Roster!$A$143,"")</f>
        <v/>
      </c>
      <c r="B145" s="84" t="str">
        <f t="array" ref="B145">IF(A145&lt;&gt;"",IFERROR(SUMPRODUCT((INDEX(Attendance!$B$7:$AV$206,MATCH(A145,Attendance!$A$7:$A$206,0),0)=1)*Attendance!$B$4:$AV$4),0),"")</f>
        <v/>
      </c>
      <c r="C145" s="85" t="str">
        <f>IF(A145&lt;&gt;"",SUMIFS(Transactions!$F$7:$F$989,Transactions!$D$7:$D$989,"Income",Transactions!$E$7:$E$989,A145),"")</f>
        <v/>
      </c>
      <c r="D145" s="85" t="str">
        <f>IF(A145&lt;&gt;"",SUMIFS(Transactions!$F$7:$F$989,Transactions!$D$7:$D$989,"Expense",Transactions!$E$7:$E$989,A145),"")</f>
        <v/>
      </c>
      <c r="E145" s="82" t="str">
        <f t="shared" si="1"/>
        <v/>
      </c>
      <c r="F145" s="82" t="str">
        <f t="shared" si="2"/>
        <v/>
      </c>
      <c r="G145" s="86" t="str">
        <f>IF(A145&lt;&gt;"",SUMIFS(Transactions!$F$7:$F$989,Transactions!$D$7:$D$989,"Credit",Transactions!$H$7:$H$989,A145),"")</f>
        <v/>
      </c>
      <c r="H145" s="80"/>
      <c r="I145" s="5"/>
      <c r="J145" s="5"/>
      <c r="K145" s="5"/>
      <c r="L145" s="5"/>
      <c r="M145" s="5"/>
      <c r="N145" s="5"/>
      <c r="O145" s="5"/>
      <c r="P145" s="5"/>
      <c r="Q145" s="5"/>
      <c r="R145" s="5"/>
      <c r="S145" s="5"/>
      <c r="T145" s="5"/>
      <c r="U145" s="5"/>
      <c r="V145" s="5"/>
      <c r="W145" s="5"/>
      <c r="X145" s="5"/>
      <c r="Y145" s="5"/>
      <c r="Z145" s="5"/>
    </row>
    <row r="146" ht="19.5" customHeight="1">
      <c r="A146" s="87" t="str">
        <f>IF(Roster!$A$144&lt;&gt;"",Roster!$A$144,"")</f>
        <v/>
      </c>
      <c r="B146" s="87" t="str">
        <f t="array" ref="B146">IF(A146&lt;&gt;"",IFERROR(SUMPRODUCT((INDEX(Attendance!$B$7:$AV$206,MATCH(A146,Attendance!$A$7:$A$206,0),0)=1)*Attendance!$B$4:$AV$4),0),"")</f>
        <v/>
      </c>
      <c r="C146" s="88" t="str">
        <f>IF(A146&lt;&gt;"",SUMIFS(Transactions!$F$7:$F$989,Transactions!$D$7:$D$989,"Income",Transactions!$E$7:$E$989,A146),"")</f>
        <v/>
      </c>
      <c r="D146" s="88" t="str">
        <f>IF(A146&lt;&gt;"",SUMIFS(Transactions!$F$7:$F$989,Transactions!$D$7:$D$989,"Expense",Transactions!$E$7:$E$989,A146),"")</f>
        <v/>
      </c>
      <c r="E146" s="89" t="str">
        <f t="shared" si="1"/>
        <v/>
      </c>
      <c r="F146" s="89" t="str">
        <f t="shared" si="2"/>
        <v/>
      </c>
      <c r="G146" s="86" t="str">
        <f>IF(A146&lt;&gt;"",SUMIFS(Transactions!$F$7:$F$989,Transactions!$D$7:$D$989,"Credit",Transactions!$H$7:$H$989,A146),"")</f>
        <v/>
      </c>
      <c r="H146" s="80"/>
      <c r="I146" s="5"/>
      <c r="J146" s="5"/>
      <c r="K146" s="5"/>
      <c r="L146" s="5"/>
      <c r="M146" s="5"/>
      <c r="N146" s="5"/>
      <c r="O146" s="5"/>
      <c r="P146" s="5"/>
      <c r="Q146" s="5"/>
      <c r="R146" s="5"/>
      <c r="S146" s="5"/>
      <c r="T146" s="5"/>
      <c r="U146" s="5"/>
      <c r="V146" s="5"/>
      <c r="W146" s="5"/>
      <c r="X146" s="5"/>
      <c r="Y146" s="5"/>
      <c r="Z146" s="5"/>
    </row>
    <row r="147" ht="19.5" customHeight="1">
      <c r="A147" s="84" t="str">
        <f>IF(Roster!$A$145&lt;&gt;"",Roster!$A$145,"")</f>
        <v/>
      </c>
      <c r="B147" s="84" t="str">
        <f t="array" ref="B147">IF(A147&lt;&gt;"",IFERROR(SUMPRODUCT((INDEX(Attendance!$B$7:$AV$206,MATCH(A147,Attendance!$A$7:$A$206,0),0)=1)*Attendance!$B$4:$AV$4),0),"")</f>
        <v/>
      </c>
      <c r="C147" s="85" t="str">
        <f>IF(A147&lt;&gt;"",SUMIFS(Transactions!$F$7:$F$989,Transactions!$D$7:$D$989,"Income",Transactions!$E$7:$E$989,A147),"")</f>
        <v/>
      </c>
      <c r="D147" s="85" t="str">
        <f>IF(A147&lt;&gt;"",SUMIFS(Transactions!$F$7:$F$989,Transactions!$D$7:$D$989,"Expense",Transactions!$E$7:$E$989,A147),"")</f>
        <v/>
      </c>
      <c r="E147" s="82" t="str">
        <f t="shared" si="1"/>
        <v/>
      </c>
      <c r="F147" s="82" t="str">
        <f t="shared" si="2"/>
        <v/>
      </c>
      <c r="G147" s="86" t="str">
        <f>IF(A147&lt;&gt;"",SUMIFS(Transactions!$F$7:$F$989,Transactions!$D$7:$D$989,"Credit",Transactions!$H$7:$H$989,A147),"")</f>
        <v/>
      </c>
      <c r="H147" s="80"/>
      <c r="I147" s="5"/>
      <c r="J147" s="5"/>
      <c r="K147" s="5"/>
      <c r="L147" s="5"/>
      <c r="M147" s="5"/>
      <c r="N147" s="5"/>
      <c r="O147" s="5"/>
      <c r="P147" s="5"/>
      <c r="Q147" s="5"/>
      <c r="R147" s="5"/>
      <c r="S147" s="5"/>
      <c r="T147" s="5"/>
      <c r="U147" s="5"/>
      <c r="V147" s="5"/>
      <c r="W147" s="5"/>
      <c r="X147" s="5"/>
      <c r="Y147" s="5"/>
      <c r="Z147" s="5"/>
    </row>
    <row r="148" ht="19.5" customHeight="1">
      <c r="A148" s="87" t="str">
        <f>IF(Roster!$A$146&lt;&gt;"",Roster!$A$146,"")</f>
        <v/>
      </c>
      <c r="B148" s="87" t="str">
        <f t="array" ref="B148">IF(A148&lt;&gt;"",IFERROR(SUMPRODUCT((INDEX(Attendance!$B$7:$AV$206,MATCH(A148,Attendance!$A$7:$A$206,0),0)=1)*Attendance!$B$4:$AV$4),0),"")</f>
        <v/>
      </c>
      <c r="C148" s="88" t="str">
        <f>IF(A148&lt;&gt;"",SUMIFS(Transactions!$F$7:$F$989,Transactions!$D$7:$D$989,"Income",Transactions!$E$7:$E$989,A148),"")</f>
        <v/>
      </c>
      <c r="D148" s="88" t="str">
        <f>IF(A148&lt;&gt;"",SUMIFS(Transactions!$F$7:$F$989,Transactions!$D$7:$D$989,"Expense",Transactions!$E$7:$E$989,A148),"")</f>
        <v/>
      </c>
      <c r="E148" s="89" t="str">
        <f t="shared" si="1"/>
        <v/>
      </c>
      <c r="F148" s="89" t="str">
        <f t="shared" si="2"/>
        <v/>
      </c>
      <c r="G148" s="86" t="str">
        <f>IF(A148&lt;&gt;"",SUMIFS(Transactions!$F$7:$F$989,Transactions!$D$7:$D$989,"Credit",Transactions!$H$7:$H$989,A148),"")</f>
        <v/>
      </c>
      <c r="H148" s="80"/>
      <c r="I148" s="5"/>
      <c r="J148" s="5"/>
      <c r="K148" s="5"/>
      <c r="L148" s="5"/>
      <c r="M148" s="5"/>
      <c r="N148" s="5"/>
      <c r="O148" s="5"/>
      <c r="P148" s="5"/>
      <c r="Q148" s="5"/>
      <c r="R148" s="5"/>
      <c r="S148" s="5"/>
      <c r="T148" s="5"/>
      <c r="U148" s="5"/>
      <c r="V148" s="5"/>
      <c r="W148" s="5"/>
      <c r="X148" s="5"/>
      <c r="Y148" s="5"/>
      <c r="Z148" s="5"/>
    </row>
    <row r="149" ht="19.5" customHeight="1">
      <c r="A149" s="84" t="str">
        <f>IF(Roster!$A$147&lt;&gt;"",Roster!$A$147,"")</f>
        <v/>
      </c>
      <c r="B149" s="84" t="str">
        <f t="array" ref="B149">IF(A149&lt;&gt;"",IFERROR(SUMPRODUCT((INDEX(Attendance!$B$7:$AV$206,MATCH(A149,Attendance!$A$7:$A$206,0),0)=1)*Attendance!$B$4:$AV$4),0),"")</f>
        <v/>
      </c>
      <c r="C149" s="85" t="str">
        <f>IF(A149&lt;&gt;"",SUMIFS(Transactions!$F$7:$F$989,Transactions!$D$7:$D$989,"Income",Transactions!$E$7:$E$989,A149),"")</f>
        <v/>
      </c>
      <c r="D149" s="85" t="str">
        <f>IF(A149&lt;&gt;"",SUMIFS(Transactions!$F$7:$F$989,Transactions!$D$7:$D$989,"Expense",Transactions!$E$7:$E$989,A149),"")</f>
        <v/>
      </c>
      <c r="E149" s="82" t="str">
        <f t="shared" si="1"/>
        <v/>
      </c>
      <c r="F149" s="82" t="str">
        <f t="shared" si="2"/>
        <v/>
      </c>
      <c r="G149" s="86" t="str">
        <f>IF(A149&lt;&gt;"",SUMIFS(Transactions!$F$7:$F$989,Transactions!$D$7:$D$989,"Credit",Transactions!$H$7:$H$989,A149),"")</f>
        <v/>
      </c>
      <c r="H149" s="80"/>
      <c r="I149" s="5"/>
      <c r="J149" s="5"/>
      <c r="K149" s="5"/>
      <c r="L149" s="5"/>
      <c r="M149" s="5"/>
      <c r="N149" s="5"/>
      <c r="O149" s="5"/>
      <c r="P149" s="5"/>
      <c r="Q149" s="5"/>
      <c r="R149" s="5"/>
      <c r="S149" s="5"/>
      <c r="T149" s="5"/>
      <c r="U149" s="5"/>
      <c r="V149" s="5"/>
      <c r="W149" s="5"/>
      <c r="X149" s="5"/>
      <c r="Y149" s="5"/>
      <c r="Z149" s="5"/>
    </row>
    <row r="150" ht="19.5" customHeight="1">
      <c r="A150" s="87" t="str">
        <f>IF(Roster!$A$148&lt;&gt;"",Roster!$A$148,"")</f>
        <v/>
      </c>
      <c r="B150" s="87" t="str">
        <f t="array" ref="B150">IF(A150&lt;&gt;"",IFERROR(SUMPRODUCT((INDEX(Attendance!$B$7:$AV$206,MATCH(A150,Attendance!$A$7:$A$206,0),0)=1)*Attendance!$B$4:$AV$4),0),"")</f>
        <v/>
      </c>
      <c r="C150" s="88" t="str">
        <f>IF(A150&lt;&gt;"",SUMIFS(Transactions!$F$7:$F$989,Transactions!$D$7:$D$989,"Income",Transactions!$E$7:$E$989,A150),"")</f>
        <v/>
      </c>
      <c r="D150" s="88" t="str">
        <f>IF(A150&lt;&gt;"",SUMIFS(Transactions!$F$7:$F$989,Transactions!$D$7:$D$989,"Expense",Transactions!$E$7:$E$989,A150),"")</f>
        <v/>
      </c>
      <c r="E150" s="89" t="str">
        <f t="shared" si="1"/>
        <v/>
      </c>
      <c r="F150" s="89" t="str">
        <f t="shared" si="2"/>
        <v/>
      </c>
      <c r="G150" s="86" t="str">
        <f>IF(A150&lt;&gt;"",SUMIFS(Transactions!$F$7:$F$989,Transactions!$D$7:$D$989,"Credit",Transactions!$H$7:$H$989,A150),"")</f>
        <v/>
      </c>
      <c r="H150" s="80"/>
      <c r="I150" s="5"/>
      <c r="J150" s="5"/>
      <c r="K150" s="5"/>
      <c r="L150" s="5"/>
      <c r="M150" s="5"/>
      <c r="N150" s="5"/>
      <c r="O150" s="5"/>
      <c r="P150" s="5"/>
      <c r="Q150" s="5"/>
      <c r="R150" s="5"/>
      <c r="S150" s="5"/>
      <c r="T150" s="5"/>
      <c r="U150" s="5"/>
      <c r="V150" s="5"/>
      <c r="W150" s="5"/>
      <c r="X150" s="5"/>
      <c r="Y150" s="5"/>
      <c r="Z150" s="5"/>
    </row>
    <row r="151" ht="19.5" customHeight="1">
      <c r="A151" s="84" t="str">
        <f>IF(Roster!$A$149&lt;&gt;"",Roster!$A$149,"")</f>
        <v/>
      </c>
      <c r="B151" s="84" t="str">
        <f t="array" ref="B151">IF(A151&lt;&gt;"",IFERROR(SUMPRODUCT((INDEX(Attendance!$B$7:$AV$206,MATCH(A151,Attendance!$A$7:$A$206,0),0)=1)*Attendance!$B$4:$AV$4),0),"")</f>
        <v/>
      </c>
      <c r="C151" s="85" t="str">
        <f>IF(A151&lt;&gt;"",SUMIFS(Transactions!$F$7:$F$989,Transactions!$D$7:$D$989,"Income",Transactions!$E$7:$E$989,A151),"")</f>
        <v/>
      </c>
      <c r="D151" s="85" t="str">
        <f>IF(A151&lt;&gt;"",SUMIFS(Transactions!$F$7:$F$989,Transactions!$D$7:$D$989,"Expense",Transactions!$E$7:$E$989,A151),"")</f>
        <v/>
      </c>
      <c r="E151" s="82" t="str">
        <f t="shared" si="1"/>
        <v/>
      </c>
      <c r="F151" s="82" t="str">
        <f t="shared" si="2"/>
        <v/>
      </c>
      <c r="G151" s="86" t="str">
        <f>IF(A151&lt;&gt;"",SUMIFS(Transactions!$F$7:$F$989,Transactions!$D$7:$D$989,"Credit",Transactions!$H$7:$H$989,A151),"")</f>
        <v/>
      </c>
      <c r="H151" s="80"/>
      <c r="I151" s="5"/>
      <c r="J151" s="5"/>
      <c r="K151" s="5"/>
      <c r="L151" s="5"/>
      <c r="M151" s="5"/>
      <c r="N151" s="5"/>
      <c r="O151" s="5"/>
      <c r="P151" s="5"/>
      <c r="Q151" s="5"/>
      <c r="R151" s="5"/>
      <c r="S151" s="5"/>
      <c r="T151" s="5"/>
      <c r="U151" s="5"/>
      <c r="V151" s="5"/>
      <c r="W151" s="5"/>
      <c r="X151" s="5"/>
      <c r="Y151" s="5"/>
      <c r="Z151" s="5"/>
    </row>
    <row r="152" ht="19.5" customHeight="1">
      <c r="A152" s="87" t="str">
        <f>IF(Roster!$A$150&lt;&gt;"",Roster!$A$150,"")</f>
        <v/>
      </c>
      <c r="B152" s="87" t="str">
        <f t="array" ref="B152">IF(A152&lt;&gt;"",IFERROR(SUMPRODUCT((INDEX(Attendance!$B$7:$AV$206,MATCH(A152,Attendance!$A$7:$A$206,0),0)=1)*Attendance!$B$4:$AV$4),0),"")</f>
        <v/>
      </c>
      <c r="C152" s="88" t="str">
        <f>IF(A152&lt;&gt;"",SUMIFS(Transactions!$F$7:$F$989,Transactions!$D$7:$D$989,"Income",Transactions!$E$7:$E$989,A152),"")</f>
        <v/>
      </c>
      <c r="D152" s="88" t="str">
        <f>IF(A152&lt;&gt;"",SUMIFS(Transactions!$F$7:$F$989,Transactions!$D$7:$D$989,"Expense",Transactions!$E$7:$E$989,A152),"")</f>
        <v/>
      </c>
      <c r="E152" s="89" t="str">
        <f t="shared" si="1"/>
        <v/>
      </c>
      <c r="F152" s="89" t="str">
        <f t="shared" si="2"/>
        <v/>
      </c>
      <c r="G152" s="86" t="str">
        <f>IF(A152&lt;&gt;"",SUMIFS(Transactions!$F$7:$F$989,Transactions!$D$7:$D$989,"Credit",Transactions!$H$7:$H$989,A152),"")</f>
        <v/>
      </c>
      <c r="H152" s="80"/>
      <c r="I152" s="5"/>
      <c r="J152" s="5"/>
      <c r="K152" s="5"/>
      <c r="L152" s="5"/>
      <c r="M152" s="5"/>
      <c r="N152" s="5"/>
      <c r="O152" s="5"/>
      <c r="P152" s="5"/>
      <c r="Q152" s="5"/>
      <c r="R152" s="5"/>
      <c r="S152" s="5"/>
      <c r="T152" s="5"/>
      <c r="U152" s="5"/>
      <c r="V152" s="5"/>
      <c r="W152" s="5"/>
      <c r="X152" s="5"/>
      <c r="Y152" s="5"/>
      <c r="Z152" s="5"/>
    </row>
    <row r="153" ht="19.5" customHeight="1">
      <c r="A153" s="84" t="str">
        <f>IF(Roster!$A$151&lt;&gt;"",Roster!$A$151,"")</f>
        <v/>
      </c>
      <c r="B153" s="84" t="str">
        <f t="array" ref="B153">IF(A153&lt;&gt;"",IFERROR(SUMPRODUCT((INDEX(Attendance!$B$7:$AV$206,MATCH(A153,Attendance!$A$7:$A$206,0),0)=1)*Attendance!$B$4:$AV$4),0),"")</f>
        <v/>
      </c>
      <c r="C153" s="85" t="str">
        <f>IF(A153&lt;&gt;"",SUMIFS(Transactions!$F$7:$F$989,Transactions!$D$7:$D$989,"Income",Transactions!$E$7:$E$989,A153),"")</f>
        <v/>
      </c>
      <c r="D153" s="85" t="str">
        <f>IF(A153&lt;&gt;"",SUMIFS(Transactions!$F$7:$F$989,Transactions!$D$7:$D$989,"Expense",Transactions!$E$7:$E$989,A153),"")</f>
        <v/>
      </c>
      <c r="E153" s="82" t="str">
        <f t="shared" si="1"/>
        <v/>
      </c>
      <c r="F153" s="82" t="str">
        <f t="shared" si="2"/>
        <v/>
      </c>
      <c r="G153" s="86" t="str">
        <f>IF(A153&lt;&gt;"",SUMIFS(Transactions!$F$7:$F$989,Transactions!$D$7:$D$989,"Credit",Transactions!$H$7:$H$989,A153),"")</f>
        <v/>
      </c>
      <c r="H153" s="80"/>
      <c r="I153" s="5"/>
      <c r="J153" s="5"/>
      <c r="K153" s="5"/>
      <c r="L153" s="5"/>
      <c r="M153" s="5"/>
      <c r="N153" s="5"/>
      <c r="O153" s="5"/>
      <c r="P153" s="5"/>
      <c r="Q153" s="5"/>
      <c r="R153" s="5"/>
      <c r="S153" s="5"/>
      <c r="T153" s="5"/>
      <c r="U153" s="5"/>
      <c r="V153" s="5"/>
      <c r="W153" s="5"/>
      <c r="X153" s="5"/>
      <c r="Y153" s="5"/>
      <c r="Z153" s="5"/>
    </row>
    <row r="154" ht="19.5" customHeight="1">
      <c r="A154" s="87" t="str">
        <f>IF(Roster!$A$152&lt;&gt;"",Roster!$A$152,"")</f>
        <v/>
      </c>
      <c r="B154" s="87" t="str">
        <f t="array" ref="B154">IF(A154&lt;&gt;"",IFERROR(SUMPRODUCT((INDEX(Attendance!$B$7:$AV$206,MATCH(A154,Attendance!$A$7:$A$206,0),0)=1)*Attendance!$B$4:$AV$4),0),"")</f>
        <v/>
      </c>
      <c r="C154" s="88" t="str">
        <f>IF(A154&lt;&gt;"",SUMIFS(Transactions!$F$7:$F$989,Transactions!$D$7:$D$989,"Income",Transactions!$E$7:$E$989,A154),"")</f>
        <v/>
      </c>
      <c r="D154" s="88" t="str">
        <f>IF(A154&lt;&gt;"",SUMIFS(Transactions!$F$7:$F$989,Transactions!$D$7:$D$989,"Expense",Transactions!$E$7:$E$989,A154),"")</f>
        <v/>
      </c>
      <c r="E154" s="89" t="str">
        <f t="shared" si="1"/>
        <v/>
      </c>
      <c r="F154" s="89" t="str">
        <f t="shared" si="2"/>
        <v/>
      </c>
      <c r="G154" s="86" t="str">
        <f>IF(A154&lt;&gt;"",SUMIFS(Transactions!$F$7:$F$989,Transactions!$D$7:$D$989,"Credit",Transactions!$H$7:$H$989,A154),"")</f>
        <v/>
      </c>
      <c r="H154" s="80"/>
      <c r="I154" s="5"/>
      <c r="J154" s="5"/>
      <c r="K154" s="5"/>
      <c r="L154" s="5"/>
      <c r="M154" s="5"/>
      <c r="N154" s="5"/>
      <c r="O154" s="5"/>
      <c r="P154" s="5"/>
      <c r="Q154" s="5"/>
      <c r="R154" s="5"/>
      <c r="S154" s="5"/>
      <c r="T154" s="5"/>
      <c r="U154" s="5"/>
      <c r="V154" s="5"/>
      <c r="W154" s="5"/>
      <c r="X154" s="5"/>
      <c r="Y154" s="5"/>
      <c r="Z154" s="5"/>
    </row>
    <row r="155" ht="19.5" customHeight="1">
      <c r="A155" s="84" t="str">
        <f>IF(Roster!$A$153&lt;&gt;"",Roster!$A$153,"")</f>
        <v/>
      </c>
      <c r="B155" s="84" t="str">
        <f t="array" ref="B155">IF(A155&lt;&gt;"",IFERROR(SUMPRODUCT((INDEX(Attendance!$B$7:$AV$206,MATCH(A155,Attendance!$A$7:$A$206,0),0)=1)*Attendance!$B$4:$AV$4),0),"")</f>
        <v/>
      </c>
      <c r="C155" s="85" t="str">
        <f>IF(A155&lt;&gt;"",SUMIFS(Transactions!$F$7:$F$989,Transactions!$D$7:$D$989,"Income",Transactions!$E$7:$E$989,A155),"")</f>
        <v/>
      </c>
      <c r="D155" s="85" t="str">
        <f>IF(A155&lt;&gt;"",SUMIFS(Transactions!$F$7:$F$989,Transactions!$D$7:$D$989,"Expense",Transactions!$E$7:$E$989,A155),"")</f>
        <v/>
      </c>
      <c r="E155" s="82" t="str">
        <f t="shared" si="1"/>
        <v/>
      </c>
      <c r="F155" s="82" t="str">
        <f t="shared" si="2"/>
        <v/>
      </c>
      <c r="G155" s="86" t="str">
        <f>IF(A155&lt;&gt;"",SUMIFS(Transactions!$F$7:$F$989,Transactions!$D$7:$D$989,"Credit",Transactions!$H$7:$H$989,A155),"")</f>
        <v/>
      </c>
      <c r="H155" s="80"/>
      <c r="I155" s="5"/>
      <c r="J155" s="5"/>
      <c r="K155" s="5"/>
      <c r="L155" s="5"/>
      <c r="M155" s="5"/>
      <c r="N155" s="5"/>
      <c r="O155" s="5"/>
      <c r="P155" s="5"/>
      <c r="Q155" s="5"/>
      <c r="R155" s="5"/>
      <c r="S155" s="5"/>
      <c r="T155" s="5"/>
      <c r="U155" s="5"/>
      <c r="V155" s="5"/>
      <c r="W155" s="5"/>
      <c r="X155" s="5"/>
      <c r="Y155" s="5"/>
      <c r="Z155" s="5"/>
    </row>
    <row r="156" ht="19.5" customHeight="1">
      <c r="A156" s="87" t="str">
        <f>IF(Roster!$A$154&lt;&gt;"",Roster!$A$154,"")</f>
        <v/>
      </c>
      <c r="B156" s="87" t="str">
        <f t="array" ref="B156">IF(A156&lt;&gt;"",IFERROR(SUMPRODUCT((INDEX(Attendance!$B$7:$AV$206,MATCH(A156,Attendance!$A$7:$A$206,0),0)=1)*Attendance!$B$4:$AV$4),0),"")</f>
        <v/>
      </c>
      <c r="C156" s="88" t="str">
        <f>IF(A156&lt;&gt;"",SUMIFS(Transactions!$F$7:$F$989,Transactions!$D$7:$D$989,"Income",Transactions!$E$7:$E$989,A156),"")</f>
        <v/>
      </c>
      <c r="D156" s="88" t="str">
        <f>IF(A156&lt;&gt;"",SUMIFS(Transactions!$F$7:$F$989,Transactions!$D$7:$D$989,"Expense",Transactions!$E$7:$E$989,A156),"")</f>
        <v/>
      </c>
      <c r="E156" s="89" t="str">
        <f t="shared" si="1"/>
        <v/>
      </c>
      <c r="F156" s="89" t="str">
        <f t="shared" si="2"/>
        <v/>
      </c>
      <c r="G156" s="86" t="str">
        <f>IF(A156&lt;&gt;"",SUMIFS(Transactions!$F$7:$F$989,Transactions!$D$7:$D$989,"Credit",Transactions!$H$7:$H$989,A156),"")</f>
        <v/>
      </c>
      <c r="H156" s="80"/>
      <c r="I156" s="5"/>
      <c r="J156" s="5"/>
      <c r="K156" s="5"/>
      <c r="L156" s="5"/>
      <c r="M156" s="5"/>
      <c r="N156" s="5"/>
      <c r="O156" s="5"/>
      <c r="P156" s="5"/>
      <c r="Q156" s="5"/>
      <c r="R156" s="5"/>
      <c r="S156" s="5"/>
      <c r="T156" s="5"/>
      <c r="U156" s="5"/>
      <c r="V156" s="5"/>
      <c r="W156" s="5"/>
      <c r="X156" s="5"/>
      <c r="Y156" s="5"/>
      <c r="Z156" s="5"/>
    </row>
    <row r="157" ht="19.5" customHeight="1">
      <c r="A157" s="84" t="str">
        <f>IF(Roster!$A$155&lt;&gt;"",Roster!$A$155,"")</f>
        <v/>
      </c>
      <c r="B157" s="84" t="str">
        <f t="array" ref="B157">IF(A157&lt;&gt;"",IFERROR(SUMPRODUCT((INDEX(Attendance!$B$7:$AV$206,MATCH(A157,Attendance!$A$7:$A$206,0),0)=1)*Attendance!$B$4:$AV$4),0),"")</f>
        <v/>
      </c>
      <c r="C157" s="85" t="str">
        <f>IF(A157&lt;&gt;"",SUMIFS(Transactions!$F$7:$F$989,Transactions!$D$7:$D$989,"Income",Transactions!$E$7:$E$989,A157),"")</f>
        <v/>
      </c>
      <c r="D157" s="85" t="str">
        <f>IF(A157&lt;&gt;"",SUMIFS(Transactions!$F$7:$F$989,Transactions!$D$7:$D$989,"Expense",Transactions!$E$7:$E$989,A157),"")</f>
        <v/>
      </c>
      <c r="E157" s="82" t="str">
        <f t="shared" si="1"/>
        <v/>
      </c>
      <c r="F157" s="82" t="str">
        <f t="shared" si="2"/>
        <v/>
      </c>
      <c r="G157" s="86" t="str">
        <f>IF(A157&lt;&gt;"",SUMIFS(Transactions!$F$7:$F$989,Transactions!$D$7:$D$989,"Credit",Transactions!$H$7:$H$989,A157),"")</f>
        <v/>
      </c>
      <c r="H157" s="80"/>
      <c r="I157" s="5"/>
      <c r="J157" s="5"/>
      <c r="K157" s="5"/>
      <c r="L157" s="5"/>
      <c r="M157" s="5"/>
      <c r="N157" s="5"/>
      <c r="O157" s="5"/>
      <c r="P157" s="5"/>
      <c r="Q157" s="5"/>
      <c r="R157" s="5"/>
      <c r="S157" s="5"/>
      <c r="T157" s="5"/>
      <c r="U157" s="5"/>
      <c r="V157" s="5"/>
      <c r="W157" s="5"/>
      <c r="X157" s="5"/>
      <c r="Y157" s="5"/>
      <c r="Z157" s="5"/>
    </row>
    <row r="158" ht="19.5" customHeight="1">
      <c r="A158" s="87" t="str">
        <f>IF(Roster!$A$156&lt;&gt;"",Roster!$A$156,"")</f>
        <v/>
      </c>
      <c r="B158" s="87" t="str">
        <f t="array" ref="B158">IF(A158&lt;&gt;"",IFERROR(SUMPRODUCT((INDEX(Attendance!$B$7:$AV$206,MATCH(A158,Attendance!$A$7:$A$206,0),0)=1)*Attendance!$B$4:$AV$4),0),"")</f>
        <v/>
      </c>
      <c r="C158" s="88" t="str">
        <f>IF(A158&lt;&gt;"",SUMIFS(Transactions!$F$7:$F$989,Transactions!$D$7:$D$989,"Income",Transactions!$E$7:$E$989,A158),"")</f>
        <v/>
      </c>
      <c r="D158" s="88" t="str">
        <f>IF(A158&lt;&gt;"",SUMIFS(Transactions!$F$7:$F$989,Transactions!$D$7:$D$989,"Expense",Transactions!$E$7:$E$989,A158),"")</f>
        <v/>
      </c>
      <c r="E158" s="89" t="str">
        <f t="shared" si="1"/>
        <v/>
      </c>
      <c r="F158" s="89" t="str">
        <f t="shared" si="2"/>
        <v/>
      </c>
      <c r="G158" s="86" t="str">
        <f>IF(A158&lt;&gt;"",SUMIFS(Transactions!$F$7:$F$989,Transactions!$D$7:$D$989,"Credit",Transactions!$H$7:$H$989,A158),"")</f>
        <v/>
      </c>
      <c r="H158" s="80"/>
      <c r="I158" s="5"/>
      <c r="J158" s="5"/>
      <c r="K158" s="5"/>
      <c r="L158" s="5"/>
      <c r="M158" s="5"/>
      <c r="N158" s="5"/>
      <c r="O158" s="5"/>
      <c r="P158" s="5"/>
      <c r="Q158" s="5"/>
      <c r="R158" s="5"/>
      <c r="S158" s="5"/>
      <c r="T158" s="5"/>
      <c r="U158" s="5"/>
      <c r="V158" s="5"/>
      <c r="W158" s="5"/>
      <c r="X158" s="5"/>
      <c r="Y158" s="5"/>
      <c r="Z158" s="5"/>
    </row>
    <row r="159" ht="19.5" customHeight="1">
      <c r="A159" s="84" t="str">
        <f>IF(Roster!$A$157&lt;&gt;"",Roster!$A$157,"")</f>
        <v/>
      </c>
      <c r="B159" s="84" t="str">
        <f t="array" ref="B159">IF(A159&lt;&gt;"",IFERROR(SUMPRODUCT((INDEX(Attendance!$B$7:$AV$206,MATCH(A159,Attendance!$A$7:$A$206,0),0)=1)*Attendance!$B$4:$AV$4),0),"")</f>
        <v/>
      </c>
      <c r="C159" s="85" t="str">
        <f>IF(A159&lt;&gt;"",SUMIFS(Transactions!$F$7:$F$989,Transactions!$D$7:$D$989,"Income",Transactions!$E$7:$E$989,A159),"")</f>
        <v/>
      </c>
      <c r="D159" s="85" t="str">
        <f>IF(A159&lt;&gt;"",SUMIFS(Transactions!$F$7:$F$989,Transactions!$D$7:$D$989,"Expense",Transactions!$E$7:$E$989,A159),"")</f>
        <v/>
      </c>
      <c r="E159" s="82" t="str">
        <f t="shared" si="1"/>
        <v/>
      </c>
      <c r="F159" s="82" t="str">
        <f t="shared" si="2"/>
        <v/>
      </c>
      <c r="G159" s="86" t="str">
        <f>IF(A159&lt;&gt;"",SUMIFS(Transactions!$F$7:$F$989,Transactions!$D$7:$D$989,"Credit",Transactions!$H$7:$H$989,A159),"")</f>
        <v/>
      </c>
      <c r="H159" s="80"/>
      <c r="I159" s="5"/>
      <c r="J159" s="5"/>
      <c r="K159" s="5"/>
      <c r="L159" s="5"/>
      <c r="M159" s="5"/>
      <c r="N159" s="5"/>
      <c r="O159" s="5"/>
      <c r="P159" s="5"/>
      <c r="Q159" s="5"/>
      <c r="R159" s="5"/>
      <c r="S159" s="5"/>
      <c r="T159" s="5"/>
      <c r="U159" s="5"/>
      <c r="V159" s="5"/>
      <c r="W159" s="5"/>
      <c r="X159" s="5"/>
      <c r="Y159" s="5"/>
      <c r="Z159" s="5"/>
    </row>
    <row r="160" ht="19.5" customHeight="1">
      <c r="A160" s="87" t="str">
        <f>IF(Roster!$A$158&lt;&gt;"",Roster!$A$158,"")</f>
        <v/>
      </c>
      <c r="B160" s="87" t="str">
        <f t="array" ref="B160">IF(A160&lt;&gt;"",IFERROR(SUMPRODUCT((INDEX(Attendance!$B$7:$AV$206,MATCH(A160,Attendance!$A$7:$A$206,0),0)=1)*Attendance!$B$4:$AV$4),0),"")</f>
        <v/>
      </c>
      <c r="C160" s="88" t="str">
        <f>IF(A160&lt;&gt;"",SUMIFS(Transactions!$F$7:$F$989,Transactions!$D$7:$D$989,"Income",Transactions!$E$7:$E$989,A160),"")</f>
        <v/>
      </c>
      <c r="D160" s="88" t="str">
        <f>IF(A160&lt;&gt;"",SUMIFS(Transactions!$F$7:$F$989,Transactions!$D$7:$D$989,"Expense",Transactions!$E$7:$E$989,A160),"")</f>
        <v/>
      </c>
      <c r="E160" s="89" t="str">
        <f t="shared" si="1"/>
        <v/>
      </c>
      <c r="F160" s="89" t="str">
        <f t="shared" si="2"/>
        <v/>
      </c>
      <c r="G160" s="86" t="str">
        <f>IF(A160&lt;&gt;"",SUMIFS(Transactions!$F$7:$F$989,Transactions!$D$7:$D$989,"Credit",Transactions!$H$7:$H$989,A160),"")</f>
        <v/>
      </c>
      <c r="H160" s="80"/>
      <c r="I160" s="5"/>
      <c r="J160" s="5"/>
      <c r="K160" s="5"/>
      <c r="L160" s="5"/>
      <c r="M160" s="5"/>
      <c r="N160" s="5"/>
      <c r="O160" s="5"/>
      <c r="P160" s="5"/>
      <c r="Q160" s="5"/>
      <c r="R160" s="5"/>
      <c r="S160" s="5"/>
      <c r="T160" s="5"/>
      <c r="U160" s="5"/>
      <c r="V160" s="5"/>
      <c r="W160" s="5"/>
      <c r="X160" s="5"/>
      <c r="Y160" s="5"/>
      <c r="Z160" s="5"/>
    </row>
    <row r="161" ht="19.5" customHeight="1">
      <c r="A161" s="84" t="str">
        <f>IF(Roster!$A$159&lt;&gt;"",Roster!$A$159,"")</f>
        <v/>
      </c>
      <c r="B161" s="84" t="str">
        <f t="array" ref="B161">IF(A161&lt;&gt;"",IFERROR(SUMPRODUCT((INDEX(Attendance!$B$7:$AV$206,MATCH(A161,Attendance!$A$7:$A$206,0),0)=1)*Attendance!$B$4:$AV$4),0),"")</f>
        <v/>
      </c>
      <c r="C161" s="85" t="str">
        <f>IF(A161&lt;&gt;"",SUMIFS(Transactions!$F$7:$F$989,Transactions!$D$7:$D$989,"Income",Transactions!$E$7:$E$989,A161),"")</f>
        <v/>
      </c>
      <c r="D161" s="85" t="str">
        <f>IF(A161&lt;&gt;"",SUMIFS(Transactions!$F$7:$F$989,Transactions!$D$7:$D$989,"Expense",Transactions!$E$7:$E$989,A161),"")</f>
        <v/>
      </c>
      <c r="E161" s="82" t="str">
        <f t="shared" si="1"/>
        <v/>
      </c>
      <c r="F161" s="82" t="str">
        <f t="shared" si="2"/>
        <v/>
      </c>
      <c r="G161" s="86" t="str">
        <f>IF(A161&lt;&gt;"",SUMIFS(Transactions!$F$7:$F$989,Transactions!$D$7:$D$989,"Credit",Transactions!$H$7:$H$989,A161),"")</f>
        <v/>
      </c>
      <c r="H161" s="80"/>
      <c r="I161" s="5"/>
      <c r="J161" s="5"/>
      <c r="K161" s="5"/>
      <c r="L161" s="5"/>
      <c r="M161" s="5"/>
      <c r="N161" s="5"/>
      <c r="O161" s="5"/>
      <c r="P161" s="5"/>
      <c r="Q161" s="5"/>
      <c r="R161" s="5"/>
      <c r="S161" s="5"/>
      <c r="T161" s="5"/>
      <c r="U161" s="5"/>
      <c r="V161" s="5"/>
      <c r="W161" s="5"/>
      <c r="X161" s="5"/>
      <c r="Y161" s="5"/>
      <c r="Z161" s="5"/>
    </row>
    <row r="162" ht="19.5" customHeight="1">
      <c r="A162" s="87" t="str">
        <f>IF(Roster!$A$160&lt;&gt;"",Roster!$A$160,"")</f>
        <v/>
      </c>
      <c r="B162" s="87" t="str">
        <f t="array" ref="B162">IF(A162&lt;&gt;"",IFERROR(SUMPRODUCT((INDEX(Attendance!$B$7:$AV$206,MATCH(A162,Attendance!$A$7:$A$206,0),0)=1)*Attendance!$B$4:$AV$4),0),"")</f>
        <v/>
      </c>
      <c r="C162" s="88" t="str">
        <f>IF(A162&lt;&gt;"",SUMIFS(Transactions!$F$7:$F$989,Transactions!$D$7:$D$989,"Income",Transactions!$E$7:$E$989,A162),"")</f>
        <v/>
      </c>
      <c r="D162" s="88" t="str">
        <f>IF(A162&lt;&gt;"",SUMIFS(Transactions!$F$7:$F$989,Transactions!$D$7:$D$989,"Expense",Transactions!$E$7:$E$989,A162),"")</f>
        <v/>
      </c>
      <c r="E162" s="89" t="str">
        <f t="shared" si="1"/>
        <v/>
      </c>
      <c r="F162" s="89" t="str">
        <f t="shared" si="2"/>
        <v/>
      </c>
      <c r="G162" s="86" t="str">
        <f>IF(A162&lt;&gt;"",SUMIFS(Transactions!$F$7:$F$989,Transactions!$D$7:$D$989,"Credit",Transactions!$H$7:$H$989,A162),"")</f>
        <v/>
      </c>
      <c r="H162" s="80"/>
      <c r="I162" s="5"/>
      <c r="J162" s="5"/>
      <c r="K162" s="5"/>
      <c r="L162" s="5"/>
      <c r="M162" s="5"/>
      <c r="N162" s="5"/>
      <c r="O162" s="5"/>
      <c r="P162" s="5"/>
      <c r="Q162" s="5"/>
      <c r="R162" s="5"/>
      <c r="S162" s="5"/>
      <c r="T162" s="5"/>
      <c r="U162" s="5"/>
      <c r="V162" s="5"/>
      <c r="W162" s="5"/>
      <c r="X162" s="5"/>
      <c r="Y162" s="5"/>
      <c r="Z162" s="5"/>
    </row>
    <row r="163" ht="19.5" customHeight="1">
      <c r="A163" s="84" t="str">
        <f>IF(Roster!$A$161&lt;&gt;"",Roster!$A$161,"")</f>
        <v/>
      </c>
      <c r="B163" s="84" t="str">
        <f t="array" ref="B163">IF(A163&lt;&gt;"",IFERROR(SUMPRODUCT((INDEX(Attendance!$B$7:$AV$206,MATCH(A163,Attendance!$A$7:$A$206,0),0)=1)*Attendance!$B$4:$AV$4),0),"")</f>
        <v/>
      </c>
      <c r="C163" s="85" t="str">
        <f>IF(A163&lt;&gt;"",SUMIFS(Transactions!$F$7:$F$989,Transactions!$D$7:$D$989,"Income",Transactions!$E$7:$E$989,A163),"")</f>
        <v/>
      </c>
      <c r="D163" s="85" t="str">
        <f>IF(A163&lt;&gt;"",SUMIFS(Transactions!$F$7:$F$989,Transactions!$D$7:$D$989,"Expense",Transactions!$E$7:$E$989,A163),"")</f>
        <v/>
      </c>
      <c r="E163" s="82" t="str">
        <f t="shared" si="1"/>
        <v/>
      </c>
      <c r="F163" s="82" t="str">
        <f t="shared" si="2"/>
        <v/>
      </c>
      <c r="G163" s="86" t="str">
        <f>IF(A163&lt;&gt;"",SUMIFS(Transactions!$F$7:$F$989,Transactions!$D$7:$D$989,"Credit",Transactions!$H$7:$H$989,A163),"")</f>
        <v/>
      </c>
      <c r="H163" s="80"/>
      <c r="I163" s="5"/>
      <c r="J163" s="5"/>
      <c r="K163" s="5"/>
      <c r="L163" s="5"/>
      <c r="M163" s="5"/>
      <c r="N163" s="5"/>
      <c r="O163" s="5"/>
      <c r="P163" s="5"/>
      <c r="Q163" s="5"/>
      <c r="R163" s="5"/>
      <c r="S163" s="5"/>
      <c r="T163" s="5"/>
      <c r="U163" s="5"/>
      <c r="V163" s="5"/>
      <c r="W163" s="5"/>
      <c r="X163" s="5"/>
      <c r="Y163" s="5"/>
      <c r="Z163" s="5"/>
    </row>
    <row r="164" ht="19.5" customHeight="1">
      <c r="A164" s="87" t="str">
        <f>IF(Roster!$A$162&lt;&gt;"",Roster!$A$162,"")</f>
        <v/>
      </c>
      <c r="B164" s="87" t="str">
        <f t="array" ref="B164">IF(A164&lt;&gt;"",IFERROR(SUMPRODUCT((INDEX(Attendance!$B$7:$AV$206,MATCH(A164,Attendance!$A$7:$A$206,0),0)=1)*Attendance!$B$4:$AV$4),0),"")</f>
        <v/>
      </c>
      <c r="C164" s="88" t="str">
        <f>IF(A164&lt;&gt;"",SUMIFS(Transactions!$F$7:$F$989,Transactions!$D$7:$D$989,"Income",Transactions!$E$7:$E$989,A164),"")</f>
        <v/>
      </c>
      <c r="D164" s="88" t="str">
        <f>IF(A164&lt;&gt;"",SUMIFS(Transactions!$F$7:$F$989,Transactions!$D$7:$D$989,"Expense",Transactions!$E$7:$E$989,A164),"")</f>
        <v/>
      </c>
      <c r="E164" s="89" t="str">
        <f t="shared" si="1"/>
        <v/>
      </c>
      <c r="F164" s="89" t="str">
        <f t="shared" si="2"/>
        <v/>
      </c>
      <c r="G164" s="86" t="str">
        <f>IF(A164&lt;&gt;"",SUMIFS(Transactions!$F$7:$F$989,Transactions!$D$7:$D$989,"Credit",Transactions!$H$7:$H$989,A164),"")</f>
        <v/>
      </c>
      <c r="H164" s="80"/>
      <c r="I164" s="5"/>
      <c r="J164" s="5"/>
      <c r="K164" s="5"/>
      <c r="L164" s="5"/>
      <c r="M164" s="5"/>
      <c r="N164" s="5"/>
      <c r="O164" s="5"/>
      <c r="P164" s="5"/>
      <c r="Q164" s="5"/>
      <c r="R164" s="5"/>
      <c r="S164" s="5"/>
      <c r="T164" s="5"/>
      <c r="U164" s="5"/>
      <c r="V164" s="5"/>
      <c r="W164" s="5"/>
      <c r="X164" s="5"/>
      <c r="Y164" s="5"/>
      <c r="Z164" s="5"/>
    </row>
    <row r="165" ht="19.5" customHeight="1">
      <c r="A165" s="84" t="str">
        <f>IF(Roster!$A$163&lt;&gt;"",Roster!$A$163,"")</f>
        <v/>
      </c>
      <c r="B165" s="84" t="str">
        <f t="array" ref="B165">IF(A165&lt;&gt;"",IFERROR(SUMPRODUCT((INDEX(Attendance!$B$7:$AV$206,MATCH(A165,Attendance!$A$7:$A$206,0),0)=1)*Attendance!$B$4:$AV$4),0),"")</f>
        <v/>
      </c>
      <c r="C165" s="85" t="str">
        <f>IF(A165&lt;&gt;"",SUMIFS(Transactions!$F$7:$F$989,Transactions!$D$7:$D$989,"Income",Transactions!$E$7:$E$989,A165),"")</f>
        <v/>
      </c>
      <c r="D165" s="85" t="str">
        <f>IF(A165&lt;&gt;"",SUMIFS(Transactions!$F$7:$F$989,Transactions!$D$7:$D$989,"Expense",Transactions!$E$7:$E$989,A165),"")</f>
        <v/>
      </c>
      <c r="E165" s="82" t="str">
        <f t="shared" si="1"/>
        <v/>
      </c>
      <c r="F165" s="82" t="str">
        <f t="shared" si="2"/>
        <v/>
      </c>
      <c r="G165" s="86" t="str">
        <f>IF(A165&lt;&gt;"",SUMIFS(Transactions!$F$7:$F$989,Transactions!$D$7:$D$989,"Credit",Transactions!$H$7:$H$989,A165),"")</f>
        <v/>
      </c>
      <c r="H165" s="80"/>
      <c r="I165" s="5"/>
      <c r="J165" s="5"/>
      <c r="K165" s="5"/>
      <c r="L165" s="5"/>
      <c r="M165" s="5"/>
      <c r="N165" s="5"/>
      <c r="O165" s="5"/>
      <c r="P165" s="5"/>
      <c r="Q165" s="5"/>
      <c r="R165" s="5"/>
      <c r="S165" s="5"/>
      <c r="T165" s="5"/>
      <c r="U165" s="5"/>
      <c r="V165" s="5"/>
      <c r="W165" s="5"/>
      <c r="X165" s="5"/>
      <c r="Y165" s="5"/>
      <c r="Z165" s="5"/>
    </row>
    <row r="166" ht="19.5" customHeight="1">
      <c r="A166" s="87" t="str">
        <f>IF(Roster!$A$164&lt;&gt;"",Roster!$A$164,"")</f>
        <v/>
      </c>
      <c r="B166" s="87" t="str">
        <f t="array" ref="B166">IF(A166&lt;&gt;"",IFERROR(SUMPRODUCT((INDEX(Attendance!$B$7:$AV$206,MATCH(A166,Attendance!$A$7:$A$206,0),0)=1)*Attendance!$B$4:$AV$4),0),"")</f>
        <v/>
      </c>
      <c r="C166" s="88" t="str">
        <f>IF(A166&lt;&gt;"",SUMIFS(Transactions!$F$7:$F$989,Transactions!$D$7:$D$989,"Income",Transactions!$E$7:$E$989,A166),"")</f>
        <v/>
      </c>
      <c r="D166" s="88" t="str">
        <f>IF(A166&lt;&gt;"",SUMIFS(Transactions!$F$7:$F$989,Transactions!$D$7:$D$989,"Expense",Transactions!$E$7:$E$989,A166),"")</f>
        <v/>
      </c>
      <c r="E166" s="89" t="str">
        <f t="shared" si="1"/>
        <v/>
      </c>
      <c r="F166" s="89" t="str">
        <f t="shared" si="2"/>
        <v/>
      </c>
      <c r="G166" s="86" t="str">
        <f>IF(A166&lt;&gt;"",SUMIFS(Transactions!$F$7:$F$989,Transactions!$D$7:$D$989,"Credit",Transactions!$H$7:$H$989,A166),"")</f>
        <v/>
      </c>
      <c r="H166" s="80"/>
      <c r="I166" s="5"/>
      <c r="J166" s="5"/>
      <c r="K166" s="5"/>
      <c r="L166" s="5"/>
      <c r="M166" s="5"/>
      <c r="N166" s="5"/>
      <c r="O166" s="5"/>
      <c r="P166" s="5"/>
      <c r="Q166" s="5"/>
      <c r="R166" s="5"/>
      <c r="S166" s="5"/>
      <c r="T166" s="5"/>
      <c r="U166" s="5"/>
      <c r="V166" s="5"/>
      <c r="W166" s="5"/>
      <c r="X166" s="5"/>
      <c r="Y166" s="5"/>
      <c r="Z166" s="5"/>
    </row>
    <row r="167" ht="19.5" customHeight="1">
      <c r="A167" s="84" t="str">
        <f>IF(Roster!$A$165&lt;&gt;"",Roster!$A$165,"")</f>
        <v/>
      </c>
      <c r="B167" s="84" t="str">
        <f t="array" ref="B167">IF(A167&lt;&gt;"",IFERROR(SUMPRODUCT((INDEX(Attendance!$B$7:$AV$206,MATCH(A167,Attendance!$A$7:$A$206,0),0)=1)*Attendance!$B$4:$AV$4),0),"")</f>
        <v/>
      </c>
      <c r="C167" s="85" t="str">
        <f>IF(A167&lt;&gt;"",SUMIFS(Transactions!$F$7:$F$989,Transactions!$D$7:$D$989,"Income",Transactions!$E$7:$E$989,A167),"")</f>
        <v/>
      </c>
      <c r="D167" s="85" t="str">
        <f>IF(A167&lt;&gt;"",SUMIFS(Transactions!$F$7:$F$989,Transactions!$D$7:$D$989,"Expense",Transactions!$E$7:$E$989,A167),"")</f>
        <v/>
      </c>
      <c r="E167" s="82" t="str">
        <f t="shared" si="1"/>
        <v/>
      </c>
      <c r="F167" s="82" t="str">
        <f t="shared" si="2"/>
        <v/>
      </c>
      <c r="G167" s="86" t="str">
        <f>IF(A167&lt;&gt;"",SUMIFS(Transactions!$F$7:$F$989,Transactions!$D$7:$D$989,"Credit",Transactions!$H$7:$H$989,A167),"")</f>
        <v/>
      </c>
      <c r="H167" s="80"/>
      <c r="I167" s="5"/>
      <c r="J167" s="5"/>
      <c r="K167" s="5"/>
      <c r="L167" s="5"/>
      <c r="M167" s="5"/>
      <c r="N167" s="5"/>
      <c r="O167" s="5"/>
      <c r="P167" s="5"/>
      <c r="Q167" s="5"/>
      <c r="R167" s="5"/>
      <c r="S167" s="5"/>
      <c r="T167" s="5"/>
      <c r="U167" s="5"/>
      <c r="V167" s="5"/>
      <c r="W167" s="5"/>
      <c r="X167" s="5"/>
      <c r="Y167" s="5"/>
      <c r="Z167" s="5"/>
    </row>
    <row r="168" ht="19.5" customHeight="1">
      <c r="A168" s="87" t="str">
        <f>IF(Roster!$A$166&lt;&gt;"",Roster!$A$166,"")</f>
        <v/>
      </c>
      <c r="B168" s="87" t="str">
        <f t="array" ref="B168">IF(A168&lt;&gt;"",IFERROR(SUMPRODUCT((INDEX(Attendance!$B$7:$AV$206,MATCH(A168,Attendance!$A$7:$A$206,0),0)=1)*Attendance!$B$4:$AV$4),0),"")</f>
        <v/>
      </c>
      <c r="C168" s="88" t="str">
        <f>IF(A168&lt;&gt;"",SUMIFS(Transactions!$F$7:$F$989,Transactions!$D$7:$D$989,"Income",Transactions!$E$7:$E$989,A168),"")</f>
        <v/>
      </c>
      <c r="D168" s="88" t="str">
        <f>IF(A168&lt;&gt;"",SUMIFS(Transactions!$F$7:$F$989,Transactions!$D$7:$D$989,"Expense",Transactions!$E$7:$E$989,A168),"")</f>
        <v/>
      </c>
      <c r="E168" s="89" t="str">
        <f t="shared" si="1"/>
        <v/>
      </c>
      <c r="F168" s="89" t="str">
        <f t="shared" si="2"/>
        <v/>
      </c>
      <c r="G168" s="86" t="str">
        <f>IF(A168&lt;&gt;"",SUMIFS(Transactions!$F$7:$F$989,Transactions!$D$7:$D$989,"Credit",Transactions!$H$7:$H$989,A168),"")</f>
        <v/>
      </c>
      <c r="H168" s="80"/>
      <c r="I168" s="5"/>
      <c r="J168" s="5"/>
      <c r="K168" s="5"/>
      <c r="L168" s="5"/>
      <c r="M168" s="5"/>
      <c r="N168" s="5"/>
      <c r="O168" s="5"/>
      <c r="P168" s="5"/>
      <c r="Q168" s="5"/>
      <c r="R168" s="5"/>
      <c r="S168" s="5"/>
      <c r="T168" s="5"/>
      <c r="U168" s="5"/>
      <c r="V168" s="5"/>
      <c r="W168" s="5"/>
      <c r="X168" s="5"/>
      <c r="Y168" s="5"/>
      <c r="Z168" s="5"/>
    </row>
    <row r="169" ht="19.5" customHeight="1">
      <c r="A169" s="84" t="str">
        <f>IF(Roster!$A$167&lt;&gt;"",Roster!$A$167,"")</f>
        <v/>
      </c>
      <c r="B169" s="84" t="str">
        <f t="array" ref="B169">IF(A169&lt;&gt;"",IFERROR(SUMPRODUCT((INDEX(Attendance!$B$7:$AV$206,MATCH(A169,Attendance!$A$7:$A$206,0),0)=1)*Attendance!$B$4:$AV$4),0),"")</f>
        <v/>
      </c>
      <c r="C169" s="85" t="str">
        <f>IF(A169&lt;&gt;"",SUMIFS(Transactions!$F$7:$F$989,Transactions!$D$7:$D$989,"Income",Transactions!$E$7:$E$989,A169),"")</f>
        <v/>
      </c>
      <c r="D169" s="85" t="str">
        <f>IF(A169&lt;&gt;"",SUMIFS(Transactions!$F$7:$F$989,Transactions!$D$7:$D$989,"Expense",Transactions!$E$7:$E$989,A169),"")</f>
        <v/>
      </c>
      <c r="E169" s="82" t="str">
        <f t="shared" si="1"/>
        <v/>
      </c>
      <c r="F169" s="82" t="str">
        <f t="shared" si="2"/>
        <v/>
      </c>
      <c r="G169" s="86" t="str">
        <f>IF(A169&lt;&gt;"",SUMIFS(Transactions!$F$7:$F$989,Transactions!$D$7:$D$989,"Credit",Transactions!$H$7:$H$989,A169),"")</f>
        <v/>
      </c>
      <c r="H169" s="80"/>
      <c r="I169" s="5"/>
      <c r="J169" s="5"/>
      <c r="K169" s="5"/>
      <c r="L169" s="5"/>
      <c r="M169" s="5"/>
      <c r="N169" s="5"/>
      <c r="O169" s="5"/>
      <c r="P169" s="5"/>
      <c r="Q169" s="5"/>
      <c r="R169" s="5"/>
      <c r="S169" s="5"/>
      <c r="T169" s="5"/>
      <c r="U169" s="5"/>
      <c r="V169" s="5"/>
      <c r="W169" s="5"/>
      <c r="X169" s="5"/>
      <c r="Y169" s="5"/>
      <c r="Z169" s="5"/>
    </row>
    <row r="170" ht="19.5" customHeight="1">
      <c r="A170" s="87" t="str">
        <f>IF(Roster!$A$168&lt;&gt;"",Roster!$A$168,"")</f>
        <v/>
      </c>
      <c r="B170" s="87" t="str">
        <f t="array" ref="B170">IF(A170&lt;&gt;"",IFERROR(SUMPRODUCT((INDEX(Attendance!$B$7:$AV$206,MATCH(A170,Attendance!$A$7:$A$206,0),0)=1)*Attendance!$B$4:$AV$4),0),"")</f>
        <v/>
      </c>
      <c r="C170" s="88" t="str">
        <f>IF(A170&lt;&gt;"",SUMIFS(Transactions!$F$7:$F$989,Transactions!$D$7:$D$989,"Income",Transactions!$E$7:$E$989,A170),"")</f>
        <v/>
      </c>
      <c r="D170" s="88" t="str">
        <f>IF(A170&lt;&gt;"",SUMIFS(Transactions!$F$7:$F$989,Transactions!$D$7:$D$989,"Expense",Transactions!$E$7:$E$989,A170),"")</f>
        <v/>
      </c>
      <c r="E170" s="89" t="str">
        <f t="shared" si="1"/>
        <v/>
      </c>
      <c r="F170" s="89" t="str">
        <f t="shared" si="2"/>
        <v/>
      </c>
      <c r="G170" s="86" t="str">
        <f>IF(A170&lt;&gt;"",SUMIFS(Transactions!$F$7:$F$989,Transactions!$D$7:$D$989,"Credit",Transactions!$H$7:$H$989,A170),"")</f>
        <v/>
      </c>
      <c r="H170" s="80"/>
      <c r="I170" s="5"/>
      <c r="J170" s="5"/>
      <c r="K170" s="5"/>
      <c r="L170" s="5"/>
      <c r="M170" s="5"/>
      <c r="N170" s="5"/>
      <c r="O170" s="5"/>
      <c r="P170" s="5"/>
      <c r="Q170" s="5"/>
      <c r="R170" s="5"/>
      <c r="S170" s="5"/>
      <c r="T170" s="5"/>
      <c r="U170" s="5"/>
      <c r="V170" s="5"/>
      <c r="W170" s="5"/>
      <c r="X170" s="5"/>
      <c r="Y170" s="5"/>
      <c r="Z170" s="5"/>
    </row>
    <row r="171" ht="19.5" customHeight="1">
      <c r="A171" s="84" t="str">
        <f>IF(Roster!$A$169&lt;&gt;"",Roster!$A$169,"")</f>
        <v/>
      </c>
      <c r="B171" s="84" t="str">
        <f t="array" ref="B171">IF(A171&lt;&gt;"",IFERROR(SUMPRODUCT((INDEX(Attendance!$B$7:$AV$206,MATCH(A171,Attendance!$A$7:$A$206,0),0)=1)*Attendance!$B$4:$AV$4),0),"")</f>
        <v/>
      </c>
      <c r="C171" s="85" t="str">
        <f>IF(A171&lt;&gt;"",SUMIFS(Transactions!$F$7:$F$989,Transactions!$D$7:$D$989,"Income",Transactions!$E$7:$E$989,A171),"")</f>
        <v/>
      </c>
      <c r="D171" s="85" t="str">
        <f>IF(A171&lt;&gt;"",SUMIFS(Transactions!$F$7:$F$989,Transactions!$D$7:$D$989,"Expense",Transactions!$E$7:$E$989,A171),"")</f>
        <v/>
      </c>
      <c r="E171" s="82" t="str">
        <f t="shared" si="1"/>
        <v/>
      </c>
      <c r="F171" s="82" t="str">
        <f t="shared" si="2"/>
        <v/>
      </c>
      <c r="G171" s="86" t="str">
        <f>IF(A171&lt;&gt;"",SUMIFS(Transactions!$F$7:$F$989,Transactions!$D$7:$D$989,"Credit",Transactions!$H$7:$H$989,A171),"")</f>
        <v/>
      </c>
      <c r="H171" s="80"/>
      <c r="I171" s="5"/>
      <c r="J171" s="5"/>
      <c r="K171" s="5"/>
      <c r="L171" s="5"/>
      <c r="M171" s="5"/>
      <c r="N171" s="5"/>
      <c r="O171" s="5"/>
      <c r="P171" s="5"/>
      <c r="Q171" s="5"/>
      <c r="R171" s="5"/>
      <c r="S171" s="5"/>
      <c r="T171" s="5"/>
      <c r="U171" s="5"/>
      <c r="V171" s="5"/>
      <c r="W171" s="5"/>
      <c r="X171" s="5"/>
      <c r="Y171" s="5"/>
      <c r="Z171" s="5"/>
    </row>
    <row r="172" ht="19.5" customHeight="1">
      <c r="A172" s="87" t="str">
        <f>IF(Roster!$A$170&lt;&gt;"",Roster!$A$170,"")</f>
        <v/>
      </c>
      <c r="B172" s="87" t="str">
        <f t="array" ref="B172">IF(A172&lt;&gt;"",IFERROR(SUMPRODUCT((INDEX(Attendance!$B$7:$AV$206,MATCH(A172,Attendance!$A$7:$A$206,0),0)=1)*Attendance!$B$4:$AV$4),0),"")</f>
        <v/>
      </c>
      <c r="C172" s="88" t="str">
        <f>IF(A172&lt;&gt;"",SUMIFS(Transactions!$F$7:$F$989,Transactions!$D$7:$D$989,"Income",Transactions!$E$7:$E$989,A172),"")</f>
        <v/>
      </c>
      <c r="D172" s="88" t="str">
        <f>IF(A172&lt;&gt;"",SUMIFS(Transactions!$F$7:$F$989,Transactions!$D$7:$D$989,"Expense",Transactions!$E$7:$E$989,A172),"")</f>
        <v/>
      </c>
      <c r="E172" s="89" t="str">
        <f t="shared" si="1"/>
        <v/>
      </c>
      <c r="F172" s="89" t="str">
        <f t="shared" si="2"/>
        <v/>
      </c>
      <c r="G172" s="86" t="str">
        <f>IF(A172&lt;&gt;"",SUMIFS(Transactions!$F$7:$F$989,Transactions!$D$7:$D$989,"Credit",Transactions!$H$7:$H$989,A172),"")</f>
        <v/>
      </c>
      <c r="H172" s="80"/>
      <c r="I172" s="5"/>
      <c r="J172" s="5"/>
      <c r="K172" s="5"/>
      <c r="L172" s="5"/>
      <c r="M172" s="5"/>
      <c r="N172" s="5"/>
      <c r="O172" s="5"/>
      <c r="P172" s="5"/>
      <c r="Q172" s="5"/>
      <c r="R172" s="5"/>
      <c r="S172" s="5"/>
      <c r="T172" s="5"/>
      <c r="U172" s="5"/>
      <c r="V172" s="5"/>
      <c r="W172" s="5"/>
      <c r="X172" s="5"/>
      <c r="Y172" s="5"/>
      <c r="Z172" s="5"/>
    </row>
    <row r="173" ht="19.5" customHeight="1">
      <c r="A173" s="84" t="str">
        <f>IF(Roster!$A$171&lt;&gt;"",Roster!$A$171,"")</f>
        <v/>
      </c>
      <c r="B173" s="84" t="str">
        <f t="array" ref="B173">IF(A173&lt;&gt;"",IFERROR(SUMPRODUCT((INDEX(Attendance!$B$7:$AV$206,MATCH(A173,Attendance!$A$7:$A$206,0),0)=1)*Attendance!$B$4:$AV$4),0),"")</f>
        <v/>
      </c>
      <c r="C173" s="85" t="str">
        <f>IF(A173&lt;&gt;"",SUMIFS(Transactions!$F$7:$F$989,Transactions!$D$7:$D$989,"Income",Transactions!$E$7:$E$989,A173),"")</f>
        <v/>
      </c>
      <c r="D173" s="85" t="str">
        <f>IF(A173&lt;&gt;"",SUMIFS(Transactions!$F$7:$F$989,Transactions!$D$7:$D$989,"Expense",Transactions!$E$7:$E$989,A173),"")</f>
        <v/>
      </c>
      <c r="E173" s="82" t="str">
        <f t="shared" si="1"/>
        <v/>
      </c>
      <c r="F173" s="82" t="str">
        <f t="shared" si="2"/>
        <v/>
      </c>
      <c r="G173" s="86" t="str">
        <f>IF(A173&lt;&gt;"",SUMIFS(Transactions!$F$7:$F$989,Transactions!$D$7:$D$989,"Credit",Transactions!$H$7:$H$989,A173),"")</f>
        <v/>
      </c>
      <c r="H173" s="80"/>
      <c r="I173" s="5"/>
      <c r="J173" s="5"/>
      <c r="K173" s="5"/>
      <c r="L173" s="5"/>
      <c r="M173" s="5"/>
      <c r="N173" s="5"/>
      <c r="O173" s="5"/>
      <c r="P173" s="5"/>
      <c r="Q173" s="5"/>
      <c r="R173" s="5"/>
      <c r="S173" s="5"/>
      <c r="T173" s="5"/>
      <c r="U173" s="5"/>
      <c r="V173" s="5"/>
      <c r="W173" s="5"/>
      <c r="X173" s="5"/>
      <c r="Y173" s="5"/>
      <c r="Z173" s="5"/>
    </row>
    <row r="174" ht="19.5" customHeight="1">
      <c r="A174" s="87" t="str">
        <f>IF(Roster!$A$172&lt;&gt;"",Roster!$A$172,"")</f>
        <v/>
      </c>
      <c r="B174" s="87" t="str">
        <f t="array" ref="B174">IF(A174&lt;&gt;"",IFERROR(SUMPRODUCT((INDEX(Attendance!$B$7:$AV$206,MATCH(A174,Attendance!$A$7:$A$206,0),0)=1)*Attendance!$B$4:$AV$4),0),"")</f>
        <v/>
      </c>
      <c r="C174" s="88" t="str">
        <f>IF(A174&lt;&gt;"",SUMIFS(Transactions!$F$7:$F$989,Transactions!$D$7:$D$989,"Income",Transactions!$E$7:$E$989,A174),"")</f>
        <v/>
      </c>
      <c r="D174" s="88" t="str">
        <f>IF(A174&lt;&gt;"",SUMIFS(Transactions!$F$7:$F$989,Transactions!$D$7:$D$989,"Expense",Transactions!$E$7:$E$989,A174),"")</f>
        <v/>
      </c>
      <c r="E174" s="89" t="str">
        <f t="shared" si="1"/>
        <v/>
      </c>
      <c r="F174" s="89" t="str">
        <f t="shared" si="2"/>
        <v/>
      </c>
      <c r="G174" s="86" t="str">
        <f>IF(A174&lt;&gt;"",SUMIFS(Transactions!$F$7:$F$989,Transactions!$D$7:$D$989,"Credit",Transactions!$H$7:$H$989,A174),"")</f>
        <v/>
      </c>
      <c r="H174" s="80"/>
      <c r="I174" s="5"/>
      <c r="J174" s="5"/>
      <c r="K174" s="5"/>
      <c r="L174" s="5"/>
      <c r="M174" s="5"/>
      <c r="N174" s="5"/>
      <c r="O174" s="5"/>
      <c r="P174" s="5"/>
      <c r="Q174" s="5"/>
      <c r="R174" s="5"/>
      <c r="S174" s="5"/>
      <c r="T174" s="5"/>
      <c r="U174" s="5"/>
      <c r="V174" s="5"/>
      <c r="W174" s="5"/>
      <c r="X174" s="5"/>
      <c r="Y174" s="5"/>
      <c r="Z174" s="5"/>
    </row>
    <row r="175" ht="19.5" customHeight="1">
      <c r="A175" s="84" t="str">
        <f>IF(Roster!$A$173&lt;&gt;"",Roster!$A$173,"")</f>
        <v/>
      </c>
      <c r="B175" s="84" t="str">
        <f t="array" ref="B175">IF(A175&lt;&gt;"",IFERROR(SUMPRODUCT((INDEX(Attendance!$B$7:$AV$206,MATCH(A175,Attendance!$A$7:$A$206,0),0)=1)*Attendance!$B$4:$AV$4),0),"")</f>
        <v/>
      </c>
      <c r="C175" s="85" t="str">
        <f>IF(A175&lt;&gt;"",SUMIFS(Transactions!$F$7:$F$989,Transactions!$D$7:$D$989,"Income",Transactions!$E$7:$E$989,A175),"")</f>
        <v/>
      </c>
      <c r="D175" s="85" t="str">
        <f>IF(A175&lt;&gt;"",SUMIFS(Transactions!$F$7:$F$989,Transactions!$D$7:$D$989,"Expense",Transactions!$E$7:$E$989,A175),"")</f>
        <v/>
      </c>
      <c r="E175" s="82" t="str">
        <f t="shared" si="1"/>
        <v/>
      </c>
      <c r="F175" s="82" t="str">
        <f t="shared" si="2"/>
        <v/>
      </c>
      <c r="G175" s="86" t="str">
        <f>IF(A175&lt;&gt;"",SUMIFS(Transactions!$F$7:$F$989,Transactions!$D$7:$D$989,"Credit",Transactions!$H$7:$H$989,A175),"")</f>
        <v/>
      </c>
      <c r="H175" s="80"/>
      <c r="I175" s="5"/>
      <c r="J175" s="5"/>
      <c r="K175" s="5"/>
      <c r="L175" s="5"/>
      <c r="M175" s="5"/>
      <c r="N175" s="5"/>
      <c r="O175" s="5"/>
      <c r="P175" s="5"/>
      <c r="Q175" s="5"/>
      <c r="R175" s="5"/>
      <c r="S175" s="5"/>
      <c r="T175" s="5"/>
      <c r="U175" s="5"/>
      <c r="V175" s="5"/>
      <c r="W175" s="5"/>
      <c r="X175" s="5"/>
      <c r="Y175" s="5"/>
      <c r="Z175" s="5"/>
    </row>
    <row r="176" ht="19.5" customHeight="1">
      <c r="A176" s="87" t="str">
        <f>IF(Roster!$A$174&lt;&gt;"",Roster!$A$174,"")</f>
        <v/>
      </c>
      <c r="B176" s="87" t="str">
        <f t="array" ref="B176">IF(A176&lt;&gt;"",IFERROR(SUMPRODUCT((INDEX(Attendance!$B$7:$AV$206,MATCH(A176,Attendance!$A$7:$A$206,0),0)=1)*Attendance!$B$4:$AV$4),0),"")</f>
        <v/>
      </c>
      <c r="C176" s="88" t="str">
        <f>IF(A176&lt;&gt;"",SUMIFS(Transactions!$F$7:$F$989,Transactions!$D$7:$D$989,"Income",Transactions!$E$7:$E$989,A176),"")</f>
        <v/>
      </c>
      <c r="D176" s="88" t="str">
        <f>IF(A176&lt;&gt;"",SUMIFS(Transactions!$F$7:$F$989,Transactions!$D$7:$D$989,"Expense",Transactions!$E$7:$E$989,A176),"")</f>
        <v/>
      </c>
      <c r="E176" s="89" t="str">
        <f t="shared" si="1"/>
        <v/>
      </c>
      <c r="F176" s="89" t="str">
        <f t="shared" si="2"/>
        <v/>
      </c>
      <c r="G176" s="86" t="str">
        <f>IF(A176&lt;&gt;"",SUMIFS(Transactions!$F$7:$F$989,Transactions!$D$7:$D$989,"Credit",Transactions!$H$7:$H$989,A176),"")</f>
        <v/>
      </c>
      <c r="H176" s="80"/>
      <c r="I176" s="5"/>
      <c r="J176" s="5"/>
      <c r="K176" s="5"/>
      <c r="L176" s="5"/>
      <c r="M176" s="5"/>
      <c r="N176" s="5"/>
      <c r="O176" s="5"/>
      <c r="P176" s="5"/>
      <c r="Q176" s="5"/>
      <c r="R176" s="5"/>
      <c r="S176" s="5"/>
      <c r="T176" s="5"/>
      <c r="U176" s="5"/>
      <c r="V176" s="5"/>
      <c r="W176" s="5"/>
      <c r="X176" s="5"/>
      <c r="Y176" s="5"/>
      <c r="Z176" s="5"/>
    </row>
    <row r="177" ht="19.5" customHeight="1">
      <c r="A177" s="84" t="str">
        <f>IF(Roster!$A$175&lt;&gt;"",Roster!$A$175,"")</f>
        <v/>
      </c>
      <c r="B177" s="84" t="str">
        <f t="array" ref="B177">IF(A177&lt;&gt;"",IFERROR(SUMPRODUCT((INDEX(Attendance!$B$7:$AV$206,MATCH(A177,Attendance!$A$7:$A$206,0),0)=1)*Attendance!$B$4:$AV$4),0),"")</f>
        <v/>
      </c>
      <c r="C177" s="85" t="str">
        <f>IF(A177&lt;&gt;"",SUMIFS(Transactions!$F$7:$F$989,Transactions!$D$7:$D$989,"Income",Transactions!$E$7:$E$989,A177),"")</f>
        <v/>
      </c>
      <c r="D177" s="85" t="str">
        <f>IF(A177&lt;&gt;"",SUMIFS(Transactions!$F$7:$F$989,Transactions!$D$7:$D$989,"Expense",Transactions!$E$7:$E$989,A177),"")</f>
        <v/>
      </c>
      <c r="E177" s="82" t="str">
        <f t="shared" si="1"/>
        <v/>
      </c>
      <c r="F177" s="82" t="str">
        <f t="shared" si="2"/>
        <v/>
      </c>
      <c r="G177" s="86" t="str">
        <f>IF(A177&lt;&gt;"",SUMIFS(Transactions!$F$7:$F$989,Transactions!$D$7:$D$989,"Credit",Transactions!$H$7:$H$989,A177),"")</f>
        <v/>
      </c>
      <c r="H177" s="80"/>
      <c r="I177" s="5"/>
      <c r="J177" s="5"/>
      <c r="K177" s="5"/>
      <c r="L177" s="5"/>
      <c r="M177" s="5"/>
      <c r="N177" s="5"/>
      <c r="O177" s="5"/>
      <c r="P177" s="5"/>
      <c r="Q177" s="5"/>
      <c r="R177" s="5"/>
      <c r="S177" s="5"/>
      <c r="T177" s="5"/>
      <c r="U177" s="5"/>
      <c r="V177" s="5"/>
      <c r="W177" s="5"/>
      <c r="X177" s="5"/>
      <c r="Y177" s="5"/>
      <c r="Z177" s="5"/>
    </row>
    <row r="178" ht="19.5" customHeight="1">
      <c r="A178" s="87" t="str">
        <f>IF(Roster!$A$176&lt;&gt;"",Roster!$A$176,"")</f>
        <v/>
      </c>
      <c r="B178" s="87" t="str">
        <f t="array" ref="B178">IF(A178&lt;&gt;"",IFERROR(SUMPRODUCT((INDEX(Attendance!$B$7:$AV$206,MATCH(A178,Attendance!$A$7:$A$206,0),0)=1)*Attendance!$B$4:$AV$4),0),"")</f>
        <v/>
      </c>
      <c r="C178" s="88" t="str">
        <f>IF(A178&lt;&gt;"",SUMIFS(Transactions!$F$7:$F$989,Transactions!$D$7:$D$989,"Income",Transactions!$E$7:$E$989,A178),"")</f>
        <v/>
      </c>
      <c r="D178" s="88" t="str">
        <f>IF(A178&lt;&gt;"",SUMIFS(Transactions!$F$7:$F$989,Transactions!$D$7:$D$989,"Expense",Transactions!$E$7:$E$989,A178),"")</f>
        <v/>
      </c>
      <c r="E178" s="89" t="str">
        <f t="shared" si="1"/>
        <v/>
      </c>
      <c r="F178" s="89" t="str">
        <f t="shared" si="2"/>
        <v/>
      </c>
      <c r="G178" s="86" t="str">
        <f>IF(A178&lt;&gt;"",SUMIFS(Transactions!$F$7:$F$989,Transactions!$D$7:$D$989,"Credit",Transactions!$H$7:$H$989,A178),"")</f>
        <v/>
      </c>
      <c r="H178" s="80"/>
      <c r="I178" s="5"/>
      <c r="J178" s="5"/>
      <c r="K178" s="5"/>
      <c r="L178" s="5"/>
      <c r="M178" s="5"/>
      <c r="N178" s="5"/>
      <c r="O178" s="5"/>
      <c r="P178" s="5"/>
      <c r="Q178" s="5"/>
      <c r="R178" s="5"/>
      <c r="S178" s="5"/>
      <c r="T178" s="5"/>
      <c r="U178" s="5"/>
      <c r="V178" s="5"/>
      <c r="W178" s="5"/>
      <c r="X178" s="5"/>
      <c r="Y178" s="5"/>
      <c r="Z178" s="5"/>
    </row>
    <row r="179" ht="19.5" customHeight="1">
      <c r="A179" s="84" t="str">
        <f>IF(Roster!$A$177&lt;&gt;"",Roster!$A$177,"")</f>
        <v/>
      </c>
      <c r="B179" s="84" t="str">
        <f t="array" ref="B179">IF(A179&lt;&gt;"",IFERROR(SUMPRODUCT((INDEX(Attendance!$B$7:$AV$206,MATCH(A179,Attendance!$A$7:$A$206,0),0)=1)*Attendance!$B$4:$AV$4),0),"")</f>
        <v/>
      </c>
      <c r="C179" s="85" t="str">
        <f>IF(A179&lt;&gt;"",SUMIFS(Transactions!$F$7:$F$989,Transactions!$D$7:$D$989,"Income",Transactions!$E$7:$E$989,A179),"")</f>
        <v/>
      </c>
      <c r="D179" s="85" t="str">
        <f>IF(A179&lt;&gt;"",SUMIFS(Transactions!$F$7:$F$989,Transactions!$D$7:$D$989,"Expense",Transactions!$E$7:$E$989,A179),"")</f>
        <v/>
      </c>
      <c r="E179" s="82" t="str">
        <f t="shared" si="1"/>
        <v/>
      </c>
      <c r="F179" s="82" t="str">
        <f t="shared" si="2"/>
        <v/>
      </c>
      <c r="G179" s="86" t="str">
        <f>IF(A179&lt;&gt;"",SUMIFS(Transactions!$F$7:$F$989,Transactions!$D$7:$D$989,"Credit",Transactions!$H$7:$H$989,A179),"")</f>
        <v/>
      </c>
      <c r="H179" s="80"/>
      <c r="I179" s="5"/>
      <c r="J179" s="5"/>
      <c r="K179" s="5"/>
      <c r="L179" s="5"/>
      <c r="M179" s="5"/>
      <c r="N179" s="5"/>
      <c r="O179" s="5"/>
      <c r="P179" s="5"/>
      <c r="Q179" s="5"/>
      <c r="R179" s="5"/>
      <c r="S179" s="5"/>
      <c r="T179" s="5"/>
      <c r="U179" s="5"/>
      <c r="V179" s="5"/>
      <c r="W179" s="5"/>
      <c r="X179" s="5"/>
      <c r="Y179" s="5"/>
      <c r="Z179" s="5"/>
    </row>
    <row r="180" ht="19.5" customHeight="1">
      <c r="A180" s="87" t="str">
        <f>IF(Roster!$A$178&lt;&gt;"",Roster!$A$178,"")</f>
        <v/>
      </c>
      <c r="B180" s="87" t="str">
        <f t="array" ref="B180">IF(A180&lt;&gt;"",IFERROR(SUMPRODUCT((INDEX(Attendance!$B$7:$AV$206,MATCH(A180,Attendance!$A$7:$A$206,0),0)=1)*Attendance!$B$4:$AV$4),0),"")</f>
        <v/>
      </c>
      <c r="C180" s="88" t="str">
        <f>IF(A180&lt;&gt;"",SUMIFS(Transactions!$F$7:$F$989,Transactions!$D$7:$D$989,"Income",Transactions!$E$7:$E$989,A180),"")</f>
        <v/>
      </c>
      <c r="D180" s="88" t="str">
        <f>IF(A180&lt;&gt;"",SUMIFS(Transactions!$F$7:$F$989,Transactions!$D$7:$D$989,"Expense",Transactions!$E$7:$E$989,A180),"")</f>
        <v/>
      </c>
      <c r="E180" s="89" t="str">
        <f t="shared" si="1"/>
        <v/>
      </c>
      <c r="F180" s="89" t="str">
        <f t="shared" si="2"/>
        <v/>
      </c>
      <c r="G180" s="86" t="str">
        <f>IF(A180&lt;&gt;"",SUMIFS(Transactions!$F$7:$F$989,Transactions!$D$7:$D$989,"Credit",Transactions!$H$7:$H$989,A180),"")</f>
        <v/>
      </c>
      <c r="H180" s="80"/>
      <c r="I180" s="5"/>
      <c r="J180" s="5"/>
      <c r="K180" s="5"/>
      <c r="L180" s="5"/>
      <c r="M180" s="5"/>
      <c r="N180" s="5"/>
      <c r="O180" s="5"/>
      <c r="P180" s="5"/>
      <c r="Q180" s="5"/>
      <c r="R180" s="5"/>
      <c r="S180" s="5"/>
      <c r="T180" s="5"/>
      <c r="U180" s="5"/>
      <c r="V180" s="5"/>
      <c r="W180" s="5"/>
      <c r="X180" s="5"/>
      <c r="Y180" s="5"/>
      <c r="Z180" s="5"/>
    </row>
    <row r="181" ht="19.5" customHeight="1">
      <c r="A181" s="84" t="str">
        <f>IF(Roster!$A$179&lt;&gt;"",Roster!$A$179,"")</f>
        <v/>
      </c>
      <c r="B181" s="84" t="str">
        <f t="array" ref="B181">IF(A181&lt;&gt;"",IFERROR(SUMPRODUCT((INDEX(Attendance!$B$7:$AV$206,MATCH(A181,Attendance!$A$7:$A$206,0),0)=1)*Attendance!$B$4:$AV$4),0),"")</f>
        <v/>
      </c>
      <c r="C181" s="85" t="str">
        <f>IF(A181&lt;&gt;"",SUMIFS(Transactions!$F$7:$F$989,Transactions!$D$7:$D$989,"Income",Transactions!$E$7:$E$989,A181),"")</f>
        <v/>
      </c>
      <c r="D181" s="85" t="str">
        <f>IF(A181&lt;&gt;"",SUMIFS(Transactions!$F$7:$F$989,Transactions!$D$7:$D$989,"Expense",Transactions!$E$7:$E$989,A181),"")</f>
        <v/>
      </c>
      <c r="E181" s="82" t="str">
        <f t="shared" si="1"/>
        <v/>
      </c>
      <c r="F181" s="82" t="str">
        <f t="shared" si="2"/>
        <v/>
      </c>
      <c r="G181" s="86" t="str">
        <f>IF(A181&lt;&gt;"",SUMIFS(Transactions!$F$7:$F$989,Transactions!$D$7:$D$989,"Credit",Transactions!$H$7:$H$989,A181),"")</f>
        <v/>
      </c>
      <c r="H181" s="80"/>
      <c r="I181" s="5"/>
      <c r="J181" s="5"/>
      <c r="K181" s="5"/>
      <c r="L181" s="5"/>
      <c r="M181" s="5"/>
      <c r="N181" s="5"/>
      <c r="O181" s="5"/>
      <c r="P181" s="5"/>
      <c r="Q181" s="5"/>
      <c r="R181" s="5"/>
      <c r="S181" s="5"/>
      <c r="T181" s="5"/>
      <c r="U181" s="5"/>
      <c r="V181" s="5"/>
      <c r="W181" s="5"/>
      <c r="X181" s="5"/>
      <c r="Y181" s="5"/>
      <c r="Z181" s="5"/>
    </row>
    <row r="182" ht="19.5" customHeight="1">
      <c r="A182" s="87" t="str">
        <f>IF(Roster!$A$180&lt;&gt;"",Roster!$A$180,"")</f>
        <v/>
      </c>
      <c r="B182" s="87" t="str">
        <f t="array" ref="B182">IF(A182&lt;&gt;"",IFERROR(SUMPRODUCT((INDEX(Attendance!$B$7:$AV$206,MATCH(A182,Attendance!$A$7:$A$206,0),0)=1)*Attendance!$B$4:$AV$4),0),"")</f>
        <v/>
      </c>
      <c r="C182" s="88" t="str">
        <f>IF(A182&lt;&gt;"",SUMIFS(Transactions!$F$7:$F$989,Transactions!$D$7:$D$989,"Income",Transactions!$E$7:$E$989,A182),"")</f>
        <v/>
      </c>
      <c r="D182" s="88" t="str">
        <f>IF(A182&lt;&gt;"",SUMIFS(Transactions!$F$7:$F$989,Transactions!$D$7:$D$989,"Expense",Transactions!$E$7:$E$989,A182),"")</f>
        <v/>
      </c>
      <c r="E182" s="89" t="str">
        <f t="shared" si="1"/>
        <v/>
      </c>
      <c r="F182" s="89" t="str">
        <f t="shared" si="2"/>
        <v/>
      </c>
      <c r="G182" s="86" t="str">
        <f>IF(A182&lt;&gt;"",SUMIFS(Transactions!$F$7:$F$989,Transactions!$D$7:$D$989,"Credit",Transactions!$H$7:$H$989,A182),"")</f>
        <v/>
      </c>
      <c r="H182" s="80"/>
      <c r="I182" s="5"/>
      <c r="J182" s="5"/>
      <c r="K182" s="5"/>
      <c r="L182" s="5"/>
      <c r="M182" s="5"/>
      <c r="N182" s="5"/>
      <c r="O182" s="5"/>
      <c r="P182" s="5"/>
      <c r="Q182" s="5"/>
      <c r="R182" s="5"/>
      <c r="S182" s="5"/>
      <c r="T182" s="5"/>
      <c r="U182" s="5"/>
      <c r="V182" s="5"/>
      <c r="W182" s="5"/>
      <c r="X182" s="5"/>
      <c r="Y182" s="5"/>
      <c r="Z182" s="5"/>
    </row>
    <row r="183" ht="19.5" customHeight="1">
      <c r="A183" s="84" t="str">
        <f>IF(Roster!$A$181&lt;&gt;"",Roster!$A$181,"")</f>
        <v/>
      </c>
      <c r="B183" s="84" t="str">
        <f t="array" ref="B183">IF(A183&lt;&gt;"",IFERROR(SUMPRODUCT((INDEX(Attendance!$B$7:$AV$206,MATCH(A183,Attendance!$A$7:$A$206,0),0)=1)*Attendance!$B$4:$AV$4),0),"")</f>
        <v/>
      </c>
      <c r="C183" s="85" t="str">
        <f>IF(A183&lt;&gt;"",SUMIFS(Transactions!$F$7:$F$989,Transactions!$D$7:$D$989,"Income",Transactions!$E$7:$E$989,A183),"")</f>
        <v/>
      </c>
      <c r="D183" s="85" t="str">
        <f>IF(A183&lt;&gt;"",SUMIFS(Transactions!$F$7:$F$989,Transactions!$D$7:$D$989,"Expense",Transactions!$E$7:$E$989,A183),"")</f>
        <v/>
      </c>
      <c r="E183" s="82" t="str">
        <f t="shared" si="1"/>
        <v/>
      </c>
      <c r="F183" s="82" t="str">
        <f t="shared" si="2"/>
        <v/>
      </c>
      <c r="G183" s="86" t="str">
        <f>IF(A183&lt;&gt;"",SUMIFS(Transactions!$F$7:$F$989,Transactions!$D$7:$D$989,"Credit",Transactions!$H$7:$H$989,A183),"")</f>
        <v/>
      </c>
      <c r="H183" s="80"/>
      <c r="I183" s="5"/>
      <c r="J183" s="5"/>
      <c r="K183" s="5"/>
      <c r="L183" s="5"/>
      <c r="M183" s="5"/>
      <c r="N183" s="5"/>
      <c r="O183" s="5"/>
      <c r="P183" s="5"/>
      <c r="Q183" s="5"/>
      <c r="R183" s="5"/>
      <c r="S183" s="5"/>
      <c r="T183" s="5"/>
      <c r="U183" s="5"/>
      <c r="V183" s="5"/>
      <c r="W183" s="5"/>
      <c r="X183" s="5"/>
      <c r="Y183" s="5"/>
      <c r="Z183" s="5"/>
    </row>
    <row r="184" ht="19.5" customHeight="1">
      <c r="A184" s="87" t="str">
        <f>IF(Roster!$A$182&lt;&gt;"",Roster!$A$182,"")</f>
        <v/>
      </c>
      <c r="B184" s="87" t="str">
        <f t="array" ref="B184">IF(A184&lt;&gt;"",IFERROR(SUMPRODUCT((INDEX(Attendance!$B$7:$AV$206,MATCH(A184,Attendance!$A$7:$A$206,0),0)=1)*Attendance!$B$4:$AV$4),0),"")</f>
        <v/>
      </c>
      <c r="C184" s="88" t="str">
        <f>IF(A184&lt;&gt;"",SUMIFS(Transactions!$F$7:$F$989,Transactions!$D$7:$D$989,"Income",Transactions!$E$7:$E$989,A184),"")</f>
        <v/>
      </c>
      <c r="D184" s="88" t="str">
        <f>IF(A184&lt;&gt;"",SUMIFS(Transactions!$F$7:$F$989,Transactions!$D$7:$D$989,"Expense",Transactions!$E$7:$E$989,A184),"")</f>
        <v/>
      </c>
      <c r="E184" s="89" t="str">
        <f t="shared" si="1"/>
        <v/>
      </c>
      <c r="F184" s="89" t="str">
        <f t="shared" si="2"/>
        <v/>
      </c>
      <c r="G184" s="86" t="str">
        <f>IF(A184&lt;&gt;"",SUMIFS(Transactions!$F$7:$F$989,Transactions!$D$7:$D$989,"Credit",Transactions!$H$7:$H$989,A184),"")</f>
        <v/>
      </c>
      <c r="H184" s="80"/>
      <c r="I184" s="5"/>
      <c r="J184" s="5"/>
      <c r="K184" s="5"/>
      <c r="L184" s="5"/>
      <c r="M184" s="5"/>
      <c r="N184" s="5"/>
      <c r="O184" s="5"/>
      <c r="P184" s="5"/>
      <c r="Q184" s="5"/>
      <c r="R184" s="5"/>
      <c r="S184" s="5"/>
      <c r="T184" s="5"/>
      <c r="U184" s="5"/>
      <c r="V184" s="5"/>
      <c r="W184" s="5"/>
      <c r="X184" s="5"/>
      <c r="Y184" s="5"/>
      <c r="Z184" s="5"/>
    </row>
    <row r="185" ht="19.5" customHeight="1">
      <c r="A185" s="84" t="str">
        <f>IF(Roster!$A$183&lt;&gt;"",Roster!$A$183,"")</f>
        <v/>
      </c>
      <c r="B185" s="84" t="str">
        <f t="array" ref="B185">IF(A185&lt;&gt;"",IFERROR(SUMPRODUCT((INDEX(Attendance!$B$7:$AV$206,MATCH(A185,Attendance!$A$7:$A$206,0),0)=1)*Attendance!$B$4:$AV$4),0),"")</f>
        <v/>
      </c>
      <c r="C185" s="85" t="str">
        <f>IF(A185&lt;&gt;"",SUMIFS(Transactions!$F$7:$F$989,Transactions!$D$7:$D$989,"Income",Transactions!$E$7:$E$989,A185),"")</f>
        <v/>
      </c>
      <c r="D185" s="85" t="str">
        <f>IF(A185&lt;&gt;"",SUMIFS(Transactions!$F$7:$F$989,Transactions!$D$7:$D$989,"Expense",Transactions!$E$7:$E$989,A185),"")</f>
        <v/>
      </c>
      <c r="E185" s="82" t="str">
        <f t="shared" si="1"/>
        <v/>
      </c>
      <c r="F185" s="82" t="str">
        <f t="shared" si="2"/>
        <v/>
      </c>
      <c r="G185" s="86" t="str">
        <f>IF(A185&lt;&gt;"",SUMIFS(Transactions!$F$7:$F$989,Transactions!$D$7:$D$989,"Credit",Transactions!$H$7:$H$989,A185),"")</f>
        <v/>
      </c>
      <c r="H185" s="80"/>
      <c r="I185" s="5"/>
      <c r="J185" s="5"/>
      <c r="K185" s="5"/>
      <c r="L185" s="5"/>
      <c r="M185" s="5"/>
      <c r="N185" s="5"/>
      <c r="O185" s="5"/>
      <c r="P185" s="5"/>
      <c r="Q185" s="5"/>
      <c r="R185" s="5"/>
      <c r="S185" s="5"/>
      <c r="T185" s="5"/>
      <c r="U185" s="5"/>
      <c r="V185" s="5"/>
      <c r="W185" s="5"/>
      <c r="X185" s="5"/>
      <c r="Y185" s="5"/>
      <c r="Z185" s="5"/>
    </row>
    <row r="186" ht="19.5" customHeight="1">
      <c r="A186" s="87" t="str">
        <f>IF(Roster!$A$184&lt;&gt;"",Roster!$A$184,"")</f>
        <v/>
      </c>
      <c r="B186" s="87" t="str">
        <f t="array" ref="B186">IF(A186&lt;&gt;"",IFERROR(SUMPRODUCT((INDEX(Attendance!$B$7:$AV$206,MATCH(A186,Attendance!$A$7:$A$206,0),0)=1)*Attendance!$B$4:$AV$4),0),"")</f>
        <v/>
      </c>
      <c r="C186" s="88" t="str">
        <f>IF(A186&lt;&gt;"",SUMIFS(Transactions!$F$7:$F$989,Transactions!$D$7:$D$989,"Income",Transactions!$E$7:$E$989,A186),"")</f>
        <v/>
      </c>
      <c r="D186" s="88" t="str">
        <f>IF(A186&lt;&gt;"",SUMIFS(Transactions!$F$7:$F$989,Transactions!$D$7:$D$989,"Expense",Transactions!$E$7:$E$989,A186),"")</f>
        <v/>
      </c>
      <c r="E186" s="89" t="str">
        <f t="shared" si="1"/>
        <v/>
      </c>
      <c r="F186" s="89" t="str">
        <f t="shared" si="2"/>
        <v/>
      </c>
      <c r="G186" s="86" t="str">
        <f>IF(A186&lt;&gt;"",SUMIFS(Transactions!$F$7:$F$989,Transactions!$D$7:$D$989,"Credit",Transactions!$H$7:$H$989,A186),"")</f>
        <v/>
      </c>
      <c r="H186" s="80"/>
      <c r="I186" s="5"/>
      <c r="J186" s="5"/>
      <c r="K186" s="5"/>
      <c r="L186" s="5"/>
      <c r="M186" s="5"/>
      <c r="N186" s="5"/>
      <c r="O186" s="5"/>
      <c r="P186" s="5"/>
      <c r="Q186" s="5"/>
      <c r="R186" s="5"/>
      <c r="S186" s="5"/>
      <c r="T186" s="5"/>
      <c r="U186" s="5"/>
      <c r="V186" s="5"/>
      <c r="W186" s="5"/>
      <c r="X186" s="5"/>
      <c r="Y186" s="5"/>
      <c r="Z186" s="5"/>
    </row>
    <row r="187" ht="19.5" customHeight="1">
      <c r="A187" s="84" t="str">
        <f>IF(Roster!$A$185&lt;&gt;"",Roster!$A$185,"")</f>
        <v/>
      </c>
      <c r="B187" s="84" t="str">
        <f t="array" ref="B187">IF(A187&lt;&gt;"",IFERROR(SUMPRODUCT((INDEX(Attendance!$B$7:$AV$206,MATCH(A187,Attendance!$A$7:$A$206,0),0)=1)*Attendance!$B$4:$AV$4),0),"")</f>
        <v/>
      </c>
      <c r="C187" s="85" t="str">
        <f>IF(A187&lt;&gt;"",SUMIFS(Transactions!$F$7:$F$989,Transactions!$D$7:$D$989,"Income",Transactions!$E$7:$E$989,A187),"")</f>
        <v/>
      </c>
      <c r="D187" s="85" t="str">
        <f>IF(A187&lt;&gt;"",SUMIFS(Transactions!$F$7:$F$989,Transactions!$D$7:$D$989,"Expense",Transactions!$E$7:$E$989,A187),"")</f>
        <v/>
      </c>
      <c r="E187" s="82" t="str">
        <f t="shared" si="1"/>
        <v/>
      </c>
      <c r="F187" s="82" t="str">
        <f t="shared" si="2"/>
        <v/>
      </c>
      <c r="G187" s="86" t="str">
        <f>IF(A187&lt;&gt;"",SUMIFS(Transactions!$F$7:$F$989,Transactions!$D$7:$D$989,"Credit",Transactions!$H$7:$H$989,A187),"")</f>
        <v/>
      </c>
      <c r="H187" s="80"/>
      <c r="I187" s="5"/>
      <c r="J187" s="5"/>
      <c r="K187" s="5"/>
      <c r="L187" s="5"/>
      <c r="M187" s="5"/>
      <c r="N187" s="5"/>
      <c r="O187" s="5"/>
      <c r="P187" s="5"/>
      <c r="Q187" s="5"/>
      <c r="R187" s="5"/>
      <c r="S187" s="5"/>
      <c r="T187" s="5"/>
      <c r="U187" s="5"/>
      <c r="V187" s="5"/>
      <c r="W187" s="5"/>
      <c r="X187" s="5"/>
      <c r="Y187" s="5"/>
      <c r="Z187" s="5"/>
    </row>
    <row r="188" ht="19.5" customHeight="1">
      <c r="A188" s="87" t="str">
        <f>IF(Roster!$A$186&lt;&gt;"",Roster!$A$186,"")</f>
        <v/>
      </c>
      <c r="B188" s="87" t="str">
        <f t="array" ref="B188">IF(A188&lt;&gt;"",IFERROR(SUMPRODUCT((INDEX(Attendance!$B$7:$AV$206,MATCH(A188,Attendance!$A$7:$A$206,0),0)=1)*Attendance!$B$4:$AV$4),0),"")</f>
        <v/>
      </c>
      <c r="C188" s="88" t="str">
        <f>IF(A188&lt;&gt;"",SUMIFS(Transactions!$F$7:$F$989,Transactions!$D$7:$D$989,"Income",Transactions!$E$7:$E$989,A188),"")</f>
        <v/>
      </c>
      <c r="D188" s="88" t="str">
        <f>IF(A188&lt;&gt;"",SUMIFS(Transactions!$F$7:$F$989,Transactions!$D$7:$D$989,"Expense",Transactions!$E$7:$E$989,A188),"")</f>
        <v/>
      </c>
      <c r="E188" s="89" t="str">
        <f t="shared" si="1"/>
        <v/>
      </c>
      <c r="F188" s="89" t="str">
        <f t="shared" si="2"/>
        <v/>
      </c>
      <c r="G188" s="86" t="str">
        <f>IF(A188&lt;&gt;"",SUMIFS(Transactions!$F$7:$F$989,Transactions!$D$7:$D$989,"Credit",Transactions!$H$7:$H$989,A188),"")</f>
        <v/>
      </c>
      <c r="H188" s="80"/>
      <c r="I188" s="5"/>
      <c r="J188" s="5"/>
      <c r="K188" s="5"/>
      <c r="L188" s="5"/>
      <c r="M188" s="5"/>
      <c r="N188" s="5"/>
      <c r="O188" s="5"/>
      <c r="P188" s="5"/>
      <c r="Q188" s="5"/>
      <c r="R188" s="5"/>
      <c r="S188" s="5"/>
      <c r="T188" s="5"/>
      <c r="U188" s="5"/>
      <c r="V188" s="5"/>
      <c r="W188" s="5"/>
      <c r="X188" s="5"/>
      <c r="Y188" s="5"/>
      <c r="Z188" s="5"/>
    </row>
    <row r="189" ht="19.5" customHeight="1">
      <c r="A189" s="84" t="str">
        <f>IF(Roster!$A$187&lt;&gt;"",Roster!$A$187,"")</f>
        <v/>
      </c>
      <c r="B189" s="84" t="str">
        <f t="array" ref="B189">IF(A189&lt;&gt;"",IFERROR(SUMPRODUCT((INDEX(Attendance!$B$7:$AV$206,MATCH(A189,Attendance!$A$7:$A$206,0),0)=1)*Attendance!$B$4:$AV$4),0),"")</f>
        <v/>
      </c>
      <c r="C189" s="85" t="str">
        <f>IF(A189&lt;&gt;"",SUMIFS(Transactions!$F$7:$F$989,Transactions!$D$7:$D$989,"Income",Transactions!$E$7:$E$989,A189),"")</f>
        <v/>
      </c>
      <c r="D189" s="85" t="str">
        <f>IF(A189&lt;&gt;"",SUMIFS(Transactions!$F$7:$F$989,Transactions!$D$7:$D$989,"Expense",Transactions!$E$7:$E$989,A189),"")</f>
        <v/>
      </c>
      <c r="E189" s="82" t="str">
        <f t="shared" si="1"/>
        <v/>
      </c>
      <c r="F189" s="82" t="str">
        <f t="shared" si="2"/>
        <v/>
      </c>
      <c r="G189" s="86" t="str">
        <f>IF(A189&lt;&gt;"",SUMIFS(Transactions!$F$7:$F$989,Transactions!$D$7:$D$989,"Credit",Transactions!$H$7:$H$989,A189),"")</f>
        <v/>
      </c>
      <c r="H189" s="80"/>
      <c r="I189" s="5"/>
      <c r="J189" s="5"/>
      <c r="K189" s="5"/>
      <c r="L189" s="5"/>
      <c r="M189" s="5"/>
      <c r="N189" s="5"/>
      <c r="O189" s="5"/>
      <c r="P189" s="5"/>
      <c r="Q189" s="5"/>
      <c r="R189" s="5"/>
      <c r="S189" s="5"/>
      <c r="T189" s="5"/>
      <c r="U189" s="5"/>
      <c r="V189" s="5"/>
      <c r="W189" s="5"/>
      <c r="X189" s="5"/>
      <c r="Y189" s="5"/>
      <c r="Z189" s="5"/>
    </row>
    <row r="190" ht="19.5" customHeight="1">
      <c r="A190" s="87" t="str">
        <f>IF(Roster!$A$188&lt;&gt;"",Roster!$A$188,"")</f>
        <v/>
      </c>
      <c r="B190" s="87" t="str">
        <f t="array" ref="B190">IF(A190&lt;&gt;"",IFERROR(SUMPRODUCT((INDEX(Attendance!$B$7:$AV$206,MATCH(A190,Attendance!$A$7:$A$206,0),0)=1)*Attendance!$B$4:$AV$4),0),"")</f>
        <v/>
      </c>
      <c r="C190" s="88" t="str">
        <f>IF(A190&lt;&gt;"",SUMIFS(Transactions!$F$7:$F$989,Transactions!$D$7:$D$989,"Income",Transactions!$E$7:$E$989,A190),"")</f>
        <v/>
      </c>
      <c r="D190" s="88" t="str">
        <f>IF(A190&lt;&gt;"",SUMIFS(Transactions!$F$7:$F$989,Transactions!$D$7:$D$989,"Expense",Transactions!$E$7:$E$989,A190),"")</f>
        <v/>
      </c>
      <c r="E190" s="89" t="str">
        <f t="shared" si="1"/>
        <v/>
      </c>
      <c r="F190" s="89" t="str">
        <f t="shared" si="2"/>
        <v/>
      </c>
      <c r="G190" s="86" t="str">
        <f>IF(A190&lt;&gt;"",SUMIFS(Transactions!$F$7:$F$989,Transactions!$D$7:$D$989,"Credit",Transactions!$H$7:$H$989,A190),"")</f>
        <v/>
      </c>
      <c r="H190" s="80"/>
      <c r="I190" s="5"/>
      <c r="J190" s="5"/>
      <c r="K190" s="5"/>
      <c r="L190" s="5"/>
      <c r="M190" s="5"/>
      <c r="N190" s="5"/>
      <c r="O190" s="5"/>
      <c r="P190" s="5"/>
      <c r="Q190" s="5"/>
      <c r="R190" s="5"/>
      <c r="S190" s="5"/>
      <c r="T190" s="5"/>
      <c r="U190" s="5"/>
      <c r="V190" s="5"/>
      <c r="W190" s="5"/>
      <c r="X190" s="5"/>
      <c r="Y190" s="5"/>
      <c r="Z190" s="5"/>
    </row>
    <row r="191" ht="19.5" customHeight="1">
      <c r="A191" s="84" t="str">
        <f>IF(Roster!$A$189&lt;&gt;"",Roster!$A$189,"")</f>
        <v/>
      </c>
      <c r="B191" s="84" t="str">
        <f t="array" ref="B191">IF(A191&lt;&gt;"",IFERROR(SUMPRODUCT((INDEX(Attendance!$B$7:$AV$206,MATCH(A191,Attendance!$A$7:$A$206,0),0)=1)*Attendance!$B$4:$AV$4),0),"")</f>
        <v/>
      </c>
      <c r="C191" s="85" t="str">
        <f>IF(A191&lt;&gt;"",SUMIFS(Transactions!$F$7:$F$989,Transactions!$D$7:$D$989,"Income",Transactions!$E$7:$E$989,A191),"")</f>
        <v/>
      </c>
      <c r="D191" s="85" t="str">
        <f>IF(A191&lt;&gt;"",SUMIFS(Transactions!$F$7:$F$989,Transactions!$D$7:$D$989,"Expense",Transactions!$E$7:$E$989,A191),"")</f>
        <v/>
      </c>
      <c r="E191" s="82" t="str">
        <f t="shared" si="1"/>
        <v/>
      </c>
      <c r="F191" s="82" t="str">
        <f t="shared" si="2"/>
        <v/>
      </c>
      <c r="G191" s="86" t="str">
        <f>IF(A191&lt;&gt;"",SUMIFS(Transactions!$F$7:$F$989,Transactions!$D$7:$D$989,"Credit",Transactions!$H$7:$H$989,A191),"")</f>
        <v/>
      </c>
      <c r="H191" s="80"/>
      <c r="I191" s="5"/>
      <c r="J191" s="5"/>
      <c r="K191" s="5"/>
      <c r="L191" s="5"/>
      <c r="M191" s="5"/>
      <c r="N191" s="5"/>
      <c r="O191" s="5"/>
      <c r="P191" s="5"/>
      <c r="Q191" s="5"/>
      <c r="R191" s="5"/>
      <c r="S191" s="5"/>
      <c r="T191" s="5"/>
      <c r="U191" s="5"/>
      <c r="V191" s="5"/>
      <c r="W191" s="5"/>
      <c r="X191" s="5"/>
      <c r="Y191" s="5"/>
      <c r="Z191" s="5"/>
    </row>
    <row r="192" ht="19.5" customHeight="1">
      <c r="A192" s="87" t="str">
        <f>IF(Roster!$A$190&lt;&gt;"",Roster!$A$190,"")</f>
        <v/>
      </c>
      <c r="B192" s="87" t="str">
        <f t="array" ref="B192">IF(A192&lt;&gt;"",IFERROR(SUMPRODUCT((INDEX(Attendance!$B$7:$AV$206,MATCH(A192,Attendance!$A$7:$A$206,0),0)=1)*Attendance!$B$4:$AV$4),0),"")</f>
        <v/>
      </c>
      <c r="C192" s="88" t="str">
        <f>IF(A192&lt;&gt;"",SUMIFS(Transactions!$F$7:$F$989,Transactions!$D$7:$D$989,"Income",Transactions!$E$7:$E$989,A192),"")</f>
        <v/>
      </c>
      <c r="D192" s="88" t="str">
        <f>IF(A192&lt;&gt;"",SUMIFS(Transactions!$F$7:$F$989,Transactions!$D$7:$D$989,"Expense",Transactions!$E$7:$E$989,A192),"")</f>
        <v/>
      </c>
      <c r="E192" s="89" t="str">
        <f t="shared" si="1"/>
        <v/>
      </c>
      <c r="F192" s="89" t="str">
        <f t="shared" si="2"/>
        <v/>
      </c>
      <c r="G192" s="86" t="str">
        <f>IF(A192&lt;&gt;"",SUMIFS(Transactions!$F$7:$F$989,Transactions!$D$7:$D$989,"Credit",Transactions!$H$7:$H$989,A192),"")</f>
        <v/>
      </c>
      <c r="H192" s="80"/>
      <c r="I192" s="5"/>
      <c r="J192" s="5"/>
      <c r="K192" s="5"/>
      <c r="L192" s="5"/>
      <c r="M192" s="5"/>
      <c r="N192" s="5"/>
      <c r="O192" s="5"/>
      <c r="P192" s="5"/>
      <c r="Q192" s="5"/>
      <c r="R192" s="5"/>
      <c r="S192" s="5"/>
      <c r="T192" s="5"/>
      <c r="U192" s="5"/>
      <c r="V192" s="5"/>
      <c r="W192" s="5"/>
      <c r="X192" s="5"/>
      <c r="Y192" s="5"/>
      <c r="Z192" s="5"/>
    </row>
    <row r="193" ht="19.5" customHeight="1">
      <c r="A193" s="84" t="str">
        <f>IF(Roster!$A$191&lt;&gt;"",Roster!$A$191,"")</f>
        <v/>
      </c>
      <c r="B193" s="84" t="str">
        <f t="array" ref="B193">IF(A193&lt;&gt;"",IFERROR(SUMPRODUCT((INDEX(Attendance!$B$7:$AV$206,MATCH(A193,Attendance!$A$7:$A$206,0),0)=1)*Attendance!$B$4:$AV$4),0),"")</f>
        <v/>
      </c>
      <c r="C193" s="85" t="str">
        <f>IF(A193&lt;&gt;"",SUMIFS(Transactions!$F$7:$F$989,Transactions!$D$7:$D$989,"Income",Transactions!$E$7:$E$989,A193),"")</f>
        <v/>
      </c>
      <c r="D193" s="85" t="str">
        <f>IF(A193&lt;&gt;"",SUMIFS(Transactions!$F$7:$F$989,Transactions!$D$7:$D$989,"Expense",Transactions!$E$7:$E$989,A193),"")</f>
        <v/>
      </c>
      <c r="E193" s="82" t="str">
        <f t="shared" si="1"/>
        <v/>
      </c>
      <c r="F193" s="82" t="str">
        <f t="shared" si="2"/>
        <v/>
      </c>
      <c r="G193" s="86" t="str">
        <f>IF(A193&lt;&gt;"",SUMIFS(Transactions!$F$7:$F$989,Transactions!$D$7:$D$989,"Credit",Transactions!$H$7:$H$989,A193),"")</f>
        <v/>
      </c>
      <c r="H193" s="80"/>
      <c r="I193" s="5"/>
      <c r="J193" s="5"/>
      <c r="K193" s="5"/>
      <c r="L193" s="5"/>
      <c r="M193" s="5"/>
      <c r="N193" s="5"/>
      <c r="O193" s="5"/>
      <c r="P193" s="5"/>
      <c r="Q193" s="5"/>
      <c r="R193" s="5"/>
      <c r="S193" s="5"/>
      <c r="T193" s="5"/>
      <c r="U193" s="5"/>
      <c r="V193" s="5"/>
      <c r="W193" s="5"/>
      <c r="X193" s="5"/>
      <c r="Y193" s="5"/>
      <c r="Z193" s="5"/>
    </row>
    <row r="194" ht="19.5" customHeight="1">
      <c r="A194" s="87" t="str">
        <f>IF(Roster!$A$192&lt;&gt;"",Roster!$A$192,"")</f>
        <v/>
      </c>
      <c r="B194" s="87" t="str">
        <f t="array" ref="B194">IF(A194&lt;&gt;"",IFERROR(SUMPRODUCT((INDEX(Attendance!$B$7:$AV$206,MATCH(A194,Attendance!$A$7:$A$206,0),0)=1)*Attendance!$B$4:$AV$4),0),"")</f>
        <v/>
      </c>
      <c r="C194" s="88" t="str">
        <f>IF(A194&lt;&gt;"",SUMIFS(Transactions!$F$7:$F$989,Transactions!$D$7:$D$989,"Income",Transactions!$E$7:$E$989,A194),"")</f>
        <v/>
      </c>
      <c r="D194" s="88" t="str">
        <f>IF(A194&lt;&gt;"",SUMIFS(Transactions!$F$7:$F$989,Transactions!$D$7:$D$989,"Expense",Transactions!$E$7:$E$989,A194),"")</f>
        <v/>
      </c>
      <c r="E194" s="89" t="str">
        <f t="shared" si="1"/>
        <v/>
      </c>
      <c r="F194" s="89" t="str">
        <f t="shared" si="2"/>
        <v/>
      </c>
      <c r="G194" s="86" t="str">
        <f>IF(A194&lt;&gt;"",SUMIFS(Transactions!$F$7:$F$989,Transactions!$D$7:$D$989,"Credit",Transactions!$H$7:$H$989,A194),"")</f>
        <v/>
      </c>
      <c r="H194" s="80"/>
      <c r="I194" s="5"/>
      <c r="J194" s="5"/>
      <c r="K194" s="5"/>
      <c r="L194" s="5"/>
      <c r="M194" s="5"/>
      <c r="N194" s="5"/>
      <c r="O194" s="5"/>
      <c r="P194" s="5"/>
      <c r="Q194" s="5"/>
      <c r="R194" s="5"/>
      <c r="S194" s="5"/>
      <c r="T194" s="5"/>
      <c r="U194" s="5"/>
      <c r="V194" s="5"/>
      <c r="W194" s="5"/>
      <c r="X194" s="5"/>
      <c r="Y194" s="5"/>
      <c r="Z194" s="5"/>
    </row>
    <row r="195" ht="19.5" customHeight="1">
      <c r="A195" s="84" t="str">
        <f>IF(Roster!$A$193&lt;&gt;"",Roster!$A$193,"")</f>
        <v/>
      </c>
      <c r="B195" s="84" t="str">
        <f t="array" ref="B195">IF(A195&lt;&gt;"",IFERROR(SUMPRODUCT((INDEX(Attendance!$B$7:$AV$206,MATCH(A195,Attendance!$A$7:$A$206,0),0)=1)*Attendance!$B$4:$AV$4),0),"")</f>
        <v/>
      </c>
      <c r="C195" s="85" t="str">
        <f>IF(A195&lt;&gt;"",SUMIFS(Transactions!$F$7:$F$989,Transactions!$D$7:$D$989,"Income",Transactions!$E$7:$E$989,A195),"")</f>
        <v/>
      </c>
      <c r="D195" s="85" t="str">
        <f>IF(A195&lt;&gt;"",SUMIFS(Transactions!$F$7:$F$989,Transactions!$D$7:$D$989,"Expense",Transactions!$E$7:$E$989,A195),"")</f>
        <v/>
      </c>
      <c r="E195" s="82" t="str">
        <f t="shared" si="1"/>
        <v/>
      </c>
      <c r="F195" s="82" t="str">
        <f t="shared" si="2"/>
        <v/>
      </c>
      <c r="G195" s="86" t="str">
        <f>IF(A195&lt;&gt;"",SUMIFS(Transactions!$F$7:$F$989,Transactions!$D$7:$D$989,"Credit",Transactions!$H$7:$H$989,A195),"")</f>
        <v/>
      </c>
      <c r="H195" s="80"/>
      <c r="I195" s="5"/>
      <c r="J195" s="5"/>
      <c r="K195" s="5"/>
      <c r="L195" s="5"/>
      <c r="M195" s="5"/>
      <c r="N195" s="5"/>
      <c r="O195" s="5"/>
      <c r="P195" s="5"/>
      <c r="Q195" s="5"/>
      <c r="R195" s="5"/>
      <c r="S195" s="5"/>
      <c r="T195" s="5"/>
      <c r="U195" s="5"/>
      <c r="V195" s="5"/>
      <c r="W195" s="5"/>
      <c r="X195" s="5"/>
      <c r="Y195" s="5"/>
      <c r="Z195" s="5"/>
    </row>
    <row r="196" ht="19.5" customHeight="1">
      <c r="A196" s="87" t="str">
        <f>IF(Roster!$A$194&lt;&gt;"",Roster!$A$194,"")</f>
        <v/>
      </c>
      <c r="B196" s="87" t="str">
        <f t="array" ref="B196">IF(A196&lt;&gt;"",IFERROR(SUMPRODUCT((INDEX(Attendance!$B$7:$AV$206,MATCH(A196,Attendance!$A$7:$A$206,0),0)=1)*Attendance!$B$4:$AV$4),0),"")</f>
        <v/>
      </c>
      <c r="C196" s="88" t="str">
        <f>IF(A196&lt;&gt;"",SUMIFS(Transactions!$F$7:$F$989,Transactions!$D$7:$D$989,"Income",Transactions!$E$7:$E$989,A196),"")</f>
        <v/>
      </c>
      <c r="D196" s="88" t="str">
        <f>IF(A196&lt;&gt;"",SUMIFS(Transactions!$F$7:$F$989,Transactions!$D$7:$D$989,"Expense",Transactions!$E$7:$E$989,A196),"")</f>
        <v/>
      </c>
      <c r="E196" s="89" t="str">
        <f t="shared" si="1"/>
        <v/>
      </c>
      <c r="F196" s="89" t="str">
        <f t="shared" si="2"/>
        <v/>
      </c>
      <c r="G196" s="86" t="str">
        <f>IF(A196&lt;&gt;"",SUMIFS(Transactions!$F$7:$F$989,Transactions!$D$7:$D$989,"Credit",Transactions!$H$7:$H$989,A196),"")</f>
        <v/>
      </c>
      <c r="H196" s="80"/>
      <c r="I196" s="5"/>
      <c r="J196" s="5"/>
      <c r="K196" s="5"/>
      <c r="L196" s="5"/>
      <c r="M196" s="5"/>
      <c r="N196" s="5"/>
      <c r="O196" s="5"/>
      <c r="P196" s="5"/>
      <c r="Q196" s="5"/>
      <c r="R196" s="5"/>
      <c r="S196" s="5"/>
      <c r="T196" s="5"/>
      <c r="U196" s="5"/>
      <c r="V196" s="5"/>
      <c r="W196" s="5"/>
      <c r="X196" s="5"/>
      <c r="Y196" s="5"/>
      <c r="Z196" s="5"/>
    </row>
    <row r="197" ht="19.5" customHeight="1">
      <c r="A197" s="84" t="str">
        <f>IF(Roster!$A$195&lt;&gt;"",Roster!$A$195,"")</f>
        <v/>
      </c>
      <c r="B197" s="84" t="str">
        <f t="array" ref="B197">IF(A197&lt;&gt;"",IFERROR(SUMPRODUCT((INDEX(Attendance!$B$7:$AV$206,MATCH(A197,Attendance!$A$7:$A$206,0),0)=1)*Attendance!$B$4:$AV$4),0),"")</f>
        <v/>
      </c>
      <c r="C197" s="85" t="str">
        <f>IF(A197&lt;&gt;"",SUMIFS(Transactions!$F$7:$F$989,Transactions!$D$7:$D$989,"Income",Transactions!$E$7:$E$989,A197),"")</f>
        <v/>
      </c>
      <c r="D197" s="85" t="str">
        <f>IF(A197&lt;&gt;"",SUMIFS(Transactions!$F$7:$F$989,Transactions!$D$7:$D$989,"Expense",Transactions!$E$7:$E$989,A197),"")</f>
        <v/>
      </c>
      <c r="E197" s="82" t="str">
        <f t="shared" si="1"/>
        <v/>
      </c>
      <c r="F197" s="82" t="str">
        <f t="shared" si="2"/>
        <v/>
      </c>
      <c r="G197" s="86" t="str">
        <f>IF(A197&lt;&gt;"",SUMIFS(Transactions!$F$7:$F$989,Transactions!$D$7:$D$989,"Credit",Transactions!$H$7:$H$989,A197),"")</f>
        <v/>
      </c>
      <c r="H197" s="80"/>
      <c r="I197" s="5"/>
      <c r="J197" s="5"/>
      <c r="K197" s="5"/>
      <c r="L197" s="5"/>
      <c r="M197" s="5"/>
      <c r="N197" s="5"/>
      <c r="O197" s="5"/>
      <c r="P197" s="5"/>
      <c r="Q197" s="5"/>
      <c r="R197" s="5"/>
      <c r="S197" s="5"/>
      <c r="T197" s="5"/>
      <c r="U197" s="5"/>
      <c r="V197" s="5"/>
      <c r="W197" s="5"/>
      <c r="X197" s="5"/>
      <c r="Y197" s="5"/>
      <c r="Z197" s="5"/>
    </row>
    <row r="198" ht="19.5" customHeight="1">
      <c r="A198" s="87" t="str">
        <f>IF(Roster!$A$196&lt;&gt;"",Roster!$A$196,"")</f>
        <v/>
      </c>
      <c r="B198" s="87" t="str">
        <f t="array" ref="B198">IF(A198&lt;&gt;"",IFERROR(SUMPRODUCT((INDEX(Attendance!$B$7:$AV$206,MATCH(A198,Attendance!$A$7:$A$206,0),0)=1)*Attendance!$B$4:$AV$4),0),"")</f>
        <v/>
      </c>
      <c r="C198" s="88" t="str">
        <f>IF(A198&lt;&gt;"",SUMIFS(Transactions!$F$7:$F$989,Transactions!$D$7:$D$989,"Income",Transactions!$E$7:$E$989,A198),"")</f>
        <v/>
      </c>
      <c r="D198" s="88" t="str">
        <f>IF(A198&lt;&gt;"",SUMIFS(Transactions!$F$7:$F$989,Transactions!$D$7:$D$989,"Expense",Transactions!$E$7:$E$989,A198),"")</f>
        <v/>
      </c>
      <c r="E198" s="89" t="str">
        <f t="shared" si="1"/>
        <v/>
      </c>
      <c r="F198" s="89" t="str">
        <f t="shared" si="2"/>
        <v/>
      </c>
      <c r="G198" s="86" t="str">
        <f>IF(A198&lt;&gt;"",SUMIFS(Transactions!$F$7:$F$989,Transactions!$D$7:$D$989,"Credit",Transactions!$H$7:$H$989,A198),"")</f>
        <v/>
      </c>
      <c r="H198" s="80"/>
      <c r="I198" s="5"/>
      <c r="J198" s="5"/>
      <c r="K198" s="5"/>
      <c r="L198" s="5"/>
      <c r="M198" s="5"/>
      <c r="N198" s="5"/>
      <c r="O198" s="5"/>
      <c r="P198" s="5"/>
      <c r="Q198" s="5"/>
      <c r="R198" s="5"/>
      <c r="S198" s="5"/>
      <c r="T198" s="5"/>
      <c r="U198" s="5"/>
      <c r="V198" s="5"/>
      <c r="W198" s="5"/>
      <c r="X198" s="5"/>
      <c r="Y198" s="5"/>
      <c r="Z198" s="5"/>
    </row>
    <row r="199" ht="19.5" customHeight="1">
      <c r="A199" s="84" t="str">
        <f>IF(Roster!$A$197&lt;&gt;"",Roster!$A$197,"")</f>
        <v/>
      </c>
      <c r="B199" s="84" t="str">
        <f t="array" ref="B199">IF(A199&lt;&gt;"",IFERROR(SUMPRODUCT((INDEX(Attendance!$B$7:$AV$206,MATCH(A199,Attendance!$A$7:$A$206,0),0)=1)*Attendance!$B$4:$AV$4),0),"")</f>
        <v/>
      </c>
      <c r="C199" s="85" t="str">
        <f>IF(A199&lt;&gt;"",SUMIFS(Transactions!$F$7:$F$989,Transactions!$D$7:$D$989,"Income",Transactions!$E$7:$E$989,A199),"")</f>
        <v/>
      </c>
      <c r="D199" s="85" t="str">
        <f>IF(A199&lt;&gt;"",SUMIFS(Transactions!$F$7:$F$989,Transactions!$D$7:$D$989,"Expense",Transactions!$E$7:$E$989,A199),"")</f>
        <v/>
      </c>
      <c r="E199" s="82" t="str">
        <f t="shared" si="1"/>
        <v/>
      </c>
      <c r="F199" s="82" t="str">
        <f t="shared" si="2"/>
        <v/>
      </c>
      <c r="G199" s="86" t="str">
        <f>IF(A199&lt;&gt;"",SUMIFS(Transactions!$F$7:$F$989,Transactions!$D$7:$D$989,"Credit",Transactions!$H$7:$H$989,A199),"")</f>
        <v/>
      </c>
      <c r="H199" s="80"/>
      <c r="I199" s="5"/>
      <c r="J199" s="5"/>
      <c r="K199" s="5"/>
      <c r="L199" s="5"/>
      <c r="M199" s="5"/>
      <c r="N199" s="5"/>
      <c r="O199" s="5"/>
      <c r="P199" s="5"/>
      <c r="Q199" s="5"/>
      <c r="R199" s="5"/>
      <c r="S199" s="5"/>
      <c r="T199" s="5"/>
      <c r="U199" s="5"/>
      <c r="V199" s="5"/>
      <c r="W199" s="5"/>
      <c r="X199" s="5"/>
      <c r="Y199" s="5"/>
      <c r="Z199" s="5"/>
    </row>
    <row r="200" ht="19.5" customHeight="1">
      <c r="A200" s="87" t="str">
        <f>IF(Roster!$A$198&lt;&gt;"",Roster!$A$198,"")</f>
        <v/>
      </c>
      <c r="B200" s="87" t="str">
        <f t="array" ref="B200">IF(A200&lt;&gt;"",IFERROR(SUMPRODUCT((INDEX(Attendance!$B$7:$AV$206,MATCH(A200,Attendance!$A$7:$A$206,0),0)=1)*Attendance!$B$4:$AV$4),0),"")</f>
        <v/>
      </c>
      <c r="C200" s="88" t="str">
        <f>IF(A200&lt;&gt;"",SUMIFS(Transactions!$F$7:$F$989,Transactions!$D$7:$D$989,"Income",Transactions!$E$7:$E$989,A200),"")</f>
        <v/>
      </c>
      <c r="D200" s="88" t="str">
        <f>IF(A200&lt;&gt;"",SUMIFS(Transactions!$F$7:$F$989,Transactions!$D$7:$D$989,"Expense",Transactions!$E$7:$E$989,A200),"")</f>
        <v/>
      </c>
      <c r="E200" s="89" t="str">
        <f t="shared" si="1"/>
        <v/>
      </c>
      <c r="F200" s="89" t="str">
        <f t="shared" si="2"/>
        <v/>
      </c>
      <c r="G200" s="86" t="str">
        <f>IF(A200&lt;&gt;"",SUMIFS(Transactions!$F$7:$F$989,Transactions!$D$7:$D$989,"Credit",Transactions!$H$7:$H$989,A200),"")</f>
        <v/>
      </c>
      <c r="H200" s="80"/>
      <c r="I200" s="5"/>
      <c r="J200" s="5"/>
      <c r="K200" s="5"/>
      <c r="L200" s="5"/>
      <c r="M200" s="5"/>
      <c r="N200" s="5"/>
      <c r="O200" s="5"/>
      <c r="P200" s="5"/>
      <c r="Q200" s="5"/>
      <c r="R200" s="5"/>
      <c r="S200" s="5"/>
      <c r="T200" s="5"/>
      <c r="U200" s="5"/>
      <c r="V200" s="5"/>
      <c r="W200" s="5"/>
      <c r="X200" s="5"/>
      <c r="Y200" s="5"/>
      <c r="Z200" s="5"/>
    </row>
    <row r="201" ht="19.5" customHeight="1">
      <c r="A201" s="84" t="str">
        <f>IF(Roster!$A$199&lt;&gt;"",Roster!$A$199,"")</f>
        <v/>
      </c>
      <c r="B201" s="84" t="str">
        <f t="array" ref="B201">IF(A201&lt;&gt;"",IFERROR(SUMPRODUCT((INDEX(Attendance!$B$7:$AV$206,MATCH(A201,Attendance!$A$7:$A$206,0),0)=1)*Attendance!$B$4:$AV$4),0),"")</f>
        <v/>
      </c>
      <c r="C201" s="85" t="str">
        <f>IF(A201&lt;&gt;"",SUMIFS(Transactions!$F$7:$F$989,Transactions!$D$7:$D$989,"Income",Transactions!$E$7:$E$989,A201),"")</f>
        <v/>
      </c>
      <c r="D201" s="85" t="str">
        <f>IF(A201&lt;&gt;"",SUMIFS(Transactions!$F$7:$F$989,Transactions!$D$7:$D$989,"Expense",Transactions!$E$7:$E$989,A201),"")</f>
        <v/>
      </c>
      <c r="E201" s="82" t="str">
        <f t="shared" si="1"/>
        <v/>
      </c>
      <c r="F201" s="82" t="str">
        <f t="shared" si="2"/>
        <v/>
      </c>
      <c r="G201" s="86" t="str">
        <f>IF(A201&lt;&gt;"",SUMIFS(Transactions!$F$7:$F$989,Transactions!$D$7:$D$989,"Credit",Transactions!$H$7:$H$989,A201),"")</f>
        <v/>
      </c>
      <c r="H201" s="80"/>
      <c r="I201" s="5"/>
      <c r="J201" s="5"/>
      <c r="K201" s="5"/>
      <c r="L201" s="5"/>
      <c r="M201" s="5"/>
      <c r="N201" s="5"/>
      <c r="O201" s="5"/>
      <c r="P201" s="5"/>
      <c r="Q201" s="5"/>
      <c r="R201" s="5"/>
      <c r="S201" s="5"/>
      <c r="T201" s="5"/>
      <c r="U201" s="5"/>
      <c r="V201" s="5"/>
      <c r="W201" s="5"/>
      <c r="X201" s="5"/>
      <c r="Y201" s="5"/>
      <c r="Z201" s="5"/>
    </row>
    <row r="202" ht="19.5" customHeight="1">
      <c r="A202" s="87" t="str">
        <f>IF(Roster!$A$200&lt;&gt;"",Roster!$A$200,"")</f>
        <v/>
      </c>
      <c r="B202" s="87" t="str">
        <f t="array" ref="B202">IF(A202&lt;&gt;"",IFERROR(SUMPRODUCT((INDEX(Attendance!$B$7:$AV$206,MATCH(A202,Attendance!$A$7:$A$206,0),0)=1)*Attendance!$B$4:$AV$4),0),"")</f>
        <v/>
      </c>
      <c r="C202" s="88" t="str">
        <f>IF(A202&lt;&gt;"",SUMIFS(Transactions!$F$7:$F$989,Transactions!$D$7:$D$989,"Income",Transactions!$E$7:$E$989,A202),"")</f>
        <v/>
      </c>
      <c r="D202" s="88" t="str">
        <f>IF(A202&lt;&gt;"",SUMIFS(Transactions!$F$7:$F$989,Transactions!$D$7:$D$989,"Expense",Transactions!$E$7:$E$989,A202),"")</f>
        <v/>
      </c>
      <c r="E202" s="89" t="str">
        <f t="shared" si="1"/>
        <v/>
      </c>
      <c r="F202" s="89" t="str">
        <f t="shared" si="2"/>
        <v/>
      </c>
      <c r="G202" s="86" t="str">
        <f>IF(A202&lt;&gt;"",SUMIFS(Transactions!$F$7:$F$989,Transactions!$D$7:$D$989,"Credit",Transactions!$H$7:$H$989,A202),"")</f>
        <v/>
      </c>
      <c r="H202" s="80"/>
      <c r="I202" s="5"/>
      <c r="J202" s="5"/>
      <c r="K202" s="5"/>
      <c r="L202" s="5"/>
      <c r="M202" s="5"/>
      <c r="N202" s="5"/>
      <c r="O202" s="5"/>
      <c r="P202" s="5"/>
      <c r="Q202" s="5"/>
      <c r="R202" s="5"/>
      <c r="S202" s="5"/>
      <c r="T202" s="5"/>
      <c r="U202" s="5"/>
      <c r="V202" s="5"/>
      <c r="W202" s="5"/>
      <c r="X202" s="5"/>
      <c r="Y202" s="5"/>
      <c r="Z202" s="5"/>
    </row>
    <row r="203" ht="19.5" customHeight="1">
      <c r="A203" s="84" t="str">
        <f>IF(Roster!$A$201&lt;&gt;"",Roster!$A$201,"")</f>
        <v/>
      </c>
      <c r="B203" s="84" t="str">
        <f t="array" ref="B203">IF(A203&lt;&gt;"",IFERROR(SUMPRODUCT((INDEX(Attendance!$B$7:$AV$206,MATCH(A203,Attendance!$A$7:$A$206,0),0)=1)*Attendance!$B$4:$AV$4),0),"")</f>
        <v/>
      </c>
      <c r="C203" s="85" t="str">
        <f>IF(A203&lt;&gt;"",SUMIFS(Transactions!$F$7:$F$989,Transactions!$D$7:$D$989,"Income",Transactions!$E$7:$E$989,A203),"")</f>
        <v/>
      </c>
      <c r="D203" s="85" t="str">
        <f>IF(A203&lt;&gt;"",SUMIFS(Transactions!$F$7:$F$989,Transactions!$D$7:$D$989,"Expense",Transactions!$E$7:$E$989,A203),"")</f>
        <v/>
      </c>
      <c r="E203" s="82" t="str">
        <f t="shared" si="1"/>
        <v/>
      </c>
      <c r="F203" s="82" t="str">
        <f t="shared" si="2"/>
        <v/>
      </c>
      <c r="G203" s="86" t="str">
        <f>IF(A203&lt;&gt;"",SUMIFS(Transactions!$F$7:$F$989,Transactions!$D$7:$D$989,"Credit",Transactions!$H$7:$H$989,A203),"")</f>
        <v/>
      </c>
      <c r="H203" s="80"/>
      <c r="I203" s="5"/>
      <c r="J203" s="5"/>
      <c r="K203" s="5"/>
      <c r="L203" s="5"/>
      <c r="M203" s="5"/>
      <c r="N203" s="5"/>
      <c r="O203" s="5"/>
      <c r="P203" s="5"/>
      <c r="Q203" s="5"/>
      <c r="R203" s="5"/>
      <c r="S203" s="5"/>
      <c r="T203" s="5"/>
      <c r="U203" s="5"/>
      <c r="V203" s="5"/>
      <c r="W203" s="5"/>
      <c r="X203" s="5"/>
      <c r="Y203" s="5"/>
      <c r="Z203" s="5"/>
    </row>
    <row r="204" ht="19.5" customHeight="1">
      <c r="A204" s="87" t="str">
        <f>IF(Roster!$A$202&lt;&gt;"",Roster!$A$202,"")</f>
        <v/>
      </c>
      <c r="B204" s="87" t="str">
        <f t="array" ref="B204">IF(A204&lt;&gt;"",IFERROR(SUMPRODUCT((INDEX(Attendance!$B$7:$AV$206,MATCH(A204,Attendance!$A$7:$A$206,0),0)=1)*Attendance!$B$4:$AV$4),0),"")</f>
        <v/>
      </c>
      <c r="C204" s="88" t="str">
        <f>IF(A204&lt;&gt;"",SUMIFS(Transactions!$F$7:$F$989,Transactions!$D$7:$D$989,"Income",Transactions!$E$7:$E$989,A204),"")</f>
        <v/>
      </c>
      <c r="D204" s="88" t="str">
        <f>IF(A204&lt;&gt;"",SUMIFS(Transactions!$F$7:$F$989,Transactions!$D$7:$D$989,"Expense",Transactions!$E$7:$E$989,A204),"")</f>
        <v/>
      </c>
      <c r="E204" s="89" t="str">
        <f t="shared" si="1"/>
        <v/>
      </c>
      <c r="F204" s="89" t="str">
        <f t="shared" si="2"/>
        <v/>
      </c>
      <c r="G204" s="86" t="str">
        <f>IF(A204&lt;&gt;"",SUMIFS(Transactions!$F$7:$F$989,Transactions!$D$7:$D$989,"Credit",Transactions!$H$7:$H$989,A204),"")</f>
        <v/>
      </c>
      <c r="H204" s="80"/>
      <c r="I204" s="5"/>
      <c r="J204" s="5"/>
      <c r="K204" s="5"/>
      <c r="L204" s="5"/>
      <c r="M204" s="5"/>
      <c r="N204" s="5"/>
      <c r="O204" s="5"/>
      <c r="P204" s="5"/>
      <c r="Q204" s="5"/>
      <c r="R204" s="5"/>
      <c r="S204" s="5"/>
      <c r="T204" s="5"/>
      <c r="U204" s="5"/>
      <c r="V204" s="5"/>
      <c r="W204" s="5"/>
      <c r="X204" s="5"/>
      <c r="Y204" s="5"/>
      <c r="Z204" s="5"/>
    </row>
    <row r="205" ht="19.5" customHeight="1">
      <c r="A205" s="84" t="str">
        <f>IF(Roster!$A$203&lt;&gt;"",Roster!$A$203,"")</f>
        <v/>
      </c>
      <c r="B205" s="84" t="str">
        <f t="array" ref="B205">IF(A205&lt;&gt;"",IFERROR(SUMPRODUCT((INDEX(Attendance!$B$7:$AV$206,MATCH(A205,Attendance!$A$7:$A$206,0),0)=1)*Attendance!$B$4:$AV$4),0),"")</f>
        <v/>
      </c>
      <c r="C205" s="85" t="str">
        <f>IF(A205&lt;&gt;"",SUMIFS(Transactions!$F$7:$F$989,Transactions!$D$7:$D$989,"Income",Transactions!$E$7:$E$989,A205),"")</f>
        <v/>
      </c>
      <c r="D205" s="85" t="str">
        <f>IF(A205&lt;&gt;"",SUMIFS(Transactions!$F$7:$F$989,Transactions!$D$7:$D$989,"Expense",Transactions!$E$7:$E$989,A205),"")</f>
        <v/>
      </c>
      <c r="E205" s="82" t="str">
        <f t="shared" si="1"/>
        <v/>
      </c>
      <c r="F205" s="82" t="str">
        <f t="shared" si="2"/>
        <v/>
      </c>
      <c r="G205" s="86" t="str">
        <f>IF(A205&lt;&gt;"",SUMIFS(Transactions!$F$7:$F$989,Transactions!$D$7:$D$989,"Credit",Transactions!$H$7:$H$989,A205),"")</f>
        <v/>
      </c>
      <c r="H205" s="80"/>
      <c r="I205" s="5"/>
      <c r="J205" s="5"/>
      <c r="K205" s="5"/>
      <c r="L205" s="5"/>
      <c r="M205" s="5"/>
      <c r="N205" s="5"/>
      <c r="O205" s="5"/>
      <c r="P205" s="5"/>
      <c r="Q205" s="5"/>
      <c r="R205" s="5"/>
      <c r="S205" s="5"/>
      <c r="T205" s="5"/>
      <c r="U205" s="5"/>
      <c r="V205" s="5"/>
      <c r="W205" s="5"/>
      <c r="X205" s="5"/>
      <c r="Y205" s="5"/>
      <c r="Z205" s="5"/>
    </row>
    <row r="206" ht="19.5" customHeight="1">
      <c r="A206" s="87" t="str">
        <f>IF(Roster!$A$204&lt;&gt;"",Roster!$A$204,"")</f>
        <v/>
      </c>
      <c r="B206" s="87" t="str">
        <f t="array" ref="B206">IF(A206&lt;&gt;"",IFERROR(SUMPRODUCT((INDEX(Attendance!$B$7:$AV$206,MATCH(A206,Attendance!$A$7:$A$206,0),0)=1)*Attendance!$B$4:$AV$4),0),"")</f>
        <v/>
      </c>
      <c r="C206" s="88" t="str">
        <f>IF(A206&lt;&gt;"",SUMIFS(Transactions!$F$7:$F$989,Transactions!$D$7:$D$989,"Income",Transactions!$E$7:$E$989,A206),"")</f>
        <v/>
      </c>
      <c r="D206" s="88" t="str">
        <f>IF(A206&lt;&gt;"",SUMIFS(Transactions!$F$7:$F$989,Transactions!$D$7:$D$989,"Expense",Transactions!$E$7:$E$989,A206),"")</f>
        <v/>
      </c>
      <c r="E206" s="89" t="str">
        <f t="shared" si="1"/>
        <v/>
      </c>
      <c r="F206" s="89" t="str">
        <f t="shared" si="2"/>
        <v/>
      </c>
      <c r="G206" s="86" t="str">
        <f>IF(A206&lt;&gt;"",SUMIFS(Transactions!$F$7:$F$989,Transactions!$D$7:$D$989,"Credit",Transactions!$H$7:$H$989,A206),"")</f>
        <v/>
      </c>
      <c r="H206" s="80"/>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row>
    <row r="408" ht="15.75" customHeight="1">
      <c r="A408" s="5"/>
      <c r="B408" s="5"/>
      <c r="C408" s="5"/>
      <c r="D408" s="5"/>
      <c r="E408" s="5"/>
      <c r="F408" s="5"/>
      <c r="G408" s="5"/>
      <c r="H408" s="5"/>
    </row>
    <row r="409" ht="15.75" customHeight="1">
      <c r="A409" s="5"/>
      <c r="B409" s="5"/>
      <c r="C409" s="5"/>
      <c r="D409" s="5"/>
      <c r="E409" s="5"/>
      <c r="F409" s="5"/>
      <c r="G409" s="5"/>
      <c r="H409" s="5"/>
    </row>
    <row r="410" ht="15.75" customHeight="1">
      <c r="A410" s="5"/>
      <c r="B410" s="5"/>
      <c r="C410" s="5"/>
      <c r="D410" s="5"/>
      <c r="E410" s="5"/>
      <c r="F410" s="5"/>
      <c r="G410" s="5"/>
      <c r="H410" s="5"/>
    </row>
    <row r="411" ht="15.75" customHeight="1">
      <c r="A411" s="5"/>
      <c r="B411" s="5"/>
      <c r="C411" s="5"/>
      <c r="D411" s="5"/>
      <c r="E411" s="5"/>
      <c r="F411" s="5"/>
      <c r="G411" s="5"/>
      <c r="H411" s="5"/>
    </row>
    <row r="412" ht="15.75" customHeight="1">
      <c r="A412" s="5"/>
      <c r="B412" s="5"/>
      <c r="C412" s="5"/>
      <c r="D412" s="5"/>
      <c r="E412" s="5"/>
      <c r="F412" s="5"/>
      <c r="G412" s="5"/>
      <c r="H412" s="5"/>
    </row>
    <row r="413" ht="15.75" customHeight="1">
      <c r="A413" s="5"/>
      <c r="B413" s="5"/>
      <c r="C413" s="5"/>
      <c r="D413" s="5"/>
      <c r="E413" s="5"/>
      <c r="F413" s="5"/>
      <c r="G413" s="5"/>
      <c r="H413" s="5"/>
    </row>
    <row r="414" ht="15.75" customHeight="1">
      <c r="A414" s="5"/>
      <c r="B414" s="5"/>
      <c r="C414" s="5"/>
      <c r="D414" s="5"/>
      <c r="E414" s="5"/>
      <c r="F414" s="5"/>
      <c r="G414" s="5"/>
      <c r="H414" s="5"/>
    </row>
    <row r="415" ht="15.75" customHeight="1">
      <c r="A415" s="5"/>
      <c r="B415" s="5"/>
      <c r="C415" s="5"/>
      <c r="D415" s="5"/>
      <c r="E415" s="5"/>
      <c r="F415" s="5"/>
      <c r="G415" s="5"/>
      <c r="H415" s="5"/>
    </row>
    <row r="416" ht="15.75" customHeight="1">
      <c r="A416" s="5"/>
      <c r="B416" s="5"/>
      <c r="C416" s="5"/>
      <c r="D416" s="5"/>
      <c r="E416" s="5"/>
      <c r="F416" s="5"/>
      <c r="G416" s="5"/>
      <c r="H416" s="5"/>
    </row>
    <row r="417" ht="15.75" customHeight="1">
      <c r="A417" s="5"/>
      <c r="B417" s="5"/>
      <c r="C417" s="5"/>
      <c r="D417" s="5"/>
      <c r="E417" s="5"/>
      <c r="F417" s="5"/>
      <c r="G417" s="5"/>
      <c r="H417" s="5"/>
    </row>
    <row r="418" ht="15.75" customHeight="1">
      <c r="A418" s="5"/>
      <c r="B418" s="5"/>
      <c r="C418" s="5"/>
      <c r="D418" s="5"/>
      <c r="E418" s="5"/>
      <c r="F418" s="5"/>
      <c r="G418" s="5"/>
      <c r="H418" s="5"/>
    </row>
    <row r="419" ht="15.75" customHeight="1">
      <c r="A419" s="5"/>
      <c r="B419" s="5"/>
      <c r="C419" s="5"/>
      <c r="D419" s="5"/>
      <c r="E419" s="5"/>
      <c r="F419" s="5"/>
      <c r="G419" s="5"/>
      <c r="H419" s="5"/>
    </row>
    <row r="420" ht="15.75" customHeight="1">
      <c r="A420" s="5"/>
      <c r="B420" s="5"/>
      <c r="C420" s="5"/>
      <c r="D420" s="5"/>
      <c r="E420" s="5"/>
      <c r="F420" s="5"/>
      <c r="G420" s="5"/>
      <c r="H420" s="5"/>
    </row>
    <row r="421" ht="15.75" customHeight="1">
      <c r="A421" s="5"/>
      <c r="B421" s="5"/>
      <c r="C421" s="5"/>
      <c r="D421" s="5"/>
      <c r="E421" s="5"/>
      <c r="F421" s="5"/>
      <c r="G421" s="5"/>
      <c r="H421" s="5"/>
    </row>
    <row r="422" ht="15.75" customHeight="1">
      <c r="A422" s="5"/>
      <c r="B422" s="5"/>
      <c r="C422" s="5"/>
      <c r="D422" s="5"/>
      <c r="E422" s="5"/>
      <c r="F422" s="5"/>
      <c r="G422" s="5"/>
      <c r="H422" s="5"/>
    </row>
    <row r="423" ht="15.75" customHeight="1">
      <c r="A423" s="5"/>
      <c r="B423" s="5"/>
      <c r="C423" s="5"/>
      <c r="D423" s="5"/>
      <c r="E423" s="5"/>
      <c r="F423" s="5"/>
      <c r="G423" s="5"/>
      <c r="H423" s="5"/>
    </row>
    <row r="424" ht="15.75" customHeight="1">
      <c r="A424" s="5"/>
      <c r="B424" s="5"/>
      <c r="C424" s="5"/>
      <c r="D424" s="5"/>
      <c r="E424" s="5"/>
      <c r="F424" s="5"/>
      <c r="G424" s="5"/>
      <c r="H424" s="5"/>
    </row>
    <row r="425" ht="15.75" customHeight="1">
      <c r="A425" s="5"/>
      <c r="B425" s="5"/>
      <c r="C425" s="5"/>
      <c r="D425" s="5"/>
      <c r="E425" s="5"/>
      <c r="F425" s="5"/>
      <c r="G425" s="5"/>
      <c r="H425" s="5"/>
    </row>
    <row r="426" ht="15.75" customHeight="1">
      <c r="A426" s="5"/>
      <c r="B426" s="5"/>
      <c r="C426" s="5"/>
      <c r="D426" s="5"/>
      <c r="E426" s="5"/>
      <c r="F426" s="5"/>
      <c r="G426" s="5"/>
      <c r="H426" s="5"/>
    </row>
    <row r="427" ht="15.75" customHeight="1">
      <c r="A427" s="5"/>
      <c r="B427" s="5"/>
      <c r="C427" s="5"/>
      <c r="D427" s="5"/>
      <c r="E427" s="5"/>
      <c r="F427" s="5"/>
      <c r="G427" s="5"/>
      <c r="H427" s="5"/>
    </row>
    <row r="428" ht="15.75" customHeight="1">
      <c r="A428" s="5"/>
      <c r="B428" s="5"/>
      <c r="C428" s="5"/>
      <c r="D428" s="5"/>
      <c r="E428" s="5"/>
      <c r="F428" s="5"/>
      <c r="G428" s="5"/>
      <c r="H428" s="5"/>
    </row>
    <row r="429" ht="15.75" customHeight="1">
      <c r="A429" s="5"/>
      <c r="B429" s="5"/>
      <c r="C429" s="5"/>
      <c r="D429" s="5"/>
      <c r="E429" s="5"/>
      <c r="F429" s="5"/>
      <c r="G429" s="5"/>
      <c r="H429" s="5"/>
    </row>
    <row r="430" ht="15.75" customHeight="1">
      <c r="A430" s="5"/>
      <c r="B430" s="5"/>
      <c r="C430" s="5"/>
      <c r="D430" s="5"/>
      <c r="E430" s="5"/>
      <c r="F430" s="5"/>
      <c r="G430" s="5"/>
      <c r="H430" s="5"/>
    </row>
    <row r="431" ht="15.75" customHeight="1">
      <c r="A431" s="5"/>
      <c r="B431" s="5"/>
      <c r="C431" s="5"/>
      <c r="D431" s="5"/>
      <c r="E431" s="5"/>
      <c r="F431" s="5"/>
      <c r="G431" s="5"/>
      <c r="H431" s="5"/>
    </row>
    <row r="432" ht="15.75" customHeight="1">
      <c r="A432" s="5"/>
      <c r="B432" s="5"/>
      <c r="C432" s="5"/>
      <c r="D432" s="5"/>
      <c r="E432" s="5"/>
      <c r="F432" s="5"/>
      <c r="G432" s="5"/>
      <c r="H432" s="5"/>
    </row>
    <row r="433" ht="15.75" customHeight="1">
      <c r="A433" s="5"/>
      <c r="B433" s="5"/>
      <c r="C433" s="5"/>
      <c r="D433" s="5"/>
      <c r="E433" s="5"/>
      <c r="F433" s="5"/>
      <c r="G433" s="5"/>
      <c r="H433" s="5"/>
    </row>
    <row r="434" ht="15.75" customHeight="1">
      <c r="A434" s="5"/>
      <c r="B434" s="5"/>
      <c r="C434" s="5"/>
      <c r="D434" s="5"/>
      <c r="E434" s="5"/>
      <c r="F434" s="5"/>
      <c r="G434" s="5"/>
      <c r="H434" s="5"/>
    </row>
    <row r="435" ht="15.75" customHeight="1">
      <c r="A435" s="5"/>
      <c r="B435" s="5"/>
      <c r="C435" s="5"/>
      <c r="D435" s="5"/>
      <c r="E435" s="5"/>
      <c r="F435" s="5"/>
      <c r="G435" s="5"/>
      <c r="H435" s="5"/>
    </row>
    <row r="436" ht="15.75" customHeight="1">
      <c r="A436" s="5"/>
      <c r="B436" s="5"/>
      <c r="C436" s="5"/>
      <c r="D436" s="5"/>
      <c r="E436" s="5"/>
      <c r="F436" s="5"/>
      <c r="G436" s="5"/>
      <c r="H436" s="5"/>
    </row>
    <row r="437" ht="15.75" customHeight="1">
      <c r="A437" s="5"/>
      <c r="B437" s="5"/>
      <c r="C437" s="5"/>
      <c r="D437" s="5"/>
      <c r="E437" s="5"/>
      <c r="F437" s="5"/>
      <c r="G437" s="5"/>
      <c r="H437" s="5"/>
    </row>
    <row r="438" ht="15.75" customHeight="1">
      <c r="A438" s="5"/>
      <c r="B438" s="5"/>
      <c r="C438" s="5"/>
      <c r="D438" s="5"/>
      <c r="E438" s="5"/>
      <c r="F438" s="5"/>
      <c r="G438" s="5"/>
      <c r="H438" s="5"/>
    </row>
    <row r="439" ht="15.75" customHeight="1">
      <c r="A439" s="5"/>
      <c r="B439" s="5"/>
      <c r="C439" s="5"/>
      <c r="D439" s="5"/>
      <c r="E439" s="5"/>
      <c r="F439" s="5"/>
      <c r="G439" s="5"/>
      <c r="H439" s="5"/>
    </row>
    <row r="440" ht="15.75" customHeight="1">
      <c r="A440" s="5"/>
      <c r="B440" s="5"/>
      <c r="C440" s="5"/>
      <c r="D440" s="5"/>
      <c r="E440" s="5"/>
      <c r="F440" s="5"/>
      <c r="G440" s="5"/>
      <c r="H440" s="5"/>
    </row>
    <row r="441" ht="15.75" customHeight="1">
      <c r="A441" s="5"/>
      <c r="B441" s="5"/>
      <c r="C441" s="5"/>
      <c r="D441" s="5"/>
      <c r="E441" s="5"/>
      <c r="F441" s="5"/>
      <c r="G441" s="5"/>
      <c r="H441" s="5"/>
    </row>
    <row r="442" ht="15.75" customHeight="1">
      <c r="A442" s="5"/>
      <c r="B442" s="5"/>
      <c r="C442" s="5"/>
      <c r="D442" s="5"/>
      <c r="E442" s="5"/>
      <c r="F442" s="5"/>
      <c r="G442" s="5"/>
      <c r="H442" s="5"/>
    </row>
    <row r="443" ht="15.75" customHeight="1">
      <c r="A443" s="5"/>
      <c r="B443" s="5"/>
      <c r="C443" s="5"/>
      <c r="D443" s="5"/>
      <c r="E443" s="5"/>
      <c r="F443" s="5"/>
      <c r="G443" s="5"/>
      <c r="H443" s="5"/>
    </row>
    <row r="444" ht="15.75" customHeight="1">
      <c r="A444" s="5"/>
      <c r="B444" s="5"/>
      <c r="C444" s="5"/>
      <c r="D444" s="5"/>
      <c r="E444" s="5"/>
      <c r="F444" s="5"/>
      <c r="G444" s="5"/>
      <c r="H444" s="5"/>
    </row>
    <row r="445" ht="15.75" customHeight="1">
      <c r="A445" s="5"/>
      <c r="B445" s="5"/>
      <c r="C445" s="5"/>
      <c r="D445" s="5"/>
      <c r="E445" s="5"/>
      <c r="F445" s="5"/>
      <c r="G445" s="5"/>
      <c r="H445" s="5"/>
    </row>
    <row r="446" ht="15.75" customHeight="1">
      <c r="A446" s="5"/>
      <c r="B446" s="5"/>
      <c r="C446" s="5"/>
      <c r="D446" s="5"/>
      <c r="E446" s="5"/>
      <c r="F446" s="5"/>
      <c r="G446" s="5"/>
      <c r="H446" s="5"/>
    </row>
    <row r="447" ht="15.75" customHeight="1">
      <c r="A447" s="5"/>
      <c r="B447" s="5"/>
      <c r="C447" s="5"/>
      <c r="D447" s="5"/>
      <c r="E447" s="5"/>
      <c r="F447" s="5"/>
      <c r="G447" s="5"/>
      <c r="H447" s="5"/>
    </row>
    <row r="448" ht="15.75" customHeight="1">
      <c r="A448" s="5"/>
      <c r="B448" s="5"/>
      <c r="C448" s="5"/>
      <c r="D448" s="5"/>
      <c r="E448" s="5"/>
      <c r="F448" s="5"/>
      <c r="G448" s="5"/>
      <c r="H448" s="5"/>
    </row>
    <row r="449" ht="15.75" customHeight="1">
      <c r="A449" s="5"/>
      <c r="B449" s="5"/>
      <c r="C449" s="5"/>
      <c r="D449" s="5"/>
      <c r="E449" s="5"/>
      <c r="F449" s="5"/>
      <c r="G449" s="5"/>
      <c r="H449" s="5"/>
    </row>
    <row r="450" ht="15.75" customHeight="1">
      <c r="A450" s="5"/>
      <c r="B450" s="5"/>
      <c r="C450" s="5"/>
      <c r="D450" s="5"/>
      <c r="E450" s="5"/>
      <c r="F450" s="5"/>
      <c r="G450" s="5"/>
      <c r="H450" s="5"/>
    </row>
    <row r="451" ht="15.75" customHeight="1">
      <c r="A451" s="5"/>
      <c r="B451" s="5"/>
      <c r="C451" s="5"/>
      <c r="D451" s="5"/>
      <c r="E451" s="5"/>
      <c r="F451" s="5"/>
      <c r="G451" s="5"/>
      <c r="H451" s="5"/>
    </row>
    <row r="452" ht="15.75" customHeight="1">
      <c r="A452" s="5"/>
      <c r="B452" s="5"/>
      <c r="C452" s="5"/>
      <c r="D452" s="5"/>
      <c r="E452" s="5"/>
      <c r="F452" s="5"/>
      <c r="G452" s="5"/>
      <c r="H452" s="5"/>
    </row>
    <row r="453" ht="15.75" customHeight="1">
      <c r="A453" s="5"/>
      <c r="B453" s="5"/>
      <c r="C453" s="5"/>
      <c r="D453" s="5"/>
      <c r="E453" s="5"/>
      <c r="F453" s="5"/>
      <c r="G453" s="5"/>
      <c r="H453" s="5"/>
    </row>
    <row r="454" ht="15.75" customHeight="1">
      <c r="A454" s="5"/>
      <c r="B454" s="5"/>
      <c r="C454" s="5"/>
      <c r="D454" s="5"/>
      <c r="E454" s="5"/>
      <c r="F454" s="5"/>
      <c r="G454" s="5"/>
      <c r="H454" s="5"/>
    </row>
    <row r="455" ht="15.75" customHeight="1">
      <c r="A455" s="5"/>
      <c r="B455" s="5"/>
      <c r="C455" s="5"/>
      <c r="D455" s="5"/>
      <c r="E455" s="5"/>
      <c r="F455" s="5"/>
      <c r="G455" s="5"/>
      <c r="H455" s="5"/>
    </row>
    <row r="456" ht="15.75" customHeight="1">
      <c r="A456" s="5"/>
      <c r="B456" s="5"/>
      <c r="C456" s="5"/>
      <c r="D456" s="5"/>
      <c r="E456" s="5"/>
      <c r="F456" s="5"/>
      <c r="G456" s="5"/>
      <c r="H456" s="5"/>
    </row>
    <row r="457" ht="15.75" customHeight="1">
      <c r="A457" s="5"/>
      <c r="B457" s="5"/>
      <c r="C457" s="5"/>
      <c r="D457" s="5"/>
      <c r="E457" s="5"/>
      <c r="F457" s="5"/>
      <c r="G457" s="5"/>
      <c r="H457" s="5"/>
    </row>
    <row r="458" ht="15.75" customHeight="1">
      <c r="A458" s="5"/>
      <c r="B458" s="5"/>
      <c r="C458" s="5"/>
      <c r="D458" s="5"/>
      <c r="E458" s="5"/>
      <c r="F458" s="5"/>
      <c r="G458" s="5"/>
      <c r="H458" s="5"/>
    </row>
    <row r="459" ht="15.75" customHeight="1">
      <c r="A459" s="5"/>
      <c r="B459" s="5"/>
      <c r="C459" s="5"/>
      <c r="D459" s="5"/>
      <c r="E459" s="5"/>
      <c r="F459" s="5"/>
      <c r="G459" s="5"/>
      <c r="H459" s="5"/>
    </row>
    <row r="460" ht="15.75" customHeight="1">
      <c r="A460" s="5"/>
      <c r="B460" s="5"/>
      <c r="C460" s="5"/>
      <c r="D460" s="5"/>
      <c r="E460" s="5"/>
      <c r="F460" s="5"/>
      <c r="G460" s="5"/>
      <c r="H460" s="5"/>
    </row>
    <row r="461" ht="15.75" customHeight="1">
      <c r="A461" s="5"/>
      <c r="B461" s="5"/>
      <c r="C461" s="5"/>
      <c r="D461" s="5"/>
      <c r="E461" s="5"/>
      <c r="F461" s="5"/>
      <c r="G461" s="5"/>
      <c r="H461" s="5"/>
    </row>
    <row r="462" ht="15.75" customHeight="1">
      <c r="A462" s="5"/>
      <c r="B462" s="5"/>
      <c r="C462" s="5"/>
      <c r="D462" s="5"/>
      <c r="E462" s="5"/>
      <c r="F462" s="5"/>
      <c r="G462" s="5"/>
      <c r="H462" s="5"/>
    </row>
    <row r="463" ht="15.75" customHeight="1">
      <c r="A463" s="5"/>
      <c r="B463" s="5"/>
      <c r="C463" s="5"/>
      <c r="D463" s="5"/>
      <c r="E463" s="5"/>
      <c r="F463" s="5"/>
      <c r="G463" s="5"/>
      <c r="H463" s="5"/>
    </row>
    <row r="464" ht="15.75" customHeight="1">
      <c r="A464" s="5"/>
      <c r="B464" s="5"/>
      <c r="C464" s="5"/>
      <c r="D464" s="5"/>
      <c r="E464" s="5"/>
      <c r="F464" s="5"/>
      <c r="G464" s="5"/>
      <c r="H464" s="5"/>
    </row>
    <row r="465" ht="15.75" customHeight="1">
      <c r="A465" s="5"/>
      <c r="B465" s="5"/>
      <c r="C465" s="5"/>
      <c r="D465" s="5"/>
      <c r="E465" s="5"/>
      <c r="F465" s="5"/>
      <c r="G465" s="5"/>
      <c r="H465" s="5"/>
    </row>
    <row r="466" ht="15.75" customHeight="1">
      <c r="A466" s="5"/>
      <c r="B466" s="5"/>
      <c r="C466" s="5"/>
      <c r="D466" s="5"/>
      <c r="E466" s="5"/>
      <c r="F466" s="5"/>
      <c r="G466" s="5"/>
      <c r="H466" s="5"/>
    </row>
    <row r="467" ht="15.75" customHeight="1">
      <c r="A467" s="5"/>
      <c r="B467" s="5"/>
      <c r="C467" s="5"/>
      <c r="D467" s="5"/>
      <c r="E467" s="5"/>
      <c r="F467" s="5"/>
      <c r="G467" s="5"/>
      <c r="H467" s="5"/>
    </row>
    <row r="468" ht="15.75" customHeight="1">
      <c r="A468" s="5"/>
      <c r="B468" s="5"/>
      <c r="C468" s="5"/>
      <c r="D468" s="5"/>
      <c r="E468" s="5"/>
      <c r="F468" s="5"/>
      <c r="G468" s="5"/>
      <c r="H468" s="5"/>
    </row>
    <row r="469" ht="15.75" customHeight="1">
      <c r="A469" s="5"/>
      <c r="B469" s="5"/>
      <c r="C469" s="5"/>
      <c r="D469" s="5"/>
      <c r="E469" s="5"/>
      <c r="F469" s="5"/>
      <c r="G469" s="5"/>
      <c r="H469" s="5"/>
    </row>
    <row r="470" ht="15.75" customHeight="1">
      <c r="A470" s="5"/>
      <c r="B470" s="5"/>
      <c r="C470" s="5"/>
      <c r="D470" s="5"/>
      <c r="E470" s="5"/>
      <c r="F470" s="5"/>
      <c r="G470" s="5"/>
      <c r="H470" s="5"/>
    </row>
    <row r="471" ht="15.75" customHeight="1">
      <c r="A471" s="5"/>
      <c r="B471" s="5"/>
      <c r="C471" s="5"/>
      <c r="D471" s="5"/>
      <c r="E471" s="5"/>
      <c r="F471" s="5"/>
      <c r="G471" s="5"/>
      <c r="H471" s="5"/>
    </row>
    <row r="472" ht="15.75" customHeight="1">
      <c r="A472" s="5"/>
      <c r="B472" s="5"/>
      <c r="C472" s="5"/>
      <c r="D472" s="5"/>
      <c r="E472" s="5"/>
      <c r="F472" s="5"/>
      <c r="G472" s="5"/>
      <c r="H472" s="5"/>
    </row>
    <row r="473" ht="15.75" customHeight="1">
      <c r="A473" s="5"/>
      <c r="B473" s="5"/>
      <c r="C473" s="5"/>
      <c r="D473" s="5"/>
      <c r="E473" s="5"/>
      <c r="F473" s="5"/>
      <c r="G473" s="5"/>
      <c r="H473" s="5"/>
    </row>
    <row r="474" ht="15.75" customHeight="1">
      <c r="A474" s="5"/>
      <c r="B474" s="5"/>
      <c r="C474" s="5"/>
      <c r="D474" s="5"/>
      <c r="E474" s="5"/>
      <c r="F474" s="5"/>
      <c r="G474" s="5"/>
      <c r="H474" s="5"/>
    </row>
    <row r="475" ht="15.75" customHeight="1">
      <c r="A475" s="5"/>
      <c r="B475" s="5"/>
      <c r="C475" s="5"/>
      <c r="D475" s="5"/>
      <c r="E475" s="5"/>
      <c r="F475" s="5"/>
      <c r="G475" s="5"/>
      <c r="H475" s="5"/>
    </row>
    <row r="476" ht="15.75" customHeight="1">
      <c r="A476" s="5"/>
      <c r="B476" s="5"/>
      <c r="C476" s="5"/>
      <c r="D476" s="5"/>
      <c r="E476" s="5"/>
      <c r="F476" s="5"/>
      <c r="G476" s="5"/>
      <c r="H476" s="5"/>
    </row>
    <row r="477" ht="15.75" customHeight="1">
      <c r="A477" s="5"/>
      <c r="B477" s="5"/>
      <c r="C477" s="5"/>
      <c r="D477" s="5"/>
      <c r="E477" s="5"/>
      <c r="F477" s="5"/>
      <c r="G477" s="5"/>
      <c r="H477" s="5"/>
    </row>
    <row r="478" ht="15.75" customHeight="1">
      <c r="A478" s="5"/>
      <c r="B478" s="5"/>
      <c r="C478" s="5"/>
      <c r="D478" s="5"/>
      <c r="E478" s="5"/>
      <c r="F478" s="5"/>
      <c r="G478" s="5"/>
      <c r="H478" s="5"/>
    </row>
    <row r="479" ht="15.75" customHeight="1">
      <c r="A479" s="5"/>
      <c r="B479" s="5"/>
      <c r="C479" s="5"/>
      <c r="D479" s="5"/>
      <c r="E479" s="5"/>
      <c r="F479" s="5"/>
      <c r="G479" s="5"/>
      <c r="H479" s="5"/>
    </row>
    <row r="480" ht="15.75" customHeight="1">
      <c r="A480" s="5"/>
      <c r="B480" s="5"/>
      <c r="C480" s="5"/>
      <c r="D480" s="5"/>
      <c r="E480" s="5"/>
      <c r="F480" s="5"/>
      <c r="G480" s="5"/>
      <c r="H480" s="5"/>
    </row>
    <row r="481" ht="15.75" customHeight="1">
      <c r="A481" s="5"/>
      <c r="B481" s="5"/>
      <c r="C481" s="5"/>
      <c r="D481" s="5"/>
      <c r="E481" s="5"/>
      <c r="F481" s="5"/>
      <c r="G481" s="5"/>
      <c r="H481" s="5"/>
    </row>
    <row r="482" ht="15.75" customHeight="1">
      <c r="A482" s="5"/>
      <c r="B482" s="5"/>
      <c r="C482" s="5"/>
      <c r="D482" s="5"/>
      <c r="E482" s="5"/>
      <c r="F482" s="5"/>
      <c r="G482" s="5"/>
      <c r="H482" s="5"/>
    </row>
    <row r="483" ht="15.75" customHeight="1">
      <c r="A483" s="5"/>
      <c r="B483" s="5"/>
      <c r="C483" s="5"/>
      <c r="D483" s="5"/>
      <c r="E483" s="5"/>
      <c r="F483" s="5"/>
      <c r="G483" s="5"/>
      <c r="H483" s="5"/>
    </row>
    <row r="484" ht="15.75" customHeight="1">
      <c r="A484" s="5"/>
      <c r="B484" s="5"/>
      <c r="C484" s="5"/>
      <c r="D484" s="5"/>
      <c r="E484" s="5"/>
      <c r="F484" s="5"/>
      <c r="G484" s="5"/>
      <c r="H484" s="5"/>
    </row>
    <row r="485" ht="15.75" customHeight="1">
      <c r="A485" s="5"/>
      <c r="B485" s="5"/>
      <c r="C485" s="5"/>
      <c r="D485" s="5"/>
      <c r="E485" s="5"/>
      <c r="F485" s="5"/>
      <c r="G485" s="5"/>
      <c r="H485" s="5"/>
    </row>
    <row r="486" ht="15.75" customHeight="1">
      <c r="A486" s="5"/>
      <c r="B486" s="5"/>
      <c r="C486" s="5"/>
      <c r="D486" s="5"/>
      <c r="E486" s="5"/>
      <c r="F486" s="5"/>
      <c r="G486" s="5"/>
      <c r="H486" s="5"/>
    </row>
    <row r="487" ht="15.75" customHeight="1">
      <c r="A487" s="5"/>
      <c r="B487" s="5"/>
      <c r="C487" s="5"/>
      <c r="D487" s="5"/>
      <c r="E487" s="5"/>
      <c r="F487" s="5"/>
      <c r="G487" s="5"/>
      <c r="H487" s="5"/>
    </row>
    <row r="488" ht="15.75" customHeight="1">
      <c r="A488" s="5"/>
      <c r="B488" s="5"/>
      <c r="C488" s="5"/>
      <c r="D488" s="5"/>
      <c r="E488" s="5"/>
      <c r="F488" s="5"/>
      <c r="G488" s="5"/>
      <c r="H488" s="5"/>
    </row>
    <row r="489" ht="15.75" customHeight="1">
      <c r="A489" s="5"/>
      <c r="B489" s="5"/>
      <c r="C489" s="5"/>
      <c r="D489" s="5"/>
      <c r="E489" s="5"/>
      <c r="F489" s="5"/>
      <c r="G489" s="5"/>
      <c r="H489" s="5"/>
    </row>
    <row r="490" ht="15.75" customHeight="1">
      <c r="A490" s="5"/>
      <c r="B490" s="5"/>
      <c r="C490" s="5"/>
      <c r="D490" s="5"/>
      <c r="E490" s="5"/>
      <c r="F490" s="5"/>
      <c r="G490" s="5"/>
      <c r="H490" s="5"/>
    </row>
    <row r="491" ht="15.75" customHeight="1">
      <c r="A491" s="5"/>
      <c r="B491" s="5"/>
      <c r="C491" s="5"/>
      <c r="D491" s="5"/>
      <c r="E491" s="5"/>
      <c r="F491" s="5"/>
      <c r="G491" s="5"/>
      <c r="H491" s="5"/>
    </row>
    <row r="492" ht="15.75" customHeight="1">
      <c r="A492" s="5"/>
      <c r="B492" s="5"/>
      <c r="C492" s="5"/>
      <c r="D492" s="5"/>
      <c r="E492" s="5"/>
      <c r="F492" s="5"/>
      <c r="G492" s="5"/>
      <c r="H492" s="5"/>
    </row>
    <row r="493" ht="15.75" customHeight="1">
      <c r="A493" s="5"/>
      <c r="B493" s="5"/>
      <c r="C493" s="5"/>
      <c r="D493" s="5"/>
      <c r="E493" s="5"/>
      <c r="F493" s="5"/>
      <c r="G493" s="5"/>
      <c r="H493" s="5"/>
    </row>
    <row r="494" ht="15.75" customHeight="1">
      <c r="A494" s="5"/>
      <c r="B494" s="5"/>
      <c r="C494" s="5"/>
      <c r="D494" s="5"/>
      <c r="E494" s="5"/>
      <c r="F494" s="5"/>
      <c r="G494" s="5"/>
      <c r="H494" s="5"/>
    </row>
    <row r="495" ht="15.75" customHeight="1">
      <c r="A495" s="5"/>
      <c r="B495" s="5"/>
      <c r="C495" s="5"/>
      <c r="D495" s="5"/>
      <c r="E495" s="5"/>
      <c r="F495" s="5"/>
      <c r="G495" s="5"/>
      <c r="H495" s="5"/>
    </row>
    <row r="496" ht="15.75" customHeight="1">
      <c r="A496" s="5"/>
      <c r="B496" s="5"/>
      <c r="C496" s="5"/>
      <c r="D496" s="5"/>
      <c r="E496" s="5"/>
      <c r="F496" s="5"/>
      <c r="G496" s="5"/>
      <c r="H496" s="5"/>
    </row>
    <row r="497" ht="15.75" customHeight="1">
      <c r="A497" s="5"/>
      <c r="B497" s="5"/>
      <c r="C497" s="5"/>
      <c r="D497" s="5"/>
      <c r="E497" s="5"/>
      <c r="F497" s="5"/>
      <c r="G497" s="5"/>
      <c r="H497" s="5"/>
    </row>
    <row r="498" ht="15.75" customHeight="1">
      <c r="A498" s="5"/>
      <c r="B498" s="5"/>
      <c r="C498" s="5"/>
      <c r="D498" s="5"/>
      <c r="E498" s="5"/>
      <c r="F498" s="5"/>
      <c r="G498" s="5"/>
      <c r="H498" s="5"/>
    </row>
    <row r="499" ht="15.75" customHeight="1">
      <c r="A499" s="5"/>
      <c r="B499" s="5"/>
      <c r="C499" s="5"/>
      <c r="D499" s="5"/>
      <c r="E499" s="5"/>
      <c r="F499" s="5"/>
      <c r="G499" s="5"/>
      <c r="H499" s="5"/>
    </row>
    <row r="500" ht="15.75" customHeight="1">
      <c r="A500" s="5"/>
      <c r="B500" s="5"/>
      <c r="C500" s="5"/>
      <c r="D500" s="5"/>
      <c r="E500" s="5"/>
      <c r="F500" s="5"/>
      <c r="G500" s="5"/>
      <c r="H500" s="5"/>
    </row>
    <row r="501" ht="15.75" customHeight="1">
      <c r="A501" s="5"/>
      <c r="B501" s="5"/>
      <c r="C501" s="5"/>
      <c r="D501" s="5"/>
      <c r="E501" s="5"/>
      <c r="F501" s="5"/>
      <c r="G501" s="5"/>
      <c r="H501" s="5"/>
    </row>
    <row r="502" ht="15.75" customHeight="1">
      <c r="A502" s="5"/>
      <c r="B502" s="5"/>
      <c r="C502" s="5"/>
      <c r="D502" s="5"/>
      <c r="E502" s="5"/>
      <c r="F502" s="5"/>
      <c r="G502" s="5"/>
      <c r="H502" s="5"/>
    </row>
    <row r="503" ht="15.75" customHeight="1">
      <c r="A503" s="5"/>
      <c r="B503" s="5"/>
      <c r="C503" s="5"/>
      <c r="D503" s="5"/>
      <c r="E503" s="5"/>
      <c r="F503" s="5"/>
      <c r="G503" s="5"/>
      <c r="H503" s="5"/>
    </row>
    <row r="504" ht="15.75" customHeight="1">
      <c r="A504" s="5"/>
      <c r="B504" s="5"/>
      <c r="C504" s="5"/>
      <c r="D504" s="5"/>
      <c r="E504" s="5"/>
      <c r="F504" s="5"/>
      <c r="G504" s="5"/>
      <c r="H504" s="5"/>
    </row>
    <row r="505" ht="15.75" customHeight="1">
      <c r="A505" s="5"/>
      <c r="B505" s="5"/>
      <c r="C505" s="5"/>
      <c r="D505" s="5"/>
      <c r="E505" s="5"/>
      <c r="F505" s="5"/>
      <c r="G505" s="5"/>
      <c r="H505" s="5"/>
    </row>
    <row r="506" ht="15.75" customHeight="1">
      <c r="A506" s="5"/>
      <c r="B506" s="5"/>
      <c r="C506" s="5"/>
      <c r="D506" s="5"/>
      <c r="E506" s="5"/>
      <c r="F506" s="5"/>
      <c r="G506" s="5"/>
      <c r="H506" s="5"/>
    </row>
    <row r="507" ht="15.75" customHeight="1">
      <c r="A507" s="5"/>
      <c r="B507" s="5"/>
      <c r="C507" s="5"/>
      <c r="D507" s="5"/>
      <c r="E507" s="5"/>
      <c r="F507" s="5"/>
      <c r="G507" s="5"/>
      <c r="H507" s="5"/>
    </row>
    <row r="508" ht="15.75" customHeight="1">
      <c r="A508" s="5"/>
      <c r="B508" s="5"/>
      <c r="C508" s="5"/>
      <c r="D508" s="5"/>
      <c r="E508" s="5"/>
      <c r="F508" s="5"/>
      <c r="G508" s="5"/>
      <c r="H508" s="5"/>
    </row>
    <row r="509" ht="15.75" customHeight="1">
      <c r="A509" s="5"/>
      <c r="B509" s="5"/>
      <c r="C509" s="5"/>
      <c r="D509" s="5"/>
      <c r="E509" s="5"/>
      <c r="F509" s="5"/>
      <c r="G509" s="5"/>
      <c r="H509" s="5"/>
    </row>
    <row r="510" ht="15.75" customHeight="1">
      <c r="A510" s="5"/>
      <c r="B510" s="5"/>
      <c r="C510" s="5"/>
      <c r="D510" s="5"/>
      <c r="E510" s="5"/>
      <c r="F510" s="5"/>
      <c r="G510" s="5"/>
      <c r="H510" s="5"/>
    </row>
    <row r="511" ht="15.75" customHeight="1">
      <c r="A511" s="5"/>
      <c r="B511" s="5"/>
      <c r="C511" s="5"/>
      <c r="D511" s="5"/>
      <c r="E511" s="5"/>
      <c r="F511" s="5"/>
      <c r="G511" s="5"/>
      <c r="H511" s="5"/>
    </row>
    <row r="512" ht="15.75" customHeight="1">
      <c r="A512" s="5"/>
      <c r="B512" s="5"/>
      <c r="C512" s="5"/>
      <c r="D512" s="5"/>
      <c r="E512" s="5"/>
      <c r="F512" s="5"/>
      <c r="G512" s="5"/>
      <c r="H512" s="5"/>
    </row>
    <row r="513" ht="15.75" customHeight="1">
      <c r="A513" s="5"/>
      <c r="B513" s="5"/>
      <c r="C513" s="5"/>
      <c r="D513" s="5"/>
      <c r="E513" s="5"/>
      <c r="F513" s="5"/>
      <c r="G513" s="5"/>
      <c r="H513" s="5"/>
    </row>
    <row r="514" ht="15.75" customHeight="1">
      <c r="A514" s="5"/>
      <c r="B514" s="5"/>
      <c r="C514" s="5"/>
      <c r="D514" s="5"/>
      <c r="E514" s="5"/>
      <c r="F514" s="5"/>
      <c r="G514" s="5"/>
      <c r="H514" s="5"/>
    </row>
    <row r="515" ht="15.75" customHeight="1">
      <c r="A515" s="5"/>
      <c r="B515" s="5"/>
      <c r="C515" s="5"/>
      <c r="D515" s="5"/>
      <c r="E515" s="5"/>
      <c r="F515" s="5"/>
      <c r="G515" s="5"/>
      <c r="H515" s="5"/>
    </row>
    <row r="516" ht="15.75" customHeight="1">
      <c r="A516" s="5"/>
      <c r="B516" s="5"/>
      <c r="C516" s="5"/>
      <c r="D516" s="5"/>
      <c r="E516" s="5"/>
      <c r="F516" s="5"/>
      <c r="G516" s="5"/>
      <c r="H516" s="5"/>
    </row>
    <row r="517" ht="15.75" customHeight="1">
      <c r="A517" s="5"/>
      <c r="B517" s="5"/>
      <c r="C517" s="5"/>
      <c r="D517" s="5"/>
      <c r="E517" s="5"/>
      <c r="F517" s="5"/>
      <c r="G517" s="5"/>
      <c r="H517" s="5"/>
    </row>
    <row r="518" ht="15.75" customHeight="1">
      <c r="A518" s="5"/>
      <c r="B518" s="5"/>
      <c r="C518" s="5"/>
      <c r="D518" s="5"/>
      <c r="E518" s="5"/>
      <c r="F518" s="5"/>
      <c r="G518" s="5"/>
      <c r="H518" s="5"/>
    </row>
    <row r="519" ht="15.75" customHeight="1">
      <c r="A519" s="5"/>
      <c r="B519" s="5"/>
      <c r="C519" s="5"/>
      <c r="D519" s="5"/>
      <c r="E519" s="5"/>
      <c r="F519" s="5"/>
      <c r="G519" s="5"/>
      <c r="H519" s="5"/>
    </row>
    <row r="520" ht="15.75" customHeight="1">
      <c r="A520" s="5"/>
      <c r="B520" s="5"/>
      <c r="C520" s="5"/>
      <c r="D520" s="5"/>
      <c r="E520" s="5"/>
      <c r="F520" s="5"/>
      <c r="G520" s="5"/>
      <c r="H520" s="5"/>
    </row>
    <row r="521" ht="15.75" customHeight="1">
      <c r="A521" s="5"/>
      <c r="B521" s="5"/>
      <c r="C521" s="5"/>
      <c r="D521" s="5"/>
      <c r="E521" s="5"/>
      <c r="F521" s="5"/>
      <c r="G521" s="5"/>
      <c r="H521" s="5"/>
    </row>
    <row r="522" ht="15.75" customHeight="1">
      <c r="A522" s="5"/>
      <c r="B522" s="5"/>
      <c r="C522" s="5"/>
      <c r="D522" s="5"/>
      <c r="E522" s="5"/>
      <c r="F522" s="5"/>
      <c r="G522" s="5"/>
      <c r="H522" s="5"/>
    </row>
    <row r="523" ht="15.75" customHeight="1">
      <c r="A523" s="5"/>
      <c r="B523" s="5"/>
      <c r="C523" s="5"/>
      <c r="D523" s="5"/>
      <c r="E523" s="5"/>
      <c r="F523" s="5"/>
      <c r="G523" s="5"/>
      <c r="H523" s="5"/>
    </row>
    <row r="524" ht="15.75" customHeight="1">
      <c r="A524" s="5"/>
      <c r="B524" s="5"/>
      <c r="C524" s="5"/>
      <c r="D524" s="5"/>
      <c r="E524" s="5"/>
      <c r="F524" s="5"/>
      <c r="G524" s="5"/>
      <c r="H524" s="5"/>
    </row>
    <row r="525" ht="15.75" customHeight="1">
      <c r="A525" s="5"/>
      <c r="B525" s="5"/>
      <c r="C525" s="5"/>
      <c r="D525" s="5"/>
      <c r="E525" s="5"/>
      <c r="F525" s="5"/>
      <c r="G525" s="5"/>
      <c r="H525" s="5"/>
    </row>
    <row r="526" ht="15.75" customHeight="1">
      <c r="A526" s="5"/>
      <c r="B526" s="5"/>
      <c r="C526" s="5"/>
      <c r="D526" s="5"/>
      <c r="E526" s="5"/>
      <c r="F526" s="5"/>
      <c r="G526" s="5"/>
      <c r="H526" s="5"/>
    </row>
    <row r="527" ht="15.75" customHeight="1">
      <c r="A527" s="5"/>
      <c r="B527" s="5"/>
      <c r="C527" s="5"/>
      <c r="D527" s="5"/>
      <c r="E527" s="5"/>
      <c r="F527" s="5"/>
      <c r="G527" s="5"/>
      <c r="H527" s="5"/>
    </row>
    <row r="528" ht="15.75" customHeight="1">
      <c r="A528" s="5"/>
      <c r="B528" s="5"/>
      <c r="C528" s="5"/>
      <c r="D528" s="5"/>
      <c r="E528" s="5"/>
      <c r="F528" s="5"/>
      <c r="G528" s="5"/>
      <c r="H528" s="5"/>
    </row>
    <row r="529" ht="15.75" customHeight="1">
      <c r="A529" s="5"/>
      <c r="B529" s="5"/>
      <c r="C529" s="5"/>
      <c r="D529" s="5"/>
      <c r="E529" s="5"/>
      <c r="F529" s="5"/>
      <c r="G529" s="5"/>
      <c r="H529" s="5"/>
    </row>
    <row r="530" ht="15.75" customHeight="1">
      <c r="A530" s="5"/>
      <c r="B530" s="5"/>
      <c r="C530" s="5"/>
      <c r="D530" s="5"/>
      <c r="E530" s="5"/>
      <c r="F530" s="5"/>
      <c r="G530" s="5"/>
      <c r="H530" s="5"/>
    </row>
    <row r="531" ht="15.75" customHeight="1">
      <c r="A531" s="5"/>
      <c r="B531" s="5"/>
      <c r="C531" s="5"/>
      <c r="D531" s="5"/>
      <c r="E531" s="5"/>
      <c r="F531" s="5"/>
      <c r="G531" s="5"/>
      <c r="H531" s="5"/>
    </row>
    <row r="532" ht="15.75" customHeight="1">
      <c r="A532" s="5"/>
      <c r="B532" s="5"/>
      <c r="C532" s="5"/>
      <c r="D532" s="5"/>
      <c r="E532" s="5"/>
      <c r="F532" s="5"/>
      <c r="G532" s="5"/>
      <c r="H532" s="5"/>
    </row>
    <row r="533" ht="15.75" customHeight="1">
      <c r="A533" s="5"/>
      <c r="B533" s="5"/>
      <c r="C533" s="5"/>
      <c r="D533" s="5"/>
      <c r="E533" s="5"/>
      <c r="F533" s="5"/>
      <c r="G533" s="5"/>
      <c r="H533" s="5"/>
    </row>
    <row r="534" ht="15.75" customHeight="1">
      <c r="A534" s="5"/>
      <c r="B534" s="5"/>
      <c r="C534" s="5"/>
      <c r="D534" s="5"/>
      <c r="E534" s="5"/>
      <c r="F534" s="5"/>
      <c r="G534" s="5"/>
      <c r="H534" s="5"/>
    </row>
    <row r="535" ht="15.75" customHeight="1">
      <c r="A535" s="5"/>
      <c r="B535" s="5"/>
      <c r="C535" s="5"/>
      <c r="D535" s="5"/>
      <c r="E535" s="5"/>
      <c r="F535" s="5"/>
      <c r="G535" s="5"/>
      <c r="H535" s="5"/>
    </row>
    <row r="536" ht="15.75" customHeight="1">
      <c r="A536" s="5"/>
      <c r="B536" s="5"/>
      <c r="C536" s="5"/>
      <c r="D536" s="5"/>
      <c r="E536" s="5"/>
      <c r="F536" s="5"/>
      <c r="G536" s="5"/>
      <c r="H536" s="5"/>
    </row>
    <row r="537" ht="15.75" customHeight="1">
      <c r="A537" s="5"/>
      <c r="B537" s="5"/>
      <c r="C537" s="5"/>
      <c r="D537" s="5"/>
      <c r="E537" s="5"/>
      <c r="F537" s="5"/>
      <c r="G537" s="5"/>
      <c r="H537" s="5"/>
    </row>
    <row r="538" ht="15.75" customHeight="1">
      <c r="A538" s="5"/>
      <c r="B538" s="5"/>
      <c r="C538" s="5"/>
      <c r="D538" s="5"/>
      <c r="E538" s="5"/>
      <c r="F538" s="5"/>
      <c r="G538" s="5"/>
      <c r="H538" s="5"/>
    </row>
    <row r="539" ht="15.75" customHeight="1">
      <c r="A539" s="5"/>
      <c r="B539" s="5"/>
      <c r="C539" s="5"/>
      <c r="D539" s="5"/>
      <c r="E539" s="5"/>
      <c r="F539" s="5"/>
      <c r="G539" s="5"/>
      <c r="H539" s="5"/>
    </row>
    <row r="540" ht="15.75" customHeight="1">
      <c r="A540" s="5"/>
      <c r="B540" s="5"/>
      <c r="C540" s="5"/>
      <c r="D540" s="5"/>
      <c r="E540" s="5"/>
      <c r="F540" s="5"/>
      <c r="G540" s="5"/>
      <c r="H540" s="5"/>
    </row>
    <row r="541" ht="15.75" customHeight="1">
      <c r="A541" s="5"/>
      <c r="B541" s="5"/>
      <c r="C541" s="5"/>
      <c r="D541" s="5"/>
      <c r="E541" s="5"/>
      <c r="F541" s="5"/>
      <c r="G541" s="5"/>
      <c r="H541" s="5"/>
    </row>
    <row r="542" ht="15.75" customHeight="1">
      <c r="A542" s="5"/>
      <c r="B542" s="5"/>
      <c r="C542" s="5"/>
      <c r="D542" s="5"/>
      <c r="E542" s="5"/>
      <c r="F542" s="5"/>
      <c r="G542" s="5"/>
      <c r="H542" s="5"/>
    </row>
    <row r="543" ht="15.75" customHeight="1">
      <c r="A543" s="5"/>
      <c r="B543" s="5"/>
      <c r="C543" s="5"/>
      <c r="D543" s="5"/>
      <c r="E543" s="5"/>
      <c r="F543" s="5"/>
      <c r="G543" s="5"/>
      <c r="H543" s="5"/>
    </row>
    <row r="544" ht="15.75" customHeight="1">
      <c r="A544" s="5"/>
      <c r="B544" s="5"/>
      <c r="C544" s="5"/>
      <c r="D544" s="5"/>
      <c r="E544" s="5"/>
      <c r="F544" s="5"/>
      <c r="G544" s="5"/>
      <c r="H544" s="5"/>
    </row>
    <row r="545" ht="15.75" customHeight="1">
      <c r="A545" s="5"/>
      <c r="B545" s="5"/>
      <c r="C545" s="5"/>
      <c r="D545" s="5"/>
      <c r="E545" s="5"/>
      <c r="F545" s="5"/>
      <c r="G545" s="5"/>
      <c r="H545" s="5"/>
    </row>
    <row r="546" ht="15.75" customHeight="1">
      <c r="A546" s="5"/>
      <c r="B546" s="5"/>
      <c r="C546" s="5"/>
      <c r="D546" s="5"/>
      <c r="E546" s="5"/>
      <c r="F546" s="5"/>
      <c r="G546" s="5"/>
      <c r="H546" s="5"/>
    </row>
    <row r="547" ht="15.75" customHeight="1">
      <c r="A547" s="5"/>
      <c r="B547" s="5"/>
      <c r="C547" s="5"/>
      <c r="D547" s="5"/>
      <c r="E547" s="5"/>
      <c r="F547" s="5"/>
      <c r="G547" s="5"/>
      <c r="H547" s="5"/>
    </row>
    <row r="548" ht="15.75" customHeight="1">
      <c r="A548" s="5"/>
      <c r="B548" s="5"/>
      <c r="C548" s="5"/>
      <c r="D548" s="5"/>
      <c r="E548" s="5"/>
      <c r="F548" s="5"/>
      <c r="G548" s="5"/>
      <c r="H548" s="5"/>
    </row>
    <row r="549" ht="15.75" customHeight="1">
      <c r="A549" s="5"/>
      <c r="B549" s="5"/>
      <c r="C549" s="5"/>
      <c r="D549" s="5"/>
      <c r="E549" s="5"/>
      <c r="F549" s="5"/>
      <c r="G549" s="5"/>
      <c r="H549" s="5"/>
    </row>
    <row r="550" ht="15.75" customHeight="1">
      <c r="A550" s="5"/>
      <c r="B550" s="5"/>
      <c r="C550" s="5"/>
      <c r="D550" s="5"/>
      <c r="E550" s="5"/>
      <c r="F550" s="5"/>
      <c r="G550" s="5"/>
      <c r="H550" s="5"/>
    </row>
    <row r="551" ht="15.75" customHeight="1">
      <c r="A551" s="5"/>
      <c r="B551" s="5"/>
      <c r="C551" s="5"/>
      <c r="D551" s="5"/>
      <c r="E551" s="5"/>
      <c r="F551" s="5"/>
      <c r="G551" s="5"/>
      <c r="H551" s="5"/>
    </row>
    <row r="552" ht="15.75" customHeight="1">
      <c r="A552" s="5"/>
      <c r="B552" s="5"/>
      <c r="C552" s="5"/>
      <c r="D552" s="5"/>
      <c r="E552" s="5"/>
      <c r="F552" s="5"/>
      <c r="G552" s="5"/>
      <c r="H552" s="5"/>
    </row>
    <row r="553" ht="15.75" customHeight="1">
      <c r="A553" s="5"/>
      <c r="B553" s="5"/>
      <c r="C553" s="5"/>
      <c r="D553" s="5"/>
      <c r="E553" s="5"/>
      <c r="F553" s="5"/>
      <c r="G553" s="5"/>
      <c r="H553" s="5"/>
    </row>
    <row r="554" ht="15.75" customHeight="1">
      <c r="A554" s="5"/>
      <c r="B554" s="5"/>
      <c r="C554" s="5"/>
      <c r="D554" s="5"/>
      <c r="E554" s="5"/>
      <c r="F554" s="5"/>
      <c r="G554" s="5"/>
      <c r="H554" s="5"/>
    </row>
    <row r="555" ht="15.75" customHeight="1">
      <c r="A555" s="5"/>
      <c r="B555" s="5"/>
      <c r="C555" s="5"/>
      <c r="D555" s="5"/>
      <c r="E555" s="5"/>
      <c r="F555" s="5"/>
      <c r="G555" s="5"/>
      <c r="H555" s="5"/>
    </row>
    <row r="556" ht="15.75" customHeight="1">
      <c r="A556" s="5"/>
      <c r="B556" s="5"/>
      <c r="C556" s="5"/>
      <c r="D556" s="5"/>
      <c r="E556" s="5"/>
      <c r="F556" s="5"/>
      <c r="G556" s="5"/>
      <c r="H556" s="5"/>
    </row>
    <row r="557" ht="15.75" customHeight="1">
      <c r="A557" s="5"/>
      <c r="B557" s="5"/>
      <c r="C557" s="5"/>
      <c r="D557" s="5"/>
      <c r="E557" s="5"/>
      <c r="F557" s="5"/>
      <c r="G557" s="5"/>
      <c r="H557" s="5"/>
    </row>
    <row r="558" ht="15.75" customHeight="1">
      <c r="A558" s="5"/>
      <c r="B558" s="5"/>
      <c r="C558" s="5"/>
      <c r="D558" s="5"/>
      <c r="E558" s="5"/>
      <c r="F558" s="5"/>
      <c r="G558" s="5"/>
      <c r="H558" s="5"/>
    </row>
    <row r="559" ht="15.75" customHeight="1">
      <c r="A559" s="5"/>
      <c r="B559" s="5"/>
      <c r="C559" s="5"/>
      <c r="D559" s="5"/>
      <c r="E559" s="5"/>
      <c r="F559" s="5"/>
      <c r="G559" s="5"/>
      <c r="H559" s="5"/>
    </row>
    <row r="560" ht="15.75" customHeight="1">
      <c r="A560" s="5"/>
      <c r="B560" s="5"/>
      <c r="C560" s="5"/>
      <c r="D560" s="5"/>
      <c r="E560" s="5"/>
      <c r="F560" s="5"/>
      <c r="G560" s="5"/>
      <c r="H560" s="5"/>
    </row>
    <row r="561" ht="15.75" customHeight="1">
      <c r="A561" s="5"/>
      <c r="B561" s="5"/>
      <c r="C561" s="5"/>
      <c r="D561" s="5"/>
      <c r="E561" s="5"/>
      <c r="F561" s="5"/>
      <c r="G561" s="5"/>
      <c r="H561" s="5"/>
    </row>
    <row r="562" ht="15.75" customHeight="1">
      <c r="A562" s="5"/>
      <c r="B562" s="5"/>
      <c r="C562" s="5"/>
      <c r="D562" s="5"/>
      <c r="E562" s="5"/>
      <c r="F562" s="5"/>
      <c r="G562" s="5"/>
      <c r="H562" s="5"/>
    </row>
    <row r="563" ht="15.75" customHeight="1">
      <c r="A563" s="5"/>
      <c r="B563" s="5"/>
      <c r="C563" s="5"/>
      <c r="D563" s="5"/>
      <c r="E563" s="5"/>
      <c r="F563" s="5"/>
      <c r="G563" s="5"/>
      <c r="H563" s="5"/>
    </row>
    <row r="564" ht="15.75" customHeight="1">
      <c r="A564" s="5"/>
      <c r="B564" s="5"/>
      <c r="C564" s="5"/>
      <c r="D564" s="5"/>
      <c r="E564" s="5"/>
      <c r="F564" s="5"/>
      <c r="G564" s="5"/>
      <c r="H564" s="5"/>
    </row>
    <row r="565" ht="15.75" customHeight="1">
      <c r="A565" s="5"/>
      <c r="B565" s="5"/>
      <c r="C565" s="5"/>
      <c r="D565" s="5"/>
      <c r="E565" s="5"/>
      <c r="F565" s="5"/>
      <c r="G565" s="5"/>
      <c r="H565" s="5"/>
    </row>
    <row r="566" ht="15.75" customHeight="1">
      <c r="A566" s="5"/>
      <c r="B566" s="5"/>
      <c r="C566" s="5"/>
      <c r="D566" s="5"/>
      <c r="E566" s="5"/>
      <c r="F566" s="5"/>
      <c r="G566" s="5"/>
      <c r="H566" s="5"/>
    </row>
    <row r="567" ht="15.75" customHeight="1">
      <c r="A567" s="5"/>
      <c r="B567" s="5"/>
      <c r="C567" s="5"/>
      <c r="D567" s="5"/>
      <c r="E567" s="5"/>
      <c r="F567" s="5"/>
      <c r="G567" s="5"/>
      <c r="H567" s="5"/>
    </row>
    <row r="568" ht="15.75" customHeight="1">
      <c r="A568" s="5"/>
      <c r="B568" s="5"/>
      <c r="C568" s="5"/>
      <c r="D568" s="5"/>
      <c r="E568" s="5"/>
      <c r="F568" s="5"/>
      <c r="G568" s="5"/>
      <c r="H568" s="5"/>
    </row>
    <row r="569" ht="15.75" customHeight="1">
      <c r="A569" s="5"/>
      <c r="B569" s="5"/>
      <c r="C569" s="5"/>
      <c r="D569" s="5"/>
      <c r="E569" s="5"/>
      <c r="F569" s="5"/>
      <c r="G569" s="5"/>
      <c r="H569" s="5"/>
    </row>
    <row r="570" ht="15.75" customHeight="1">
      <c r="A570" s="5"/>
      <c r="B570" s="5"/>
      <c r="C570" s="5"/>
      <c r="D570" s="5"/>
      <c r="E570" s="5"/>
      <c r="F570" s="5"/>
      <c r="G570" s="5"/>
      <c r="H570" s="5"/>
    </row>
    <row r="571" ht="15.75" customHeight="1">
      <c r="A571" s="5"/>
      <c r="B571" s="5"/>
      <c r="C571" s="5"/>
      <c r="D571" s="5"/>
      <c r="E571" s="5"/>
      <c r="F571" s="5"/>
      <c r="G571" s="5"/>
      <c r="H571" s="5"/>
    </row>
    <row r="572" ht="15.75" customHeight="1">
      <c r="A572" s="5"/>
      <c r="B572" s="5"/>
      <c r="C572" s="5"/>
      <c r="D572" s="5"/>
      <c r="E572" s="5"/>
      <c r="F572" s="5"/>
      <c r="G572" s="5"/>
      <c r="H572" s="5"/>
    </row>
    <row r="573" ht="15.75" customHeight="1">
      <c r="A573" s="5"/>
      <c r="B573" s="5"/>
      <c r="C573" s="5"/>
      <c r="D573" s="5"/>
      <c r="E573" s="5"/>
      <c r="F573" s="5"/>
      <c r="G573" s="5"/>
      <c r="H573" s="5"/>
    </row>
    <row r="574" ht="15.75" customHeight="1">
      <c r="A574" s="5"/>
      <c r="B574" s="5"/>
      <c r="C574" s="5"/>
      <c r="D574" s="5"/>
      <c r="E574" s="5"/>
      <c r="F574" s="5"/>
      <c r="G574" s="5"/>
      <c r="H574" s="5"/>
    </row>
    <row r="575" ht="15.75" customHeight="1">
      <c r="A575" s="5"/>
      <c r="B575" s="5"/>
      <c r="C575" s="5"/>
      <c r="D575" s="5"/>
      <c r="E575" s="5"/>
      <c r="F575" s="5"/>
      <c r="G575" s="5"/>
      <c r="H575" s="5"/>
    </row>
    <row r="576" ht="15.75" customHeight="1">
      <c r="A576" s="5"/>
      <c r="B576" s="5"/>
      <c r="C576" s="5"/>
      <c r="D576" s="5"/>
      <c r="E576" s="5"/>
      <c r="F576" s="5"/>
      <c r="G576" s="5"/>
      <c r="H576" s="5"/>
    </row>
    <row r="577" ht="15.75" customHeight="1">
      <c r="A577" s="5"/>
      <c r="B577" s="5"/>
      <c r="C577" s="5"/>
      <c r="D577" s="5"/>
      <c r="E577" s="5"/>
      <c r="F577" s="5"/>
      <c r="G577" s="5"/>
      <c r="H577" s="5"/>
    </row>
    <row r="578" ht="15.75" customHeight="1">
      <c r="A578" s="5"/>
      <c r="B578" s="5"/>
      <c r="C578" s="5"/>
      <c r="D578" s="5"/>
      <c r="E578" s="5"/>
      <c r="F578" s="5"/>
      <c r="G578" s="5"/>
      <c r="H578" s="5"/>
    </row>
    <row r="579" ht="15.75" customHeight="1">
      <c r="A579" s="5"/>
      <c r="B579" s="5"/>
      <c r="C579" s="5"/>
      <c r="D579" s="5"/>
      <c r="E579" s="5"/>
      <c r="F579" s="5"/>
      <c r="G579" s="5"/>
      <c r="H579" s="5"/>
    </row>
    <row r="580" ht="15.75" customHeight="1">
      <c r="A580" s="5"/>
      <c r="B580" s="5"/>
      <c r="C580" s="5"/>
      <c r="D580" s="5"/>
      <c r="E580" s="5"/>
      <c r="F580" s="5"/>
      <c r="G580" s="5"/>
      <c r="H580" s="5"/>
    </row>
    <row r="581" ht="15.75" customHeight="1">
      <c r="A581" s="5"/>
      <c r="B581" s="5"/>
      <c r="C581" s="5"/>
      <c r="D581" s="5"/>
      <c r="E581" s="5"/>
      <c r="F581" s="5"/>
      <c r="G581" s="5"/>
      <c r="H581" s="5"/>
    </row>
    <row r="582" ht="15.75" customHeight="1">
      <c r="A582" s="5"/>
      <c r="B582" s="5"/>
      <c r="C582" s="5"/>
      <c r="D582" s="5"/>
      <c r="E582" s="5"/>
      <c r="F582" s="5"/>
      <c r="G582" s="5"/>
      <c r="H582" s="5"/>
    </row>
    <row r="583" ht="15.75" customHeight="1">
      <c r="A583" s="5"/>
      <c r="B583" s="5"/>
      <c r="C583" s="5"/>
      <c r="D583" s="5"/>
      <c r="E583" s="5"/>
      <c r="F583" s="5"/>
      <c r="G583" s="5"/>
      <c r="H583" s="5"/>
    </row>
    <row r="584" ht="15.75" customHeight="1">
      <c r="A584" s="5"/>
      <c r="B584" s="5"/>
      <c r="C584" s="5"/>
      <c r="D584" s="5"/>
      <c r="E584" s="5"/>
      <c r="F584" s="5"/>
      <c r="G584" s="5"/>
      <c r="H584" s="5"/>
    </row>
    <row r="585" ht="15.75" customHeight="1">
      <c r="A585" s="5"/>
      <c r="B585" s="5"/>
      <c r="C585" s="5"/>
      <c r="D585" s="5"/>
      <c r="E585" s="5"/>
      <c r="F585" s="5"/>
      <c r="G585" s="5"/>
      <c r="H585" s="5"/>
    </row>
    <row r="586" ht="15.75" customHeight="1">
      <c r="A586" s="5"/>
      <c r="B586" s="5"/>
      <c r="C586" s="5"/>
      <c r="D586" s="5"/>
      <c r="E586" s="5"/>
      <c r="F586" s="5"/>
      <c r="G586" s="5"/>
      <c r="H586" s="5"/>
    </row>
    <row r="587" ht="15.75" customHeight="1">
      <c r="A587" s="5"/>
      <c r="B587" s="5"/>
      <c r="C587" s="5"/>
      <c r="D587" s="5"/>
      <c r="E587" s="5"/>
      <c r="F587" s="5"/>
      <c r="G587" s="5"/>
      <c r="H587" s="5"/>
    </row>
    <row r="588" ht="15.75" customHeight="1">
      <c r="A588" s="5"/>
      <c r="B588" s="5"/>
      <c r="C588" s="5"/>
      <c r="D588" s="5"/>
      <c r="E588" s="5"/>
      <c r="F588" s="5"/>
      <c r="G588" s="5"/>
      <c r="H588" s="5"/>
    </row>
    <row r="589" ht="15.75" customHeight="1">
      <c r="A589" s="5"/>
      <c r="B589" s="5"/>
      <c r="C589" s="5"/>
      <c r="D589" s="5"/>
      <c r="E589" s="5"/>
      <c r="F589" s="5"/>
      <c r="G589" s="5"/>
      <c r="H589" s="5"/>
    </row>
    <row r="590" ht="15.75" customHeight="1">
      <c r="A590" s="5"/>
      <c r="B590" s="5"/>
      <c r="C590" s="5"/>
      <c r="D590" s="5"/>
      <c r="E590" s="5"/>
      <c r="F590" s="5"/>
      <c r="G590" s="5"/>
      <c r="H590" s="5"/>
    </row>
    <row r="591" ht="15.75" customHeight="1">
      <c r="A591" s="5"/>
      <c r="B591" s="5"/>
      <c r="C591" s="5"/>
      <c r="D591" s="5"/>
      <c r="E591" s="5"/>
      <c r="F591" s="5"/>
      <c r="G591" s="5"/>
      <c r="H591" s="5"/>
    </row>
    <row r="592" ht="15.75" customHeight="1">
      <c r="A592" s="5"/>
      <c r="B592" s="5"/>
      <c r="C592" s="5"/>
      <c r="D592" s="5"/>
      <c r="E592" s="5"/>
      <c r="F592" s="5"/>
      <c r="G592" s="5"/>
      <c r="H592" s="5"/>
    </row>
    <row r="593" ht="15.75" customHeight="1">
      <c r="A593" s="5"/>
      <c r="B593" s="5"/>
      <c r="C593" s="5"/>
      <c r="D593" s="5"/>
      <c r="E593" s="5"/>
      <c r="F593" s="5"/>
      <c r="G593" s="5"/>
      <c r="H593" s="5"/>
    </row>
    <row r="594" ht="15.75" customHeight="1">
      <c r="A594" s="5"/>
      <c r="B594" s="5"/>
      <c r="C594" s="5"/>
      <c r="D594" s="5"/>
      <c r="E594" s="5"/>
      <c r="F594" s="5"/>
      <c r="G594" s="5"/>
      <c r="H594" s="5"/>
    </row>
    <row r="595" ht="15.75" customHeight="1">
      <c r="A595" s="5"/>
      <c r="B595" s="5"/>
      <c r="C595" s="5"/>
      <c r="D595" s="5"/>
      <c r="E595" s="5"/>
      <c r="F595" s="5"/>
      <c r="G595" s="5"/>
      <c r="H595" s="5"/>
    </row>
    <row r="596" ht="15.75" customHeight="1">
      <c r="A596" s="5"/>
      <c r="B596" s="5"/>
      <c r="C596" s="5"/>
      <c r="D596" s="5"/>
      <c r="E596" s="5"/>
      <c r="F596" s="5"/>
      <c r="G596" s="5"/>
      <c r="H596" s="5"/>
    </row>
    <row r="597" ht="15.75" customHeight="1">
      <c r="A597" s="5"/>
      <c r="B597" s="5"/>
      <c r="C597" s="5"/>
      <c r="D597" s="5"/>
      <c r="E597" s="5"/>
      <c r="F597" s="5"/>
      <c r="G597" s="5"/>
      <c r="H597" s="5"/>
    </row>
    <row r="598" ht="15.75" customHeight="1">
      <c r="A598" s="5"/>
      <c r="B598" s="5"/>
      <c r="C598" s="5"/>
      <c r="D598" s="5"/>
      <c r="E598" s="5"/>
      <c r="F598" s="5"/>
      <c r="G598" s="5"/>
      <c r="H598" s="5"/>
    </row>
    <row r="599" ht="15.75" customHeight="1">
      <c r="A599" s="5"/>
      <c r="B599" s="5"/>
      <c r="C599" s="5"/>
      <c r="D599" s="5"/>
      <c r="E599" s="5"/>
      <c r="F599" s="5"/>
      <c r="G599" s="5"/>
      <c r="H599" s="5"/>
    </row>
    <row r="600" ht="15.75" customHeight="1">
      <c r="A600" s="5"/>
      <c r="B600" s="5"/>
      <c r="C600" s="5"/>
      <c r="D600" s="5"/>
      <c r="E600" s="5"/>
      <c r="F600" s="5"/>
      <c r="G600" s="5"/>
      <c r="H600" s="5"/>
    </row>
    <row r="601" ht="15.75" customHeight="1">
      <c r="A601" s="5"/>
      <c r="B601" s="5"/>
      <c r="C601" s="5"/>
      <c r="D601" s="5"/>
      <c r="E601" s="5"/>
      <c r="F601" s="5"/>
      <c r="G601" s="5"/>
      <c r="H601" s="5"/>
    </row>
    <row r="602" ht="15.75" customHeight="1">
      <c r="A602" s="5"/>
      <c r="B602" s="5"/>
      <c r="C602" s="5"/>
      <c r="D602" s="5"/>
      <c r="E602" s="5"/>
      <c r="F602" s="5"/>
      <c r="G602" s="5"/>
      <c r="H602" s="5"/>
    </row>
    <row r="603" ht="15.75" customHeight="1">
      <c r="A603" s="5"/>
      <c r="B603" s="5"/>
      <c r="C603" s="5"/>
      <c r="D603" s="5"/>
      <c r="E603" s="5"/>
      <c r="F603" s="5"/>
      <c r="G603" s="5"/>
      <c r="H603" s="5"/>
    </row>
    <row r="604" ht="15.75" customHeight="1">
      <c r="A604" s="5"/>
      <c r="B604" s="5"/>
      <c r="C604" s="5"/>
      <c r="D604" s="5"/>
      <c r="E604" s="5"/>
      <c r="F604" s="5"/>
      <c r="G604" s="5"/>
      <c r="H604" s="5"/>
    </row>
    <row r="605" ht="15.75" customHeight="1">
      <c r="A605" s="5"/>
      <c r="B605" s="5"/>
      <c r="C605" s="5"/>
      <c r="D605" s="5"/>
      <c r="E605" s="5"/>
      <c r="F605" s="5"/>
      <c r="G605" s="5"/>
      <c r="H605" s="5"/>
    </row>
    <row r="606" ht="15.75" customHeight="1">
      <c r="A606" s="5"/>
      <c r="B606" s="5"/>
      <c r="C606" s="5"/>
      <c r="D606" s="5"/>
      <c r="E606" s="5"/>
      <c r="F606" s="5"/>
      <c r="G606" s="5"/>
      <c r="H606" s="5"/>
    </row>
    <row r="607" ht="15.75" customHeight="1">
      <c r="A607" s="5"/>
      <c r="B607" s="5"/>
      <c r="C607" s="5"/>
      <c r="D607" s="5"/>
      <c r="E607" s="5"/>
      <c r="F607" s="5"/>
      <c r="G607" s="5"/>
      <c r="H607" s="5"/>
    </row>
    <row r="608" ht="15.75" customHeight="1">
      <c r="A608" s="5"/>
      <c r="B608" s="5"/>
      <c r="C608" s="5"/>
      <c r="D608" s="5"/>
      <c r="E608" s="5"/>
      <c r="F608" s="5"/>
      <c r="G608" s="5"/>
      <c r="H608" s="5"/>
    </row>
    <row r="609" ht="15.75" customHeight="1">
      <c r="A609" s="5"/>
      <c r="B609" s="5"/>
      <c r="C609" s="5"/>
      <c r="D609" s="5"/>
      <c r="E609" s="5"/>
      <c r="F609" s="5"/>
      <c r="G609" s="5"/>
      <c r="H609" s="5"/>
    </row>
    <row r="610" ht="15.75" customHeight="1">
      <c r="A610" s="5"/>
      <c r="B610" s="5"/>
      <c r="C610" s="5"/>
      <c r="D610" s="5"/>
      <c r="E610" s="5"/>
      <c r="F610" s="5"/>
      <c r="G610" s="5"/>
      <c r="H610" s="5"/>
    </row>
    <row r="611" ht="15.75" customHeight="1">
      <c r="A611" s="5"/>
      <c r="B611" s="5"/>
      <c r="C611" s="5"/>
      <c r="D611" s="5"/>
      <c r="E611" s="5"/>
      <c r="F611" s="5"/>
      <c r="G611" s="5"/>
      <c r="H611" s="5"/>
    </row>
    <row r="612" ht="15.75" customHeight="1">
      <c r="A612" s="5"/>
      <c r="B612" s="5"/>
      <c r="C612" s="5"/>
      <c r="D612" s="5"/>
      <c r="E612" s="5"/>
      <c r="F612" s="5"/>
      <c r="G612" s="5"/>
      <c r="H612" s="5"/>
    </row>
    <row r="613" ht="15.75" customHeight="1">
      <c r="A613" s="5"/>
      <c r="B613" s="5"/>
      <c r="C613" s="5"/>
      <c r="D613" s="5"/>
      <c r="E613" s="5"/>
      <c r="F613" s="5"/>
      <c r="G613" s="5"/>
      <c r="H613" s="5"/>
    </row>
    <row r="614" ht="15.75" customHeight="1">
      <c r="A614" s="5"/>
      <c r="B614" s="5"/>
      <c r="C614" s="5"/>
      <c r="D614" s="5"/>
      <c r="E614" s="5"/>
      <c r="F614" s="5"/>
      <c r="G614" s="5"/>
      <c r="H614" s="5"/>
    </row>
    <row r="615" ht="15.75" customHeight="1">
      <c r="A615" s="5"/>
      <c r="B615" s="5"/>
      <c r="C615" s="5"/>
      <c r="D615" s="5"/>
      <c r="E615" s="5"/>
      <c r="F615" s="5"/>
      <c r="G615" s="5"/>
      <c r="H615" s="5"/>
    </row>
    <row r="616" ht="15.75" customHeight="1">
      <c r="A616" s="5"/>
      <c r="B616" s="5"/>
      <c r="C616" s="5"/>
      <c r="D616" s="5"/>
      <c r="E616" s="5"/>
      <c r="F616" s="5"/>
      <c r="G616" s="5"/>
      <c r="H616" s="5"/>
    </row>
    <row r="617" ht="15.75" customHeight="1">
      <c r="A617" s="5"/>
      <c r="B617" s="5"/>
      <c r="C617" s="5"/>
      <c r="D617" s="5"/>
      <c r="E617" s="5"/>
      <c r="F617" s="5"/>
      <c r="G617" s="5"/>
      <c r="H617" s="5"/>
    </row>
    <row r="618" ht="15.75" customHeight="1">
      <c r="A618" s="5"/>
      <c r="B618" s="5"/>
      <c r="C618" s="5"/>
      <c r="D618" s="5"/>
      <c r="E618" s="5"/>
      <c r="F618" s="5"/>
      <c r="G618" s="5"/>
      <c r="H618" s="5"/>
    </row>
    <row r="619" ht="15.75" customHeight="1">
      <c r="A619" s="5"/>
      <c r="B619" s="5"/>
      <c r="C619" s="5"/>
      <c r="D619" s="5"/>
      <c r="E619" s="5"/>
      <c r="F619" s="5"/>
      <c r="G619" s="5"/>
      <c r="H619" s="5"/>
    </row>
    <row r="620" ht="15.75" customHeight="1">
      <c r="A620" s="5"/>
      <c r="B620" s="5"/>
      <c r="C620" s="5"/>
      <c r="D620" s="5"/>
      <c r="E620" s="5"/>
      <c r="F620" s="5"/>
      <c r="G620" s="5"/>
      <c r="H620" s="5"/>
    </row>
    <row r="621" ht="15.75" customHeight="1">
      <c r="A621" s="5"/>
      <c r="B621" s="5"/>
      <c r="C621" s="5"/>
      <c r="D621" s="5"/>
      <c r="E621" s="5"/>
      <c r="F621" s="5"/>
      <c r="G621" s="5"/>
      <c r="H621" s="5"/>
    </row>
    <row r="622" ht="15.75" customHeight="1">
      <c r="A622" s="5"/>
      <c r="B622" s="5"/>
      <c r="C622" s="5"/>
      <c r="D622" s="5"/>
      <c r="E622" s="5"/>
      <c r="F622" s="5"/>
      <c r="G622" s="5"/>
      <c r="H622" s="5"/>
    </row>
    <row r="623" ht="15.75" customHeight="1">
      <c r="A623" s="5"/>
      <c r="B623" s="5"/>
      <c r="C623" s="5"/>
      <c r="D623" s="5"/>
      <c r="E623" s="5"/>
      <c r="F623" s="5"/>
      <c r="G623" s="5"/>
      <c r="H623" s="5"/>
    </row>
    <row r="624" ht="15.75" customHeight="1">
      <c r="A624" s="5"/>
      <c r="B624" s="5"/>
      <c r="C624" s="5"/>
      <c r="D624" s="5"/>
      <c r="E624" s="5"/>
      <c r="F624" s="5"/>
      <c r="G624" s="5"/>
      <c r="H624" s="5"/>
    </row>
    <row r="625" ht="15.75" customHeight="1">
      <c r="A625" s="5"/>
      <c r="B625" s="5"/>
      <c r="C625" s="5"/>
      <c r="D625" s="5"/>
      <c r="E625" s="5"/>
      <c r="F625" s="5"/>
      <c r="G625" s="5"/>
      <c r="H625" s="5"/>
    </row>
    <row r="626" ht="15.75" customHeight="1">
      <c r="A626" s="5"/>
      <c r="B626" s="5"/>
      <c r="C626" s="5"/>
      <c r="D626" s="5"/>
      <c r="E626" s="5"/>
      <c r="F626" s="5"/>
      <c r="G626" s="5"/>
      <c r="H626" s="5"/>
    </row>
    <row r="627" ht="15.75" customHeight="1">
      <c r="A627" s="5"/>
      <c r="B627" s="5"/>
      <c r="C627" s="5"/>
      <c r="D627" s="5"/>
      <c r="E627" s="5"/>
      <c r="F627" s="5"/>
      <c r="G627" s="5"/>
      <c r="H627" s="5"/>
    </row>
    <row r="628" ht="15.75" customHeight="1">
      <c r="A628" s="5"/>
      <c r="B628" s="5"/>
      <c r="C628" s="5"/>
      <c r="D628" s="5"/>
      <c r="E628" s="5"/>
      <c r="F628" s="5"/>
      <c r="G628" s="5"/>
      <c r="H628" s="5"/>
    </row>
    <row r="629" ht="15.75" customHeight="1">
      <c r="A629" s="5"/>
      <c r="B629" s="5"/>
      <c r="C629" s="5"/>
      <c r="D629" s="5"/>
      <c r="E629" s="5"/>
      <c r="F629" s="5"/>
      <c r="G629" s="5"/>
      <c r="H629" s="5"/>
    </row>
    <row r="630" ht="15.75" customHeight="1">
      <c r="A630" s="5"/>
      <c r="B630" s="5"/>
      <c r="C630" s="5"/>
      <c r="D630" s="5"/>
      <c r="E630" s="5"/>
      <c r="F630" s="5"/>
      <c r="G630" s="5"/>
      <c r="H630" s="5"/>
    </row>
    <row r="631" ht="15.75" customHeight="1">
      <c r="A631" s="5"/>
      <c r="B631" s="5"/>
      <c r="C631" s="5"/>
      <c r="D631" s="5"/>
      <c r="E631" s="5"/>
      <c r="F631" s="5"/>
      <c r="G631" s="5"/>
      <c r="H631" s="5"/>
    </row>
    <row r="632" ht="15.75" customHeight="1">
      <c r="A632" s="5"/>
      <c r="B632" s="5"/>
      <c r="C632" s="5"/>
      <c r="D632" s="5"/>
      <c r="E632" s="5"/>
      <c r="F632" s="5"/>
      <c r="G632" s="5"/>
      <c r="H632" s="5"/>
    </row>
    <row r="633" ht="15.75" customHeight="1">
      <c r="A633" s="5"/>
      <c r="B633" s="5"/>
      <c r="C633" s="5"/>
      <c r="D633" s="5"/>
      <c r="E633" s="5"/>
      <c r="F633" s="5"/>
      <c r="G633" s="5"/>
      <c r="H633" s="5"/>
    </row>
    <row r="634" ht="15.75" customHeight="1">
      <c r="A634" s="5"/>
      <c r="B634" s="5"/>
      <c r="C634" s="5"/>
      <c r="D634" s="5"/>
      <c r="E634" s="5"/>
      <c r="F634" s="5"/>
      <c r="G634" s="5"/>
      <c r="H634" s="5"/>
    </row>
    <row r="635" ht="15.75" customHeight="1">
      <c r="A635" s="5"/>
      <c r="B635" s="5"/>
      <c r="C635" s="5"/>
      <c r="D635" s="5"/>
      <c r="E635" s="5"/>
      <c r="F635" s="5"/>
      <c r="G635" s="5"/>
      <c r="H635" s="5"/>
    </row>
    <row r="636" ht="15.75" customHeight="1">
      <c r="A636" s="5"/>
      <c r="B636" s="5"/>
      <c r="C636" s="5"/>
      <c r="D636" s="5"/>
      <c r="E636" s="5"/>
      <c r="F636" s="5"/>
      <c r="G636" s="5"/>
      <c r="H636" s="5"/>
    </row>
    <row r="637" ht="15.75" customHeight="1">
      <c r="A637" s="5"/>
      <c r="B637" s="5"/>
      <c r="C637" s="5"/>
      <c r="D637" s="5"/>
      <c r="E637" s="5"/>
      <c r="F637" s="5"/>
      <c r="G637" s="5"/>
      <c r="H637" s="5"/>
    </row>
    <row r="638" ht="15.75" customHeight="1">
      <c r="A638" s="5"/>
      <c r="B638" s="5"/>
      <c r="C638" s="5"/>
      <c r="D638" s="5"/>
      <c r="E638" s="5"/>
      <c r="F638" s="5"/>
      <c r="G638" s="5"/>
      <c r="H638" s="5"/>
    </row>
    <row r="639" ht="15.75" customHeight="1">
      <c r="A639" s="5"/>
      <c r="B639" s="5"/>
      <c r="C639" s="5"/>
      <c r="D639" s="5"/>
      <c r="E639" s="5"/>
      <c r="F639" s="5"/>
      <c r="G639" s="5"/>
      <c r="H639" s="5"/>
    </row>
    <row r="640" ht="15.75" customHeight="1">
      <c r="A640" s="5"/>
      <c r="B640" s="5"/>
      <c r="C640" s="5"/>
      <c r="D640" s="5"/>
      <c r="E640" s="5"/>
      <c r="F640" s="5"/>
      <c r="G640" s="5"/>
      <c r="H640" s="5"/>
    </row>
    <row r="641" ht="15.75" customHeight="1">
      <c r="A641" s="5"/>
      <c r="B641" s="5"/>
      <c r="C641" s="5"/>
      <c r="D641" s="5"/>
      <c r="E641" s="5"/>
      <c r="F641" s="5"/>
      <c r="G641" s="5"/>
      <c r="H641" s="5"/>
    </row>
    <row r="642" ht="15.75" customHeight="1">
      <c r="A642" s="5"/>
      <c r="B642" s="5"/>
      <c r="C642" s="5"/>
      <c r="D642" s="5"/>
      <c r="E642" s="5"/>
      <c r="F642" s="5"/>
      <c r="G642" s="5"/>
      <c r="H642" s="5"/>
    </row>
    <row r="643" ht="15.75" customHeight="1">
      <c r="A643" s="5"/>
      <c r="B643" s="5"/>
      <c r="C643" s="5"/>
      <c r="D643" s="5"/>
      <c r="E643" s="5"/>
      <c r="F643" s="5"/>
      <c r="G643" s="5"/>
      <c r="H643" s="5"/>
    </row>
    <row r="644" ht="15.75" customHeight="1">
      <c r="A644" s="5"/>
      <c r="B644" s="5"/>
      <c r="C644" s="5"/>
      <c r="D644" s="5"/>
      <c r="E644" s="5"/>
      <c r="F644" s="5"/>
      <c r="G644" s="5"/>
      <c r="H644" s="5"/>
    </row>
    <row r="645" ht="15.75" customHeight="1">
      <c r="A645" s="5"/>
      <c r="B645" s="5"/>
      <c r="C645" s="5"/>
      <c r="D645" s="5"/>
      <c r="E645" s="5"/>
      <c r="F645" s="5"/>
      <c r="G645" s="5"/>
      <c r="H645" s="5"/>
    </row>
    <row r="646" ht="15.75" customHeight="1">
      <c r="A646" s="5"/>
      <c r="B646" s="5"/>
      <c r="C646" s="5"/>
      <c r="D646" s="5"/>
      <c r="E646" s="5"/>
      <c r="F646" s="5"/>
      <c r="G646" s="5"/>
      <c r="H646" s="5"/>
    </row>
    <row r="647" ht="15.75" customHeight="1">
      <c r="A647" s="5"/>
      <c r="B647" s="5"/>
      <c r="C647" s="5"/>
      <c r="D647" s="5"/>
      <c r="E647" s="5"/>
      <c r="F647" s="5"/>
      <c r="G647" s="5"/>
      <c r="H647" s="5"/>
    </row>
    <row r="648" ht="15.75" customHeight="1">
      <c r="A648" s="5"/>
      <c r="B648" s="5"/>
      <c r="C648" s="5"/>
      <c r="D648" s="5"/>
      <c r="E648" s="5"/>
      <c r="F648" s="5"/>
      <c r="G648" s="5"/>
      <c r="H648" s="5"/>
    </row>
    <row r="649" ht="15.75" customHeight="1">
      <c r="A649" s="5"/>
      <c r="B649" s="5"/>
      <c r="C649" s="5"/>
      <c r="D649" s="5"/>
      <c r="E649" s="5"/>
      <c r="F649" s="5"/>
      <c r="G649" s="5"/>
      <c r="H649" s="5"/>
    </row>
    <row r="650" ht="15.75" customHeight="1">
      <c r="A650" s="5"/>
      <c r="B650" s="5"/>
      <c r="C650" s="5"/>
      <c r="D650" s="5"/>
      <c r="E650" s="5"/>
      <c r="F650" s="5"/>
      <c r="G650" s="5"/>
      <c r="H650" s="5"/>
    </row>
    <row r="651" ht="15.75" customHeight="1">
      <c r="A651" s="5"/>
      <c r="B651" s="5"/>
      <c r="C651" s="5"/>
      <c r="D651" s="5"/>
      <c r="E651" s="5"/>
      <c r="F651" s="5"/>
      <c r="G651" s="5"/>
      <c r="H651" s="5"/>
    </row>
    <row r="652" ht="15.75" customHeight="1">
      <c r="A652" s="5"/>
      <c r="B652" s="5"/>
      <c r="C652" s="5"/>
      <c r="D652" s="5"/>
      <c r="E652" s="5"/>
      <c r="F652" s="5"/>
      <c r="G652" s="5"/>
      <c r="H652" s="5"/>
    </row>
    <row r="653" ht="15.75" customHeight="1">
      <c r="A653" s="5"/>
      <c r="B653" s="5"/>
      <c r="C653" s="5"/>
      <c r="D653" s="5"/>
      <c r="E653" s="5"/>
      <c r="F653" s="5"/>
      <c r="G653" s="5"/>
      <c r="H653" s="5"/>
    </row>
    <row r="654" ht="15.75" customHeight="1">
      <c r="A654" s="5"/>
      <c r="B654" s="5"/>
      <c r="C654" s="5"/>
      <c r="D654" s="5"/>
      <c r="E654" s="5"/>
      <c r="F654" s="5"/>
      <c r="G654" s="5"/>
      <c r="H654" s="5"/>
    </row>
    <row r="655" ht="15.75" customHeight="1">
      <c r="A655" s="5"/>
      <c r="B655" s="5"/>
      <c r="C655" s="5"/>
      <c r="D655" s="5"/>
      <c r="E655" s="5"/>
      <c r="F655" s="5"/>
      <c r="G655" s="5"/>
      <c r="H655" s="5"/>
    </row>
    <row r="656" ht="15.75" customHeight="1">
      <c r="A656" s="5"/>
      <c r="B656" s="5"/>
      <c r="C656" s="5"/>
      <c r="D656" s="5"/>
      <c r="E656" s="5"/>
      <c r="F656" s="5"/>
      <c r="G656" s="5"/>
      <c r="H656" s="5"/>
    </row>
    <row r="657" ht="15.75" customHeight="1">
      <c r="A657" s="5"/>
      <c r="B657" s="5"/>
      <c r="C657" s="5"/>
      <c r="D657" s="5"/>
      <c r="E657" s="5"/>
      <c r="F657" s="5"/>
      <c r="G657" s="5"/>
      <c r="H657" s="5"/>
    </row>
    <row r="658" ht="15.75" customHeight="1">
      <c r="A658" s="5"/>
      <c r="B658" s="5"/>
      <c r="C658" s="5"/>
      <c r="D658" s="5"/>
      <c r="E658" s="5"/>
      <c r="F658" s="5"/>
      <c r="G658" s="5"/>
      <c r="H658" s="5"/>
    </row>
    <row r="659" ht="15.75" customHeight="1">
      <c r="A659" s="5"/>
      <c r="B659" s="5"/>
      <c r="C659" s="5"/>
      <c r="D659" s="5"/>
      <c r="E659" s="5"/>
      <c r="F659" s="5"/>
      <c r="G659" s="5"/>
      <c r="H659" s="5"/>
    </row>
    <row r="660" ht="15.75" customHeight="1">
      <c r="A660" s="5"/>
      <c r="B660" s="5"/>
      <c r="C660" s="5"/>
      <c r="D660" s="5"/>
      <c r="E660" s="5"/>
      <c r="F660" s="5"/>
      <c r="G660" s="5"/>
      <c r="H660" s="5"/>
    </row>
    <row r="661" ht="15.75" customHeight="1">
      <c r="A661" s="5"/>
      <c r="B661" s="5"/>
      <c r="C661" s="5"/>
      <c r="D661" s="5"/>
      <c r="E661" s="5"/>
      <c r="F661" s="5"/>
      <c r="G661" s="5"/>
      <c r="H661" s="5"/>
    </row>
    <row r="662" ht="15.75" customHeight="1">
      <c r="A662" s="5"/>
      <c r="B662" s="5"/>
      <c r="C662" s="5"/>
      <c r="D662" s="5"/>
      <c r="E662" s="5"/>
      <c r="F662" s="5"/>
      <c r="G662" s="5"/>
      <c r="H662" s="5"/>
    </row>
    <row r="663" ht="15.75" customHeight="1">
      <c r="A663" s="5"/>
      <c r="B663" s="5"/>
      <c r="C663" s="5"/>
      <c r="D663" s="5"/>
      <c r="E663" s="5"/>
      <c r="F663" s="5"/>
      <c r="G663" s="5"/>
      <c r="H663" s="5"/>
    </row>
    <row r="664" ht="15.75" customHeight="1">
      <c r="A664" s="5"/>
      <c r="B664" s="5"/>
      <c r="C664" s="5"/>
      <c r="D664" s="5"/>
      <c r="E664" s="5"/>
      <c r="F664" s="5"/>
      <c r="G664" s="5"/>
      <c r="H664" s="5"/>
    </row>
    <row r="665" ht="15.75" customHeight="1">
      <c r="A665" s="5"/>
      <c r="B665" s="5"/>
      <c r="C665" s="5"/>
      <c r="D665" s="5"/>
      <c r="E665" s="5"/>
      <c r="F665" s="5"/>
      <c r="G665" s="5"/>
      <c r="H665" s="5"/>
    </row>
    <row r="666" ht="15.75" customHeight="1">
      <c r="A666" s="5"/>
      <c r="B666" s="5"/>
      <c r="C666" s="5"/>
      <c r="D666" s="5"/>
      <c r="E666" s="5"/>
      <c r="F666" s="5"/>
      <c r="G666" s="5"/>
      <c r="H666" s="5"/>
    </row>
    <row r="667" ht="15.75" customHeight="1">
      <c r="A667" s="5"/>
      <c r="B667" s="5"/>
      <c r="C667" s="5"/>
      <c r="D667" s="5"/>
      <c r="E667" s="5"/>
      <c r="F667" s="5"/>
      <c r="G667" s="5"/>
      <c r="H667" s="5"/>
    </row>
    <row r="668" ht="15.75" customHeight="1">
      <c r="A668" s="5"/>
      <c r="B668" s="5"/>
      <c r="C668" s="5"/>
      <c r="D668" s="5"/>
      <c r="E668" s="5"/>
      <c r="F668" s="5"/>
      <c r="G668" s="5"/>
      <c r="H668" s="5"/>
    </row>
    <row r="669" ht="15.75" customHeight="1">
      <c r="A669" s="5"/>
      <c r="B669" s="5"/>
      <c r="C669" s="5"/>
      <c r="D669" s="5"/>
      <c r="E669" s="5"/>
      <c r="F669" s="5"/>
      <c r="G669" s="5"/>
      <c r="H669" s="5"/>
    </row>
    <row r="670" ht="15.75" customHeight="1">
      <c r="A670" s="5"/>
      <c r="B670" s="5"/>
      <c r="C670" s="5"/>
      <c r="D670" s="5"/>
      <c r="E670" s="5"/>
      <c r="F670" s="5"/>
      <c r="G670" s="5"/>
      <c r="H670" s="5"/>
    </row>
    <row r="671" ht="15.75" customHeight="1">
      <c r="A671" s="5"/>
      <c r="B671" s="5"/>
      <c r="C671" s="5"/>
      <c r="D671" s="5"/>
      <c r="E671" s="5"/>
      <c r="F671" s="5"/>
      <c r="G671" s="5"/>
      <c r="H671" s="5"/>
    </row>
    <row r="672" ht="15.75" customHeight="1">
      <c r="A672" s="5"/>
      <c r="B672" s="5"/>
      <c r="C672" s="5"/>
      <c r="D672" s="5"/>
      <c r="E672" s="5"/>
      <c r="F672" s="5"/>
      <c r="G672" s="5"/>
      <c r="H672" s="5"/>
    </row>
    <row r="673" ht="15.75" customHeight="1">
      <c r="A673" s="5"/>
      <c r="B673" s="5"/>
      <c r="C673" s="5"/>
      <c r="D673" s="5"/>
      <c r="E673" s="5"/>
      <c r="F673" s="5"/>
      <c r="G673" s="5"/>
      <c r="H673" s="5"/>
    </row>
    <row r="674" ht="15.75" customHeight="1">
      <c r="A674" s="5"/>
      <c r="B674" s="5"/>
      <c r="C674" s="5"/>
      <c r="D674" s="5"/>
      <c r="E674" s="5"/>
      <c r="F674" s="5"/>
      <c r="G674" s="5"/>
      <c r="H674" s="5"/>
    </row>
    <row r="675" ht="15.75" customHeight="1">
      <c r="A675" s="5"/>
      <c r="B675" s="5"/>
      <c r="C675" s="5"/>
      <c r="D675" s="5"/>
      <c r="E675" s="5"/>
      <c r="F675" s="5"/>
      <c r="G675" s="5"/>
      <c r="H675" s="5"/>
    </row>
    <row r="676" ht="15.75" customHeight="1">
      <c r="A676" s="5"/>
      <c r="B676" s="5"/>
      <c r="C676" s="5"/>
      <c r="D676" s="5"/>
      <c r="E676" s="5"/>
      <c r="F676" s="5"/>
      <c r="G676" s="5"/>
      <c r="H676" s="5"/>
    </row>
    <row r="677" ht="15.75" customHeight="1">
      <c r="A677" s="5"/>
      <c r="B677" s="5"/>
      <c r="C677" s="5"/>
      <c r="D677" s="5"/>
      <c r="E677" s="5"/>
      <c r="F677" s="5"/>
      <c r="G677" s="5"/>
      <c r="H677" s="5"/>
    </row>
    <row r="678" ht="15.75" customHeight="1">
      <c r="A678" s="5"/>
      <c r="B678" s="5"/>
      <c r="C678" s="5"/>
      <c r="D678" s="5"/>
      <c r="E678" s="5"/>
      <c r="F678" s="5"/>
      <c r="G678" s="5"/>
      <c r="H678" s="5"/>
    </row>
    <row r="679" ht="15.75" customHeight="1">
      <c r="A679" s="5"/>
      <c r="B679" s="5"/>
      <c r="C679" s="5"/>
      <c r="D679" s="5"/>
      <c r="E679" s="5"/>
      <c r="F679" s="5"/>
      <c r="G679" s="5"/>
      <c r="H679" s="5"/>
    </row>
    <row r="680" ht="15.75" customHeight="1">
      <c r="A680" s="5"/>
      <c r="B680" s="5"/>
      <c r="C680" s="5"/>
      <c r="D680" s="5"/>
      <c r="E680" s="5"/>
      <c r="F680" s="5"/>
      <c r="G680" s="5"/>
      <c r="H680" s="5"/>
    </row>
    <row r="681" ht="15.75" customHeight="1">
      <c r="A681" s="5"/>
      <c r="B681" s="5"/>
      <c r="C681" s="5"/>
      <c r="D681" s="5"/>
      <c r="E681" s="5"/>
      <c r="F681" s="5"/>
      <c r="G681" s="5"/>
      <c r="H681" s="5"/>
    </row>
    <row r="682" ht="15.75" customHeight="1">
      <c r="A682" s="5"/>
      <c r="B682" s="5"/>
      <c r="C682" s="5"/>
      <c r="D682" s="5"/>
      <c r="E682" s="5"/>
      <c r="F682" s="5"/>
      <c r="G682" s="5"/>
      <c r="H682" s="5"/>
    </row>
    <row r="683" ht="15.75" customHeight="1">
      <c r="A683" s="5"/>
      <c r="B683" s="5"/>
      <c r="C683" s="5"/>
      <c r="D683" s="5"/>
      <c r="E683" s="5"/>
      <c r="F683" s="5"/>
      <c r="G683" s="5"/>
      <c r="H683" s="5"/>
    </row>
    <row r="684" ht="15.75" customHeight="1">
      <c r="A684" s="5"/>
      <c r="B684" s="5"/>
      <c r="C684" s="5"/>
      <c r="D684" s="5"/>
      <c r="E684" s="5"/>
      <c r="F684" s="5"/>
      <c r="G684" s="5"/>
      <c r="H684" s="5"/>
    </row>
    <row r="685" ht="15.75" customHeight="1">
      <c r="A685" s="5"/>
      <c r="B685" s="5"/>
      <c r="C685" s="5"/>
      <c r="D685" s="5"/>
      <c r="E685" s="5"/>
      <c r="F685" s="5"/>
      <c r="G685" s="5"/>
      <c r="H685" s="5"/>
    </row>
    <row r="686" ht="15.75" customHeight="1">
      <c r="A686" s="5"/>
      <c r="B686" s="5"/>
      <c r="C686" s="5"/>
      <c r="D686" s="5"/>
      <c r="E686" s="5"/>
      <c r="F686" s="5"/>
      <c r="G686" s="5"/>
      <c r="H686" s="5"/>
    </row>
    <row r="687" ht="15.75" customHeight="1">
      <c r="A687" s="5"/>
      <c r="B687" s="5"/>
      <c r="C687" s="5"/>
      <c r="D687" s="5"/>
      <c r="E687" s="5"/>
      <c r="F687" s="5"/>
      <c r="G687" s="5"/>
      <c r="H687" s="5"/>
    </row>
    <row r="688" ht="15.75" customHeight="1">
      <c r="A688" s="5"/>
      <c r="B688" s="5"/>
      <c r="C688" s="5"/>
      <c r="D688" s="5"/>
      <c r="E688" s="5"/>
      <c r="F688" s="5"/>
      <c r="G688" s="5"/>
      <c r="H688" s="5"/>
    </row>
    <row r="689" ht="15.75" customHeight="1">
      <c r="A689" s="5"/>
      <c r="B689" s="5"/>
      <c r="C689" s="5"/>
      <c r="D689" s="5"/>
      <c r="E689" s="5"/>
      <c r="F689" s="5"/>
      <c r="G689" s="5"/>
      <c r="H689" s="5"/>
    </row>
    <row r="690" ht="15.75" customHeight="1">
      <c r="A690" s="5"/>
      <c r="B690" s="5"/>
      <c r="C690" s="5"/>
      <c r="D690" s="5"/>
      <c r="E690" s="5"/>
      <c r="F690" s="5"/>
      <c r="G690" s="5"/>
      <c r="H690" s="5"/>
    </row>
    <row r="691" ht="15.75" customHeight="1">
      <c r="A691" s="5"/>
      <c r="B691" s="5"/>
      <c r="C691" s="5"/>
      <c r="D691" s="5"/>
      <c r="E691" s="5"/>
      <c r="F691" s="5"/>
      <c r="G691" s="5"/>
      <c r="H691" s="5"/>
    </row>
    <row r="692" ht="15.75" customHeight="1">
      <c r="A692" s="5"/>
      <c r="B692" s="5"/>
      <c r="C692" s="5"/>
      <c r="D692" s="5"/>
      <c r="E692" s="5"/>
      <c r="F692" s="5"/>
      <c r="G692" s="5"/>
      <c r="H692" s="5"/>
    </row>
    <row r="693" ht="15.75" customHeight="1">
      <c r="A693" s="5"/>
      <c r="B693" s="5"/>
      <c r="C693" s="5"/>
      <c r="D693" s="5"/>
      <c r="E693" s="5"/>
      <c r="F693" s="5"/>
      <c r="G693" s="5"/>
      <c r="H693" s="5"/>
    </row>
    <row r="694" ht="15.75" customHeight="1">
      <c r="A694" s="5"/>
      <c r="B694" s="5"/>
      <c r="C694" s="5"/>
      <c r="D694" s="5"/>
      <c r="E694" s="5"/>
      <c r="F694" s="5"/>
      <c r="G694" s="5"/>
      <c r="H694" s="5"/>
    </row>
    <row r="695" ht="15.75" customHeight="1">
      <c r="A695" s="5"/>
      <c r="B695" s="5"/>
      <c r="C695" s="5"/>
      <c r="D695" s="5"/>
      <c r="E695" s="5"/>
      <c r="F695" s="5"/>
      <c r="G695" s="5"/>
      <c r="H695" s="5"/>
    </row>
    <row r="696" ht="15.75" customHeight="1">
      <c r="A696" s="5"/>
      <c r="B696" s="5"/>
      <c r="C696" s="5"/>
      <c r="D696" s="5"/>
      <c r="E696" s="5"/>
      <c r="F696" s="5"/>
      <c r="G696" s="5"/>
      <c r="H696" s="5"/>
    </row>
    <row r="697" ht="15.75" customHeight="1">
      <c r="A697" s="5"/>
      <c r="B697" s="5"/>
      <c r="C697" s="5"/>
      <c r="D697" s="5"/>
      <c r="E697" s="5"/>
      <c r="F697" s="5"/>
      <c r="G697" s="5"/>
      <c r="H697" s="5"/>
    </row>
    <row r="698" ht="15.75" customHeight="1">
      <c r="A698" s="5"/>
      <c r="B698" s="5"/>
      <c r="C698" s="5"/>
      <c r="D698" s="5"/>
      <c r="E698" s="5"/>
      <c r="F698" s="5"/>
      <c r="G698" s="5"/>
      <c r="H698" s="5"/>
    </row>
    <row r="699" ht="15.75" customHeight="1">
      <c r="A699" s="5"/>
      <c r="B699" s="5"/>
      <c r="C699" s="5"/>
      <c r="D699" s="5"/>
      <c r="E699" s="5"/>
      <c r="F699" s="5"/>
      <c r="G699" s="5"/>
      <c r="H699" s="5"/>
    </row>
    <row r="700" ht="15.75" customHeight="1">
      <c r="A700" s="5"/>
      <c r="B700" s="5"/>
      <c r="C700" s="5"/>
      <c r="D700" s="5"/>
      <c r="E700" s="5"/>
      <c r="F700" s="5"/>
      <c r="G700" s="5"/>
      <c r="H700" s="5"/>
    </row>
    <row r="701" ht="15.75" customHeight="1">
      <c r="A701" s="5"/>
      <c r="B701" s="5"/>
      <c r="C701" s="5"/>
      <c r="D701" s="5"/>
      <c r="E701" s="5"/>
      <c r="F701" s="5"/>
      <c r="G701" s="5"/>
      <c r="H701" s="5"/>
    </row>
    <row r="702" ht="15.75" customHeight="1">
      <c r="A702" s="5"/>
      <c r="B702" s="5"/>
      <c r="C702" s="5"/>
      <c r="D702" s="5"/>
      <c r="E702" s="5"/>
      <c r="F702" s="5"/>
      <c r="G702" s="5"/>
      <c r="H702" s="5"/>
    </row>
    <row r="703" ht="15.75" customHeight="1">
      <c r="A703" s="5"/>
      <c r="B703" s="5"/>
      <c r="C703" s="5"/>
      <c r="D703" s="5"/>
      <c r="E703" s="5"/>
      <c r="F703" s="5"/>
      <c r="G703" s="5"/>
      <c r="H703" s="5"/>
    </row>
    <row r="704" ht="15.75" customHeight="1">
      <c r="A704" s="5"/>
      <c r="B704" s="5"/>
      <c r="C704" s="5"/>
      <c r="D704" s="5"/>
      <c r="E704" s="5"/>
      <c r="F704" s="5"/>
      <c r="G704" s="5"/>
      <c r="H704" s="5"/>
    </row>
    <row r="705" ht="15.75" customHeight="1">
      <c r="A705" s="5"/>
      <c r="B705" s="5"/>
      <c r="C705" s="5"/>
      <c r="D705" s="5"/>
      <c r="E705" s="5"/>
      <c r="F705" s="5"/>
      <c r="G705" s="5"/>
      <c r="H705" s="5"/>
    </row>
    <row r="706" ht="15.75" customHeight="1">
      <c r="A706" s="5"/>
      <c r="B706" s="5"/>
      <c r="C706" s="5"/>
      <c r="D706" s="5"/>
      <c r="E706" s="5"/>
      <c r="F706" s="5"/>
      <c r="G706" s="5"/>
      <c r="H706" s="5"/>
    </row>
    <row r="707" ht="15.75" customHeight="1">
      <c r="A707" s="5"/>
      <c r="B707" s="5"/>
      <c r="C707" s="5"/>
      <c r="D707" s="5"/>
      <c r="E707" s="5"/>
      <c r="F707" s="5"/>
      <c r="G707" s="5"/>
      <c r="H707" s="5"/>
    </row>
    <row r="708" ht="15.75" customHeight="1">
      <c r="A708" s="5"/>
      <c r="B708" s="5"/>
      <c r="C708" s="5"/>
      <c r="D708" s="5"/>
      <c r="E708" s="5"/>
      <c r="F708" s="5"/>
      <c r="G708" s="5"/>
      <c r="H708" s="5"/>
    </row>
    <row r="709" ht="15.75" customHeight="1">
      <c r="A709" s="5"/>
      <c r="B709" s="5"/>
      <c r="C709" s="5"/>
      <c r="D709" s="5"/>
      <c r="E709" s="5"/>
      <c r="F709" s="5"/>
      <c r="G709" s="5"/>
      <c r="H709" s="5"/>
    </row>
    <row r="710" ht="15.75" customHeight="1">
      <c r="A710" s="5"/>
      <c r="B710" s="5"/>
      <c r="C710" s="5"/>
      <c r="D710" s="5"/>
      <c r="E710" s="5"/>
      <c r="F710" s="5"/>
      <c r="G710" s="5"/>
      <c r="H710" s="5"/>
    </row>
    <row r="711" ht="15.75" customHeight="1">
      <c r="A711" s="5"/>
      <c r="B711" s="5"/>
      <c r="C711" s="5"/>
      <c r="D711" s="5"/>
      <c r="E711" s="5"/>
      <c r="F711" s="5"/>
      <c r="G711" s="5"/>
      <c r="H711" s="5"/>
    </row>
    <row r="712" ht="15.75" customHeight="1">
      <c r="A712" s="5"/>
      <c r="B712" s="5"/>
      <c r="C712" s="5"/>
      <c r="D712" s="5"/>
      <c r="E712" s="5"/>
      <c r="F712" s="5"/>
      <c r="G712" s="5"/>
      <c r="H712" s="5"/>
    </row>
    <row r="713" ht="15.75" customHeight="1">
      <c r="A713" s="5"/>
      <c r="B713" s="5"/>
      <c r="C713" s="5"/>
      <c r="D713" s="5"/>
      <c r="E713" s="5"/>
      <c r="F713" s="5"/>
      <c r="G713" s="5"/>
      <c r="H713" s="5"/>
    </row>
    <row r="714" ht="15.75" customHeight="1">
      <c r="A714" s="5"/>
      <c r="B714" s="5"/>
      <c r="C714" s="5"/>
      <c r="D714" s="5"/>
      <c r="E714" s="5"/>
      <c r="F714" s="5"/>
      <c r="G714" s="5"/>
      <c r="H714" s="5"/>
    </row>
    <row r="715" ht="15.75" customHeight="1">
      <c r="A715" s="5"/>
      <c r="B715" s="5"/>
      <c r="C715" s="5"/>
      <c r="D715" s="5"/>
      <c r="E715" s="5"/>
      <c r="F715" s="5"/>
      <c r="G715" s="5"/>
      <c r="H715" s="5"/>
    </row>
    <row r="716" ht="15.75" customHeight="1">
      <c r="A716" s="5"/>
      <c r="B716" s="5"/>
      <c r="C716" s="5"/>
      <c r="D716" s="5"/>
      <c r="E716" s="5"/>
      <c r="F716" s="5"/>
      <c r="G716" s="5"/>
      <c r="H716" s="5"/>
    </row>
    <row r="717" ht="15.75" customHeight="1">
      <c r="A717" s="5"/>
      <c r="B717" s="5"/>
      <c r="C717" s="5"/>
      <c r="D717" s="5"/>
      <c r="E717" s="5"/>
      <c r="F717" s="5"/>
      <c r="G717" s="5"/>
      <c r="H717" s="5"/>
    </row>
    <row r="718" ht="15.75" customHeight="1">
      <c r="A718" s="5"/>
      <c r="B718" s="5"/>
      <c r="C718" s="5"/>
      <c r="D718" s="5"/>
      <c r="E718" s="5"/>
      <c r="F718" s="5"/>
      <c r="G718" s="5"/>
      <c r="H718" s="5"/>
    </row>
    <row r="719" ht="15.75" customHeight="1">
      <c r="A719" s="5"/>
      <c r="B719" s="5"/>
      <c r="C719" s="5"/>
      <c r="D719" s="5"/>
      <c r="E719" s="5"/>
      <c r="F719" s="5"/>
      <c r="G719" s="5"/>
      <c r="H719" s="5"/>
    </row>
    <row r="720" ht="15.75" customHeight="1">
      <c r="A720" s="5"/>
      <c r="B720" s="5"/>
      <c r="C720" s="5"/>
      <c r="D720" s="5"/>
      <c r="E720" s="5"/>
      <c r="F720" s="5"/>
      <c r="G720" s="5"/>
      <c r="H720" s="5"/>
    </row>
    <row r="721" ht="15.75" customHeight="1">
      <c r="A721" s="5"/>
      <c r="B721" s="5"/>
      <c r="C721" s="5"/>
      <c r="D721" s="5"/>
      <c r="E721" s="5"/>
      <c r="F721" s="5"/>
      <c r="G721" s="5"/>
      <c r="H721" s="5"/>
    </row>
    <row r="722" ht="15.75" customHeight="1">
      <c r="A722" s="5"/>
      <c r="B722" s="5"/>
      <c r="C722" s="5"/>
      <c r="D722" s="5"/>
      <c r="E722" s="5"/>
      <c r="F722" s="5"/>
      <c r="G722" s="5"/>
      <c r="H722" s="5"/>
    </row>
    <row r="723" ht="15.75" customHeight="1">
      <c r="A723" s="5"/>
      <c r="B723" s="5"/>
      <c r="C723" s="5"/>
      <c r="D723" s="5"/>
      <c r="E723" s="5"/>
      <c r="F723" s="5"/>
      <c r="G723" s="5"/>
      <c r="H723" s="5"/>
    </row>
    <row r="724" ht="15.75" customHeight="1">
      <c r="A724" s="5"/>
      <c r="B724" s="5"/>
      <c r="C724" s="5"/>
      <c r="D724" s="5"/>
      <c r="E724" s="5"/>
      <c r="F724" s="5"/>
      <c r="G724" s="5"/>
      <c r="H724" s="5"/>
    </row>
    <row r="725" ht="15.75" customHeight="1">
      <c r="A725" s="5"/>
      <c r="B725" s="5"/>
      <c r="C725" s="5"/>
      <c r="D725" s="5"/>
      <c r="E725" s="5"/>
      <c r="F725" s="5"/>
      <c r="G725" s="5"/>
      <c r="H725" s="5"/>
    </row>
    <row r="726" ht="15.75" customHeight="1">
      <c r="A726" s="5"/>
      <c r="B726" s="5"/>
      <c r="C726" s="5"/>
      <c r="D726" s="5"/>
      <c r="E726" s="5"/>
      <c r="F726" s="5"/>
      <c r="G726" s="5"/>
      <c r="H726" s="5"/>
    </row>
    <row r="727" ht="15.75" customHeight="1">
      <c r="A727" s="5"/>
      <c r="B727" s="5"/>
      <c r="C727" s="5"/>
      <c r="D727" s="5"/>
      <c r="E727" s="5"/>
      <c r="F727" s="5"/>
      <c r="G727" s="5"/>
      <c r="H727" s="5"/>
    </row>
    <row r="728" ht="15.75" customHeight="1">
      <c r="A728" s="5"/>
      <c r="B728" s="5"/>
      <c r="C728" s="5"/>
      <c r="D728" s="5"/>
      <c r="E728" s="5"/>
      <c r="F728" s="5"/>
      <c r="G728" s="5"/>
      <c r="H728" s="5"/>
    </row>
    <row r="729" ht="15.75" customHeight="1">
      <c r="A729" s="5"/>
      <c r="B729" s="5"/>
      <c r="C729" s="5"/>
      <c r="D729" s="5"/>
      <c r="E729" s="5"/>
      <c r="F729" s="5"/>
      <c r="G729" s="5"/>
      <c r="H729" s="5"/>
    </row>
    <row r="730" ht="15.75" customHeight="1">
      <c r="A730" s="5"/>
      <c r="B730" s="5"/>
      <c r="C730" s="5"/>
      <c r="D730" s="5"/>
      <c r="E730" s="5"/>
      <c r="F730" s="5"/>
      <c r="G730" s="5"/>
      <c r="H730" s="5"/>
    </row>
    <row r="731" ht="15.75" customHeight="1">
      <c r="A731" s="5"/>
      <c r="B731" s="5"/>
      <c r="C731" s="5"/>
      <c r="D731" s="5"/>
      <c r="E731" s="5"/>
      <c r="F731" s="5"/>
      <c r="G731" s="5"/>
      <c r="H731" s="5"/>
    </row>
    <row r="732" ht="15.75" customHeight="1">
      <c r="A732" s="5"/>
      <c r="B732" s="5"/>
      <c r="C732" s="5"/>
      <c r="D732" s="5"/>
      <c r="E732" s="5"/>
      <c r="F732" s="5"/>
      <c r="G732" s="5"/>
      <c r="H732" s="5"/>
    </row>
    <row r="733" ht="15.75" customHeight="1">
      <c r="A733" s="5"/>
      <c r="B733" s="5"/>
      <c r="C733" s="5"/>
      <c r="D733" s="5"/>
      <c r="E733" s="5"/>
      <c r="F733" s="5"/>
      <c r="G733" s="5"/>
      <c r="H733" s="5"/>
    </row>
    <row r="734" ht="15.75" customHeight="1">
      <c r="A734" s="5"/>
      <c r="B734" s="5"/>
      <c r="C734" s="5"/>
      <c r="D734" s="5"/>
      <c r="E734" s="5"/>
      <c r="F734" s="5"/>
      <c r="G734" s="5"/>
      <c r="H734" s="5"/>
    </row>
    <row r="735" ht="15.75" customHeight="1">
      <c r="A735" s="5"/>
      <c r="B735" s="5"/>
      <c r="C735" s="5"/>
      <c r="D735" s="5"/>
      <c r="E735" s="5"/>
      <c r="F735" s="5"/>
      <c r="G735" s="5"/>
      <c r="H735" s="5"/>
    </row>
    <row r="736" ht="15.75" customHeight="1">
      <c r="A736" s="5"/>
      <c r="B736" s="5"/>
      <c r="C736" s="5"/>
      <c r="D736" s="5"/>
      <c r="E736" s="5"/>
      <c r="F736" s="5"/>
      <c r="G736" s="5"/>
      <c r="H736" s="5"/>
    </row>
    <row r="737" ht="15.75" customHeight="1">
      <c r="A737" s="5"/>
      <c r="B737" s="5"/>
      <c r="C737" s="5"/>
      <c r="D737" s="5"/>
      <c r="E737" s="5"/>
      <c r="F737" s="5"/>
      <c r="G737" s="5"/>
      <c r="H737" s="5"/>
    </row>
    <row r="738" ht="15.75" customHeight="1">
      <c r="A738" s="5"/>
      <c r="B738" s="5"/>
      <c r="C738" s="5"/>
      <c r="D738" s="5"/>
      <c r="E738" s="5"/>
      <c r="F738" s="5"/>
      <c r="G738" s="5"/>
      <c r="H738" s="5"/>
    </row>
    <row r="739" ht="15.75" customHeight="1">
      <c r="A739" s="5"/>
      <c r="B739" s="5"/>
      <c r="C739" s="5"/>
      <c r="D739" s="5"/>
      <c r="E739" s="5"/>
      <c r="F739" s="5"/>
      <c r="G739" s="5"/>
      <c r="H739" s="5"/>
    </row>
    <row r="740" ht="15.75" customHeight="1">
      <c r="A740" s="5"/>
      <c r="B740" s="5"/>
      <c r="C740" s="5"/>
      <c r="D740" s="5"/>
      <c r="E740" s="5"/>
      <c r="F740" s="5"/>
      <c r="G740" s="5"/>
      <c r="H740" s="5"/>
    </row>
    <row r="741" ht="15.75" customHeight="1">
      <c r="A741" s="5"/>
      <c r="B741" s="5"/>
      <c r="C741" s="5"/>
      <c r="D741" s="5"/>
      <c r="E741" s="5"/>
      <c r="F741" s="5"/>
      <c r="G741" s="5"/>
      <c r="H741" s="5"/>
    </row>
    <row r="742" ht="15.75" customHeight="1">
      <c r="A742" s="5"/>
      <c r="B742" s="5"/>
      <c r="C742" s="5"/>
      <c r="D742" s="5"/>
      <c r="E742" s="5"/>
      <c r="F742" s="5"/>
      <c r="G742" s="5"/>
      <c r="H742" s="5"/>
    </row>
    <row r="743" ht="15.75" customHeight="1">
      <c r="A743" s="5"/>
      <c r="B743" s="5"/>
      <c r="C743" s="5"/>
      <c r="D743" s="5"/>
      <c r="E743" s="5"/>
      <c r="F743" s="5"/>
      <c r="G743" s="5"/>
      <c r="H743" s="5"/>
    </row>
    <row r="744" ht="15.75" customHeight="1">
      <c r="A744" s="5"/>
      <c r="B744" s="5"/>
      <c r="C744" s="5"/>
      <c r="D744" s="5"/>
      <c r="E744" s="5"/>
      <c r="F744" s="5"/>
      <c r="G744" s="5"/>
      <c r="H744" s="5"/>
    </row>
    <row r="745" ht="15.75" customHeight="1">
      <c r="A745" s="5"/>
      <c r="B745" s="5"/>
      <c r="C745" s="5"/>
      <c r="D745" s="5"/>
      <c r="E745" s="5"/>
      <c r="F745" s="5"/>
      <c r="G745" s="5"/>
      <c r="H745" s="5"/>
    </row>
    <row r="746" ht="15.75" customHeight="1">
      <c r="A746" s="5"/>
      <c r="B746" s="5"/>
      <c r="C746" s="5"/>
      <c r="D746" s="5"/>
      <c r="E746" s="5"/>
      <c r="F746" s="5"/>
      <c r="G746" s="5"/>
      <c r="H746" s="5"/>
    </row>
    <row r="747" ht="15.75" customHeight="1">
      <c r="A747" s="5"/>
      <c r="B747" s="5"/>
      <c r="C747" s="5"/>
      <c r="D747" s="5"/>
      <c r="E747" s="5"/>
      <c r="F747" s="5"/>
      <c r="G747" s="5"/>
      <c r="H747" s="5"/>
    </row>
    <row r="748" ht="15.75" customHeight="1">
      <c r="A748" s="5"/>
      <c r="B748" s="5"/>
      <c r="C748" s="5"/>
      <c r="D748" s="5"/>
      <c r="E748" s="5"/>
      <c r="F748" s="5"/>
      <c r="G748" s="5"/>
      <c r="H748" s="5"/>
    </row>
    <row r="749" ht="15.75" customHeight="1">
      <c r="A749" s="5"/>
      <c r="B749" s="5"/>
      <c r="C749" s="5"/>
      <c r="D749" s="5"/>
      <c r="E749" s="5"/>
      <c r="F749" s="5"/>
      <c r="G749" s="5"/>
      <c r="H749" s="5"/>
    </row>
    <row r="750" ht="15.75" customHeight="1">
      <c r="A750" s="5"/>
      <c r="B750" s="5"/>
      <c r="C750" s="5"/>
      <c r="D750" s="5"/>
      <c r="E750" s="5"/>
      <c r="F750" s="5"/>
      <c r="G750" s="5"/>
      <c r="H750" s="5"/>
    </row>
    <row r="751" ht="15.75" customHeight="1">
      <c r="A751" s="5"/>
      <c r="B751" s="5"/>
      <c r="C751" s="5"/>
      <c r="D751" s="5"/>
      <c r="E751" s="5"/>
      <c r="F751" s="5"/>
      <c r="G751" s="5"/>
      <c r="H751" s="5"/>
    </row>
    <row r="752" ht="15.75" customHeight="1">
      <c r="A752" s="5"/>
      <c r="B752" s="5"/>
      <c r="C752" s="5"/>
      <c r="D752" s="5"/>
      <c r="E752" s="5"/>
      <c r="F752" s="5"/>
      <c r="G752" s="5"/>
      <c r="H752" s="5"/>
    </row>
    <row r="753" ht="15.75" customHeight="1">
      <c r="A753" s="5"/>
      <c r="B753" s="5"/>
      <c r="C753" s="5"/>
      <c r="D753" s="5"/>
      <c r="E753" s="5"/>
      <c r="F753" s="5"/>
      <c r="G753" s="5"/>
      <c r="H753" s="5"/>
    </row>
    <row r="754" ht="15.75" customHeight="1">
      <c r="A754" s="5"/>
      <c r="B754" s="5"/>
      <c r="C754" s="5"/>
      <c r="D754" s="5"/>
      <c r="E754" s="5"/>
      <c r="F754" s="5"/>
      <c r="G754" s="5"/>
      <c r="H754" s="5"/>
    </row>
    <row r="755" ht="15.75" customHeight="1">
      <c r="A755" s="5"/>
      <c r="B755" s="5"/>
      <c r="C755" s="5"/>
      <c r="D755" s="5"/>
      <c r="E755" s="5"/>
      <c r="F755" s="5"/>
      <c r="G755" s="5"/>
      <c r="H755" s="5"/>
    </row>
    <row r="756" ht="15.75" customHeight="1">
      <c r="A756" s="5"/>
      <c r="B756" s="5"/>
      <c r="C756" s="5"/>
      <c r="D756" s="5"/>
      <c r="E756" s="5"/>
      <c r="F756" s="5"/>
      <c r="G756" s="5"/>
      <c r="H756" s="5"/>
    </row>
    <row r="757" ht="15.75" customHeight="1">
      <c r="A757" s="5"/>
      <c r="B757" s="5"/>
      <c r="C757" s="5"/>
      <c r="D757" s="5"/>
      <c r="E757" s="5"/>
      <c r="F757" s="5"/>
      <c r="G757" s="5"/>
      <c r="H757" s="5"/>
    </row>
    <row r="758" ht="15.75" customHeight="1">
      <c r="A758" s="5"/>
      <c r="B758" s="5"/>
      <c r="C758" s="5"/>
      <c r="D758" s="5"/>
      <c r="E758" s="5"/>
      <c r="F758" s="5"/>
      <c r="G758" s="5"/>
      <c r="H758" s="5"/>
    </row>
    <row r="759" ht="15.75" customHeight="1">
      <c r="A759" s="5"/>
      <c r="B759" s="5"/>
      <c r="C759" s="5"/>
      <c r="D759" s="5"/>
      <c r="E759" s="5"/>
      <c r="F759" s="5"/>
      <c r="G759" s="5"/>
      <c r="H759" s="5"/>
    </row>
    <row r="760" ht="15.75" customHeight="1">
      <c r="A760" s="5"/>
      <c r="B760" s="5"/>
      <c r="C760" s="5"/>
      <c r="D760" s="5"/>
      <c r="E760" s="5"/>
      <c r="F760" s="5"/>
      <c r="G760" s="5"/>
      <c r="H760" s="5"/>
    </row>
    <row r="761" ht="15.75" customHeight="1">
      <c r="A761" s="5"/>
      <c r="B761" s="5"/>
      <c r="C761" s="5"/>
      <c r="D761" s="5"/>
      <c r="E761" s="5"/>
      <c r="F761" s="5"/>
      <c r="G761" s="5"/>
      <c r="H761" s="5"/>
    </row>
    <row r="762" ht="15.75" customHeight="1">
      <c r="A762" s="5"/>
      <c r="B762" s="5"/>
      <c r="C762" s="5"/>
      <c r="D762" s="5"/>
      <c r="E762" s="5"/>
      <c r="F762" s="5"/>
      <c r="G762" s="5"/>
      <c r="H762" s="5"/>
    </row>
    <row r="763" ht="15.75" customHeight="1">
      <c r="A763" s="5"/>
      <c r="B763" s="5"/>
      <c r="C763" s="5"/>
      <c r="D763" s="5"/>
      <c r="E763" s="5"/>
      <c r="F763" s="5"/>
      <c r="G763" s="5"/>
      <c r="H763" s="5"/>
    </row>
    <row r="764" ht="15.75" customHeight="1">
      <c r="A764" s="5"/>
      <c r="B764" s="5"/>
      <c r="C764" s="5"/>
      <c r="D764" s="5"/>
      <c r="E764" s="5"/>
      <c r="F764" s="5"/>
      <c r="G764" s="5"/>
      <c r="H764" s="5"/>
    </row>
    <row r="765" ht="15.75" customHeight="1">
      <c r="A765" s="5"/>
      <c r="B765" s="5"/>
      <c r="C765" s="5"/>
      <c r="D765" s="5"/>
      <c r="E765" s="5"/>
      <c r="F765" s="5"/>
      <c r="G765" s="5"/>
      <c r="H765" s="5"/>
    </row>
    <row r="766" ht="15.75" customHeight="1">
      <c r="A766" s="5"/>
      <c r="B766" s="5"/>
      <c r="C766" s="5"/>
      <c r="D766" s="5"/>
      <c r="E766" s="5"/>
      <c r="F766" s="5"/>
      <c r="G766" s="5"/>
      <c r="H766" s="5"/>
    </row>
    <row r="767" ht="15.75" customHeight="1">
      <c r="A767" s="5"/>
      <c r="B767" s="5"/>
      <c r="C767" s="5"/>
      <c r="D767" s="5"/>
      <c r="E767" s="5"/>
      <c r="F767" s="5"/>
      <c r="G767" s="5"/>
      <c r="H767" s="5"/>
    </row>
    <row r="768" ht="15.75" customHeight="1">
      <c r="A768" s="5"/>
      <c r="B768" s="5"/>
      <c r="C768" s="5"/>
      <c r="D768" s="5"/>
      <c r="E768" s="5"/>
      <c r="F768" s="5"/>
      <c r="G768" s="5"/>
      <c r="H768" s="5"/>
    </row>
    <row r="769" ht="15.75" customHeight="1">
      <c r="A769" s="5"/>
      <c r="B769" s="5"/>
      <c r="C769" s="5"/>
      <c r="D769" s="5"/>
      <c r="E769" s="5"/>
      <c r="F769" s="5"/>
      <c r="G769" s="5"/>
      <c r="H769" s="5"/>
    </row>
    <row r="770" ht="15.75" customHeight="1">
      <c r="A770" s="5"/>
      <c r="B770" s="5"/>
      <c r="C770" s="5"/>
      <c r="D770" s="5"/>
      <c r="E770" s="5"/>
      <c r="F770" s="5"/>
      <c r="G770" s="5"/>
      <c r="H770" s="5"/>
    </row>
    <row r="771" ht="15.75" customHeight="1">
      <c r="A771" s="5"/>
      <c r="B771" s="5"/>
      <c r="C771" s="5"/>
      <c r="D771" s="5"/>
      <c r="E771" s="5"/>
      <c r="F771" s="5"/>
      <c r="G771" s="5"/>
      <c r="H771" s="5"/>
    </row>
    <row r="772" ht="15.75" customHeight="1">
      <c r="A772" s="5"/>
      <c r="B772" s="5"/>
      <c r="C772" s="5"/>
      <c r="D772" s="5"/>
      <c r="E772" s="5"/>
      <c r="F772" s="5"/>
      <c r="G772" s="5"/>
      <c r="H772" s="5"/>
    </row>
    <row r="773" ht="15.75" customHeight="1">
      <c r="A773" s="5"/>
      <c r="B773" s="5"/>
      <c r="C773" s="5"/>
      <c r="D773" s="5"/>
      <c r="E773" s="5"/>
      <c r="F773" s="5"/>
      <c r="G773" s="5"/>
      <c r="H773" s="5"/>
    </row>
    <row r="774" ht="15.75" customHeight="1">
      <c r="A774" s="5"/>
      <c r="B774" s="5"/>
      <c r="C774" s="5"/>
      <c r="D774" s="5"/>
      <c r="E774" s="5"/>
      <c r="F774" s="5"/>
      <c r="G774" s="5"/>
      <c r="H774" s="5"/>
    </row>
    <row r="775" ht="15.75" customHeight="1">
      <c r="A775" s="5"/>
      <c r="B775" s="5"/>
      <c r="C775" s="5"/>
      <c r="D775" s="5"/>
      <c r="E775" s="5"/>
      <c r="F775" s="5"/>
      <c r="G775" s="5"/>
      <c r="H775" s="5"/>
    </row>
    <row r="776" ht="15.75" customHeight="1">
      <c r="A776" s="5"/>
      <c r="B776" s="5"/>
      <c r="C776" s="5"/>
      <c r="D776" s="5"/>
      <c r="E776" s="5"/>
      <c r="F776" s="5"/>
      <c r="G776" s="5"/>
      <c r="H776" s="5"/>
    </row>
    <row r="777" ht="15.75" customHeight="1">
      <c r="A777" s="5"/>
      <c r="B777" s="5"/>
      <c r="C777" s="5"/>
      <c r="D777" s="5"/>
      <c r="E777" s="5"/>
      <c r="F777" s="5"/>
      <c r="G777" s="5"/>
      <c r="H777" s="5"/>
    </row>
    <row r="778" ht="15.75" customHeight="1">
      <c r="A778" s="5"/>
      <c r="B778" s="5"/>
      <c r="C778" s="5"/>
      <c r="D778" s="5"/>
      <c r="E778" s="5"/>
      <c r="F778" s="5"/>
      <c r="G778" s="5"/>
      <c r="H778" s="5"/>
    </row>
    <row r="779" ht="15.75" customHeight="1">
      <c r="A779" s="5"/>
      <c r="B779" s="5"/>
      <c r="C779" s="5"/>
      <c r="D779" s="5"/>
      <c r="E779" s="5"/>
      <c r="F779" s="5"/>
      <c r="G779" s="5"/>
      <c r="H779" s="5"/>
    </row>
    <row r="780" ht="15.75" customHeight="1">
      <c r="A780" s="5"/>
      <c r="B780" s="5"/>
      <c r="C780" s="5"/>
      <c r="D780" s="5"/>
      <c r="E780" s="5"/>
      <c r="F780" s="5"/>
      <c r="G780" s="5"/>
      <c r="H780" s="5"/>
    </row>
    <row r="781" ht="15.75" customHeight="1">
      <c r="A781" s="5"/>
      <c r="B781" s="5"/>
      <c r="C781" s="5"/>
      <c r="D781" s="5"/>
      <c r="E781" s="5"/>
      <c r="F781" s="5"/>
      <c r="G781" s="5"/>
      <c r="H781" s="5"/>
    </row>
    <row r="782" ht="15.75" customHeight="1">
      <c r="A782" s="5"/>
      <c r="B782" s="5"/>
      <c r="C782" s="5"/>
      <c r="D782" s="5"/>
      <c r="E782" s="5"/>
      <c r="F782" s="5"/>
      <c r="G782" s="5"/>
      <c r="H782" s="5"/>
    </row>
    <row r="783" ht="15.75" customHeight="1">
      <c r="A783" s="5"/>
      <c r="B783" s="5"/>
      <c r="C783" s="5"/>
      <c r="D783" s="5"/>
      <c r="E783" s="5"/>
      <c r="F783" s="5"/>
      <c r="G783" s="5"/>
      <c r="H783" s="5"/>
    </row>
    <row r="784" ht="15.75" customHeight="1">
      <c r="A784" s="5"/>
      <c r="B784" s="5"/>
      <c r="C784" s="5"/>
      <c r="D784" s="5"/>
      <c r="E784" s="5"/>
      <c r="F784" s="5"/>
      <c r="G784" s="5"/>
      <c r="H784" s="5"/>
    </row>
    <row r="785" ht="15.75" customHeight="1">
      <c r="A785" s="5"/>
      <c r="B785" s="5"/>
      <c r="C785" s="5"/>
      <c r="D785" s="5"/>
      <c r="E785" s="5"/>
      <c r="F785" s="5"/>
      <c r="G785" s="5"/>
      <c r="H785" s="5"/>
    </row>
    <row r="786" ht="15.75" customHeight="1">
      <c r="A786" s="5"/>
      <c r="B786" s="5"/>
      <c r="C786" s="5"/>
      <c r="D786" s="5"/>
      <c r="E786" s="5"/>
      <c r="F786" s="5"/>
      <c r="G786" s="5"/>
      <c r="H786" s="5"/>
    </row>
    <row r="787" ht="15.75" customHeight="1">
      <c r="A787" s="5"/>
      <c r="B787" s="5"/>
      <c r="C787" s="5"/>
      <c r="D787" s="5"/>
      <c r="E787" s="5"/>
      <c r="F787" s="5"/>
      <c r="G787" s="5"/>
      <c r="H787" s="5"/>
    </row>
    <row r="788" ht="15.75" customHeight="1">
      <c r="A788" s="5"/>
      <c r="B788" s="5"/>
      <c r="C788" s="5"/>
      <c r="D788" s="5"/>
      <c r="E788" s="5"/>
      <c r="F788" s="5"/>
      <c r="G788" s="5"/>
      <c r="H788" s="5"/>
    </row>
    <row r="789" ht="15.75" customHeight="1">
      <c r="A789" s="5"/>
      <c r="B789" s="5"/>
      <c r="C789" s="5"/>
      <c r="D789" s="5"/>
      <c r="E789" s="5"/>
      <c r="F789" s="5"/>
      <c r="G789" s="5"/>
      <c r="H789" s="5"/>
    </row>
    <row r="790" ht="15.75" customHeight="1">
      <c r="A790" s="5"/>
      <c r="B790" s="5"/>
      <c r="C790" s="5"/>
      <c r="D790" s="5"/>
      <c r="E790" s="5"/>
      <c r="F790" s="5"/>
      <c r="G790" s="5"/>
      <c r="H790" s="5"/>
    </row>
    <row r="791" ht="15.75" customHeight="1">
      <c r="A791" s="5"/>
      <c r="B791" s="5"/>
      <c r="C791" s="5"/>
      <c r="D791" s="5"/>
      <c r="E791" s="5"/>
      <c r="F791" s="5"/>
      <c r="G791" s="5"/>
      <c r="H791" s="5"/>
    </row>
    <row r="792" ht="15.75" customHeight="1">
      <c r="A792" s="5"/>
      <c r="B792" s="5"/>
      <c r="C792" s="5"/>
      <c r="D792" s="5"/>
      <c r="E792" s="5"/>
      <c r="F792" s="5"/>
      <c r="G792" s="5"/>
      <c r="H792" s="5"/>
    </row>
    <row r="793" ht="15.75" customHeight="1">
      <c r="A793" s="5"/>
      <c r="B793" s="5"/>
      <c r="C793" s="5"/>
      <c r="D793" s="5"/>
      <c r="E793" s="5"/>
      <c r="F793" s="5"/>
      <c r="G793" s="5"/>
      <c r="H793" s="5"/>
    </row>
    <row r="794" ht="15.75" customHeight="1">
      <c r="A794" s="5"/>
      <c r="B794" s="5"/>
      <c r="C794" s="5"/>
      <c r="D794" s="5"/>
      <c r="E794" s="5"/>
      <c r="F794" s="5"/>
      <c r="G794" s="5"/>
      <c r="H794" s="5"/>
    </row>
    <row r="795" ht="15.75" customHeight="1">
      <c r="A795" s="5"/>
      <c r="B795" s="5"/>
      <c r="C795" s="5"/>
      <c r="D795" s="5"/>
      <c r="E795" s="5"/>
      <c r="F795" s="5"/>
      <c r="G795" s="5"/>
      <c r="H795" s="5"/>
    </row>
    <row r="796" ht="15.75" customHeight="1">
      <c r="A796" s="5"/>
      <c r="B796" s="5"/>
      <c r="C796" s="5"/>
      <c r="D796" s="5"/>
      <c r="E796" s="5"/>
      <c r="F796" s="5"/>
      <c r="G796" s="5"/>
      <c r="H796" s="5"/>
    </row>
    <row r="797" ht="15.75" customHeight="1">
      <c r="A797" s="5"/>
      <c r="B797" s="5"/>
      <c r="C797" s="5"/>
      <c r="D797" s="5"/>
      <c r="E797" s="5"/>
      <c r="F797" s="5"/>
      <c r="G797" s="5"/>
      <c r="H797" s="5"/>
    </row>
    <row r="798" ht="15.75" customHeight="1">
      <c r="A798" s="5"/>
      <c r="B798" s="5"/>
      <c r="C798" s="5"/>
      <c r="D798" s="5"/>
      <c r="E798" s="5"/>
      <c r="F798" s="5"/>
      <c r="G798" s="5"/>
      <c r="H798" s="5"/>
    </row>
    <row r="799" ht="15.75" customHeight="1">
      <c r="A799" s="5"/>
      <c r="B799" s="5"/>
      <c r="C799" s="5"/>
      <c r="D799" s="5"/>
      <c r="E799" s="5"/>
      <c r="F799" s="5"/>
      <c r="G799" s="5"/>
      <c r="H799" s="5"/>
    </row>
    <row r="800" ht="15.75" customHeight="1">
      <c r="A800" s="5"/>
      <c r="B800" s="5"/>
      <c r="C800" s="5"/>
      <c r="D800" s="5"/>
      <c r="E800" s="5"/>
      <c r="F800" s="5"/>
      <c r="G800" s="5"/>
      <c r="H800" s="5"/>
    </row>
    <row r="801" ht="15.75" customHeight="1">
      <c r="A801" s="5"/>
      <c r="B801" s="5"/>
      <c r="C801" s="5"/>
      <c r="D801" s="5"/>
      <c r="E801" s="5"/>
      <c r="F801" s="5"/>
      <c r="G801" s="5"/>
      <c r="H801" s="5"/>
    </row>
    <row r="802" ht="15.75" customHeight="1">
      <c r="A802" s="5"/>
      <c r="B802" s="5"/>
      <c r="C802" s="5"/>
      <c r="D802" s="5"/>
      <c r="E802" s="5"/>
      <c r="F802" s="5"/>
      <c r="G802" s="5"/>
      <c r="H802" s="5"/>
    </row>
    <row r="803" ht="15.75" customHeight="1">
      <c r="A803" s="5"/>
      <c r="B803" s="5"/>
      <c r="C803" s="5"/>
      <c r="D803" s="5"/>
      <c r="E803" s="5"/>
      <c r="F803" s="5"/>
      <c r="G803" s="5"/>
      <c r="H803" s="5"/>
    </row>
    <row r="804" ht="15.75" customHeight="1">
      <c r="A804" s="5"/>
      <c r="B804" s="5"/>
      <c r="C804" s="5"/>
      <c r="D804" s="5"/>
      <c r="E804" s="5"/>
      <c r="F804" s="5"/>
      <c r="G804" s="5"/>
      <c r="H804" s="5"/>
    </row>
    <row r="805" ht="15.75" customHeight="1">
      <c r="A805" s="5"/>
      <c r="B805" s="5"/>
      <c r="C805" s="5"/>
      <c r="D805" s="5"/>
      <c r="E805" s="5"/>
      <c r="F805" s="5"/>
      <c r="G805" s="5"/>
      <c r="H805" s="5"/>
    </row>
    <row r="806" ht="15.75" customHeight="1">
      <c r="A806" s="5"/>
      <c r="B806" s="5"/>
      <c r="C806" s="5"/>
      <c r="D806" s="5"/>
      <c r="E806" s="5"/>
      <c r="F806" s="5"/>
      <c r="G806" s="5"/>
      <c r="H806" s="5"/>
    </row>
    <row r="807" ht="15.75" customHeight="1">
      <c r="A807" s="5"/>
      <c r="B807" s="5"/>
      <c r="C807" s="5"/>
      <c r="D807" s="5"/>
      <c r="E807" s="5"/>
      <c r="F807" s="5"/>
      <c r="G807" s="5"/>
      <c r="H807" s="5"/>
    </row>
    <row r="808" ht="15.75" customHeight="1">
      <c r="A808" s="5"/>
      <c r="B808" s="5"/>
      <c r="C808" s="5"/>
      <c r="D808" s="5"/>
      <c r="E808" s="5"/>
      <c r="F808" s="5"/>
      <c r="G808" s="5"/>
      <c r="H808" s="5"/>
    </row>
    <row r="809" ht="15.75" customHeight="1">
      <c r="A809" s="5"/>
      <c r="B809" s="5"/>
      <c r="C809" s="5"/>
      <c r="D809" s="5"/>
      <c r="E809" s="5"/>
      <c r="F809" s="5"/>
      <c r="G809" s="5"/>
      <c r="H809" s="5"/>
    </row>
    <row r="810" ht="15.75" customHeight="1">
      <c r="A810" s="5"/>
      <c r="B810" s="5"/>
      <c r="C810" s="5"/>
      <c r="D810" s="5"/>
      <c r="E810" s="5"/>
      <c r="F810" s="5"/>
      <c r="G810" s="5"/>
      <c r="H810" s="5"/>
    </row>
    <row r="811" ht="15.75" customHeight="1">
      <c r="A811" s="5"/>
      <c r="B811" s="5"/>
      <c r="C811" s="5"/>
      <c r="D811" s="5"/>
      <c r="E811" s="5"/>
      <c r="F811" s="5"/>
      <c r="G811" s="5"/>
      <c r="H811" s="5"/>
    </row>
    <row r="812" ht="15.75" customHeight="1">
      <c r="A812" s="5"/>
      <c r="B812" s="5"/>
      <c r="C812" s="5"/>
      <c r="D812" s="5"/>
      <c r="E812" s="5"/>
      <c r="F812" s="5"/>
      <c r="G812" s="5"/>
      <c r="H812" s="5"/>
    </row>
    <row r="813" ht="15.75" customHeight="1">
      <c r="A813" s="5"/>
      <c r="B813" s="5"/>
      <c r="C813" s="5"/>
      <c r="D813" s="5"/>
      <c r="E813" s="5"/>
      <c r="F813" s="5"/>
      <c r="G813" s="5"/>
      <c r="H813" s="5"/>
    </row>
    <row r="814" ht="15.75" customHeight="1">
      <c r="A814" s="5"/>
      <c r="B814" s="5"/>
      <c r="C814" s="5"/>
      <c r="D814" s="5"/>
      <c r="E814" s="5"/>
      <c r="F814" s="5"/>
      <c r="G814" s="5"/>
      <c r="H814" s="5"/>
    </row>
    <row r="815" ht="15.75" customHeight="1">
      <c r="A815" s="5"/>
      <c r="B815" s="5"/>
      <c r="C815" s="5"/>
      <c r="D815" s="5"/>
      <c r="E815" s="5"/>
      <c r="F815" s="5"/>
      <c r="G815" s="5"/>
      <c r="H815" s="5"/>
    </row>
    <row r="816" ht="15.75" customHeight="1">
      <c r="A816" s="5"/>
      <c r="B816" s="5"/>
      <c r="C816" s="5"/>
      <c r="D816" s="5"/>
      <c r="E816" s="5"/>
      <c r="F816" s="5"/>
      <c r="G816" s="5"/>
      <c r="H816" s="5"/>
    </row>
    <row r="817" ht="15.75" customHeight="1">
      <c r="A817" s="5"/>
      <c r="B817" s="5"/>
      <c r="C817" s="5"/>
      <c r="D817" s="5"/>
      <c r="E817" s="5"/>
      <c r="F817" s="5"/>
      <c r="G817" s="5"/>
      <c r="H817" s="5"/>
    </row>
    <row r="818" ht="15.75" customHeight="1">
      <c r="A818" s="5"/>
      <c r="B818" s="5"/>
      <c r="C818" s="5"/>
      <c r="D818" s="5"/>
      <c r="E818" s="5"/>
      <c r="F818" s="5"/>
      <c r="G818" s="5"/>
      <c r="H818" s="5"/>
    </row>
    <row r="819" ht="15.75" customHeight="1">
      <c r="A819" s="5"/>
      <c r="B819" s="5"/>
      <c r="C819" s="5"/>
      <c r="D819" s="5"/>
      <c r="E819" s="5"/>
      <c r="F819" s="5"/>
      <c r="G819" s="5"/>
      <c r="H819" s="5"/>
    </row>
    <row r="820" ht="15.75" customHeight="1">
      <c r="A820" s="5"/>
      <c r="B820" s="5"/>
      <c r="C820" s="5"/>
      <c r="D820" s="5"/>
      <c r="E820" s="5"/>
      <c r="F820" s="5"/>
      <c r="G820" s="5"/>
      <c r="H820" s="5"/>
    </row>
    <row r="821" ht="15.75" customHeight="1">
      <c r="A821" s="5"/>
      <c r="B821" s="5"/>
      <c r="C821" s="5"/>
      <c r="D821" s="5"/>
      <c r="E821" s="5"/>
      <c r="F821" s="5"/>
      <c r="G821" s="5"/>
      <c r="H821" s="5"/>
    </row>
    <row r="822" ht="15.75" customHeight="1">
      <c r="A822" s="5"/>
      <c r="B822" s="5"/>
      <c r="C822" s="5"/>
      <c r="D822" s="5"/>
      <c r="E822" s="5"/>
      <c r="F822" s="5"/>
      <c r="G822" s="5"/>
      <c r="H822" s="5"/>
    </row>
    <row r="823" ht="15.75" customHeight="1">
      <c r="A823" s="5"/>
      <c r="B823" s="5"/>
      <c r="C823" s="5"/>
      <c r="D823" s="5"/>
      <c r="E823" s="5"/>
      <c r="F823" s="5"/>
      <c r="G823" s="5"/>
      <c r="H823" s="5"/>
    </row>
    <row r="824" ht="15.75" customHeight="1">
      <c r="A824" s="5"/>
      <c r="B824" s="5"/>
      <c r="C824" s="5"/>
      <c r="D824" s="5"/>
      <c r="E824" s="5"/>
      <c r="F824" s="5"/>
      <c r="G824" s="5"/>
      <c r="H824" s="5"/>
    </row>
    <row r="825" ht="15.75" customHeight="1">
      <c r="A825" s="5"/>
      <c r="B825" s="5"/>
      <c r="C825" s="5"/>
      <c r="D825" s="5"/>
      <c r="E825" s="5"/>
      <c r="F825" s="5"/>
      <c r="G825" s="5"/>
      <c r="H825" s="5"/>
    </row>
    <row r="826" ht="15.75" customHeight="1">
      <c r="A826" s="5"/>
      <c r="B826" s="5"/>
      <c r="C826" s="5"/>
      <c r="D826" s="5"/>
      <c r="E826" s="5"/>
      <c r="F826" s="5"/>
      <c r="G826" s="5"/>
      <c r="H826" s="5"/>
    </row>
    <row r="827" ht="15.75" customHeight="1">
      <c r="A827" s="5"/>
      <c r="B827" s="5"/>
      <c r="C827" s="5"/>
      <c r="D827" s="5"/>
      <c r="E827" s="5"/>
      <c r="F827" s="5"/>
      <c r="G827" s="5"/>
      <c r="H827" s="5"/>
    </row>
    <row r="828" ht="15.75" customHeight="1">
      <c r="A828" s="5"/>
      <c r="B828" s="5"/>
      <c r="C828" s="5"/>
      <c r="D828" s="5"/>
      <c r="E828" s="5"/>
      <c r="F828" s="5"/>
      <c r="G828" s="5"/>
      <c r="H828" s="5"/>
    </row>
    <row r="829" ht="15.75" customHeight="1">
      <c r="A829" s="5"/>
      <c r="B829" s="5"/>
      <c r="C829" s="5"/>
      <c r="D829" s="5"/>
      <c r="E829" s="5"/>
      <c r="F829" s="5"/>
      <c r="G829" s="5"/>
      <c r="H829" s="5"/>
    </row>
    <row r="830" ht="15.75" customHeight="1">
      <c r="A830" s="5"/>
      <c r="B830" s="5"/>
      <c r="C830" s="5"/>
      <c r="D830" s="5"/>
      <c r="E830" s="5"/>
      <c r="F830" s="5"/>
      <c r="G830" s="5"/>
      <c r="H830" s="5"/>
    </row>
    <row r="831" ht="15.75" customHeight="1">
      <c r="A831" s="5"/>
      <c r="B831" s="5"/>
      <c r="C831" s="5"/>
      <c r="D831" s="5"/>
      <c r="E831" s="5"/>
      <c r="F831" s="5"/>
      <c r="G831" s="5"/>
      <c r="H831" s="5"/>
    </row>
    <row r="832" ht="15.75" customHeight="1">
      <c r="A832" s="5"/>
      <c r="B832" s="5"/>
      <c r="C832" s="5"/>
      <c r="D832" s="5"/>
      <c r="E832" s="5"/>
      <c r="F832" s="5"/>
      <c r="G832" s="5"/>
      <c r="H832" s="5"/>
    </row>
    <row r="833" ht="15.75" customHeight="1">
      <c r="A833" s="5"/>
      <c r="B833" s="5"/>
      <c r="C833" s="5"/>
      <c r="D833" s="5"/>
      <c r="E833" s="5"/>
      <c r="F833" s="5"/>
      <c r="G833" s="5"/>
      <c r="H833" s="5"/>
    </row>
    <row r="834" ht="15.75" customHeight="1">
      <c r="A834" s="5"/>
      <c r="B834" s="5"/>
      <c r="C834" s="5"/>
      <c r="D834" s="5"/>
      <c r="E834" s="5"/>
      <c r="F834" s="5"/>
      <c r="G834" s="5"/>
      <c r="H834" s="5"/>
    </row>
    <row r="835" ht="15.75" customHeight="1">
      <c r="A835" s="5"/>
      <c r="B835" s="5"/>
      <c r="C835" s="5"/>
      <c r="D835" s="5"/>
      <c r="E835" s="5"/>
      <c r="F835" s="5"/>
      <c r="G835" s="5"/>
      <c r="H835" s="5"/>
    </row>
    <row r="836" ht="15.75" customHeight="1">
      <c r="A836" s="5"/>
      <c r="B836" s="5"/>
      <c r="C836" s="5"/>
      <c r="D836" s="5"/>
      <c r="E836" s="5"/>
      <c r="F836" s="5"/>
      <c r="G836" s="5"/>
      <c r="H836" s="5"/>
    </row>
    <row r="837" ht="15.75" customHeight="1">
      <c r="A837" s="5"/>
      <c r="B837" s="5"/>
      <c r="C837" s="5"/>
      <c r="D837" s="5"/>
      <c r="E837" s="5"/>
      <c r="F837" s="5"/>
      <c r="G837" s="5"/>
      <c r="H837" s="5"/>
    </row>
    <row r="838" ht="15.75" customHeight="1">
      <c r="A838" s="5"/>
      <c r="B838" s="5"/>
      <c r="C838" s="5"/>
      <c r="D838" s="5"/>
      <c r="E838" s="5"/>
      <c r="F838" s="5"/>
      <c r="G838" s="5"/>
      <c r="H838" s="5"/>
    </row>
    <row r="839" ht="15.75" customHeight="1">
      <c r="A839" s="5"/>
      <c r="B839" s="5"/>
      <c r="C839" s="5"/>
      <c r="D839" s="5"/>
      <c r="E839" s="5"/>
      <c r="F839" s="5"/>
      <c r="G839" s="5"/>
      <c r="H839" s="5"/>
    </row>
    <row r="840" ht="15.75" customHeight="1">
      <c r="A840" s="5"/>
      <c r="B840" s="5"/>
      <c r="C840" s="5"/>
      <c r="D840" s="5"/>
      <c r="E840" s="5"/>
      <c r="F840" s="5"/>
      <c r="G840" s="5"/>
      <c r="H840" s="5"/>
    </row>
    <row r="841" ht="15.75" customHeight="1">
      <c r="A841" s="5"/>
      <c r="B841" s="5"/>
      <c r="C841" s="5"/>
      <c r="D841" s="5"/>
      <c r="E841" s="5"/>
      <c r="F841" s="5"/>
      <c r="G841" s="5"/>
      <c r="H841" s="5"/>
    </row>
    <row r="842" ht="15.75" customHeight="1">
      <c r="A842" s="5"/>
      <c r="B842" s="5"/>
      <c r="C842" s="5"/>
      <c r="D842" s="5"/>
      <c r="E842" s="5"/>
      <c r="F842" s="5"/>
      <c r="G842" s="5"/>
      <c r="H842" s="5"/>
    </row>
    <row r="843" ht="15.75" customHeight="1">
      <c r="A843" s="5"/>
      <c r="B843" s="5"/>
      <c r="C843" s="5"/>
      <c r="D843" s="5"/>
      <c r="E843" s="5"/>
      <c r="F843" s="5"/>
      <c r="G843" s="5"/>
      <c r="H843" s="5"/>
    </row>
    <row r="844" ht="15.75" customHeight="1">
      <c r="A844" s="5"/>
      <c r="B844" s="5"/>
      <c r="C844" s="5"/>
      <c r="D844" s="5"/>
      <c r="E844" s="5"/>
      <c r="F844" s="5"/>
      <c r="G844" s="5"/>
      <c r="H844" s="5"/>
    </row>
    <row r="845" ht="15.75" customHeight="1">
      <c r="A845" s="5"/>
      <c r="B845" s="5"/>
      <c r="C845" s="5"/>
      <c r="D845" s="5"/>
      <c r="E845" s="5"/>
      <c r="F845" s="5"/>
      <c r="G845" s="5"/>
      <c r="H845" s="5"/>
    </row>
    <row r="846" ht="15.75" customHeight="1">
      <c r="A846" s="5"/>
      <c r="B846" s="5"/>
      <c r="C846" s="5"/>
      <c r="D846" s="5"/>
      <c r="E846" s="5"/>
      <c r="F846" s="5"/>
      <c r="G846" s="5"/>
      <c r="H846" s="5"/>
    </row>
    <row r="847" ht="15.75" customHeight="1">
      <c r="A847" s="5"/>
      <c r="B847" s="5"/>
      <c r="C847" s="5"/>
      <c r="D847" s="5"/>
      <c r="E847" s="5"/>
      <c r="F847" s="5"/>
      <c r="G847" s="5"/>
      <c r="H847" s="5"/>
    </row>
    <row r="848" ht="15.75" customHeight="1">
      <c r="A848" s="5"/>
      <c r="B848" s="5"/>
      <c r="C848" s="5"/>
      <c r="D848" s="5"/>
      <c r="E848" s="5"/>
      <c r="F848" s="5"/>
      <c r="G848" s="5"/>
      <c r="H848" s="5"/>
    </row>
    <row r="849" ht="15.75" customHeight="1">
      <c r="A849" s="5"/>
      <c r="B849" s="5"/>
      <c r="C849" s="5"/>
      <c r="D849" s="5"/>
      <c r="E849" s="5"/>
      <c r="F849" s="5"/>
      <c r="G849" s="5"/>
      <c r="H849" s="5"/>
    </row>
    <row r="850" ht="15.75" customHeight="1">
      <c r="A850" s="5"/>
      <c r="B850" s="5"/>
      <c r="C850" s="5"/>
      <c r="D850" s="5"/>
      <c r="E850" s="5"/>
      <c r="F850" s="5"/>
      <c r="G850" s="5"/>
      <c r="H850" s="5"/>
    </row>
    <row r="851" ht="15.75" customHeight="1">
      <c r="A851" s="5"/>
      <c r="B851" s="5"/>
      <c r="C851" s="5"/>
      <c r="D851" s="5"/>
      <c r="E851" s="5"/>
      <c r="F851" s="5"/>
      <c r="G851" s="5"/>
      <c r="H851" s="5"/>
    </row>
    <row r="852" ht="15.75" customHeight="1">
      <c r="A852" s="5"/>
      <c r="B852" s="5"/>
      <c r="C852" s="5"/>
      <c r="D852" s="5"/>
      <c r="E852" s="5"/>
      <c r="F852" s="5"/>
      <c r="G852" s="5"/>
      <c r="H852" s="5"/>
    </row>
    <row r="853" ht="15.75" customHeight="1">
      <c r="A853" s="5"/>
      <c r="B853" s="5"/>
      <c r="C853" s="5"/>
      <c r="D853" s="5"/>
      <c r="E853" s="5"/>
      <c r="F853" s="5"/>
      <c r="G853" s="5"/>
      <c r="H853" s="5"/>
    </row>
    <row r="854" ht="15.75" customHeight="1">
      <c r="A854" s="5"/>
      <c r="B854" s="5"/>
      <c r="C854" s="5"/>
      <c r="D854" s="5"/>
      <c r="E854" s="5"/>
      <c r="F854" s="5"/>
      <c r="G854" s="5"/>
      <c r="H854" s="5"/>
    </row>
    <row r="855" ht="15.75" customHeight="1">
      <c r="A855" s="5"/>
      <c r="B855" s="5"/>
      <c r="C855" s="5"/>
      <c r="D855" s="5"/>
      <c r="E855" s="5"/>
      <c r="F855" s="5"/>
      <c r="G855" s="5"/>
      <c r="H855" s="5"/>
    </row>
    <row r="856" ht="15.75" customHeight="1">
      <c r="A856" s="5"/>
      <c r="B856" s="5"/>
      <c r="C856" s="5"/>
      <c r="D856" s="5"/>
      <c r="E856" s="5"/>
      <c r="F856" s="5"/>
      <c r="G856" s="5"/>
      <c r="H856" s="5"/>
    </row>
    <row r="857" ht="15.75" customHeight="1">
      <c r="A857" s="5"/>
      <c r="B857" s="5"/>
      <c r="C857" s="5"/>
      <c r="D857" s="5"/>
      <c r="E857" s="5"/>
      <c r="F857" s="5"/>
      <c r="G857" s="5"/>
      <c r="H857" s="5"/>
    </row>
    <row r="858" ht="15.75" customHeight="1">
      <c r="A858" s="5"/>
      <c r="B858" s="5"/>
      <c r="C858" s="5"/>
      <c r="D858" s="5"/>
      <c r="E858" s="5"/>
      <c r="F858" s="5"/>
      <c r="G858" s="5"/>
      <c r="H858" s="5"/>
    </row>
    <row r="859" ht="15.75" customHeight="1">
      <c r="A859" s="5"/>
      <c r="B859" s="5"/>
      <c r="C859" s="5"/>
      <c r="D859" s="5"/>
      <c r="E859" s="5"/>
      <c r="F859" s="5"/>
      <c r="G859" s="5"/>
      <c r="H859" s="5"/>
    </row>
    <row r="860" ht="15.75" customHeight="1">
      <c r="A860" s="5"/>
      <c r="B860" s="5"/>
      <c r="C860" s="5"/>
      <c r="D860" s="5"/>
      <c r="E860" s="5"/>
      <c r="F860" s="5"/>
      <c r="G860" s="5"/>
      <c r="H860" s="5"/>
    </row>
    <row r="861" ht="15.75" customHeight="1">
      <c r="A861" s="5"/>
      <c r="B861" s="5"/>
      <c r="C861" s="5"/>
      <c r="D861" s="5"/>
      <c r="E861" s="5"/>
      <c r="F861" s="5"/>
      <c r="G861" s="5"/>
      <c r="H861" s="5"/>
    </row>
    <row r="862" ht="15.75" customHeight="1">
      <c r="A862" s="5"/>
      <c r="B862" s="5"/>
      <c r="C862" s="5"/>
      <c r="D862" s="5"/>
      <c r="E862" s="5"/>
      <c r="F862" s="5"/>
      <c r="G862" s="5"/>
      <c r="H862" s="5"/>
    </row>
    <row r="863" ht="15.75" customHeight="1">
      <c r="A863" s="5"/>
      <c r="B863" s="5"/>
      <c r="C863" s="5"/>
      <c r="D863" s="5"/>
      <c r="E863" s="5"/>
      <c r="F863" s="5"/>
      <c r="G863" s="5"/>
      <c r="H863" s="5"/>
    </row>
    <row r="864" ht="15.75" customHeight="1">
      <c r="A864" s="5"/>
      <c r="B864" s="5"/>
      <c r="C864" s="5"/>
      <c r="D864" s="5"/>
      <c r="E864" s="5"/>
      <c r="F864" s="5"/>
      <c r="G864" s="5"/>
      <c r="H864" s="5"/>
    </row>
    <row r="865" ht="15.75" customHeight="1">
      <c r="A865" s="5"/>
      <c r="B865" s="5"/>
      <c r="C865" s="5"/>
      <c r="D865" s="5"/>
      <c r="E865" s="5"/>
      <c r="F865" s="5"/>
      <c r="G865" s="5"/>
      <c r="H865" s="5"/>
    </row>
    <row r="866" ht="15.75" customHeight="1">
      <c r="A866" s="5"/>
      <c r="B866" s="5"/>
      <c r="C866" s="5"/>
      <c r="D866" s="5"/>
      <c r="E866" s="5"/>
      <c r="F866" s="5"/>
      <c r="G866" s="5"/>
      <c r="H866" s="5"/>
    </row>
    <row r="867" ht="15.75" customHeight="1">
      <c r="A867" s="5"/>
      <c r="B867" s="5"/>
      <c r="C867" s="5"/>
      <c r="D867" s="5"/>
      <c r="E867" s="5"/>
      <c r="F867" s="5"/>
      <c r="G867" s="5"/>
      <c r="H867" s="5"/>
    </row>
    <row r="868" ht="15.75" customHeight="1">
      <c r="A868" s="5"/>
      <c r="B868" s="5"/>
      <c r="C868" s="5"/>
      <c r="D868" s="5"/>
      <c r="E868" s="5"/>
      <c r="F868" s="5"/>
      <c r="G868" s="5"/>
      <c r="H868" s="5"/>
    </row>
    <row r="869" ht="15.75" customHeight="1">
      <c r="A869" s="5"/>
      <c r="B869" s="5"/>
      <c r="C869" s="5"/>
      <c r="D869" s="5"/>
      <c r="E869" s="5"/>
      <c r="F869" s="5"/>
      <c r="G869" s="5"/>
      <c r="H869" s="5"/>
    </row>
    <row r="870" ht="15.75" customHeight="1">
      <c r="A870" s="5"/>
      <c r="B870" s="5"/>
      <c r="C870" s="5"/>
      <c r="D870" s="5"/>
      <c r="E870" s="5"/>
      <c r="F870" s="5"/>
      <c r="G870" s="5"/>
      <c r="H870" s="5"/>
    </row>
    <row r="871" ht="15.75" customHeight="1">
      <c r="A871" s="5"/>
      <c r="B871" s="5"/>
      <c r="C871" s="5"/>
      <c r="D871" s="5"/>
      <c r="E871" s="5"/>
      <c r="F871" s="5"/>
      <c r="G871" s="5"/>
      <c r="H871" s="5"/>
    </row>
    <row r="872" ht="15.75" customHeight="1">
      <c r="A872" s="5"/>
      <c r="B872" s="5"/>
      <c r="C872" s="5"/>
      <c r="D872" s="5"/>
      <c r="E872" s="5"/>
      <c r="F872" s="5"/>
      <c r="G872" s="5"/>
      <c r="H872" s="5"/>
    </row>
    <row r="873" ht="15.75" customHeight="1">
      <c r="A873" s="5"/>
      <c r="B873" s="5"/>
      <c r="C873" s="5"/>
      <c r="D873" s="5"/>
      <c r="E873" s="5"/>
      <c r="F873" s="5"/>
      <c r="G873" s="5"/>
      <c r="H873" s="5"/>
    </row>
    <row r="874" ht="15.75" customHeight="1">
      <c r="A874" s="5"/>
      <c r="B874" s="5"/>
      <c r="C874" s="5"/>
      <c r="D874" s="5"/>
      <c r="E874" s="5"/>
      <c r="F874" s="5"/>
      <c r="G874" s="5"/>
      <c r="H874" s="5"/>
    </row>
    <row r="875" ht="15.75" customHeight="1">
      <c r="A875" s="5"/>
      <c r="B875" s="5"/>
      <c r="C875" s="5"/>
      <c r="D875" s="5"/>
      <c r="E875" s="5"/>
      <c r="F875" s="5"/>
      <c r="G875" s="5"/>
      <c r="H875" s="5"/>
    </row>
    <row r="876" ht="15.75" customHeight="1">
      <c r="A876" s="5"/>
      <c r="B876" s="5"/>
      <c r="C876" s="5"/>
      <c r="D876" s="5"/>
      <c r="E876" s="5"/>
      <c r="F876" s="5"/>
      <c r="G876" s="5"/>
      <c r="H876" s="5"/>
    </row>
    <row r="877" ht="15.75" customHeight="1">
      <c r="A877" s="5"/>
      <c r="B877" s="5"/>
      <c r="C877" s="5"/>
      <c r="D877" s="5"/>
      <c r="E877" s="5"/>
      <c r="F877" s="5"/>
      <c r="G877" s="5"/>
      <c r="H877" s="5"/>
    </row>
    <row r="878" ht="15.75" customHeight="1">
      <c r="A878" s="5"/>
      <c r="B878" s="5"/>
      <c r="C878" s="5"/>
      <c r="D878" s="5"/>
      <c r="E878" s="5"/>
      <c r="F878" s="5"/>
      <c r="G878" s="5"/>
      <c r="H878" s="5"/>
    </row>
    <row r="879" ht="15.75" customHeight="1">
      <c r="A879" s="5"/>
      <c r="B879" s="5"/>
      <c r="C879" s="5"/>
      <c r="D879" s="5"/>
      <c r="E879" s="5"/>
      <c r="F879" s="5"/>
      <c r="G879" s="5"/>
      <c r="H879" s="5"/>
    </row>
    <row r="880" ht="15.75" customHeight="1">
      <c r="A880" s="5"/>
      <c r="B880" s="5"/>
      <c r="C880" s="5"/>
      <c r="D880" s="5"/>
      <c r="E880" s="5"/>
      <c r="F880" s="5"/>
      <c r="G880" s="5"/>
      <c r="H880" s="5"/>
    </row>
    <row r="881" ht="15.75" customHeight="1">
      <c r="A881" s="5"/>
      <c r="B881" s="5"/>
      <c r="C881" s="5"/>
      <c r="D881" s="5"/>
      <c r="E881" s="5"/>
      <c r="F881" s="5"/>
      <c r="G881" s="5"/>
      <c r="H881" s="5"/>
    </row>
    <row r="882" ht="15.75" customHeight="1">
      <c r="A882" s="5"/>
      <c r="B882" s="5"/>
      <c r="C882" s="5"/>
      <c r="D882" s="5"/>
      <c r="E882" s="5"/>
      <c r="F882" s="5"/>
      <c r="G882" s="5"/>
      <c r="H882" s="5"/>
    </row>
    <row r="883" ht="15.75" customHeight="1">
      <c r="A883" s="5"/>
      <c r="B883" s="5"/>
      <c r="C883" s="5"/>
      <c r="D883" s="5"/>
      <c r="E883" s="5"/>
      <c r="F883" s="5"/>
      <c r="G883" s="5"/>
      <c r="H883" s="5"/>
    </row>
    <row r="884" ht="15.75" customHeight="1">
      <c r="A884" s="5"/>
      <c r="B884" s="5"/>
      <c r="C884" s="5"/>
      <c r="D884" s="5"/>
      <c r="E884" s="5"/>
      <c r="F884" s="5"/>
      <c r="G884" s="5"/>
      <c r="H884" s="5"/>
    </row>
    <row r="885" ht="15.75" customHeight="1">
      <c r="A885" s="5"/>
      <c r="B885" s="5"/>
      <c r="C885" s="5"/>
      <c r="D885" s="5"/>
      <c r="E885" s="5"/>
      <c r="F885" s="5"/>
      <c r="G885" s="5"/>
      <c r="H885" s="5"/>
    </row>
    <row r="886" ht="15.75" customHeight="1">
      <c r="A886" s="5"/>
      <c r="B886" s="5"/>
      <c r="C886" s="5"/>
      <c r="D886" s="5"/>
      <c r="E886" s="5"/>
      <c r="F886" s="5"/>
      <c r="G886" s="5"/>
      <c r="H886" s="5"/>
    </row>
    <row r="887" ht="15.75" customHeight="1">
      <c r="A887" s="5"/>
      <c r="B887" s="5"/>
      <c r="C887" s="5"/>
      <c r="D887" s="5"/>
      <c r="E887" s="5"/>
      <c r="F887" s="5"/>
      <c r="G887" s="5"/>
      <c r="H887" s="5"/>
    </row>
    <row r="888" ht="15.75" customHeight="1">
      <c r="A888" s="5"/>
      <c r="B888" s="5"/>
      <c r="C888" s="5"/>
      <c r="D888" s="5"/>
      <c r="E888" s="5"/>
      <c r="F888" s="5"/>
      <c r="G888" s="5"/>
      <c r="H888" s="5"/>
    </row>
    <row r="889" ht="15.75" customHeight="1">
      <c r="A889" s="5"/>
      <c r="B889" s="5"/>
      <c r="C889" s="5"/>
      <c r="D889" s="5"/>
      <c r="E889" s="5"/>
      <c r="F889" s="5"/>
      <c r="G889" s="5"/>
      <c r="H889" s="5"/>
    </row>
    <row r="890" ht="15.75" customHeight="1">
      <c r="A890" s="5"/>
      <c r="B890" s="5"/>
      <c r="C890" s="5"/>
      <c r="D890" s="5"/>
      <c r="E890" s="5"/>
      <c r="F890" s="5"/>
      <c r="G890" s="5"/>
      <c r="H890" s="5"/>
    </row>
    <row r="891" ht="15.75" customHeight="1">
      <c r="A891" s="5"/>
      <c r="B891" s="5"/>
      <c r="C891" s="5"/>
      <c r="D891" s="5"/>
      <c r="E891" s="5"/>
      <c r="F891" s="5"/>
      <c r="G891" s="5"/>
      <c r="H891" s="5"/>
    </row>
    <row r="892" ht="15.75" customHeight="1">
      <c r="A892" s="5"/>
      <c r="B892" s="5"/>
      <c r="C892" s="5"/>
      <c r="D892" s="5"/>
      <c r="E892" s="5"/>
      <c r="F892" s="5"/>
      <c r="G892" s="5"/>
      <c r="H892" s="5"/>
    </row>
    <row r="893" ht="15.75" customHeight="1">
      <c r="A893" s="5"/>
      <c r="B893" s="5"/>
      <c r="C893" s="5"/>
      <c r="D893" s="5"/>
      <c r="E893" s="5"/>
      <c r="F893" s="5"/>
      <c r="G893" s="5"/>
      <c r="H893" s="5"/>
    </row>
    <row r="894" ht="15.75" customHeight="1">
      <c r="A894" s="5"/>
      <c r="B894" s="5"/>
      <c r="C894" s="5"/>
      <c r="D894" s="5"/>
      <c r="E894" s="5"/>
      <c r="F894" s="5"/>
      <c r="G894" s="5"/>
      <c r="H894" s="5"/>
    </row>
    <row r="895" ht="15.75" customHeight="1">
      <c r="A895" s="5"/>
      <c r="B895" s="5"/>
      <c r="C895" s="5"/>
      <c r="D895" s="5"/>
      <c r="E895" s="5"/>
      <c r="F895" s="5"/>
      <c r="G895" s="5"/>
      <c r="H895" s="5"/>
    </row>
    <row r="896" ht="15.75" customHeight="1">
      <c r="A896" s="5"/>
      <c r="B896" s="5"/>
      <c r="C896" s="5"/>
      <c r="D896" s="5"/>
      <c r="E896" s="5"/>
      <c r="F896" s="5"/>
      <c r="G896" s="5"/>
      <c r="H896" s="5"/>
    </row>
    <row r="897" ht="15.75" customHeight="1">
      <c r="A897" s="5"/>
      <c r="B897" s="5"/>
      <c r="C897" s="5"/>
      <c r="D897" s="5"/>
      <c r="E897" s="5"/>
      <c r="F897" s="5"/>
      <c r="G897" s="5"/>
      <c r="H897" s="5"/>
    </row>
    <row r="898" ht="15.75" customHeight="1">
      <c r="A898" s="5"/>
      <c r="B898" s="5"/>
      <c r="C898" s="5"/>
      <c r="D898" s="5"/>
      <c r="E898" s="5"/>
      <c r="F898" s="5"/>
      <c r="G898" s="5"/>
      <c r="H898" s="5"/>
    </row>
    <row r="899" ht="15.75" customHeight="1">
      <c r="A899" s="5"/>
      <c r="B899" s="5"/>
      <c r="C899" s="5"/>
      <c r="D899" s="5"/>
      <c r="E899" s="5"/>
      <c r="F899" s="5"/>
      <c r="G899" s="5"/>
      <c r="H899" s="5"/>
    </row>
    <row r="900" ht="15.75" customHeight="1">
      <c r="A900" s="5"/>
      <c r="B900" s="5"/>
      <c r="C900" s="5"/>
      <c r="D900" s="5"/>
      <c r="E900" s="5"/>
      <c r="F900" s="5"/>
      <c r="G900" s="5"/>
      <c r="H900" s="5"/>
    </row>
    <row r="901" ht="15.75" customHeight="1">
      <c r="A901" s="5"/>
      <c r="B901" s="5"/>
      <c r="C901" s="5"/>
      <c r="D901" s="5"/>
      <c r="E901" s="5"/>
      <c r="F901" s="5"/>
      <c r="G901" s="5"/>
      <c r="H901" s="5"/>
    </row>
    <row r="902" ht="15.75" customHeight="1">
      <c r="A902" s="5"/>
      <c r="B902" s="5"/>
      <c r="C902" s="5"/>
      <c r="D902" s="5"/>
      <c r="E902" s="5"/>
      <c r="F902" s="5"/>
      <c r="G902" s="5"/>
      <c r="H902" s="5"/>
    </row>
    <row r="903" ht="15.75" customHeight="1">
      <c r="A903" s="5"/>
      <c r="B903" s="5"/>
      <c r="C903" s="5"/>
      <c r="D903" s="5"/>
      <c r="E903" s="5"/>
      <c r="F903" s="5"/>
      <c r="G903" s="5"/>
      <c r="H903" s="5"/>
    </row>
    <row r="904" ht="15.75" customHeight="1">
      <c r="A904" s="5"/>
      <c r="B904" s="5"/>
      <c r="C904" s="5"/>
      <c r="D904" s="5"/>
      <c r="E904" s="5"/>
      <c r="F904" s="5"/>
      <c r="G904" s="5"/>
      <c r="H904" s="5"/>
    </row>
    <row r="905" ht="15.75" customHeight="1">
      <c r="A905" s="5"/>
      <c r="B905" s="5"/>
      <c r="C905" s="5"/>
      <c r="D905" s="5"/>
      <c r="E905" s="5"/>
      <c r="F905" s="5"/>
      <c r="G905" s="5"/>
      <c r="H905" s="5"/>
    </row>
    <row r="906" ht="15.75" customHeight="1">
      <c r="A906" s="5"/>
      <c r="B906" s="5"/>
      <c r="C906" s="5"/>
      <c r="D906" s="5"/>
      <c r="E906" s="5"/>
      <c r="F906" s="5"/>
      <c r="G906" s="5"/>
      <c r="H906" s="5"/>
    </row>
    <row r="907" ht="15.75" customHeight="1">
      <c r="A907" s="5"/>
      <c r="B907" s="5"/>
      <c r="C907" s="5"/>
      <c r="D907" s="5"/>
      <c r="E907" s="5"/>
      <c r="F907" s="5"/>
      <c r="G907" s="5"/>
      <c r="H907" s="5"/>
    </row>
    <row r="908" ht="15.75" customHeight="1">
      <c r="A908" s="5"/>
      <c r="B908" s="5"/>
      <c r="C908" s="5"/>
      <c r="D908" s="5"/>
      <c r="E908" s="5"/>
      <c r="F908" s="5"/>
      <c r="G908" s="5"/>
      <c r="H908" s="5"/>
    </row>
    <row r="909" ht="15.75" customHeight="1">
      <c r="A909" s="5"/>
      <c r="B909" s="5"/>
      <c r="C909" s="5"/>
      <c r="D909" s="5"/>
      <c r="E909" s="5"/>
      <c r="F909" s="5"/>
      <c r="G909" s="5"/>
      <c r="H909" s="5"/>
    </row>
    <row r="910" ht="15.75" customHeight="1">
      <c r="A910" s="5"/>
      <c r="B910" s="5"/>
      <c r="C910" s="5"/>
      <c r="D910" s="5"/>
      <c r="E910" s="5"/>
      <c r="F910" s="5"/>
      <c r="G910" s="5"/>
      <c r="H910" s="5"/>
    </row>
    <row r="911" ht="15.75" customHeight="1">
      <c r="A911" s="5"/>
      <c r="B911" s="5"/>
      <c r="C911" s="5"/>
      <c r="D911" s="5"/>
      <c r="E911" s="5"/>
      <c r="F911" s="5"/>
      <c r="G911" s="5"/>
      <c r="H911" s="5"/>
    </row>
    <row r="912" ht="15.75" customHeight="1">
      <c r="A912" s="5"/>
      <c r="B912" s="5"/>
      <c r="C912" s="5"/>
      <c r="D912" s="5"/>
      <c r="E912" s="5"/>
      <c r="F912" s="5"/>
      <c r="G912" s="5"/>
      <c r="H912" s="5"/>
    </row>
    <row r="913" ht="15.75" customHeight="1">
      <c r="A913" s="5"/>
      <c r="B913" s="5"/>
      <c r="C913" s="5"/>
      <c r="D913" s="5"/>
      <c r="E913" s="5"/>
      <c r="F913" s="5"/>
      <c r="G913" s="5"/>
      <c r="H913" s="5"/>
    </row>
    <row r="914" ht="15.75" customHeight="1">
      <c r="A914" s="5"/>
      <c r="B914" s="5"/>
      <c r="C914" s="5"/>
      <c r="D914" s="5"/>
      <c r="E914" s="5"/>
      <c r="F914" s="5"/>
      <c r="G914" s="5"/>
      <c r="H914" s="5"/>
    </row>
    <row r="915" ht="15.75" customHeight="1">
      <c r="A915" s="5"/>
      <c r="B915" s="5"/>
      <c r="C915" s="5"/>
      <c r="D915" s="5"/>
      <c r="E915" s="5"/>
      <c r="F915" s="5"/>
      <c r="G915" s="5"/>
      <c r="H915" s="5"/>
    </row>
    <row r="916" ht="15.75" customHeight="1">
      <c r="A916" s="5"/>
      <c r="B916" s="5"/>
      <c r="C916" s="5"/>
      <c r="D916" s="5"/>
      <c r="E916" s="5"/>
      <c r="F916" s="5"/>
      <c r="G916" s="5"/>
      <c r="H916" s="5"/>
    </row>
    <row r="917" ht="15.75" customHeight="1">
      <c r="A917" s="5"/>
      <c r="B917" s="5"/>
      <c r="C917" s="5"/>
      <c r="D917" s="5"/>
      <c r="E917" s="5"/>
      <c r="F917" s="5"/>
      <c r="G917" s="5"/>
      <c r="H917" s="5"/>
    </row>
    <row r="918" ht="15.75" customHeight="1">
      <c r="A918" s="5"/>
      <c r="B918" s="5"/>
      <c r="C918" s="5"/>
      <c r="D918" s="5"/>
      <c r="E918" s="5"/>
      <c r="F918" s="5"/>
      <c r="G918" s="5"/>
      <c r="H918" s="5"/>
    </row>
    <row r="919" ht="15.75" customHeight="1">
      <c r="A919" s="5"/>
      <c r="B919" s="5"/>
      <c r="C919" s="5"/>
      <c r="D919" s="5"/>
      <c r="E919" s="5"/>
      <c r="F919" s="5"/>
      <c r="G919" s="5"/>
      <c r="H919" s="5"/>
    </row>
    <row r="920" ht="15.75" customHeight="1">
      <c r="A920" s="5"/>
      <c r="B920" s="5"/>
      <c r="C920" s="5"/>
      <c r="D920" s="5"/>
      <c r="E920" s="5"/>
      <c r="F920" s="5"/>
      <c r="G920" s="5"/>
      <c r="H920" s="5"/>
    </row>
    <row r="921" ht="15.75" customHeight="1">
      <c r="A921" s="5"/>
      <c r="B921" s="5"/>
      <c r="C921" s="5"/>
      <c r="D921" s="5"/>
      <c r="E921" s="5"/>
      <c r="F921" s="5"/>
      <c r="G921" s="5"/>
      <c r="H921" s="5"/>
    </row>
    <row r="922" ht="15.75" customHeight="1">
      <c r="A922" s="5"/>
      <c r="B922" s="5"/>
      <c r="C922" s="5"/>
      <c r="D922" s="5"/>
      <c r="E922" s="5"/>
      <c r="F922" s="5"/>
      <c r="G922" s="5"/>
      <c r="H922" s="5"/>
    </row>
    <row r="923" ht="15.75" customHeight="1">
      <c r="A923" s="5"/>
      <c r="B923" s="5"/>
      <c r="C923" s="5"/>
      <c r="D923" s="5"/>
      <c r="E923" s="5"/>
      <c r="F923" s="5"/>
      <c r="G923" s="5"/>
      <c r="H923" s="5"/>
    </row>
    <row r="924" ht="15.75" customHeight="1">
      <c r="A924" s="5"/>
      <c r="B924" s="5"/>
      <c r="C924" s="5"/>
      <c r="D924" s="5"/>
      <c r="E924" s="5"/>
      <c r="F924" s="5"/>
      <c r="G924" s="5"/>
      <c r="H924" s="5"/>
    </row>
    <row r="925" ht="15.75" customHeight="1">
      <c r="A925" s="5"/>
      <c r="B925" s="5"/>
      <c r="C925" s="5"/>
      <c r="D925" s="5"/>
      <c r="E925" s="5"/>
      <c r="F925" s="5"/>
      <c r="G925" s="5"/>
      <c r="H925" s="5"/>
    </row>
    <row r="926" ht="15.75" customHeight="1">
      <c r="A926" s="5"/>
      <c r="B926" s="5"/>
      <c r="C926" s="5"/>
      <c r="D926" s="5"/>
      <c r="E926" s="5"/>
      <c r="F926" s="5"/>
      <c r="G926" s="5"/>
      <c r="H926" s="5"/>
    </row>
    <row r="927" ht="15.75" customHeight="1">
      <c r="A927" s="5"/>
      <c r="B927" s="5"/>
      <c r="C927" s="5"/>
      <c r="D927" s="5"/>
      <c r="E927" s="5"/>
      <c r="F927" s="5"/>
      <c r="G927" s="5"/>
      <c r="H927" s="5"/>
    </row>
    <row r="928" ht="15.75" customHeight="1">
      <c r="A928" s="5"/>
      <c r="B928" s="5"/>
      <c r="C928" s="5"/>
      <c r="D928" s="5"/>
      <c r="E928" s="5"/>
      <c r="F928" s="5"/>
      <c r="G928" s="5"/>
      <c r="H928" s="5"/>
    </row>
    <row r="929" ht="15.75" customHeight="1">
      <c r="A929" s="5"/>
      <c r="B929" s="5"/>
      <c r="C929" s="5"/>
      <c r="D929" s="5"/>
      <c r="E929" s="5"/>
      <c r="F929" s="5"/>
      <c r="G929" s="5"/>
      <c r="H929" s="5"/>
    </row>
    <row r="930" ht="15.75" customHeight="1">
      <c r="A930" s="5"/>
      <c r="B930" s="5"/>
      <c r="C930" s="5"/>
      <c r="D930" s="5"/>
      <c r="E930" s="5"/>
      <c r="F930" s="5"/>
      <c r="G930" s="5"/>
      <c r="H930" s="5"/>
    </row>
    <row r="931" ht="15.75" customHeight="1">
      <c r="A931" s="5"/>
      <c r="B931" s="5"/>
      <c r="C931" s="5"/>
      <c r="D931" s="5"/>
      <c r="E931" s="5"/>
      <c r="F931" s="5"/>
      <c r="G931" s="5"/>
      <c r="H931" s="5"/>
    </row>
    <row r="932" ht="15.75" customHeight="1">
      <c r="A932" s="5"/>
      <c r="B932" s="5"/>
      <c r="C932" s="5"/>
      <c r="D932" s="5"/>
      <c r="E932" s="5"/>
      <c r="F932" s="5"/>
      <c r="G932" s="5"/>
      <c r="H932" s="5"/>
    </row>
    <row r="933" ht="15.75" customHeight="1">
      <c r="A933" s="5"/>
      <c r="B933" s="5"/>
      <c r="C933" s="5"/>
      <c r="D933" s="5"/>
      <c r="E933" s="5"/>
      <c r="F933" s="5"/>
      <c r="G933" s="5"/>
      <c r="H933" s="5"/>
    </row>
    <row r="934" ht="15.75" customHeight="1">
      <c r="A934" s="5"/>
      <c r="B934" s="5"/>
      <c r="C934" s="5"/>
      <c r="D934" s="5"/>
      <c r="E934" s="5"/>
      <c r="F934" s="5"/>
      <c r="G934" s="5"/>
      <c r="H934" s="5"/>
    </row>
    <row r="935" ht="15.75" customHeight="1">
      <c r="A935" s="5"/>
      <c r="B935" s="5"/>
      <c r="C935" s="5"/>
      <c r="D935" s="5"/>
      <c r="E935" s="5"/>
      <c r="F935" s="5"/>
      <c r="G935" s="5"/>
      <c r="H935" s="5"/>
    </row>
    <row r="936" ht="15.75" customHeight="1">
      <c r="A936" s="5"/>
      <c r="B936" s="5"/>
      <c r="C936" s="5"/>
      <c r="D936" s="5"/>
      <c r="E936" s="5"/>
      <c r="F936" s="5"/>
      <c r="G936" s="5"/>
      <c r="H936" s="5"/>
    </row>
    <row r="937" ht="15.75" customHeight="1">
      <c r="A937" s="5"/>
      <c r="B937" s="5"/>
      <c r="C937" s="5"/>
      <c r="D937" s="5"/>
      <c r="E937" s="5"/>
      <c r="F937" s="5"/>
      <c r="G937" s="5"/>
      <c r="H937" s="5"/>
    </row>
    <row r="938" ht="15.75" customHeight="1">
      <c r="A938" s="5"/>
      <c r="B938" s="5"/>
      <c r="C938" s="5"/>
      <c r="D938" s="5"/>
      <c r="E938" s="5"/>
      <c r="F938" s="5"/>
      <c r="G938" s="5"/>
      <c r="H938" s="5"/>
    </row>
    <row r="939" ht="15.75" customHeight="1">
      <c r="A939" s="5"/>
      <c r="B939" s="5"/>
      <c r="C939" s="5"/>
      <c r="D939" s="5"/>
      <c r="E939" s="5"/>
      <c r="F939" s="5"/>
      <c r="G939" s="5"/>
      <c r="H939" s="5"/>
    </row>
    <row r="940" ht="15.75" customHeight="1">
      <c r="A940" s="5"/>
      <c r="B940" s="5"/>
      <c r="C940" s="5"/>
      <c r="D940" s="5"/>
      <c r="E940" s="5"/>
      <c r="F940" s="5"/>
      <c r="G940" s="5"/>
      <c r="H940" s="5"/>
    </row>
    <row r="941" ht="15.75" customHeight="1">
      <c r="A941" s="5"/>
      <c r="B941" s="5"/>
      <c r="C941" s="5"/>
      <c r="D941" s="5"/>
      <c r="E941" s="5"/>
      <c r="F941" s="5"/>
      <c r="G941" s="5"/>
      <c r="H941" s="5"/>
    </row>
    <row r="942" ht="15.75" customHeight="1">
      <c r="A942" s="5"/>
      <c r="B942" s="5"/>
      <c r="C942" s="5"/>
      <c r="D942" s="5"/>
      <c r="E942" s="5"/>
      <c r="F942" s="5"/>
      <c r="G942" s="5"/>
      <c r="H942" s="5"/>
    </row>
    <row r="943" ht="15.75" customHeight="1">
      <c r="A943" s="5"/>
      <c r="B943" s="5"/>
      <c r="C943" s="5"/>
      <c r="D943" s="5"/>
      <c r="E943" s="5"/>
      <c r="F943" s="5"/>
      <c r="G943" s="5"/>
      <c r="H943" s="5"/>
    </row>
    <row r="944" ht="15.75" customHeight="1">
      <c r="A944" s="5"/>
      <c r="B944" s="5"/>
      <c r="C944" s="5"/>
      <c r="D944" s="5"/>
      <c r="E944" s="5"/>
      <c r="F944" s="5"/>
      <c r="G944" s="5"/>
      <c r="H944" s="5"/>
    </row>
    <row r="945" ht="15.75" customHeight="1">
      <c r="A945" s="5"/>
      <c r="B945" s="5"/>
      <c r="C945" s="5"/>
      <c r="D945" s="5"/>
      <c r="E945" s="5"/>
      <c r="F945" s="5"/>
      <c r="G945" s="5"/>
      <c r="H945" s="5"/>
    </row>
    <row r="946" ht="15.75" customHeight="1">
      <c r="A946" s="5"/>
      <c r="B946" s="5"/>
      <c r="C946" s="5"/>
      <c r="D946" s="5"/>
      <c r="E946" s="5"/>
      <c r="F946" s="5"/>
      <c r="G946" s="5"/>
      <c r="H946" s="5"/>
    </row>
    <row r="947" ht="15.75" customHeight="1">
      <c r="A947" s="5"/>
      <c r="B947" s="5"/>
      <c r="C947" s="5"/>
      <c r="D947" s="5"/>
      <c r="E947" s="5"/>
      <c r="F947" s="5"/>
      <c r="G947" s="5"/>
      <c r="H947" s="5"/>
    </row>
    <row r="948" ht="15.75" customHeight="1">
      <c r="A948" s="5"/>
      <c r="B948" s="5"/>
      <c r="C948" s="5"/>
      <c r="D948" s="5"/>
      <c r="E948" s="5"/>
      <c r="F948" s="5"/>
      <c r="G948" s="5"/>
      <c r="H948" s="5"/>
    </row>
    <row r="949" ht="15.75" customHeight="1">
      <c r="A949" s="5"/>
      <c r="B949" s="5"/>
      <c r="C949" s="5"/>
      <c r="D949" s="5"/>
      <c r="E949" s="5"/>
      <c r="F949" s="5"/>
      <c r="G949" s="5"/>
      <c r="H949" s="5"/>
    </row>
    <row r="950" ht="15.75" customHeight="1">
      <c r="A950" s="5"/>
      <c r="B950" s="5"/>
      <c r="C950" s="5"/>
      <c r="D950" s="5"/>
      <c r="E950" s="5"/>
      <c r="F950" s="5"/>
      <c r="G950" s="5"/>
      <c r="H950" s="5"/>
    </row>
    <row r="951" ht="15.75" customHeight="1">
      <c r="A951" s="5"/>
      <c r="B951" s="5"/>
      <c r="C951" s="5"/>
      <c r="D951" s="5"/>
      <c r="E951" s="5"/>
      <c r="F951" s="5"/>
      <c r="G951" s="5"/>
      <c r="H951" s="5"/>
    </row>
    <row r="952" ht="15.75" customHeight="1">
      <c r="A952" s="5"/>
      <c r="B952" s="5"/>
      <c r="C952" s="5"/>
      <c r="D952" s="5"/>
      <c r="E952" s="5"/>
      <c r="F952" s="5"/>
      <c r="G952" s="5"/>
      <c r="H952" s="5"/>
    </row>
    <row r="953" ht="15.75" customHeight="1">
      <c r="A953" s="5"/>
      <c r="B953" s="5"/>
      <c r="C953" s="5"/>
      <c r="D953" s="5"/>
      <c r="E953" s="5"/>
      <c r="F953" s="5"/>
      <c r="G953" s="5"/>
      <c r="H953" s="5"/>
    </row>
    <row r="954" ht="15.75" customHeight="1">
      <c r="A954" s="5"/>
      <c r="B954" s="5"/>
      <c r="C954" s="5"/>
      <c r="D954" s="5"/>
      <c r="E954" s="5"/>
      <c r="F954" s="5"/>
      <c r="G954" s="5"/>
      <c r="H954" s="5"/>
    </row>
    <row r="955" ht="15.75" customHeight="1">
      <c r="A955" s="5"/>
      <c r="B955" s="5"/>
      <c r="C955" s="5"/>
      <c r="D955" s="5"/>
      <c r="E955" s="5"/>
      <c r="F955" s="5"/>
      <c r="G955" s="5"/>
      <c r="H955" s="5"/>
    </row>
    <row r="956" ht="15.75" customHeight="1">
      <c r="A956" s="5"/>
      <c r="B956" s="5"/>
      <c r="C956" s="5"/>
      <c r="D956" s="5"/>
      <c r="E956" s="5"/>
      <c r="F956" s="5"/>
      <c r="G956" s="5"/>
      <c r="H956" s="5"/>
    </row>
    <row r="957" ht="15.75" customHeight="1">
      <c r="A957" s="5"/>
      <c r="B957" s="5"/>
      <c r="C957" s="5"/>
      <c r="D957" s="5"/>
      <c r="E957" s="5"/>
      <c r="F957" s="5"/>
      <c r="G957" s="5"/>
      <c r="H957" s="5"/>
    </row>
    <row r="958" ht="15.75" customHeight="1">
      <c r="A958" s="5"/>
      <c r="B958" s="5"/>
      <c r="C958" s="5"/>
      <c r="D958" s="5"/>
      <c r="E958" s="5"/>
      <c r="F958" s="5"/>
      <c r="G958" s="5"/>
      <c r="H958" s="5"/>
    </row>
    <row r="959" ht="15.75" customHeight="1">
      <c r="A959" s="5"/>
      <c r="B959" s="5"/>
      <c r="C959" s="5"/>
      <c r="D959" s="5"/>
      <c r="E959" s="5"/>
      <c r="F959" s="5"/>
      <c r="G959" s="5"/>
      <c r="H959" s="5"/>
    </row>
    <row r="960" ht="15.75" customHeight="1">
      <c r="A960" s="5"/>
      <c r="B960" s="5"/>
      <c r="C960" s="5"/>
      <c r="D960" s="5"/>
      <c r="E960" s="5"/>
      <c r="F960" s="5"/>
      <c r="G960" s="5"/>
      <c r="H960" s="5"/>
    </row>
    <row r="961" ht="15.75" customHeight="1">
      <c r="A961" s="5"/>
      <c r="B961" s="5"/>
      <c r="C961" s="5"/>
      <c r="D961" s="5"/>
      <c r="E961" s="5"/>
      <c r="F961" s="5"/>
      <c r="G961" s="5"/>
      <c r="H961" s="5"/>
    </row>
    <row r="962" ht="15.75" customHeight="1">
      <c r="A962" s="5"/>
      <c r="B962" s="5"/>
      <c r="C962" s="5"/>
      <c r="D962" s="5"/>
      <c r="E962" s="5"/>
      <c r="F962" s="5"/>
      <c r="G962" s="5"/>
      <c r="H962" s="5"/>
    </row>
    <row r="963" ht="15.75" customHeight="1">
      <c r="A963" s="5"/>
      <c r="B963" s="5"/>
      <c r="C963" s="5"/>
      <c r="D963" s="5"/>
      <c r="E963" s="5"/>
      <c r="F963" s="5"/>
      <c r="G963" s="5"/>
      <c r="H963" s="5"/>
    </row>
    <row r="964" ht="15.75" customHeight="1">
      <c r="A964" s="5"/>
      <c r="B964" s="5"/>
      <c r="C964" s="5"/>
      <c r="D964" s="5"/>
      <c r="E964" s="5"/>
      <c r="F964" s="5"/>
      <c r="G964" s="5"/>
      <c r="H964" s="5"/>
    </row>
    <row r="965" ht="15.75" customHeight="1">
      <c r="A965" s="5"/>
      <c r="B965" s="5"/>
      <c r="C965" s="5"/>
      <c r="D965" s="5"/>
      <c r="E965" s="5"/>
      <c r="F965" s="5"/>
      <c r="G965" s="5"/>
      <c r="H965" s="5"/>
    </row>
    <row r="966" ht="15.75" customHeight="1">
      <c r="A966" s="5"/>
      <c r="B966" s="5"/>
      <c r="C966" s="5"/>
      <c r="D966" s="5"/>
      <c r="E966" s="5"/>
      <c r="F966" s="5"/>
      <c r="G966" s="5"/>
      <c r="H966" s="5"/>
    </row>
    <row r="967" ht="15.75" customHeight="1">
      <c r="A967" s="5"/>
      <c r="B967" s="5"/>
      <c r="C967" s="5"/>
      <c r="D967" s="5"/>
      <c r="E967" s="5"/>
      <c r="F967" s="5"/>
      <c r="G967" s="5"/>
      <c r="H967" s="5"/>
    </row>
    <row r="968" ht="15.75" customHeight="1">
      <c r="A968" s="5"/>
      <c r="B968" s="5"/>
      <c r="C968" s="5"/>
      <c r="D968" s="5"/>
      <c r="E968" s="5"/>
      <c r="F968" s="5"/>
      <c r="G968" s="5"/>
      <c r="H968" s="5"/>
    </row>
    <row r="969" ht="15.75" customHeight="1">
      <c r="A969" s="5"/>
      <c r="B969" s="5"/>
      <c r="C969" s="5"/>
      <c r="D969" s="5"/>
      <c r="E969" s="5"/>
      <c r="F969" s="5"/>
      <c r="G969" s="5"/>
      <c r="H969" s="5"/>
    </row>
    <row r="970" ht="15.75" customHeight="1">
      <c r="A970" s="5"/>
      <c r="B970" s="5"/>
      <c r="C970" s="5"/>
      <c r="D970" s="5"/>
      <c r="E970" s="5"/>
      <c r="F970" s="5"/>
      <c r="G970" s="5"/>
      <c r="H970" s="5"/>
    </row>
    <row r="971" ht="15.75" customHeight="1">
      <c r="A971" s="5"/>
      <c r="B971" s="5"/>
      <c r="C971" s="5"/>
      <c r="D971" s="5"/>
      <c r="E971" s="5"/>
      <c r="F971" s="5"/>
      <c r="G971" s="5"/>
      <c r="H971" s="5"/>
    </row>
    <row r="972" ht="15.75" customHeight="1">
      <c r="A972" s="5"/>
      <c r="B972" s="5"/>
      <c r="C972" s="5"/>
      <c r="D972" s="5"/>
      <c r="E972" s="5"/>
      <c r="F972" s="5"/>
      <c r="G972" s="5"/>
      <c r="H972" s="5"/>
    </row>
    <row r="973" ht="15.75" customHeight="1">
      <c r="A973" s="5"/>
      <c r="B973" s="5"/>
      <c r="C973" s="5"/>
      <c r="D973" s="5"/>
      <c r="E973" s="5"/>
      <c r="F973" s="5"/>
      <c r="G973" s="5"/>
      <c r="H973" s="5"/>
    </row>
    <row r="974" ht="15.75" customHeight="1">
      <c r="A974" s="5"/>
      <c r="B974" s="5"/>
      <c r="C974" s="5"/>
      <c r="D974" s="5"/>
      <c r="E974" s="5"/>
      <c r="F974" s="5"/>
      <c r="G974" s="5"/>
      <c r="H974" s="5"/>
    </row>
    <row r="975" ht="15.75" customHeight="1">
      <c r="A975" s="5"/>
      <c r="B975" s="5"/>
      <c r="C975" s="5"/>
      <c r="D975" s="5"/>
      <c r="E975" s="5"/>
      <c r="F975" s="5"/>
      <c r="G975" s="5"/>
      <c r="H975" s="5"/>
    </row>
    <row r="976" ht="15.75" customHeight="1">
      <c r="A976" s="5"/>
      <c r="B976" s="5"/>
      <c r="C976" s="5"/>
      <c r="D976" s="5"/>
      <c r="E976" s="5"/>
      <c r="F976" s="5"/>
      <c r="G976" s="5"/>
      <c r="H976" s="5"/>
    </row>
    <row r="977" ht="15.75" customHeight="1">
      <c r="A977" s="5"/>
      <c r="B977" s="5"/>
      <c r="C977" s="5"/>
      <c r="D977" s="5"/>
      <c r="E977" s="5"/>
      <c r="F977" s="5"/>
      <c r="G977" s="5"/>
      <c r="H977" s="5"/>
    </row>
    <row r="978" ht="15.75" customHeight="1">
      <c r="A978" s="5"/>
      <c r="B978" s="5"/>
      <c r="C978" s="5"/>
      <c r="D978" s="5"/>
      <c r="E978" s="5"/>
      <c r="F978" s="5"/>
      <c r="G978" s="5"/>
      <c r="H978" s="5"/>
    </row>
    <row r="979" ht="15.75" customHeight="1">
      <c r="A979" s="5"/>
      <c r="B979" s="5"/>
      <c r="C979" s="5"/>
      <c r="D979" s="5"/>
      <c r="E979" s="5"/>
      <c r="F979" s="5"/>
      <c r="G979" s="5"/>
      <c r="H979" s="5"/>
    </row>
    <row r="980" ht="15.75" customHeight="1">
      <c r="A980" s="5"/>
      <c r="B980" s="5"/>
      <c r="C980" s="5"/>
      <c r="D980" s="5"/>
      <c r="E980" s="5"/>
      <c r="F980" s="5"/>
      <c r="G980" s="5"/>
      <c r="H980" s="5"/>
    </row>
    <row r="981" ht="15.75" customHeight="1">
      <c r="A981" s="5"/>
      <c r="B981" s="5"/>
      <c r="C981" s="5"/>
      <c r="D981" s="5"/>
      <c r="E981" s="5"/>
      <c r="F981" s="5"/>
      <c r="G981" s="5"/>
      <c r="H981" s="5"/>
    </row>
    <row r="982" ht="15.75" customHeight="1">
      <c r="A982" s="5"/>
      <c r="B982" s="5"/>
      <c r="C982" s="5"/>
      <c r="D982" s="5"/>
      <c r="E982" s="5"/>
      <c r="F982" s="5"/>
      <c r="G982" s="5"/>
      <c r="H982" s="5"/>
    </row>
    <row r="983" ht="15.75" customHeight="1">
      <c r="A983" s="5"/>
      <c r="B983" s="5"/>
      <c r="C983" s="5"/>
      <c r="D983" s="5"/>
      <c r="E983" s="5"/>
      <c r="F983" s="5"/>
      <c r="G983" s="5"/>
      <c r="H983" s="5"/>
    </row>
    <row r="984" ht="15.75" customHeight="1">
      <c r="A984" s="5"/>
      <c r="B984" s="5"/>
      <c r="C984" s="5"/>
      <c r="D984" s="5"/>
      <c r="E984" s="5"/>
      <c r="F984" s="5"/>
      <c r="G984" s="5"/>
      <c r="H984" s="5"/>
    </row>
    <row r="985" ht="15.75" customHeight="1">
      <c r="A985" s="5"/>
      <c r="B985" s="5"/>
      <c r="C985" s="5"/>
      <c r="D985" s="5"/>
      <c r="E985" s="5"/>
      <c r="F985" s="5"/>
      <c r="G985" s="5"/>
      <c r="H985" s="5"/>
    </row>
    <row r="986" ht="15.75" customHeight="1">
      <c r="A986" s="5"/>
      <c r="B986" s="5"/>
      <c r="C986" s="5"/>
      <c r="D986" s="5"/>
      <c r="E986" s="5"/>
      <c r="F986" s="5"/>
      <c r="G986" s="5"/>
      <c r="H986" s="5"/>
    </row>
    <row r="987" ht="15.75" customHeight="1">
      <c r="A987" s="5"/>
      <c r="B987" s="5"/>
      <c r="C987" s="5"/>
      <c r="D987" s="5"/>
      <c r="E987" s="5"/>
      <c r="F987" s="5"/>
      <c r="G987" s="5"/>
      <c r="H987" s="5"/>
    </row>
    <row r="988" ht="15.75" customHeight="1">
      <c r="A988" s="5"/>
      <c r="B988" s="5"/>
      <c r="C988" s="5"/>
      <c r="D988" s="5"/>
      <c r="E988" s="5"/>
      <c r="F988" s="5"/>
      <c r="G988" s="5"/>
      <c r="H988" s="5"/>
    </row>
    <row r="989" ht="15.75" customHeight="1">
      <c r="A989" s="5"/>
      <c r="B989" s="5"/>
      <c r="C989" s="5"/>
      <c r="D989" s="5"/>
      <c r="E989" s="5"/>
      <c r="F989" s="5"/>
      <c r="G989" s="5"/>
      <c r="H989" s="5"/>
    </row>
    <row r="990" ht="15.75" customHeight="1">
      <c r="A990" s="5"/>
      <c r="B990" s="5"/>
      <c r="C990" s="5"/>
      <c r="D990" s="5"/>
      <c r="E990" s="5"/>
      <c r="F990" s="5"/>
      <c r="G990" s="5"/>
      <c r="H990" s="5"/>
    </row>
    <row r="991" ht="15.75" customHeight="1">
      <c r="A991" s="5"/>
      <c r="B991" s="5"/>
      <c r="C991" s="5"/>
      <c r="D991" s="5"/>
      <c r="E991" s="5"/>
      <c r="F991" s="5"/>
      <c r="G991" s="5"/>
      <c r="H991" s="5"/>
    </row>
    <row r="992" ht="15.75" customHeight="1">
      <c r="A992" s="5"/>
      <c r="B992" s="5"/>
      <c r="C992" s="5"/>
      <c r="D992" s="5"/>
      <c r="E992" s="5"/>
      <c r="F992" s="5"/>
      <c r="G992" s="5"/>
      <c r="H992" s="5"/>
    </row>
    <row r="993" ht="15.75" customHeight="1">
      <c r="A993" s="5"/>
      <c r="B993" s="5"/>
      <c r="C993" s="5"/>
      <c r="D993" s="5"/>
      <c r="E993" s="5"/>
      <c r="F993" s="5"/>
      <c r="G993" s="5"/>
      <c r="H993" s="5"/>
    </row>
    <row r="994" ht="15.75" customHeight="1">
      <c r="A994" s="5"/>
      <c r="B994" s="5"/>
      <c r="C994" s="5"/>
      <c r="D994" s="5"/>
      <c r="E994" s="5"/>
      <c r="F994" s="5"/>
      <c r="G994" s="5"/>
      <c r="H994" s="5"/>
    </row>
    <row r="995" ht="15.75" customHeight="1">
      <c r="A995" s="5"/>
      <c r="B995" s="5"/>
      <c r="C995" s="5"/>
      <c r="D995" s="5"/>
      <c r="E995" s="5"/>
      <c r="F995" s="5"/>
      <c r="G995" s="5"/>
      <c r="H995" s="5"/>
    </row>
    <row r="996" ht="15.75" customHeight="1">
      <c r="A996" s="5"/>
      <c r="B996" s="5"/>
      <c r="C996" s="5"/>
      <c r="D996" s="5"/>
      <c r="E996" s="5"/>
      <c r="F996" s="5"/>
      <c r="G996" s="5"/>
      <c r="H996" s="5"/>
    </row>
    <row r="997" ht="15.75" customHeight="1">
      <c r="A997" s="5"/>
      <c r="B997" s="5"/>
      <c r="C997" s="5"/>
      <c r="D997" s="5"/>
      <c r="E997" s="5"/>
      <c r="F997" s="5"/>
      <c r="G997" s="5"/>
      <c r="H997" s="5"/>
    </row>
    <row r="998" ht="15.75" customHeight="1">
      <c r="A998" s="5"/>
      <c r="B998" s="5"/>
      <c r="C998" s="5"/>
      <c r="D998" s="5"/>
      <c r="E998" s="5"/>
      <c r="F998" s="5"/>
      <c r="G998" s="5"/>
      <c r="H998" s="5"/>
    </row>
    <row r="999" ht="15.75" customHeight="1">
      <c r="A999" s="5"/>
      <c r="B999" s="5"/>
      <c r="C999" s="5"/>
      <c r="D999" s="5"/>
      <c r="E999" s="5"/>
      <c r="F999" s="5"/>
      <c r="G999" s="5"/>
      <c r="H999" s="5"/>
    </row>
    <row r="1000" ht="15.75" customHeight="1">
      <c r="A1000" s="5"/>
      <c r="B1000" s="5"/>
      <c r="C1000" s="5"/>
      <c r="D1000" s="5"/>
      <c r="E1000" s="5"/>
      <c r="F1000" s="5"/>
      <c r="G1000" s="5"/>
      <c r="H1000" s="5"/>
    </row>
  </sheetData>
  <mergeCells count="1">
    <mergeCell ref="A1:H1"/>
  </mergeCells>
  <dataValidations>
    <dataValidation type="list" allowBlank="1" sqref="H7:H206">
      <formula1>"Settled,Unsettled,Partial"</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9.25"/>
    <col customWidth="1" min="3" max="3" width="26.25"/>
    <col customWidth="1" min="4" max="4" width="14.0"/>
    <col customWidth="1" min="5" max="5" width="12.25"/>
    <col customWidth="1" min="6" max="6" width="26.25"/>
    <col customWidth="1" min="7" max="7" width="12.25"/>
  </cols>
  <sheetData>
    <row r="1">
      <c r="A1" s="94" t="s">
        <v>311</v>
      </c>
      <c r="B1" s="95"/>
      <c r="C1" s="95"/>
      <c r="D1" s="95"/>
      <c r="E1" s="95"/>
      <c r="F1" s="95"/>
      <c r="G1" s="95"/>
      <c r="H1" s="95"/>
      <c r="I1" s="95"/>
      <c r="J1" s="95"/>
      <c r="K1" s="96"/>
      <c r="L1" s="96"/>
      <c r="M1" s="96"/>
      <c r="N1" s="96"/>
      <c r="O1" s="96"/>
      <c r="P1" s="96"/>
      <c r="Q1" s="96"/>
      <c r="R1" s="96"/>
      <c r="S1" s="96"/>
      <c r="T1" s="96"/>
      <c r="U1" s="96"/>
      <c r="V1" s="96"/>
      <c r="W1" s="96"/>
      <c r="X1" s="96"/>
      <c r="Y1" s="96"/>
      <c r="Z1" s="96"/>
    </row>
    <row r="2">
      <c r="A2" s="97" t="s">
        <v>313</v>
      </c>
      <c r="B2" s="95"/>
      <c r="C2" s="95"/>
      <c r="D2" s="95"/>
      <c r="E2" s="95"/>
      <c r="F2" s="95"/>
      <c r="G2" s="95"/>
      <c r="H2" s="95"/>
      <c r="I2" s="95"/>
      <c r="J2" s="95"/>
      <c r="K2" s="96"/>
      <c r="L2" s="96"/>
      <c r="M2" s="96"/>
      <c r="N2" s="96"/>
      <c r="O2" s="96"/>
      <c r="P2" s="96"/>
      <c r="Q2" s="96"/>
      <c r="R2" s="96"/>
      <c r="S2" s="96"/>
      <c r="T2" s="96"/>
      <c r="U2" s="96"/>
      <c r="V2" s="96"/>
      <c r="W2" s="96"/>
      <c r="X2" s="96"/>
      <c r="Y2" s="96"/>
      <c r="Z2" s="96"/>
    </row>
    <row r="3">
      <c r="A3" s="98" t="s">
        <v>53</v>
      </c>
      <c r="B3" s="98" t="s">
        <v>54</v>
      </c>
      <c r="C3" s="98" t="s">
        <v>7</v>
      </c>
      <c r="D3" s="98" t="s">
        <v>55</v>
      </c>
      <c r="E3" s="98" t="s">
        <v>56</v>
      </c>
      <c r="F3" s="98" t="s">
        <v>57</v>
      </c>
      <c r="G3" s="98" t="s">
        <v>58</v>
      </c>
      <c r="H3" s="98" t="s">
        <v>59</v>
      </c>
      <c r="I3" s="98" t="s">
        <v>22</v>
      </c>
      <c r="J3" s="98" t="s">
        <v>314</v>
      </c>
      <c r="K3" s="96"/>
      <c r="L3" s="96"/>
      <c r="M3" s="96"/>
      <c r="N3" s="96"/>
      <c r="O3" s="96"/>
      <c r="P3" s="96"/>
      <c r="Q3" s="96"/>
      <c r="R3" s="96"/>
      <c r="S3" s="96"/>
      <c r="T3" s="96"/>
      <c r="U3" s="96"/>
      <c r="V3" s="96"/>
      <c r="W3" s="96"/>
      <c r="X3" s="96"/>
      <c r="Y3" s="96"/>
      <c r="Z3" s="96"/>
    </row>
    <row r="4">
      <c r="A4" s="70">
        <v>46236.0</v>
      </c>
      <c r="B4" s="58" t="s">
        <v>315</v>
      </c>
      <c r="C4" s="58" t="s">
        <v>76</v>
      </c>
      <c r="D4" s="58" t="s">
        <v>317</v>
      </c>
      <c r="E4" s="58" t="s">
        <v>109</v>
      </c>
      <c r="F4" s="68">
        <v>84.0</v>
      </c>
      <c r="G4" s="58" t="s">
        <v>26</v>
      </c>
      <c r="H4" s="50"/>
      <c r="I4" s="58" t="s">
        <v>65</v>
      </c>
      <c r="J4" s="99"/>
      <c r="K4" s="96"/>
      <c r="L4" s="96"/>
      <c r="M4" s="96"/>
      <c r="N4" s="96"/>
      <c r="O4" s="96"/>
      <c r="P4" s="96"/>
      <c r="Q4" s="96"/>
      <c r="R4" s="96"/>
      <c r="S4" s="96"/>
      <c r="T4" s="96"/>
      <c r="U4" s="96"/>
      <c r="V4" s="96"/>
      <c r="W4" s="96"/>
      <c r="X4" s="96"/>
      <c r="Y4" s="96"/>
      <c r="Z4" s="96"/>
    </row>
    <row r="5">
      <c r="A5" s="100">
        <v>46199.0</v>
      </c>
      <c r="B5" s="101" t="s">
        <v>152</v>
      </c>
      <c r="C5" s="101" t="s">
        <v>76</v>
      </c>
      <c r="D5" s="101" t="s">
        <v>63</v>
      </c>
      <c r="E5" s="101" t="s">
        <v>222</v>
      </c>
      <c r="F5" s="101">
        <v>100.8</v>
      </c>
      <c r="G5" s="101" t="s">
        <v>26</v>
      </c>
      <c r="H5" s="102"/>
      <c r="I5" s="101" t="s">
        <v>318</v>
      </c>
      <c r="J5" s="99"/>
      <c r="K5" s="96"/>
      <c r="L5" s="96"/>
      <c r="M5" s="103" t="s">
        <v>319</v>
      </c>
      <c r="N5" s="96"/>
      <c r="O5" s="96"/>
      <c r="P5" s="96"/>
      <c r="Q5" s="96"/>
      <c r="R5" s="96"/>
      <c r="S5" s="96"/>
      <c r="T5" s="96"/>
      <c r="U5" s="96"/>
      <c r="V5" s="96"/>
      <c r="W5" s="96"/>
      <c r="X5" s="96"/>
      <c r="Y5" s="96"/>
      <c r="Z5" s="96"/>
    </row>
    <row r="6">
      <c r="A6" s="100">
        <v>46228.0</v>
      </c>
      <c r="B6" s="101" t="s">
        <v>153</v>
      </c>
      <c r="C6" s="101" t="s">
        <v>76</v>
      </c>
      <c r="D6" s="101" t="s">
        <v>63</v>
      </c>
      <c r="E6" s="101" t="s">
        <v>64</v>
      </c>
      <c r="F6" s="101">
        <f>51.04+48.84+5.5+11.25</f>
        <v>116.63</v>
      </c>
      <c r="G6" s="101" t="s">
        <v>30</v>
      </c>
      <c r="H6" s="104"/>
      <c r="I6" s="104"/>
      <c r="J6" s="105"/>
      <c r="K6" s="96"/>
      <c r="L6" s="96"/>
      <c r="M6" s="96">
        <f>sumif(G:G,"PEC",F:F)</f>
        <v>293.02</v>
      </c>
      <c r="N6" s="96"/>
      <c r="O6" s="96"/>
      <c r="P6" s="96"/>
      <c r="Q6" s="96"/>
      <c r="R6" s="96"/>
      <c r="S6" s="96"/>
      <c r="T6" s="96"/>
      <c r="U6" s="96"/>
      <c r="V6" s="96"/>
      <c r="W6" s="96"/>
      <c r="X6" s="96"/>
      <c r="Y6" s="96"/>
      <c r="Z6" s="96"/>
    </row>
    <row r="7">
      <c r="A7" s="106">
        <v>46228.0</v>
      </c>
      <c r="B7" s="107" t="s">
        <v>154</v>
      </c>
      <c r="C7" s="107" t="s">
        <v>76</v>
      </c>
      <c r="D7" s="107" t="s">
        <v>63</v>
      </c>
      <c r="E7" s="107" t="s">
        <v>321</v>
      </c>
      <c r="F7" s="107">
        <v>106.02</v>
      </c>
      <c r="G7" s="107" t="s">
        <v>30</v>
      </c>
      <c r="H7" s="102"/>
      <c r="I7" s="102"/>
      <c r="J7" s="105"/>
      <c r="K7" s="96"/>
      <c r="L7" s="96"/>
      <c r="M7" s="96"/>
      <c r="N7" s="96"/>
      <c r="O7" s="96"/>
      <c r="P7" s="96"/>
      <c r="Q7" s="96"/>
      <c r="R7" s="96"/>
      <c r="S7" s="96"/>
      <c r="T7" s="96"/>
      <c r="U7" s="96"/>
      <c r="V7" s="96"/>
      <c r="W7" s="96"/>
      <c r="X7" s="96"/>
      <c r="Y7" s="96"/>
      <c r="Z7" s="96"/>
    </row>
    <row r="8">
      <c r="A8" s="100">
        <v>46227.0</v>
      </c>
      <c r="B8" s="101" t="s">
        <v>155</v>
      </c>
      <c r="C8" s="101" t="s">
        <v>76</v>
      </c>
      <c r="D8" s="101" t="s">
        <v>63</v>
      </c>
      <c r="E8" s="101" t="s">
        <v>322</v>
      </c>
      <c r="F8" s="101">
        <v>55.5</v>
      </c>
      <c r="G8" s="101" t="s">
        <v>30</v>
      </c>
      <c r="H8" s="104"/>
      <c r="I8" s="104"/>
      <c r="J8" s="105"/>
      <c r="K8" s="96"/>
      <c r="L8" s="96"/>
      <c r="M8" s="103" t="s">
        <v>323</v>
      </c>
      <c r="N8" s="96"/>
      <c r="O8" s="96"/>
      <c r="P8" s="96"/>
      <c r="Q8" s="96"/>
      <c r="R8" s="96"/>
      <c r="S8" s="96"/>
      <c r="T8" s="96"/>
      <c r="U8" s="96"/>
      <c r="V8" s="96"/>
      <c r="W8" s="96"/>
      <c r="X8" s="96"/>
      <c r="Y8" s="96"/>
      <c r="Z8" s="96"/>
    </row>
    <row r="9">
      <c r="A9" s="100">
        <v>46239.0</v>
      </c>
      <c r="B9" s="101" t="s">
        <v>156</v>
      </c>
      <c r="C9" s="101" t="s">
        <v>76</v>
      </c>
      <c r="D9" s="101" t="s">
        <v>63</v>
      </c>
      <c r="E9" s="101" t="s">
        <v>217</v>
      </c>
      <c r="F9" s="101">
        <v>80.0</v>
      </c>
      <c r="G9" s="101" t="s">
        <v>30</v>
      </c>
      <c r="H9" s="102"/>
      <c r="I9" s="102"/>
      <c r="J9" s="105"/>
      <c r="K9" s="96"/>
      <c r="L9" s="96"/>
      <c r="M9" s="96">
        <f>sumif(G:G,"SFI",F:F)</f>
        <v>523.2</v>
      </c>
      <c r="N9" s="96"/>
      <c r="O9" s="96"/>
      <c r="P9" s="96"/>
      <c r="Q9" s="96"/>
      <c r="R9" s="96"/>
      <c r="S9" s="96"/>
      <c r="T9" s="96"/>
      <c r="U9" s="96"/>
      <c r="V9" s="96"/>
      <c r="W9" s="96"/>
      <c r="X9" s="96"/>
      <c r="Y9" s="96"/>
      <c r="Z9" s="96"/>
    </row>
    <row r="10">
      <c r="A10" s="106">
        <v>46258.0</v>
      </c>
      <c r="B10" s="107" t="s">
        <v>157</v>
      </c>
      <c r="C10" s="107" t="s">
        <v>76</v>
      </c>
      <c r="D10" s="107" t="s">
        <v>63</v>
      </c>
      <c r="E10" s="107" t="s">
        <v>324</v>
      </c>
      <c r="F10" s="107">
        <v>90.0</v>
      </c>
      <c r="G10" s="107" t="s">
        <v>46</v>
      </c>
      <c r="H10" s="104"/>
      <c r="I10" s="104"/>
      <c r="J10" s="105"/>
      <c r="K10" s="96"/>
      <c r="L10" s="96"/>
      <c r="M10" s="96"/>
      <c r="N10" s="96"/>
      <c r="O10" s="96"/>
      <c r="P10" s="96"/>
      <c r="Q10" s="96"/>
      <c r="R10" s="96"/>
      <c r="S10" s="96"/>
      <c r="T10" s="96"/>
      <c r="U10" s="96"/>
      <c r="V10" s="96"/>
      <c r="W10" s="96"/>
      <c r="X10" s="96"/>
      <c r="Y10" s="96"/>
      <c r="Z10" s="96"/>
    </row>
    <row r="11">
      <c r="A11" s="100">
        <v>46258.0</v>
      </c>
      <c r="B11" s="101" t="s">
        <v>158</v>
      </c>
      <c r="C11" s="101" t="s">
        <v>76</v>
      </c>
      <c r="D11" s="101" t="s">
        <v>63</v>
      </c>
      <c r="E11" s="101" t="s">
        <v>325</v>
      </c>
      <c r="F11" s="101">
        <v>95.83</v>
      </c>
      <c r="G11" s="101" t="s">
        <v>46</v>
      </c>
      <c r="H11" s="102"/>
      <c r="I11" s="102"/>
      <c r="J11" s="105"/>
      <c r="K11" s="96"/>
      <c r="L11" s="96"/>
      <c r="M11" s="103" t="s">
        <v>326</v>
      </c>
      <c r="N11" s="96"/>
      <c r="O11" s="96"/>
      <c r="P11" s="96"/>
      <c r="Q11" s="96"/>
      <c r="R11" s="96"/>
      <c r="S11" s="96"/>
      <c r="T11" s="96"/>
      <c r="U11" s="96"/>
      <c r="V11" s="96"/>
      <c r="W11" s="96"/>
      <c r="X11" s="96"/>
      <c r="Y11" s="96"/>
      <c r="Z11" s="96"/>
    </row>
    <row r="12">
      <c r="A12" s="100">
        <v>46255.0</v>
      </c>
      <c r="B12" s="101" t="s">
        <v>160</v>
      </c>
      <c r="C12" s="101" t="s">
        <v>76</v>
      </c>
      <c r="D12" s="101" t="s">
        <v>63</v>
      </c>
      <c r="E12" s="101" t="s">
        <v>83</v>
      </c>
      <c r="F12" s="101">
        <v>133.19</v>
      </c>
      <c r="G12" s="101" t="s">
        <v>46</v>
      </c>
      <c r="H12" s="104"/>
      <c r="I12" s="104"/>
      <c r="J12" s="105"/>
      <c r="K12" s="96"/>
      <c r="L12" s="96"/>
      <c r="M12" s="96">
        <f>sumif(G:G,"ESC",F:F)</f>
        <v>574.23</v>
      </c>
      <c r="N12" s="96"/>
      <c r="O12" s="96"/>
      <c r="P12" s="96"/>
      <c r="Q12" s="96"/>
      <c r="R12" s="96"/>
      <c r="S12" s="96"/>
      <c r="T12" s="96"/>
      <c r="U12" s="96"/>
      <c r="V12" s="96"/>
      <c r="W12" s="96"/>
      <c r="X12" s="96"/>
      <c r="Y12" s="96"/>
      <c r="Z12" s="96"/>
    </row>
    <row r="13">
      <c r="A13" s="106">
        <v>46260.0</v>
      </c>
      <c r="B13" s="107" t="s">
        <v>161</v>
      </c>
      <c r="C13" s="107" t="s">
        <v>76</v>
      </c>
      <c r="D13" s="107" t="s">
        <v>63</v>
      </c>
      <c r="E13" s="107" t="s">
        <v>327</v>
      </c>
      <c r="F13" s="107">
        <v>96.57</v>
      </c>
      <c r="G13" s="107" t="s">
        <v>46</v>
      </c>
      <c r="H13" s="102"/>
      <c r="I13" s="102"/>
      <c r="J13" s="105"/>
      <c r="K13" s="96"/>
      <c r="L13" s="96"/>
      <c r="M13" s="96"/>
      <c r="N13" s="96"/>
      <c r="O13" s="96"/>
      <c r="P13" s="96"/>
      <c r="Q13" s="96"/>
      <c r="R13" s="96"/>
      <c r="S13" s="96"/>
      <c r="T13" s="96"/>
      <c r="U13" s="96"/>
      <c r="V13" s="96"/>
      <c r="W13" s="96"/>
      <c r="X13" s="96"/>
      <c r="Y13" s="96"/>
      <c r="Z13" s="96"/>
    </row>
    <row r="14">
      <c r="A14" s="65">
        <v>46201.0</v>
      </c>
      <c r="B14" s="53" t="s">
        <v>276</v>
      </c>
      <c r="C14" s="53" t="s">
        <v>76</v>
      </c>
      <c r="D14" s="53" t="s">
        <v>63</v>
      </c>
      <c r="E14" s="58" t="s">
        <v>112</v>
      </c>
      <c r="F14" s="61">
        <v>108.22</v>
      </c>
      <c r="G14" s="53" t="s">
        <v>26</v>
      </c>
      <c r="H14" s="104"/>
      <c r="I14" s="104"/>
      <c r="J14" s="105"/>
      <c r="K14" s="96"/>
      <c r="L14" s="96"/>
      <c r="M14" s="96"/>
      <c r="N14" s="96"/>
      <c r="O14" s="96"/>
      <c r="P14" s="96"/>
      <c r="Q14" s="96"/>
      <c r="R14" s="96"/>
      <c r="S14" s="96"/>
      <c r="T14" s="96"/>
      <c r="U14" s="96"/>
      <c r="V14" s="96"/>
      <c r="W14" s="96"/>
      <c r="X14" s="96"/>
      <c r="Y14" s="96"/>
      <c r="Z14" s="96"/>
    </row>
    <row r="15">
      <c r="A15" s="64">
        <v>46227.0</v>
      </c>
      <c r="B15" s="50" t="s">
        <v>288</v>
      </c>
      <c r="C15" s="50" t="s">
        <v>76</v>
      </c>
      <c r="D15" s="50" t="s">
        <v>63</v>
      </c>
      <c r="E15" s="58" t="s">
        <v>112</v>
      </c>
      <c r="F15" s="51">
        <v>37.22</v>
      </c>
      <c r="G15" s="50" t="s">
        <v>30</v>
      </c>
      <c r="H15" s="102"/>
      <c r="I15" s="102"/>
      <c r="J15" s="105"/>
      <c r="K15" s="96"/>
      <c r="L15" s="96"/>
      <c r="M15" s="96"/>
      <c r="N15" s="96"/>
      <c r="O15" s="96"/>
      <c r="P15" s="96"/>
      <c r="Q15" s="96"/>
      <c r="R15" s="96"/>
      <c r="S15" s="96"/>
      <c r="T15" s="96"/>
      <c r="U15" s="96"/>
      <c r="V15" s="96"/>
      <c r="W15" s="96"/>
      <c r="X15" s="96"/>
      <c r="Y15" s="96"/>
      <c r="Z15" s="96"/>
    </row>
    <row r="16">
      <c r="A16" s="100">
        <v>46228.0</v>
      </c>
      <c r="B16" s="101" t="s">
        <v>289</v>
      </c>
      <c r="C16" s="101" t="s">
        <v>76</v>
      </c>
      <c r="D16" s="101" t="s">
        <v>63</v>
      </c>
      <c r="E16" s="101" t="s">
        <v>222</v>
      </c>
      <c r="F16" s="101">
        <v>127.83</v>
      </c>
      <c r="G16" s="101" t="s">
        <v>30</v>
      </c>
      <c r="H16" s="104"/>
      <c r="I16" s="104"/>
      <c r="J16" s="105"/>
      <c r="K16" s="96"/>
      <c r="L16" s="96"/>
      <c r="M16" s="96"/>
      <c r="N16" s="96"/>
      <c r="O16" s="96"/>
      <c r="P16" s="96"/>
      <c r="Q16" s="96"/>
      <c r="R16" s="96"/>
      <c r="S16" s="96"/>
      <c r="T16" s="96"/>
      <c r="U16" s="96"/>
      <c r="V16" s="96"/>
      <c r="W16" s="96"/>
      <c r="X16" s="96"/>
      <c r="Y16" s="96"/>
      <c r="Z16" s="96"/>
    </row>
    <row r="17">
      <c r="A17" s="106">
        <v>46257.0</v>
      </c>
      <c r="B17" s="107" t="s">
        <v>290</v>
      </c>
      <c r="C17" s="107" t="s">
        <v>76</v>
      </c>
      <c r="D17" s="107" t="s">
        <v>63</v>
      </c>
      <c r="E17" s="107" t="s">
        <v>222</v>
      </c>
      <c r="F17" s="107">
        <v>43.52</v>
      </c>
      <c r="G17" s="107" t="s">
        <v>46</v>
      </c>
      <c r="H17" s="102"/>
      <c r="I17" s="102"/>
      <c r="J17" s="105"/>
      <c r="K17" s="96"/>
      <c r="L17" s="96"/>
      <c r="M17" s="96"/>
      <c r="N17" s="96"/>
      <c r="O17" s="96"/>
      <c r="P17" s="96"/>
      <c r="Q17" s="96"/>
      <c r="R17" s="96"/>
      <c r="S17" s="96"/>
      <c r="T17" s="96"/>
      <c r="U17" s="96"/>
      <c r="V17" s="96"/>
      <c r="W17" s="96"/>
      <c r="X17" s="96"/>
      <c r="Y17" s="96"/>
      <c r="Z17" s="96"/>
    </row>
    <row r="18">
      <c r="A18" s="104"/>
      <c r="B18" s="108" t="s">
        <v>296</v>
      </c>
      <c r="C18" s="108" t="s">
        <v>76</v>
      </c>
      <c r="D18" s="108" t="s">
        <v>63</v>
      </c>
      <c r="E18" s="108" t="s">
        <v>87</v>
      </c>
      <c r="F18" s="108">
        <v>117.91</v>
      </c>
      <c r="G18" s="108" t="s">
        <v>48</v>
      </c>
      <c r="H18" s="104"/>
      <c r="I18" s="104"/>
      <c r="J18" s="105"/>
      <c r="K18" s="96"/>
      <c r="L18" s="96"/>
      <c r="M18" s="96"/>
      <c r="N18" s="96"/>
      <c r="O18" s="96"/>
      <c r="P18" s="96"/>
      <c r="Q18" s="96"/>
      <c r="R18" s="96"/>
      <c r="S18" s="96"/>
      <c r="T18" s="96"/>
      <c r="U18" s="96"/>
      <c r="V18" s="96"/>
      <c r="W18" s="96"/>
      <c r="X18" s="96"/>
      <c r="Y18" s="96"/>
      <c r="Z18" s="96"/>
    </row>
    <row r="19">
      <c r="A19" s="102"/>
      <c r="B19" s="108" t="s">
        <v>297</v>
      </c>
      <c r="C19" s="108" t="s">
        <v>76</v>
      </c>
      <c r="D19" s="108" t="s">
        <v>63</v>
      </c>
      <c r="E19" s="108" t="s">
        <v>87</v>
      </c>
      <c r="F19" s="108">
        <v>32.78</v>
      </c>
      <c r="G19" s="108" t="s">
        <v>48</v>
      </c>
      <c r="H19" s="102"/>
      <c r="I19" s="102"/>
      <c r="J19" s="105"/>
      <c r="K19" s="96"/>
      <c r="L19" s="96"/>
      <c r="M19" s="96"/>
      <c r="N19" s="96"/>
      <c r="O19" s="96"/>
      <c r="P19" s="96"/>
      <c r="Q19" s="96"/>
      <c r="R19" s="96"/>
      <c r="S19" s="96"/>
      <c r="T19" s="96"/>
      <c r="U19" s="96"/>
      <c r="V19" s="96"/>
      <c r="W19" s="96"/>
      <c r="X19" s="96"/>
      <c r="Y19" s="96"/>
      <c r="Z19" s="96"/>
    </row>
    <row r="20">
      <c r="A20" s="104"/>
      <c r="B20" s="108" t="s">
        <v>298</v>
      </c>
      <c r="C20" s="108" t="s">
        <v>76</v>
      </c>
      <c r="D20" s="108" t="s">
        <v>63</v>
      </c>
      <c r="E20" s="108" t="s">
        <v>87</v>
      </c>
      <c r="F20" s="108">
        <v>30.55</v>
      </c>
      <c r="G20" s="108" t="s">
        <v>48</v>
      </c>
      <c r="H20" s="104"/>
      <c r="I20" s="104"/>
      <c r="J20" s="105"/>
      <c r="K20" s="96"/>
      <c r="L20" s="96"/>
      <c r="M20" s="96"/>
      <c r="N20" s="96"/>
      <c r="O20" s="96"/>
      <c r="P20" s="96"/>
      <c r="Q20" s="96"/>
      <c r="R20" s="96"/>
      <c r="S20" s="96"/>
      <c r="T20" s="96"/>
      <c r="U20" s="96"/>
      <c r="V20" s="96"/>
      <c r="W20" s="96"/>
      <c r="X20" s="96"/>
      <c r="Y20" s="96"/>
      <c r="Z20" s="96"/>
    </row>
    <row r="21" ht="15.75" customHeight="1">
      <c r="A21" s="106">
        <v>46257.0</v>
      </c>
      <c r="B21" s="107" t="s">
        <v>307</v>
      </c>
      <c r="C21" s="107" t="s">
        <v>76</v>
      </c>
      <c r="D21" s="107" t="s">
        <v>63</v>
      </c>
      <c r="E21" s="107" t="s">
        <v>329</v>
      </c>
      <c r="F21" s="107">
        <v>115.12</v>
      </c>
      <c r="G21" s="107" t="s">
        <v>46</v>
      </c>
      <c r="H21" s="104"/>
      <c r="I21" s="107"/>
      <c r="J21" s="99"/>
      <c r="K21" s="96"/>
      <c r="L21" s="96"/>
      <c r="M21" s="96"/>
      <c r="N21" s="96"/>
      <c r="O21" s="96"/>
      <c r="P21" s="96"/>
      <c r="Q21" s="96"/>
      <c r="R21" s="96"/>
      <c r="S21" s="96"/>
      <c r="T21" s="96"/>
      <c r="U21" s="96"/>
      <c r="V21" s="96"/>
      <c r="W21" s="96"/>
      <c r="X21" s="96"/>
      <c r="Y21" s="96"/>
      <c r="Z21" s="96"/>
    </row>
    <row r="22" ht="15.75" customHeight="1">
      <c r="A22" s="104"/>
      <c r="B22" s="104"/>
      <c r="C22" s="104"/>
      <c r="D22" s="104"/>
      <c r="E22" s="104"/>
      <c r="F22" s="104"/>
      <c r="G22" s="104"/>
      <c r="H22" s="104"/>
      <c r="I22" s="104"/>
      <c r="J22" s="105"/>
      <c r="K22" s="96"/>
      <c r="L22" s="96"/>
      <c r="M22" s="96"/>
      <c r="N22" s="96"/>
      <c r="O22" s="96"/>
      <c r="P22" s="96"/>
      <c r="Q22" s="96"/>
      <c r="R22" s="96"/>
      <c r="S22" s="96"/>
      <c r="T22" s="96"/>
      <c r="U22" s="96"/>
      <c r="V22" s="96"/>
      <c r="W22" s="96"/>
      <c r="X22" s="96"/>
      <c r="Y22" s="96"/>
      <c r="Z22" s="96"/>
    </row>
    <row r="23" ht="15.75" customHeight="1">
      <c r="A23" s="102"/>
      <c r="B23" s="102"/>
      <c r="C23" s="102"/>
      <c r="D23" s="102"/>
      <c r="E23" s="102"/>
      <c r="F23" s="102"/>
      <c r="G23" s="102"/>
      <c r="H23" s="102"/>
      <c r="I23" s="102"/>
      <c r="J23" s="105"/>
      <c r="K23" s="96"/>
      <c r="L23" s="96"/>
      <c r="M23" s="96"/>
      <c r="N23" s="96"/>
      <c r="O23" s="96"/>
      <c r="P23" s="96"/>
      <c r="Q23" s="96"/>
      <c r="R23" s="96"/>
      <c r="S23" s="96"/>
      <c r="T23" s="96"/>
      <c r="U23" s="96"/>
      <c r="V23" s="96"/>
      <c r="W23" s="96"/>
      <c r="X23" s="96"/>
      <c r="Y23" s="96"/>
      <c r="Z23" s="96"/>
    </row>
    <row r="24" ht="15.75" customHeight="1">
      <c r="A24" s="104"/>
      <c r="B24" s="104"/>
      <c r="C24" s="104"/>
      <c r="D24" s="104"/>
      <c r="E24" s="104"/>
      <c r="F24" s="104"/>
      <c r="G24" s="104"/>
      <c r="H24" s="104"/>
      <c r="I24" s="104"/>
      <c r="J24" s="105"/>
      <c r="K24" s="96"/>
      <c r="L24" s="96"/>
      <c r="M24" s="96"/>
      <c r="N24" s="96"/>
      <c r="O24" s="96"/>
      <c r="P24" s="96"/>
      <c r="Q24" s="96"/>
      <c r="R24" s="96"/>
      <c r="S24" s="96"/>
      <c r="T24" s="96"/>
      <c r="U24" s="96"/>
      <c r="V24" s="96"/>
      <c r="W24" s="96"/>
      <c r="X24" s="96"/>
      <c r="Y24" s="96"/>
      <c r="Z24" s="96"/>
    </row>
    <row r="25" ht="15.75" customHeight="1">
      <c r="A25" s="102"/>
      <c r="B25" s="102"/>
      <c r="C25" s="102"/>
      <c r="D25" s="102"/>
      <c r="E25" s="102"/>
      <c r="F25" s="102"/>
      <c r="G25" s="102"/>
      <c r="H25" s="102"/>
      <c r="I25" s="102"/>
      <c r="J25" s="105"/>
      <c r="K25" s="96"/>
      <c r="L25" s="96"/>
      <c r="M25" s="96"/>
      <c r="N25" s="96"/>
      <c r="O25" s="96"/>
      <c r="P25" s="96"/>
      <c r="Q25" s="96"/>
      <c r="R25" s="96"/>
      <c r="S25" s="96"/>
      <c r="T25" s="96"/>
      <c r="U25" s="96"/>
      <c r="V25" s="96"/>
      <c r="W25" s="96"/>
      <c r="X25" s="96"/>
      <c r="Y25" s="96"/>
      <c r="Z25" s="96"/>
    </row>
    <row r="26" ht="15.75" customHeight="1">
      <c r="A26" s="104"/>
      <c r="B26" s="104"/>
      <c r="C26" s="104"/>
      <c r="D26" s="104"/>
      <c r="E26" s="104"/>
      <c r="F26" s="104"/>
      <c r="G26" s="104"/>
      <c r="H26" s="104"/>
      <c r="I26" s="104"/>
      <c r="J26" s="105"/>
      <c r="K26" s="96"/>
      <c r="L26" s="96"/>
      <c r="M26" s="96"/>
      <c r="N26" s="96"/>
      <c r="O26" s="96"/>
      <c r="P26" s="96"/>
      <c r="Q26" s="96"/>
      <c r="R26" s="96"/>
      <c r="S26" s="96"/>
      <c r="T26" s="96"/>
      <c r="U26" s="96"/>
      <c r="V26" s="96"/>
      <c r="W26" s="96"/>
      <c r="X26" s="96"/>
      <c r="Y26" s="96"/>
      <c r="Z26" s="96"/>
    </row>
    <row r="27" ht="15.75" customHeight="1">
      <c r="A27" s="102"/>
      <c r="B27" s="102"/>
      <c r="C27" s="102"/>
      <c r="D27" s="102"/>
      <c r="E27" s="102"/>
      <c r="F27" s="102"/>
      <c r="G27" s="102"/>
      <c r="H27" s="102"/>
      <c r="I27" s="102"/>
      <c r="J27" s="105"/>
      <c r="K27" s="96"/>
      <c r="L27" s="96"/>
      <c r="M27" s="96"/>
      <c r="N27" s="96"/>
      <c r="O27" s="96"/>
      <c r="P27" s="96"/>
      <c r="Q27" s="96"/>
      <c r="R27" s="96"/>
      <c r="S27" s="96"/>
      <c r="T27" s="96"/>
      <c r="U27" s="96"/>
      <c r="V27" s="96"/>
      <c r="W27" s="96"/>
      <c r="X27" s="96"/>
      <c r="Y27" s="96"/>
      <c r="Z27" s="96"/>
    </row>
    <row r="28" ht="15.75" customHeight="1">
      <c r="A28" s="104"/>
      <c r="B28" s="104"/>
      <c r="C28" s="104"/>
      <c r="D28" s="104"/>
      <c r="E28" s="104"/>
      <c r="F28" s="104"/>
      <c r="G28" s="104"/>
      <c r="H28" s="104"/>
      <c r="I28" s="104"/>
      <c r="J28" s="105"/>
      <c r="K28" s="96"/>
      <c r="L28" s="96"/>
      <c r="M28" s="96"/>
      <c r="N28" s="96"/>
      <c r="O28" s="96"/>
      <c r="P28" s="96"/>
      <c r="Q28" s="96"/>
      <c r="R28" s="96"/>
      <c r="S28" s="96"/>
      <c r="T28" s="96"/>
      <c r="U28" s="96"/>
      <c r="V28" s="96"/>
      <c r="W28" s="96"/>
      <c r="X28" s="96"/>
      <c r="Y28" s="96"/>
      <c r="Z28" s="96"/>
    </row>
    <row r="29" ht="15.75" customHeight="1">
      <c r="A29" s="102"/>
      <c r="B29" s="102"/>
      <c r="C29" s="102"/>
      <c r="D29" s="102"/>
      <c r="E29" s="102"/>
      <c r="F29" s="102"/>
      <c r="G29" s="102"/>
      <c r="H29" s="102"/>
      <c r="I29" s="102"/>
      <c r="J29" s="105"/>
      <c r="K29" s="96"/>
      <c r="L29" s="96"/>
      <c r="M29" s="96"/>
      <c r="N29" s="96"/>
      <c r="O29" s="96"/>
      <c r="P29" s="96"/>
      <c r="Q29" s="96"/>
      <c r="R29" s="96"/>
      <c r="S29" s="96"/>
      <c r="T29" s="96"/>
      <c r="U29" s="96"/>
      <c r="V29" s="96"/>
      <c r="W29" s="96"/>
      <c r="X29" s="96"/>
      <c r="Y29" s="96"/>
      <c r="Z29" s="96"/>
    </row>
    <row r="30" ht="15.75" customHeight="1">
      <c r="A30" s="104"/>
      <c r="B30" s="104"/>
      <c r="C30" s="104"/>
      <c r="D30" s="104"/>
      <c r="E30" s="104"/>
      <c r="F30" s="104"/>
      <c r="G30" s="104"/>
      <c r="H30" s="104"/>
      <c r="I30" s="104"/>
      <c r="J30" s="105"/>
      <c r="K30" s="96"/>
      <c r="L30" s="96"/>
      <c r="M30" s="96"/>
      <c r="N30" s="96"/>
      <c r="O30" s="96"/>
      <c r="P30" s="96"/>
      <c r="Q30" s="96"/>
      <c r="R30" s="96"/>
      <c r="S30" s="96"/>
      <c r="T30" s="96"/>
      <c r="U30" s="96"/>
      <c r="V30" s="96"/>
      <c r="W30" s="96"/>
      <c r="X30" s="96"/>
      <c r="Y30" s="96"/>
      <c r="Z30" s="96"/>
    </row>
    <row r="31" ht="15.75" customHeight="1">
      <c r="A31" s="102"/>
      <c r="B31" s="102"/>
      <c r="C31" s="102"/>
      <c r="D31" s="102"/>
      <c r="E31" s="102"/>
      <c r="F31" s="102"/>
      <c r="G31" s="102"/>
      <c r="H31" s="102"/>
      <c r="I31" s="102"/>
      <c r="J31" s="105"/>
      <c r="K31" s="96"/>
      <c r="L31" s="96"/>
      <c r="M31" s="96"/>
      <c r="N31" s="96"/>
      <c r="O31" s="96"/>
      <c r="P31" s="96"/>
      <c r="Q31" s="96"/>
      <c r="R31" s="96"/>
      <c r="S31" s="96"/>
      <c r="T31" s="96"/>
      <c r="U31" s="96"/>
      <c r="V31" s="96"/>
      <c r="W31" s="96"/>
      <c r="X31" s="96"/>
      <c r="Y31" s="96"/>
      <c r="Z31" s="96"/>
    </row>
    <row r="32" ht="15.75" customHeight="1">
      <c r="A32" s="104"/>
      <c r="B32" s="104"/>
      <c r="C32" s="104"/>
      <c r="D32" s="104"/>
      <c r="E32" s="104"/>
      <c r="F32" s="104"/>
      <c r="G32" s="104"/>
      <c r="H32" s="104"/>
      <c r="I32" s="104"/>
      <c r="J32" s="105"/>
      <c r="K32" s="96"/>
      <c r="L32" s="96"/>
      <c r="M32" s="96"/>
      <c r="N32" s="96"/>
      <c r="O32" s="96"/>
      <c r="P32" s="96"/>
      <c r="Q32" s="96"/>
      <c r="R32" s="96"/>
      <c r="S32" s="96"/>
      <c r="T32" s="96"/>
      <c r="U32" s="96"/>
      <c r="V32" s="96"/>
      <c r="W32" s="96"/>
      <c r="X32" s="96"/>
      <c r="Y32" s="96"/>
      <c r="Z32" s="96"/>
    </row>
    <row r="33" ht="15.75" customHeight="1">
      <c r="A33" s="102"/>
      <c r="B33" s="102"/>
      <c r="C33" s="102"/>
      <c r="D33" s="102"/>
      <c r="E33" s="102"/>
      <c r="F33" s="102"/>
      <c r="G33" s="102"/>
      <c r="H33" s="102"/>
      <c r="I33" s="102"/>
      <c r="J33" s="105"/>
      <c r="K33" s="96"/>
      <c r="L33" s="96"/>
      <c r="M33" s="96"/>
      <c r="N33" s="96"/>
      <c r="O33" s="96"/>
      <c r="P33" s="96"/>
      <c r="Q33" s="96"/>
      <c r="R33" s="96"/>
      <c r="S33" s="96"/>
      <c r="T33" s="96"/>
      <c r="U33" s="96"/>
      <c r="V33" s="96"/>
      <c r="W33" s="96"/>
      <c r="X33" s="96"/>
      <c r="Y33" s="96"/>
      <c r="Z33" s="96"/>
    </row>
    <row r="34" ht="15.75" customHeight="1">
      <c r="A34" s="104"/>
      <c r="B34" s="104"/>
      <c r="C34" s="104"/>
      <c r="D34" s="104"/>
      <c r="E34" s="104"/>
      <c r="F34" s="104"/>
      <c r="G34" s="104"/>
      <c r="H34" s="104"/>
      <c r="I34" s="104"/>
      <c r="J34" s="105"/>
      <c r="K34" s="96"/>
      <c r="L34" s="96"/>
      <c r="M34" s="96"/>
      <c r="N34" s="96"/>
      <c r="O34" s="96"/>
      <c r="P34" s="96"/>
      <c r="Q34" s="96"/>
      <c r="R34" s="96"/>
      <c r="S34" s="96"/>
      <c r="T34" s="96"/>
      <c r="U34" s="96"/>
      <c r="V34" s="96"/>
      <c r="W34" s="96"/>
      <c r="X34" s="96"/>
      <c r="Y34" s="96"/>
      <c r="Z34" s="96"/>
    </row>
    <row r="35" ht="15.75" customHeight="1">
      <c r="A35" s="102"/>
      <c r="B35" s="102"/>
      <c r="C35" s="102"/>
      <c r="D35" s="102"/>
      <c r="E35" s="102"/>
      <c r="F35" s="102"/>
      <c r="G35" s="102"/>
      <c r="H35" s="102"/>
      <c r="I35" s="102"/>
      <c r="J35" s="105"/>
      <c r="K35" s="96"/>
      <c r="L35" s="96"/>
      <c r="M35" s="96"/>
      <c r="N35" s="96"/>
      <c r="O35" s="96"/>
      <c r="P35" s="96"/>
      <c r="Q35" s="96"/>
      <c r="R35" s="96"/>
      <c r="S35" s="96"/>
      <c r="T35" s="96"/>
      <c r="U35" s="96"/>
      <c r="V35" s="96"/>
      <c r="W35" s="96"/>
      <c r="X35" s="96"/>
      <c r="Y35" s="96"/>
      <c r="Z35" s="96"/>
    </row>
    <row r="36" ht="15.75" customHeight="1">
      <c r="A36" s="104"/>
      <c r="B36" s="104"/>
      <c r="C36" s="104"/>
      <c r="D36" s="104"/>
      <c r="E36" s="104"/>
      <c r="F36" s="104"/>
      <c r="G36" s="104"/>
      <c r="H36" s="104"/>
      <c r="I36" s="104"/>
      <c r="J36" s="105"/>
      <c r="K36" s="96"/>
      <c r="L36" s="96"/>
      <c r="M36" s="96"/>
      <c r="N36" s="96"/>
      <c r="O36" s="96"/>
      <c r="P36" s="96"/>
      <c r="Q36" s="96"/>
      <c r="R36" s="96"/>
      <c r="S36" s="96"/>
      <c r="T36" s="96"/>
      <c r="U36" s="96"/>
      <c r="V36" s="96"/>
      <c r="W36" s="96"/>
      <c r="X36" s="96"/>
      <c r="Y36" s="96"/>
      <c r="Z36" s="96"/>
    </row>
    <row r="37" ht="15.75" customHeight="1">
      <c r="A37" s="102"/>
      <c r="B37" s="102"/>
      <c r="C37" s="102"/>
      <c r="D37" s="102"/>
      <c r="E37" s="102"/>
      <c r="F37" s="102"/>
      <c r="G37" s="102"/>
      <c r="H37" s="102"/>
      <c r="I37" s="102"/>
      <c r="J37" s="105"/>
      <c r="K37" s="96"/>
      <c r="L37" s="96"/>
      <c r="M37" s="96"/>
      <c r="N37" s="96"/>
      <c r="O37" s="96"/>
      <c r="P37" s="96"/>
      <c r="Q37" s="96"/>
      <c r="R37" s="96"/>
      <c r="S37" s="96"/>
      <c r="T37" s="96"/>
      <c r="U37" s="96"/>
      <c r="V37" s="96"/>
      <c r="W37" s="96"/>
      <c r="X37" s="96"/>
      <c r="Y37" s="96"/>
      <c r="Z37" s="96"/>
    </row>
    <row r="38" ht="15.75" customHeight="1">
      <c r="A38" s="104"/>
      <c r="B38" s="104"/>
      <c r="C38" s="104"/>
      <c r="D38" s="104"/>
      <c r="E38" s="104"/>
      <c r="F38" s="104"/>
      <c r="G38" s="104"/>
      <c r="H38" s="104"/>
      <c r="I38" s="104"/>
      <c r="J38" s="105"/>
      <c r="K38" s="96"/>
      <c r="L38" s="96"/>
      <c r="M38" s="96"/>
      <c r="N38" s="96"/>
      <c r="O38" s="96"/>
      <c r="P38" s="96"/>
      <c r="Q38" s="96"/>
      <c r="R38" s="96"/>
      <c r="S38" s="96"/>
      <c r="T38" s="96"/>
      <c r="U38" s="96"/>
      <c r="V38" s="96"/>
      <c r="W38" s="96"/>
      <c r="X38" s="96"/>
      <c r="Y38" s="96"/>
      <c r="Z38" s="96"/>
    </row>
    <row r="39" ht="15.75" customHeight="1">
      <c r="A39" s="102"/>
      <c r="B39" s="102"/>
      <c r="C39" s="102"/>
      <c r="D39" s="102"/>
      <c r="E39" s="102"/>
      <c r="F39" s="102"/>
      <c r="G39" s="102"/>
      <c r="H39" s="102"/>
      <c r="I39" s="102"/>
      <c r="J39" s="105"/>
      <c r="K39" s="96"/>
      <c r="L39" s="96"/>
      <c r="M39" s="96"/>
      <c r="N39" s="96"/>
      <c r="O39" s="96"/>
      <c r="P39" s="96"/>
      <c r="Q39" s="96"/>
      <c r="R39" s="96"/>
      <c r="S39" s="96"/>
      <c r="T39" s="96"/>
      <c r="U39" s="96"/>
      <c r="V39" s="96"/>
      <c r="W39" s="96"/>
      <c r="X39" s="96"/>
      <c r="Y39" s="96"/>
      <c r="Z39" s="96"/>
    </row>
    <row r="40" ht="15.75" customHeight="1">
      <c r="A40" s="104"/>
      <c r="B40" s="104"/>
      <c r="C40" s="104"/>
      <c r="D40" s="104"/>
      <c r="E40" s="104"/>
      <c r="F40" s="104"/>
      <c r="G40" s="104"/>
      <c r="H40" s="104"/>
      <c r="I40" s="104"/>
      <c r="J40" s="105"/>
      <c r="K40" s="96"/>
      <c r="L40" s="96"/>
      <c r="M40" s="96"/>
      <c r="N40" s="96"/>
      <c r="O40" s="96"/>
      <c r="P40" s="96"/>
      <c r="Q40" s="96"/>
      <c r="R40" s="96"/>
      <c r="S40" s="96"/>
      <c r="T40" s="96"/>
      <c r="U40" s="96"/>
      <c r="V40" s="96"/>
      <c r="W40" s="96"/>
      <c r="X40" s="96"/>
      <c r="Y40" s="96"/>
      <c r="Z40" s="96"/>
    </row>
    <row r="41" ht="15.75" customHeight="1">
      <c r="A41" s="102"/>
      <c r="B41" s="102"/>
      <c r="C41" s="102"/>
      <c r="D41" s="102"/>
      <c r="E41" s="102"/>
      <c r="F41" s="102"/>
      <c r="G41" s="102"/>
      <c r="H41" s="102"/>
      <c r="I41" s="102"/>
      <c r="J41" s="105"/>
      <c r="K41" s="96"/>
      <c r="L41" s="96"/>
      <c r="M41" s="96"/>
      <c r="N41" s="96"/>
      <c r="O41" s="96"/>
      <c r="P41" s="96"/>
      <c r="Q41" s="96"/>
      <c r="R41" s="96"/>
      <c r="S41" s="96"/>
      <c r="T41" s="96"/>
      <c r="U41" s="96"/>
      <c r="V41" s="96"/>
      <c r="W41" s="96"/>
      <c r="X41" s="96"/>
      <c r="Y41" s="96"/>
      <c r="Z41" s="96"/>
    </row>
    <row r="42" ht="15.75" customHeight="1">
      <c r="A42" s="104"/>
      <c r="B42" s="104"/>
      <c r="C42" s="104"/>
      <c r="D42" s="104"/>
      <c r="E42" s="104"/>
      <c r="F42" s="104"/>
      <c r="G42" s="104"/>
      <c r="H42" s="104"/>
      <c r="I42" s="104"/>
      <c r="J42" s="105"/>
      <c r="K42" s="96"/>
      <c r="L42" s="96"/>
      <c r="M42" s="96"/>
      <c r="N42" s="96"/>
      <c r="O42" s="96"/>
      <c r="P42" s="96"/>
      <c r="Q42" s="96"/>
      <c r="R42" s="96"/>
      <c r="S42" s="96"/>
      <c r="T42" s="96"/>
      <c r="U42" s="96"/>
      <c r="V42" s="96"/>
      <c r="W42" s="96"/>
      <c r="X42" s="96"/>
      <c r="Y42" s="96"/>
      <c r="Z42" s="96"/>
    </row>
    <row r="43" ht="15.75" customHeight="1">
      <c r="A43" s="102"/>
      <c r="B43" s="102"/>
      <c r="C43" s="102"/>
      <c r="D43" s="102"/>
      <c r="E43" s="102"/>
      <c r="F43" s="102"/>
      <c r="G43" s="102"/>
      <c r="H43" s="102"/>
      <c r="I43" s="102"/>
      <c r="J43" s="105"/>
      <c r="K43" s="96"/>
      <c r="L43" s="96"/>
      <c r="M43" s="96"/>
      <c r="N43" s="96"/>
      <c r="O43" s="96"/>
      <c r="P43" s="96"/>
      <c r="Q43" s="96"/>
      <c r="R43" s="96"/>
      <c r="S43" s="96"/>
      <c r="T43" s="96"/>
      <c r="U43" s="96"/>
      <c r="V43" s="96"/>
      <c r="W43" s="96"/>
      <c r="X43" s="96"/>
      <c r="Y43" s="96"/>
      <c r="Z43" s="96"/>
    </row>
    <row r="44" ht="15.75" customHeight="1">
      <c r="A44" s="104"/>
      <c r="B44" s="104"/>
      <c r="C44" s="104"/>
      <c r="D44" s="104"/>
      <c r="E44" s="104"/>
      <c r="F44" s="104"/>
      <c r="G44" s="104"/>
      <c r="H44" s="104"/>
      <c r="I44" s="104"/>
      <c r="J44" s="105"/>
      <c r="K44" s="96"/>
      <c r="L44" s="96"/>
      <c r="M44" s="96"/>
      <c r="N44" s="96"/>
      <c r="O44" s="96"/>
      <c r="P44" s="96"/>
      <c r="Q44" s="96"/>
      <c r="R44" s="96"/>
      <c r="S44" s="96"/>
      <c r="T44" s="96"/>
      <c r="U44" s="96"/>
      <c r="V44" s="96"/>
      <c r="W44" s="96"/>
      <c r="X44" s="96"/>
      <c r="Y44" s="96"/>
      <c r="Z44" s="96"/>
    </row>
    <row r="45" ht="15.75" customHeight="1">
      <c r="A45" s="102"/>
      <c r="B45" s="102"/>
      <c r="C45" s="102"/>
      <c r="D45" s="102"/>
      <c r="E45" s="102"/>
      <c r="F45" s="102"/>
      <c r="G45" s="102"/>
      <c r="H45" s="102"/>
      <c r="I45" s="102"/>
      <c r="J45" s="105"/>
      <c r="K45" s="96"/>
      <c r="L45" s="96"/>
      <c r="M45" s="96"/>
      <c r="N45" s="96"/>
      <c r="O45" s="96"/>
      <c r="P45" s="96"/>
      <c r="Q45" s="96"/>
      <c r="R45" s="96"/>
      <c r="S45" s="96"/>
      <c r="T45" s="96"/>
      <c r="U45" s="96"/>
      <c r="V45" s="96"/>
      <c r="W45" s="96"/>
      <c r="X45" s="96"/>
      <c r="Y45" s="96"/>
      <c r="Z45" s="96"/>
    </row>
    <row r="46" ht="15.75" customHeight="1">
      <c r="A46" s="104"/>
      <c r="B46" s="104"/>
      <c r="C46" s="104"/>
      <c r="D46" s="104"/>
      <c r="E46" s="104"/>
      <c r="F46" s="104"/>
      <c r="G46" s="104"/>
      <c r="H46" s="104"/>
      <c r="I46" s="104"/>
      <c r="J46" s="105"/>
      <c r="K46" s="96"/>
      <c r="L46" s="96"/>
      <c r="M46" s="96"/>
      <c r="N46" s="96"/>
      <c r="O46" s="96"/>
      <c r="P46" s="96"/>
      <c r="Q46" s="96"/>
      <c r="R46" s="96"/>
      <c r="S46" s="96"/>
      <c r="T46" s="96"/>
      <c r="U46" s="96"/>
      <c r="V46" s="96"/>
      <c r="W46" s="96"/>
      <c r="X46" s="96"/>
      <c r="Y46" s="96"/>
      <c r="Z46" s="96"/>
    </row>
    <row r="47" ht="15.75" customHeight="1">
      <c r="A47" s="102"/>
      <c r="B47" s="102"/>
      <c r="C47" s="102"/>
      <c r="D47" s="102"/>
      <c r="E47" s="102"/>
      <c r="F47" s="102"/>
      <c r="G47" s="102"/>
      <c r="H47" s="102"/>
      <c r="I47" s="102"/>
      <c r="J47" s="105"/>
      <c r="K47" s="96"/>
      <c r="L47" s="96"/>
      <c r="M47" s="96"/>
      <c r="N47" s="96"/>
      <c r="O47" s="96"/>
      <c r="P47" s="96"/>
      <c r="Q47" s="96"/>
      <c r="R47" s="96"/>
      <c r="S47" s="96"/>
      <c r="T47" s="96"/>
      <c r="U47" s="96"/>
      <c r="V47" s="96"/>
      <c r="W47" s="96"/>
      <c r="X47" s="96"/>
      <c r="Y47" s="96"/>
      <c r="Z47" s="96"/>
    </row>
    <row r="48" ht="15.75" customHeight="1">
      <c r="A48" s="104"/>
      <c r="B48" s="104"/>
      <c r="C48" s="104"/>
      <c r="D48" s="104"/>
      <c r="E48" s="104"/>
      <c r="F48" s="104"/>
      <c r="G48" s="104"/>
      <c r="H48" s="104"/>
      <c r="I48" s="104"/>
      <c r="J48" s="105"/>
      <c r="K48" s="96"/>
      <c r="L48" s="96"/>
      <c r="M48" s="96"/>
      <c r="N48" s="96"/>
      <c r="O48" s="96"/>
      <c r="P48" s="96"/>
      <c r="Q48" s="96"/>
      <c r="R48" s="96"/>
      <c r="S48" s="96"/>
      <c r="T48" s="96"/>
      <c r="U48" s="96"/>
      <c r="V48" s="96"/>
      <c r="W48" s="96"/>
      <c r="X48" s="96"/>
      <c r="Y48" s="96"/>
      <c r="Z48" s="96"/>
    </row>
    <row r="49" ht="15.75" customHeight="1">
      <c r="A49" s="102"/>
      <c r="B49" s="102"/>
      <c r="C49" s="102"/>
      <c r="D49" s="102"/>
      <c r="E49" s="102"/>
      <c r="F49" s="102"/>
      <c r="G49" s="102"/>
      <c r="H49" s="102"/>
      <c r="I49" s="102"/>
      <c r="J49" s="105"/>
      <c r="K49" s="96"/>
      <c r="L49" s="96"/>
      <c r="M49" s="96"/>
      <c r="N49" s="96"/>
      <c r="O49" s="96"/>
      <c r="P49" s="96"/>
      <c r="Q49" s="96"/>
      <c r="R49" s="96"/>
      <c r="S49" s="96"/>
      <c r="T49" s="96"/>
      <c r="U49" s="96"/>
      <c r="V49" s="96"/>
      <c r="W49" s="96"/>
      <c r="X49" s="96"/>
      <c r="Y49" s="96"/>
      <c r="Z49" s="96"/>
    </row>
    <row r="50" ht="15.75" customHeight="1">
      <c r="A50" s="104"/>
      <c r="B50" s="104"/>
      <c r="C50" s="104"/>
      <c r="D50" s="104"/>
      <c r="E50" s="104"/>
      <c r="F50" s="104"/>
      <c r="G50" s="104"/>
      <c r="H50" s="104"/>
      <c r="I50" s="104"/>
      <c r="J50" s="105"/>
      <c r="K50" s="96"/>
      <c r="L50" s="96"/>
      <c r="M50" s="96"/>
      <c r="N50" s="96"/>
      <c r="O50" s="96"/>
      <c r="P50" s="96"/>
      <c r="Q50" s="96"/>
      <c r="R50" s="96"/>
      <c r="S50" s="96"/>
      <c r="T50" s="96"/>
      <c r="U50" s="96"/>
      <c r="V50" s="96"/>
      <c r="W50" s="96"/>
      <c r="X50" s="96"/>
      <c r="Y50" s="96"/>
      <c r="Z50" s="96"/>
    </row>
    <row r="51" ht="15.75" customHeight="1">
      <c r="A51" s="102"/>
      <c r="B51" s="102"/>
      <c r="C51" s="102"/>
      <c r="D51" s="102"/>
      <c r="E51" s="102"/>
      <c r="F51" s="102"/>
      <c r="G51" s="102"/>
      <c r="H51" s="102"/>
      <c r="I51" s="102"/>
      <c r="J51" s="105"/>
      <c r="K51" s="96"/>
      <c r="L51" s="96"/>
      <c r="M51" s="96"/>
      <c r="N51" s="96"/>
      <c r="O51" s="96"/>
      <c r="P51" s="96"/>
      <c r="Q51" s="96"/>
      <c r="R51" s="96"/>
      <c r="S51" s="96"/>
      <c r="T51" s="96"/>
      <c r="U51" s="96"/>
      <c r="V51" s="96"/>
      <c r="W51" s="96"/>
      <c r="X51" s="96"/>
      <c r="Y51" s="96"/>
      <c r="Z51" s="96"/>
    </row>
    <row r="52" ht="15.75" customHeight="1">
      <c r="A52" s="104"/>
      <c r="B52" s="104"/>
      <c r="C52" s="104"/>
      <c r="D52" s="104"/>
      <c r="E52" s="104"/>
      <c r="F52" s="104"/>
      <c r="G52" s="104"/>
      <c r="H52" s="104"/>
      <c r="I52" s="104"/>
      <c r="J52" s="105"/>
      <c r="K52" s="96"/>
      <c r="L52" s="96"/>
      <c r="M52" s="96"/>
      <c r="N52" s="96"/>
      <c r="O52" s="96"/>
      <c r="P52" s="96"/>
      <c r="Q52" s="96"/>
      <c r="R52" s="96"/>
      <c r="S52" s="96"/>
      <c r="T52" s="96"/>
      <c r="U52" s="96"/>
      <c r="V52" s="96"/>
      <c r="W52" s="96"/>
      <c r="X52" s="96"/>
      <c r="Y52" s="96"/>
      <c r="Z52" s="96"/>
    </row>
    <row r="53" ht="15.75" customHeight="1">
      <c r="A53" s="102"/>
      <c r="B53" s="102"/>
      <c r="C53" s="102"/>
      <c r="D53" s="102"/>
      <c r="E53" s="102"/>
      <c r="F53" s="102"/>
      <c r="G53" s="102"/>
      <c r="H53" s="102"/>
      <c r="I53" s="102"/>
      <c r="J53" s="105"/>
      <c r="K53" s="96"/>
      <c r="L53" s="96"/>
      <c r="M53" s="96"/>
      <c r="N53" s="96"/>
      <c r="O53" s="96"/>
      <c r="P53" s="96"/>
      <c r="Q53" s="96"/>
      <c r="R53" s="96"/>
      <c r="S53" s="96"/>
      <c r="T53" s="96"/>
      <c r="U53" s="96"/>
      <c r="V53" s="96"/>
      <c r="W53" s="96"/>
      <c r="X53" s="96"/>
      <c r="Y53" s="96"/>
      <c r="Z53" s="96"/>
    </row>
    <row r="54" ht="15.75" customHeight="1">
      <c r="A54" s="104"/>
      <c r="B54" s="104"/>
      <c r="C54" s="104"/>
      <c r="D54" s="104"/>
      <c r="E54" s="104"/>
      <c r="F54" s="104"/>
      <c r="G54" s="104"/>
      <c r="H54" s="104"/>
      <c r="I54" s="104"/>
      <c r="J54" s="105"/>
      <c r="K54" s="96"/>
      <c r="L54" s="96"/>
      <c r="M54" s="96"/>
      <c r="N54" s="96"/>
      <c r="O54" s="96"/>
      <c r="P54" s="96"/>
      <c r="Q54" s="96"/>
      <c r="R54" s="96"/>
      <c r="S54" s="96"/>
      <c r="T54" s="96"/>
      <c r="U54" s="96"/>
      <c r="V54" s="96"/>
      <c r="W54" s="96"/>
      <c r="X54" s="96"/>
      <c r="Y54" s="96"/>
      <c r="Z54" s="96"/>
    </row>
    <row r="55" ht="15.75" customHeight="1">
      <c r="A55" s="102"/>
      <c r="B55" s="102"/>
      <c r="C55" s="102"/>
      <c r="D55" s="102"/>
      <c r="E55" s="102"/>
      <c r="F55" s="102"/>
      <c r="G55" s="102"/>
      <c r="H55" s="102"/>
      <c r="I55" s="102"/>
      <c r="J55" s="105"/>
      <c r="K55" s="96"/>
      <c r="L55" s="96"/>
      <c r="M55" s="96"/>
      <c r="N55" s="96"/>
      <c r="O55" s="96"/>
      <c r="P55" s="96"/>
      <c r="Q55" s="96"/>
      <c r="R55" s="96"/>
      <c r="S55" s="96"/>
      <c r="T55" s="96"/>
      <c r="U55" s="96"/>
      <c r="V55" s="96"/>
      <c r="W55" s="96"/>
      <c r="X55" s="96"/>
      <c r="Y55" s="96"/>
      <c r="Z55" s="96"/>
    </row>
    <row r="56" ht="15.75" customHeight="1">
      <c r="A56" s="104"/>
      <c r="B56" s="104"/>
      <c r="C56" s="104"/>
      <c r="D56" s="104"/>
      <c r="E56" s="104"/>
      <c r="F56" s="104"/>
      <c r="G56" s="104"/>
      <c r="H56" s="104"/>
      <c r="I56" s="104"/>
      <c r="J56" s="105"/>
      <c r="K56" s="96"/>
      <c r="L56" s="96"/>
      <c r="M56" s="96"/>
      <c r="N56" s="96"/>
      <c r="O56" s="96"/>
      <c r="P56" s="96"/>
      <c r="Q56" s="96"/>
      <c r="R56" s="96"/>
      <c r="S56" s="96"/>
      <c r="T56" s="96"/>
      <c r="U56" s="96"/>
      <c r="V56" s="96"/>
      <c r="W56" s="96"/>
      <c r="X56" s="96"/>
      <c r="Y56" s="96"/>
      <c r="Z56" s="96"/>
    </row>
    <row r="57" ht="15.75" customHeight="1">
      <c r="A57" s="102"/>
      <c r="B57" s="102"/>
      <c r="C57" s="102"/>
      <c r="D57" s="102"/>
      <c r="E57" s="102"/>
      <c r="F57" s="102"/>
      <c r="G57" s="102"/>
      <c r="H57" s="102"/>
      <c r="I57" s="102"/>
      <c r="J57" s="105"/>
      <c r="K57" s="96"/>
      <c r="L57" s="96"/>
      <c r="M57" s="96"/>
      <c r="N57" s="96"/>
      <c r="O57" s="96"/>
      <c r="P57" s="96"/>
      <c r="Q57" s="96"/>
      <c r="R57" s="96"/>
      <c r="S57" s="96"/>
      <c r="T57" s="96"/>
      <c r="U57" s="96"/>
      <c r="V57" s="96"/>
      <c r="W57" s="96"/>
      <c r="X57" s="96"/>
      <c r="Y57" s="96"/>
      <c r="Z57" s="96"/>
    </row>
    <row r="58" ht="15.75" customHeight="1">
      <c r="A58" s="104"/>
      <c r="B58" s="104"/>
      <c r="C58" s="104"/>
      <c r="D58" s="104"/>
      <c r="E58" s="104"/>
      <c r="F58" s="104"/>
      <c r="G58" s="104"/>
      <c r="H58" s="104"/>
      <c r="I58" s="104"/>
      <c r="J58" s="105"/>
      <c r="K58" s="96"/>
      <c r="L58" s="96"/>
      <c r="M58" s="96"/>
      <c r="N58" s="96"/>
      <c r="O58" s="96"/>
      <c r="P58" s="96"/>
      <c r="Q58" s="96"/>
      <c r="R58" s="96"/>
      <c r="S58" s="96"/>
      <c r="T58" s="96"/>
      <c r="U58" s="96"/>
      <c r="V58" s="96"/>
      <c r="W58" s="96"/>
      <c r="X58" s="96"/>
      <c r="Y58" s="96"/>
      <c r="Z58" s="96"/>
    </row>
    <row r="59" ht="15.75" customHeight="1">
      <c r="A59" s="102"/>
      <c r="B59" s="102"/>
      <c r="C59" s="102"/>
      <c r="D59" s="102"/>
      <c r="E59" s="102"/>
      <c r="F59" s="102"/>
      <c r="G59" s="102"/>
      <c r="H59" s="102"/>
      <c r="I59" s="102"/>
      <c r="J59" s="105"/>
      <c r="K59" s="96"/>
      <c r="L59" s="96"/>
      <c r="M59" s="96"/>
      <c r="N59" s="96"/>
      <c r="O59" s="96"/>
      <c r="P59" s="96"/>
      <c r="Q59" s="96"/>
      <c r="R59" s="96"/>
      <c r="S59" s="96"/>
      <c r="T59" s="96"/>
      <c r="U59" s="96"/>
      <c r="V59" s="96"/>
      <c r="W59" s="96"/>
      <c r="X59" s="96"/>
      <c r="Y59" s="96"/>
      <c r="Z59" s="96"/>
    </row>
    <row r="60" ht="15.75" customHeight="1">
      <c r="A60" s="104"/>
      <c r="B60" s="104"/>
      <c r="C60" s="104"/>
      <c r="D60" s="104"/>
      <c r="E60" s="104"/>
      <c r="F60" s="104"/>
      <c r="G60" s="104"/>
      <c r="H60" s="104"/>
      <c r="I60" s="104"/>
      <c r="J60" s="105"/>
      <c r="K60" s="96"/>
      <c r="L60" s="96"/>
      <c r="M60" s="96"/>
      <c r="N60" s="96"/>
      <c r="O60" s="96"/>
      <c r="P60" s="96"/>
      <c r="Q60" s="96"/>
      <c r="R60" s="96"/>
      <c r="S60" s="96"/>
      <c r="T60" s="96"/>
      <c r="U60" s="96"/>
      <c r="V60" s="96"/>
      <c r="W60" s="96"/>
      <c r="X60" s="96"/>
      <c r="Y60" s="96"/>
      <c r="Z60" s="96"/>
    </row>
    <row r="61" ht="15.75" customHeight="1">
      <c r="A61" s="102"/>
      <c r="B61" s="102"/>
      <c r="C61" s="102"/>
      <c r="D61" s="102"/>
      <c r="E61" s="102"/>
      <c r="F61" s="102"/>
      <c r="G61" s="102"/>
      <c r="H61" s="102"/>
      <c r="I61" s="102"/>
      <c r="J61" s="105"/>
      <c r="K61" s="96"/>
      <c r="L61" s="96"/>
      <c r="M61" s="96"/>
      <c r="N61" s="96"/>
      <c r="O61" s="96"/>
      <c r="P61" s="96"/>
      <c r="Q61" s="96"/>
      <c r="R61" s="96"/>
      <c r="S61" s="96"/>
      <c r="T61" s="96"/>
      <c r="U61" s="96"/>
      <c r="V61" s="96"/>
      <c r="W61" s="96"/>
      <c r="X61" s="96"/>
      <c r="Y61" s="96"/>
      <c r="Z61" s="96"/>
    </row>
    <row r="62" ht="15.75" customHeight="1">
      <c r="A62" s="104"/>
      <c r="B62" s="104"/>
      <c r="C62" s="104"/>
      <c r="D62" s="104"/>
      <c r="E62" s="104"/>
      <c r="F62" s="104"/>
      <c r="G62" s="104"/>
      <c r="H62" s="104"/>
      <c r="I62" s="104"/>
      <c r="J62" s="105"/>
      <c r="K62" s="96"/>
      <c r="L62" s="96"/>
      <c r="M62" s="96"/>
      <c r="N62" s="96"/>
      <c r="O62" s="96"/>
      <c r="P62" s="96"/>
      <c r="Q62" s="96"/>
      <c r="R62" s="96"/>
      <c r="S62" s="96"/>
      <c r="T62" s="96"/>
      <c r="U62" s="96"/>
      <c r="V62" s="96"/>
      <c r="W62" s="96"/>
      <c r="X62" s="96"/>
      <c r="Y62" s="96"/>
      <c r="Z62" s="96"/>
    </row>
    <row r="63" ht="15.75" customHeight="1">
      <c r="A63" s="102"/>
      <c r="B63" s="102"/>
      <c r="C63" s="102"/>
      <c r="D63" s="102"/>
      <c r="E63" s="102"/>
      <c r="F63" s="102"/>
      <c r="G63" s="102"/>
      <c r="H63" s="102"/>
      <c r="I63" s="102"/>
      <c r="J63" s="105"/>
      <c r="K63" s="96"/>
      <c r="L63" s="96"/>
      <c r="M63" s="96"/>
      <c r="N63" s="96"/>
      <c r="O63" s="96"/>
      <c r="P63" s="96"/>
      <c r="Q63" s="96"/>
      <c r="R63" s="96"/>
      <c r="S63" s="96"/>
      <c r="T63" s="96"/>
      <c r="U63" s="96"/>
      <c r="V63" s="96"/>
      <c r="W63" s="96"/>
      <c r="X63" s="96"/>
      <c r="Y63" s="96"/>
      <c r="Z63" s="96"/>
    </row>
    <row r="64" ht="15.75" customHeight="1">
      <c r="A64" s="104"/>
      <c r="B64" s="104"/>
      <c r="C64" s="104"/>
      <c r="D64" s="104"/>
      <c r="E64" s="104"/>
      <c r="F64" s="104"/>
      <c r="G64" s="104"/>
      <c r="H64" s="104"/>
      <c r="I64" s="104"/>
      <c r="J64" s="105"/>
      <c r="K64" s="96"/>
      <c r="L64" s="96"/>
      <c r="M64" s="96"/>
      <c r="N64" s="96"/>
      <c r="O64" s="96"/>
      <c r="P64" s="96"/>
      <c r="Q64" s="96"/>
      <c r="R64" s="96"/>
      <c r="S64" s="96"/>
      <c r="T64" s="96"/>
      <c r="U64" s="96"/>
      <c r="V64" s="96"/>
      <c r="W64" s="96"/>
      <c r="X64" s="96"/>
      <c r="Y64" s="96"/>
      <c r="Z64" s="96"/>
    </row>
    <row r="65" ht="15.75" customHeight="1">
      <c r="A65" s="102"/>
      <c r="B65" s="102"/>
      <c r="C65" s="102"/>
      <c r="D65" s="102"/>
      <c r="E65" s="102"/>
      <c r="F65" s="102"/>
      <c r="G65" s="102"/>
      <c r="H65" s="102"/>
      <c r="I65" s="102"/>
      <c r="J65" s="105"/>
      <c r="K65" s="96"/>
      <c r="L65" s="96"/>
      <c r="M65" s="96"/>
      <c r="N65" s="96"/>
      <c r="O65" s="96"/>
      <c r="P65" s="96"/>
      <c r="Q65" s="96"/>
      <c r="R65" s="96"/>
      <c r="S65" s="96"/>
      <c r="T65" s="96"/>
      <c r="U65" s="96"/>
      <c r="V65" s="96"/>
      <c r="W65" s="96"/>
      <c r="X65" s="96"/>
      <c r="Y65" s="96"/>
      <c r="Z65" s="96"/>
    </row>
    <row r="66" ht="15.75" customHeight="1">
      <c r="A66" s="104"/>
      <c r="B66" s="104"/>
      <c r="C66" s="104"/>
      <c r="D66" s="104"/>
      <c r="E66" s="104"/>
      <c r="F66" s="104"/>
      <c r="G66" s="104"/>
      <c r="H66" s="104"/>
      <c r="I66" s="104"/>
      <c r="J66" s="105"/>
      <c r="K66" s="96"/>
      <c r="L66" s="96"/>
      <c r="M66" s="96"/>
      <c r="N66" s="96"/>
      <c r="O66" s="96"/>
      <c r="P66" s="96"/>
      <c r="Q66" s="96"/>
      <c r="R66" s="96"/>
      <c r="S66" s="96"/>
      <c r="T66" s="96"/>
      <c r="U66" s="96"/>
      <c r="V66" s="96"/>
      <c r="W66" s="96"/>
      <c r="X66" s="96"/>
      <c r="Y66" s="96"/>
      <c r="Z66" s="96"/>
    </row>
    <row r="67" ht="15.75" customHeight="1">
      <c r="A67" s="102"/>
      <c r="B67" s="102"/>
      <c r="C67" s="102"/>
      <c r="D67" s="102"/>
      <c r="E67" s="102"/>
      <c r="F67" s="102"/>
      <c r="G67" s="102"/>
      <c r="H67" s="102"/>
      <c r="I67" s="102"/>
      <c r="J67" s="105"/>
      <c r="K67" s="96"/>
      <c r="L67" s="96"/>
      <c r="M67" s="96"/>
      <c r="N67" s="96"/>
      <c r="O67" s="96"/>
      <c r="P67" s="96"/>
      <c r="Q67" s="96"/>
      <c r="R67" s="96"/>
      <c r="S67" s="96"/>
      <c r="T67" s="96"/>
      <c r="U67" s="96"/>
      <c r="V67" s="96"/>
      <c r="W67" s="96"/>
      <c r="X67" s="96"/>
      <c r="Y67" s="96"/>
      <c r="Z67" s="96"/>
    </row>
    <row r="68" ht="15.75" customHeight="1">
      <c r="A68" s="104"/>
      <c r="B68" s="104"/>
      <c r="C68" s="104"/>
      <c r="D68" s="104"/>
      <c r="E68" s="104"/>
      <c r="F68" s="104"/>
      <c r="G68" s="104"/>
      <c r="H68" s="104"/>
      <c r="I68" s="104"/>
      <c r="J68" s="105"/>
      <c r="K68" s="96"/>
      <c r="L68" s="96"/>
      <c r="M68" s="96"/>
      <c r="N68" s="96"/>
      <c r="O68" s="96"/>
      <c r="P68" s="96"/>
      <c r="Q68" s="96"/>
      <c r="R68" s="96"/>
      <c r="S68" s="96"/>
      <c r="T68" s="96"/>
      <c r="U68" s="96"/>
      <c r="V68" s="96"/>
      <c r="W68" s="96"/>
      <c r="X68" s="96"/>
      <c r="Y68" s="96"/>
      <c r="Z68" s="96"/>
    </row>
    <row r="69" ht="15.75" customHeight="1">
      <c r="A69" s="102"/>
      <c r="B69" s="102"/>
      <c r="C69" s="102"/>
      <c r="D69" s="102"/>
      <c r="E69" s="102"/>
      <c r="F69" s="102"/>
      <c r="G69" s="102"/>
      <c r="H69" s="102"/>
      <c r="I69" s="102"/>
      <c r="J69" s="105"/>
      <c r="K69" s="96"/>
      <c r="L69" s="96"/>
      <c r="M69" s="96"/>
      <c r="N69" s="96"/>
      <c r="O69" s="96"/>
      <c r="P69" s="96"/>
      <c r="Q69" s="96"/>
      <c r="R69" s="96"/>
      <c r="S69" s="96"/>
      <c r="T69" s="96"/>
      <c r="U69" s="96"/>
      <c r="V69" s="96"/>
      <c r="W69" s="96"/>
      <c r="X69" s="96"/>
      <c r="Y69" s="96"/>
      <c r="Z69" s="96"/>
    </row>
    <row r="70" ht="15.75" customHeight="1">
      <c r="A70" s="104"/>
      <c r="B70" s="104"/>
      <c r="C70" s="104"/>
      <c r="D70" s="104"/>
      <c r="E70" s="104"/>
      <c r="F70" s="104"/>
      <c r="G70" s="104"/>
      <c r="H70" s="104"/>
      <c r="I70" s="104"/>
      <c r="J70" s="105"/>
      <c r="K70" s="96"/>
      <c r="L70" s="96"/>
      <c r="M70" s="96"/>
      <c r="N70" s="96"/>
      <c r="O70" s="96"/>
      <c r="P70" s="96"/>
      <c r="Q70" s="96"/>
      <c r="R70" s="96"/>
      <c r="S70" s="96"/>
      <c r="T70" s="96"/>
      <c r="U70" s="96"/>
      <c r="V70" s="96"/>
      <c r="W70" s="96"/>
      <c r="X70" s="96"/>
      <c r="Y70" s="96"/>
      <c r="Z70" s="96"/>
    </row>
    <row r="71" ht="15.75" customHeight="1">
      <c r="A71" s="102"/>
      <c r="B71" s="102"/>
      <c r="C71" s="102"/>
      <c r="D71" s="102"/>
      <c r="E71" s="102"/>
      <c r="F71" s="102"/>
      <c r="G71" s="102"/>
      <c r="H71" s="102"/>
      <c r="I71" s="102"/>
      <c r="J71" s="105"/>
      <c r="K71" s="96"/>
      <c r="L71" s="96"/>
      <c r="M71" s="96"/>
      <c r="N71" s="96"/>
      <c r="O71" s="96"/>
      <c r="P71" s="96"/>
      <c r="Q71" s="96"/>
      <c r="R71" s="96"/>
      <c r="S71" s="96"/>
      <c r="T71" s="96"/>
      <c r="U71" s="96"/>
      <c r="V71" s="96"/>
      <c r="W71" s="96"/>
      <c r="X71" s="96"/>
      <c r="Y71" s="96"/>
      <c r="Z71" s="96"/>
    </row>
    <row r="72" ht="15.75" customHeight="1">
      <c r="A72" s="104"/>
      <c r="B72" s="104"/>
      <c r="C72" s="104"/>
      <c r="D72" s="104"/>
      <c r="E72" s="104"/>
      <c r="F72" s="104"/>
      <c r="G72" s="104"/>
      <c r="H72" s="104"/>
      <c r="I72" s="104"/>
      <c r="J72" s="105"/>
      <c r="K72" s="96"/>
      <c r="L72" s="96"/>
      <c r="M72" s="96"/>
      <c r="N72" s="96"/>
      <c r="O72" s="96"/>
      <c r="P72" s="96"/>
      <c r="Q72" s="96"/>
      <c r="R72" s="96"/>
      <c r="S72" s="96"/>
      <c r="T72" s="96"/>
      <c r="U72" s="96"/>
      <c r="V72" s="96"/>
      <c r="W72" s="96"/>
      <c r="X72" s="96"/>
      <c r="Y72" s="96"/>
      <c r="Z72" s="96"/>
    </row>
    <row r="73" ht="15.75" customHeight="1">
      <c r="A73" s="102"/>
      <c r="B73" s="102"/>
      <c r="C73" s="102"/>
      <c r="D73" s="102"/>
      <c r="E73" s="102"/>
      <c r="F73" s="102"/>
      <c r="G73" s="102"/>
      <c r="H73" s="102"/>
      <c r="I73" s="102"/>
      <c r="J73" s="105"/>
      <c r="K73" s="96"/>
      <c r="L73" s="96"/>
      <c r="M73" s="96"/>
      <c r="N73" s="96"/>
      <c r="O73" s="96"/>
      <c r="P73" s="96"/>
      <c r="Q73" s="96"/>
      <c r="R73" s="96"/>
      <c r="S73" s="96"/>
      <c r="T73" s="96"/>
      <c r="U73" s="96"/>
      <c r="V73" s="96"/>
      <c r="W73" s="96"/>
      <c r="X73" s="96"/>
      <c r="Y73" s="96"/>
      <c r="Z73" s="96"/>
    </row>
    <row r="74" ht="15.75" customHeight="1">
      <c r="A74" s="104"/>
      <c r="B74" s="104"/>
      <c r="C74" s="104"/>
      <c r="D74" s="104"/>
      <c r="E74" s="104"/>
      <c r="F74" s="104"/>
      <c r="G74" s="104"/>
      <c r="H74" s="104"/>
      <c r="I74" s="104"/>
      <c r="J74" s="105"/>
      <c r="K74" s="96"/>
      <c r="L74" s="96"/>
      <c r="M74" s="96"/>
      <c r="N74" s="96"/>
      <c r="O74" s="96"/>
      <c r="P74" s="96"/>
      <c r="Q74" s="96"/>
      <c r="R74" s="96"/>
      <c r="S74" s="96"/>
      <c r="T74" s="96"/>
      <c r="U74" s="96"/>
      <c r="V74" s="96"/>
      <c r="W74" s="96"/>
      <c r="X74" s="96"/>
      <c r="Y74" s="96"/>
      <c r="Z74" s="96"/>
    </row>
    <row r="75" ht="15.75" customHeight="1">
      <c r="A75" s="102"/>
      <c r="B75" s="102"/>
      <c r="C75" s="102"/>
      <c r="D75" s="102"/>
      <c r="E75" s="102"/>
      <c r="F75" s="102"/>
      <c r="G75" s="102"/>
      <c r="H75" s="102"/>
      <c r="I75" s="102"/>
      <c r="J75" s="105"/>
      <c r="K75" s="96"/>
      <c r="L75" s="96"/>
      <c r="M75" s="96"/>
      <c r="N75" s="96"/>
      <c r="O75" s="96"/>
      <c r="P75" s="96"/>
      <c r="Q75" s="96"/>
      <c r="R75" s="96"/>
      <c r="S75" s="96"/>
      <c r="T75" s="96"/>
      <c r="U75" s="96"/>
      <c r="V75" s="96"/>
      <c r="W75" s="96"/>
      <c r="X75" s="96"/>
      <c r="Y75" s="96"/>
      <c r="Z75" s="96"/>
    </row>
    <row r="76" ht="15.75" customHeight="1">
      <c r="A76" s="104"/>
      <c r="B76" s="104"/>
      <c r="C76" s="104"/>
      <c r="D76" s="104"/>
      <c r="E76" s="104"/>
      <c r="F76" s="104"/>
      <c r="G76" s="104"/>
      <c r="H76" s="104"/>
      <c r="I76" s="104"/>
      <c r="J76" s="105"/>
      <c r="K76" s="96"/>
      <c r="L76" s="96"/>
      <c r="M76" s="96"/>
      <c r="N76" s="96"/>
      <c r="O76" s="96"/>
      <c r="P76" s="96"/>
      <c r="Q76" s="96"/>
      <c r="R76" s="96"/>
      <c r="S76" s="96"/>
      <c r="T76" s="96"/>
      <c r="U76" s="96"/>
      <c r="V76" s="96"/>
      <c r="W76" s="96"/>
      <c r="X76" s="96"/>
      <c r="Y76" s="96"/>
      <c r="Z76" s="96"/>
    </row>
    <row r="77" ht="15.75" customHeight="1">
      <c r="A77" s="102"/>
      <c r="B77" s="102"/>
      <c r="C77" s="102"/>
      <c r="D77" s="102"/>
      <c r="E77" s="102"/>
      <c r="F77" s="102"/>
      <c r="G77" s="102"/>
      <c r="H77" s="102"/>
      <c r="I77" s="102"/>
      <c r="J77" s="105"/>
      <c r="K77" s="96"/>
      <c r="L77" s="96"/>
      <c r="M77" s="96"/>
      <c r="N77" s="96"/>
      <c r="O77" s="96"/>
      <c r="P77" s="96"/>
      <c r="Q77" s="96"/>
      <c r="R77" s="96"/>
      <c r="S77" s="96"/>
      <c r="T77" s="96"/>
      <c r="U77" s="96"/>
      <c r="V77" s="96"/>
      <c r="W77" s="96"/>
      <c r="X77" s="96"/>
      <c r="Y77" s="96"/>
      <c r="Z77" s="96"/>
    </row>
    <row r="78" ht="15.75" customHeight="1">
      <c r="A78" s="104"/>
      <c r="B78" s="104"/>
      <c r="C78" s="104"/>
      <c r="D78" s="104"/>
      <c r="E78" s="104"/>
      <c r="F78" s="104"/>
      <c r="G78" s="104"/>
      <c r="H78" s="104"/>
      <c r="I78" s="104"/>
      <c r="J78" s="105"/>
      <c r="K78" s="96"/>
      <c r="L78" s="96"/>
      <c r="M78" s="96"/>
      <c r="N78" s="96"/>
      <c r="O78" s="96"/>
      <c r="P78" s="96"/>
      <c r="Q78" s="96"/>
      <c r="R78" s="96"/>
      <c r="S78" s="96"/>
      <c r="T78" s="96"/>
      <c r="U78" s="96"/>
      <c r="V78" s="96"/>
      <c r="W78" s="96"/>
      <c r="X78" s="96"/>
      <c r="Y78" s="96"/>
      <c r="Z78" s="96"/>
    </row>
    <row r="79" ht="15.75" customHeight="1">
      <c r="A79" s="102"/>
      <c r="B79" s="102"/>
      <c r="C79" s="102"/>
      <c r="D79" s="102"/>
      <c r="E79" s="102"/>
      <c r="F79" s="102"/>
      <c r="G79" s="102"/>
      <c r="H79" s="102"/>
      <c r="I79" s="102"/>
      <c r="J79" s="105"/>
      <c r="K79" s="96"/>
      <c r="L79" s="96"/>
      <c r="M79" s="96"/>
      <c r="N79" s="96"/>
      <c r="O79" s="96"/>
      <c r="P79" s="96"/>
      <c r="Q79" s="96"/>
      <c r="R79" s="96"/>
      <c r="S79" s="96"/>
      <c r="T79" s="96"/>
      <c r="U79" s="96"/>
      <c r="V79" s="96"/>
      <c r="W79" s="96"/>
      <c r="X79" s="96"/>
      <c r="Y79" s="96"/>
      <c r="Z79" s="96"/>
    </row>
    <row r="80" ht="15.75" customHeight="1">
      <c r="A80" s="104"/>
      <c r="B80" s="104"/>
      <c r="C80" s="104"/>
      <c r="D80" s="104"/>
      <c r="E80" s="104"/>
      <c r="F80" s="104"/>
      <c r="G80" s="104"/>
      <c r="H80" s="104"/>
      <c r="I80" s="104"/>
      <c r="J80" s="105"/>
      <c r="K80" s="96"/>
      <c r="L80" s="96"/>
      <c r="M80" s="96"/>
      <c r="N80" s="96"/>
      <c r="O80" s="96"/>
      <c r="P80" s="96"/>
      <c r="Q80" s="96"/>
      <c r="R80" s="96"/>
      <c r="S80" s="96"/>
      <c r="T80" s="96"/>
      <c r="U80" s="96"/>
      <c r="V80" s="96"/>
      <c r="W80" s="96"/>
      <c r="X80" s="96"/>
      <c r="Y80" s="96"/>
      <c r="Z80" s="96"/>
    </row>
    <row r="81" ht="15.75" customHeight="1">
      <c r="A81" s="102"/>
      <c r="B81" s="102"/>
      <c r="C81" s="102"/>
      <c r="D81" s="102"/>
      <c r="E81" s="102"/>
      <c r="F81" s="102"/>
      <c r="G81" s="102"/>
      <c r="H81" s="102"/>
      <c r="I81" s="102"/>
      <c r="J81" s="105"/>
      <c r="K81" s="96"/>
      <c r="L81" s="96"/>
      <c r="M81" s="96"/>
      <c r="N81" s="96"/>
      <c r="O81" s="96"/>
      <c r="P81" s="96"/>
      <c r="Q81" s="96"/>
      <c r="R81" s="96"/>
      <c r="S81" s="96"/>
      <c r="T81" s="96"/>
      <c r="U81" s="96"/>
      <c r="V81" s="96"/>
      <c r="W81" s="96"/>
      <c r="X81" s="96"/>
      <c r="Y81" s="96"/>
      <c r="Z81" s="96"/>
    </row>
    <row r="82" ht="15.75" customHeight="1">
      <c r="A82" s="104"/>
      <c r="B82" s="104"/>
      <c r="C82" s="104"/>
      <c r="D82" s="104"/>
      <c r="E82" s="104"/>
      <c r="F82" s="104"/>
      <c r="G82" s="104"/>
      <c r="H82" s="104"/>
      <c r="I82" s="104"/>
      <c r="J82" s="105"/>
      <c r="K82" s="96"/>
      <c r="L82" s="96"/>
      <c r="M82" s="96"/>
      <c r="N82" s="96"/>
      <c r="O82" s="96"/>
      <c r="P82" s="96"/>
      <c r="Q82" s="96"/>
      <c r="R82" s="96"/>
      <c r="S82" s="96"/>
      <c r="T82" s="96"/>
      <c r="U82" s="96"/>
      <c r="V82" s="96"/>
      <c r="W82" s="96"/>
      <c r="X82" s="96"/>
      <c r="Y82" s="96"/>
      <c r="Z82" s="96"/>
    </row>
    <row r="83" ht="15.75" customHeight="1">
      <c r="A83" s="102"/>
      <c r="B83" s="102"/>
      <c r="C83" s="102"/>
      <c r="D83" s="102"/>
      <c r="E83" s="102"/>
      <c r="F83" s="102"/>
      <c r="G83" s="102"/>
      <c r="H83" s="102"/>
      <c r="I83" s="102"/>
      <c r="J83" s="105"/>
      <c r="K83" s="96"/>
      <c r="L83" s="96"/>
      <c r="M83" s="96"/>
      <c r="N83" s="96"/>
      <c r="O83" s="96"/>
      <c r="P83" s="96"/>
      <c r="Q83" s="96"/>
      <c r="R83" s="96"/>
      <c r="S83" s="96"/>
      <c r="T83" s="96"/>
      <c r="U83" s="96"/>
      <c r="V83" s="96"/>
      <c r="W83" s="96"/>
      <c r="X83" s="96"/>
      <c r="Y83" s="96"/>
      <c r="Z83" s="96"/>
    </row>
    <row r="84" ht="15.75" customHeight="1">
      <c r="A84" s="104"/>
      <c r="B84" s="104"/>
      <c r="C84" s="104"/>
      <c r="D84" s="104"/>
      <c r="E84" s="104"/>
      <c r="F84" s="104"/>
      <c r="G84" s="104"/>
      <c r="H84" s="104"/>
      <c r="I84" s="104"/>
      <c r="J84" s="105"/>
      <c r="K84" s="96"/>
      <c r="L84" s="96"/>
      <c r="M84" s="96"/>
      <c r="N84" s="96"/>
      <c r="O84" s="96"/>
      <c r="P84" s="96"/>
      <c r="Q84" s="96"/>
      <c r="R84" s="96"/>
      <c r="S84" s="96"/>
      <c r="T84" s="96"/>
      <c r="U84" s="96"/>
      <c r="V84" s="96"/>
      <c r="W84" s="96"/>
      <c r="X84" s="96"/>
      <c r="Y84" s="96"/>
      <c r="Z84" s="96"/>
    </row>
    <row r="85" ht="15.75" customHeight="1">
      <c r="A85" s="102"/>
      <c r="B85" s="102"/>
      <c r="C85" s="102"/>
      <c r="D85" s="102"/>
      <c r="E85" s="102"/>
      <c r="F85" s="102"/>
      <c r="G85" s="102"/>
      <c r="H85" s="102"/>
      <c r="I85" s="102"/>
      <c r="J85" s="105"/>
      <c r="K85" s="96"/>
      <c r="L85" s="96"/>
      <c r="M85" s="96"/>
      <c r="N85" s="96"/>
      <c r="O85" s="96"/>
      <c r="P85" s="96"/>
      <c r="Q85" s="96"/>
      <c r="R85" s="96"/>
      <c r="S85" s="96"/>
      <c r="T85" s="96"/>
      <c r="U85" s="96"/>
      <c r="V85" s="96"/>
      <c r="W85" s="96"/>
      <c r="X85" s="96"/>
      <c r="Y85" s="96"/>
      <c r="Z85" s="96"/>
    </row>
    <row r="86" ht="15.75" customHeight="1">
      <c r="A86" s="104"/>
      <c r="B86" s="104"/>
      <c r="C86" s="104"/>
      <c r="D86" s="104"/>
      <c r="E86" s="104"/>
      <c r="F86" s="104"/>
      <c r="G86" s="104"/>
      <c r="H86" s="104"/>
      <c r="I86" s="104"/>
      <c r="J86" s="105"/>
      <c r="K86" s="96"/>
      <c r="L86" s="96"/>
      <c r="M86" s="96"/>
      <c r="N86" s="96"/>
      <c r="O86" s="96"/>
      <c r="P86" s="96"/>
      <c r="Q86" s="96"/>
      <c r="R86" s="96"/>
      <c r="S86" s="96"/>
      <c r="T86" s="96"/>
      <c r="U86" s="96"/>
      <c r="V86" s="96"/>
      <c r="W86" s="96"/>
      <c r="X86" s="96"/>
      <c r="Y86" s="96"/>
      <c r="Z86" s="96"/>
    </row>
    <row r="87" ht="15.75" customHeight="1">
      <c r="A87" s="102"/>
      <c r="B87" s="102"/>
      <c r="C87" s="102"/>
      <c r="D87" s="102"/>
      <c r="E87" s="102"/>
      <c r="F87" s="102"/>
      <c r="G87" s="102"/>
      <c r="H87" s="102"/>
      <c r="I87" s="102"/>
      <c r="J87" s="105"/>
      <c r="K87" s="96"/>
      <c r="L87" s="96"/>
      <c r="M87" s="96"/>
      <c r="N87" s="96"/>
      <c r="O87" s="96"/>
      <c r="P87" s="96"/>
      <c r="Q87" s="96"/>
      <c r="R87" s="96"/>
      <c r="S87" s="96"/>
      <c r="T87" s="96"/>
      <c r="U87" s="96"/>
      <c r="V87" s="96"/>
      <c r="W87" s="96"/>
      <c r="X87" s="96"/>
      <c r="Y87" s="96"/>
      <c r="Z87" s="96"/>
    </row>
    <row r="88" ht="15.75" customHeight="1">
      <c r="A88" s="104"/>
      <c r="B88" s="104"/>
      <c r="C88" s="104"/>
      <c r="D88" s="104"/>
      <c r="E88" s="104"/>
      <c r="F88" s="104"/>
      <c r="G88" s="104"/>
      <c r="H88" s="104"/>
      <c r="I88" s="104"/>
      <c r="J88" s="105"/>
      <c r="K88" s="96"/>
      <c r="L88" s="96"/>
      <c r="M88" s="96"/>
      <c r="N88" s="96"/>
      <c r="O88" s="96"/>
      <c r="P88" s="96"/>
      <c r="Q88" s="96"/>
      <c r="R88" s="96"/>
      <c r="S88" s="96"/>
      <c r="T88" s="96"/>
      <c r="U88" s="96"/>
      <c r="V88" s="96"/>
      <c r="W88" s="96"/>
      <c r="X88" s="96"/>
      <c r="Y88" s="96"/>
      <c r="Z88" s="96"/>
    </row>
    <row r="89" ht="15.75" customHeight="1">
      <c r="A89" s="102"/>
      <c r="B89" s="102"/>
      <c r="C89" s="102"/>
      <c r="D89" s="102"/>
      <c r="E89" s="102"/>
      <c r="F89" s="102"/>
      <c r="G89" s="102"/>
      <c r="H89" s="102"/>
      <c r="I89" s="102"/>
      <c r="J89" s="105"/>
      <c r="K89" s="96"/>
      <c r="L89" s="96"/>
      <c r="M89" s="96"/>
      <c r="N89" s="96"/>
      <c r="O89" s="96"/>
      <c r="P89" s="96"/>
      <c r="Q89" s="96"/>
      <c r="R89" s="96"/>
      <c r="S89" s="96"/>
      <c r="T89" s="96"/>
      <c r="U89" s="96"/>
      <c r="V89" s="96"/>
      <c r="W89" s="96"/>
      <c r="X89" s="96"/>
      <c r="Y89" s="96"/>
      <c r="Z89" s="96"/>
    </row>
    <row r="90" ht="15.75" customHeight="1">
      <c r="A90" s="104"/>
      <c r="B90" s="104"/>
      <c r="C90" s="104"/>
      <c r="D90" s="104"/>
      <c r="E90" s="104"/>
      <c r="F90" s="104"/>
      <c r="G90" s="104"/>
      <c r="H90" s="104"/>
      <c r="I90" s="104"/>
      <c r="J90" s="105"/>
      <c r="K90" s="96"/>
      <c r="L90" s="96"/>
      <c r="M90" s="96"/>
      <c r="N90" s="96"/>
      <c r="O90" s="96"/>
      <c r="P90" s="96"/>
      <c r="Q90" s="96"/>
      <c r="R90" s="96"/>
      <c r="S90" s="96"/>
      <c r="T90" s="96"/>
      <c r="U90" s="96"/>
      <c r="V90" s="96"/>
      <c r="W90" s="96"/>
      <c r="X90" s="96"/>
      <c r="Y90" s="96"/>
      <c r="Z90" s="96"/>
    </row>
    <row r="91" ht="15.75" customHeight="1">
      <c r="A91" s="102"/>
      <c r="B91" s="102"/>
      <c r="C91" s="102"/>
      <c r="D91" s="102"/>
      <c r="E91" s="102"/>
      <c r="F91" s="102"/>
      <c r="G91" s="102"/>
      <c r="H91" s="102"/>
      <c r="I91" s="102"/>
      <c r="J91" s="105"/>
      <c r="K91" s="96"/>
      <c r="L91" s="96"/>
      <c r="M91" s="96"/>
      <c r="N91" s="96"/>
      <c r="O91" s="96"/>
      <c r="P91" s="96"/>
      <c r="Q91" s="96"/>
      <c r="R91" s="96"/>
      <c r="S91" s="96"/>
      <c r="T91" s="96"/>
      <c r="U91" s="96"/>
      <c r="V91" s="96"/>
      <c r="W91" s="96"/>
      <c r="X91" s="96"/>
      <c r="Y91" s="96"/>
      <c r="Z91" s="96"/>
    </row>
    <row r="92" ht="15.75" customHeight="1">
      <c r="A92" s="104"/>
      <c r="B92" s="104"/>
      <c r="C92" s="104"/>
      <c r="D92" s="104"/>
      <c r="E92" s="104"/>
      <c r="F92" s="104"/>
      <c r="G92" s="104"/>
      <c r="H92" s="104"/>
      <c r="I92" s="104"/>
      <c r="J92" s="105"/>
      <c r="K92" s="96"/>
      <c r="L92" s="96"/>
      <c r="M92" s="96"/>
      <c r="N92" s="96"/>
      <c r="O92" s="96"/>
      <c r="P92" s="96"/>
      <c r="Q92" s="96"/>
      <c r="R92" s="96"/>
      <c r="S92" s="96"/>
      <c r="T92" s="96"/>
      <c r="U92" s="96"/>
      <c r="V92" s="96"/>
      <c r="W92" s="96"/>
      <c r="X92" s="96"/>
      <c r="Y92" s="96"/>
      <c r="Z92" s="96"/>
    </row>
    <row r="93" ht="15.75" customHeight="1">
      <c r="A93" s="102"/>
      <c r="B93" s="102"/>
      <c r="C93" s="102"/>
      <c r="D93" s="102"/>
      <c r="E93" s="102"/>
      <c r="F93" s="102"/>
      <c r="G93" s="102"/>
      <c r="H93" s="102"/>
      <c r="I93" s="102"/>
      <c r="J93" s="105"/>
      <c r="K93" s="96"/>
      <c r="L93" s="96"/>
      <c r="M93" s="96"/>
      <c r="N93" s="96"/>
      <c r="O93" s="96"/>
      <c r="P93" s="96"/>
      <c r="Q93" s="96"/>
      <c r="R93" s="96"/>
      <c r="S93" s="96"/>
      <c r="T93" s="96"/>
      <c r="U93" s="96"/>
      <c r="V93" s="96"/>
      <c r="W93" s="96"/>
      <c r="X93" s="96"/>
      <c r="Y93" s="96"/>
      <c r="Z93" s="96"/>
    </row>
    <row r="94" ht="15.75" customHeight="1">
      <c r="A94" s="104"/>
      <c r="B94" s="104"/>
      <c r="C94" s="104"/>
      <c r="D94" s="104"/>
      <c r="E94" s="104"/>
      <c r="F94" s="104"/>
      <c r="G94" s="104"/>
      <c r="H94" s="104"/>
      <c r="I94" s="104"/>
      <c r="J94" s="105"/>
      <c r="K94" s="96"/>
      <c r="L94" s="96"/>
      <c r="M94" s="96"/>
      <c r="N94" s="96"/>
      <c r="O94" s="96"/>
      <c r="P94" s="96"/>
      <c r="Q94" s="96"/>
      <c r="R94" s="96"/>
      <c r="S94" s="96"/>
      <c r="T94" s="96"/>
      <c r="U94" s="96"/>
      <c r="V94" s="96"/>
      <c r="W94" s="96"/>
      <c r="X94" s="96"/>
      <c r="Y94" s="96"/>
      <c r="Z94" s="96"/>
    </row>
    <row r="95" ht="15.75" customHeight="1">
      <c r="A95" s="102"/>
      <c r="B95" s="102"/>
      <c r="C95" s="102"/>
      <c r="D95" s="102"/>
      <c r="E95" s="102"/>
      <c r="F95" s="102"/>
      <c r="G95" s="102"/>
      <c r="H95" s="102"/>
      <c r="I95" s="102"/>
      <c r="J95" s="105"/>
      <c r="K95" s="96"/>
      <c r="L95" s="96"/>
      <c r="M95" s="96"/>
      <c r="N95" s="96"/>
      <c r="O95" s="96"/>
      <c r="P95" s="96"/>
      <c r="Q95" s="96"/>
      <c r="R95" s="96"/>
      <c r="S95" s="96"/>
      <c r="T95" s="96"/>
      <c r="U95" s="96"/>
      <c r="V95" s="96"/>
      <c r="W95" s="96"/>
      <c r="X95" s="96"/>
      <c r="Y95" s="96"/>
      <c r="Z95" s="96"/>
    </row>
    <row r="96" ht="15.75" customHeight="1">
      <c r="A96" s="104"/>
      <c r="B96" s="104"/>
      <c r="C96" s="104"/>
      <c r="D96" s="104"/>
      <c r="E96" s="104"/>
      <c r="F96" s="104"/>
      <c r="G96" s="104"/>
      <c r="H96" s="104"/>
      <c r="I96" s="104"/>
      <c r="J96" s="105"/>
      <c r="K96" s="96"/>
      <c r="L96" s="96"/>
      <c r="M96" s="96"/>
      <c r="N96" s="96"/>
      <c r="O96" s="96"/>
      <c r="P96" s="96"/>
      <c r="Q96" s="96"/>
      <c r="R96" s="96"/>
      <c r="S96" s="96"/>
      <c r="T96" s="96"/>
      <c r="U96" s="96"/>
      <c r="V96" s="96"/>
      <c r="W96" s="96"/>
      <c r="X96" s="96"/>
      <c r="Y96" s="96"/>
      <c r="Z96" s="96"/>
    </row>
    <row r="97" ht="15.75" customHeight="1">
      <c r="A97" s="102"/>
      <c r="B97" s="102"/>
      <c r="C97" s="102"/>
      <c r="D97" s="102"/>
      <c r="E97" s="102"/>
      <c r="F97" s="102"/>
      <c r="G97" s="102"/>
      <c r="H97" s="102"/>
      <c r="I97" s="102"/>
      <c r="J97" s="105"/>
      <c r="K97" s="96"/>
      <c r="L97" s="96"/>
      <c r="M97" s="96"/>
      <c r="N97" s="96"/>
      <c r="O97" s="96"/>
      <c r="P97" s="96"/>
      <c r="Q97" s="96"/>
      <c r="R97" s="96"/>
      <c r="S97" s="96"/>
      <c r="T97" s="96"/>
      <c r="U97" s="96"/>
      <c r="V97" s="96"/>
      <c r="W97" s="96"/>
      <c r="X97" s="96"/>
      <c r="Y97" s="96"/>
      <c r="Z97" s="96"/>
    </row>
    <row r="98" ht="15.75" customHeight="1">
      <c r="A98" s="104"/>
      <c r="B98" s="104"/>
      <c r="C98" s="104"/>
      <c r="D98" s="104"/>
      <c r="E98" s="104"/>
      <c r="F98" s="104"/>
      <c r="G98" s="104"/>
      <c r="H98" s="104"/>
      <c r="I98" s="104"/>
      <c r="J98" s="105"/>
      <c r="K98" s="96"/>
      <c r="L98" s="96"/>
      <c r="M98" s="96"/>
      <c r="N98" s="96"/>
      <c r="O98" s="96"/>
      <c r="P98" s="96"/>
      <c r="Q98" s="96"/>
      <c r="R98" s="96"/>
      <c r="S98" s="96"/>
      <c r="T98" s="96"/>
      <c r="U98" s="96"/>
      <c r="V98" s="96"/>
      <c r="W98" s="96"/>
      <c r="X98" s="96"/>
      <c r="Y98" s="96"/>
      <c r="Z98" s="96"/>
    </row>
    <row r="99" ht="15.75" customHeight="1">
      <c r="A99" s="102"/>
      <c r="B99" s="102"/>
      <c r="C99" s="102"/>
      <c r="D99" s="102"/>
      <c r="E99" s="102"/>
      <c r="F99" s="102"/>
      <c r="G99" s="102"/>
      <c r="H99" s="102"/>
      <c r="I99" s="102"/>
      <c r="J99" s="105"/>
      <c r="K99" s="96"/>
      <c r="L99" s="96"/>
      <c r="M99" s="96"/>
      <c r="N99" s="96"/>
      <c r="O99" s="96"/>
      <c r="P99" s="96"/>
      <c r="Q99" s="96"/>
      <c r="R99" s="96"/>
      <c r="S99" s="96"/>
      <c r="T99" s="96"/>
      <c r="U99" s="96"/>
      <c r="V99" s="96"/>
      <c r="W99" s="96"/>
      <c r="X99" s="96"/>
      <c r="Y99" s="96"/>
      <c r="Z99" s="96"/>
    </row>
    <row r="100" ht="15.75" customHeight="1">
      <c r="A100" s="104"/>
      <c r="B100" s="104"/>
      <c r="C100" s="104"/>
      <c r="D100" s="104"/>
      <c r="E100" s="104"/>
      <c r="F100" s="104"/>
      <c r="G100" s="104"/>
      <c r="H100" s="104"/>
      <c r="I100" s="104"/>
      <c r="J100" s="105"/>
      <c r="K100" s="96"/>
      <c r="L100" s="96"/>
      <c r="M100" s="96"/>
      <c r="N100" s="96"/>
      <c r="O100" s="96"/>
      <c r="P100" s="96"/>
      <c r="Q100" s="96"/>
      <c r="R100" s="96"/>
      <c r="S100" s="96"/>
      <c r="T100" s="96"/>
      <c r="U100" s="96"/>
      <c r="V100" s="96"/>
      <c r="W100" s="96"/>
      <c r="X100" s="96"/>
      <c r="Y100" s="96"/>
      <c r="Z100" s="96"/>
    </row>
    <row r="101" ht="15.75" customHeight="1">
      <c r="A101" s="102"/>
      <c r="B101" s="102"/>
      <c r="C101" s="102"/>
      <c r="D101" s="102"/>
      <c r="E101" s="102"/>
      <c r="F101" s="102"/>
      <c r="G101" s="102"/>
      <c r="H101" s="102"/>
      <c r="I101" s="102"/>
      <c r="J101" s="105"/>
      <c r="K101" s="96"/>
      <c r="L101" s="96"/>
      <c r="M101" s="96"/>
      <c r="N101" s="96"/>
      <c r="O101" s="96"/>
      <c r="P101" s="96"/>
      <c r="Q101" s="96"/>
      <c r="R101" s="96"/>
      <c r="S101" s="96"/>
      <c r="T101" s="96"/>
      <c r="U101" s="96"/>
      <c r="V101" s="96"/>
      <c r="W101" s="96"/>
      <c r="X101" s="96"/>
      <c r="Y101" s="96"/>
      <c r="Z101" s="96"/>
    </row>
    <row r="102" ht="15.75" customHeight="1">
      <c r="A102" s="104"/>
      <c r="B102" s="104"/>
      <c r="C102" s="104"/>
      <c r="D102" s="104"/>
      <c r="E102" s="104"/>
      <c r="F102" s="104"/>
      <c r="G102" s="104"/>
      <c r="H102" s="104"/>
      <c r="I102" s="104"/>
      <c r="J102" s="105"/>
      <c r="K102" s="96"/>
      <c r="L102" s="96"/>
      <c r="M102" s="96"/>
      <c r="N102" s="96"/>
      <c r="O102" s="96"/>
      <c r="P102" s="96"/>
      <c r="Q102" s="96"/>
      <c r="R102" s="96"/>
      <c r="S102" s="96"/>
      <c r="T102" s="96"/>
      <c r="U102" s="96"/>
      <c r="V102" s="96"/>
      <c r="W102" s="96"/>
      <c r="X102" s="96"/>
      <c r="Y102" s="96"/>
      <c r="Z102" s="96"/>
    </row>
    <row r="103" ht="15.75" customHeight="1">
      <c r="A103" s="102"/>
      <c r="B103" s="102"/>
      <c r="C103" s="102"/>
      <c r="D103" s="102"/>
      <c r="E103" s="102"/>
      <c r="F103" s="102"/>
      <c r="G103" s="102"/>
      <c r="H103" s="102"/>
      <c r="I103" s="102"/>
      <c r="J103" s="105"/>
      <c r="K103" s="96"/>
      <c r="L103" s="96"/>
      <c r="M103" s="96"/>
      <c r="N103" s="96"/>
      <c r="O103" s="96"/>
      <c r="P103" s="96"/>
      <c r="Q103" s="96"/>
      <c r="R103" s="96"/>
      <c r="S103" s="96"/>
      <c r="T103" s="96"/>
      <c r="U103" s="96"/>
      <c r="V103" s="96"/>
      <c r="W103" s="96"/>
      <c r="X103" s="96"/>
      <c r="Y103" s="96"/>
      <c r="Z103" s="96"/>
    </row>
    <row r="104" ht="15.75" customHeight="1">
      <c r="A104" s="104"/>
      <c r="B104" s="104"/>
      <c r="C104" s="104"/>
      <c r="D104" s="104"/>
      <c r="E104" s="104"/>
      <c r="F104" s="104"/>
      <c r="G104" s="104"/>
      <c r="H104" s="104"/>
      <c r="I104" s="104"/>
      <c r="J104" s="105"/>
      <c r="K104" s="96"/>
      <c r="L104" s="96"/>
      <c r="M104" s="96"/>
      <c r="N104" s="96"/>
      <c r="O104" s="96"/>
      <c r="P104" s="96"/>
      <c r="Q104" s="96"/>
      <c r="R104" s="96"/>
      <c r="S104" s="96"/>
      <c r="T104" s="96"/>
      <c r="U104" s="96"/>
      <c r="V104" s="96"/>
      <c r="W104" s="96"/>
      <c r="X104" s="96"/>
      <c r="Y104" s="96"/>
      <c r="Z104" s="96"/>
    </row>
    <row r="105" ht="15.75" customHeight="1">
      <c r="A105" s="102"/>
      <c r="B105" s="102"/>
      <c r="C105" s="102"/>
      <c r="D105" s="102"/>
      <c r="E105" s="102"/>
      <c r="F105" s="102"/>
      <c r="G105" s="102"/>
      <c r="H105" s="102"/>
      <c r="I105" s="102"/>
      <c r="J105" s="105"/>
      <c r="K105" s="96"/>
      <c r="L105" s="96"/>
      <c r="M105" s="96"/>
      <c r="N105" s="96"/>
      <c r="O105" s="96"/>
      <c r="P105" s="96"/>
      <c r="Q105" s="96"/>
      <c r="R105" s="96"/>
      <c r="S105" s="96"/>
      <c r="T105" s="96"/>
      <c r="U105" s="96"/>
      <c r="V105" s="96"/>
      <c r="W105" s="96"/>
      <c r="X105" s="96"/>
      <c r="Y105" s="96"/>
      <c r="Z105" s="96"/>
    </row>
    <row r="106" ht="15.75" customHeight="1">
      <c r="A106" s="104"/>
      <c r="B106" s="104"/>
      <c r="C106" s="104"/>
      <c r="D106" s="104"/>
      <c r="E106" s="104"/>
      <c r="F106" s="104"/>
      <c r="G106" s="104"/>
      <c r="H106" s="104"/>
      <c r="I106" s="104"/>
      <c r="J106" s="105"/>
      <c r="K106" s="96"/>
      <c r="L106" s="96"/>
      <c r="M106" s="96"/>
      <c r="N106" s="96"/>
      <c r="O106" s="96"/>
      <c r="P106" s="96"/>
      <c r="Q106" s="96"/>
      <c r="R106" s="96"/>
      <c r="S106" s="96"/>
      <c r="T106" s="96"/>
      <c r="U106" s="96"/>
      <c r="V106" s="96"/>
      <c r="W106" s="96"/>
      <c r="X106" s="96"/>
      <c r="Y106" s="96"/>
      <c r="Z106" s="96"/>
    </row>
    <row r="107" ht="15.75" customHeight="1">
      <c r="A107" s="102"/>
      <c r="B107" s="102"/>
      <c r="C107" s="102"/>
      <c r="D107" s="102"/>
      <c r="E107" s="102"/>
      <c r="F107" s="102"/>
      <c r="G107" s="102"/>
      <c r="H107" s="102"/>
      <c r="I107" s="102"/>
      <c r="J107" s="105"/>
      <c r="K107" s="96"/>
      <c r="L107" s="96"/>
      <c r="M107" s="96"/>
      <c r="N107" s="96"/>
      <c r="O107" s="96"/>
      <c r="P107" s="96"/>
      <c r="Q107" s="96"/>
      <c r="R107" s="96"/>
      <c r="S107" s="96"/>
      <c r="T107" s="96"/>
      <c r="U107" s="96"/>
      <c r="V107" s="96"/>
      <c r="W107" s="96"/>
      <c r="X107" s="96"/>
      <c r="Y107" s="96"/>
      <c r="Z107" s="96"/>
    </row>
    <row r="108" ht="15.75" customHeight="1">
      <c r="A108" s="104"/>
      <c r="B108" s="104"/>
      <c r="C108" s="104"/>
      <c r="D108" s="104"/>
      <c r="E108" s="104"/>
      <c r="F108" s="104"/>
      <c r="G108" s="104"/>
      <c r="H108" s="104"/>
      <c r="I108" s="104"/>
      <c r="J108" s="105"/>
      <c r="K108" s="96"/>
      <c r="L108" s="96"/>
      <c r="M108" s="96"/>
      <c r="N108" s="96"/>
      <c r="O108" s="96"/>
      <c r="P108" s="96"/>
      <c r="Q108" s="96"/>
      <c r="R108" s="96"/>
      <c r="S108" s="96"/>
      <c r="T108" s="96"/>
      <c r="U108" s="96"/>
      <c r="V108" s="96"/>
      <c r="W108" s="96"/>
      <c r="X108" s="96"/>
      <c r="Y108" s="96"/>
      <c r="Z108" s="96"/>
    </row>
    <row r="109" ht="15.75" customHeight="1">
      <c r="A109" s="102"/>
      <c r="B109" s="102"/>
      <c r="C109" s="102"/>
      <c r="D109" s="102"/>
      <c r="E109" s="102"/>
      <c r="F109" s="102"/>
      <c r="G109" s="102"/>
      <c r="H109" s="102"/>
      <c r="I109" s="102"/>
      <c r="J109" s="105"/>
      <c r="K109" s="96"/>
      <c r="L109" s="96"/>
      <c r="M109" s="96"/>
      <c r="N109" s="96"/>
      <c r="O109" s="96"/>
      <c r="P109" s="96"/>
      <c r="Q109" s="96"/>
      <c r="R109" s="96"/>
      <c r="S109" s="96"/>
      <c r="T109" s="96"/>
      <c r="U109" s="96"/>
      <c r="V109" s="96"/>
      <c r="W109" s="96"/>
      <c r="X109" s="96"/>
      <c r="Y109" s="96"/>
      <c r="Z109" s="96"/>
    </row>
    <row r="110" ht="15.75" customHeight="1">
      <c r="A110" s="104"/>
      <c r="B110" s="104"/>
      <c r="C110" s="104"/>
      <c r="D110" s="104"/>
      <c r="E110" s="104"/>
      <c r="F110" s="104"/>
      <c r="G110" s="104"/>
      <c r="H110" s="104"/>
      <c r="I110" s="104"/>
      <c r="J110" s="105"/>
      <c r="K110" s="96"/>
      <c r="L110" s="96"/>
      <c r="M110" s="96"/>
      <c r="N110" s="96"/>
      <c r="O110" s="96"/>
      <c r="P110" s="96"/>
      <c r="Q110" s="96"/>
      <c r="R110" s="96"/>
      <c r="S110" s="96"/>
      <c r="T110" s="96"/>
      <c r="U110" s="96"/>
      <c r="V110" s="96"/>
      <c r="W110" s="96"/>
      <c r="X110" s="96"/>
      <c r="Y110" s="96"/>
      <c r="Z110" s="96"/>
    </row>
    <row r="111" ht="15.75" customHeight="1">
      <c r="A111" s="102"/>
      <c r="B111" s="102"/>
      <c r="C111" s="102"/>
      <c r="D111" s="102"/>
      <c r="E111" s="102"/>
      <c r="F111" s="102"/>
      <c r="G111" s="102"/>
      <c r="H111" s="102"/>
      <c r="I111" s="102"/>
      <c r="J111" s="105"/>
      <c r="K111" s="96"/>
      <c r="L111" s="96"/>
      <c r="M111" s="96"/>
      <c r="N111" s="96"/>
      <c r="O111" s="96"/>
      <c r="P111" s="96"/>
      <c r="Q111" s="96"/>
      <c r="R111" s="96"/>
      <c r="S111" s="96"/>
      <c r="T111" s="96"/>
      <c r="U111" s="96"/>
      <c r="V111" s="96"/>
      <c r="W111" s="96"/>
      <c r="X111" s="96"/>
      <c r="Y111" s="96"/>
      <c r="Z111" s="96"/>
    </row>
    <row r="112" ht="15.75" customHeight="1">
      <c r="A112" s="104"/>
      <c r="B112" s="104"/>
      <c r="C112" s="104"/>
      <c r="D112" s="104"/>
      <c r="E112" s="104"/>
      <c r="F112" s="104"/>
      <c r="G112" s="104"/>
      <c r="H112" s="104"/>
      <c r="I112" s="104"/>
      <c r="J112" s="105"/>
      <c r="K112" s="96"/>
      <c r="L112" s="96"/>
      <c r="M112" s="96"/>
      <c r="N112" s="96"/>
      <c r="O112" s="96"/>
      <c r="P112" s="96"/>
      <c r="Q112" s="96"/>
      <c r="R112" s="96"/>
      <c r="S112" s="96"/>
      <c r="T112" s="96"/>
      <c r="U112" s="96"/>
      <c r="V112" s="96"/>
      <c r="W112" s="96"/>
      <c r="X112" s="96"/>
      <c r="Y112" s="96"/>
      <c r="Z112" s="96"/>
    </row>
    <row r="113" ht="15.75" customHeight="1">
      <c r="A113" s="102"/>
      <c r="B113" s="102"/>
      <c r="C113" s="102"/>
      <c r="D113" s="102"/>
      <c r="E113" s="102"/>
      <c r="F113" s="102"/>
      <c r="G113" s="102"/>
      <c r="H113" s="102"/>
      <c r="I113" s="102"/>
      <c r="J113" s="105"/>
      <c r="K113" s="96"/>
      <c r="L113" s="96"/>
      <c r="M113" s="96"/>
      <c r="N113" s="96"/>
      <c r="O113" s="96"/>
      <c r="P113" s="96"/>
      <c r="Q113" s="96"/>
      <c r="R113" s="96"/>
      <c r="S113" s="96"/>
      <c r="T113" s="96"/>
      <c r="U113" s="96"/>
      <c r="V113" s="96"/>
      <c r="W113" s="96"/>
      <c r="X113" s="96"/>
      <c r="Y113" s="96"/>
      <c r="Z113" s="96"/>
    </row>
    <row r="114" ht="15.75" customHeight="1">
      <c r="A114" s="104"/>
      <c r="B114" s="104"/>
      <c r="C114" s="104"/>
      <c r="D114" s="104"/>
      <c r="E114" s="104"/>
      <c r="F114" s="104"/>
      <c r="G114" s="104"/>
      <c r="H114" s="104"/>
      <c r="I114" s="104"/>
      <c r="J114" s="105"/>
      <c r="K114" s="96"/>
      <c r="L114" s="96"/>
      <c r="M114" s="96"/>
      <c r="N114" s="96"/>
      <c r="O114" s="96"/>
      <c r="P114" s="96"/>
      <c r="Q114" s="96"/>
      <c r="R114" s="96"/>
      <c r="S114" s="96"/>
      <c r="T114" s="96"/>
      <c r="U114" s="96"/>
      <c r="V114" s="96"/>
      <c r="W114" s="96"/>
      <c r="X114" s="96"/>
      <c r="Y114" s="96"/>
      <c r="Z114" s="96"/>
    </row>
    <row r="115" ht="15.75" customHeight="1">
      <c r="A115" s="102"/>
      <c r="B115" s="102"/>
      <c r="C115" s="102"/>
      <c r="D115" s="102"/>
      <c r="E115" s="102"/>
      <c r="F115" s="102"/>
      <c r="G115" s="102"/>
      <c r="H115" s="102"/>
      <c r="I115" s="102"/>
      <c r="J115" s="105"/>
      <c r="K115" s="96"/>
      <c r="L115" s="96"/>
      <c r="M115" s="96"/>
      <c r="N115" s="96"/>
      <c r="O115" s="96"/>
      <c r="P115" s="96"/>
      <c r="Q115" s="96"/>
      <c r="R115" s="96"/>
      <c r="S115" s="96"/>
      <c r="T115" s="96"/>
      <c r="U115" s="96"/>
      <c r="V115" s="96"/>
      <c r="W115" s="96"/>
      <c r="X115" s="96"/>
      <c r="Y115" s="96"/>
      <c r="Z115" s="96"/>
    </row>
    <row r="116" ht="15.75" customHeight="1">
      <c r="A116" s="104"/>
      <c r="B116" s="104"/>
      <c r="C116" s="104"/>
      <c r="D116" s="104"/>
      <c r="E116" s="104"/>
      <c r="F116" s="104"/>
      <c r="G116" s="104"/>
      <c r="H116" s="104"/>
      <c r="I116" s="104"/>
      <c r="J116" s="105"/>
      <c r="K116" s="96"/>
      <c r="L116" s="96"/>
      <c r="M116" s="96"/>
      <c r="N116" s="96"/>
      <c r="O116" s="96"/>
      <c r="P116" s="96"/>
      <c r="Q116" s="96"/>
      <c r="R116" s="96"/>
      <c r="S116" s="96"/>
      <c r="T116" s="96"/>
      <c r="U116" s="96"/>
      <c r="V116" s="96"/>
      <c r="W116" s="96"/>
      <c r="X116" s="96"/>
      <c r="Y116" s="96"/>
      <c r="Z116" s="96"/>
    </row>
    <row r="117" ht="15.75" customHeight="1">
      <c r="A117" s="102"/>
      <c r="B117" s="102"/>
      <c r="C117" s="102"/>
      <c r="D117" s="102"/>
      <c r="E117" s="102"/>
      <c r="F117" s="102"/>
      <c r="G117" s="102"/>
      <c r="H117" s="102"/>
      <c r="I117" s="102"/>
      <c r="J117" s="105"/>
      <c r="K117" s="96"/>
      <c r="L117" s="96"/>
      <c r="M117" s="96"/>
      <c r="N117" s="96"/>
      <c r="O117" s="96"/>
      <c r="P117" s="96"/>
      <c r="Q117" s="96"/>
      <c r="R117" s="96"/>
      <c r="S117" s="96"/>
      <c r="T117" s="96"/>
      <c r="U117" s="96"/>
      <c r="V117" s="96"/>
      <c r="W117" s="96"/>
      <c r="X117" s="96"/>
      <c r="Y117" s="96"/>
      <c r="Z117" s="96"/>
    </row>
    <row r="118" ht="15.75" customHeight="1">
      <c r="A118" s="104"/>
      <c r="B118" s="104"/>
      <c r="C118" s="104"/>
      <c r="D118" s="104"/>
      <c r="E118" s="104"/>
      <c r="F118" s="104"/>
      <c r="G118" s="104"/>
      <c r="H118" s="104"/>
      <c r="I118" s="104"/>
      <c r="J118" s="105"/>
      <c r="K118" s="96"/>
      <c r="L118" s="96"/>
      <c r="M118" s="96"/>
      <c r="N118" s="96"/>
      <c r="O118" s="96"/>
      <c r="P118" s="96"/>
      <c r="Q118" s="96"/>
      <c r="R118" s="96"/>
      <c r="S118" s="96"/>
      <c r="T118" s="96"/>
      <c r="U118" s="96"/>
      <c r="V118" s="96"/>
      <c r="W118" s="96"/>
      <c r="X118" s="96"/>
      <c r="Y118" s="96"/>
      <c r="Z118" s="96"/>
    </row>
    <row r="119" ht="15.75" customHeight="1">
      <c r="A119" s="102"/>
      <c r="B119" s="102"/>
      <c r="C119" s="102"/>
      <c r="D119" s="102"/>
      <c r="E119" s="102"/>
      <c r="F119" s="102"/>
      <c r="G119" s="102"/>
      <c r="H119" s="102"/>
      <c r="I119" s="102"/>
      <c r="J119" s="105"/>
      <c r="K119" s="96"/>
      <c r="L119" s="96"/>
      <c r="M119" s="96"/>
      <c r="N119" s="96"/>
      <c r="O119" s="96"/>
      <c r="P119" s="96"/>
      <c r="Q119" s="96"/>
      <c r="R119" s="96"/>
      <c r="S119" s="96"/>
      <c r="T119" s="96"/>
      <c r="U119" s="96"/>
      <c r="V119" s="96"/>
      <c r="W119" s="96"/>
      <c r="X119" s="96"/>
      <c r="Y119" s="96"/>
      <c r="Z119" s="96"/>
    </row>
    <row r="120" ht="15.75" customHeight="1">
      <c r="A120" s="104"/>
      <c r="B120" s="104"/>
      <c r="C120" s="104"/>
      <c r="D120" s="104"/>
      <c r="E120" s="104"/>
      <c r="F120" s="104"/>
      <c r="G120" s="104"/>
      <c r="H120" s="104"/>
      <c r="I120" s="104"/>
      <c r="J120" s="105"/>
      <c r="K120" s="96"/>
      <c r="L120" s="96"/>
      <c r="M120" s="96"/>
      <c r="N120" s="96"/>
      <c r="O120" s="96"/>
      <c r="P120" s="96"/>
      <c r="Q120" s="96"/>
      <c r="R120" s="96"/>
      <c r="S120" s="96"/>
      <c r="T120" s="96"/>
      <c r="U120" s="96"/>
      <c r="V120" s="96"/>
      <c r="W120" s="96"/>
      <c r="X120" s="96"/>
      <c r="Y120" s="96"/>
      <c r="Z120" s="96"/>
    </row>
    <row r="121" ht="15.75" customHeight="1">
      <c r="A121" s="102"/>
      <c r="B121" s="102"/>
      <c r="C121" s="102"/>
      <c r="D121" s="102"/>
      <c r="E121" s="102"/>
      <c r="F121" s="102"/>
      <c r="G121" s="102"/>
      <c r="H121" s="102"/>
      <c r="I121" s="102"/>
      <c r="J121" s="105"/>
      <c r="K121" s="96"/>
      <c r="L121" s="96"/>
      <c r="M121" s="96"/>
      <c r="N121" s="96"/>
      <c r="O121" s="96"/>
      <c r="P121" s="96"/>
      <c r="Q121" s="96"/>
      <c r="R121" s="96"/>
      <c r="S121" s="96"/>
      <c r="T121" s="96"/>
      <c r="U121" s="96"/>
      <c r="V121" s="96"/>
      <c r="W121" s="96"/>
      <c r="X121" s="96"/>
      <c r="Y121" s="96"/>
      <c r="Z121" s="96"/>
    </row>
    <row r="122" ht="15.75" customHeight="1">
      <c r="A122" s="104"/>
      <c r="B122" s="104"/>
      <c r="C122" s="104"/>
      <c r="D122" s="104"/>
      <c r="E122" s="104"/>
      <c r="F122" s="104"/>
      <c r="G122" s="104"/>
      <c r="H122" s="104"/>
      <c r="I122" s="104"/>
      <c r="J122" s="105"/>
      <c r="K122" s="96"/>
      <c r="L122" s="96"/>
      <c r="M122" s="96"/>
      <c r="N122" s="96"/>
      <c r="O122" s="96"/>
      <c r="P122" s="96"/>
      <c r="Q122" s="96"/>
      <c r="R122" s="96"/>
      <c r="S122" s="96"/>
      <c r="T122" s="96"/>
      <c r="U122" s="96"/>
      <c r="V122" s="96"/>
      <c r="W122" s="96"/>
      <c r="X122" s="96"/>
      <c r="Y122" s="96"/>
      <c r="Z122" s="96"/>
    </row>
    <row r="123" ht="15.75" customHeight="1">
      <c r="A123" s="102"/>
      <c r="B123" s="102"/>
      <c r="C123" s="102"/>
      <c r="D123" s="102"/>
      <c r="E123" s="102"/>
      <c r="F123" s="102"/>
      <c r="G123" s="102"/>
      <c r="H123" s="102"/>
      <c r="I123" s="102"/>
      <c r="J123" s="105"/>
      <c r="K123" s="96"/>
      <c r="L123" s="96"/>
      <c r="M123" s="96"/>
      <c r="N123" s="96"/>
      <c r="O123" s="96"/>
      <c r="P123" s="96"/>
      <c r="Q123" s="96"/>
      <c r="R123" s="96"/>
      <c r="S123" s="96"/>
      <c r="T123" s="96"/>
      <c r="U123" s="96"/>
      <c r="V123" s="96"/>
      <c r="W123" s="96"/>
      <c r="X123" s="96"/>
      <c r="Y123" s="96"/>
      <c r="Z123" s="96"/>
    </row>
    <row r="124" ht="15.75" customHeight="1">
      <c r="A124" s="104"/>
      <c r="B124" s="104"/>
      <c r="C124" s="104"/>
      <c r="D124" s="104"/>
      <c r="E124" s="104"/>
      <c r="F124" s="104"/>
      <c r="G124" s="104"/>
      <c r="H124" s="104"/>
      <c r="I124" s="104"/>
      <c r="J124" s="105"/>
      <c r="K124" s="96"/>
      <c r="L124" s="96"/>
      <c r="M124" s="96"/>
      <c r="N124" s="96"/>
      <c r="O124" s="96"/>
      <c r="P124" s="96"/>
      <c r="Q124" s="96"/>
      <c r="R124" s="96"/>
      <c r="S124" s="96"/>
      <c r="T124" s="96"/>
      <c r="U124" s="96"/>
      <c r="V124" s="96"/>
      <c r="W124" s="96"/>
      <c r="X124" s="96"/>
      <c r="Y124" s="96"/>
      <c r="Z124" s="96"/>
    </row>
    <row r="125" ht="15.75" customHeight="1">
      <c r="A125" s="102"/>
      <c r="B125" s="102"/>
      <c r="C125" s="102"/>
      <c r="D125" s="102"/>
      <c r="E125" s="102"/>
      <c r="F125" s="102"/>
      <c r="G125" s="102"/>
      <c r="H125" s="102"/>
      <c r="I125" s="102"/>
      <c r="J125" s="105"/>
      <c r="K125" s="96"/>
      <c r="L125" s="96"/>
      <c r="M125" s="96"/>
      <c r="N125" s="96"/>
      <c r="O125" s="96"/>
      <c r="P125" s="96"/>
      <c r="Q125" s="96"/>
      <c r="R125" s="96"/>
      <c r="S125" s="96"/>
      <c r="T125" s="96"/>
      <c r="U125" s="96"/>
      <c r="V125" s="96"/>
      <c r="W125" s="96"/>
      <c r="X125" s="96"/>
      <c r="Y125" s="96"/>
      <c r="Z125" s="96"/>
    </row>
    <row r="126" ht="15.75" customHeight="1">
      <c r="A126" s="104"/>
      <c r="B126" s="104"/>
      <c r="C126" s="104"/>
      <c r="D126" s="104"/>
      <c r="E126" s="104"/>
      <c r="F126" s="104"/>
      <c r="G126" s="104"/>
      <c r="H126" s="104"/>
      <c r="I126" s="104"/>
      <c r="J126" s="105"/>
      <c r="K126" s="96"/>
      <c r="L126" s="96"/>
      <c r="M126" s="96"/>
      <c r="N126" s="96"/>
      <c r="O126" s="96"/>
      <c r="P126" s="96"/>
      <c r="Q126" s="96"/>
      <c r="R126" s="96"/>
      <c r="S126" s="96"/>
      <c r="T126" s="96"/>
      <c r="U126" s="96"/>
      <c r="V126" s="96"/>
      <c r="W126" s="96"/>
      <c r="X126" s="96"/>
      <c r="Y126" s="96"/>
      <c r="Z126" s="96"/>
    </row>
    <row r="127" ht="15.75" customHeight="1">
      <c r="A127" s="102"/>
      <c r="B127" s="102"/>
      <c r="C127" s="102"/>
      <c r="D127" s="102"/>
      <c r="E127" s="102"/>
      <c r="F127" s="102"/>
      <c r="G127" s="102"/>
      <c r="H127" s="102"/>
      <c r="I127" s="102"/>
      <c r="J127" s="105"/>
      <c r="K127" s="96"/>
      <c r="L127" s="96"/>
      <c r="M127" s="96"/>
      <c r="N127" s="96"/>
      <c r="O127" s="96"/>
      <c r="P127" s="96"/>
      <c r="Q127" s="96"/>
      <c r="R127" s="96"/>
      <c r="S127" s="96"/>
      <c r="T127" s="96"/>
      <c r="U127" s="96"/>
      <c r="V127" s="96"/>
      <c r="W127" s="96"/>
      <c r="X127" s="96"/>
      <c r="Y127" s="96"/>
      <c r="Z127" s="96"/>
    </row>
    <row r="128" ht="15.75" customHeight="1">
      <c r="A128" s="104"/>
      <c r="B128" s="104"/>
      <c r="C128" s="104"/>
      <c r="D128" s="104"/>
      <c r="E128" s="104"/>
      <c r="F128" s="104"/>
      <c r="G128" s="104"/>
      <c r="H128" s="104"/>
      <c r="I128" s="104"/>
      <c r="J128" s="105"/>
      <c r="K128" s="96"/>
      <c r="L128" s="96"/>
      <c r="M128" s="96"/>
      <c r="N128" s="96"/>
      <c r="O128" s="96"/>
      <c r="P128" s="96"/>
      <c r="Q128" s="96"/>
      <c r="R128" s="96"/>
      <c r="S128" s="96"/>
      <c r="T128" s="96"/>
      <c r="U128" s="96"/>
      <c r="V128" s="96"/>
      <c r="W128" s="96"/>
      <c r="X128" s="96"/>
      <c r="Y128" s="96"/>
      <c r="Z128" s="96"/>
    </row>
    <row r="129" ht="15.75" customHeight="1">
      <c r="A129" s="102"/>
      <c r="B129" s="102"/>
      <c r="C129" s="102"/>
      <c r="D129" s="102"/>
      <c r="E129" s="102"/>
      <c r="F129" s="102"/>
      <c r="G129" s="102"/>
      <c r="H129" s="102"/>
      <c r="I129" s="102"/>
      <c r="J129" s="105"/>
      <c r="K129" s="96"/>
      <c r="L129" s="96"/>
      <c r="M129" s="96"/>
      <c r="N129" s="96"/>
      <c r="O129" s="96"/>
      <c r="P129" s="96"/>
      <c r="Q129" s="96"/>
      <c r="R129" s="96"/>
      <c r="S129" s="96"/>
      <c r="T129" s="96"/>
      <c r="U129" s="96"/>
      <c r="V129" s="96"/>
      <c r="W129" s="96"/>
      <c r="X129" s="96"/>
      <c r="Y129" s="96"/>
      <c r="Z129" s="96"/>
    </row>
    <row r="130" ht="15.75" customHeight="1">
      <c r="A130" s="104"/>
      <c r="B130" s="104"/>
      <c r="C130" s="104"/>
      <c r="D130" s="104"/>
      <c r="E130" s="104"/>
      <c r="F130" s="104"/>
      <c r="G130" s="104"/>
      <c r="H130" s="104"/>
      <c r="I130" s="104"/>
      <c r="J130" s="105"/>
      <c r="K130" s="96"/>
      <c r="L130" s="96"/>
      <c r="M130" s="96"/>
      <c r="N130" s="96"/>
      <c r="O130" s="96"/>
      <c r="P130" s="96"/>
      <c r="Q130" s="96"/>
      <c r="R130" s="96"/>
      <c r="S130" s="96"/>
      <c r="T130" s="96"/>
      <c r="U130" s="96"/>
      <c r="V130" s="96"/>
      <c r="W130" s="96"/>
      <c r="X130" s="96"/>
      <c r="Y130" s="96"/>
      <c r="Z130" s="96"/>
    </row>
    <row r="131" ht="15.75" customHeight="1">
      <c r="A131" s="102"/>
      <c r="B131" s="102"/>
      <c r="C131" s="102"/>
      <c r="D131" s="102"/>
      <c r="E131" s="102"/>
      <c r="F131" s="102"/>
      <c r="G131" s="102"/>
      <c r="H131" s="102"/>
      <c r="I131" s="102"/>
      <c r="J131" s="105"/>
      <c r="K131" s="96"/>
      <c r="L131" s="96"/>
      <c r="M131" s="96"/>
      <c r="N131" s="96"/>
      <c r="O131" s="96"/>
      <c r="P131" s="96"/>
      <c r="Q131" s="96"/>
      <c r="R131" s="96"/>
      <c r="S131" s="96"/>
      <c r="T131" s="96"/>
      <c r="U131" s="96"/>
      <c r="V131" s="96"/>
      <c r="W131" s="96"/>
      <c r="X131" s="96"/>
      <c r="Y131" s="96"/>
      <c r="Z131" s="96"/>
    </row>
    <row r="132" ht="15.75" customHeight="1">
      <c r="A132" s="104"/>
      <c r="B132" s="104"/>
      <c r="C132" s="104"/>
      <c r="D132" s="104"/>
      <c r="E132" s="104"/>
      <c r="F132" s="104"/>
      <c r="G132" s="104"/>
      <c r="H132" s="104"/>
      <c r="I132" s="104"/>
      <c r="J132" s="105"/>
      <c r="K132" s="96"/>
      <c r="L132" s="96"/>
      <c r="M132" s="96"/>
      <c r="N132" s="96"/>
      <c r="O132" s="96"/>
      <c r="P132" s="96"/>
      <c r="Q132" s="96"/>
      <c r="R132" s="96"/>
      <c r="S132" s="96"/>
      <c r="T132" s="96"/>
      <c r="U132" s="96"/>
      <c r="V132" s="96"/>
      <c r="W132" s="96"/>
      <c r="X132" s="96"/>
      <c r="Y132" s="96"/>
      <c r="Z132" s="96"/>
    </row>
    <row r="133" ht="15.75" customHeight="1">
      <c r="A133" s="102"/>
      <c r="B133" s="102"/>
      <c r="C133" s="102"/>
      <c r="D133" s="102"/>
      <c r="E133" s="102"/>
      <c r="F133" s="102"/>
      <c r="G133" s="102"/>
      <c r="H133" s="102"/>
      <c r="I133" s="102"/>
      <c r="J133" s="105"/>
      <c r="K133" s="96"/>
      <c r="L133" s="96"/>
      <c r="M133" s="96"/>
      <c r="N133" s="96"/>
      <c r="O133" s="96"/>
      <c r="P133" s="96"/>
      <c r="Q133" s="96"/>
      <c r="R133" s="96"/>
      <c r="S133" s="96"/>
      <c r="T133" s="96"/>
      <c r="U133" s="96"/>
      <c r="V133" s="96"/>
      <c r="W133" s="96"/>
      <c r="X133" s="96"/>
      <c r="Y133" s="96"/>
      <c r="Z133" s="96"/>
    </row>
    <row r="134" ht="15.75" customHeight="1">
      <c r="A134" s="104"/>
      <c r="B134" s="104"/>
      <c r="C134" s="104"/>
      <c r="D134" s="104"/>
      <c r="E134" s="104"/>
      <c r="F134" s="104"/>
      <c r="G134" s="104"/>
      <c r="H134" s="104"/>
      <c r="I134" s="104"/>
      <c r="J134" s="105"/>
      <c r="K134" s="96"/>
      <c r="L134" s="96"/>
      <c r="M134" s="96"/>
      <c r="N134" s="96"/>
      <c r="O134" s="96"/>
      <c r="P134" s="96"/>
      <c r="Q134" s="96"/>
      <c r="R134" s="96"/>
      <c r="S134" s="96"/>
      <c r="T134" s="96"/>
      <c r="U134" s="96"/>
      <c r="V134" s="96"/>
      <c r="W134" s="96"/>
      <c r="X134" s="96"/>
      <c r="Y134" s="96"/>
      <c r="Z134" s="96"/>
    </row>
    <row r="135" ht="15.75" customHeight="1">
      <c r="A135" s="102"/>
      <c r="B135" s="102"/>
      <c r="C135" s="102"/>
      <c r="D135" s="102"/>
      <c r="E135" s="102"/>
      <c r="F135" s="102"/>
      <c r="G135" s="102"/>
      <c r="H135" s="102"/>
      <c r="I135" s="102"/>
      <c r="J135" s="105"/>
      <c r="K135" s="96"/>
      <c r="L135" s="96"/>
      <c r="M135" s="96"/>
      <c r="N135" s="96"/>
      <c r="O135" s="96"/>
      <c r="P135" s="96"/>
      <c r="Q135" s="96"/>
      <c r="R135" s="96"/>
      <c r="S135" s="96"/>
      <c r="T135" s="96"/>
      <c r="U135" s="96"/>
      <c r="V135" s="96"/>
      <c r="W135" s="96"/>
      <c r="X135" s="96"/>
      <c r="Y135" s="96"/>
      <c r="Z135" s="96"/>
    </row>
    <row r="136" ht="15.75" customHeight="1">
      <c r="A136" s="104"/>
      <c r="B136" s="104"/>
      <c r="C136" s="104"/>
      <c r="D136" s="104"/>
      <c r="E136" s="104"/>
      <c r="F136" s="104"/>
      <c r="G136" s="104"/>
      <c r="H136" s="104"/>
      <c r="I136" s="104"/>
      <c r="J136" s="105"/>
      <c r="K136" s="96"/>
      <c r="L136" s="96"/>
      <c r="M136" s="96"/>
      <c r="N136" s="96"/>
      <c r="O136" s="96"/>
      <c r="P136" s="96"/>
      <c r="Q136" s="96"/>
      <c r="R136" s="96"/>
      <c r="S136" s="96"/>
      <c r="T136" s="96"/>
      <c r="U136" s="96"/>
      <c r="V136" s="96"/>
      <c r="W136" s="96"/>
      <c r="X136" s="96"/>
      <c r="Y136" s="96"/>
      <c r="Z136" s="96"/>
    </row>
    <row r="137" ht="15.75" customHeight="1">
      <c r="A137" s="102"/>
      <c r="B137" s="102"/>
      <c r="C137" s="102"/>
      <c r="D137" s="102"/>
      <c r="E137" s="102"/>
      <c r="F137" s="102"/>
      <c r="G137" s="102"/>
      <c r="H137" s="102"/>
      <c r="I137" s="102"/>
      <c r="J137" s="105"/>
      <c r="K137" s="96"/>
      <c r="L137" s="96"/>
      <c r="M137" s="96"/>
      <c r="N137" s="96"/>
      <c r="O137" s="96"/>
      <c r="P137" s="96"/>
      <c r="Q137" s="96"/>
      <c r="R137" s="96"/>
      <c r="S137" s="96"/>
      <c r="T137" s="96"/>
      <c r="U137" s="96"/>
      <c r="V137" s="96"/>
      <c r="W137" s="96"/>
      <c r="X137" s="96"/>
      <c r="Y137" s="96"/>
      <c r="Z137" s="96"/>
    </row>
    <row r="138" ht="15.75" customHeight="1">
      <c r="A138" s="104"/>
      <c r="B138" s="104"/>
      <c r="C138" s="104"/>
      <c r="D138" s="104"/>
      <c r="E138" s="104"/>
      <c r="F138" s="104"/>
      <c r="G138" s="104"/>
      <c r="H138" s="104"/>
      <c r="I138" s="104"/>
      <c r="J138" s="105"/>
      <c r="K138" s="96"/>
      <c r="L138" s="96"/>
      <c r="M138" s="96"/>
      <c r="N138" s="96"/>
      <c r="O138" s="96"/>
      <c r="P138" s="96"/>
      <c r="Q138" s="96"/>
      <c r="R138" s="96"/>
      <c r="S138" s="96"/>
      <c r="T138" s="96"/>
      <c r="U138" s="96"/>
      <c r="V138" s="96"/>
      <c r="W138" s="96"/>
      <c r="X138" s="96"/>
      <c r="Y138" s="96"/>
      <c r="Z138" s="96"/>
    </row>
    <row r="139" ht="15.75" customHeight="1">
      <c r="A139" s="102"/>
      <c r="B139" s="102"/>
      <c r="C139" s="102"/>
      <c r="D139" s="102"/>
      <c r="E139" s="102"/>
      <c r="F139" s="102"/>
      <c r="G139" s="102"/>
      <c r="H139" s="102"/>
      <c r="I139" s="102"/>
      <c r="J139" s="105"/>
      <c r="K139" s="96"/>
      <c r="L139" s="96"/>
      <c r="M139" s="96"/>
      <c r="N139" s="96"/>
      <c r="O139" s="96"/>
      <c r="P139" s="96"/>
      <c r="Q139" s="96"/>
      <c r="R139" s="96"/>
      <c r="S139" s="96"/>
      <c r="T139" s="96"/>
      <c r="U139" s="96"/>
      <c r="V139" s="96"/>
      <c r="W139" s="96"/>
      <c r="X139" s="96"/>
      <c r="Y139" s="96"/>
      <c r="Z139" s="96"/>
    </row>
    <row r="140" ht="15.75" customHeight="1">
      <c r="A140" s="104"/>
      <c r="B140" s="104"/>
      <c r="C140" s="104"/>
      <c r="D140" s="104"/>
      <c r="E140" s="104"/>
      <c r="F140" s="104"/>
      <c r="G140" s="104"/>
      <c r="H140" s="104"/>
      <c r="I140" s="104"/>
      <c r="J140" s="105"/>
      <c r="K140" s="96"/>
      <c r="L140" s="96"/>
      <c r="M140" s="96"/>
      <c r="N140" s="96"/>
      <c r="O140" s="96"/>
      <c r="P140" s="96"/>
      <c r="Q140" s="96"/>
      <c r="R140" s="96"/>
      <c r="S140" s="96"/>
      <c r="T140" s="96"/>
      <c r="U140" s="96"/>
      <c r="V140" s="96"/>
      <c r="W140" s="96"/>
      <c r="X140" s="96"/>
      <c r="Y140" s="96"/>
      <c r="Z140" s="96"/>
    </row>
    <row r="141" ht="15.75" customHeight="1">
      <c r="A141" s="102"/>
      <c r="B141" s="102"/>
      <c r="C141" s="102"/>
      <c r="D141" s="102"/>
      <c r="E141" s="102"/>
      <c r="F141" s="102"/>
      <c r="G141" s="102"/>
      <c r="H141" s="102"/>
      <c r="I141" s="102"/>
      <c r="J141" s="105"/>
      <c r="K141" s="96"/>
      <c r="L141" s="96"/>
      <c r="M141" s="96"/>
      <c r="N141" s="96"/>
      <c r="O141" s="96"/>
      <c r="P141" s="96"/>
      <c r="Q141" s="96"/>
      <c r="R141" s="96"/>
      <c r="S141" s="96"/>
      <c r="T141" s="96"/>
      <c r="U141" s="96"/>
      <c r="V141" s="96"/>
      <c r="W141" s="96"/>
      <c r="X141" s="96"/>
      <c r="Y141" s="96"/>
      <c r="Z141" s="96"/>
    </row>
    <row r="142" ht="15.75" customHeight="1">
      <c r="A142" s="104"/>
      <c r="B142" s="104"/>
      <c r="C142" s="104"/>
      <c r="D142" s="104"/>
      <c r="E142" s="104"/>
      <c r="F142" s="104"/>
      <c r="G142" s="104"/>
      <c r="H142" s="104"/>
      <c r="I142" s="104"/>
      <c r="J142" s="105"/>
      <c r="K142" s="96"/>
      <c r="L142" s="96"/>
      <c r="M142" s="96"/>
      <c r="N142" s="96"/>
      <c r="O142" s="96"/>
      <c r="P142" s="96"/>
      <c r="Q142" s="96"/>
      <c r="R142" s="96"/>
      <c r="S142" s="96"/>
      <c r="T142" s="96"/>
      <c r="U142" s="96"/>
      <c r="V142" s="96"/>
      <c r="W142" s="96"/>
      <c r="X142" s="96"/>
      <c r="Y142" s="96"/>
      <c r="Z142" s="96"/>
    </row>
    <row r="143" ht="15.75" customHeight="1">
      <c r="A143" s="102"/>
      <c r="B143" s="102"/>
      <c r="C143" s="102"/>
      <c r="D143" s="102"/>
      <c r="E143" s="102"/>
      <c r="F143" s="102"/>
      <c r="G143" s="102"/>
      <c r="H143" s="102"/>
      <c r="I143" s="102"/>
      <c r="J143" s="105"/>
      <c r="K143" s="96"/>
      <c r="L143" s="96"/>
      <c r="M143" s="96"/>
      <c r="N143" s="96"/>
      <c r="O143" s="96"/>
      <c r="P143" s="96"/>
      <c r="Q143" s="96"/>
      <c r="R143" s="96"/>
      <c r="S143" s="96"/>
      <c r="T143" s="96"/>
      <c r="U143" s="96"/>
      <c r="V143" s="96"/>
      <c r="W143" s="96"/>
      <c r="X143" s="96"/>
      <c r="Y143" s="96"/>
      <c r="Z143" s="96"/>
    </row>
    <row r="144" ht="15.75" customHeight="1">
      <c r="A144" s="104"/>
      <c r="B144" s="104"/>
      <c r="C144" s="104"/>
      <c r="D144" s="104"/>
      <c r="E144" s="104"/>
      <c r="F144" s="104"/>
      <c r="G144" s="104"/>
      <c r="H144" s="104"/>
      <c r="I144" s="104"/>
      <c r="J144" s="105"/>
      <c r="K144" s="96"/>
      <c r="L144" s="96"/>
      <c r="M144" s="96"/>
      <c r="N144" s="96"/>
      <c r="O144" s="96"/>
      <c r="P144" s="96"/>
      <c r="Q144" s="96"/>
      <c r="R144" s="96"/>
      <c r="S144" s="96"/>
      <c r="T144" s="96"/>
      <c r="U144" s="96"/>
      <c r="V144" s="96"/>
      <c r="W144" s="96"/>
      <c r="X144" s="96"/>
      <c r="Y144" s="96"/>
      <c r="Z144" s="96"/>
    </row>
    <row r="145" ht="15.75" customHeight="1">
      <c r="A145" s="102"/>
      <c r="B145" s="102"/>
      <c r="C145" s="102"/>
      <c r="D145" s="102"/>
      <c r="E145" s="102"/>
      <c r="F145" s="102"/>
      <c r="G145" s="102"/>
      <c r="H145" s="102"/>
      <c r="I145" s="102"/>
      <c r="J145" s="105"/>
      <c r="K145" s="96"/>
      <c r="L145" s="96"/>
      <c r="M145" s="96"/>
      <c r="N145" s="96"/>
      <c r="O145" s="96"/>
      <c r="P145" s="96"/>
      <c r="Q145" s="96"/>
      <c r="R145" s="96"/>
      <c r="S145" s="96"/>
      <c r="T145" s="96"/>
      <c r="U145" s="96"/>
      <c r="V145" s="96"/>
      <c r="W145" s="96"/>
      <c r="X145" s="96"/>
      <c r="Y145" s="96"/>
      <c r="Z145" s="96"/>
    </row>
    <row r="146" ht="15.75" customHeight="1">
      <c r="A146" s="104"/>
      <c r="B146" s="104"/>
      <c r="C146" s="104"/>
      <c r="D146" s="104"/>
      <c r="E146" s="104"/>
      <c r="F146" s="104"/>
      <c r="G146" s="104"/>
      <c r="H146" s="104"/>
      <c r="I146" s="104"/>
      <c r="J146" s="105"/>
      <c r="K146" s="96"/>
      <c r="L146" s="96"/>
      <c r="M146" s="96"/>
      <c r="N146" s="96"/>
      <c r="O146" s="96"/>
      <c r="P146" s="96"/>
      <c r="Q146" s="96"/>
      <c r="R146" s="96"/>
      <c r="S146" s="96"/>
      <c r="T146" s="96"/>
      <c r="U146" s="96"/>
      <c r="V146" s="96"/>
      <c r="W146" s="96"/>
      <c r="X146" s="96"/>
      <c r="Y146" s="96"/>
      <c r="Z146" s="96"/>
    </row>
    <row r="147" ht="15.75" customHeight="1">
      <c r="A147" s="102"/>
      <c r="B147" s="102"/>
      <c r="C147" s="102"/>
      <c r="D147" s="102"/>
      <c r="E147" s="102"/>
      <c r="F147" s="102"/>
      <c r="G147" s="102"/>
      <c r="H147" s="102"/>
      <c r="I147" s="102"/>
      <c r="J147" s="105"/>
      <c r="K147" s="96"/>
      <c r="L147" s="96"/>
      <c r="M147" s="96"/>
      <c r="N147" s="96"/>
      <c r="O147" s="96"/>
      <c r="P147" s="96"/>
      <c r="Q147" s="96"/>
      <c r="R147" s="96"/>
      <c r="S147" s="96"/>
      <c r="T147" s="96"/>
      <c r="U147" s="96"/>
      <c r="V147" s="96"/>
      <c r="W147" s="96"/>
      <c r="X147" s="96"/>
      <c r="Y147" s="96"/>
      <c r="Z147" s="96"/>
    </row>
    <row r="148" ht="15.75" customHeight="1">
      <c r="A148" s="104"/>
      <c r="B148" s="104"/>
      <c r="C148" s="104"/>
      <c r="D148" s="104"/>
      <c r="E148" s="104"/>
      <c r="F148" s="104"/>
      <c r="G148" s="104"/>
      <c r="H148" s="104"/>
      <c r="I148" s="104"/>
      <c r="J148" s="105"/>
      <c r="K148" s="96"/>
      <c r="L148" s="96"/>
      <c r="M148" s="96"/>
      <c r="N148" s="96"/>
      <c r="O148" s="96"/>
      <c r="P148" s="96"/>
      <c r="Q148" s="96"/>
      <c r="R148" s="96"/>
      <c r="S148" s="96"/>
      <c r="T148" s="96"/>
      <c r="U148" s="96"/>
      <c r="V148" s="96"/>
      <c r="W148" s="96"/>
      <c r="X148" s="96"/>
      <c r="Y148" s="96"/>
      <c r="Z148" s="96"/>
    </row>
    <row r="149" ht="15.75" customHeight="1">
      <c r="A149" s="102"/>
      <c r="B149" s="102"/>
      <c r="C149" s="102"/>
      <c r="D149" s="102"/>
      <c r="E149" s="102"/>
      <c r="F149" s="102"/>
      <c r="G149" s="102"/>
      <c r="H149" s="102"/>
      <c r="I149" s="102"/>
      <c r="J149" s="105"/>
      <c r="K149" s="96"/>
      <c r="L149" s="96"/>
      <c r="M149" s="96"/>
      <c r="N149" s="96"/>
      <c r="O149" s="96"/>
      <c r="P149" s="96"/>
      <c r="Q149" s="96"/>
      <c r="R149" s="96"/>
      <c r="S149" s="96"/>
      <c r="T149" s="96"/>
      <c r="U149" s="96"/>
      <c r="V149" s="96"/>
      <c r="W149" s="96"/>
      <c r="X149" s="96"/>
      <c r="Y149" s="96"/>
      <c r="Z149" s="96"/>
    </row>
    <row r="150" ht="15.75" customHeight="1">
      <c r="A150" s="104"/>
      <c r="B150" s="104"/>
      <c r="C150" s="104"/>
      <c r="D150" s="104"/>
      <c r="E150" s="104"/>
      <c r="F150" s="104"/>
      <c r="G150" s="104"/>
      <c r="H150" s="104"/>
      <c r="I150" s="104"/>
      <c r="J150" s="105"/>
      <c r="K150" s="96"/>
      <c r="L150" s="96"/>
      <c r="M150" s="96"/>
      <c r="N150" s="96"/>
      <c r="O150" s="96"/>
      <c r="P150" s="96"/>
      <c r="Q150" s="96"/>
      <c r="R150" s="96"/>
      <c r="S150" s="96"/>
      <c r="T150" s="96"/>
      <c r="U150" s="96"/>
      <c r="V150" s="96"/>
      <c r="W150" s="96"/>
      <c r="X150" s="96"/>
      <c r="Y150" s="96"/>
      <c r="Z150" s="96"/>
    </row>
    <row r="151" ht="15.75" customHeight="1">
      <c r="A151" s="102"/>
      <c r="B151" s="102"/>
      <c r="C151" s="102"/>
      <c r="D151" s="102"/>
      <c r="E151" s="102"/>
      <c r="F151" s="102"/>
      <c r="G151" s="102"/>
      <c r="H151" s="102"/>
      <c r="I151" s="102"/>
      <c r="J151" s="105"/>
      <c r="K151" s="96"/>
      <c r="L151" s="96"/>
      <c r="M151" s="96"/>
      <c r="N151" s="96"/>
      <c r="O151" s="96"/>
      <c r="P151" s="96"/>
      <c r="Q151" s="96"/>
      <c r="R151" s="96"/>
      <c r="S151" s="96"/>
      <c r="T151" s="96"/>
      <c r="U151" s="96"/>
      <c r="V151" s="96"/>
      <c r="W151" s="96"/>
      <c r="X151" s="96"/>
      <c r="Y151" s="96"/>
      <c r="Z151" s="96"/>
    </row>
    <row r="152" ht="15.75" customHeight="1">
      <c r="A152" s="104"/>
      <c r="B152" s="104"/>
      <c r="C152" s="104"/>
      <c r="D152" s="104"/>
      <c r="E152" s="104"/>
      <c r="F152" s="104"/>
      <c r="G152" s="104"/>
      <c r="H152" s="104"/>
      <c r="I152" s="104"/>
      <c r="J152" s="105"/>
      <c r="K152" s="96"/>
      <c r="L152" s="96"/>
      <c r="M152" s="96"/>
      <c r="N152" s="96"/>
      <c r="O152" s="96"/>
      <c r="P152" s="96"/>
      <c r="Q152" s="96"/>
      <c r="R152" s="96"/>
      <c r="S152" s="96"/>
      <c r="T152" s="96"/>
      <c r="U152" s="96"/>
      <c r="V152" s="96"/>
      <c r="W152" s="96"/>
      <c r="X152" s="96"/>
      <c r="Y152" s="96"/>
      <c r="Z152" s="96"/>
    </row>
    <row r="153" ht="15.75" customHeight="1">
      <c r="A153" s="102"/>
      <c r="B153" s="102"/>
      <c r="C153" s="102"/>
      <c r="D153" s="102"/>
      <c r="E153" s="102"/>
      <c r="F153" s="102"/>
      <c r="G153" s="102"/>
      <c r="H153" s="102"/>
      <c r="I153" s="102"/>
      <c r="J153" s="105"/>
      <c r="K153" s="96"/>
      <c r="L153" s="96"/>
      <c r="M153" s="96"/>
      <c r="N153" s="96"/>
      <c r="O153" s="96"/>
      <c r="P153" s="96"/>
      <c r="Q153" s="96"/>
      <c r="R153" s="96"/>
      <c r="S153" s="96"/>
      <c r="T153" s="96"/>
      <c r="U153" s="96"/>
      <c r="V153" s="96"/>
      <c r="W153" s="96"/>
      <c r="X153" s="96"/>
      <c r="Y153" s="96"/>
      <c r="Z153" s="96"/>
    </row>
    <row r="154" ht="15.75" customHeight="1">
      <c r="A154" s="104"/>
      <c r="B154" s="104"/>
      <c r="C154" s="104"/>
      <c r="D154" s="104"/>
      <c r="E154" s="104"/>
      <c r="F154" s="104"/>
      <c r="G154" s="104"/>
      <c r="H154" s="104"/>
      <c r="I154" s="104"/>
      <c r="J154" s="105"/>
      <c r="K154" s="96"/>
      <c r="L154" s="96"/>
      <c r="M154" s="96"/>
      <c r="N154" s="96"/>
      <c r="O154" s="96"/>
      <c r="P154" s="96"/>
      <c r="Q154" s="96"/>
      <c r="R154" s="96"/>
      <c r="S154" s="96"/>
      <c r="T154" s="96"/>
      <c r="U154" s="96"/>
      <c r="V154" s="96"/>
      <c r="W154" s="96"/>
      <c r="X154" s="96"/>
      <c r="Y154" s="96"/>
      <c r="Z154" s="96"/>
    </row>
    <row r="155" ht="15.75" customHeight="1">
      <c r="A155" s="102"/>
      <c r="B155" s="102"/>
      <c r="C155" s="102"/>
      <c r="D155" s="102"/>
      <c r="E155" s="102"/>
      <c r="F155" s="102"/>
      <c r="G155" s="102"/>
      <c r="H155" s="102"/>
      <c r="I155" s="102"/>
      <c r="J155" s="105"/>
      <c r="K155" s="96"/>
      <c r="L155" s="96"/>
      <c r="M155" s="96"/>
      <c r="N155" s="96"/>
      <c r="O155" s="96"/>
      <c r="P155" s="96"/>
      <c r="Q155" s="96"/>
      <c r="R155" s="96"/>
      <c r="S155" s="96"/>
      <c r="T155" s="96"/>
      <c r="U155" s="96"/>
      <c r="V155" s="96"/>
      <c r="W155" s="96"/>
      <c r="X155" s="96"/>
      <c r="Y155" s="96"/>
      <c r="Z155" s="96"/>
    </row>
    <row r="156" ht="15.75" customHeight="1">
      <c r="A156" s="104"/>
      <c r="B156" s="104"/>
      <c r="C156" s="104"/>
      <c r="D156" s="104"/>
      <c r="E156" s="104"/>
      <c r="F156" s="104"/>
      <c r="G156" s="104"/>
      <c r="H156" s="104"/>
      <c r="I156" s="104"/>
      <c r="J156" s="105"/>
      <c r="K156" s="96"/>
      <c r="L156" s="96"/>
      <c r="M156" s="96"/>
      <c r="N156" s="96"/>
      <c r="O156" s="96"/>
      <c r="P156" s="96"/>
      <c r="Q156" s="96"/>
      <c r="R156" s="96"/>
      <c r="S156" s="96"/>
      <c r="T156" s="96"/>
      <c r="U156" s="96"/>
      <c r="V156" s="96"/>
      <c r="W156" s="96"/>
      <c r="X156" s="96"/>
      <c r="Y156" s="96"/>
      <c r="Z156" s="96"/>
    </row>
    <row r="157" ht="15.75" customHeight="1">
      <c r="A157" s="102"/>
      <c r="B157" s="102"/>
      <c r="C157" s="102"/>
      <c r="D157" s="102"/>
      <c r="E157" s="102"/>
      <c r="F157" s="102"/>
      <c r="G157" s="102"/>
      <c r="H157" s="102"/>
      <c r="I157" s="102"/>
      <c r="J157" s="105"/>
      <c r="K157" s="96"/>
      <c r="L157" s="96"/>
      <c r="M157" s="96"/>
      <c r="N157" s="96"/>
      <c r="O157" s="96"/>
      <c r="P157" s="96"/>
      <c r="Q157" s="96"/>
      <c r="R157" s="96"/>
      <c r="S157" s="96"/>
      <c r="T157" s="96"/>
      <c r="U157" s="96"/>
      <c r="V157" s="96"/>
      <c r="W157" s="96"/>
      <c r="X157" s="96"/>
      <c r="Y157" s="96"/>
      <c r="Z157" s="96"/>
    </row>
    <row r="158" ht="15.75" customHeight="1">
      <c r="A158" s="104"/>
      <c r="B158" s="104"/>
      <c r="C158" s="104"/>
      <c r="D158" s="104"/>
      <c r="E158" s="104"/>
      <c r="F158" s="104"/>
      <c r="G158" s="104"/>
      <c r="H158" s="104"/>
      <c r="I158" s="104"/>
      <c r="J158" s="105"/>
      <c r="K158" s="96"/>
      <c r="L158" s="96"/>
      <c r="M158" s="96"/>
      <c r="N158" s="96"/>
      <c r="O158" s="96"/>
      <c r="P158" s="96"/>
      <c r="Q158" s="96"/>
      <c r="R158" s="96"/>
      <c r="S158" s="96"/>
      <c r="T158" s="96"/>
      <c r="U158" s="96"/>
      <c r="V158" s="96"/>
      <c r="W158" s="96"/>
      <c r="X158" s="96"/>
      <c r="Y158" s="96"/>
      <c r="Z158" s="96"/>
    </row>
    <row r="159" ht="15.75" customHeight="1">
      <c r="A159" s="102"/>
      <c r="B159" s="102"/>
      <c r="C159" s="102"/>
      <c r="D159" s="102"/>
      <c r="E159" s="102"/>
      <c r="F159" s="102"/>
      <c r="G159" s="102"/>
      <c r="H159" s="102"/>
      <c r="I159" s="102"/>
      <c r="J159" s="105"/>
      <c r="K159" s="96"/>
      <c r="L159" s="96"/>
      <c r="M159" s="96"/>
      <c r="N159" s="96"/>
      <c r="O159" s="96"/>
      <c r="P159" s="96"/>
      <c r="Q159" s="96"/>
      <c r="R159" s="96"/>
      <c r="S159" s="96"/>
      <c r="T159" s="96"/>
      <c r="U159" s="96"/>
      <c r="V159" s="96"/>
      <c r="W159" s="96"/>
      <c r="X159" s="96"/>
      <c r="Y159" s="96"/>
      <c r="Z159" s="96"/>
    </row>
    <row r="160" ht="15.75" customHeight="1">
      <c r="A160" s="104"/>
      <c r="B160" s="104"/>
      <c r="C160" s="104"/>
      <c r="D160" s="104"/>
      <c r="E160" s="104"/>
      <c r="F160" s="104"/>
      <c r="G160" s="104"/>
      <c r="H160" s="104"/>
      <c r="I160" s="104"/>
      <c r="J160" s="105"/>
      <c r="K160" s="96"/>
      <c r="L160" s="96"/>
      <c r="M160" s="96"/>
      <c r="N160" s="96"/>
      <c r="O160" s="96"/>
      <c r="P160" s="96"/>
      <c r="Q160" s="96"/>
      <c r="R160" s="96"/>
      <c r="S160" s="96"/>
      <c r="T160" s="96"/>
      <c r="U160" s="96"/>
      <c r="V160" s="96"/>
      <c r="W160" s="96"/>
      <c r="X160" s="96"/>
      <c r="Y160" s="96"/>
      <c r="Z160" s="96"/>
    </row>
    <row r="161" ht="15.75" customHeight="1">
      <c r="A161" s="102"/>
      <c r="B161" s="102"/>
      <c r="C161" s="102"/>
      <c r="D161" s="102"/>
      <c r="E161" s="102"/>
      <c r="F161" s="102"/>
      <c r="G161" s="102"/>
      <c r="H161" s="102"/>
      <c r="I161" s="102"/>
      <c r="J161" s="105"/>
      <c r="K161" s="96"/>
      <c r="L161" s="96"/>
      <c r="M161" s="96"/>
      <c r="N161" s="96"/>
      <c r="O161" s="96"/>
      <c r="P161" s="96"/>
      <c r="Q161" s="96"/>
      <c r="R161" s="96"/>
      <c r="S161" s="96"/>
      <c r="T161" s="96"/>
      <c r="U161" s="96"/>
      <c r="V161" s="96"/>
      <c r="W161" s="96"/>
      <c r="X161" s="96"/>
      <c r="Y161" s="96"/>
      <c r="Z161" s="96"/>
    </row>
    <row r="162" ht="15.75" customHeight="1">
      <c r="A162" s="104"/>
      <c r="B162" s="104"/>
      <c r="C162" s="104"/>
      <c r="D162" s="104"/>
      <c r="E162" s="104"/>
      <c r="F162" s="104"/>
      <c r="G162" s="104"/>
      <c r="H162" s="104"/>
      <c r="I162" s="104"/>
      <c r="J162" s="105"/>
      <c r="K162" s="96"/>
      <c r="L162" s="96"/>
      <c r="M162" s="96"/>
      <c r="N162" s="96"/>
      <c r="O162" s="96"/>
      <c r="P162" s="96"/>
      <c r="Q162" s="96"/>
      <c r="R162" s="96"/>
      <c r="S162" s="96"/>
      <c r="T162" s="96"/>
      <c r="U162" s="96"/>
      <c r="V162" s="96"/>
      <c r="W162" s="96"/>
      <c r="X162" s="96"/>
      <c r="Y162" s="96"/>
      <c r="Z162" s="96"/>
    </row>
    <row r="163" ht="15.75" customHeight="1">
      <c r="A163" s="102"/>
      <c r="B163" s="102"/>
      <c r="C163" s="102"/>
      <c r="D163" s="102"/>
      <c r="E163" s="102"/>
      <c r="F163" s="102"/>
      <c r="G163" s="102"/>
      <c r="H163" s="102"/>
      <c r="I163" s="102"/>
      <c r="J163" s="105"/>
      <c r="K163" s="96"/>
      <c r="L163" s="96"/>
      <c r="M163" s="96"/>
      <c r="N163" s="96"/>
      <c r="O163" s="96"/>
      <c r="P163" s="96"/>
      <c r="Q163" s="96"/>
      <c r="R163" s="96"/>
      <c r="S163" s="96"/>
      <c r="T163" s="96"/>
      <c r="U163" s="96"/>
      <c r="V163" s="96"/>
      <c r="W163" s="96"/>
      <c r="X163" s="96"/>
      <c r="Y163" s="96"/>
      <c r="Z163" s="96"/>
    </row>
    <row r="164" ht="15.75" customHeight="1">
      <c r="A164" s="104"/>
      <c r="B164" s="104"/>
      <c r="C164" s="104"/>
      <c r="D164" s="104"/>
      <c r="E164" s="104"/>
      <c r="F164" s="104"/>
      <c r="G164" s="104"/>
      <c r="H164" s="104"/>
      <c r="I164" s="104"/>
      <c r="J164" s="105"/>
      <c r="K164" s="96"/>
      <c r="L164" s="96"/>
      <c r="M164" s="96"/>
      <c r="N164" s="96"/>
      <c r="O164" s="96"/>
      <c r="P164" s="96"/>
      <c r="Q164" s="96"/>
      <c r="R164" s="96"/>
      <c r="S164" s="96"/>
      <c r="T164" s="96"/>
      <c r="U164" s="96"/>
      <c r="V164" s="96"/>
      <c r="W164" s="96"/>
      <c r="X164" s="96"/>
      <c r="Y164" s="96"/>
      <c r="Z164" s="96"/>
    </row>
    <row r="165" ht="15.75" customHeight="1">
      <c r="A165" s="102"/>
      <c r="B165" s="102"/>
      <c r="C165" s="102"/>
      <c r="D165" s="102"/>
      <c r="E165" s="102"/>
      <c r="F165" s="102"/>
      <c r="G165" s="102"/>
      <c r="H165" s="102"/>
      <c r="I165" s="102"/>
      <c r="J165" s="105"/>
      <c r="K165" s="96"/>
      <c r="L165" s="96"/>
      <c r="M165" s="96"/>
      <c r="N165" s="96"/>
      <c r="O165" s="96"/>
      <c r="P165" s="96"/>
      <c r="Q165" s="96"/>
      <c r="R165" s="96"/>
      <c r="S165" s="96"/>
      <c r="T165" s="96"/>
      <c r="U165" s="96"/>
      <c r="V165" s="96"/>
      <c r="W165" s="96"/>
      <c r="X165" s="96"/>
      <c r="Y165" s="96"/>
      <c r="Z165" s="96"/>
    </row>
    <row r="166" ht="15.75" customHeight="1">
      <c r="A166" s="104"/>
      <c r="B166" s="104"/>
      <c r="C166" s="104"/>
      <c r="D166" s="104"/>
      <c r="E166" s="104"/>
      <c r="F166" s="104"/>
      <c r="G166" s="104"/>
      <c r="H166" s="104"/>
      <c r="I166" s="104"/>
      <c r="J166" s="105"/>
      <c r="K166" s="96"/>
      <c r="L166" s="96"/>
      <c r="M166" s="96"/>
      <c r="N166" s="96"/>
      <c r="O166" s="96"/>
      <c r="P166" s="96"/>
      <c r="Q166" s="96"/>
      <c r="R166" s="96"/>
      <c r="S166" s="96"/>
      <c r="T166" s="96"/>
      <c r="U166" s="96"/>
      <c r="V166" s="96"/>
      <c r="W166" s="96"/>
      <c r="X166" s="96"/>
      <c r="Y166" s="96"/>
      <c r="Z166" s="96"/>
    </row>
    <row r="167" ht="15.75" customHeight="1">
      <c r="A167" s="102"/>
      <c r="B167" s="102"/>
      <c r="C167" s="102"/>
      <c r="D167" s="102"/>
      <c r="E167" s="102"/>
      <c r="F167" s="102"/>
      <c r="G167" s="102"/>
      <c r="H167" s="102"/>
      <c r="I167" s="102"/>
      <c r="J167" s="105"/>
      <c r="K167" s="96"/>
      <c r="L167" s="96"/>
      <c r="M167" s="96"/>
      <c r="N167" s="96"/>
      <c r="O167" s="96"/>
      <c r="P167" s="96"/>
      <c r="Q167" s="96"/>
      <c r="R167" s="96"/>
      <c r="S167" s="96"/>
      <c r="T167" s="96"/>
      <c r="U167" s="96"/>
      <c r="V167" s="96"/>
      <c r="W167" s="96"/>
      <c r="X167" s="96"/>
      <c r="Y167" s="96"/>
      <c r="Z167" s="96"/>
    </row>
    <row r="168" ht="15.75" customHeight="1">
      <c r="A168" s="104"/>
      <c r="B168" s="104"/>
      <c r="C168" s="104"/>
      <c r="D168" s="104"/>
      <c r="E168" s="104"/>
      <c r="F168" s="104"/>
      <c r="G168" s="104"/>
      <c r="H168" s="104"/>
      <c r="I168" s="104"/>
      <c r="J168" s="105"/>
      <c r="K168" s="96"/>
      <c r="L168" s="96"/>
      <c r="M168" s="96"/>
      <c r="N168" s="96"/>
      <c r="O168" s="96"/>
      <c r="P168" s="96"/>
      <c r="Q168" s="96"/>
      <c r="R168" s="96"/>
      <c r="S168" s="96"/>
      <c r="T168" s="96"/>
      <c r="U168" s="96"/>
      <c r="V168" s="96"/>
      <c r="W168" s="96"/>
      <c r="X168" s="96"/>
      <c r="Y168" s="96"/>
      <c r="Z168" s="96"/>
    </row>
    <row r="169" ht="15.75" customHeight="1">
      <c r="A169" s="102"/>
      <c r="B169" s="102"/>
      <c r="C169" s="102"/>
      <c r="D169" s="102"/>
      <c r="E169" s="102"/>
      <c r="F169" s="102"/>
      <c r="G169" s="102"/>
      <c r="H169" s="102"/>
      <c r="I169" s="102"/>
      <c r="J169" s="105"/>
      <c r="K169" s="96"/>
      <c r="L169" s="96"/>
      <c r="M169" s="96"/>
      <c r="N169" s="96"/>
      <c r="O169" s="96"/>
      <c r="P169" s="96"/>
      <c r="Q169" s="96"/>
      <c r="R169" s="96"/>
      <c r="S169" s="96"/>
      <c r="T169" s="96"/>
      <c r="U169" s="96"/>
      <c r="V169" s="96"/>
      <c r="W169" s="96"/>
      <c r="X169" s="96"/>
      <c r="Y169" s="96"/>
      <c r="Z169" s="96"/>
    </row>
    <row r="170" ht="15.75" customHeight="1">
      <c r="A170" s="104"/>
      <c r="B170" s="104"/>
      <c r="C170" s="104"/>
      <c r="D170" s="104"/>
      <c r="E170" s="104"/>
      <c r="F170" s="104"/>
      <c r="G170" s="104"/>
      <c r="H170" s="104"/>
      <c r="I170" s="104"/>
      <c r="J170" s="105"/>
      <c r="K170" s="96"/>
      <c r="L170" s="96"/>
      <c r="M170" s="96"/>
      <c r="N170" s="96"/>
      <c r="O170" s="96"/>
      <c r="P170" s="96"/>
      <c r="Q170" s="96"/>
      <c r="R170" s="96"/>
      <c r="S170" s="96"/>
      <c r="T170" s="96"/>
      <c r="U170" s="96"/>
      <c r="V170" s="96"/>
      <c r="W170" s="96"/>
      <c r="X170" s="96"/>
      <c r="Y170" s="96"/>
      <c r="Z170" s="96"/>
    </row>
    <row r="171" ht="15.75" customHeight="1">
      <c r="A171" s="102"/>
      <c r="B171" s="102"/>
      <c r="C171" s="102"/>
      <c r="D171" s="102"/>
      <c r="E171" s="102"/>
      <c r="F171" s="102"/>
      <c r="G171" s="102"/>
      <c r="H171" s="102"/>
      <c r="I171" s="102"/>
      <c r="J171" s="105"/>
      <c r="K171" s="96"/>
      <c r="L171" s="96"/>
      <c r="M171" s="96"/>
      <c r="N171" s="96"/>
      <c r="O171" s="96"/>
      <c r="P171" s="96"/>
      <c r="Q171" s="96"/>
      <c r="R171" s="96"/>
      <c r="S171" s="96"/>
      <c r="T171" s="96"/>
      <c r="U171" s="96"/>
      <c r="V171" s="96"/>
      <c r="W171" s="96"/>
      <c r="X171" s="96"/>
      <c r="Y171" s="96"/>
      <c r="Z171" s="96"/>
    </row>
    <row r="172" ht="15.75" customHeight="1">
      <c r="A172" s="104"/>
      <c r="B172" s="104"/>
      <c r="C172" s="104"/>
      <c r="D172" s="104"/>
      <c r="E172" s="104"/>
      <c r="F172" s="104"/>
      <c r="G172" s="104"/>
      <c r="H172" s="104"/>
      <c r="I172" s="104"/>
      <c r="J172" s="105"/>
      <c r="K172" s="96"/>
      <c r="L172" s="96"/>
      <c r="M172" s="96"/>
      <c r="N172" s="96"/>
      <c r="O172" s="96"/>
      <c r="P172" s="96"/>
      <c r="Q172" s="96"/>
      <c r="R172" s="96"/>
      <c r="S172" s="96"/>
      <c r="T172" s="96"/>
      <c r="U172" s="96"/>
      <c r="V172" s="96"/>
      <c r="W172" s="96"/>
      <c r="X172" s="96"/>
      <c r="Y172" s="96"/>
      <c r="Z172" s="96"/>
    </row>
    <row r="173" ht="15.75" customHeight="1">
      <c r="A173" s="102"/>
      <c r="B173" s="102"/>
      <c r="C173" s="102"/>
      <c r="D173" s="102"/>
      <c r="E173" s="102"/>
      <c r="F173" s="102"/>
      <c r="G173" s="102"/>
      <c r="H173" s="102"/>
      <c r="I173" s="102"/>
      <c r="J173" s="105"/>
      <c r="K173" s="96"/>
      <c r="L173" s="96"/>
      <c r="M173" s="96"/>
      <c r="N173" s="96"/>
      <c r="O173" s="96"/>
      <c r="P173" s="96"/>
      <c r="Q173" s="96"/>
      <c r="R173" s="96"/>
      <c r="S173" s="96"/>
      <c r="T173" s="96"/>
      <c r="U173" s="96"/>
      <c r="V173" s="96"/>
      <c r="W173" s="96"/>
      <c r="X173" s="96"/>
      <c r="Y173" s="96"/>
      <c r="Z173" s="96"/>
    </row>
    <row r="174" ht="15.75" customHeight="1">
      <c r="A174" s="104"/>
      <c r="B174" s="104"/>
      <c r="C174" s="104"/>
      <c r="D174" s="104"/>
      <c r="E174" s="104"/>
      <c r="F174" s="104"/>
      <c r="G174" s="104"/>
      <c r="H174" s="104"/>
      <c r="I174" s="104"/>
      <c r="J174" s="105"/>
      <c r="K174" s="96"/>
      <c r="L174" s="96"/>
      <c r="M174" s="96"/>
      <c r="N174" s="96"/>
      <c r="O174" s="96"/>
      <c r="P174" s="96"/>
      <c r="Q174" s="96"/>
      <c r="R174" s="96"/>
      <c r="S174" s="96"/>
      <c r="T174" s="96"/>
      <c r="U174" s="96"/>
      <c r="V174" s="96"/>
      <c r="W174" s="96"/>
      <c r="X174" s="96"/>
      <c r="Y174" s="96"/>
      <c r="Z174" s="96"/>
    </row>
    <row r="175" ht="15.75" customHeight="1">
      <c r="A175" s="102"/>
      <c r="B175" s="102"/>
      <c r="C175" s="102"/>
      <c r="D175" s="102"/>
      <c r="E175" s="102"/>
      <c r="F175" s="102"/>
      <c r="G175" s="102"/>
      <c r="H175" s="102"/>
      <c r="I175" s="102"/>
      <c r="J175" s="105"/>
      <c r="K175" s="96"/>
      <c r="L175" s="96"/>
      <c r="M175" s="96"/>
      <c r="N175" s="96"/>
      <c r="O175" s="96"/>
      <c r="P175" s="96"/>
      <c r="Q175" s="96"/>
      <c r="R175" s="96"/>
      <c r="S175" s="96"/>
      <c r="T175" s="96"/>
      <c r="U175" s="96"/>
      <c r="V175" s="96"/>
      <c r="W175" s="96"/>
      <c r="X175" s="96"/>
      <c r="Y175" s="96"/>
      <c r="Z175" s="96"/>
    </row>
    <row r="176" ht="15.75" customHeight="1">
      <c r="A176" s="104"/>
      <c r="B176" s="104"/>
      <c r="C176" s="104"/>
      <c r="D176" s="104"/>
      <c r="E176" s="104"/>
      <c r="F176" s="104"/>
      <c r="G176" s="104"/>
      <c r="H176" s="104"/>
      <c r="I176" s="104"/>
      <c r="J176" s="105"/>
      <c r="K176" s="96"/>
      <c r="L176" s="96"/>
      <c r="M176" s="96"/>
      <c r="N176" s="96"/>
      <c r="O176" s="96"/>
      <c r="P176" s="96"/>
      <c r="Q176" s="96"/>
      <c r="R176" s="96"/>
      <c r="S176" s="96"/>
      <c r="T176" s="96"/>
      <c r="U176" s="96"/>
      <c r="V176" s="96"/>
      <c r="W176" s="96"/>
      <c r="X176" s="96"/>
      <c r="Y176" s="96"/>
      <c r="Z176" s="96"/>
    </row>
    <row r="177" ht="15.75" customHeight="1">
      <c r="A177" s="102"/>
      <c r="B177" s="102"/>
      <c r="C177" s="102"/>
      <c r="D177" s="102"/>
      <c r="E177" s="102"/>
      <c r="F177" s="102"/>
      <c r="G177" s="102"/>
      <c r="H177" s="102"/>
      <c r="I177" s="102"/>
      <c r="J177" s="105"/>
      <c r="K177" s="96"/>
      <c r="L177" s="96"/>
      <c r="M177" s="96"/>
      <c r="N177" s="96"/>
      <c r="O177" s="96"/>
      <c r="P177" s="96"/>
      <c r="Q177" s="96"/>
      <c r="R177" s="96"/>
      <c r="S177" s="96"/>
      <c r="T177" s="96"/>
      <c r="U177" s="96"/>
      <c r="V177" s="96"/>
      <c r="W177" s="96"/>
      <c r="X177" s="96"/>
      <c r="Y177" s="96"/>
      <c r="Z177" s="96"/>
    </row>
    <row r="178" ht="15.75" customHeight="1">
      <c r="A178" s="104"/>
      <c r="B178" s="104"/>
      <c r="C178" s="104"/>
      <c r="D178" s="104"/>
      <c r="E178" s="104"/>
      <c r="F178" s="104"/>
      <c r="G178" s="104"/>
      <c r="H178" s="104"/>
      <c r="I178" s="104"/>
      <c r="J178" s="105"/>
      <c r="K178" s="96"/>
      <c r="L178" s="96"/>
      <c r="M178" s="96"/>
      <c r="N178" s="96"/>
      <c r="O178" s="96"/>
      <c r="P178" s="96"/>
      <c r="Q178" s="96"/>
      <c r="R178" s="96"/>
      <c r="S178" s="96"/>
      <c r="T178" s="96"/>
      <c r="U178" s="96"/>
      <c r="V178" s="96"/>
      <c r="W178" s="96"/>
      <c r="X178" s="96"/>
      <c r="Y178" s="96"/>
      <c r="Z178" s="96"/>
    </row>
    <row r="179" ht="15.75" customHeight="1">
      <c r="A179" s="102"/>
      <c r="B179" s="102"/>
      <c r="C179" s="102"/>
      <c r="D179" s="102"/>
      <c r="E179" s="102"/>
      <c r="F179" s="102"/>
      <c r="G179" s="102"/>
      <c r="H179" s="102"/>
      <c r="I179" s="102"/>
      <c r="J179" s="105"/>
      <c r="K179" s="96"/>
      <c r="L179" s="96"/>
      <c r="M179" s="96"/>
      <c r="N179" s="96"/>
      <c r="O179" s="96"/>
      <c r="P179" s="96"/>
      <c r="Q179" s="96"/>
      <c r="R179" s="96"/>
      <c r="S179" s="96"/>
      <c r="T179" s="96"/>
      <c r="U179" s="96"/>
      <c r="V179" s="96"/>
      <c r="W179" s="96"/>
      <c r="X179" s="96"/>
      <c r="Y179" s="96"/>
      <c r="Z179" s="96"/>
    </row>
    <row r="180" ht="15.75" customHeight="1">
      <c r="A180" s="104"/>
      <c r="B180" s="104"/>
      <c r="C180" s="104"/>
      <c r="D180" s="104"/>
      <c r="E180" s="104"/>
      <c r="F180" s="104"/>
      <c r="G180" s="104"/>
      <c r="H180" s="104"/>
      <c r="I180" s="104"/>
      <c r="J180" s="105"/>
      <c r="K180" s="96"/>
      <c r="L180" s="96"/>
      <c r="M180" s="96"/>
      <c r="N180" s="96"/>
      <c r="O180" s="96"/>
      <c r="P180" s="96"/>
      <c r="Q180" s="96"/>
      <c r="R180" s="96"/>
      <c r="S180" s="96"/>
      <c r="T180" s="96"/>
      <c r="U180" s="96"/>
      <c r="V180" s="96"/>
      <c r="W180" s="96"/>
      <c r="X180" s="96"/>
      <c r="Y180" s="96"/>
      <c r="Z180" s="96"/>
    </row>
    <row r="181" ht="15.75" customHeight="1">
      <c r="A181" s="102"/>
      <c r="B181" s="102"/>
      <c r="C181" s="102"/>
      <c r="D181" s="102"/>
      <c r="E181" s="102"/>
      <c r="F181" s="102"/>
      <c r="G181" s="102"/>
      <c r="H181" s="102"/>
      <c r="I181" s="102"/>
      <c r="J181" s="105"/>
      <c r="K181" s="96"/>
      <c r="L181" s="96"/>
      <c r="M181" s="96"/>
      <c r="N181" s="96"/>
      <c r="O181" s="96"/>
      <c r="P181" s="96"/>
      <c r="Q181" s="96"/>
      <c r="R181" s="96"/>
      <c r="S181" s="96"/>
      <c r="T181" s="96"/>
      <c r="U181" s="96"/>
      <c r="V181" s="96"/>
      <c r="W181" s="96"/>
      <c r="X181" s="96"/>
      <c r="Y181" s="96"/>
      <c r="Z181" s="96"/>
    </row>
    <row r="182" ht="15.75" customHeight="1">
      <c r="A182" s="104"/>
      <c r="B182" s="104"/>
      <c r="C182" s="104"/>
      <c r="D182" s="104"/>
      <c r="E182" s="104"/>
      <c r="F182" s="104"/>
      <c r="G182" s="104"/>
      <c r="H182" s="104"/>
      <c r="I182" s="104"/>
      <c r="J182" s="105"/>
      <c r="K182" s="96"/>
      <c r="L182" s="96"/>
      <c r="M182" s="96"/>
      <c r="N182" s="96"/>
      <c r="O182" s="96"/>
      <c r="P182" s="96"/>
      <c r="Q182" s="96"/>
      <c r="R182" s="96"/>
      <c r="S182" s="96"/>
      <c r="T182" s="96"/>
      <c r="U182" s="96"/>
      <c r="V182" s="96"/>
      <c r="W182" s="96"/>
      <c r="X182" s="96"/>
      <c r="Y182" s="96"/>
      <c r="Z182" s="96"/>
    </row>
    <row r="183" ht="15.75" customHeight="1">
      <c r="A183" s="102"/>
      <c r="B183" s="102"/>
      <c r="C183" s="102"/>
      <c r="D183" s="102"/>
      <c r="E183" s="102"/>
      <c r="F183" s="102"/>
      <c r="G183" s="102"/>
      <c r="H183" s="102"/>
      <c r="I183" s="102"/>
      <c r="J183" s="105"/>
      <c r="K183" s="96"/>
      <c r="L183" s="96"/>
      <c r="M183" s="96"/>
      <c r="N183" s="96"/>
      <c r="O183" s="96"/>
      <c r="P183" s="96"/>
      <c r="Q183" s="96"/>
      <c r="R183" s="96"/>
      <c r="S183" s="96"/>
      <c r="T183" s="96"/>
      <c r="U183" s="96"/>
      <c r="V183" s="96"/>
      <c r="W183" s="96"/>
      <c r="X183" s="96"/>
      <c r="Y183" s="96"/>
      <c r="Z183" s="96"/>
    </row>
    <row r="184" ht="15.75" customHeight="1">
      <c r="A184" s="104"/>
      <c r="B184" s="104"/>
      <c r="C184" s="104"/>
      <c r="D184" s="104"/>
      <c r="E184" s="104"/>
      <c r="F184" s="104"/>
      <c r="G184" s="104"/>
      <c r="H184" s="104"/>
      <c r="I184" s="104"/>
      <c r="J184" s="105"/>
      <c r="K184" s="96"/>
      <c r="L184" s="96"/>
      <c r="M184" s="96"/>
      <c r="N184" s="96"/>
      <c r="O184" s="96"/>
      <c r="P184" s="96"/>
      <c r="Q184" s="96"/>
      <c r="R184" s="96"/>
      <c r="S184" s="96"/>
      <c r="T184" s="96"/>
      <c r="U184" s="96"/>
      <c r="V184" s="96"/>
      <c r="W184" s="96"/>
      <c r="X184" s="96"/>
      <c r="Y184" s="96"/>
      <c r="Z184" s="96"/>
    </row>
    <row r="185" ht="15.75" customHeight="1">
      <c r="A185" s="102"/>
      <c r="B185" s="102"/>
      <c r="C185" s="102"/>
      <c r="D185" s="102"/>
      <c r="E185" s="102"/>
      <c r="F185" s="102"/>
      <c r="G185" s="102"/>
      <c r="H185" s="102"/>
      <c r="I185" s="102"/>
      <c r="J185" s="105"/>
      <c r="K185" s="96"/>
      <c r="L185" s="96"/>
      <c r="M185" s="96"/>
      <c r="N185" s="96"/>
      <c r="O185" s="96"/>
      <c r="P185" s="96"/>
      <c r="Q185" s="96"/>
      <c r="R185" s="96"/>
      <c r="S185" s="96"/>
      <c r="T185" s="96"/>
      <c r="U185" s="96"/>
      <c r="V185" s="96"/>
      <c r="W185" s="96"/>
      <c r="X185" s="96"/>
      <c r="Y185" s="96"/>
      <c r="Z185" s="96"/>
    </row>
    <row r="186" ht="15.75" customHeight="1">
      <c r="A186" s="104"/>
      <c r="B186" s="104"/>
      <c r="C186" s="104"/>
      <c r="D186" s="104"/>
      <c r="E186" s="104"/>
      <c r="F186" s="104"/>
      <c r="G186" s="104"/>
      <c r="H186" s="104"/>
      <c r="I186" s="104"/>
      <c r="J186" s="105"/>
      <c r="K186" s="96"/>
      <c r="L186" s="96"/>
      <c r="M186" s="96"/>
      <c r="N186" s="96"/>
      <c r="O186" s="96"/>
      <c r="P186" s="96"/>
      <c r="Q186" s="96"/>
      <c r="R186" s="96"/>
      <c r="S186" s="96"/>
      <c r="T186" s="96"/>
      <c r="U186" s="96"/>
      <c r="V186" s="96"/>
      <c r="W186" s="96"/>
      <c r="X186" s="96"/>
      <c r="Y186" s="96"/>
      <c r="Z186" s="96"/>
    </row>
    <row r="187" ht="15.75" customHeight="1">
      <c r="A187" s="102"/>
      <c r="B187" s="102"/>
      <c r="C187" s="102"/>
      <c r="D187" s="102"/>
      <c r="E187" s="102"/>
      <c r="F187" s="102"/>
      <c r="G187" s="102"/>
      <c r="H187" s="102"/>
      <c r="I187" s="102"/>
      <c r="J187" s="105"/>
      <c r="K187" s="96"/>
      <c r="L187" s="96"/>
      <c r="M187" s="96"/>
      <c r="N187" s="96"/>
      <c r="O187" s="96"/>
      <c r="P187" s="96"/>
      <c r="Q187" s="96"/>
      <c r="R187" s="96"/>
      <c r="S187" s="96"/>
      <c r="T187" s="96"/>
      <c r="U187" s="96"/>
      <c r="V187" s="96"/>
      <c r="W187" s="96"/>
      <c r="X187" s="96"/>
      <c r="Y187" s="96"/>
      <c r="Z187" s="96"/>
    </row>
    <row r="188" ht="15.75" customHeight="1">
      <c r="A188" s="104"/>
      <c r="B188" s="104"/>
      <c r="C188" s="104"/>
      <c r="D188" s="104"/>
      <c r="E188" s="104"/>
      <c r="F188" s="104"/>
      <c r="G188" s="104"/>
      <c r="H188" s="104"/>
      <c r="I188" s="104"/>
      <c r="J188" s="105"/>
      <c r="K188" s="96"/>
      <c r="L188" s="96"/>
      <c r="M188" s="96"/>
      <c r="N188" s="96"/>
      <c r="O188" s="96"/>
      <c r="P188" s="96"/>
      <c r="Q188" s="96"/>
      <c r="R188" s="96"/>
      <c r="S188" s="96"/>
      <c r="T188" s="96"/>
      <c r="U188" s="96"/>
      <c r="V188" s="96"/>
      <c r="W188" s="96"/>
      <c r="X188" s="96"/>
      <c r="Y188" s="96"/>
      <c r="Z188" s="96"/>
    </row>
    <row r="189" ht="15.75" customHeight="1">
      <c r="A189" s="102"/>
      <c r="B189" s="102"/>
      <c r="C189" s="102"/>
      <c r="D189" s="102"/>
      <c r="E189" s="102"/>
      <c r="F189" s="102"/>
      <c r="G189" s="102"/>
      <c r="H189" s="102"/>
      <c r="I189" s="102"/>
      <c r="J189" s="105"/>
      <c r="K189" s="96"/>
      <c r="L189" s="96"/>
      <c r="M189" s="96"/>
      <c r="N189" s="96"/>
      <c r="O189" s="96"/>
      <c r="P189" s="96"/>
      <c r="Q189" s="96"/>
      <c r="R189" s="96"/>
      <c r="S189" s="96"/>
      <c r="T189" s="96"/>
      <c r="U189" s="96"/>
      <c r="V189" s="96"/>
      <c r="W189" s="96"/>
      <c r="X189" s="96"/>
      <c r="Y189" s="96"/>
      <c r="Z189" s="96"/>
    </row>
    <row r="190" ht="15.75" customHeight="1">
      <c r="A190" s="104"/>
      <c r="B190" s="104"/>
      <c r="C190" s="104"/>
      <c r="D190" s="104"/>
      <c r="E190" s="104"/>
      <c r="F190" s="104"/>
      <c r="G190" s="104"/>
      <c r="H190" s="104"/>
      <c r="I190" s="104"/>
      <c r="J190" s="105"/>
      <c r="K190" s="96"/>
      <c r="L190" s="96"/>
      <c r="M190" s="96"/>
      <c r="N190" s="96"/>
      <c r="O190" s="96"/>
      <c r="P190" s="96"/>
      <c r="Q190" s="96"/>
      <c r="R190" s="96"/>
      <c r="S190" s="96"/>
      <c r="T190" s="96"/>
      <c r="U190" s="96"/>
      <c r="V190" s="96"/>
      <c r="W190" s="96"/>
      <c r="X190" s="96"/>
      <c r="Y190" s="96"/>
      <c r="Z190" s="96"/>
    </row>
    <row r="191" ht="15.75" customHeight="1">
      <c r="A191" s="102"/>
      <c r="B191" s="102"/>
      <c r="C191" s="102"/>
      <c r="D191" s="102"/>
      <c r="E191" s="102"/>
      <c r="F191" s="102"/>
      <c r="G191" s="102"/>
      <c r="H191" s="102"/>
      <c r="I191" s="102"/>
      <c r="J191" s="105"/>
      <c r="K191" s="96"/>
      <c r="L191" s="96"/>
      <c r="M191" s="96"/>
      <c r="N191" s="96"/>
      <c r="O191" s="96"/>
      <c r="P191" s="96"/>
      <c r="Q191" s="96"/>
      <c r="R191" s="96"/>
      <c r="S191" s="96"/>
      <c r="T191" s="96"/>
      <c r="U191" s="96"/>
      <c r="V191" s="96"/>
      <c r="W191" s="96"/>
      <c r="X191" s="96"/>
      <c r="Y191" s="96"/>
      <c r="Z191" s="96"/>
    </row>
    <row r="192" ht="15.75" customHeight="1">
      <c r="A192" s="104"/>
      <c r="B192" s="104"/>
      <c r="C192" s="104"/>
      <c r="D192" s="104"/>
      <c r="E192" s="104"/>
      <c r="F192" s="104"/>
      <c r="G192" s="104"/>
      <c r="H192" s="104"/>
      <c r="I192" s="104"/>
      <c r="J192" s="105"/>
      <c r="K192" s="96"/>
      <c r="L192" s="96"/>
      <c r="M192" s="96"/>
      <c r="N192" s="96"/>
      <c r="O192" s="96"/>
      <c r="P192" s="96"/>
      <c r="Q192" s="96"/>
      <c r="R192" s="96"/>
      <c r="S192" s="96"/>
      <c r="T192" s="96"/>
      <c r="U192" s="96"/>
      <c r="V192" s="96"/>
      <c r="W192" s="96"/>
      <c r="X192" s="96"/>
      <c r="Y192" s="96"/>
      <c r="Z192" s="96"/>
    </row>
    <row r="193" ht="15.75" customHeight="1">
      <c r="A193" s="102"/>
      <c r="B193" s="102"/>
      <c r="C193" s="102"/>
      <c r="D193" s="102"/>
      <c r="E193" s="102"/>
      <c r="F193" s="102"/>
      <c r="G193" s="102"/>
      <c r="H193" s="102"/>
      <c r="I193" s="102"/>
      <c r="J193" s="105"/>
      <c r="K193" s="96"/>
      <c r="L193" s="96"/>
      <c r="M193" s="96"/>
      <c r="N193" s="96"/>
      <c r="O193" s="96"/>
      <c r="P193" s="96"/>
      <c r="Q193" s="96"/>
      <c r="R193" s="96"/>
      <c r="S193" s="96"/>
      <c r="T193" s="96"/>
      <c r="U193" s="96"/>
      <c r="V193" s="96"/>
      <c r="W193" s="96"/>
      <c r="X193" s="96"/>
      <c r="Y193" s="96"/>
      <c r="Z193" s="96"/>
    </row>
    <row r="194" ht="15.75" customHeight="1">
      <c r="A194" s="104"/>
      <c r="B194" s="104"/>
      <c r="C194" s="104"/>
      <c r="D194" s="104"/>
      <c r="E194" s="104"/>
      <c r="F194" s="104"/>
      <c r="G194" s="104"/>
      <c r="H194" s="104"/>
      <c r="I194" s="104"/>
      <c r="J194" s="105"/>
      <c r="K194" s="96"/>
      <c r="L194" s="96"/>
      <c r="M194" s="96"/>
      <c r="N194" s="96"/>
      <c r="O194" s="96"/>
      <c r="P194" s="96"/>
      <c r="Q194" s="96"/>
      <c r="R194" s="96"/>
      <c r="S194" s="96"/>
      <c r="T194" s="96"/>
      <c r="U194" s="96"/>
      <c r="V194" s="96"/>
      <c r="W194" s="96"/>
      <c r="X194" s="96"/>
      <c r="Y194" s="96"/>
      <c r="Z194" s="96"/>
    </row>
    <row r="195" ht="15.75" customHeight="1">
      <c r="A195" s="102"/>
      <c r="B195" s="102"/>
      <c r="C195" s="102"/>
      <c r="D195" s="102"/>
      <c r="E195" s="102"/>
      <c r="F195" s="102"/>
      <c r="G195" s="102"/>
      <c r="H195" s="102"/>
      <c r="I195" s="102"/>
      <c r="J195" s="105"/>
      <c r="K195" s="96"/>
      <c r="L195" s="96"/>
      <c r="M195" s="96"/>
      <c r="N195" s="96"/>
      <c r="O195" s="96"/>
      <c r="P195" s="96"/>
      <c r="Q195" s="96"/>
      <c r="R195" s="96"/>
      <c r="S195" s="96"/>
      <c r="T195" s="96"/>
      <c r="U195" s="96"/>
      <c r="V195" s="96"/>
      <c r="W195" s="96"/>
      <c r="X195" s="96"/>
      <c r="Y195" s="96"/>
      <c r="Z195" s="96"/>
    </row>
    <row r="196" ht="15.75" customHeight="1">
      <c r="A196" s="104"/>
      <c r="B196" s="104"/>
      <c r="C196" s="104"/>
      <c r="D196" s="104"/>
      <c r="E196" s="104"/>
      <c r="F196" s="104"/>
      <c r="G196" s="104"/>
      <c r="H196" s="104"/>
      <c r="I196" s="104"/>
      <c r="J196" s="105"/>
      <c r="K196" s="96"/>
      <c r="L196" s="96"/>
      <c r="M196" s="96"/>
      <c r="N196" s="96"/>
      <c r="O196" s="96"/>
      <c r="P196" s="96"/>
      <c r="Q196" s="96"/>
      <c r="R196" s="96"/>
      <c r="S196" s="96"/>
      <c r="T196" s="96"/>
      <c r="U196" s="96"/>
      <c r="V196" s="96"/>
      <c r="W196" s="96"/>
      <c r="X196" s="96"/>
      <c r="Y196" s="96"/>
      <c r="Z196" s="96"/>
    </row>
    <row r="197" ht="15.75" customHeight="1">
      <c r="A197" s="102"/>
      <c r="B197" s="102"/>
      <c r="C197" s="102"/>
      <c r="D197" s="102"/>
      <c r="E197" s="102"/>
      <c r="F197" s="102"/>
      <c r="G197" s="102"/>
      <c r="H197" s="102"/>
      <c r="I197" s="102"/>
      <c r="J197" s="105"/>
      <c r="K197" s="96"/>
      <c r="L197" s="96"/>
      <c r="M197" s="96"/>
      <c r="N197" s="96"/>
      <c r="O197" s="96"/>
      <c r="P197" s="96"/>
      <c r="Q197" s="96"/>
      <c r="R197" s="96"/>
      <c r="S197" s="96"/>
      <c r="T197" s="96"/>
      <c r="U197" s="96"/>
      <c r="V197" s="96"/>
      <c r="W197" s="96"/>
      <c r="X197" s="96"/>
      <c r="Y197" s="96"/>
      <c r="Z197" s="96"/>
    </row>
    <row r="198" ht="15.75" customHeight="1">
      <c r="A198" s="104"/>
      <c r="B198" s="104"/>
      <c r="C198" s="104"/>
      <c r="D198" s="104"/>
      <c r="E198" s="104"/>
      <c r="F198" s="104"/>
      <c r="G198" s="104"/>
      <c r="H198" s="104"/>
      <c r="I198" s="104"/>
      <c r="J198" s="105"/>
      <c r="K198" s="96"/>
      <c r="L198" s="96"/>
      <c r="M198" s="96"/>
      <c r="N198" s="96"/>
      <c r="O198" s="96"/>
      <c r="P198" s="96"/>
      <c r="Q198" s="96"/>
      <c r="R198" s="96"/>
      <c r="S198" s="96"/>
      <c r="T198" s="96"/>
      <c r="U198" s="96"/>
      <c r="V198" s="96"/>
      <c r="W198" s="96"/>
      <c r="X198" s="96"/>
      <c r="Y198" s="96"/>
      <c r="Z198" s="96"/>
    </row>
    <row r="199" ht="15.75" customHeight="1">
      <c r="A199" s="102"/>
      <c r="B199" s="102"/>
      <c r="C199" s="102"/>
      <c r="D199" s="102"/>
      <c r="E199" s="102"/>
      <c r="F199" s="102"/>
      <c r="G199" s="102"/>
      <c r="H199" s="102"/>
      <c r="I199" s="102"/>
      <c r="J199" s="105"/>
      <c r="K199" s="96"/>
      <c r="L199" s="96"/>
      <c r="M199" s="96"/>
      <c r="N199" s="96"/>
      <c r="O199" s="96"/>
      <c r="P199" s="96"/>
      <c r="Q199" s="96"/>
      <c r="R199" s="96"/>
      <c r="S199" s="96"/>
      <c r="T199" s="96"/>
      <c r="U199" s="96"/>
      <c r="V199" s="96"/>
      <c r="W199" s="96"/>
      <c r="X199" s="96"/>
      <c r="Y199" s="96"/>
      <c r="Z199" s="96"/>
    </row>
    <row r="200" ht="15.75" customHeight="1">
      <c r="A200" s="104"/>
      <c r="B200" s="104"/>
      <c r="C200" s="104"/>
      <c r="D200" s="104"/>
      <c r="E200" s="104"/>
      <c r="F200" s="104"/>
      <c r="G200" s="104"/>
      <c r="H200" s="104"/>
      <c r="I200" s="104"/>
      <c r="J200" s="105"/>
      <c r="K200" s="96"/>
      <c r="L200" s="96"/>
      <c r="M200" s="96"/>
      <c r="N200" s="96"/>
      <c r="O200" s="96"/>
      <c r="P200" s="96"/>
      <c r="Q200" s="96"/>
      <c r="R200" s="96"/>
      <c r="S200" s="96"/>
      <c r="T200" s="96"/>
      <c r="U200" s="96"/>
      <c r="V200" s="96"/>
      <c r="W200" s="96"/>
      <c r="X200" s="96"/>
      <c r="Y200" s="96"/>
      <c r="Z200" s="96"/>
    </row>
    <row r="201" ht="15.75" customHeight="1">
      <c r="A201" s="102"/>
      <c r="B201" s="102"/>
      <c r="C201" s="102"/>
      <c r="D201" s="102"/>
      <c r="E201" s="102"/>
      <c r="F201" s="102"/>
      <c r="G201" s="102"/>
      <c r="H201" s="102"/>
      <c r="I201" s="102"/>
      <c r="J201" s="105"/>
      <c r="K201" s="96"/>
      <c r="L201" s="96"/>
      <c r="M201" s="96"/>
      <c r="N201" s="96"/>
      <c r="O201" s="96"/>
      <c r="P201" s="96"/>
      <c r="Q201" s="96"/>
      <c r="R201" s="96"/>
      <c r="S201" s="96"/>
      <c r="T201" s="96"/>
      <c r="U201" s="96"/>
      <c r="V201" s="96"/>
      <c r="W201" s="96"/>
      <c r="X201" s="96"/>
      <c r="Y201" s="96"/>
      <c r="Z201" s="96"/>
    </row>
    <row r="202" ht="15.75" customHeight="1">
      <c r="A202" s="104"/>
      <c r="B202" s="104"/>
      <c r="C202" s="104"/>
      <c r="D202" s="104"/>
      <c r="E202" s="104"/>
      <c r="F202" s="104"/>
      <c r="G202" s="104"/>
      <c r="H202" s="104"/>
      <c r="I202" s="104"/>
      <c r="J202" s="105"/>
      <c r="K202" s="96"/>
      <c r="L202" s="96"/>
      <c r="M202" s="96"/>
      <c r="N202" s="96"/>
      <c r="O202" s="96"/>
      <c r="P202" s="96"/>
      <c r="Q202" s="96"/>
      <c r="R202" s="96"/>
      <c r="S202" s="96"/>
      <c r="T202" s="96"/>
      <c r="U202" s="96"/>
      <c r="V202" s="96"/>
      <c r="W202" s="96"/>
      <c r="X202" s="96"/>
      <c r="Y202" s="96"/>
      <c r="Z202" s="96"/>
    </row>
    <row r="203" ht="15.75" customHeight="1">
      <c r="A203" s="102"/>
      <c r="B203" s="102"/>
      <c r="C203" s="102"/>
      <c r="D203" s="102"/>
      <c r="E203" s="102"/>
      <c r="F203" s="102"/>
      <c r="G203" s="102"/>
      <c r="H203" s="102"/>
      <c r="I203" s="102"/>
      <c r="J203" s="105"/>
      <c r="K203" s="96"/>
      <c r="L203" s="96"/>
      <c r="M203" s="96"/>
      <c r="N203" s="96"/>
      <c r="O203" s="96"/>
      <c r="P203" s="96"/>
      <c r="Q203" s="96"/>
      <c r="R203" s="96"/>
      <c r="S203" s="96"/>
      <c r="T203" s="96"/>
      <c r="U203" s="96"/>
      <c r="V203" s="96"/>
      <c r="W203" s="96"/>
      <c r="X203" s="96"/>
      <c r="Y203" s="96"/>
      <c r="Z203" s="96"/>
    </row>
    <row r="204" ht="15.75" customHeight="1">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ht="15.75" customHeight="1">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ht="15.75" customHeight="1">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ht="15.75" customHeight="1">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ht="15.75" customHeight="1">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ht="15.75" customHeight="1">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ht="15.75" customHeight="1">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ht="15.75" customHeight="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ht="15.75" customHeight="1">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ht="15.75" customHeight="1">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ht="15.75" customHeight="1">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ht="15.75" customHeight="1">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ht="15.75" customHeight="1">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ht="15.75" customHeight="1">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ht="15.75" customHeight="1">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ht="15.75" customHeight="1">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ht="15.75" customHeight="1">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ht="15.75" customHeight="1">
      <c r="A221" s="5"/>
      <c r="B221" s="5"/>
      <c r="C221" s="5"/>
      <c r="D221" s="5"/>
      <c r="E221" s="5"/>
      <c r="F221" s="5"/>
      <c r="G221" s="5"/>
    </row>
    <row r="222" ht="15.75" customHeight="1">
      <c r="A222" s="5"/>
      <c r="B222" s="5"/>
      <c r="C222" s="5"/>
      <c r="D222" s="5"/>
      <c r="E222" s="5"/>
      <c r="F222" s="5"/>
      <c r="G222" s="5"/>
    </row>
    <row r="223" ht="15.75" customHeight="1">
      <c r="A223" s="5"/>
      <c r="B223" s="5"/>
      <c r="C223" s="5"/>
      <c r="D223" s="5"/>
      <c r="E223" s="5"/>
      <c r="F223" s="5"/>
      <c r="G223" s="5"/>
    </row>
    <row r="224" ht="15.75" customHeight="1">
      <c r="A224" s="5"/>
      <c r="B224" s="5"/>
      <c r="C224" s="5"/>
      <c r="D224" s="5"/>
      <c r="E224" s="5"/>
      <c r="F224" s="5"/>
      <c r="G224" s="5"/>
    </row>
    <row r="225" ht="15.75" customHeight="1">
      <c r="A225" s="5"/>
      <c r="B225" s="5"/>
      <c r="C225" s="5"/>
      <c r="D225" s="5"/>
      <c r="E225" s="5"/>
      <c r="F225" s="5"/>
      <c r="G225" s="5"/>
    </row>
    <row r="226" ht="15.75" customHeight="1">
      <c r="A226" s="5"/>
      <c r="B226" s="5"/>
      <c r="C226" s="5"/>
      <c r="D226" s="5"/>
      <c r="E226" s="5"/>
      <c r="F226" s="5"/>
      <c r="G226" s="5"/>
    </row>
    <row r="227" ht="15.75" customHeight="1">
      <c r="A227" s="5"/>
      <c r="B227" s="5"/>
      <c r="C227" s="5"/>
      <c r="D227" s="5"/>
      <c r="E227" s="5"/>
      <c r="F227" s="5"/>
      <c r="G227" s="5"/>
    </row>
    <row r="228" ht="15.75" customHeight="1">
      <c r="A228" s="5"/>
      <c r="B228" s="5"/>
      <c r="C228" s="5"/>
      <c r="D228" s="5"/>
      <c r="E228" s="5"/>
      <c r="F228" s="5"/>
      <c r="G228" s="5"/>
    </row>
    <row r="229" ht="15.75" customHeight="1">
      <c r="A229" s="5"/>
      <c r="B229" s="5"/>
      <c r="C229" s="5"/>
      <c r="D229" s="5"/>
      <c r="E229" s="5"/>
      <c r="F229" s="5"/>
      <c r="G229" s="5"/>
    </row>
    <row r="230" ht="15.75" customHeight="1">
      <c r="A230" s="5"/>
      <c r="B230" s="5"/>
      <c r="C230" s="5"/>
      <c r="D230" s="5"/>
      <c r="E230" s="5"/>
      <c r="F230" s="5"/>
      <c r="G230" s="5"/>
    </row>
    <row r="231" ht="15.75" customHeight="1">
      <c r="A231" s="5"/>
      <c r="B231" s="5"/>
      <c r="C231" s="5"/>
      <c r="D231" s="5"/>
      <c r="E231" s="5"/>
      <c r="F231" s="5"/>
      <c r="G231" s="5"/>
    </row>
    <row r="232" ht="15.75" customHeight="1">
      <c r="A232" s="5"/>
      <c r="B232" s="5"/>
      <c r="C232" s="5"/>
      <c r="D232" s="5"/>
      <c r="E232" s="5"/>
      <c r="F232" s="5"/>
      <c r="G232" s="5"/>
    </row>
    <row r="233" ht="15.75" customHeight="1">
      <c r="A233" s="5"/>
      <c r="B233" s="5"/>
      <c r="C233" s="5"/>
      <c r="D233" s="5"/>
      <c r="E233" s="5"/>
      <c r="F233" s="5"/>
      <c r="G233" s="5"/>
    </row>
    <row r="234" ht="15.75" customHeight="1">
      <c r="A234" s="5"/>
      <c r="B234" s="5"/>
      <c r="C234" s="5"/>
      <c r="D234" s="5"/>
      <c r="E234" s="5"/>
      <c r="F234" s="5"/>
      <c r="G234" s="5"/>
    </row>
    <row r="235" ht="15.75" customHeight="1">
      <c r="A235" s="5"/>
      <c r="B235" s="5"/>
      <c r="C235" s="5"/>
      <c r="D235" s="5"/>
      <c r="E235" s="5"/>
      <c r="F235" s="5"/>
      <c r="G235" s="5"/>
    </row>
    <row r="236" ht="15.75" customHeight="1">
      <c r="A236" s="5"/>
      <c r="B236" s="5"/>
      <c r="C236" s="5"/>
      <c r="D236" s="5"/>
      <c r="E236" s="5"/>
      <c r="F236" s="5"/>
      <c r="G236" s="5"/>
    </row>
    <row r="237" ht="15.75" customHeight="1">
      <c r="A237" s="5"/>
      <c r="B237" s="5"/>
      <c r="C237" s="5"/>
      <c r="D237" s="5"/>
      <c r="E237" s="5"/>
      <c r="F237" s="5"/>
      <c r="G237" s="5"/>
    </row>
    <row r="238" ht="15.75" customHeight="1">
      <c r="A238" s="5"/>
      <c r="B238" s="5"/>
      <c r="C238" s="5"/>
      <c r="D238" s="5"/>
      <c r="E238" s="5"/>
      <c r="F238" s="5"/>
      <c r="G238" s="5"/>
    </row>
    <row r="239" ht="15.75" customHeight="1">
      <c r="A239" s="5"/>
      <c r="B239" s="5"/>
      <c r="C239" s="5"/>
      <c r="D239" s="5"/>
      <c r="E239" s="5"/>
      <c r="F239" s="5"/>
      <c r="G239" s="5"/>
    </row>
    <row r="240" ht="15.75" customHeight="1">
      <c r="A240" s="5"/>
      <c r="B240" s="5"/>
      <c r="C240" s="5"/>
      <c r="D240" s="5"/>
      <c r="E240" s="5"/>
      <c r="F240" s="5"/>
      <c r="G240" s="5"/>
    </row>
    <row r="241" ht="15.75" customHeight="1">
      <c r="A241" s="5"/>
      <c r="B241" s="5"/>
      <c r="C241" s="5"/>
      <c r="D241" s="5"/>
      <c r="E241" s="5"/>
      <c r="F241" s="5"/>
      <c r="G241" s="5"/>
    </row>
    <row r="242" ht="15.75" customHeight="1">
      <c r="A242" s="5"/>
      <c r="B242" s="5"/>
      <c r="C242" s="5"/>
      <c r="D242" s="5"/>
      <c r="E242" s="5"/>
      <c r="F242" s="5"/>
      <c r="G242" s="5"/>
    </row>
    <row r="243" ht="15.75" customHeight="1">
      <c r="A243" s="5"/>
      <c r="B243" s="5"/>
      <c r="C243" s="5"/>
      <c r="D243" s="5"/>
      <c r="E243" s="5"/>
      <c r="F243" s="5"/>
      <c r="G243" s="5"/>
    </row>
    <row r="244" ht="15.75" customHeight="1">
      <c r="A244" s="5"/>
      <c r="B244" s="5"/>
      <c r="C244" s="5"/>
      <c r="D244" s="5"/>
      <c r="E244" s="5"/>
      <c r="F244" s="5"/>
      <c r="G244" s="5"/>
    </row>
    <row r="245" ht="15.75" customHeight="1">
      <c r="A245" s="5"/>
      <c r="B245" s="5"/>
      <c r="C245" s="5"/>
      <c r="D245" s="5"/>
      <c r="E245" s="5"/>
      <c r="F245" s="5"/>
      <c r="G245" s="5"/>
    </row>
    <row r="246" ht="15.75" customHeight="1">
      <c r="A246" s="5"/>
      <c r="B246" s="5"/>
      <c r="C246" s="5"/>
      <c r="D246" s="5"/>
      <c r="E246" s="5"/>
      <c r="F246" s="5"/>
      <c r="G246" s="5"/>
    </row>
    <row r="247" ht="15.75" customHeight="1">
      <c r="A247" s="5"/>
      <c r="B247" s="5"/>
      <c r="C247" s="5"/>
      <c r="D247" s="5"/>
      <c r="E247" s="5"/>
      <c r="F247" s="5"/>
      <c r="G247" s="5"/>
    </row>
    <row r="248" ht="15.75" customHeight="1">
      <c r="A248" s="5"/>
      <c r="B248" s="5"/>
      <c r="C248" s="5"/>
      <c r="D248" s="5"/>
      <c r="E248" s="5"/>
      <c r="F248" s="5"/>
      <c r="G248" s="5"/>
    </row>
    <row r="249" ht="15.75" customHeight="1">
      <c r="A249" s="5"/>
      <c r="B249" s="5"/>
      <c r="C249" s="5"/>
      <c r="D249" s="5"/>
      <c r="E249" s="5"/>
      <c r="F249" s="5"/>
      <c r="G249" s="5"/>
    </row>
    <row r="250" ht="15.75" customHeight="1">
      <c r="A250" s="5"/>
      <c r="B250" s="5"/>
      <c r="C250" s="5"/>
      <c r="D250" s="5"/>
      <c r="E250" s="5"/>
      <c r="F250" s="5"/>
      <c r="G250" s="5"/>
    </row>
    <row r="251" ht="15.75" customHeight="1">
      <c r="A251" s="5"/>
      <c r="B251" s="5"/>
      <c r="C251" s="5"/>
      <c r="D251" s="5"/>
      <c r="E251" s="5"/>
      <c r="F251" s="5"/>
      <c r="G251" s="5"/>
    </row>
    <row r="252" ht="15.75" customHeight="1">
      <c r="A252" s="5"/>
      <c r="B252" s="5"/>
      <c r="C252" s="5"/>
      <c r="D252" s="5"/>
      <c r="E252" s="5"/>
      <c r="F252" s="5"/>
      <c r="G252" s="5"/>
    </row>
    <row r="253" ht="15.75" customHeight="1">
      <c r="A253" s="5"/>
      <c r="B253" s="5"/>
      <c r="C253" s="5"/>
      <c r="D253" s="5"/>
      <c r="E253" s="5"/>
      <c r="F253" s="5"/>
      <c r="G253" s="5"/>
    </row>
    <row r="254" ht="15.75" customHeight="1">
      <c r="A254" s="5"/>
      <c r="B254" s="5"/>
      <c r="C254" s="5"/>
      <c r="D254" s="5"/>
      <c r="E254" s="5"/>
      <c r="F254" s="5"/>
      <c r="G254" s="5"/>
    </row>
    <row r="255" ht="15.75" customHeight="1">
      <c r="A255" s="5"/>
      <c r="B255" s="5"/>
      <c r="C255" s="5"/>
      <c r="D255" s="5"/>
      <c r="E255" s="5"/>
      <c r="F255" s="5"/>
      <c r="G255" s="5"/>
    </row>
    <row r="256" ht="15.75" customHeight="1">
      <c r="A256" s="5"/>
      <c r="B256" s="5"/>
      <c r="C256" s="5"/>
      <c r="D256" s="5"/>
      <c r="E256" s="5"/>
      <c r="F256" s="5"/>
      <c r="G256" s="5"/>
    </row>
    <row r="257" ht="15.75" customHeight="1">
      <c r="A257" s="5"/>
      <c r="B257" s="5"/>
      <c r="C257" s="5"/>
      <c r="D257" s="5"/>
      <c r="E257" s="5"/>
      <c r="F257" s="5"/>
      <c r="G257" s="5"/>
    </row>
    <row r="258" ht="15.75" customHeight="1">
      <c r="A258" s="5"/>
      <c r="B258" s="5"/>
      <c r="C258" s="5"/>
      <c r="D258" s="5"/>
      <c r="E258" s="5"/>
      <c r="F258" s="5"/>
      <c r="G258" s="5"/>
    </row>
    <row r="259" ht="15.75" customHeight="1">
      <c r="A259" s="5"/>
      <c r="B259" s="5"/>
      <c r="C259" s="5"/>
      <c r="D259" s="5"/>
      <c r="E259" s="5"/>
      <c r="F259" s="5"/>
      <c r="G259" s="5"/>
    </row>
    <row r="260" ht="15.75" customHeight="1">
      <c r="A260" s="5"/>
      <c r="B260" s="5"/>
      <c r="C260" s="5"/>
      <c r="D260" s="5"/>
      <c r="E260" s="5"/>
      <c r="F260" s="5"/>
      <c r="G260" s="5"/>
    </row>
    <row r="261" ht="15.75" customHeight="1">
      <c r="A261" s="5"/>
      <c r="B261" s="5"/>
      <c r="C261" s="5"/>
      <c r="D261" s="5"/>
      <c r="E261" s="5"/>
      <c r="F261" s="5"/>
      <c r="G261" s="5"/>
    </row>
    <row r="262" ht="15.75" customHeight="1">
      <c r="A262" s="5"/>
      <c r="B262" s="5"/>
      <c r="C262" s="5"/>
      <c r="D262" s="5"/>
      <c r="E262" s="5"/>
      <c r="F262" s="5"/>
      <c r="G262" s="5"/>
    </row>
    <row r="263" ht="15.75" customHeight="1">
      <c r="A263" s="5"/>
      <c r="B263" s="5"/>
      <c r="C263" s="5"/>
      <c r="D263" s="5"/>
      <c r="E263" s="5"/>
      <c r="F263" s="5"/>
      <c r="G263" s="5"/>
    </row>
    <row r="264" ht="15.75" customHeight="1">
      <c r="A264" s="5"/>
      <c r="B264" s="5"/>
      <c r="C264" s="5"/>
      <c r="D264" s="5"/>
      <c r="E264" s="5"/>
      <c r="F264" s="5"/>
      <c r="G264" s="5"/>
    </row>
    <row r="265" ht="15.75" customHeight="1">
      <c r="A265" s="5"/>
      <c r="B265" s="5"/>
      <c r="C265" s="5"/>
      <c r="D265" s="5"/>
      <c r="E265" s="5"/>
      <c r="F265" s="5"/>
      <c r="G265" s="5"/>
    </row>
    <row r="266" ht="15.75" customHeight="1">
      <c r="A266" s="5"/>
      <c r="B266" s="5"/>
      <c r="C266" s="5"/>
      <c r="D266" s="5"/>
      <c r="E266" s="5"/>
      <c r="F266" s="5"/>
      <c r="G266" s="5"/>
    </row>
    <row r="267" ht="15.75" customHeight="1">
      <c r="A267" s="5"/>
      <c r="B267" s="5"/>
      <c r="C267" s="5"/>
      <c r="D267" s="5"/>
      <c r="E267" s="5"/>
      <c r="F267" s="5"/>
      <c r="G267" s="5"/>
    </row>
    <row r="268" ht="15.75" customHeight="1">
      <c r="A268" s="5"/>
      <c r="B268" s="5"/>
      <c r="C268" s="5"/>
      <c r="D268" s="5"/>
      <c r="E268" s="5"/>
      <c r="F268" s="5"/>
      <c r="G268" s="5"/>
    </row>
    <row r="269" ht="15.75" customHeight="1">
      <c r="A269" s="5"/>
      <c r="B269" s="5"/>
      <c r="C269" s="5"/>
      <c r="D269" s="5"/>
      <c r="E269" s="5"/>
      <c r="F269" s="5"/>
      <c r="G269" s="5"/>
    </row>
    <row r="270" ht="15.75" customHeight="1">
      <c r="A270" s="5"/>
      <c r="B270" s="5"/>
      <c r="C270" s="5"/>
      <c r="D270" s="5"/>
      <c r="E270" s="5"/>
      <c r="F270" s="5"/>
      <c r="G270" s="5"/>
    </row>
    <row r="271" ht="15.75" customHeight="1">
      <c r="A271" s="5"/>
      <c r="B271" s="5"/>
      <c r="C271" s="5"/>
      <c r="D271" s="5"/>
      <c r="E271" s="5"/>
      <c r="F271" s="5"/>
      <c r="G271" s="5"/>
    </row>
    <row r="272" ht="15.75" customHeight="1">
      <c r="A272" s="5"/>
      <c r="B272" s="5"/>
      <c r="C272" s="5"/>
      <c r="D272" s="5"/>
      <c r="E272" s="5"/>
      <c r="F272" s="5"/>
      <c r="G272" s="5"/>
    </row>
    <row r="273" ht="15.75" customHeight="1">
      <c r="A273" s="5"/>
      <c r="B273" s="5"/>
      <c r="C273" s="5"/>
      <c r="D273" s="5"/>
      <c r="E273" s="5"/>
      <c r="F273" s="5"/>
      <c r="G273" s="5"/>
    </row>
    <row r="274" ht="15.75" customHeight="1">
      <c r="A274" s="5"/>
      <c r="B274" s="5"/>
      <c r="C274" s="5"/>
      <c r="D274" s="5"/>
      <c r="E274" s="5"/>
      <c r="F274" s="5"/>
      <c r="G274" s="5"/>
    </row>
    <row r="275" ht="15.75" customHeight="1">
      <c r="A275" s="5"/>
      <c r="B275" s="5"/>
      <c r="C275" s="5"/>
      <c r="D275" s="5"/>
      <c r="E275" s="5"/>
      <c r="F275" s="5"/>
      <c r="G275" s="5"/>
    </row>
    <row r="276" ht="15.75" customHeight="1">
      <c r="A276" s="5"/>
      <c r="B276" s="5"/>
      <c r="C276" s="5"/>
      <c r="D276" s="5"/>
      <c r="E276" s="5"/>
      <c r="F276" s="5"/>
      <c r="G276" s="5"/>
    </row>
    <row r="277" ht="15.75" customHeight="1">
      <c r="A277" s="5"/>
      <c r="B277" s="5"/>
      <c r="C277" s="5"/>
      <c r="D277" s="5"/>
      <c r="E277" s="5"/>
      <c r="F277" s="5"/>
      <c r="G277" s="5"/>
    </row>
    <row r="278" ht="15.75" customHeight="1">
      <c r="A278" s="5"/>
      <c r="B278" s="5"/>
      <c r="C278" s="5"/>
      <c r="D278" s="5"/>
      <c r="E278" s="5"/>
      <c r="F278" s="5"/>
      <c r="G278" s="5"/>
    </row>
    <row r="279" ht="15.75" customHeight="1">
      <c r="A279" s="5"/>
      <c r="B279" s="5"/>
      <c r="C279" s="5"/>
      <c r="D279" s="5"/>
      <c r="E279" s="5"/>
      <c r="F279" s="5"/>
      <c r="G279" s="5"/>
    </row>
    <row r="280" ht="15.75" customHeight="1">
      <c r="A280" s="5"/>
      <c r="B280" s="5"/>
      <c r="C280" s="5"/>
      <c r="D280" s="5"/>
      <c r="E280" s="5"/>
      <c r="F280" s="5"/>
      <c r="G280" s="5"/>
    </row>
    <row r="281" ht="15.75" customHeight="1">
      <c r="A281" s="5"/>
      <c r="B281" s="5"/>
      <c r="C281" s="5"/>
      <c r="D281" s="5"/>
      <c r="E281" s="5"/>
      <c r="F281" s="5"/>
      <c r="G281" s="5"/>
    </row>
    <row r="282" ht="15.75" customHeight="1">
      <c r="A282" s="5"/>
      <c r="B282" s="5"/>
      <c r="C282" s="5"/>
      <c r="D282" s="5"/>
      <c r="E282" s="5"/>
      <c r="F282" s="5"/>
      <c r="G282" s="5"/>
    </row>
    <row r="283" ht="15.75" customHeight="1">
      <c r="A283" s="5"/>
      <c r="B283" s="5"/>
      <c r="C283" s="5"/>
      <c r="D283" s="5"/>
      <c r="E283" s="5"/>
      <c r="F283" s="5"/>
      <c r="G283" s="5"/>
    </row>
    <row r="284" ht="15.75" customHeight="1">
      <c r="A284" s="5"/>
      <c r="B284" s="5"/>
      <c r="C284" s="5"/>
      <c r="D284" s="5"/>
      <c r="E284" s="5"/>
      <c r="F284" s="5"/>
      <c r="G284" s="5"/>
    </row>
    <row r="285" ht="15.75" customHeight="1">
      <c r="A285" s="5"/>
      <c r="B285" s="5"/>
      <c r="C285" s="5"/>
      <c r="D285" s="5"/>
      <c r="E285" s="5"/>
      <c r="F285" s="5"/>
      <c r="G285" s="5"/>
    </row>
    <row r="286" ht="15.75" customHeight="1">
      <c r="A286" s="5"/>
      <c r="B286" s="5"/>
      <c r="C286" s="5"/>
      <c r="D286" s="5"/>
      <c r="E286" s="5"/>
      <c r="F286" s="5"/>
      <c r="G286" s="5"/>
    </row>
    <row r="287" ht="15.75" customHeight="1">
      <c r="A287" s="5"/>
      <c r="B287" s="5"/>
      <c r="C287" s="5"/>
      <c r="D287" s="5"/>
      <c r="E287" s="5"/>
      <c r="F287" s="5"/>
      <c r="G287" s="5"/>
    </row>
    <row r="288" ht="15.75" customHeight="1">
      <c r="A288" s="5"/>
      <c r="B288" s="5"/>
      <c r="C288" s="5"/>
      <c r="D288" s="5"/>
      <c r="E288" s="5"/>
      <c r="F288" s="5"/>
      <c r="G288" s="5"/>
    </row>
    <row r="289" ht="15.75" customHeight="1">
      <c r="A289" s="5"/>
      <c r="B289" s="5"/>
      <c r="C289" s="5"/>
      <c r="D289" s="5"/>
      <c r="E289" s="5"/>
      <c r="F289" s="5"/>
      <c r="G289" s="5"/>
    </row>
    <row r="290" ht="15.75" customHeight="1">
      <c r="A290" s="5"/>
      <c r="B290" s="5"/>
      <c r="C290" s="5"/>
      <c r="D290" s="5"/>
      <c r="E290" s="5"/>
      <c r="F290" s="5"/>
      <c r="G290" s="5"/>
    </row>
    <row r="291" ht="15.75" customHeight="1">
      <c r="A291" s="5"/>
      <c r="B291" s="5"/>
      <c r="C291" s="5"/>
      <c r="D291" s="5"/>
      <c r="E291" s="5"/>
      <c r="F291" s="5"/>
      <c r="G291" s="5"/>
    </row>
    <row r="292" ht="15.75" customHeight="1">
      <c r="A292" s="5"/>
      <c r="B292" s="5"/>
      <c r="C292" s="5"/>
      <c r="D292" s="5"/>
      <c r="E292" s="5"/>
      <c r="F292" s="5"/>
      <c r="G292" s="5"/>
    </row>
    <row r="293" ht="15.75" customHeight="1">
      <c r="A293" s="5"/>
      <c r="B293" s="5"/>
      <c r="C293" s="5"/>
      <c r="D293" s="5"/>
      <c r="E293" s="5"/>
      <c r="F293" s="5"/>
      <c r="G293" s="5"/>
    </row>
    <row r="294" ht="15.75" customHeight="1">
      <c r="A294" s="5"/>
      <c r="B294" s="5"/>
      <c r="C294" s="5"/>
      <c r="D294" s="5"/>
      <c r="E294" s="5"/>
      <c r="F294" s="5"/>
      <c r="G294" s="5"/>
    </row>
    <row r="295" ht="15.75" customHeight="1">
      <c r="A295" s="5"/>
      <c r="B295" s="5"/>
      <c r="C295" s="5"/>
      <c r="D295" s="5"/>
      <c r="E295" s="5"/>
      <c r="F295" s="5"/>
      <c r="G295" s="5"/>
    </row>
    <row r="296" ht="15.75" customHeight="1">
      <c r="A296" s="5"/>
      <c r="B296" s="5"/>
      <c r="C296" s="5"/>
      <c r="D296" s="5"/>
      <c r="E296" s="5"/>
      <c r="F296" s="5"/>
      <c r="G296" s="5"/>
    </row>
    <row r="297" ht="15.75" customHeight="1">
      <c r="A297" s="5"/>
      <c r="B297" s="5"/>
      <c r="C297" s="5"/>
      <c r="D297" s="5"/>
      <c r="E297" s="5"/>
      <c r="F297" s="5"/>
      <c r="G297" s="5"/>
    </row>
    <row r="298" ht="15.75" customHeight="1">
      <c r="A298" s="5"/>
      <c r="B298" s="5"/>
      <c r="C298" s="5"/>
      <c r="D298" s="5"/>
      <c r="E298" s="5"/>
      <c r="F298" s="5"/>
      <c r="G298" s="5"/>
    </row>
    <row r="299" ht="15.75" customHeight="1">
      <c r="A299" s="5"/>
      <c r="B299" s="5"/>
      <c r="C299" s="5"/>
      <c r="D299" s="5"/>
      <c r="E299" s="5"/>
      <c r="F299" s="5"/>
      <c r="G299" s="5"/>
    </row>
    <row r="300" ht="15.75" customHeight="1">
      <c r="A300" s="5"/>
      <c r="B300" s="5"/>
      <c r="C300" s="5"/>
      <c r="D300" s="5"/>
      <c r="E300" s="5"/>
      <c r="F300" s="5"/>
      <c r="G300" s="5"/>
    </row>
    <row r="301" ht="15.75" customHeight="1">
      <c r="A301" s="5"/>
      <c r="B301" s="5"/>
      <c r="C301" s="5"/>
      <c r="D301" s="5"/>
      <c r="E301" s="5"/>
      <c r="F301" s="5"/>
      <c r="G301" s="5"/>
    </row>
    <row r="302" ht="15.75" customHeight="1">
      <c r="A302" s="5"/>
      <c r="B302" s="5"/>
      <c r="C302" s="5"/>
      <c r="D302" s="5"/>
      <c r="E302" s="5"/>
      <c r="F302" s="5"/>
      <c r="G302" s="5"/>
    </row>
    <row r="303" ht="15.75" customHeight="1">
      <c r="A303" s="5"/>
      <c r="B303" s="5"/>
      <c r="C303" s="5"/>
      <c r="D303" s="5"/>
      <c r="E303" s="5"/>
      <c r="F303" s="5"/>
      <c r="G303" s="5"/>
    </row>
    <row r="304" ht="15.75" customHeight="1">
      <c r="A304" s="5"/>
      <c r="B304" s="5"/>
      <c r="C304" s="5"/>
      <c r="D304" s="5"/>
      <c r="E304" s="5"/>
      <c r="F304" s="5"/>
      <c r="G304" s="5"/>
    </row>
    <row r="305" ht="15.75" customHeight="1">
      <c r="A305" s="5"/>
      <c r="B305" s="5"/>
      <c r="C305" s="5"/>
      <c r="D305" s="5"/>
      <c r="E305" s="5"/>
      <c r="F305" s="5"/>
      <c r="G305" s="5"/>
    </row>
    <row r="306" ht="15.75" customHeight="1">
      <c r="A306" s="5"/>
      <c r="B306" s="5"/>
      <c r="C306" s="5"/>
      <c r="D306" s="5"/>
      <c r="E306" s="5"/>
      <c r="F306" s="5"/>
      <c r="G306" s="5"/>
    </row>
    <row r="307" ht="15.75" customHeight="1">
      <c r="A307" s="5"/>
      <c r="B307" s="5"/>
      <c r="C307" s="5"/>
      <c r="D307" s="5"/>
      <c r="E307" s="5"/>
      <c r="F307" s="5"/>
      <c r="G307" s="5"/>
    </row>
    <row r="308" ht="15.75" customHeight="1">
      <c r="A308" s="5"/>
      <c r="B308" s="5"/>
      <c r="C308" s="5"/>
      <c r="D308" s="5"/>
      <c r="E308" s="5"/>
      <c r="F308" s="5"/>
      <c r="G308" s="5"/>
    </row>
    <row r="309" ht="15.75" customHeight="1">
      <c r="A309" s="5"/>
      <c r="B309" s="5"/>
      <c r="C309" s="5"/>
      <c r="D309" s="5"/>
      <c r="E309" s="5"/>
      <c r="F309" s="5"/>
      <c r="G309" s="5"/>
    </row>
    <row r="310" ht="15.75" customHeight="1">
      <c r="A310" s="5"/>
      <c r="B310" s="5"/>
      <c r="C310" s="5"/>
      <c r="D310" s="5"/>
      <c r="E310" s="5"/>
      <c r="F310" s="5"/>
      <c r="G310" s="5"/>
    </row>
    <row r="311" ht="15.75" customHeight="1">
      <c r="A311" s="5"/>
      <c r="B311" s="5"/>
      <c r="C311" s="5"/>
      <c r="D311" s="5"/>
      <c r="E311" s="5"/>
      <c r="F311" s="5"/>
      <c r="G311" s="5"/>
    </row>
    <row r="312" ht="15.75" customHeight="1">
      <c r="A312" s="5"/>
      <c r="B312" s="5"/>
      <c r="C312" s="5"/>
      <c r="D312" s="5"/>
      <c r="E312" s="5"/>
      <c r="F312" s="5"/>
      <c r="G312" s="5"/>
    </row>
    <row r="313" ht="15.75" customHeight="1">
      <c r="A313" s="5"/>
      <c r="B313" s="5"/>
      <c r="C313" s="5"/>
      <c r="D313" s="5"/>
      <c r="E313" s="5"/>
      <c r="F313" s="5"/>
      <c r="G313" s="5"/>
    </row>
    <row r="314" ht="15.75" customHeight="1">
      <c r="A314" s="5"/>
      <c r="B314" s="5"/>
      <c r="C314" s="5"/>
      <c r="D314" s="5"/>
      <c r="E314" s="5"/>
      <c r="F314" s="5"/>
      <c r="G314" s="5"/>
    </row>
    <row r="315" ht="15.75" customHeight="1">
      <c r="A315" s="5"/>
      <c r="B315" s="5"/>
      <c r="C315" s="5"/>
      <c r="D315" s="5"/>
      <c r="E315" s="5"/>
      <c r="F315" s="5"/>
      <c r="G315" s="5"/>
    </row>
    <row r="316" ht="15.75" customHeight="1">
      <c r="A316" s="5"/>
      <c r="B316" s="5"/>
      <c r="C316" s="5"/>
      <c r="D316" s="5"/>
      <c r="E316" s="5"/>
      <c r="F316" s="5"/>
      <c r="G316" s="5"/>
    </row>
    <row r="317" ht="15.75" customHeight="1">
      <c r="A317" s="5"/>
      <c r="B317" s="5"/>
      <c r="C317" s="5"/>
      <c r="D317" s="5"/>
      <c r="E317" s="5"/>
      <c r="F317" s="5"/>
      <c r="G317" s="5"/>
    </row>
    <row r="318" ht="15.75" customHeight="1">
      <c r="A318" s="5"/>
      <c r="B318" s="5"/>
      <c r="C318" s="5"/>
      <c r="D318" s="5"/>
      <c r="E318" s="5"/>
      <c r="F318" s="5"/>
      <c r="G318" s="5"/>
    </row>
    <row r="319" ht="15.75" customHeight="1">
      <c r="A319" s="5"/>
      <c r="B319" s="5"/>
      <c r="C319" s="5"/>
      <c r="D319" s="5"/>
      <c r="E319" s="5"/>
      <c r="F319" s="5"/>
      <c r="G319" s="5"/>
    </row>
    <row r="320" ht="15.75" customHeight="1">
      <c r="A320" s="5"/>
      <c r="B320" s="5"/>
      <c r="C320" s="5"/>
      <c r="D320" s="5"/>
      <c r="E320" s="5"/>
      <c r="F320" s="5"/>
      <c r="G320" s="5"/>
    </row>
    <row r="321" ht="15.75" customHeight="1">
      <c r="A321" s="5"/>
      <c r="B321" s="5"/>
      <c r="C321" s="5"/>
      <c r="D321" s="5"/>
      <c r="E321" s="5"/>
      <c r="F321" s="5"/>
      <c r="G321" s="5"/>
    </row>
    <row r="322" ht="15.75" customHeight="1">
      <c r="A322" s="5"/>
      <c r="B322" s="5"/>
      <c r="C322" s="5"/>
      <c r="D322" s="5"/>
      <c r="E322" s="5"/>
      <c r="F322" s="5"/>
      <c r="G322" s="5"/>
    </row>
    <row r="323" ht="15.75" customHeight="1">
      <c r="A323" s="5"/>
      <c r="B323" s="5"/>
      <c r="C323" s="5"/>
      <c r="D323" s="5"/>
      <c r="E323" s="5"/>
      <c r="F323" s="5"/>
      <c r="G323" s="5"/>
    </row>
    <row r="324" ht="15.75" customHeight="1">
      <c r="A324" s="5"/>
      <c r="B324" s="5"/>
      <c r="C324" s="5"/>
      <c r="D324" s="5"/>
      <c r="E324" s="5"/>
      <c r="F324" s="5"/>
      <c r="G324" s="5"/>
    </row>
    <row r="325" ht="15.75" customHeight="1">
      <c r="A325" s="5"/>
      <c r="B325" s="5"/>
      <c r="C325" s="5"/>
      <c r="D325" s="5"/>
      <c r="E325" s="5"/>
      <c r="F325" s="5"/>
      <c r="G325" s="5"/>
    </row>
    <row r="326" ht="15.75" customHeight="1">
      <c r="A326" s="5"/>
      <c r="B326" s="5"/>
      <c r="C326" s="5"/>
      <c r="D326" s="5"/>
      <c r="E326" s="5"/>
      <c r="F326" s="5"/>
      <c r="G326" s="5"/>
    </row>
    <row r="327" ht="15.75" customHeight="1">
      <c r="A327" s="5"/>
      <c r="B327" s="5"/>
      <c r="C327" s="5"/>
      <c r="D327" s="5"/>
      <c r="E327" s="5"/>
      <c r="F327" s="5"/>
      <c r="G327" s="5"/>
    </row>
    <row r="328" ht="15.75" customHeight="1">
      <c r="A328" s="5"/>
      <c r="B328" s="5"/>
      <c r="C328" s="5"/>
      <c r="D328" s="5"/>
      <c r="E328" s="5"/>
      <c r="F328" s="5"/>
      <c r="G328" s="5"/>
    </row>
    <row r="329" ht="15.75" customHeight="1">
      <c r="A329" s="5"/>
      <c r="B329" s="5"/>
      <c r="C329" s="5"/>
      <c r="D329" s="5"/>
      <c r="E329" s="5"/>
      <c r="F329" s="5"/>
      <c r="G329" s="5"/>
    </row>
    <row r="330" ht="15.75" customHeight="1">
      <c r="A330" s="5"/>
      <c r="B330" s="5"/>
      <c r="C330" s="5"/>
      <c r="D330" s="5"/>
      <c r="E330" s="5"/>
      <c r="F330" s="5"/>
      <c r="G330" s="5"/>
    </row>
    <row r="331" ht="15.75" customHeight="1">
      <c r="A331" s="5"/>
      <c r="B331" s="5"/>
      <c r="C331" s="5"/>
      <c r="D331" s="5"/>
      <c r="E331" s="5"/>
      <c r="F331" s="5"/>
      <c r="G331" s="5"/>
    </row>
    <row r="332" ht="15.75" customHeight="1">
      <c r="A332" s="5"/>
      <c r="B332" s="5"/>
      <c r="C332" s="5"/>
      <c r="D332" s="5"/>
      <c r="E332" s="5"/>
      <c r="F332" s="5"/>
      <c r="G332" s="5"/>
    </row>
    <row r="333" ht="15.75" customHeight="1">
      <c r="A333" s="5"/>
      <c r="B333" s="5"/>
      <c r="C333" s="5"/>
      <c r="D333" s="5"/>
      <c r="E333" s="5"/>
      <c r="F333" s="5"/>
      <c r="G333" s="5"/>
    </row>
    <row r="334" ht="15.75" customHeight="1">
      <c r="A334" s="5"/>
      <c r="B334" s="5"/>
      <c r="C334" s="5"/>
      <c r="D334" s="5"/>
      <c r="E334" s="5"/>
      <c r="F334" s="5"/>
      <c r="G334" s="5"/>
    </row>
    <row r="335" ht="15.75" customHeight="1">
      <c r="A335" s="5"/>
      <c r="B335" s="5"/>
      <c r="C335" s="5"/>
      <c r="D335" s="5"/>
      <c r="E335" s="5"/>
      <c r="F335" s="5"/>
      <c r="G335" s="5"/>
    </row>
    <row r="336" ht="15.75" customHeight="1">
      <c r="A336" s="5"/>
      <c r="B336" s="5"/>
      <c r="C336" s="5"/>
      <c r="D336" s="5"/>
      <c r="E336" s="5"/>
      <c r="F336" s="5"/>
      <c r="G336" s="5"/>
    </row>
    <row r="337" ht="15.75" customHeight="1">
      <c r="A337" s="5"/>
      <c r="B337" s="5"/>
      <c r="C337" s="5"/>
      <c r="D337" s="5"/>
      <c r="E337" s="5"/>
      <c r="F337" s="5"/>
      <c r="G337" s="5"/>
    </row>
    <row r="338" ht="15.75" customHeight="1">
      <c r="A338" s="5"/>
      <c r="B338" s="5"/>
      <c r="C338" s="5"/>
      <c r="D338" s="5"/>
      <c r="E338" s="5"/>
      <c r="F338" s="5"/>
      <c r="G338" s="5"/>
    </row>
    <row r="339" ht="15.75" customHeight="1">
      <c r="A339" s="5"/>
      <c r="B339" s="5"/>
      <c r="C339" s="5"/>
      <c r="D339" s="5"/>
      <c r="E339" s="5"/>
      <c r="F339" s="5"/>
      <c r="G339" s="5"/>
    </row>
    <row r="340" ht="15.75" customHeight="1">
      <c r="A340" s="5"/>
      <c r="B340" s="5"/>
      <c r="C340" s="5"/>
      <c r="D340" s="5"/>
      <c r="E340" s="5"/>
      <c r="F340" s="5"/>
      <c r="G340" s="5"/>
    </row>
    <row r="341" ht="15.75" customHeight="1">
      <c r="A341" s="5"/>
      <c r="B341" s="5"/>
      <c r="C341" s="5"/>
      <c r="D341" s="5"/>
      <c r="E341" s="5"/>
      <c r="F341" s="5"/>
      <c r="G341" s="5"/>
    </row>
    <row r="342" ht="15.75" customHeight="1">
      <c r="A342" s="5"/>
      <c r="B342" s="5"/>
      <c r="C342" s="5"/>
      <c r="D342" s="5"/>
      <c r="E342" s="5"/>
      <c r="F342" s="5"/>
      <c r="G342" s="5"/>
    </row>
    <row r="343" ht="15.75" customHeight="1">
      <c r="A343" s="5"/>
      <c r="B343" s="5"/>
      <c r="C343" s="5"/>
      <c r="D343" s="5"/>
      <c r="E343" s="5"/>
      <c r="F343" s="5"/>
      <c r="G343" s="5"/>
    </row>
    <row r="344" ht="15.75" customHeight="1">
      <c r="A344" s="5"/>
      <c r="B344" s="5"/>
      <c r="C344" s="5"/>
      <c r="D344" s="5"/>
      <c r="E344" s="5"/>
      <c r="F344" s="5"/>
      <c r="G344" s="5"/>
    </row>
    <row r="345" ht="15.75" customHeight="1">
      <c r="A345" s="5"/>
      <c r="B345" s="5"/>
      <c r="C345" s="5"/>
      <c r="D345" s="5"/>
      <c r="E345" s="5"/>
      <c r="F345" s="5"/>
      <c r="G345" s="5"/>
    </row>
    <row r="346" ht="15.75" customHeight="1">
      <c r="A346" s="5"/>
      <c r="B346" s="5"/>
      <c r="C346" s="5"/>
      <c r="D346" s="5"/>
      <c r="E346" s="5"/>
      <c r="F346" s="5"/>
      <c r="G346" s="5"/>
    </row>
    <row r="347" ht="15.75" customHeight="1">
      <c r="A347" s="5"/>
      <c r="B347" s="5"/>
      <c r="C347" s="5"/>
      <c r="D347" s="5"/>
      <c r="E347" s="5"/>
      <c r="F347" s="5"/>
      <c r="G347" s="5"/>
    </row>
    <row r="348" ht="15.75" customHeight="1">
      <c r="A348" s="5"/>
      <c r="B348" s="5"/>
      <c r="C348" s="5"/>
      <c r="D348" s="5"/>
      <c r="E348" s="5"/>
      <c r="F348" s="5"/>
      <c r="G348" s="5"/>
    </row>
    <row r="349" ht="15.75" customHeight="1">
      <c r="A349" s="5"/>
      <c r="B349" s="5"/>
      <c r="C349" s="5"/>
      <c r="D349" s="5"/>
      <c r="E349" s="5"/>
      <c r="F349" s="5"/>
      <c r="G349" s="5"/>
    </row>
    <row r="350" ht="15.75" customHeight="1">
      <c r="A350" s="5"/>
      <c r="B350" s="5"/>
      <c r="C350" s="5"/>
      <c r="D350" s="5"/>
      <c r="E350" s="5"/>
      <c r="F350" s="5"/>
      <c r="G350" s="5"/>
    </row>
    <row r="351" ht="15.75" customHeight="1">
      <c r="A351" s="5"/>
      <c r="B351" s="5"/>
      <c r="C351" s="5"/>
      <c r="D351" s="5"/>
      <c r="E351" s="5"/>
      <c r="F351" s="5"/>
      <c r="G351" s="5"/>
    </row>
    <row r="352" ht="15.75" customHeight="1">
      <c r="A352" s="5"/>
      <c r="B352" s="5"/>
      <c r="C352" s="5"/>
      <c r="D352" s="5"/>
      <c r="E352" s="5"/>
      <c r="F352" s="5"/>
      <c r="G352" s="5"/>
    </row>
    <row r="353" ht="15.75" customHeight="1">
      <c r="A353" s="5"/>
      <c r="B353" s="5"/>
      <c r="C353" s="5"/>
      <c r="D353" s="5"/>
      <c r="E353" s="5"/>
      <c r="F353" s="5"/>
      <c r="G353" s="5"/>
    </row>
    <row r="354" ht="15.75" customHeight="1">
      <c r="A354" s="5"/>
      <c r="B354" s="5"/>
      <c r="C354" s="5"/>
      <c r="D354" s="5"/>
      <c r="E354" s="5"/>
      <c r="F354" s="5"/>
      <c r="G354" s="5"/>
    </row>
    <row r="355" ht="15.75" customHeight="1">
      <c r="A355" s="5"/>
      <c r="B355" s="5"/>
      <c r="C355" s="5"/>
      <c r="D355" s="5"/>
      <c r="E355" s="5"/>
      <c r="F355" s="5"/>
      <c r="G355" s="5"/>
    </row>
    <row r="356" ht="15.75" customHeight="1">
      <c r="A356" s="5"/>
      <c r="B356" s="5"/>
      <c r="C356" s="5"/>
      <c r="D356" s="5"/>
      <c r="E356" s="5"/>
      <c r="F356" s="5"/>
      <c r="G356" s="5"/>
    </row>
    <row r="357" ht="15.75" customHeight="1">
      <c r="A357" s="5"/>
      <c r="B357" s="5"/>
      <c r="C357" s="5"/>
      <c r="D357" s="5"/>
      <c r="E357" s="5"/>
      <c r="F357" s="5"/>
      <c r="G357" s="5"/>
    </row>
    <row r="358" ht="15.75" customHeight="1">
      <c r="A358" s="5"/>
      <c r="B358" s="5"/>
      <c r="C358" s="5"/>
      <c r="D358" s="5"/>
      <c r="E358" s="5"/>
      <c r="F358" s="5"/>
      <c r="G358" s="5"/>
    </row>
    <row r="359" ht="15.75" customHeight="1">
      <c r="A359" s="5"/>
      <c r="B359" s="5"/>
      <c r="C359" s="5"/>
      <c r="D359" s="5"/>
      <c r="E359" s="5"/>
      <c r="F359" s="5"/>
      <c r="G359" s="5"/>
    </row>
    <row r="360" ht="15.75" customHeight="1">
      <c r="A360" s="5"/>
      <c r="B360" s="5"/>
      <c r="C360" s="5"/>
      <c r="D360" s="5"/>
      <c r="E360" s="5"/>
      <c r="F360" s="5"/>
      <c r="G360" s="5"/>
    </row>
    <row r="361" ht="15.75" customHeight="1">
      <c r="A361" s="5"/>
      <c r="B361" s="5"/>
      <c r="C361" s="5"/>
      <c r="D361" s="5"/>
      <c r="E361" s="5"/>
      <c r="F361" s="5"/>
      <c r="G361" s="5"/>
    </row>
    <row r="362" ht="15.75" customHeight="1">
      <c r="A362" s="5"/>
      <c r="B362" s="5"/>
      <c r="C362" s="5"/>
      <c r="D362" s="5"/>
      <c r="E362" s="5"/>
      <c r="F362" s="5"/>
      <c r="G362" s="5"/>
    </row>
    <row r="363" ht="15.75" customHeight="1">
      <c r="A363" s="5"/>
      <c r="B363" s="5"/>
      <c r="C363" s="5"/>
      <c r="D363" s="5"/>
      <c r="E363" s="5"/>
      <c r="F363" s="5"/>
      <c r="G363" s="5"/>
    </row>
    <row r="364" ht="15.75" customHeight="1">
      <c r="A364" s="5"/>
      <c r="B364" s="5"/>
      <c r="C364" s="5"/>
      <c r="D364" s="5"/>
      <c r="E364" s="5"/>
      <c r="F364" s="5"/>
      <c r="G364" s="5"/>
    </row>
    <row r="365" ht="15.75" customHeight="1">
      <c r="A365" s="5"/>
      <c r="B365" s="5"/>
      <c r="C365" s="5"/>
      <c r="D365" s="5"/>
      <c r="E365" s="5"/>
      <c r="F365" s="5"/>
      <c r="G365" s="5"/>
    </row>
    <row r="366" ht="15.75" customHeight="1">
      <c r="A366" s="5"/>
      <c r="B366" s="5"/>
      <c r="C366" s="5"/>
      <c r="D366" s="5"/>
      <c r="E366" s="5"/>
      <c r="F366" s="5"/>
      <c r="G366" s="5"/>
    </row>
    <row r="367" ht="15.75" customHeight="1">
      <c r="A367" s="5"/>
      <c r="B367" s="5"/>
      <c r="C367" s="5"/>
      <c r="D367" s="5"/>
      <c r="E367" s="5"/>
      <c r="F367" s="5"/>
      <c r="G367" s="5"/>
    </row>
    <row r="368" ht="15.75" customHeight="1">
      <c r="A368" s="5"/>
      <c r="B368" s="5"/>
      <c r="C368" s="5"/>
      <c r="D368" s="5"/>
      <c r="E368" s="5"/>
      <c r="F368" s="5"/>
      <c r="G368" s="5"/>
    </row>
    <row r="369" ht="15.75" customHeight="1">
      <c r="A369" s="5"/>
      <c r="B369" s="5"/>
      <c r="C369" s="5"/>
      <c r="D369" s="5"/>
      <c r="E369" s="5"/>
      <c r="F369" s="5"/>
      <c r="G369" s="5"/>
    </row>
    <row r="370" ht="15.75" customHeight="1">
      <c r="A370" s="5"/>
      <c r="B370" s="5"/>
      <c r="C370" s="5"/>
      <c r="D370" s="5"/>
      <c r="E370" s="5"/>
      <c r="F370" s="5"/>
      <c r="G370" s="5"/>
    </row>
    <row r="371" ht="15.75" customHeight="1">
      <c r="A371" s="5"/>
      <c r="B371" s="5"/>
      <c r="C371" s="5"/>
      <c r="D371" s="5"/>
      <c r="E371" s="5"/>
      <c r="F371" s="5"/>
      <c r="G371" s="5"/>
    </row>
    <row r="372" ht="15.75" customHeight="1">
      <c r="A372" s="5"/>
      <c r="B372" s="5"/>
      <c r="C372" s="5"/>
      <c r="D372" s="5"/>
      <c r="E372" s="5"/>
      <c r="F372" s="5"/>
      <c r="G372" s="5"/>
    </row>
    <row r="373" ht="15.75" customHeight="1">
      <c r="A373" s="5"/>
      <c r="B373" s="5"/>
      <c r="C373" s="5"/>
      <c r="D373" s="5"/>
      <c r="E373" s="5"/>
      <c r="F373" s="5"/>
      <c r="G373" s="5"/>
    </row>
    <row r="374" ht="15.75" customHeight="1">
      <c r="A374" s="5"/>
      <c r="B374" s="5"/>
      <c r="C374" s="5"/>
      <c r="D374" s="5"/>
      <c r="E374" s="5"/>
      <c r="F374" s="5"/>
      <c r="G374" s="5"/>
    </row>
    <row r="375" ht="15.75" customHeight="1">
      <c r="A375" s="5"/>
      <c r="B375" s="5"/>
      <c r="C375" s="5"/>
      <c r="D375" s="5"/>
      <c r="E375" s="5"/>
      <c r="F375" s="5"/>
      <c r="G375" s="5"/>
    </row>
    <row r="376" ht="15.75" customHeight="1">
      <c r="A376" s="5"/>
      <c r="B376" s="5"/>
      <c r="C376" s="5"/>
      <c r="D376" s="5"/>
      <c r="E376" s="5"/>
      <c r="F376" s="5"/>
      <c r="G376" s="5"/>
    </row>
    <row r="377" ht="15.75" customHeight="1">
      <c r="A377" s="5"/>
      <c r="B377" s="5"/>
      <c r="C377" s="5"/>
      <c r="D377" s="5"/>
      <c r="E377" s="5"/>
      <c r="F377" s="5"/>
      <c r="G377" s="5"/>
    </row>
    <row r="378" ht="15.75" customHeight="1">
      <c r="A378" s="5"/>
      <c r="B378" s="5"/>
      <c r="C378" s="5"/>
      <c r="D378" s="5"/>
      <c r="E378" s="5"/>
      <c r="F378" s="5"/>
      <c r="G378" s="5"/>
    </row>
    <row r="379" ht="15.75" customHeight="1">
      <c r="A379" s="5"/>
      <c r="B379" s="5"/>
      <c r="C379" s="5"/>
      <c r="D379" s="5"/>
      <c r="E379" s="5"/>
      <c r="F379" s="5"/>
      <c r="G379" s="5"/>
    </row>
    <row r="380" ht="15.75" customHeight="1">
      <c r="A380" s="5"/>
      <c r="B380" s="5"/>
      <c r="C380" s="5"/>
      <c r="D380" s="5"/>
      <c r="E380" s="5"/>
      <c r="F380" s="5"/>
      <c r="G380" s="5"/>
    </row>
    <row r="381" ht="15.75" customHeight="1">
      <c r="A381" s="5"/>
      <c r="B381" s="5"/>
      <c r="C381" s="5"/>
      <c r="D381" s="5"/>
      <c r="E381" s="5"/>
      <c r="F381" s="5"/>
      <c r="G381" s="5"/>
    </row>
    <row r="382" ht="15.75" customHeight="1">
      <c r="A382" s="5"/>
      <c r="B382" s="5"/>
      <c r="C382" s="5"/>
      <c r="D382" s="5"/>
      <c r="E382" s="5"/>
      <c r="F382" s="5"/>
      <c r="G382" s="5"/>
    </row>
    <row r="383" ht="15.75" customHeight="1">
      <c r="A383" s="5"/>
      <c r="B383" s="5"/>
      <c r="C383" s="5"/>
      <c r="D383" s="5"/>
      <c r="E383" s="5"/>
      <c r="F383" s="5"/>
      <c r="G383" s="5"/>
    </row>
    <row r="384" ht="15.75" customHeight="1">
      <c r="A384" s="5"/>
      <c r="B384" s="5"/>
      <c r="C384" s="5"/>
      <c r="D384" s="5"/>
      <c r="E384" s="5"/>
      <c r="F384" s="5"/>
      <c r="G384" s="5"/>
    </row>
    <row r="385" ht="15.75" customHeight="1">
      <c r="A385" s="5"/>
      <c r="B385" s="5"/>
      <c r="C385" s="5"/>
      <c r="D385" s="5"/>
      <c r="E385" s="5"/>
      <c r="F385" s="5"/>
      <c r="G385" s="5"/>
    </row>
    <row r="386" ht="15.75" customHeight="1">
      <c r="A386" s="5"/>
      <c r="B386" s="5"/>
      <c r="C386" s="5"/>
      <c r="D386" s="5"/>
      <c r="E386" s="5"/>
      <c r="F386" s="5"/>
      <c r="G386" s="5"/>
    </row>
    <row r="387" ht="15.75" customHeight="1">
      <c r="A387" s="5"/>
      <c r="B387" s="5"/>
      <c r="C387" s="5"/>
      <c r="D387" s="5"/>
      <c r="E387" s="5"/>
      <c r="F387" s="5"/>
      <c r="G387" s="5"/>
    </row>
    <row r="388" ht="15.75" customHeight="1">
      <c r="A388" s="5"/>
      <c r="B388" s="5"/>
      <c r="C388" s="5"/>
      <c r="D388" s="5"/>
      <c r="E388" s="5"/>
      <c r="F388" s="5"/>
      <c r="G388" s="5"/>
    </row>
    <row r="389" ht="15.75" customHeight="1">
      <c r="A389" s="5"/>
      <c r="B389" s="5"/>
      <c r="C389" s="5"/>
      <c r="D389" s="5"/>
      <c r="E389" s="5"/>
      <c r="F389" s="5"/>
      <c r="G389" s="5"/>
    </row>
    <row r="390" ht="15.75" customHeight="1">
      <c r="A390" s="5"/>
      <c r="B390" s="5"/>
      <c r="C390" s="5"/>
      <c r="D390" s="5"/>
      <c r="E390" s="5"/>
      <c r="F390" s="5"/>
      <c r="G390" s="5"/>
    </row>
    <row r="391" ht="15.75" customHeight="1">
      <c r="A391" s="5"/>
      <c r="B391" s="5"/>
      <c r="C391" s="5"/>
      <c r="D391" s="5"/>
      <c r="E391" s="5"/>
      <c r="F391" s="5"/>
      <c r="G391" s="5"/>
    </row>
    <row r="392" ht="15.75" customHeight="1">
      <c r="A392" s="5"/>
      <c r="B392" s="5"/>
      <c r="C392" s="5"/>
      <c r="D392" s="5"/>
      <c r="E392" s="5"/>
      <c r="F392" s="5"/>
      <c r="G392" s="5"/>
    </row>
    <row r="393" ht="15.75" customHeight="1">
      <c r="A393" s="5"/>
      <c r="B393" s="5"/>
      <c r="C393" s="5"/>
      <c r="D393" s="5"/>
      <c r="E393" s="5"/>
      <c r="F393" s="5"/>
      <c r="G393" s="5"/>
    </row>
    <row r="394" ht="15.75" customHeight="1">
      <c r="A394" s="5"/>
      <c r="B394" s="5"/>
      <c r="C394" s="5"/>
      <c r="D394" s="5"/>
      <c r="E394" s="5"/>
      <c r="F394" s="5"/>
      <c r="G394" s="5"/>
    </row>
    <row r="395" ht="15.75" customHeight="1">
      <c r="A395" s="5"/>
      <c r="B395" s="5"/>
      <c r="C395" s="5"/>
      <c r="D395" s="5"/>
      <c r="E395" s="5"/>
      <c r="F395" s="5"/>
      <c r="G395" s="5"/>
    </row>
    <row r="396" ht="15.75" customHeight="1">
      <c r="A396" s="5"/>
      <c r="B396" s="5"/>
      <c r="C396" s="5"/>
      <c r="D396" s="5"/>
      <c r="E396" s="5"/>
      <c r="F396" s="5"/>
      <c r="G396" s="5"/>
    </row>
    <row r="397" ht="15.75" customHeight="1">
      <c r="A397" s="5"/>
      <c r="B397" s="5"/>
      <c r="C397" s="5"/>
      <c r="D397" s="5"/>
      <c r="E397" s="5"/>
      <c r="F397" s="5"/>
      <c r="G397" s="5"/>
    </row>
    <row r="398" ht="15.75" customHeight="1">
      <c r="A398" s="5"/>
      <c r="B398" s="5"/>
      <c r="C398" s="5"/>
      <c r="D398" s="5"/>
      <c r="E398" s="5"/>
      <c r="F398" s="5"/>
      <c r="G398" s="5"/>
    </row>
    <row r="399" ht="15.75" customHeight="1">
      <c r="A399" s="5"/>
      <c r="B399" s="5"/>
      <c r="C399" s="5"/>
      <c r="D399" s="5"/>
      <c r="E399" s="5"/>
      <c r="F399" s="5"/>
      <c r="G399" s="5"/>
    </row>
    <row r="400" ht="15.75" customHeight="1">
      <c r="A400" s="5"/>
      <c r="B400" s="5"/>
      <c r="C400" s="5"/>
      <c r="D400" s="5"/>
      <c r="E400" s="5"/>
      <c r="F400" s="5"/>
      <c r="G400" s="5"/>
    </row>
    <row r="401" ht="15.75" customHeight="1">
      <c r="A401" s="5"/>
      <c r="B401" s="5"/>
      <c r="C401" s="5"/>
      <c r="D401" s="5"/>
      <c r="E401" s="5"/>
      <c r="F401" s="5"/>
      <c r="G401" s="5"/>
    </row>
    <row r="402" ht="15.75" customHeight="1">
      <c r="A402" s="5"/>
      <c r="B402" s="5"/>
      <c r="C402" s="5"/>
      <c r="D402" s="5"/>
      <c r="E402" s="5"/>
      <c r="F402" s="5"/>
      <c r="G402" s="5"/>
    </row>
    <row r="403" ht="15.75" customHeight="1">
      <c r="A403" s="5"/>
      <c r="B403" s="5"/>
      <c r="C403" s="5"/>
      <c r="D403" s="5"/>
      <c r="E403" s="5"/>
      <c r="F403" s="5"/>
      <c r="G403" s="5"/>
    </row>
    <row r="404" ht="15.75" customHeight="1">
      <c r="A404" s="5"/>
      <c r="B404" s="5"/>
      <c r="C404" s="5"/>
      <c r="D404" s="5"/>
      <c r="E404" s="5"/>
      <c r="F404" s="5"/>
      <c r="G404" s="5"/>
    </row>
    <row r="405" ht="15.75" customHeight="1">
      <c r="A405" s="5"/>
      <c r="B405" s="5"/>
      <c r="C405" s="5"/>
      <c r="D405" s="5"/>
      <c r="E405" s="5"/>
      <c r="F405" s="5"/>
      <c r="G405" s="5"/>
    </row>
    <row r="406" ht="15.75" customHeight="1">
      <c r="A406" s="5"/>
      <c r="B406" s="5"/>
      <c r="C406" s="5"/>
      <c r="D406" s="5"/>
      <c r="E406" s="5"/>
      <c r="F406" s="5"/>
      <c r="G406" s="5"/>
    </row>
    <row r="407" ht="15.75" customHeight="1">
      <c r="A407" s="5"/>
      <c r="B407" s="5"/>
      <c r="C407" s="5"/>
      <c r="D407" s="5"/>
      <c r="E407" s="5"/>
      <c r="F407" s="5"/>
      <c r="G407" s="5"/>
    </row>
    <row r="408" ht="15.75" customHeight="1">
      <c r="A408" s="5"/>
      <c r="B408" s="5"/>
      <c r="C408" s="5"/>
      <c r="D408" s="5"/>
      <c r="E408" s="5"/>
      <c r="F408" s="5"/>
      <c r="G408" s="5"/>
    </row>
    <row r="409" ht="15.75" customHeight="1">
      <c r="A409" s="5"/>
      <c r="B409" s="5"/>
      <c r="C409" s="5"/>
      <c r="D409" s="5"/>
      <c r="E409" s="5"/>
      <c r="F409" s="5"/>
      <c r="G409" s="5"/>
    </row>
    <row r="410" ht="15.75" customHeight="1">
      <c r="A410" s="5"/>
      <c r="B410" s="5"/>
      <c r="C410" s="5"/>
      <c r="D410" s="5"/>
      <c r="E410" s="5"/>
      <c r="F410" s="5"/>
      <c r="G410" s="5"/>
    </row>
    <row r="411" ht="15.75" customHeight="1">
      <c r="A411" s="5"/>
      <c r="B411" s="5"/>
      <c r="C411" s="5"/>
      <c r="D411" s="5"/>
      <c r="E411" s="5"/>
      <c r="F411" s="5"/>
      <c r="G411" s="5"/>
    </row>
    <row r="412" ht="15.75" customHeight="1">
      <c r="A412" s="5"/>
      <c r="B412" s="5"/>
      <c r="C412" s="5"/>
      <c r="D412" s="5"/>
      <c r="E412" s="5"/>
      <c r="F412" s="5"/>
      <c r="G412" s="5"/>
    </row>
    <row r="413" ht="15.75" customHeight="1">
      <c r="A413" s="5"/>
      <c r="B413" s="5"/>
      <c r="C413" s="5"/>
      <c r="D413" s="5"/>
      <c r="E413" s="5"/>
      <c r="F413" s="5"/>
      <c r="G413" s="5"/>
    </row>
    <row r="414" ht="15.75" customHeight="1">
      <c r="A414" s="5"/>
      <c r="B414" s="5"/>
      <c r="C414" s="5"/>
      <c r="D414" s="5"/>
      <c r="E414" s="5"/>
      <c r="F414" s="5"/>
      <c r="G414" s="5"/>
    </row>
    <row r="415" ht="15.75" customHeight="1">
      <c r="A415" s="5"/>
      <c r="B415" s="5"/>
      <c r="C415" s="5"/>
      <c r="D415" s="5"/>
      <c r="E415" s="5"/>
      <c r="F415" s="5"/>
      <c r="G415" s="5"/>
    </row>
    <row r="416" ht="15.75" customHeight="1">
      <c r="A416" s="5"/>
      <c r="B416" s="5"/>
      <c r="C416" s="5"/>
      <c r="D416" s="5"/>
      <c r="E416" s="5"/>
      <c r="F416" s="5"/>
      <c r="G416" s="5"/>
    </row>
    <row r="417" ht="15.75" customHeight="1">
      <c r="A417" s="5"/>
      <c r="B417" s="5"/>
      <c r="C417" s="5"/>
      <c r="D417" s="5"/>
      <c r="E417" s="5"/>
      <c r="F417" s="5"/>
      <c r="G417" s="5"/>
    </row>
    <row r="418" ht="15.75" customHeight="1">
      <c r="A418" s="5"/>
      <c r="B418" s="5"/>
      <c r="C418" s="5"/>
      <c r="D418" s="5"/>
      <c r="E418" s="5"/>
      <c r="F418" s="5"/>
      <c r="G418" s="5"/>
    </row>
    <row r="419" ht="15.75" customHeight="1">
      <c r="A419" s="5"/>
      <c r="B419" s="5"/>
      <c r="C419" s="5"/>
      <c r="D419" s="5"/>
      <c r="E419" s="5"/>
      <c r="F419" s="5"/>
      <c r="G419" s="5"/>
    </row>
    <row r="420" ht="15.75" customHeight="1">
      <c r="A420" s="5"/>
      <c r="B420" s="5"/>
      <c r="C420" s="5"/>
      <c r="D420" s="5"/>
      <c r="E420" s="5"/>
      <c r="F420" s="5"/>
      <c r="G420" s="5"/>
    </row>
    <row r="421" ht="15.75" customHeight="1">
      <c r="A421" s="5"/>
      <c r="B421" s="5"/>
      <c r="C421" s="5"/>
      <c r="D421" s="5"/>
      <c r="E421" s="5"/>
      <c r="F421" s="5"/>
      <c r="G421" s="5"/>
    </row>
    <row r="422" ht="15.75" customHeight="1">
      <c r="A422" s="5"/>
      <c r="B422" s="5"/>
      <c r="C422" s="5"/>
      <c r="D422" s="5"/>
      <c r="E422" s="5"/>
      <c r="F422" s="5"/>
      <c r="G422" s="5"/>
    </row>
    <row r="423" ht="15.75" customHeight="1">
      <c r="A423" s="5"/>
      <c r="B423" s="5"/>
      <c r="C423" s="5"/>
      <c r="D423" s="5"/>
      <c r="E423" s="5"/>
      <c r="F423" s="5"/>
      <c r="G423" s="5"/>
    </row>
    <row r="424" ht="15.75" customHeight="1">
      <c r="A424" s="5"/>
      <c r="B424" s="5"/>
      <c r="C424" s="5"/>
      <c r="D424" s="5"/>
      <c r="E424" s="5"/>
      <c r="F424" s="5"/>
      <c r="G424" s="5"/>
    </row>
    <row r="425" ht="15.75" customHeight="1">
      <c r="A425" s="5"/>
      <c r="B425" s="5"/>
      <c r="C425" s="5"/>
      <c r="D425" s="5"/>
      <c r="E425" s="5"/>
      <c r="F425" s="5"/>
      <c r="G425" s="5"/>
    </row>
    <row r="426" ht="15.75" customHeight="1">
      <c r="A426" s="5"/>
      <c r="B426" s="5"/>
      <c r="C426" s="5"/>
      <c r="D426" s="5"/>
      <c r="E426" s="5"/>
      <c r="F426" s="5"/>
      <c r="G426" s="5"/>
    </row>
    <row r="427" ht="15.75" customHeight="1">
      <c r="A427" s="5"/>
      <c r="B427" s="5"/>
      <c r="C427" s="5"/>
      <c r="D427" s="5"/>
      <c r="E427" s="5"/>
      <c r="F427" s="5"/>
      <c r="G427" s="5"/>
    </row>
    <row r="428" ht="15.75" customHeight="1">
      <c r="A428" s="5"/>
      <c r="B428" s="5"/>
      <c r="C428" s="5"/>
      <c r="D428" s="5"/>
      <c r="E428" s="5"/>
      <c r="F428" s="5"/>
      <c r="G428" s="5"/>
    </row>
    <row r="429" ht="15.75" customHeight="1">
      <c r="A429" s="5"/>
      <c r="B429" s="5"/>
      <c r="C429" s="5"/>
      <c r="D429" s="5"/>
      <c r="E429" s="5"/>
      <c r="F429" s="5"/>
      <c r="G429" s="5"/>
    </row>
    <row r="430" ht="15.75" customHeight="1">
      <c r="A430" s="5"/>
      <c r="B430" s="5"/>
      <c r="C430" s="5"/>
      <c r="D430" s="5"/>
      <c r="E430" s="5"/>
      <c r="F430" s="5"/>
      <c r="G430" s="5"/>
    </row>
    <row r="431" ht="15.75" customHeight="1">
      <c r="A431" s="5"/>
      <c r="B431" s="5"/>
      <c r="C431" s="5"/>
      <c r="D431" s="5"/>
      <c r="E431" s="5"/>
      <c r="F431" s="5"/>
      <c r="G431" s="5"/>
    </row>
    <row r="432" ht="15.75" customHeight="1">
      <c r="A432" s="5"/>
      <c r="B432" s="5"/>
      <c r="C432" s="5"/>
      <c r="D432" s="5"/>
      <c r="E432" s="5"/>
      <c r="F432" s="5"/>
      <c r="G432" s="5"/>
    </row>
    <row r="433" ht="15.75" customHeight="1">
      <c r="A433" s="5"/>
      <c r="B433" s="5"/>
      <c r="C433" s="5"/>
      <c r="D433" s="5"/>
      <c r="E433" s="5"/>
      <c r="F433" s="5"/>
      <c r="G433" s="5"/>
    </row>
    <row r="434" ht="15.75" customHeight="1">
      <c r="A434" s="5"/>
      <c r="B434" s="5"/>
      <c r="C434" s="5"/>
      <c r="D434" s="5"/>
      <c r="E434" s="5"/>
      <c r="F434" s="5"/>
      <c r="G434" s="5"/>
    </row>
    <row r="435" ht="15.75" customHeight="1">
      <c r="A435" s="5"/>
      <c r="B435" s="5"/>
      <c r="C435" s="5"/>
      <c r="D435" s="5"/>
      <c r="E435" s="5"/>
      <c r="F435" s="5"/>
      <c r="G435" s="5"/>
    </row>
    <row r="436" ht="15.75" customHeight="1">
      <c r="A436" s="5"/>
      <c r="B436" s="5"/>
      <c r="C436" s="5"/>
      <c r="D436" s="5"/>
      <c r="E436" s="5"/>
      <c r="F436" s="5"/>
      <c r="G436" s="5"/>
    </row>
    <row r="437" ht="15.75" customHeight="1">
      <c r="A437" s="5"/>
      <c r="B437" s="5"/>
      <c r="C437" s="5"/>
      <c r="D437" s="5"/>
      <c r="E437" s="5"/>
      <c r="F437" s="5"/>
      <c r="G437" s="5"/>
    </row>
    <row r="438" ht="15.75" customHeight="1">
      <c r="A438" s="5"/>
      <c r="B438" s="5"/>
      <c r="C438" s="5"/>
      <c r="D438" s="5"/>
      <c r="E438" s="5"/>
      <c r="F438" s="5"/>
      <c r="G438" s="5"/>
    </row>
    <row r="439" ht="15.75" customHeight="1">
      <c r="A439" s="5"/>
      <c r="B439" s="5"/>
      <c r="C439" s="5"/>
      <c r="D439" s="5"/>
      <c r="E439" s="5"/>
      <c r="F439" s="5"/>
      <c r="G439" s="5"/>
    </row>
    <row r="440" ht="15.75" customHeight="1">
      <c r="A440" s="5"/>
      <c r="B440" s="5"/>
      <c r="C440" s="5"/>
      <c r="D440" s="5"/>
      <c r="E440" s="5"/>
      <c r="F440" s="5"/>
      <c r="G440" s="5"/>
    </row>
    <row r="441" ht="15.75" customHeight="1">
      <c r="A441" s="5"/>
      <c r="B441" s="5"/>
      <c r="C441" s="5"/>
      <c r="D441" s="5"/>
      <c r="E441" s="5"/>
      <c r="F441" s="5"/>
      <c r="G441" s="5"/>
    </row>
    <row r="442" ht="15.75" customHeight="1">
      <c r="A442" s="5"/>
      <c r="B442" s="5"/>
      <c r="C442" s="5"/>
      <c r="D442" s="5"/>
      <c r="E442" s="5"/>
      <c r="F442" s="5"/>
      <c r="G442" s="5"/>
    </row>
    <row r="443" ht="15.75" customHeight="1">
      <c r="A443" s="5"/>
      <c r="B443" s="5"/>
      <c r="C443" s="5"/>
      <c r="D443" s="5"/>
      <c r="E443" s="5"/>
      <c r="F443" s="5"/>
      <c r="G443" s="5"/>
    </row>
    <row r="444" ht="15.75" customHeight="1">
      <c r="A444" s="5"/>
      <c r="B444" s="5"/>
      <c r="C444" s="5"/>
      <c r="D444" s="5"/>
      <c r="E444" s="5"/>
      <c r="F444" s="5"/>
      <c r="G444" s="5"/>
    </row>
    <row r="445" ht="15.75" customHeight="1">
      <c r="A445" s="5"/>
      <c r="B445" s="5"/>
      <c r="C445" s="5"/>
      <c r="D445" s="5"/>
      <c r="E445" s="5"/>
      <c r="F445" s="5"/>
      <c r="G445" s="5"/>
    </row>
    <row r="446" ht="15.75" customHeight="1">
      <c r="A446" s="5"/>
      <c r="B446" s="5"/>
      <c r="C446" s="5"/>
      <c r="D446" s="5"/>
      <c r="E446" s="5"/>
      <c r="F446" s="5"/>
      <c r="G446" s="5"/>
    </row>
    <row r="447" ht="15.75" customHeight="1">
      <c r="A447" s="5"/>
      <c r="B447" s="5"/>
      <c r="C447" s="5"/>
      <c r="D447" s="5"/>
      <c r="E447" s="5"/>
      <c r="F447" s="5"/>
      <c r="G447" s="5"/>
    </row>
    <row r="448" ht="15.75" customHeight="1">
      <c r="A448" s="5"/>
      <c r="B448" s="5"/>
      <c r="C448" s="5"/>
      <c r="D448" s="5"/>
      <c r="E448" s="5"/>
      <c r="F448" s="5"/>
      <c r="G448" s="5"/>
    </row>
    <row r="449" ht="15.75" customHeight="1">
      <c r="A449" s="5"/>
      <c r="B449" s="5"/>
      <c r="C449" s="5"/>
      <c r="D449" s="5"/>
      <c r="E449" s="5"/>
      <c r="F449" s="5"/>
      <c r="G449" s="5"/>
    </row>
    <row r="450" ht="15.75" customHeight="1">
      <c r="A450" s="5"/>
      <c r="B450" s="5"/>
      <c r="C450" s="5"/>
      <c r="D450" s="5"/>
      <c r="E450" s="5"/>
      <c r="F450" s="5"/>
      <c r="G450" s="5"/>
    </row>
    <row r="451" ht="15.75" customHeight="1">
      <c r="A451" s="5"/>
      <c r="B451" s="5"/>
      <c r="C451" s="5"/>
      <c r="D451" s="5"/>
      <c r="E451" s="5"/>
      <c r="F451" s="5"/>
      <c r="G451" s="5"/>
    </row>
    <row r="452" ht="15.75" customHeight="1">
      <c r="A452" s="5"/>
      <c r="B452" s="5"/>
      <c r="C452" s="5"/>
      <c r="D452" s="5"/>
      <c r="E452" s="5"/>
      <c r="F452" s="5"/>
      <c r="G452" s="5"/>
    </row>
    <row r="453" ht="15.75" customHeight="1">
      <c r="A453" s="5"/>
      <c r="B453" s="5"/>
      <c r="C453" s="5"/>
      <c r="D453" s="5"/>
      <c r="E453" s="5"/>
      <c r="F453" s="5"/>
      <c r="G453" s="5"/>
    </row>
    <row r="454" ht="15.75" customHeight="1">
      <c r="A454" s="5"/>
      <c r="B454" s="5"/>
      <c r="C454" s="5"/>
      <c r="D454" s="5"/>
      <c r="E454" s="5"/>
      <c r="F454" s="5"/>
      <c r="G454" s="5"/>
    </row>
    <row r="455" ht="15.75" customHeight="1">
      <c r="A455" s="5"/>
      <c r="B455" s="5"/>
      <c r="C455" s="5"/>
      <c r="D455" s="5"/>
      <c r="E455" s="5"/>
      <c r="F455" s="5"/>
      <c r="G455" s="5"/>
    </row>
    <row r="456" ht="15.75" customHeight="1">
      <c r="A456" s="5"/>
      <c r="B456" s="5"/>
      <c r="C456" s="5"/>
      <c r="D456" s="5"/>
      <c r="E456" s="5"/>
      <c r="F456" s="5"/>
      <c r="G456" s="5"/>
    </row>
    <row r="457" ht="15.75" customHeight="1">
      <c r="A457" s="5"/>
      <c r="B457" s="5"/>
      <c r="C457" s="5"/>
      <c r="D457" s="5"/>
      <c r="E457" s="5"/>
      <c r="F457" s="5"/>
      <c r="G457" s="5"/>
    </row>
    <row r="458" ht="15.75" customHeight="1">
      <c r="A458" s="5"/>
      <c r="B458" s="5"/>
      <c r="C458" s="5"/>
      <c r="D458" s="5"/>
      <c r="E458" s="5"/>
      <c r="F458" s="5"/>
      <c r="G458" s="5"/>
    </row>
    <row r="459" ht="15.75" customHeight="1">
      <c r="A459" s="5"/>
      <c r="B459" s="5"/>
      <c r="C459" s="5"/>
      <c r="D459" s="5"/>
      <c r="E459" s="5"/>
      <c r="F459" s="5"/>
      <c r="G459" s="5"/>
    </row>
    <row r="460" ht="15.75" customHeight="1">
      <c r="A460" s="5"/>
      <c r="B460" s="5"/>
      <c r="C460" s="5"/>
      <c r="D460" s="5"/>
      <c r="E460" s="5"/>
      <c r="F460" s="5"/>
      <c r="G460" s="5"/>
    </row>
    <row r="461" ht="15.75" customHeight="1">
      <c r="A461" s="5"/>
      <c r="B461" s="5"/>
      <c r="C461" s="5"/>
      <c r="D461" s="5"/>
      <c r="E461" s="5"/>
      <c r="F461" s="5"/>
      <c r="G461" s="5"/>
    </row>
    <row r="462" ht="15.75" customHeight="1">
      <c r="A462" s="5"/>
      <c r="B462" s="5"/>
      <c r="C462" s="5"/>
      <c r="D462" s="5"/>
      <c r="E462" s="5"/>
      <c r="F462" s="5"/>
      <c r="G462" s="5"/>
    </row>
    <row r="463" ht="15.75" customHeight="1">
      <c r="A463" s="5"/>
      <c r="B463" s="5"/>
      <c r="C463" s="5"/>
      <c r="D463" s="5"/>
      <c r="E463" s="5"/>
      <c r="F463" s="5"/>
      <c r="G463" s="5"/>
    </row>
    <row r="464" ht="15.75" customHeight="1">
      <c r="A464" s="5"/>
      <c r="B464" s="5"/>
      <c r="C464" s="5"/>
      <c r="D464" s="5"/>
      <c r="E464" s="5"/>
      <c r="F464" s="5"/>
      <c r="G464" s="5"/>
    </row>
    <row r="465" ht="15.75" customHeight="1">
      <c r="A465" s="5"/>
      <c r="B465" s="5"/>
      <c r="C465" s="5"/>
      <c r="D465" s="5"/>
      <c r="E465" s="5"/>
      <c r="F465" s="5"/>
      <c r="G465" s="5"/>
    </row>
    <row r="466" ht="15.75" customHeight="1">
      <c r="A466" s="5"/>
      <c r="B466" s="5"/>
      <c r="C466" s="5"/>
      <c r="D466" s="5"/>
      <c r="E466" s="5"/>
      <c r="F466" s="5"/>
      <c r="G466" s="5"/>
    </row>
    <row r="467" ht="15.75" customHeight="1">
      <c r="A467" s="5"/>
      <c r="B467" s="5"/>
      <c r="C467" s="5"/>
      <c r="D467" s="5"/>
      <c r="E467" s="5"/>
      <c r="F467" s="5"/>
      <c r="G467" s="5"/>
    </row>
    <row r="468" ht="15.75" customHeight="1">
      <c r="A468" s="5"/>
      <c r="B468" s="5"/>
      <c r="C468" s="5"/>
      <c r="D468" s="5"/>
      <c r="E468" s="5"/>
      <c r="F468" s="5"/>
      <c r="G468" s="5"/>
    </row>
    <row r="469" ht="15.75" customHeight="1">
      <c r="A469" s="5"/>
      <c r="B469" s="5"/>
      <c r="C469" s="5"/>
      <c r="D469" s="5"/>
      <c r="E469" s="5"/>
      <c r="F469" s="5"/>
      <c r="G469" s="5"/>
    </row>
    <row r="470" ht="15.75" customHeight="1">
      <c r="A470" s="5"/>
      <c r="B470" s="5"/>
      <c r="C470" s="5"/>
      <c r="D470" s="5"/>
      <c r="E470" s="5"/>
      <c r="F470" s="5"/>
      <c r="G470" s="5"/>
    </row>
    <row r="471" ht="15.75" customHeight="1">
      <c r="A471" s="5"/>
      <c r="B471" s="5"/>
      <c r="C471" s="5"/>
      <c r="D471" s="5"/>
      <c r="E471" s="5"/>
      <c r="F471" s="5"/>
      <c r="G471" s="5"/>
    </row>
    <row r="472" ht="15.75" customHeight="1">
      <c r="A472" s="5"/>
      <c r="B472" s="5"/>
      <c r="C472" s="5"/>
      <c r="D472" s="5"/>
      <c r="E472" s="5"/>
      <c r="F472" s="5"/>
      <c r="G472" s="5"/>
    </row>
    <row r="473" ht="15.75" customHeight="1">
      <c r="A473" s="5"/>
      <c r="B473" s="5"/>
      <c r="C473" s="5"/>
      <c r="D473" s="5"/>
      <c r="E473" s="5"/>
      <c r="F473" s="5"/>
      <c r="G473" s="5"/>
    </row>
    <row r="474" ht="15.75" customHeight="1">
      <c r="A474" s="5"/>
      <c r="B474" s="5"/>
      <c r="C474" s="5"/>
      <c r="D474" s="5"/>
      <c r="E474" s="5"/>
      <c r="F474" s="5"/>
      <c r="G474" s="5"/>
    </row>
    <row r="475" ht="15.75" customHeight="1">
      <c r="A475" s="5"/>
      <c r="B475" s="5"/>
      <c r="C475" s="5"/>
      <c r="D475" s="5"/>
      <c r="E475" s="5"/>
      <c r="F475" s="5"/>
      <c r="G475" s="5"/>
    </row>
    <row r="476" ht="15.75" customHeight="1">
      <c r="A476" s="5"/>
      <c r="B476" s="5"/>
      <c r="C476" s="5"/>
      <c r="D476" s="5"/>
      <c r="E476" s="5"/>
      <c r="F476" s="5"/>
      <c r="G476" s="5"/>
    </row>
    <row r="477" ht="15.75" customHeight="1">
      <c r="A477" s="5"/>
      <c r="B477" s="5"/>
      <c r="C477" s="5"/>
      <c r="D477" s="5"/>
      <c r="E477" s="5"/>
      <c r="F477" s="5"/>
      <c r="G477" s="5"/>
    </row>
    <row r="478" ht="15.75" customHeight="1">
      <c r="A478" s="5"/>
      <c r="B478" s="5"/>
      <c r="C478" s="5"/>
      <c r="D478" s="5"/>
      <c r="E478" s="5"/>
      <c r="F478" s="5"/>
      <c r="G478" s="5"/>
    </row>
    <row r="479" ht="15.75" customHeight="1">
      <c r="A479" s="5"/>
      <c r="B479" s="5"/>
      <c r="C479" s="5"/>
      <c r="D479" s="5"/>
      <c r="E479" s="5"/>
      <c r="F479" s="5"/>
      <c r="G479" s="5"/>
    </row>
    <row r="480" ht="15.75" customHeight="1">
      <c r="A480" s="5"/>
      <c r="B480" s="5"/>
      <c r="C480" s="5"/>
      <c r="D480" s="5"/>
      <c r="E480" s="5"/>
      <c r="F480" s="5"/>
      <c r="G480" s="5"/>
    </row>
    <row r="481" ht="15.75" customHeight="1">
      <c r="A481" s="5"/>
      <c r="B481" s="5"/>
      <c r="C481" s="5"/>
      <c r="D481" s="5"/>
      <c r="E481" s="5"/>
      <c r="F481" s="5"/>
      <c r="G481" s="5"/>
    </row>
    <row r="482" ht="15.75" customHeight="1">
      <c r="A482" s="5"/>
      <c r="B482" s="5"/>
      <c r="C482" s="5"/>
      <c r="D482" s="5"/>
      <c r="E482" s="5"/>
      <c r="F482" s="5"/>
      <c r="G482" s="5"/>
    </row>
    <row r="483" ht="15.75" customHeight="1">
      <c r="A483" s="5"/>
      <c r="B483" s="5"/>
      <c r="C483" s="5"/>
      <c r="D483" s="5"/>
      <c r="E483" s="5"/>
      <c r="F483" s="5"/>
      <c r="G483" s="5"/>
    </row>
    <row r="484" ht="15.75" customHeight="1">
      <c r="A484" s="5"/>
      <c r="B484" s="5"/>
      <c r="C484" s="5"/>
      <c r="D484" s="5"/>
      <c r="E484" s="5"/>
      <c r="F484" s="5"/>
      <c r="G484" s="5"/>
    </row>
    <row r="485" ht="15.75" customHeight="1">
      <c r="A485" s="5"/>
      <c r="B485" s="5"/>
      <c r="C485" s="5"/>
      <c r="D485" s="5"/>
      <c r="E485" s="5"/>
      <c r="F485" s="5"/>
      <c r="G485" s="5"/>
    </row>
    <row r="486" ht="15.75" customHeight="1">
      <c r="A486" s="5"/>
      <c r="B486" s="5"/>
      <c r="C486" s="5"/>
      <c r="D486" s="5"/>
      <c r="E486" s="5"/>
      <c r="F486" s="5"/>
      <c r="G486" s="5"/>
    </row>
    <row r="487" ht="15.75" customHeight="1">
      <c r="A487" s="5"/>
      <c r="B487" s="5"/>
      <c r="C487" s="5"/>
      <c r="D487" s="5"/>
      <c r="E487" s="5"/>
      <c r="F487" s="5"/>
      <c r="G487" s="5"/>
    </row>
    <row r="488" ht="15.75" customHeight="1">
      <c r="A488" s="5"/>
      <c r="B488" s="5"/>
      <c r="C488" s="5"/>
      <c r="D488" s="5"/>
      <c r="E488" s="5"/>
      <c r="F488" s="5"/>
      <c r="G488" s="5"/>
    </row>
    <row r="489" ht="15.75" customHeight="1">
      <c r="A489" s="5"/>
      <c r="B489" s="5"/>
      <c r="C489" s="5"/>
      <c r="D489" s="5"/>
      <c r="E489" s="5"/>
      <c r="F489" s="5"/>
      <c r="G489" s="5"/>
    </row>
    <row r="490" ht="15.75" customHeight="1">
      <c r="A490" s="5"/>
      <c r="B490" s="5"/>
      <c r="C490" s="5"/>
      <c r="D490" s="5"/>
      <c r="E490" s="5"/>
      <c r="F490" s="5"/>
      <c r="G490" s="5"/>
    </row>
    <row r="491" ht="15.75" customHeight="1">
      <c r="A491" s="5"/>
      <c r="B491" s="5"/>
      <c r="C491" s="5"/>
      <c r="D491" s="5"/>
      <c r="E491" s="5"/>
      <c r="F491" s="5"/>
      <c r="G491" s="5"/>
    </row>
    <row r="492" ht="15.75" customHeight="1">
      <c r="A492" s="5"/>
      <c r="B492" s="5"/>
      <c r="C492" s="5"/>
      <c r="D492" s="5"/>
      <c r="E492" s="5"/>
      <c r="F492" s="5"/>
      <c r="G492" s="5"/>
    </row>
    <row r="493" ht="15.75" customHeight="1">
      <c r="A493" s="5"/>
      <c r="B493" s="5"/>
      <c r="C493" s="5"/>
      <c r="D493" s="5"/>
      <c r="E493" s="5"/>
      <c r="F493" s="5"/>
      <c r="G493" s="5"/>
    </row>
    <row r="494" ht="15.75" customHeight="1">
      <c r="A494" s="5"/>
      <c r="B494" s="5"/>
      <c r="C494" s="5"/>
      <c r="D494" s="5"/>
      <c r="E494" s="5"/>
      <c r="F494" s="5"/>
      <c r="G494" s="5"/>
    </row>
    <row r="495" ht="15.75" customHeight="1">
      <c r="A495" s="5"/>
      <c r="B495" s="5"/>
      <c r="C495" s="5"/>
      <c r="D495" s="5"/>
      <c r="E495" s="5"/>
      <c r="F495" s="5"/>
      <c r="G495" s="5"/>
    </row>
    <row r="496" ht="15.75" customHeight="1">
      <c r="A496" s="5"/>
      <c r="B496" s="5"/>
      <c r="C496" s="5"/>
      <c r="D496" s="5"/>
      <c r="E496" s="5"/>
      <c r="F496" s="5"/>
      <c r="G496" s="5"/>
    </row>
    <row r="497" ht="15.75" customHeight="1">
      <c r="A497" s="5"/>
      <c r="B497" s="5"/>
      <c r="C497" s="5"/>
      <c r="D497" s="5"/>
      <c r="E497" s="5"/>
      <c r="F497" s="5"/>
      <c r="G497" s="5"/>
    </row>
    <row r="498" ht="15.75" customHeight="1">
      <c r="A498" s="5"/>
      <c r="B498" s="5"/>
      <c r="C498" s="5"/>
      <c r="D498" s="5"/>
      <c r="E498" s="5"/>
      <c r="F498" s="5"/>
      <c r="G498" s="5"/>
    </row>
    <row r="499" ht="15.75" customHeight="1">
      <c r="A499" s="5"/>
      <c r="B499" s="5"/>
      <c r="C499" s="5"/>
      <c r="D499" s="5"/>
      <c r="E499" s="5"/>
      <c r="F499" s="5"/>
      <c r="G499" s="5"/>
    </row>
    <row r="500" ht="15.75" customHeight="1">
      <c r="A500" s="5"/>
      <c r="B500" s="5"/>
      <c r="C500" s="5"/>
      <c r="D500" s="5"/>
      <c r="E500" s="5"/>
      <c r="F500" s="5"/>
      <c r="G500" s="5"/>
    </row>
    <row r="501" ht="15.75" customHeight="1">
      <c r="A501" s="5"/>
      <c r="B501" s="5"/>
      <c r="C501" s="5"/>
      <c r="D501" s="5"/>
      <c r="E501" s="5"/>
      <c r="F501" s="5"/>
      <c r="G501" s="5"/>
    </row>
    <row r="502" ht="15.75" customHeight="1">
      <c r="A502" s="5"/>
      <c r="B502" s="5"/>
      <c r="C502" s="5"/>
      <c r="D502" s="5"/>
      <c r="E502" s="5"/>
      <c r="F502" s="5"/>
      <c r="G502" s="5"/>
    </row>
    <row r="503" ht="15.75" customHeight="1">
      <c r="A503" s="5"/>
      <c r="B503" s="5"/>
      <c r="C503" s="5"/>
      <c r="D503" s="5"/>
      <c r="E503" s="5"/>
      <c r="F503" s="5"/>
      <c r="G503" s="5"/>
    </row>
    <row r="504" ht="15.75" customHeight="1">
      <c r="A504" s="5"/>
      <c r="B504" s="5"/>
      <c r="C504" s="5"/>
      <c r="D504" s="5"/>
      <c r="E504" s="5"/>
      <c r="F504" s="5"/>
      <c r="G504" s="5"/>
    </row>
    <row r="505" ht="15.75" customHeight="1">
      <c r="A505" s="5"/>
      <c r="B505" s="5"/>
      <c r="C505" s="5"/>
      <c r="D505" s="5"/>
      <c r="E505" s="5"/>
      <c r="F505" s="5"/>
      <c r="G505" s="5"/>
    </row>
    <row r="506" ht="15.75" customHeight="1">
      <c r="A506" s="5"/>
      <c r="B506" s="5"/>
      <c r="C506" s="5"/>
      <c r="D506" s="5"/>
      <c r="E506" s="5"/>
      <c r="F506" s="5"/>
      <c r="G506" s="5"/>
    </row>
    <row r="507" ht="15.75" customHeight="1">
      <c r="A507" s="5"/>
      <c r="B507" s="5"/>
      <c r="C507" s="5"/>
      <c r="D507" s="5"/>
      <c r="E507" s="5"/>
      <c r="F507" s="5"/>
      <c r="G507" s="5"/>
    </row>
    <row r="508" ht="15.75" customHeight="1">
      <c r="A508" s="5"/>
      <c r="B508" s="5"/>
      <c r="C508" s="5"/>
      <c r="D508" s="5"/>
      <c r="E508" s="5"/>
      <c r="F508" s="5"/>
      <c r="G508" s="5"/>
    </row>
    <row r="509" ht="15.75" customHeight="1">
      <c r="A509" s="5"/>
      <c r="B509" s="5"/>
      <c r="C509" s="5"/>
      <c r="D509" s="5"/>
      <c r="E509" s="5"/>
      <c r="F509" s="5"/>
      <c r="G509" s="5"/>
    </row>
    <row r="510" ht="15.75" customHeight="1">
      <c r="A510" s="5"/>
      <c r="B510" s="5"/>
      <c r="C510" s="5"/>
      <c r="D510" s="5"/>
      <c r="E510" s="5"/>
      <c r="F510" s="5"/>
      <c r="G510" s="5"/>
    </row>
    <row r="511" ht="15.75" customHeight="1">
      <c r="A511" s="5"/>
      <c r="B511" s="5"/>
      <c r="C511" s="5"/>
      <c r="D511" s="5"/>
      <c r="E511" s="5"/>
      <c r="F511" s="5"/>
      <c r="G511" s="5"/>
    </row>
    <row r="512" ht="15.75" customHeight="1">
      <c r="A512" s="5"/>
      <c r="B512" s="5"/>
      <c r="C512" s="5"/>
      <c r="D512" s="5"/>
      <c r="E512" s="5"/>
      <c r="F512" s="5"/>
      <c r="G512" s="5"/>
    </row>
    <row r="513" ht="15.75" customHeight="1">
      <c r="A513" s="5"/>
      <c r="B513" s="5"/>
      <c r="C513" s="5"/>
      <c r="D513" s="5"/>
      <c r="E513" s="5"/>
      <c r="F513" s="5"/>
      <c r="G513" s="5"/>
    </row>
    <row r="514" ht="15.75" customHeight="1">
      <c r="A514" s="5"/>
      <c r="B514" s="5"/>
      <c r="C514" s="5"/>
      <c r="D514" s="5"/>
      <c r="E514" s="5"/>
      <c r="F514" s="5"/>
      <c r="G514" s="5"/>
    </row>
    <row r="515" ht="15.75" customHeight="1">
      <c r="A515" s="5"/>
      <c r="B515" s="5"/>
      <c r="C515" s="5"/>
      <c r="D515" s="5"/>
      <c r="E515" s="5"/>
      <c r="F515" s="5"/>
      <c r="G515" s="5"/>
    </row>
    <row r="516" ht="15.75" customHeight="1">
      <c r="A516" s="5"/>
      <c r="B516" s="5"/>
      <c r="C516" s="5"/>
      <c r="D516" s="5"/>
      <c r="E516" s="5"/>
      <c r="F516" s="5"/>
      <c r="G516" s="5"/>
    </row>
    <row r="517" ht="15.75" customHeight="1">
      <c r="A517" s="5"/>
      <c r="B517" s="5"/>
      <c r="C517" s="5"/>
      <c r="D517" s="5"/>
      <c r="E517" s="5"/>
      <c r="F517" s="5"/>
      <c r="G517" s="5"/>
    </row>
    <row r="518" ht="15.75" customHeight="1">
      <c r="A518" s="5"/>
      <c r="B518" s="5"/>
      <c r="C518" s="5"/>
      <c r="D518" s="5"/>
      <c r="E518" s="5"/>
      <c r="F518" s="5"/>
      <c r="G518" s="5"/>
    </row>
    <row r="519" ht="15.75" customHeight="1">
      <c r="A519" s="5"/>
      <c r="B519" s="5"/>
      <c r="C519" s="5"/>
      <c r="D519" s="5"/>
      <c r="E519" s="5"/>
      <c r="F519" s="5"/>
      <c r="G519" s="5"/>
    </row>
    <row r="520" ht="15.75" customHeight="1">
      <c r="A520" s="5"/>
      <c r="B520" s="5"/>
      <c r="C520" s="5"/>
      <c r="D520" s="5"/>
      <c r="E520" s="5"/>
      <c r="F520" s="5"/>
      <c r="G520" s="5"/>
    </row>
    <row r="521" ht="15.75" customHeight="1">
      <c r="A521" s="5"/>
      <c r="B521" s="5"/>
      <c r="C521" s="5"/>
      <c r="D521" s="5"/>
      <c r="E521" s="5"/>
      <c r="F521" s="5"/>
      <c r="G521" s="5"/>
    </row>
    <row r="522" ht="15.75" customHeight="1">
      <c r="A522" s="5"/>
      <c r="B522" s="5"/>
      <c r="C522" s="5"/>
      <c r="D522" s="5"/>
      <c r="E522" s="5"/>
      <c r="F522" s="5"/>
      <c r="G522" s="5"/>
    </row>
    <row r="523" ht="15.75" customHeight="1">
      <c r="A523" s="5"/>
      <c r="B523" s="5"/>
      <c r="C523" s="5"/>
      <c r="D523" s="5"/>
      <c r="E523" s="5"/>
      <c r="F523" s="5"/>
      <c r="G523" s="5"/>
    </row>
    <row r="524" ht="15.75" customHeight="1">
      <c r="A524" s="5"/>
      <c r="B524" s="5"/>
      <c r="C524" s="5"/>
      <c r="D524" s="5"/>
      <c r="E524" s="5"/>
      <c r="F524" s="5"/>
      <c r="G524" s="5"/>
    </row>
    <row r="525" ht="15.75" customHeight="1">
      <c r="A525" s="5"/>
      <c r="B525" s="5"/>
      <c r="C525" s="5"/>
      <c r="D525" s="5"/>
      <c r="E525" s="5"/>
      <c r="F525" s="5"/>
      <c r="G525" s="5"/>
    </row>
    <row r="526" ht="15.75" customHeight="1">
      <c r="A526" s="5"/>
      <c r="B526" s="5"/>
      <c r="C526" s="5"/>
      <c r="D526" s="5"/>
      <c r="E526" s="5"/>
      <c r="F526" s="5"/>
      <c r="G526" s="5"/>
    </row>
    <row r="527" ht="15.75" customHeight="1">
      <c r="A527" s="5"/>
      <c r="B527" s="5"/>
      <c r="C527" s="5"/>
      <c r="D527" s="5"/>
      <c r="E527" s="5"/>
      <c r="F527" s="5"/>
      <c r="G527" s="5"/>
    </row>
    <row r="528" ht="15.75" customHeight="1">
      <c r="A528" s="5"/>
      <c r="B528" s="5"/>
      <c r="C528" s="5"/>
      <c r="D528" s="5"/>
      <c r="E528" s="5"/>
      <c r="F528" s="5"/>
      <c r="G528" s="5"/>
    </row>
    <row r="529" ht="15.75" customHeight="1">
      <c r="A529" s="5"/>
      <c r="B529" s="5"/>
      <c r="C529" s="5"/>
      <c r="D529" s="5"/>
      <c r="E529" s="5"/>
      <c r="F529" s="5"/>
      <c r="G529" s="5"/>
    </row>
    <row r="530" ht="15.75" customHeight="1">
      <c r="A530" s="5"/>
      <c r="B530" s="5"/>
      <c r="C530" s="5"/>
      <c r="D530" s="5"/>
      <c r="E530" s="5"/>
      <c r="F530" s="5"/>
      <c r="G530" s="5"/>
    </row>
    <row r="531" ht="15.75" customHeight="1">
      <c r="A531" s="5"/>
      <c r="B531" s="5"/>
      <c r="C531" s="5"/>
      <c r="D531" s="5"/>
      <c r="E531" s="5"/>
      <c r="F531" s="5"/>
      <c r="G531" s="5"/>
    </row>
    <row r="532" ht="15.75" customHeight="1">
      <c r="A532" s="5"/>
      <c r="B532" s="5"/>
      <c r="C532" s="5"/>
      <c r="D532" s="5"/>
      <c r="E532" s="5"/>
      <c r="F532" s="5"/>
      <c r="G532" s="5"/>
    </row>
    <row r="533" ht="15.75" customHeight="1">
      <c r="A533" s="5"/>
      <c r="B533" s="5"/>
      <c r="C533" s="5"/>
      <c r="D533" s="5"/>
      <c r="E533" s="5"/>
      <c r="F533" s="5"/>
      <c r="G533" s="5"/>
    </row>
    <row r="534" ht="15.75" customHeight="1">
      <c r="A534" s="5"/>
      <c r="B534" s="5"/>
      <c r="C534" s="5"/>
      <c r="D534" s="5"/>
      <c r="E534" s="5"/>
      <c r="F534" s="5"/>
      <c r="G534" s="5"/>
    </row>
    <row r="535" ht="15.75" customHeight="1">
      <c r="A535" s="5"/>
      <c r="B535" s="5"/>
      <c r="C535" s="5"/>
      <c r="D535" s="5"/>
      <c r="E535" s="5"/>
      <c r="F535" s="5"/>
      <c r="G535" s="5"/>
    </row>
    <row r="536" ht="15.75" customHeight="1">
      <c r="A536" s="5"/>
      <c r="B536" s="5"/>
      <c r="C536" s="5"/>
      <c r="D536" s="5"/>
      <c r="E536" s="5"/>
      <c r="F536" s="5"/>
      <c r="G536" s="5"/>
    </row>
    <row r="537" ht="15.75" customHeight="1">
      <c r="A537" s="5"/>
      <c r="B537" s="5"/>
      <c r="C537" s="5"/>
      <c r="D537" s="5"/>
      <c r="E537" s="5"/>
      <c r="F537" s="5"/>
      <c r="G537" s="5"/>
    </row>
    <row r="538" ht="15.75" customHeight="1">
      <c r="A538" s="5"/>
      <c r="B538" s="5"/>
      <c r="C538" s="5"/>
      <c r="D538" s="5"/>
      <c r="E538" s="5"/>
      <c r="F538" s="5"/>
      <c r="G538" s="5"/>
    </row>
    <row r="539" ht="15.75" customHeight="1">
      <c r="A539" s="5"/>
      <c r="B539" s="5"/>
      <c r="C539" s="5"/>
      <c r="D539" s="5"/>
      <c r="E539" s="5"/>
      <c r="F539" s="5"/>
      <c r="G539" s="5"/>
    </row>
    <row r="540" ht="15.75" customHeight="1">
      <c r="A540" s="5"/>
      <c r="B540" s="5"/>
      <c r="C540" s="5"/>
      <c r="D540" s="5"/>
      <c r="E540" s="5"/>
      <c r="F540" s="5"/>
      <c r="G540" s="5"/>
    </row>
    <row r="541" ht="15.75" customHeight="1">
      <c r="A541" s="5"/>
      <c r="B541" s="5"/>
      <c r="C541" s="5"/>
      <c r="D541" s="5"/>
      <c r="E541" s="5"/>
      <c r="F541" s="5"/>
      <c r="G541" s="5"/>
    </row>
    <row r="542" ht="15.75" customHeight="1">
      <c r="A542" s="5"/>
      <c r="B542" s="5"/>
      <c r="C542" s="5"/>
      <c r="D542" s="5"/>
      <c r="E542" s="5"/>
      <c r="F542" s="5"/>
      <c r="G542" s="5"/>
    </row>
    <row r="543" ht="15.75" customHeight="1">
      <c r="A543" s="5"/>
      <c r="B543" s="5"/>
      <c r="C543" s="5"/>
      <c r="D543" s="5"/>
      <c r="E543" s="5"/>
      <c r="F543" s="5"/>
      <c r="G543" s="5"/>
    </row>
    <row r="544" ht="15.75" customHeight="1">
      <c r="A544" s="5"/>
      <c r="B544" s="5"/>
      <c r="C544" s="5"/>
      <c r="D544" s="5"/>
      <c r="E544" s="5"/>
      <c r="F544" s="5"/>
      <c r="G544" s="5"/>
    </row>
    <row r="545" ht="15.75" customHeight="1">
      <c r="A545" s="5"/>
      <c r="B545" s="5"/>
      <c r="C545" s="5"/>
      <c r="D545" s="5"/>
      <c r="E545" s="5"/>
      <c r="F545" s="5"/>
      <c r="G545" s="5"/>
    </row>
    <row r="546" ht="15.75" customHeight="1">
      <c r="A546" s="5"/>
      <c r="B546" s="5"/>
      <c r="C546" s="5"/>
      <c r="D546" s="5"/>
      <c r="E546" s="5"/>
      <c r="F546" s="5"/>
      <c r="G546" s="5"/>
    </row>
    <row r="547" ht="15.75" customHeight="1">
      <c r="A547" s="5"/>
      <c r="B547" s="5"/>
      <c r="C547" s="5"/>
      <c r="D547" s="5"/>
      <c r="E547" s="5"/>
      <c r="F547" s="5"/>
      <c r="G547" s="5"/>
    </row>
    <row r="548" ht="15.75" customHeight="1">
      <c r="A548" s="5"/>
      <c r="B548" s="5"/>
      <c r="C548" s="5"/>
      <c r="D548" s="5"/>
      <c r="E548" s="5"/>
      <c r="F548" s="5"/>
      <c r="G548" s="5"/>
    </row>
    <row r="549" ht="15.75" customHeight="1">
      <c r="A549" s="5"/>
      <c r="B549" s="5"/>
      <c r="C549" s="5"/>
      <c r="D549" s="5"/>
      <c r="E549" s="5"/>
      <c r="F549" s="5"/>
      <c r="G549" s="5"/>
    </row>
    <row r="550" ht="15.75" customHeight="1">
      <c r="A550" s="5"/>
      <c r="B550" s="5"/>
      <c r="C550" s="5"/>
      <c r="D550" s="5"/>
      <c r="E550" s="5"/>
      <c r="F550" s="5"/>
      <c r="G550" s="5"/>
    </row>
    <row r="551" ht="15.75" customHeight="1">
      <c r="A551" s="5"/>
      <c r="B551" s="5"/>
      <c r="C551" s="5"/>
      <c r="D551" s="5"/>
      <c r="E551" s="5"/>
      <c r="F551" s="5"/>
      <c r="G551" s="5"/>
    </row>
    <row r="552" ht="15.75" customHeight="1">
      <c r="A552" s="5"/>
      <c r="B552" s="5"/>
      <c r="C552" s="5"/>
      <c r="D552" s="5"/>
      <c r="E552" s="5"/>
      <c r="F552" s="5"/>
      <c r="G552" s="5"/>
    </row>
    <row r="553" ht="15.75" customHeight="1">
      <c r="A553" s="5"/>
      <c r="B553" s="5"/>
      <c r="C553" s="5"/>
      <c r="D553" s="5"/>
      <c r="E553" s="5"/>
      <c r="F553" s="5"/>
      <c r="G553" s="5"/>
    </row>
    <row r="554" ht="15.75" customHeight="1">
      <c r="A554" s="5"/>
      <c r="B554" s="5"/>
      <c r="C554" s="5"/>
      <c r="D554" s="5"/>
      <c r="E554" s="5"/>
      <c r="F554" s="5"/>
      <c r="G554" s="5"/>
    </row>
    <row r="555" ht="15.75" customHeight="1">
      <c r="A555" s="5"/>
      <c r="B555" s="5"/>
      <c r="C555" s="5"/>
      <c r="D555" s="5"/>
      <c r="E555" s="5"/>
      <c r="F555" s="5"/>
      <c r="G555" s="5"/>
    </row>
    <row r="556" ht="15.75" customHeight="1">
      <c r="A556" s="5"/>
      <c r="B556" s="5"/>
      <c r="C556" s="5"/>
      <c r="D556" s="5"/>
      <c r="E556" s="5"/>
      <c r="F556" s="5"/>
      <c r="G556" s="5"/>
    </row>
    <row r="557" ht="15.75" customHeight="1">
      <c r="A557" s="5"/>
      <c r="B557" s="5"/>
      <c r="C557" s="5"/>
      <c r="D557" s="5"/>
      <c r="E557" s="5"/>
      <c r="F557" s="5"/>
      <c r="G557" s="5"/>
    </row>
    <row r="558" ht="15.75" customHeight="1">
      <c r="A558" s="5"/>
      <c r="B558" s="5"/>
      <c r="C558" s="5"/>
      <c r="D558" s="5"/>
      <c r="E558" s="5"/>
      <c r="F558" s="5"/>
      <c r="G558" s="5"/>
    </row>
    <row r="559" ht="15.75" customHeight="1">
      <c r="A559" s="5"/>
      <c r="B559" s="5"/>
      <c r="C559" s="5"/>
      <c r="D559" s="5"/>
      <c r="E559" s="5"/>
      <c r="F559" s="5"/>
      <c r="G559" s="5"/>
    </row>
    <row r="560" ht="15.75" customHeight="1">
      <c r="A560" s="5"/>
      <c r="B560" s="5"/>
      <c r="C560" s="5"/>
      <c r="D560" s="5"/>
      <c r="E560" s="5"/>
      <c r="F560" s="5"/>
      <c r="G560" s="5"/>
    </row>
    <row r="561" ht="15.75" customHeight="1">
      <c r="A561" s="5"/>
      <c r="B561" s="5"/>
      <c r="C561" s="5"/>
      <c r="D561" s="5"/>
      <c r="E561" s="5"/>
      <c r="F561" s="5"/>
      <c r="G561" s="5"/>
    </row>
    <row r="562" ht="15.75" customHeight="1">
      <c r="A562" s="5"/>
      <c r="B562" s="5"/>
      <c r="C562" s="5"/>
      <c r="D562" s="5"/>
      <c r="E562" s="5"/>
      <c r="F562" s="5"/>
      <c r="G562" s="5"/>
    </row>
    <row r="563" ht="15.75" customHeight="1">
      <c r="A563" s="5"/>
      <c r="B563" s="5"/>
      <c r="C563" s="5"/>
      <c r="D563" s="5"/>
      <c r="E563" s="5"/>
      <c r="F563" s="5"/>
      <c r="G563" s="5"/>
    </row>
    <row r="564" ht="15.75" customHeight="1">
      <c r="A564" s="5"/>
      <c r="B564" s="5"/>
      <c r="C564" s="5"/>
      <c r="D564" s="5"/>
      <c r="E564" s="5"/>
      <c r="F564" s="5"/>
      <c r="G564" s="5"/>
    </row>
    <row r="565" ht="15.75" customHeight="1">
      <c r="A565" s="5"/>
      <c r="B565" s="5"/>
      <c r="C565" s="5"/>
      <c r="D565" s="5"/>
      <c r="E565" s="5"/>
      <c r="F565" s="5"/>
      <c r="G565" s="5"/>
    </row>
    <row r="566" ht="15.75" customHeight="1">
      <c r="A566" s="5"/>
      <c r="B566" s="5"/>
      <c r="C566" s="5"/>
      <c r="D566" s="5"/>
      <c r="E566" s="5"/>
      <c r="F566" s="5"/>
      <c r="G566" s="5"/>
    </row>
    <row r="567" ht="15.75" customHeight="1">
      <c r="A567" s="5"/>
      <c r="B567" s="5"/>
      <c r="C567" s="5"/>
      <c r="D567" s="5"/>
      <c r="E567" s="5"/>
      <c r="F567" s="5"/>
      <c r="G567" s="5"/>
    </row>
    <row r="568" ht="15.75" customHeight="1">
      <c r="A568" s="5"/>
      <c r="B568" s="5"/>
      <c r="C568" s="5"/>
      <c r="D568" s="5"/>
      <c r="E568" s="5"/>
      <c r="F568" s="5"/>
      <c r="G568" s="5"/>
    </row>
    <row r="569" ht="15.75" customHeight="1">
      <c r="A569" s="5"/>
      <c r="B569" s="5"/>
      <c r="C569" s="5"/>
      <c r="D569" s="5"/>
      <c r="E569" s="5"/>
      <c r="F569" s="5"/>
      <c r="G569" s="5"/>
    </row>
    <row r="570" ht="15.75" customHeight="1">
      <c r="A570" s="5"/>
      <c r="B570" s="5"/>
      <c r="C570" s="5"/>
      <c r="D570" s="5"/>
      <c r="E570" s="5"/>
      <c r="F570" s="5"/>
      <c r="G570" s="5"/>
    </row>
    <row r="571" ht="15.75" customHeight="1">
      <c r="A571" s="5"/>
      <c r="B571" s="5"/>
      <c r="C571" s="5"/>
      <c r="D571" s="5"/>
      <c r="E571" s="5"/>
      <c r="F571" s="5"/>
      <c r="G571" s="5"/>
    </row>
    <row r="572" ht="15.75" customHeight="1">
      <c r="A572" s="5"/>
      <c r="B572" s="5"/>
      <c r="C572" s="5"/>
      <c r="D572" s="5"/>
      <c r="E572" s="5"/>
      <c r="F572" s="5"/>
      <c r="G572" s="5"/>
    </row>
    <row r="573" ht="15.75" customHeight="1">
      <c r="A573" s="5"/>
      <c r="B573" s="5"/>
      <c r="C573" s="5"/>
      <c r="D573" s="5"/>
      <c r="E573" s="5"/>
      <c r="F573" s="5"/>
      <c r="G573" s="5"/>
    </row>
    <row r="574" ht="15.75" customHeight="1">
      <c r="A574" s="5"/>
      <c r="B574" s="5"/>
      <c r="C574" s="5"/>
      <c r="D574" s="5"/>
      <c r="E574" s="5"/>
      <c r="F574" s="5"/>
      <c r="G574" s="5"/>
    </row>
    <row r="575" ht="15.75" customHeight="1">
      <c r="A575" s="5"/>
      <c r="B575" s="5"/>
      <c r="C575" s="5"/>
      <c r="D575" s="5"/>
      <c r="E575" s="5"/>
      <c r="F575" s="5"/>
      <c r="G575" s="5"/>
    </row>
    <row r="576" ht="15.75" customHeight="1">
      <c r="A576" s="5"/>
      <c r="B576" s="5"/>
      <c r="C576" s="5"/>
      <c r="D576" s="5"/>
      <c r="E576" s="5"/>
      <c r="F576" s="5"/>
      <c r="G576" s="5"/>
    </row>
    <row r="577" ht="15.75" customHeight="1">
      <c r="A577" s="5"/>
      <c r="B577" s="5"/>
      <c r="C577" s="5"/>
      <c r="D577" s="5"/>
      <c r="E577" s="5"/>
      <c r="F577" s="5"/>
      <c r="G577" s="5"/>
    </row>
    <row r="578" ht="15.75" customHeight="1">
      <c r="A578" s="5"/>
      <c r="B578" s="5"/>
      <c r="C578" s="5"/>
      <c r="D578" s="5"/>
      <c r="E578" s="5"/>
      <c r="F578" s="5"/>
      <c r="G578" s="5"/>
    </row>
    <row r="579" ht="15.75" customHeight="1">
      <c r="A579" s="5"/>
      <c r="B579" s="5"/>
      <c r="C579" s="5"/>
      <c r="D579" s="5"/>
      <c r="E579" s="5"/>
      <c r="F579" s="5"/>
      <c r="G579" s="5"/>
    </row>
    <row r="580" ht="15.75" customHeight="1">
      <c r="A580" s="5"/>
      <c r="B580" s="5"/>
      <c r="C580" s="5"/>
      <c r="D580" s="5"/>
      <c r="E580" s="5"/>
      <c r="F580" s="5"/>
      <c r="G580" s="5"/>
    </row>
    <row r="581" ht="15.75" customHeight="1">
      <c r="A581" s="5"/>
      <c r="B581" s="5"/>
      <c r="C581" s="5"/>
      <c r="D581" s="5"/>
      <c r="E581" s="5"/>
      <c r="F581" s="5"/>
      <c r="G581" s="5"/>
    </row>
    <row r="582" ht="15.75" customHeight="1">
      <c r="A582" s="5"/>
      <c r="B582" s="5"/>
      <c r="C582" s="5"/>
      <c r="D582" s="5"/>
      <c r="E582" s="5"/>
      <c r="F582" s="5"/>
      <c r="G582" s="5"/>
    </row>
    <row r="583" ht="15.75" customHeight="1">
      <c r="A583" s="5"/>
      <c r="B583" s="5"/>
      <c r="C583" s="5"/>
      <c r="D583" s="5"/>
      <c r="E583" s="5"/>
      <c r="F583" s="5"/>
      <c r="G583" s="5"/>
    </row>
    <row r="584" ht="15.75" customHeight="1">
      <c r="A584" s="5"/>
      <c r="B584" s="5"/>
      <c r="C584" s="5"/>
      <c r="D584" s="5"/>
      <c r="E584" s="5"/>
      <c r="F584" s="5"/>
      <c r="G584" s="5"/>
    </row>
    <row r="585" ht="15.75" customHeight="1">
      <c r="A585" s="5"/>
      <c r="B585" s="5"/>
      <c r="C585" s="5"/>
      <c r="D585" s="5"/>
      <c r="E585" s="5"/>
      <c r="F585" s="5"/>
      <c r="G585" s="5"/>
    </row>
    <row r="586" ht="15.75" customHeight="1">
      <c r="A586" s="5"/>
      <c r="B586" s="5"/>
      <c r="C586" s="5"/>
      <c r="D586" s="5"/>
      <c r="E586" s="5"/>
      <c r="F586" s="5"/>
      <c r="G586" s="5"/>
    </row>
    <row r="587" ht="15.75" customHeight="1">
      <c r="A587" s="5"/>
      <c r="B587" s="5"/>
      <c r="C587" s="5"/>
      <c r="D587" s="5"/>
      <c r="E587" s="5"/>
      <c r="F587" s="5"/>
      <c r="G587" s="5"/>
    </row>
    <row r="588" ht="15.75" customHeight="1">
      <c r="A588" s="5"/>
      <c r="B588" s="5"/>
      <c r="C588" s="5"/>
      <c r="D588" s="5"/>
      <c r="E588" s="5"/>
      <c r="F588" s="5"/>
      <c r="G588" s="5"/>
    </row>
    <row r="589" ht="15.75" customHeight="1">
      <c r="A589" s="5"/>
      <c r="B589" s="5"/>
      <c r="C589" s="5"/>
      <c r="D589" s="5"/>
      <c r="E589" s="5"/>
      <c r="F589" s="5"/>
      <c r="G589" s="5"/>
    </row>
    <row r="590" ht="15.75" customHeight="1">
      <c r="A590" s="5"/>
      <c r="B590" s="5"/>
      <c r="C590" s="5"/>
      <c r="D590" s="5"/>
      <c r="E590" s="5"/>
      <c r="F590" s="5"/>
      <c r="G590" s="5"/>
    </row>
    <row r="591" ht="15.75" customHeight="1">
      <c r="A591" s="5"/>
      <c r="B591" s="5"/>
      <c r="C591" s="5"/>
      <c r="D591" s="5"/>
      <c r="E591" s="5"/>
      <c r="F591" s="5"/>
      <c r="G591" s="5"/>
    </row>
    <row r="592" ht="15.75" customHeight="1">
      <c r="A592" s="5"/>
      <c r="B592" s="5"/>
      <c r="C592" s="5"/>
      <c r="D592" s="5"/>
      <c r="E592" s="5"/>
      <c r="F592" s="5"/>
      <c r="G592" s="5"/>
    </row>
    <row r="593" ht="15.75" customHeight="1">
      <c r="A593" s="5"/>
      <c r="B593" s="5"/>
      <c r="C593" s="5"/>
      <c r="D593" s="5"/>
      <c r="E593" s="5"/>
      <c r="F593" s="5"/>
      <c r="G593" s="5"/>
    </row>
    <row r="594" ht="15.75" customHeight="1">
      <c r="A594" s="5"/>
      <c r="B594" s="5"/>
      <c r="C594" s="5"/>
      <c r="D594" s="5"/>
      <c r="E594" s="5"/>
      <c r="F594" s="5"/>
      <c r="G594" s="5"/>
    </row>
    <row r="595" ht="15.75" customHeight="1">
      <c r="A595" s="5"/>
      <c r="B595" s="5"/>
      <c r="C595" s="5"/>
      <c r="D595" s="5"/>
      <c r="E595" s="5"/>
      <c r="F595" s="5"/>
      <c r="G595" s="5"/>
    </row>
    <row r="596" ht="15.75" customHeight="1">
      <c r="A596" s="5"/>
      <c r="B596" s="5"/>
      <c r="C596" s="5"/>
      <c r="D596" s="5"/>
      <c r="E596" s="5"/>
      <c r="F596" s="5"/>
      <c r="G596" s="5"/>
    </row>
    <row r="597" ht="15.75" customHeight="1">
      <c r="A597" s="5"/>
      <c r="B597" s="5"/>
      <c r="C597" s="5"/>
      <c r="D597" s="5"/>
      <c r="E597" s="5"/>
      <c r="F597" s="5"/>
      <c r="G597" s="5"/>
    </row>
    <row r="598" ht="15.75" customHeight="1">
      <c r="A598" s="5"/>
      <c r="B598" s="5"/>
      <c r="C598" s="5"/>
      <c r="D598" s="5"/>
      <c r="E598" s="5"/>
      <c r="F598" s="5"/>
      <c r="G598" s="5"/>
    </row>
    <row r="599" ht="15.75" customHeight="1">
      <c r="A599" s="5"/>
      <c r="B599" s="5"/>
      <c r="C599" s="5"/>
      <c r="D599" s="5"/>
      <c r="E599" s="5"/>
      <c r="F599" s="5"/>
      <c r="G599" s="5"/>
    </row>
    <row r="600" ht="15.75" customHeight="1">
      <c r="A600" s="5"/>
      <c r="B600" s="5"/>
      <c r="C600" s="5"/>
      <c r="D600" s="5"/>
      <c r="E600" s="5"/>
      <c r="F600" s="5"/>
      <c r="G600" s="5"/>
    </row>
    <row r="601" ht="15.75" customHeight="1">
      <c r="A601" s="5"/>
      <c r="B601" s="5"/>
      <c r="C601" s="5"/>
      <c r="D601" s="5"/>
      <c r="E601" s="5"/>
      <c r="F601" s="5"/>
      <c r="G601" s="5"/>
    </row>
    <row r="602" ht="15.75" customHeight="1">
      <c r="A602" s="5"/>
      <c r="B602" s="5"/>
      <c r="C602" s="5"/>
      <c r="D602" s="5"/>
      <c r="E602" s="5"/>
      <c r="F602" s="5"/>
      <c r="G602" s="5"/>
    </row>
    <row r="603" ht="15.75" customHeight="1">
      <c r="A603" s="5"/>
      <c r="B603" s="5"/>
      <c r="C603" s="5"/>
      <c r="D603" s="5"/>
      <c r="E603" s="5"/>
      <c r="F603" s="5"/>
      <c r="G603" s="5"/>
    </row>
    <row r="604" ht="15.75" customHeight="1">
      <c r="A604" s="5"/>
      <c r="B604" s="5"/>
      <c r="C604" s="5"/>
      <c r="D604" s="5"/>
      <c r="E604" s="5"/>
      <c r="F604" s="5"/>
      <c r="G604" s="5"/>
    </row>
    <row r="605" ht="15.75" customHeight="1">
      <c r="A605" s="5"/>
      <c r="B605" s="5"/>
      <c r="C605" s="5"/>
      <c r="D605" s="5"/>
      <c r="E605" s="5"/>
      <c r="F605" s="5"/>
      <c r="G605" s="5"/>
    </row>
    <row r="606" ht="15.75" customHeight="1">
      <c r="A606" s="5"/>
      <c r="B606" s="5"/>
      <c r="C606" s="5"/>
      <c r="D606" s="5"/>
      <c r="E606" s="5"/>
      <c r="F606" s="5"/>
      <c r="G606" s="5"/>
    </row>
    <row r="607" ht="15.75" customHeight="1">
      <c r="A607" s="5"/>
      <c r="B607" s="5"/>
      <c r="C607" s="5"/>
      <c r="D607" s="5"/>
      <c r="E607" s="5"/>
      <c r="F607" s="5"/>
      <c r="G607" s="5"/>
    </row>
    <row r="608" ht="15.75" customHeight="1">
      <c r="A608" s="5"/>
      <c r="B608" s="5"/>
      <c r="C608" s="5"/>
      <c r="D608" s="5"/>
      <c r="E608" s="5"/>
      <c r="F608" s="5"/>
      <c r="G608" s="5"/>
    </row>
    <row r="609" ht="15.75" customHeight="1">
      <c r="A609" s="5"/>
      <c r="B609" s="5"/>
      <c r="C609" s="5"/>
      <c r="D609" s="5"/>
      <c r="E609" s="5"/>
      <c r="F609" s="5"/>
      <c r="G609" s="5"/>
    </row>
    <row r="610" ht="15.75" customHeight="1">
      <c r="A610" s="5"/>
      <c r="B610" s="5"/>
      <c r="C610" s="5"/>
      <c r="D610" s="5"/>
      <c r="E610" s="5"/>
      <c r="F610" s="5"/>
      <c r="G610" s="5"/>
    </row>
    <row r="611" ht="15.75" customHeight="1">
      <c r="A611" s="5"/>
      <c r="B611" s="5"/>
      <c r="C611" s="5"/>
      <c r="D611" s="5"/>
      <c r="E611" s="5"/>
      <c r="F611" s="5"/>
      <c r="G611" s="5"/>
    </row>
    <row r="612" ht="15.75" customHeight="1">
      <c r="A612" s="5"/>
      <c r="B612" s="5"/>
      <c r="C612" s="5"/>
      <c r="D612" s="5"/>
      <c r="E612" s="5"/>
      <c r="F612" s="5"/>
      <c r="G612" s="5"/>
    </row>
    <row r="613" ht="15.75" customHeight="1">
      <c r="A613" s="5"/>
      <c r="B613" s="5"/>
      <c r="C613" s="5"/>
      <c r="D613" s="5"/>
      <c r="E613" s="5"/>
      <c r="F613" s="5"/>
      <c r="G613" s="5"/>
    </row>
    <row r="614" ht="15.75" customHeight="1">
      <c r="A614" s="5"/>
      <c r="B614" s="5"/>
      <c r="C614" s="5"/>
      <c r="D614" s="5"/>
      <c r="E614" s="5"/>
      <c r="F614" s="5"/>
      <c r="G614" s="5"/>
    </row>
    <row r="615" ht="15.75" customHeight="1">
      <c r="A615" s="5"/>
      <c r="B615" s="5"/>
      <c r="C615" s="5"/>
      <c r="D615" s="5"/>
      <c r="E615" s="5"/>
      <c r="F615" s="5"/>
      <c r="G615" s="5"/>
    </row>
    <row r="616" ht="15.75" customHeight="1">
      <c r="A616" s="5"/>
      <c r="B616" s="5"/>
      <c r="C616" s="5"/>
      <c r="D616" s="5"/>
      <c r="E616" s="5"/>
      <c r="F616" s="5"/>
      <c r="G616" s="5"/>
    </row>
    <row r="617" ht="15.75" customHeight="1">
      <c r="A617" s="5"/>
      <c r="B617" s="5"/>
      <c r="C617" s="5"/>
      <c r="D617" s="5"/>
      <c r="E617" s="5"/>
      <c r="F617" s="5"/>
      <c r="G617" s="5"/>
    </row>
    <row r="618" ht="15.75" customHeight="1">
      <c r="A618" s="5"/>
      <c r="B618" s="5"/>
      <c r="C618" s="5"/>
      <c r="D618" s="5"/>
      <c r="E618" s="5"/>
      <c r="F618" s="5"/>
      <c r="G618" s="5"/>
    </row>
    <row r="619" ht="15.75" customHeight="1">
      <c r="A619" s="5"/>
      <c r="B619" s="5"/>
      <c r="C619" s="5"/>
      <c r="D619" s="5"/>
      <c r="E619" s="5"/>
      <c r="F619" s="5"/>
      <c r="G619" s="5"/>
    </row>
    <row r="620" ht="15.75" customHeight="1">
      <c r="A620" s="5"/>
      <c r="B620" s="5"/>
      <c r="C620" s="5"/>
      <c r="D620" s="5"/>
      <c r="E620" s="5"/>
      <c r="F620" s="5"/>
      <c r="G620" s="5"/>
    </row>
    <row r="621" ht="15.75" customHeight="1">
      <c r="A621" s="5"/>
      <c r="B621" s="5"/>
      <c r="C621" s="5"/>
      <c r="D621" s="5"/>
      <c r="E621" s="5"/>
      <c r="F621" s="5"/>
      <c r="G621" s="5"/>
    </row>
    <row r="622" ht="15.75" customHeight="1">
      <c r="A622" s="5"/>
      <c r="B622" s="5"/>
      <c r="C622" s="5"/>
      <c r="D622" s="5"/>
      <c r="E622" s="5"/>
      <c r="F622" s="5"/>
      <c r="G622" s="5"/>
    </row>
    <row r="623" ht="15.75" customHeight="1">
      <c r="A623" s="5"/>
      <c r="B623" s="5"/>
      <c r="C623" s="5"/>
      <c r="D623" s="5"/>
      <c r="E623" s="5"/>
      <c r="F623" s="5"/>
      <c r="G623" s="5"/>
    </row>
    <row r="624" ht="15.75" customHeight="1">
      <c r="A624" s="5"/>
      <c r="B624" s="5"/>
      <c r="C624" s="5"/>
      <c r="D624" s="5"/>
      <c r="E624" s="5"/>
      <c r="F624" s="5"/>
      <c r="G624" s="5"/>
    </row>
    <row r="625" ht="15.75" customHeight="1">
      <c r="A625" s="5"/>
      <c r="B625" s="5"/>
      <c r="C625" s="5"/>
      <c r="D625" s="5"/>
      <c r="E625" s="5"/>
      <c r="F625" s="5"/>
      <c r="G625" s="5"/>
    </row>
    <row r="626" ht="15.75" customHeight="1">
      <c r="A626" s="5"/>
      <c r="B626" s="5"/>
      <c r="C626" s="5"/>
      <c r="D626" s="5"/>
      <c r="E626" s="5"/>
      <c r="F626" s="5"/>
      <c r="G626" s="5"/>
    </row>
    <row r="627" ht="15.75" customHeight="1">
      <c r="A627" s="5"/>
      <c r="B627" s="5"/>
      <c r="C627" s="5"/>
      <c r="D627" s="5"/>
      <c r="E627" s="5"/>
      <c r="F627" s="5"/>
      <c r="G627" s="5"/>
    </row>
    <row r="628" ht="15.75" customHeight="1">
      <c r="A628" s="5"/>
      <c r="B628" s="5"/>
      <c r="C628" s="5"/>
      <c r="D628" s="5"/>
      <c r="E628" s="5"/>
      <c r="F628" s="5"/>
      <c r="G628" s="5"/>
    </row>
    <row r="629" ht="15.75" customHeight="1">
      <c r="A629" s="5"/>
      <c r="B629" s="5"/>
      <c r="C629" s="5"/>
      <c r="D629" s="5"/>
      <c r="E629" s="5"/>
      <c r="F629" s="5"/>
      <c r="G629" s="5"/>
    </row>
    <row r="630" ht="15.75" customHeight="1">
      <c r="A630" s="5"/>
      <c r="B630" s="5"/>
      <c r="C630" s="5"/>
      <c r="D630" s="5"/>
      <c r="E630" s="5"/>
      <c r="F630" s="5"/>
      <c r="G630" s="5"/>
    </row>
    <row r="631" ht="15.75" customHeight="1">
      <c r="A631" s="5"/>
      <c r="B631" s="5"/>
      <c r="C631" s="5"/>
      <c r="D631" s="5"/>
      <c r="E631" s="5"/>
      <c r="F631" s="5"/>
      <c r="G631" s="5"/>
    </row>
    <row r="632" ht="15.75" customHeight="1">
      <c r="A632" s="5"/>
      <c r="B632" s="5"/>
      <c r="C632" s="5"/>
      <c r="D632" s="5"/>
      <c r="E632" s="5"/>
      <c r="F632" s="5"/>
      <c r="G632" s="5"/>
    </row>
    <row r="633" ht="15.75" customHeight="1">
      <c r="A633" s="5"/>
      <c r="B633" s="5"/>
      <c r="C633" s="5"/>
      <c r="D633" s="5"/>
      <c r="E633" s="5"/>
      <c r="F633" s="5"/>
      <c r="G633" s="5"/>
    </row>
    <row r="634" ht="15.75" customHeight="1">
      <c r="A634" s="5"/>
      <c r="B634" s="5"/>
      <c r="C634" s="5"/>
      <c r="D634" s="5"/>
      <c r="E634" s="5"/>
      <c r="F634" s="5"/>
      <c r="G634" s="5"/>
    </row>
    <row r="635" ht="15.75" customHeight="1">
      <c r="A635" s="5"/>
      <c r="B635" s="5"/>
      <c r="C635" s="5"/>
      <c r="D635" s="5"/>
      <c r="E635" s="5"/>
      <c r="F635" s="5"/>
      <c r="G635" s="5"/>
    </row>
    <row r="636" ht="15.75" customHeight="1">
      <c r="A636" s="5"/>
      <c r="B636" s="5"/>
      <c r="C636" s="5"/>
      <c r="D636" s="5"/>
      <c r="E636" s="5"/>
      <c r="F636" s="5"/>
      <c r="G636" s="5"/>
    </row>
    <row r="637" ht="15.75" customHeight="1">
      <c r="A637" s="5"/>
      <c r="B637" s="5"/>
      <c r="C637" s="5"/>
      <c r="D637" s="5"/>
      <c r="E637" s="5"/>
      <c r="F637" s="5"/>
      <c r="G637" s="5"/>
    </row>
    <row r="638" ht="15.75" customHeight="1">
      <c r="A638" s="5"/>
      <c r="B638" s="5"/>
      <c r="C638" s="5"/>
      <c r="D638" s="5"/>
      <c r="E638" s="5"/>
      <c r="F638" s="5"/>
      <c r="G638" s="5"/>
    </row>
    <row r="639" ht="15.75" customHeight="1">
      <c r="A639" s="5"/>
      <c r="B639" s="5"/>
      <c r="C639" s="5"/>
      <c r="D639" s="5"/>
      <c r="E639" s="5"/>
      <c r="F639" s="5"/>
      <c r="G639" s="5"/>
    </row>
    <row r="640" ht="15.75" customHeight="1">
      <c r="A640" s="5"/>
      <c r="B640" s="5"/>
      <c r="C640" s="5"/>
      <c r="D640" s="5"/>
      <c r="E640" s="5"/>
      <c r="F640" s="5"/>
      <c r="G640" s="5"/>
    </row>
    <row r="641" ht="15.75" customHeight="1">
      <c r="A641" s="5"/>
      <c r="B641" s="5"/>
      <c r="C641" s="5"/>
      <c r="D641" s="5"/>
      <c r="E641" s="5"/>
      <c r="F641" s="5"/>
      <c r="G641" s="5"/>
    </row>
    <row r="642" ht="15.75" customHeight="1">
      <c r="A642" s="5"/>
      <c r="B642" s="5"/>
      <c r="C642" s="5"/>
      <c r="D642" s="5"/>
      <c r="E642" s="5"/>
      <c r="F642" s="5"/>
      <c r="G642" s="5"/>
    </row>
    <row r="643" ht="15.75" customHeight="1">
      <c r="A643" s="5"/>
      <c r="B643" s="5"/>
      <c r="C643" s="5"/>
      <c r="D643" s="5"/>
      <c r="E643" s="5"/>
      <c r="F643" s="5"/>
      <c r="G643" s="5"/>
    </row>
    <row r="644" ht="15.75" customHeight="1">
      <c r="A644" s="5"/>
      <c r="B644" s="5"/>
      <c r="C644" s="5"/>
      <c r="D644" s="5"/>
      <c r="E644" s="5"/>
      <c r="F644" s="5"/>
      <c r="G644" s="5"/>
    </row>
    <row r="645" ht="15.75" customHeight="1">
      <c r="A645" s="5"/>
      <c r="B645" s="5"/>
      <c r="C645" s="5"/>
      <c r="D645" s="5"/>
      <c r="E645" s="5"/>
      <c r="F645" s="5"/>
      <c r="G645" s="5"/>
    </row>
    <row r="646" ht="15.75" customHeight="1">
      <c r="A646" s="5"/>
      <c r="B646" s="5"/>
      <c r="C646" s="5"/>
      <c r="D646" s="5"/>
      <c r="E646" s="5"/>
      <c r="F646" s="5"/>
      <c r="G646" s="5"/>
    </row>
    <row r="647" ht="15.75" customHeight="1">
      <c r="A647" s="5"/>
      <c r="B647" s="5"/>
      <c r="C647" s="5"/>
      <c r="D647" s="5"/>
      <c r="E647" s="5"/>
      <c r="F647" s="5"/>
      <c r="G647" s="5"/>
    </row>
    <row r="648" ht="15.75" customHeight="1">
      <c r="A648" s="5"/>
      <c r="B648" s="5"/>
      <c r="C648" s="5"/>
      <c r="D648" s="5"/>
      <c r="E648" s="5"/>
      <c r="F648" s="5"/>
      <c r="G648" s="5"/>
    </row>
    <row r="649" ht="15.75" customHeight="1">
      <c r="A649" s="5"/>
      <c r="B649" s="5"/>
      <c r="C649" s="5"/>
      <c r="D649" s="5"/>
      <c r="E649" s="5"/>
      <c r="F649" s="5"/>
      <c r="G649" s="5"/>
    </row>
    <row r="650" ht="15.75" customHeight="1">
      <c r="A650" s="5"/>
      <c r="B650" s="5"/>
      <c r="C650" s="5"/>
      <c r="D650" s="5"/>
      <c r="E650" s="5"/>
      <c r="F650" s="5"/>
      <c r="G650" s="5"/>
    </row>
    <row r="651" ht="15.75" customHeight="1">
      <c r="A651" s="5"/>
      <c r="B651" s="5"/>
      <c r="C651" s="5"/>
      <c r="D651" s="5"/>
      <c r="E651" s="5"/>
      <c r="F651" s="5"/>
      <c r="G651" s="5"/>
    </row>
    <row r="652" ht="15.75" customHeight="1">
      <c r="A652" s="5"/>
      <c r="B652" s="5"/>
      <c r="C652" s="5"/>
      <c r="D652" s="5"/>
      <c r="E652" s="5"/>
      <c r="F652" s="5"/>
      <c r="G652" s="5"/>
    </row>
    <row r="653" ht="15.75" customHeight="1">
      <c r="A653" s="5"/>
      <c r="B653" s="5"/>
      <c r="C653" s="5"/>
      <c r="D653" s="5"/>
      <c r="E653" s="5"/>
      <c r="F653" s="5"/>
      <c r="G653" s="5"/>
    </row>
    <row r="654" ht="15.75" customHeight="1">
      <c r="A654" s="5"/>
      <c r="B654" s="5"/>
      <c r="C654" s="5"/>
      <c r="D654" s="5"/>
      <c r="E654" s="5"/>
      <c r="F654" s="5"/>
      <c r="G654" s="5"/>
    </row>
    <row r="655" ht="15.75" customHeight="1">
      <c r="A655" s="5"/>
      <c r="B655" s="5"/>
      <c r="C655" s="5"/>
      <c r="D655" s="5"/>
      <c r="E655" s="5"/>
      <c r="F655" s="5"/>
      <c r="G655" s="5"/>
    </row>
    <row r="656" ht="15.75" customHeight="1">
      <c r="A656" s="5"/>
      <c r="B656" s="5"/>
      <c r="C656" s="5"/>
      <c r="D656" s="5"/>
      <c r="E656" s="5"/>
      <c r="F656" s="5"/>
      <c r="G656" s="5"/>
    </row>
    <row r="657" ht="15.75" customHeight="1">
      <c r="A657" s="5"/>
      <c r="B657" s="5"/>
      <c r="C657" s="5"/>
      <c r="D657" s="5"/>
      <c r="E657" s="5"/>
      <c r="F657" s="5"/>
      <c r="G657" s="5"/>
    </row>
    <row r="658" ht="15.75" customHeight="1">
      <c r="A658" s="5"/>
      <c r="B658" s="5"/>
      <c r="C658" s="5"/>
      <c r="D658" s="5"/>
      <c r="E658" s="5"/>
      <c r="F658" s="5"/>
      <c r="G658" s="5"/>
    </row>
    <row r="659" ht="15.75" customHeight="1">
      <c r="A659" s="5"/>
      <c r="B659" s="5"/>
      <c r="C659" s="5"/>
      <c r="D659" s="5"/>
      <c r="E659" s="5"/>
      <c r="F659" s="5"/>
      <c r="G659" s="5"/>
    </row>
    <row r="660" ht="15.75" customHeight="1">
      <c r="A660" s="5"/>
      <c r="B660" s="5"/>
      <c r="C660" s="5"/>
      <c r="D660" s="5"/>
      <c r="E660" s="5"/>
      <c r="F660" s="5"/>
      <c r="G660" s="5"/>
    </row>
    <row r="661" ht="15.75" customHeight="1">
      <c r="A661" s="5"/>
      <c r="B661" s="5"/>
      <c r="C661" s="5"/>
      <c r="D661" s="5"/>
      <c r="E661" s="5"/>
      <c r="F661" s="5"/>
      <c r="G661" s="5"/>
    </row>
    <row r="662" ht="15.75" customHeight="1">
      <c r="A662" s="5"/>
      <c r="B662" s="5"/>
      <c r="C662" s="5"/>
      <c r="D662" s="5"/>
      <c r="E662" s="5"/>
      <c r="F662" s="5"/>
      <c r="G662" s="5"/>
    </row>
    <row r="663" ht="15.75" customHeight="1">
      <c r="A663" s="5"/>
      <c r="B663" s="5"/>
      <c r="C663" s="5"/>
      <c r="D663" s="5"/>
      <c r="E663" s="5"/>
      <c r="F663" s="5"/>
      <c r="G663" s="5"/>
    </row>
    <row r="664" ht="15.75" customHeight="1">
      <c r="A664" s="5"/>
      <c r="B664" s="5"/>
      <c r="C664" s="5"/>
      <c r="D664" s="5"/>
      <c r="E664" s="5"/>
      <c r="F664" s="5"/>
      <c r="G664" s="5"/>
    </row>
    <row r="665" ht="15.75" customHeight="1">
      <c r="A665" s="5"/>
      <c r="B665" s="5"/>
      <c r="C665" s="5"/>
      <c r="D665" s="5"/>
      <c r="E665" s="5"/>
      <c r="F665" s="5"/>
      <c r="G665" s="5"/>
    </row>
    <row r="666" ht="15.75" customHeight="1">
      <c r="A666" s="5"/>
      <c r="B666" s="5"/>
      <c r="C666" s="5"/>
      <c r="D666" s="5"/>
      <c r="E666" s="5"/>
      <c r="F666" s="5"/>
      <c r="G666" s="5"/>
    </row>
    <row r="667" ht="15.75" customHeight="1">
      <c r="A667" s="5"/>
      <c r="B667" s="5"/>
      <c r="C667" s="5"/>
      <c r="D667" s="5"/>
      <c r="E667" s="5"/>
      <c r="F667" s="5"/>
      <c r="G667" s="5"/>
    </row>
    <row r="668" ht="15.75" customHeight="1">
      <c r="A668" s="5"/>
      <c r="B668" s="5"/>
      <c r="C668" s="5"/>
      <c r="D668" s="5"/>
      <c r="E668" s="5"/>
      <c r="F668" s="5"/>
      <c r="G668" s="5"/>
    </row>
    <row r="669" ht="15.75" customHeight="1">
      <c r="A669" s="5"/>
      <c r="B669" s="5"/>
      <c r="C669" s="5"/>
      <c r="D669" s="5"/>
      <c r="E669" s="5"/>
      <c r="F669" s="5"/>
      <c r="G669" s="5"/>
    </row>
    <row r="670" ht="15.75" customHeight="1">
      <c r="A670" s="5"/>
      <c r="B670" s="5"/>
      <c r="C670" s="5"/>
      <c r="D670" s="5"/>
      <c r="E670" s="5"/>
      <c r="F670" s="5"/>
      <c r="G670" s="5"/>
    </row>
    <row r="671" ht="15.75" customHeight="1">
      <c r="A671" s="5"/>
      <c r="B671" s="5"/>
      <c r="C671" s="5"/>
      <c r="D671" s="5"/>
      <c r="E671" s="5"/>
      <c r="F671" s="5"/>
      <c r="G671" s="5"/>
    </row>
    <row r="672" ht="15.75" customHeight="1">
      <c r="A672" s="5"/>
      <c r="B672" s="5"/>
      <c r="C672" s="5"/>
      <c r="D672" s="5"/>
      <c r="E672" s="5"/>
      <c r="F672" s="5"/>
      <c r="G672" s="5"/>
    </row>
    <row r="673" ht="15.75" customHeight="1">
      <c r="A673" s="5"/>
      <c r="B673" s="5"/>
      <c r="C673" s="5"/>
      <c r="D673" s="5"/>
      <c r="E673" s="5"/>
      <c r="F673" s="5"/>
      <c r="G673" s="5"/>
    </row>
    <row r="674" ht="15.75" customHeight="1">
      <c r="A674" s="5"/>
      <c r="B674" s="5"/>
      <c r="C674" s="5"/>
      <c r="D674" s="5"/>
      <c r="E674" s="5"/>
      <c r="F674" s="5"/>
      <c r="G674" s="5"/>
    </row>
    <row r="675" ht="15.75" customHeight="1">
      <c r="A675" s="5"/>
      <c r="B675" s="5"/>
      <c r="C675" s="5"/>
      <c r="D675" s="5"/>
      <c r="E675" s="5"/>
      <c r="F675" s="5"/>
      <c r="G675" s="5"/>
    </row>
    <row r="676" ht="15.75" customHeight="1">
      <c r="A676" s="5"/>
      <c r="B676" s="5"/>
      <c r="C676" s="5"/>
      <c r="D676" s="5"/>
      <c r="E676" s="5"/>
      <c r="F676" s="5"/>
      <c r="G676" s="5"/>
    </row>
    <row r="677" ht="15.75" customHeight="1">
      <c r="A677" s="5"/>
      <c r="B677" s="5"/>
      <c r="C677" s="5"/>
      <c r="D677" s="5"/>
      <c r="E677" s="5"/>
      <c r="F677" s="5"/>
      <c r="G677" s="5"/>
    </row>
    <row r="678" ht="15.75" customHeight="1">
      <c r="A678" s="5"/>
      <c r="B678" s="5"/>
      <c r="C678" s="5"/>
      <c r="D678" s="5"/>
      <c r="E678" s="5"/>
      <c r="F678" s="5"/>
      <c r="G678" s="5"/>
    </row>
    <row r="679" ht="15.75" customHeight="1">
      <c r="A679" s="5"/>
      <c r="B679" s="5"/>
      <c r="C679" s="5"/>
      <c r="D679" s="5"/>
      <c r="E679" s="5"/>
      <c r="F679" s="5"/>
      <c r="G679" s="5"/>
    </row>
    <row r="680" ht="15.75" customHeight="1">
      <c r="A680" s="5"/>
      <c r="B680" s="5"/>
      <c r="C680" s="5"/>
      <c r="D680" s="5"/>
      <c r="E680" s="5"/>
      <c r="F680" s="5"/>
      <c r="G680" s="5"/>
    </row>
    <row r="681" ht="15.75" customHeight="1">
      <c r="A681" s="5"/>
      <c r="B681" s="5"/>
      <c r="C681" s="5"/>
      <c r="D681" s="5"/>
      <c r="E681" s="5"/>
      <c r="F681" s="5"/>
      <c r="G681" s="5"/>
    </row>
    <row r="682" ht="15.75" customHeight="1">
      <c r="A682" s="5"/>
      <c r="B682" s="5"/>
      <c r="C682" s="5"/>
      <c r="D682" s="5"/>
      <c r="E682" s="5"/>
      <c r="F682" s="5"/>
      <c r="G682" s="5"/>
    </row>
    <row r="683" ht="15.75" customHeight="1">
      <c r="A683" s="5"/>
      <c r="B683" s="5"/>
      <c r="C683" s="5"/>
      <c r="D683" s="5"/>
      <c r="E683" s="5"/>
      <c r="F683" s="5"/>
      <c r="G683" s="5"/>
    </row>
    <row r="684" ht="15.75" customHeight="1">
      <c r="A684" s="5"/>
      <c r="B684" s="5"/>
      <c r="C684" s="5"/>
      <c r="D684" s="5"/>
      <c r="E684" s="5"/>
      <c r="F684" s="5"/>
      <c r="G684" s="5"/>
    </row>
    <row r="685" ht="15.75" customHeight="1">
      <c r="A685" s="5"/>
      <c r="B685" s="5"/>
      <c r="C685" s="5"/>
      <c r="D685" s="5"/>
      <c r="E685" s="5"/>
      <c r="F685" s="5"/>
      <c r="G685" s="5"/>
    </row>
    <row r="686" ht="15.75" customHeight="1">
      <c r="A686" s="5"/>
      <c r="B686" s="5"/>
      <c r="C686" s="5"/>
      <c r="D686" s="5"/>
      <c r="E686" s="5"/>
      <c r="F686" s="5"/>
      <c r="G686" s="5"/>
    </row>
    <row r="687" ht="15.75" customHeight="1">
      <c r="A687" s="5"/>
      <c r="B687" s="5"/>
      <c r="C687" s="5"/>
      <c r="D687" s="5"/>
      <c r="E687" s="5"/>
      <c r="F687" s="5"/>
      <c r="G687" s="5"/>
    </row>
    <row r="688" ht="15.75" customHeight="1">
      <c r="A688" s="5"/>
      <c r="B688" s="5"/>
      <c r="C688" s="5"/>
      <c r="D688" s="5"/>
      <c r="E688" s="5"/>
      <c r="F688" s="5"/>
      <c r="G688" s="5"/>
    </row>
    <row r="689" ht="15.75" customHeight="1">
      <c r="A689" s="5"/>
      <c r="B689" s="5"/>
      <c r="C689" s="5"/>
      <c r="D689" s="5"/>
      <c r="E689" s="5"/>
      <c r="F689" s="5"/>
      <c r="G689" s="5"/>
    </row>
    <row r="690" ht="15.75" customHeight="1">
      <c r="A690" s="5"/>
      <c r="B690" s="5"/>
      <c r="C690" s="5"/>
      <c r="D690" s="5"/>
      <c r="E690" s="5"/>
      <c r="F690" s="5"/>
      <c r="G690" s="5"/>
    </row>
    <row r="691" ht="15.75" customHeight="1">
      <c r="A691" s="5"/>
      <c r="B691" s="5"/>
      <c r="C691" s="5"/>
      <c r="D691" s="5"/>
      <c r="E691" s="5"/>
      <c r="F691" s="5"/>
      <c r="G691" s="5"/>
    </row>
    <row r="692" ht="15.75" customHeight="1">
      <c r="A692" s="5"/>
      <c r="B692" s="5"/>
      <c r="C692" s="5"/>
      <c r="D692" s="5"/>
      <c r="E692" s="5"/>
      <c r="F692" s="5"/>
      <c r="G692" s="5"/>
    </row>
    <row r="693" ht="15.75" customHeight="1">
      <c r="A693" s="5"/>
      <c r="B693" s="5"/>
      <c r="C693" s="5"/>
      <c r="D693" s="5"/>
      <c r="E693" s="5"/>
      <c r="F693" s="5"/>
      <c r="G693" s="5"/>
    </row>
    <row r="694" ht="15.75" customHeight="1">
      <c r="A694" s="5"/>
      <c r="B694" s="5"/>
      <c r="C694" s="5"/>
      <c r="D694" s="5"/>
      <c r="E694" s="5"/>
      <c r="F694" s="5"/>
      <c r="G694" s="5"/>
    </row>
    <row r="695" ht="15.75" customHeight="1">
      <c r="A695" s="5"/>
      <c r="B695" s="5"/>
      <c r="C695" s="5"/>
      <c r="D695" s="5"/>
      <c r="E695" s="5"/>
      <c r="F695" s="5"/>
      <c r="G695" s="5"/>
    </row>
    <row r="696" ht="15.75" customHeight="1">
      <c r="A696" s="5"/>
      <c r="B696" s="5"/>
      <c r="C696" s="5"/>
      <c r="D696" s="5"/>
      <c r="E696" s="5"/>
      <c r="F696" s="5"/>
      <c r="G696" s="5"/>
    </row>
    <row r="697" ht="15.75" customHeight="1">
      <c r="A697" s="5"/>
      <c r="B697" s="5"/>
      <c r="C697" s="5"/>
      <c r="D697" s="5"/>
      <c r="E697" s="5"/>
      <c r="F697" s="5"/>
      <c r="G697" s="5"/>
    </row>
    <row r="698" ht="15.75" customHeight="1">
      <c r="A698" s="5"/>
      <c r="B698" s="5"/>
      <c r="C698" s="5"/>
      <c r="D698" s="5"/>
      <c r="E698" s="5"/>
      <c r="F698" s="5"/>
      <c r="G698" s="5"/>
    </row>
    <row r="699" ht="15.75" customHeight="1">
      <c r="A699" s="5"/>
      <c r="B699" s="5"/>
      <c r="C699" s="5"/>
      <c r="D699" s="5"/>
      <c r="E699" s="5"/>
      <c r="F699" s="5"/>
      <c r="G699" s="5"/>
    </row>
    <row r="700" ht="15.75" customHeight="1">
      <c r="A700" s="5"/>
      <c r="B700" s="5"/>
      <c r="C700" s="5"/>
      <c r="D700" s="5"/>
      <c r="E700" s="5"/>
      <c r="F700" s="5"/>
      <c r="G700" s="5"/>
    </row>
    <row r="701" ht="15.75" customHeight="1">
      <c r="A701" s="5"/>
      <c r="B701" s="5"/>
      <c r="C701" s="5"/>
      <c r="D701" s="5"/>
      <c r="E701" s="5"/>
      <c r="F701" s="5"/>
      <c r="G701" s="5"/>
    </row>
    <row r="702" ht="15.75" customHeight="1">
      <c r="A702" s="5"/>
      <c r="B702" s="5"/>
      <c r="C702" s="5"/>
      <c r="D702" s="5"/>
      <c r="E702" s="5"/>
      <c r="F702" s="5"/>
      <c r="G702" s="5"/>
    </row>
    <row r="703" ht="15.75" customHeight="1">
      <c r="A703" s="5"/>
      <c r="B703" s="5"/>
      <c r="C703" s="5"/>
      <c r="D703" s="5"/>
      <c r="E703" s="5"/>
      <c r="F703" s="5"/>
      <c r="G703" s="5"/>
    </row>
    <row r="704" ht="15.75" customHeight="1">
      <c r="A704" s="5"/>
      <c r="B704" s="5"/>
      <c r="C704" s="5"/>
      <c r="D704" s="5"/>
      <c r="E704" s="5"/>
      <c r="F704" s="5"/>
      <c r="G704" s="5"/>
    </row>
    <row r="705" ht="15.75" customHeight="1">
      <c r="A705" s="5"/>
      <c r="B705" s="5"/>
      <c r="C705" s="5"/>
      <c r="D705" s="5"/>
      <c r="E705" s="5"/>
      <c r="F705" s="5"/>
      <c r="G705" s="5"/>
    </row>
    <row r="706" ht="15.75" customHeight="1">
      <c r="A706" s="5"/>
      <c r="B706" s="5"/>
      <c r="C706" s="5"/>
      <c r="D706" s="5"/>
      <c r="E706" s="5"/>
      <c r="F706" s="5"/>
      <c r="G706" s="5"/>
    </row>
    <row r="707" ht="15.75" customHeight="1">
      <c r="A707" s="5"/>
      <c r="B707" s="5"/>
      <c r="C707" s="5"/>
      <c r="D707" s="5"/>
      <c r="E707" s="5"/>
      <c r="F707" s="5"/>
      <c r="G707" s="5"/>
    </row>
    <row r="708" ht="15.75" customHeight="1">
      <c r="A708" s="5"/>
      <c r="B708" s="5"/>
      <c r="C708" s="5"/>
      <c r="D708" s="5"/>
      <c r="E708" s="5"/>
      <c r="F708" s="5"/>
      <c r="G708" s="5"/>
    </row>
    <row r="709" ht="15.75" customHeight="1">
      <c r="A709" s="5"/>
      <c r="B709" s="5"/>
      <c r="C709" s="5"/>
      <c r="D709" s="5"/>
      <c r="E709" s="5"/>
      <c r="F709" s="5"/>
      <c r="G709" s="5"/>
    </row>
    <row r="710" ht="15.75" customHeight="1">
      <c r="A710" s="5"/>
      <c r="B710" s="5"/>
      <c r="C710" s="5"/>
      <c r="D710" s="5"/>
      <c r="E710" s="5"/>
      <c r="F710" s="5"/>
      <c r="G710" s="5"/>
    </row>
    <row r="711" ht="15.75" customHeight="1">
      <c r="A711" s="5"/>
      <c r="B711" s="5"/>
      <c r="C711" s="5"/>
      <c r="D711" s="5"/>
      <c r="E711" s="5"/>
      <c r="F711" s="5"/>
      <c r="G711" s="5"/>
    </row>
    <row r="712" ht="15.75" customHeight="1">
      <c r="A712" s="5"/>
      <c r="B712" s="5"/>
      <c r="C712" s="5"/>
      <c r="D712" s="5"/>
      <c r="E712" s="5"/>
      <c r="F712" s="5"/>
      <c r="G712" s="5"/>
    </row>
    <row r="713" ht="15.75" customHeight="1">
      <c r="A713" s="5"/>
      <c r="B713" s="5"/>
      <c r="C713" s="5"/>
      <c r="D713" s="5"/>
      <c r="E713" s="5"/>
      <c r="F713" s="5"/>
      <c r="G713" s="5"/>
    </row>
    <row r="714" ht="15.75" customHeight="1">
      <c r="A714" s="5"/>
      <c r="B714" s="5"/>
      <c r="C714" s="5"/>
      <c r="D714" s="5"/>
      <c r="E714" s="5"/>
      <c r="F714" s="5"/>
      <c r="G714" s="5"/>
    </row>
    <row r="715" ht="15.75" customHeight="1">
      <c r="A715" s="5"/>
      <c r="B715" s="5"/>
      <c r="C715" s="5"/>
      <c r="D715" s="5"/>
      <c r="E715" s="5"/>
      <c r="F715" s="5"/>
      <c r="G715" s="5"/>
    </row>
    <row r="716" ht="15.75" customHeight="1">
      <c r="A716" s="5"/>
      <c r="B716" s="5"/>
      <c r="C716" s="5"/>
      <c r="D716" s="5"/>
      <c r="E716" s="5"/>
      <c r="F716" s="5"/>
      <c r="G716" s="5"/>
    </row>
    <row r="717" ht="15.75" customHeight="1">
      <c r="A717" s="5"/>
      <c r="B717" s="5"/>
      <c r="C717" s="5"/>
      <c r="D717" s="5"/>
      <c r="E717" s="5"/>
      <c r="F717" s="5"/>
      <c r="G717" s="5"/>
    </row>
    <row r="718" ht="15.75" customHeight="1">
      <c r="A718" s="5"/>
      <c r="B718" s="5"/>
      <c r="C718" s="5"/>
      <c r="D718" s="5"/>
      <c r="E718" s="5"/>
      <c r="F718" s="5"/>
      <c r="G718" s="5"/>
    </row>
    <row r="719" ht="15.75" customHeight="1">
      <c r="A719" s="5"/>
      <c r="B719" s="5"/>
      <c r="C719" s="5"/>
      <c r="D719" s="5"/>
      <c r="E719" s="5"/>
      <c r="F719" s="5"/>
      <c r="G719" s="5"/>
    </row>
    <row r="720" ht="15.75" customHeight="1">
      <c r="A720" s="5"/>
      <c r="B720" s="5"/>
      <c r="C720" s="5"/>
      <c r="D720" s="5"/>
      <c r="E720" s="5"/>
      <c r="F720" s="5"/>
      <c r="G720" s="5"/>
    </row>
    <row r="721" ht="15.75" customHeight="1">
      <c r="A721" s="5"/>
      <c r="B721" s="5"/>
      <c r="C721" s="5"/>
      <c r="D721" s="5"/>
      <c r="E721" s="5"/>
      <c r="F721" s="5"/>
      <c r="G721" s="5"/>
    </row>
    <row r="722" ht="15.75" customHeight="1">
      <c r="A722" s="5"/>
      <c r="B722" s="5"/>
      <c r="C722" s="5"/>
      <c r="D722" s="5"/>
      <c r="E722" s="5"/>
      <c r="F722" s="5"/>
      <c r="G722" s="5"/>
    </row>
    <row r="723" ht="15.75" customHeight="1">
      <c r="A723" s="5"/>
      <c r="B723" s="5"/>
      <c r="C723" s="5"/>
      <c r="D723" s="5"/>
      <c r="E723" s="5"/>
      <c r="F723" s="5"/>
      <c r="G723" s="5"/>
    </row>
    <row r="724" ht="15.75" customHeight="1">
      <c r="A724" s="5"/>
      <c r="B724" s="5"/>
      <c r="C724" s="5"/>
      <c r="D724" s="5"/>
      <c r="E724" s="5"/>
      <c r="F724" s="5"/>
      <c r="G724" s="5"/>
    </row>
    <row r="725" ht="15.75" customHeight="1">
      <c r="A725" s="5"/>
      <c r="B725" s="5"/>
      <c r="C725" s="5"/>
      <c r="D725" s="5"/>
      <c r="E725" s="5"/>
      <c r="F725" s="5"/>
      <c r="G725" s="5"/>
    </row>
    <row r="726" ht="15.75" customHeight="1">
      <c r="A726" s="5"/>
      <c r="B726" s="5"/>
      <c r="C726" s="5"/>
      <c r="D726" s="5"/>
      <c r="E726" s="5"/>
      <c r="F726" s="5"/>
      <c r="G726" s="5"/>
    </row>
    <row r="727" ht="15.75" customHeight="1">
      <c r="A727" s="5"/>
      <c r="B727" s="5"/>
      <c r="C727" s="5"/>
      <c r="D727" s="5"/>
      <c r="E727" s="5"/>
      <c r="F727" s="5"/>
      <c r="G727" s="5"/>
    </row>
    <row r="728" ht="15.75" customHeight="1">
      <c r="A728" s="5"/>
      <c r="B728" s="5"/>
      <c r="C728" s="5"/>
      <c r="D728" s="5"/>
      <c r="E728" s="5"/>
      <c r="F728" s="5"/>
      <c r="G728" s="5"/>
    </row>
    <row r="729" ht="15.75" customHeight="1">
      <c r="A729" s="5"/>
      <c r="B729" s="5"/>
      <c r="C729" s="5"/>
      <c r="D729" s="5"/>
      <c r="E729" s="5"/>
      <c r="F729" s="5"/>
      <c r="G729" s="5"/>
    </row>
    <row r="730" ht="15.75" customHeight="1">
      <c r="A730" s="5"/>
      <c r="B730" s="5"/>
      <c r="C730" s="5"/>
      <c r="D730" s="5"/>
      <c r="E730" s="5"/>
      <c r="F730" s="5"/>
      <c r="G730" s="5"/>
    </row>
    <row r="731" ht="15.75" customHeight="1">
      <c r="A731" s="5"/>
      <c r="B731" s="5"/>
      <c r="C731" s="5"/>
      <c r="D731" s="5"/>
      <c r="E731" s="5"/>
      <c r="F731" s="5"/>
      <c r="G731" s="5"/>
    </row>
    <row r="732" ht="15.75" customHeight="1">
      <c r="A732" s="5"/>
      <c r="B732" s="5"/>
      <c r="C732" s="5"/>
      <c r="D732" s="5"/>
      <c r="E732" s="5"/>
      <c r="F732" s="5"/>
      <c r="G732" s="5"/>
    </row>
    <row r="733" ht="15.75" customHeight="1">
      <c r="A733" s="5"/>
      <c r="B733" s="5"/>
      <c r="C733" s="5"/>
      <c r="D733" s="5"/>
      <c r="E733" s="5"/>
      <c r="F733" s="5"/>
      <c r="G733" s="5"/>
    </row>
    <row r="734" ht="15.75" customHeight="1">
      <c r="A734" s="5"/>
      <c r="B734" s="5"/>
      <c r="C734" s="5"/>
      <c r="D734" s="5"/>
      <c r="E734" s="5"/>
      <c r="F734" s="5"/>
      <c r="G734" s="5"/>
    </row>
    <row r="735" ht="15.75" customHeight="1">
      <c r="A735" s="5"/>
      <c r="B735" s="5"/>
      <c r="C735" s="5"/>
      <c r="D735" s="5"/>
      <c r="E735" s="5"/>
      <c r="F735" s="5"/>
      <c r="G735" s="5"/>
    </row>
    <row r="736" ht="15.75" customHeight="1">
      <c r="A736" s="5"/>
      <c r="B736" s="5"/>
      <c r="C736" s="5"/>
      <c r="D736" s="5"/>
      <c r="E736" s="5"/>
      <c r="F736" s="5"/>
      <c r="G736" s="5"/>
    </row>
    <row r="737" ht="15.75" customHeight="1">
      <c r="A737" s="5"/>
      <c r="B737" s="5"/>
      <c r="C737" s="5"/>
      <c r="D737" s="5"/>
      <c r="E737" s="5"/>
      <c r="F737" s="5"/>
      <c r="G737" s="5"/>
    </row>
    <row r="738" ht="15.75" customHeight="1">
      <c r="A738" s="5"/>
      <c r="B738" s="5"/>
      <c r="C738" s="5"/>
      <c r="D738" s="5"/>
      <c r="E738" s="5"/>
      <c r="F738" s="5"/>
      <c r="G738" s="5"/>
    </row>
    <row r="739" ht="15.75" customHeight="1">
      <c r="A739" s="5"/>
      <c r="B739" s="5"/>
      <c r="C739" s="5"/>
      <c r="D739" s="5"/>
      <c r="E739" s="5"/>
      <c r="F739" s="5"/>
      <c r="G739" s="5"/>
    </row>
    <row r="740" ht="15.75" customHeight="1">
      <c r="A740" s="5"/>
      <c r="B740" s="5"/>
      <c r="C740" s="5"/>
      <c r="D740" s="5"/>
      <c r="E740" s="5"/>
      <c r="F740" s="5"/>
      <c r="G740" s="5"/>
    </row>
    <row r="741" ht="15.75" customHeight="1">
      <c r="A741" s="5"/>
      <c r="B741" s="5"/>
      <c r="C741" s="5"/>
      <c r="D741" s="5"/>
      <c r="E741" s="5"/>
      <c r="F741" s="5"/>
      <c r="G741" s="5"/>
    </row>
    <row r="742" ht="15.75" customHeight="1">
      <c r="A742" s="5"/>
      <c r="B742" s="5"/>
      <c r="C742" s="5"/>
      <c r="D742" s="5"/>
      <c r="E742" s="5"/>
      <c r="F742" s="5"/>
      <c r="G742" s="5"/>
    </row>
    <row r="743" ht="15.75" customHeight="1">
      <c r="A743" s="5"/>
      <c r="B743" s="5"/>
      <c r="C743" s="5"/>
      <c r="D743" s="5"/>
      <c r="E743" s="5"/>
      <c r="F743" s="5"/>
      <c r="G743" s="5"/>
    </row>
    <row r="744" ht="15.75" customHeight="1">
      <c r="A744" s="5"/>
      <c r="B744" s="5"/>
      <c r="C744" s="5"/>
      <c r="D744" s="5"/>
      <c r="E744" s="5"/>
      <c r="F744" s="5"/>
      <c r="G744" s="5"/>
    </row>
    <row r="745" ht="15.75" customHeight="1">
      <c r="A745" s="5"/>
      <c r="B745" s="5"/>
      <c r="C745" s="5"/>
      <c r="D745" s="5"/>
      <c r="E745" s="5"/>
      <c r="F745" s="5"/>
      <c r="G745" s="5"/>
    </row>
    <row r="746" ht="15.75" customHeight="1">
      <c r="A746" s="5"/>
      <c r="B746" s="5"/>
      <c r="C746" s="5"/>
      <c r="D746" s="5"/>
      <c r="E746" s="5"/>
      <c r="F746" s="5"/>
      <c r="G746" s="5"/>
    </row>
    <row r="747" ht="15.75" customHeight="1">
      <c r="A747" s="5"/>
      <c r="B747" s="5"/>
      <c r="C747" s="5"/>
      <c r="D747" s="5"/>
      <c r="E747" s="5"/>
      <c r="F747" s="5"/>
      <c r="G747" s="5"/>
    </row>
    <row r="748" ht="15.75" customHeight="1">
      <c r="A748" s="5"/>
      <c r="B748" s="5"/>
      <c r="C748" s="5"/>
      <c r="D748" s="5"/>
      <c r="E748" s="5"/>
      <c r="F748" s="5"/>
      <c r="G748" s="5"/>
    </row>
    <row r="749" ht="15.75" customHeight="1">
      <c r="A749" s="5"/>
      <c r="B749" s="5"/>
      <c r="C749" s="5"/>
      <c r="D749" s="5"/>
      <c r="E749" s="5"/>
      <c r="F749" s="5"/>
      <c r="G749" s="5"/>
    </row>
    <row r="750" ht="15.75" customHeight="1">
      <c r="A750" s="5"/>
      <c r="B750" s="5"/>
      <c r="C750" s="5"/>
      <c r="D750" s="5"/>
      <c r="E750" s="5"/>
      <c r="F750" s="5"/>
      <c r="G750" s="5"/>
    </row>
    <row r="751" ht="15.75" customHeight="1">
      <c r="A751" s="5"/>
      <c r="B751" s="5"/>
      <c r="C751" s="5"/>
      <c r="D751" s="5"/>
      <c r="E751" s="5"/>
      <c r="F751" s="5"/>
      <c r="G751" s="5"/>
    </row>
    <row r="752" ht="15.75" customHeight="1">
      <c r="A752" s="5"/>
      <c r="B752" s="5"/>
      <c r="C752" s="5"/>
      <c r="D752" s="5"/>
      <c r="E752" s="5"/>
      <c r="F752" s="5"/>
      <c r="G752" s="5"/>
    </row>
    <row r="753" ht="15.75" customHeight="1">
      <c r="A753" s="5"/>
      <c r="B753" s="5"/>
      <c r="C753" s="5"/>
      <c r="D753" s="5"/>
      <c r="E753" s="5"/>
      <c r="F753" s="5"/>
      <c r="G753" s="5"/>
    </row>
    <row r="754" ht="15.75" customHeight="1">
      <c r="A754" s="5"/>
      <c r="B754" s="5"/>
      <c r="C754" s="5"/>
      <c r="D754" s="5"/>
      <c r="E754" s="5"/>
      <c r="F754" s="5"/>
      <c r="G754" s="5"/>
    </row>
    <row r="755" ht="15.75" customHeight="1">
      <c r="A755" s="5"/>
      <c r="B755" s="5"/>
      <c r="C755" s="5"/>
      <c r="D755" s="5"/>
      <c r="E755" s="5"/>
      <c r="F755" s="5"/>
      <c r="G755" s="5"/>
    </row>
    <row r="756" ht="15.75" customHeight="1">
      <c r="A756" s="5"/>
      <c r="B756" s="5"/>
      <c r="C756" s="5"/>
      <c r="D756" s="5"/>
      <c r="E756" s="5"/>
      <c r="F756" s="5"/>
      <c r="G756" s="5"/>
    </row>
    <row r="757" ht="15.75" customHeight="1">
      <c r="A757" s="5"/>
      <c r="B757" s="5"/>
      <c r="C757" s="5"/>
      <c r="D757" s="5"/>
      <c r="E757" s="5"/>
      <c r="F757" s="5"/>
      <c r="G757" s="5"/>
    </row>
    <row r="758" ht="15.75" customHeight="1">
      <c r="A758" s="5"/>
      <c r="B758" s="5"/>
      <c r="C758" s="5"/>
      <c r="D758" s="5"/>
      <c r="E758" s="5"/>
      <c r="F758" s="5"/>
      <c r="G758" s="5"/>
    </row>
    <row r="759" ht="15.75" customHeight="1">
      <c r="A759" s="5"/>
      <c r="B759" s="5"/>
      <c r="C759" s="5"/>
      <c r="D759" s="5"/>
      <c r="E759" s="5"/>
      <c r="F759" s="5"/>
      <c r="G759" s="5"/>
    </row>
    <row r="760" ht="15.75" customHeight="1">
      <c r="A760" s="5"/>
      <c r="B760" s="5"/>
      <c r="C760" s="5"/>
      <c r="D760" s="5"/>
      <c r="E760" s="5"/>
      <c r="F760" s="5"/>
      <c r="G760" s="5"/>
    </row>
    <row r="761" ht="15.75" customHeight="1">
      <c r="A761" s="5"/>
      <c r="B761" s="5"/>
      <c r="C761" s="5"/>
      <c r="D761" s="5"/>
      <c r="E761" s="5"/>
      <c r="F761" s="5"/>
      <c r="G761" s="5"/>
    </row>
    <row r="762" ht="15.75" customHeight="1">
      <c r="A762" s="5"/>
      <c r="B762" s="5"/>
      <c r="C762" s="5"/>
      <c r="D762" s="5"/>
      <c r="E762" s="5"/>
      <c r="F762" s="5"/>
      <c r="G762" s="5"/>
    </row>
    <row r="763" ht="15.75" customHeight="1">
      <c r="A763" s="5"/>
      <c r="B763" s="5"/>
      <c r="C763" s="5"/>
      <c r="D763" s="5"/>
      <c r="E763" s="5"/>
      <c r="F763" s="5"/>
      <c r="G763" s="5"/>
    </row>
    <row r="764" ht="15.75" customHeight="1">
      <c r="A764" s="5"/>
      <c r="B764" s="5"/>
      <c r="C764" s="5"/>
      <c r="D764" s="5"/>
      <c r="E764" s="5"/>
      <c r="F764" s="5"/>
      <c r="G764" s="5"/>
    </row>
    <row r="765" ht="15.75" customHeight="1">
      <c r="A765" s="5"/>
      <c r="B765" s="5"/>
      <c r="C765" s="5"/>
      <c r="D765" s="5"/>
      <c r="E765" s="5"/>
      <c r="F765" s="5"/>
      <c r="G765" s="5"/>
    </row>
    <row r="766" ht="15.75" customHeight="1">
      <c r="A766" s="5"/>
      <c r="B766" s="5"/>
      <c r="C766" s="5"/>
      <c r="D766" s="5"/>
      <c r="E766" s="5"/>
      <c r="F766" s="5"/>
      <c r="G766" s="5"/>
    </row>
    <row r="767" ht="15.75" customHeight="1">
      <c r="A767" s="5"/>
      <c r="B767" s="5"/>
      <c r="C767" s="5"/>
      <c r="D767" s="5"/>
      <c r="E767" s="5"/>
      <c r="F767" s="5"/>
      <c r="G767" s="5"/>
    </row>
    <row r="768" ht="15.75" customHeight="1">
      <c r="A768" s="5"/>
      <c r="B768" s="5"/>
      <c r="C768" s="5"/>
      <c r="D768" s="5"/>
      <c r="E768" s="5"/>
      <c r="F768" s="5"/>
      <c r="G768" s="5"/>
    </row>
    <row r="769" ht="15.75" customHeight="1">
      <c r="A769" s="5"/>
      <c r="B769" s="5"/>
      <c r="C769" s="5"/>
      <c r="D769" s="5"/>
      <c r="E769" s="5"/>
      <c r="F769" s="5"/>
      <c r="G769" s="5"/>
    </row>
    <row r="770" ht="15.75" customHeight="1">
      <c r="A770" s="5"/>
      <c r="B770" s="5"/>
      <c r="C770" s="5"/>
      <c r="D770" s="5"/>
      <c r="E770" s="5"/>
      <c r="F770" s="5"/>
      <c r="G770" s="5"/>
    </row>
    <row r="771" ht="15.75" customHeight="1">
      <c r="A771" s="5"/>
      <c r="B771" s="5"/>
      <c r="C771" s="5"/>
      <c r="D771" s="5"/>
      <c r="E771" s="5"/>
      <c r="F771" s="5"/>
      <c r="G771" s="5"/>
    </row>
    <row r="772" ht="15.75" customHeight="1">
      <c r="A772" s="5"/>
      <c r="B772" s="5"/>
      <c r="C772" s="5"/>
      <c r="D772" s="5"/>
      <c r="E772" s="5"/>
      <c r="F772" s="5"/>
      <c r="G772" s="5"/>
    </row>
    <row r="773" ht="15.75" customHeight="1">
      <c r="A773" s="5"/>
      <c r="B773" s="5"/>
      <c r="C773" s="5"/>
      <c r="D773" s="5"/>
      <c r="E773" s="5"/>
      <c r="F773" s="5"/>
      <c r="G773" s="5"/>
    </row>
    <row r="774" ht="15.75" customHeight="1">
      <c r="A774" s="5"/>
      <c r="B774" s="5"/>
      <c r="C774" s="5"/>
      <c r="D774" s="5"/>
      <c r="E774" s="5"/>
      <c r="F774" s="5"/>
      <c r="G774" s="5"/>
    </row>
    <row r="775" ht="15.75" customHeight="1">
      <c r="A775" s="5"/>
      <c r="B775" s="5"/>
      <c r="C775" s="5"/>
      <c r="D775" s="5"/>
      <c r="E775" s="5"/>
      <c r="F775" s="5"/>
      <c r="G775" s="5"/>
    </row>
    <row r="776" ht="15.75" customHeight="1">
      <c r="A776" s="5"/>
      <c r="B776" s="5"/>
      <c r="C776" s="5"/>
      <c r="D776" s="5"/>
      <c r="E776" s="5"/>
      <c r="F776" s="5"/>
      <c r="G776" s="5"/>
    </row>
    <row r="777" ht="15.75" customHeight="1">
      <c r="A777" s="5"/>
      <c r="B777" s="5"/>
      <c r="C777" s="5"/>
      <c r="D777" s="5"/>
      <c r="E777" s="5"/>
      <c r="F777" s="5"/>
      <c r="G777" s="5"/>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mergeCells count="2">
    <mergeCell ref="A1:J1"/>
    <mergeCell ref="A2:J2"/>
  </mergeCells>
  <dataValidations>
    <dataValidation type="list" allowBlank="1" sqref="C4 C14:C15">
      <formula1>"Dues,Tournament Fee,Field Fee,Hotel,Travel,Equipment,Fundraiser Income,Sponsorship,Refund,Other"</formula1>
    </dataValidation>
    <dataValidation type="list" allowBlank="1" sqref="D4">
      <formula1>"Income,Expense,Fundraiser,Credit,Car Fee"</formula1>
    </dataValidation>
    <dataValidation type="list" allowBlank="1" showInputMessage="1" showErrorMessage="1" prompt="Invalid category - Please select a valid category from the list." sqref="C5:C13 C16:C203">
      <formula1>"Dues,Tournament Fee,Hotel,Travel,Food,Gear,Field Rental,Disc,Other"</formula1>
    </dataValidation>
    <dataValidation type="list" allowBlank="1" sqref="D14:D15">
      <formula1>"Income,Expense,Fundraiser,Credit"</formula1>
    </dataValidation>
    <dataValidation type="list" allowBlank="1" showErrorMessage="1" sqref="G18:G20 G22:G1000">
      <formula1>"PEC,SFI,ESC,Regionals,Nationals"</formula1>
    </dataValidation>
    <dataValidation type="list" allowBlank="1" showInputMessage="1" showErrorMessage="1" prompt="Invalid value - Please select Yes, No, or Pending." sqref="J4:J203">
      <formula1>"Yes,No,Pending"</formula1>
    </dataValidation>
    <dataValidation type="list" allowBlank="1" sqref="G4 G14:G15">
      <formula1>Events!$A$5:$A$505</formula1>
    </dataValidation>
    <dataValidation type="list" allowBlank="1" showInputMessage="1" showErrorMessage="1" prompt="Invalid type - Please select Income, Expense, or Fundraiser." sqref="D5:D13 D16:D203">
      <formula1>"Income,Expense,Fundraiser"</formula1>
    </dataValidation>
    <dataValidation type="decimal" operator="greaterThanOrEqual" allowBlank="1" showInputMessage="1" showErrorMessage="1" prompt="Invalid amount - Amount must be a positive number." sqref="F5:F13 F16:F203">
      <formula1>0.0</formula1>
    </dataValidation>
    <dataValidation type="list" allowBlank="1" showErrorMessage="1" sqref="G5:G13 G16:G17 G21">
      <formula1>"PEC,SFI,ESC"</formula1>
    </dataValidation>
    <dataValidation type="list" allowBlank="1" sqref="I4">
      <formula1>"Cleared,Pending,Disputed"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5"/>
    <col customWidth="1" min="2" max="2" width="49.75"/>
    <col customWidth="1" min="3" max="6" width="7.63"/>
  </cols>
  <sheetData>
    <row r="1" ht="37.5" customHeight="1">
      <c r="A1" s="117" t="s">
        <v>344</v>
      </c>
      <c r="B1" s="20"/>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ht="21.75" customHeight="1">
      <c r="A3" s="118" t="s">
        <v>345</v>
      </c>
      <c r="B3" s="20"/>
      <c r="C3" s="5"/>
      <c r="D3" s="5"/>
      <c r="E3" s="5"/>
      <c r="F3" s="5"/>
      <c r="G3" s="5"/>
      <c r="H3" s="5"/>
      <c r="I3" s="5"/>
      <c r="J3" s="5"/>
      <c r="K3" s="5"/>
      <c r="L3" s="5"/>
      <c r="M3" s="5"/>
      <c r="N3" s="5"/>
      <c r="O3" s="5"/>
      <c r="P3" s="5"/>
      <c r="Q3" s="5"/>
      <c r="R3" s="5"/>
      <c r="S3" s="5"/>
      <c r="T3" s="5"/>
      <c r="U3" s="5"/>
      <c r="V3" s="5"/>
      <c r="W3" s="5"/>
      <c r="X3" s="5"/>
      <c r="Y3" s="5"/>
      <c r="Z3" s="5"/>
    </row>
    <row r="4" ht="21.75" customHeight="1">
      <c r="A4" s="45" t="s">
        <v>346</v>
      </c>
      <c r="B4" s="119">
        <f>COUNTA(Roster!A5:A204)</f>
        <v>38</v>
      </c>
      <c r="C4" s="5"/>
      <c r="D4" s="5"/>
      <c r="E4" s="5"/>
      <c r="F4" s="5"/>
      <c r="G4" s="5"/>
      <c r="H4" s="5"/>
      <c r="I4" s="5"/>
      <c r="J4" s="5"/>
      <c r="K4" s="5"/>
      <c r="L4" s="5"/>
      <c r="M4" s="5"/>
      <c r="N4" s="5"/>
      <c r="O4" s="5"/>
      <c r="P4" s="5"/>
      <c r="Q4" s="5"/>
      <c r="R4" s="5"/>
      <c r="S4" s="5"/>
      <c r="T4" s="5"/>
      <c r="U4" s="5"/>
      <c r="V4" s="5"/>
      <c r="W4" s="5"/>
      <c r="X4" s="5"/>
      <c r="Y4" s="5"/>
      <c r="Z4" s="5"/>
    </row>
    <row r="5" ht="21.75" customHeight="1">
      <c r="A5" s="45" t="s">
        <v>347</v>
      </c>
      <c r="B5" s="119">
        <f>COUNTIF(Roster!E5:E204,"Active")</f>
        <v>38</v>
      </c>
      <c r="C5" s="5"/>
      <c r="D5" s="5"/>
      <c r="E5" s="5"/>
      <c r="F5" s="5"/>
      <c r="G5" s="5"/>
      <c r="H5" s="5"/>
      <c r="I5" s="5"/>
      <c r="J5" s="5"/>
      <c r="K5" s="5"/>
      <c r="L5" s="5"/>
      <c r="M5" s="5"/>
      <c r="N5" s="5"/>
      <c r="O5" s="5"/>
      <c r="P5" s="5"/>
      <c r="Q5" s="5"/>
      <c r="R5" s="5"/>
      <c r="S5" s="5"/>
      <c r="T5" s="5"/>
      <c r="U5" s="5"/>
      <c r="V5" s="5"/>
      <c r="W5" s="5"/>
      <c r="X5" s="5"/>
      <c r="Y5" s="5"/>
      <c r="Z5" s="5"/>
    </row>
    <row r="6" ht="21.75" customHeight="1">
      <c r="A6" s="45" t="s">
        <v>348</v>
      </c>
      <c r="B6" s="119">
        <f>COUNTIF(Roster!D5:D204,"Coach")+COUNTIF(Roster!D5:D204,"Treasurer")</f>
        <v>4</v>
      </c>
      <c r="C6" s="5"/>
      <c r="D6" s="5"/>
      <c r="E6" s="5"/>
      <c r="F6" s="5"/>
      <c r="G6" s="5"/>
      <c r="H6" s="5"/>
      <c r="I6" s="5"/>
      <c r="J6" s="5"/>
      <c r="K6" s="5"/>
      <c r="L6" s="5"/>
      <c r="M6" s="5"/>
      <c r="N6" s="5"/>
      <c r="O6" s="5"/>
      <c r="P6" s="5"/>
      <c r="Q6" s="5"/>
      <c r="R6" s="5"/>
      <c r="S6" s="5"/>
      <c r="T6" s="5"/>
      <c r="U6" s="5"/>
      <c r="V6" s="5"/>
      <c r="W6" s="5"/>
      <c r="X6" s="5"/>
      <c r="Y6" s="5"/>
      <c r="Z6" s="5"/>
    </row>
    <row r="7" ht="21.75" customHeight="1">
      <c r="A7" s="45" t="s">
        <v>349</v>
      </c>
      <c r="B7" s="119">
        <f>COUNTIF(Roster!D5:D204,"Captain")</f>
        <v>3</v>
      </c>
      <c r="C7" s="5"/>
      <c r="D7" s="5"/>
      <c r="E7" s="5"/>
      <c r="F7" s="5"/>
      <c r="G7" s="5"/>
      <c r="H7" s="5"/>
      <c r="I7" s="5"/>
      <c r="J7" s="5"/>
      <c r="K7" s="5"/>
      <c r="L7" s="5"/>
      <c r="M7" s="5"/>
      <c r="N7" s="5"/>
      <c r="O7" s="5"/>
      <c r="P7" s="5"/>
      <c r="Q7" s="5"/>
      <c r="R7" s="5"/>
      <c r="S7" s="5"/>
      <c r="T7" s="5"/>
      <c r="U7" s="5"/>
      <c r="V7" s="5"/>
      <c r="W7" s="5"/>
      <c r="X7" s="5"/>
      <c r="Y7" s="5"/>
      <c r="Z7" s="5"/>
    </row>
    <row r="8" ht="21.75" customHeight="1">
      <c r="A8" s="5"/>
      <c r="B8" s="5"/>
      <c r="C8" s="5"/>
      <c r="D8" s="5"/>
      <c r="E8" s="5"/>
      <c r="F8" s="5"/>
      <c r="G8" s="5"/>
      <c r="H8" s="5"/>
      <c r="I8" s="5"/>
      <c r="J8" s="5"/>
      <c r="K8" s="5"/>
      <c r="L8" s="5"/>
      <c r="M8" s="5"/>
      <c r="N8" s="5"/>
      <c r="O8" s="5"/>
      <c r="P8" s="5"/>
      <c r="Q8" s="5"/>
      <c r="R8" s="5"/>
      <c r="S8" s="5"/>
      <c r="T8" s="5"/>
      <c r="U8" s="5"/>
      <c r="V8" s="5"/>
      <c r="W8" s="5"/>
      <c r="X8" s="5"/>
      <c r="Y8" s="5"/>
      <c r="Z8" s="5"/>
    </row>
    <row r="9" ht="21.75" customHeight="1">
      <c r="A9" s="118" t="s">
        <v>350</v>
      </c>
      <c r="B9" s="20"/>
      <c r="C9" s="5"/>
      <c r="D9" s="5"/>
      <c r="E9" s="5"/>
      <c r="F9" s="5"/>
      <c r="G9" s="5"/>
      <c r="H9" s="5"/>
      <c r="I9" s="5"/>
      <c r="J9" s="5"/>
      <c r="K9" s="5"/>
      <c r="L9" s="5"/>
      <c r="M9" s="5"/>
      <c r="N9" s="5"/>
      <c r="O9" s="5"/>
      <c r="P9" s="5"/>
      <c r="Q9" s="5"/>
      <c r="R9" s="5"/>
      <c r="S9" s="5"/>
      <c r="T9" s="5"/>
      <c r="U9" s="5"/>
      <c r="V9" s="5"/>
      <c r="W9" s="5"/>
      <c r="X9" s="5"/>
      <c r="Y9" s="5"/>
      <c r="Z9" s="5"/>
    </row>
    <row r="10" ht="21.75" customHeight="1">
      <c r="A10" s="45" t="s">
        <v>351</v>
      </c>
      <c r="B10" s="120">
        <f>SUMIF(Roster!E5:E204,"Active",Roster!B5:B204)</f>
        <v>0</v>
      </c>
      <c r="C10" s="5"/>
      <c r="D10" s="5"/>
      <c r="E10" s="5"/>
      <c r="F10" s="5"/>
      <c r="G10" s="5"/>
      <c r="H10" s="5"/>
      <c r="I10" s="5"/>
      <c r="J10" s="5"/>
      <c r="K10" s="5"/>
      <c r="L10" s="5"/>
      <c r="M10" s="5"/>
      <c r="N10" s="5"/>
      <c r="O10" s="5"/>
      <c r="P10" s="5"/>
      <c r="Q10" s="5"/>
      <c r="R10" s="5"/>
      <c r="S10" s="5"/>
      <c r="T10" s="5"/>
      <c r="U10" s="5"/>
      <c r="V10" s="5"/>
      <c r="W10" s="5"/>
      <c r="X10" s="5"/>
      <c r="Y10" s="5"/>
      <c r="Z10" s="5"/>
    </row>
    <row r="11" ht="21.75" customHeight="1">
      <c r="A11" s="45" t="s">
        <v>352</v>
      </c>
      <c r="B11" s="120">
        <f>SUMIFS(Transactions!F7:F989,Transactions!D7:D989,"Income",Transactions!C7:C989,"Dues")</f>
        <v>15313.6</v>
      </c>
      <c r="C11" s="5"/>
      <c r="D11" s="5"/>
      <c r="E11" s="5"/>
      <c r="F11" s="5"/>
      <c r="G11" s="5"/>
      <c r="H11" s="5"/>
      <c r="I11" s="5"/>
      <c r="J11" s="5"/>
      <c r="K11" s="5"/>
      <c r="L11" s="5"/>
      <c r="M11" s="5"/>
      <c r="N11" s="5"/>
      <c r="O11" s="5"/>
      <c r="P11" s="5"/>
      <c r="Q11" s="5"/>
      <c r="R11" s="5"/>
      <c r="S11" s="5"/>
      <c r="T11" s="5"/>
      <c r="U11" s="5"/>
      <c r="V11" s="5"/>
      <c r="W11" s="5"/>
      <c r="X11" s="5"/>
      <c r="Y11" s="5"/>
      <c r="Z11" s="5"/>
    </row>
    <row r="12" ht="21.75" customHeight="1">
      <c r="A12" s="45" t="s">
        <v>353</v>
      </c>
      <c r="B12" s="120">
        <f>B10-B11</f>
        <v>-15313.6</v>
      </c>
      <c r="C12" s="5"/>
      <c r="D12" s="5"/>
      <c r="E12" s="5"/>
      <c r="F12" s="5"/>
      <c r="G12" s="5"/>
      <c r="H12" s="5"/>
      <c r="I12" s="5"/>
      <c r="J12" s="5"/>
      <c r="K12" s="5"/>
      <c r="L12" s="5"/>
      <c r="M12" s="5"/>
      <c r="N12" s="5"/>
      <c r="O12" s="5"/>
      <c r="P12" s="5"/>
      <c r="Q12" s="5"/>
      <c r="R12" s="5"/>
      <c r="S12" s="5"/>
      <c r="T12" s="5"/>
      <c r="U12" s="5"/>
      <c r="V12" s="5"/>
      <c r="W12" s="5"/>
      <c r="X12" s="5"/>
      <c r="Y12" s="5"/>
      <c r="Z12" s="5"/>
    </row>
    <row r="13" ht="21.75" customHeight="1">
      <c r="A13" s="45" t="s">
        <v>354</v>
      </c>
      <c r="B13" s="120">
        <f>Transactions!A4</f>
        <v>22487.2</v>
      </c>
      <c r="C13" s="5"/>
      <c r="D13" s="5"/>
      <c r="E13" s="5"/>
      <c r="F13" s="5"/>
      <c r="G13" s="5"/>
      <c r="H13" s="5"/>
      <c r="I13" s="5"/>
      <c r="J13" s="5"/>
      <c r="K13" s="5"/>
      <c r="L13" s="5"/>
      <c r="M13" s="5"/>
      <c r="N13" s="5"/>
      <c r="O13" s="5"/>
      <c r="P13" s="5"/>
      <c r="Q13" s="5"/>
      <c r="R13" s="5"/>
      <c r="S13" s="5"/>
      <c r="T13" s="5"/>
      <c r="U13" s="5"/>
      <c r="V13" s="5"/>
      <c r="W13" s="5"/>
      <c r="X13" s="5"/>
      <c r="Y13" s="5"/>
      <c r="Z13" s="5"/>
    </row>
    <row r="14" ht="21.75" customHeight="1">
      <c r="A14" s="45" t="s">
        <v>355</v>
      </c>
      <c r="B14" s="120">
        <f>Transactions!B4</f>
        <v>40876.53</v>
      </c>
      <c r="C14" s="5"/>
      <c r="D14" s="5"/>
      <c r="E14" s="5"/>
      <c r="F14" s="5"/>
      <c r="G14" s="5"/>
      <c r="H14" s="5"/>
      <c r="I14" s="5"/>
      <c r="J14" s="5"/>
      <c r="K14" s="5"/>
      <c r="L14" s="5"/>
      <c r="M14" s="5"/>
      <c r="N14" s="5"/>
      <c r="O14" s="5"/>
      <c r="P14" s="5"/>
      <c r="Q14" s="5"/>
      <c r="R14" s="5"/>
      <c r="S14" s="5"/>
      <c r="T14" s="5"/>
      <c r="U14" s="5"/>
      <c r="V14" s="5"/>
      <c r="W14" s="5"/>
      <c r="X14" s="5"/>
      <c r="Y14" s="5"/>
      <c r="Z14" s="5"/>
    </row>
    <row r="15" ht="21.75" customHeight="1">
      <c r="A15" s="45" t="s">
        <v>33</v>
      </c>
      <c r="B15" s="120">
        <f>Transactions!C4</f>
        <v>-18389.33</v>
      </c>
      <c r="C15" s="5"/>
      <c r="D15" s="5"/>
      <c r="E15" s="5"/>
      <c r="F15" s="5"/>
      <c r="G15" s="5"/>
      <c r="H15" s="5"/>
      <c r="I15" s="5"/>
      <c r="J15" s="5"/>
      <c r="K15" s="5"/>
      <c r="L15" s="5"/>
      <c r="M15" s="5"/>
      <c r="N15" s="5"/>
      <c r="O15" s="5"/>
      <c r="P15" s="5"/>
      <c r="Q15" s="5"/>
      <c r="R15" s="5"/>
      <c r="S15" s="5"/>
      <c r="T15" s="5"/>
      <c r="U15" s="5"/>
      <c r="V15" s="5"/>
      <c r="W15" s="5"/>
      <c r="X15" s="5"/>
      <c r="Y15" s="5"/>
      <c r="Z15" s="5"/>
    </row>
    <row r="16" ht="21.75" customHeight="1">
      <c r="A16" s="45" t="s">
        <v>356</v>
      </c>
      <c r="B16" s="120">
        <f>Transactions!E4</f>
        <v>0</v>
      </c>
      <c r="C16" s="5"/>
      <c r="D16" s="5"/>
      <c r="E16" s="5"/>
      <c r="F16" s="5"/>
      <c r="G16" s="5"/>
      <c r="H16" s="5"/>
      <c r="I16" s="5"/>
      <c r="J16" s="5"/>
      <c r="K16" s="5"/>
      <c r="L16" s="5"/>
      <c r="M16" s="5"/>
      <c r="N16" s="5"/>
      <c r="O16" s="5"/>
      <c r="P16" s="5"/>
      <c r="Q16" s="5"/>
      <c r="R16" s="5"/>
      <c r="S16" s="5"/>
      <c r="T16" s="5"/>
      <c r="U16" s="5"/>
      <c r="V16" s="5"/>
      <c r="W16" s="5"/>
      <c r="X16" s="5"/>
      <c r="Y16" s="5"/>
      <c r="Z16" s="5"/>
    </row>
    <row r="17" ht="21.7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21.75" customHeight="1">
      <c r="A18" s="118" t="s">
        <v>357</v>
      </c>
      <c r="B18" s="20"/>
      <c r="C18" s="5"/>
      <c r="D18" s="5"/>
      <c r="E18" s="5"/>
      <c r="F18" s="5"/>
      <c r="G18" s="5"/>
      <c r="H18" s="5"/>
      <c r="I18" s="5"/>
      <c r="J18" s="5"/>
      <c r="K18" s="5"/>
      <c r="L18" s="5"/>
      <c r="M18" s="5"/>
      <c r="N18" s="5"/>
      <c r="O18" s="5"/>
      <c r="P18" s="5"/>
      <c r="Q18" s="5"/>
      <c r="R18" s="5"/>
      <c r="S18" s="5"/>
      <c r="T18" s="5"/>
      <c r="U18" s="5"/>
      <c r="V18" s="5"/>
      <c r="W18" s="5"/>
      <c r="X18" s="5"/>
      <c r="Y18" s="5"/>
      <c r="Z18" s="5"/>
    </row>
    <row r="19" ht="21.75" customHeight="1">
      <c r="A19" s="45" t="s">
        <v>358</v>
      </c>
      <c r="B19" s="119">
        <f>COUNTA(Events!A5:A505)</f>
        <v>14</v>
      </c>
      <c r="C19" s="5"/>
      <c r="D19" s="5"/>
      <c r="E19" s="5"/>
      <c r="F19" s="5"/>
      <c r="G19" s="5"/>
      <c r="H19" s="5"/>
      <c r="I19" s="5"/>
      <c r="J19" s="5"/>
      <c r="K19" s="5"/>
      <c r="L19" s="5"/>
      <c r="M19" s="5"/>
      <c r="N19" s="5"/>
      <c r="O19" s="5"/>
      <c r="P19" s="5"/>
      <c r="Q19" s="5"/>
      <c r="R19" s="5"/>
      <c r="S19" s="5"/>
      <c r="T19" s="5"/>
      <c r="U19" s="5"/>
      <c r="V19" s="5"/>
      <c r="W19" s="5"/>
      <c r="X19" s="5"/>
      <c r="Y19" s="5"/>
      <c r="Z19" s="5"/>
    </row>
    <row r="20" ht="21.75" customHeight="1">
      <c r="A20" s="45" t="s">
        <v>359</v>
      </c>
      <c r="B20" s="119">
        <f>COUNTIF(Events!D5:D505,"Practice")</f>
        <v>1</v>
      </c>
      <c r="C20" s="5"/>
      <c r="D20" s="5"/>
      <c r="E20" s="5"/>
      <c r="F20" s="5"/>
      <c r="G20" s="5"/>
      <c r="H20" s="5"/>
      <c r="I20" s="5"/>
      <c r="J20" s="5"/>
      <c r="K20" s="5"/>
      <c r="L20" s="5"/>
      <c r="M20" s="5"/>
      <c r="N20" s="5"/>
      <c r="O20" s="5"/>
      <c r="P20" s="5"/>
      <c r="Q20" s="5"/>
      <c r="R20" s="5"/>
      <c r="S20" s="5"/>
      <c r="T20" s="5"/>
      <c r="U20" s="5"/>
      <c r="V20" s="5"/>
      <c r="W20" s="5"/>
      <c r="X20" s="5"/>
      <c r="Y20" s="5"/>
      <c r="Z20" s="5"/>
    </row>
    <row r="21" ht="21.75" customHeight="1">
      <c r="A21" s="45" t="s">
        <v>360</v>
      </c>
      <c r="B21" s="119" t="str">
        <f>Events!D4</f>
        <v>Category</v>
      </c>
      <c r="C21" s="5"/>
      <c r="D21" s="5"/>
      <c r="E21" s="5"/>
      <c r="F21" s="5"/>
      <c r="G21" s="5"/>
      <c r="H21" s="5"/>
      <c r="I21" s="5"/>
      <c r="J21" s="5"/>
      <c r="K21" s="5"/>
      <c r="L21" s="5"/>
      <c r="M21" s="5"/>
      <c r="N21" s="5"/>
      <c r="O21" s="5"/>
      <c r="P21" s="5"/>
      <c r="Q21" s="5"/>
      <c r="R21" s="5"/>
      <c r="S21" s="5"/>
      <c r="T21" s="5"/>
      <c r="U21" s="5"/>
      <c r="V21" s="5"/>
      <c r="W21" s="5"/>
      <c r="X21" s="5"/>
      <c r="Y21" s="5"/>
      <c r="Z21" s="5"/>
    </row>
    <row r="22" ht="21.75" customHeight="1">
      <c r="A22" s="45" t="s">
        <v>361</v>
      </c>
      <c r="B22" s="119" t="str">
        <f>Events!D4</f>
        <v>Category</v>
      </c>
      <c r="C22" s="5"/>
      <c r="D22" s="5"/>
      <c r="E22" s="5"/>
      <c r="F22" s="5"/>
      <c r="G22" s="5"/>
      <c r="H22" s="5"/>
      <c r="I22" s="5"/>
      <c r="J22" s="5"/>
      <c r="K22" s="5"/>
      <c r="L22" s="5"/>
      <c r="M22" s="5"/>
      <c r="N22" s="5"/>
      <c r="O22" s="5"/>
      <c r="P22" s="5"/>
      <c r="Q22" s="5"/>
      <c r="R22" s="5"/>
      <c r="S22" s="5"/>
      <c r="T22" s="5"/>
      <c r="U22" s="5"/>
      <c r="V22" s="5"/>
      <c r="W22" s="5"/>
      <c r="X22" s="5"/>
      <c r="Y22" s="5"/>
      <c r="Z22" s="5"/>
    </row>
    <row r="23" ht="21.75" customHeight="1">
      <c r="A23" s="45" t="s">
        <v>362</v>
      </c>
      <c r="B23" s="120" t="str">
        <f>Events!H4</f>
        <v/>
      </c>
      <c r="C23" s="5"/>
      <c r="D23" s="5"/>
      <c r="E23" s="5"/>
      <c r="F23" s="5"/>
      <c r="G23" s="5"/>
      <c r="H23" s="5"/>
      <c r="I23" s="5"/>
      <c r="J23" s="5"/>
      <c r="K23" s="5"/>
      <c r="L23" s="5"/>
      <c r="M23" s="5"/>
      <c r="N23" s="5"/>
      <c r="O23" s="5"/>
      <c r="P23" s="5"/>
      <c r="Q23" s="5"/>
      <c r="R23" s="5"/>
      <c r="S23" s="5"/>
      <c r="T23" s="5"/>
      <c r="U23" s="5"/>
      <c r="V23" s="5"/>
      <c r="W23" s="5"/>
      <c r="X23" s="5"/>
      <c r="Y23" s="5"/>
      <c r="Z23" s="5"/>
    </row>
    <row r="24" ht="21.75" customHeight="1">
      <c r="A24" s="45" t="s">
        <v>363</v>
      </c>
      <c r="B24" s="120" t="str">
        <f>Events!I4</f>
        <v>Split Method</v>
      </c>
      <c r="C24" s="5"/>
      <c r="D24" s="5"/>
      <c r="E24" s="5"/>
      <c r="F24" s="5"/>
      <c r="G24" s="5"/>
      <c r="H24" s="5"/>
      <c r="I24" s="5"/>
      <c r="J24" s="5"/>
      <c r="K24" s="5"/>
      <c r="L24" s="5"/>
      <c r="M24" s="5"/>
      <c r="N24" s="5"/>
      <c r="O24" s="5"/>
      <c r="P24" s="5"/>
      <c r="Q24" s="5"/>
      <c r="R24" s="5"/>
      <c r="S24" s="5"/>
      <c r="T24" s="5"/>
      <c r="U24" s="5"/>
      <c r="V24" s="5"/>
      <c r="W24" s="5"/>
      <c r="X24" s="5"/>
      <c r="Y24" s="5"/>
      <c r="Z24" s="5"/>
    </row>
    <row r="25" ht="21.75" customHeight="1">
      <c r="A25" s="45" t="s">
        <v>364</v>
      </c>
      <c r="B25" s="120" t="str">
        <f>Events!J4</f>
        <v>Season Group</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4">
    <mergeCell ref="A1:B1"/>
    <mergeCell ref="A3:B3"/>
    <mergeCell ref="A9:B9"/>
    <mergeCell ref="A18:B18"/>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4.5"/>
    <col customWidth="1" min="2" max="2" width="52.5"/>
    <col customWidth="1" min="3" max="6" width="7.63"/>
  </cols>
  <sheetData>
    <row r="1" ht="37.5" customHeight="1">
      <c r="A1" s="18" t="s">
        <v>365</v>
      </c>
      <c r="B1" s="20"/>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ht="21.75" customHeight="1">
      <c r="A3" s="121" t="s">
        <v>366</v>
      </c>
      <c r="B3" s="122"/>
      <c r="C3" s="5"/>
      <c r="D3" s="5"/>
      <c r="E3" s="5"/>
      <c r="F3" s="5"/>
      <c r="G3" s="5"/>
      <c r="H3" s="5"/>
      <c r="I3" s="5"/>
      <c r="J3" s="5"/>
      <c r="K3" s="5"/>
      <c r="L3" s="5"/>
      <c r="M3" s="5"/>
      <c r="N3" s="5"/>
      <c r="O3" s="5"/>
      <c r="P3" s="5"/>
      <c r="Q3" s="5"/>
      <c r="R3" s="5"/>
      <c r="S3" s="5"/>
      <c r="T3" s="5"/>
      <c r="U3" s="5"/>
      <c r="V3" s="5"/>
      <c r="W3" s="5"/>
      <c r="X3" s="5"/>
      <c r="Y3" s="5"/>
      <c r="Z3" s="5"/>
    </row>
    <row r="4" ht="21.75" customHeight="1">
      <c r="A4" s="123" t="s">
        <v>367</v>
      </c>
      <c r="B4" s="124" t="s">
        <v>368</v>
      </c>
      <c r="C4" s="5"/>
      <c r="D4" s="5"/>
      <c r="E4" s="5"/>
      <c r="F4" s="5"/>
      <c r="G4" s="5"/>
      <c r="H4" s="5"/>
      <c r="I4" s="5"/>
      <c r="J4" s="5"/>
      <c r="K4" s="5"/>
      <c r="L4" s="5"/>
      <c r="M4" s="5"/>
      <c r="N4" s="5"/>
      <c r="O4" s="5"/>
      <c r="P4" s="5"/>
      <c r="Q4" s="5"/>
      <c r="R4" s="5"/>
      <c r="S4" s="5"/>
      <c r="T4" s="5"/>
      <c r="U4" s="5"/>
      <c r="V4" s="5"/>
      <c r="W4" s="5"/>
      <c r="X4" s="5"/>
      <c r="Y4" s="5"/>
      <c r="Z4" s="5"/>
    </row>
    <row r="5" ht="21.75" customHeight="1">
      <c r="A5" s="125" t="s">
        <v>369</v>
      </c>
      <c r="B5" s="124" t="s">
        <v>370</v>
      </c>
      <c r="C5" s="5"/>
      <c r="D5" s="5"/>
      <c r="E5" s="5"/>
      <c r="F5" s="5"/>
      <c r="G5" s="5"/>
      <c r="H5" s="5"/>
      <c r="I5" s="5"/>
      <c r="J5" s="5"/>
      <c r="K5" s="5"/>
      <c r="L5" s="5"/>
      <c r="M5" s="5"/>
      <c r="N5" s="5"/>
      <c r="O5" s="5"/>
      <c r="P5" s="5"/>
      <c r="Q5" s="5"/>
      <c r="R5" s="5"/>
      <c r="S5" s="5"/>
      <c r="T5" s="5"/>
      <c r="U5" s="5"/>
      <c r="V5" s="5"/>
      <c r="W5" s="5"/>
      <c r="X5" s="5"/>
      <c r="Y5" s="5"/>
      <c r="Z5" s="5"/>
    </row>
    <row r="6" ht="21.75" customHeight="1">
      <c r="A6" s="126" t="s">
        <v>371</v>
      </c>
      <c r="B6" s="124" t="s">
        <v>372</v>
      </c>
      <c r="C6" s="5"/>
      <c r="D6" s="5"/>
      <c r="E6" s="5"/>
      <c r="F6" s="5"/>
      <c r="G6" s="5"/>
      <c r="H6" s="5"/>
      <c r="I6" s="5"/>
      <c r="J6" s="5"/>
      <c r="K6" s="5"/>
      <c r="L6" s="5"/>
      <c r="M6" s="5"/>
      <c r="N6" s="5"/>
      <c r="O6" s="5"/>
      <c r="P6" s="5"/>
      <c r="Q6" s="5"/>
      <c r="R6" s="5"/>
      <c r="S6" s="5"/>
      <c r="T6" s="5"/>
      <c r="U6" s="5"/>
      <c r="V6" s="5"/>
      <c r="W6" s="5"/>
      <c r="X6" s="5"/>
      <c r="Y6" s="5"/>
      <c r="Z6" s="5"/>
    </row>
    <row r="7" ht="21.75" customHeight="1">
      <c r="A7" s="127"/>
      <c r="B7" s="124"/>
      <c r="C7" s="5"/>
      <c r="D7" s="5"/>
      <c r="E7" s="5"/>
      <c r="F7" s="5"/>
      <c r="G7" s="5"/>
      <c r="H7" s="5"/>
      <c r="I7" s="5"/>
      <c r="J7" s="5"/>
      <c r="K7" s="5"/>
      <c r="L7" s="5"/>
      <c r="M7" s="5"/>
      <c r="N7" s="5"/>
      <c r="O7" s="5"/>
      <c r="P7" s="5"/>
      <c r="Q7" s="5"/>
      <c r="R7" s="5"/>
      <c r="S7" s="5"/>
      <c r="T7" s="5"/>
      <c r="U7" s="5"/>
      <c r="V7" s="5"/>
      <c r="W7" s="5"/>
      <c r="X7" s="5"/>
      <c r="Y7" s="5"/>
      <c r="Z7" s="5"/>
    </row>
    <row r="8" ht="21.75" customHeight="1">
      <c r="A8" s="121" t="s">
        <v>373</v>
      </c>
      <c r="B8" s="122"/>
      <c r="C8" s="5"/>
      <c r="D8" s="5"/>
      <c r="E8" s="5"/>
      <c r="F8" s="5"/>
      <c r="G8" s="5"/>
      <c r="H8" s="5"/>
      <c r="I8" s="5"/>
      <c r="J8" s="5"/>
      <c r="K8" s="5"/>
      <c r="L8" s="5"/>
      <c r="M8" s="5"/>
      <c r="N8" s="5"/>
      <c r="O8" s="5"/>
      <c r="P8" s="5"/>
      <c r="Q8" s="5"/>
      <c r="R8" s="5"/>
      <c r="S8" s="5"/>
      <c r="T8" s="5"/>
      <c r="U8" s="5"/>
      <c r="V8" s="5"/>
      <c r="W8" s="5"/>
      <c r="X8" s="5"/>
      <c r="Y8" s="5"/>
      <c r="Z8" s="5"/>
    </row>
    <row r="9" ht="21.75" customHeight="1">
      <c r="A9" s="128" t="s">
        <v>374</v>
      </c>
      <c r="B9" s="124" t="s">
        <v>375</v>
      </c>
      <c r="C9" s="5"/>
      <c r="D9" s="5"/>
      <c r="E9" s="5"/>
      <c r="F9" s="5"/>
      <c r="G9" s="5"/>
      <c r="H9" s="5"/>
      <c r="I9" s="5"/>
      <c r="J9" s="5"/>
      <c r="K9" s="5"/>
      <c r="L9" s="5"/>
      <c r="M9" s="5"/>
      <c r="N9" s="5"/>
      <c r="O9" s="5"/>
      <c r="P9" s="5"/>
      <c r="Q9" s="5"/>
      <c r="R9" s="5"/>
      <c r="S9" s="5"/>
      <c r="T9" s="5"/>
      <c r="U9" s="5"/>
      <c r="V9" s="5"/>
      <c r="W9" s="5"/>
      <c r="X9" s="5"/>
      <c r="Y9" s="5"/>
      <c r="Z9" s="5"/>
    </row>
    <row r="10" ht="21.75" customHeight="1">
      <c r="A10" s="128" t="s">
        <v>376</v>
      </c>
      <c r="B10" s="124" t="s">
        <v>377</v>
      </c>
      <c r="C10" s="5"/>
      <c r="D10" s="5"/>
      <c r="E10" s="5"/>
      <c r="F10" s="5"/>
      <c r="G10" s="5"/>
      <c r="H10" s="5"/>
      <c r="I10" s="5"/>
      <c r="J10" s="5"/>
      <c r="K10" s="5"/>
      <c r="L10" s="5"/>
      <c r="M10" s="5"/>
      <c r="N10" s="5"/>
      <c r="O10" s="5"/>
      <c r="P10" s="5"/>
      <c r="Q10" s="5"/>
      <c r="R10" s="5"/>
      <c r="S10" s="5"/>
      <c r="T10" s="5"/>
      <c r="U10" s="5"/>
      <c r="V10" s="5"/>
      <c r="W10" s="5"/>
      <c r="X10" s="5"/>
      <c r="Y10" s="5"/>
      <c r="Z10" s="5"/>
    </row>
    <row r="11" ht="21.75" customHeight="1">
      <c r="A11" s="128" t="s">
        <v>378</v>
      </c>
      <c r="B11" s="124" t="s">
        <v>379</v>
      </c>
      <c r="C11" s="5"/>
      <c r="D11" s="5"/>
      <c r="E11" s="5"/>
      <c r="F11" s="5"/>
      <c r="G11" s="5"/>
      <c r="H11" s="5"/>
      <c r="I11" s="5"/>
      <c r="J11" s="5"/>
      <c r="K11" s="5"/>
      <c r="L11" s="5"/>
      <c r="M11" s="5"/>
      <c r="N11" s="5"/>
      <c r="O11" s="5"/>
      <c r="P11" s="5"/>
      <c r="Q11" s="5"/>
      <c r="R11" s="5"/>
      <c r="S11" s="5"/>
      <c r="T11" s="5"/>
      <c r="U11" s="5"/>
      <c r="V11" s="5"/>
      <c r="W11" s="5"/>
      <c r="X11" s="5"/>
      <c r="Y11" s="5"/>
      <c r="Z11" s="5"/>
    </row>
    <row r="12" ht="21.75" customHeight="1">
      <c r="A12" s="128" t="s">
        <v>380</v>
      </c>
      <c r="B12" s="124" t="s">
        <v>381</v>
      </c>
      <c r="C12" s="5"/>
      <c r="D12" s="5"/>
      <c r="E12" s="5"/>
      <c r="F12" s="5"/>
      <c r="G12" s="5"/>
      <c r="H12" s="5"/>
      <c r="I12" s="5"/>
      <c r="J12" s="5"/>
      <c r="K12" s="5"/>
      <c r="L12" s="5"/>
      <c r="M12" s="5"/>
      <c r="N12" s="5"/>
      <c r="O12" s="5"/>
      <c r="P12" s="5"/>
      <c r="Q12" s="5"/>
      <c r="R12" s="5"/>
      <c r="S12" s="5"/>
      <c r="T12" s="5"/>
      <c r="U12" s="5"/>
      <c r="V12" s="5"/>
      <c r="W12" s="5"/>
      <c r="X12" s="5"/>
      <c r="Y12" s="5"/>
      <c r="Z12" s="5"/>
    </row>
    <row r="13" ht="21.75" customHeight="1">
      <c r="A13" s="127"/>
      <c r="B13" s="124"/>
      <c r="C13" s="5"/>
      <c r="D13" s="5"/>
      <c r="E13" s="5"/>
      <c r="F13" s="5"/>
      <c r="G13" s="5"/>
      <c r="H13" s="5"/>
      <c r="I13" s="5"/>
      <c r="J13" s="5"/>
      <c r="K13" s="5"/>
      <c r="L13" s="5"/>
      <c r="M13" s="5"/>
      <c r="N13" s="5"/>
      <c r="O13" s="5"/>
      <c r="P13" s="5"/>
      <c r="Q13" s="5"/>
      <c r="R13" s="5"/>
      <c r="S13" s="5"/>
      <c r="T13" s="5"/>
      <c r="U13" s="5"/>
      <c r="V13" s="5"/>
      <c r="W13" s="5"/>
      <c r="X13" s="5"/>
      <c r="Y13" s="5"/>
      <c r="Z13" s="5"/>
    </row>
    <row r="14" ht="21.75" customHeight="1">
      <c r="A14" s="121" t="s">
        <v>382</v>
      </c>
      <c r="B14" s="122"/>
      <c r="C14" s="5"/>
      <c r="D14" s="5"/>
      <c r="E14" s="5"/>
      <c r="F14" s="5"/>
      <c r="G14" s="5"/>
      <c r="H14" s="5"/>
      <c r="I14" s="5"/>
      <c r="J14" s="5"/>
      <c r="K14" s="5"/>
      <c r="L14" s="5"/>
      <c r="M14" s="5"/>
      <c r="N14" s="5"/>
      <c r="O14" s="5"/>
      <c r="P14" s="5"/>
      <c r="Q14" s="5"/>
      <c r="R14" s="5"/>
      <c r="S14" s="5"/>
      <c r="T14" s="5"/>
      <c r="U14" s="5"/>
      <c r="V14" s="5"/>
      <c r="W14" s="5"/>
      <c r="X14" s="5"/>
      <c r="Y14" s="5"/>
      <c r="Z14" s="5"/>
    </row>
    <row r="15" ht="21.75" customHeight="1">
      <c r="A15" s="128" t="s">
        <v>383</v>
      </c>
      <c r="B15" s="124" t="s">
        <v>384</v>
      </c>
      <c r="C15" s="5"/>
      <c r="D15" s="5"/>
      <c r="E15" s="5"/>
      <c r="F15" s="5"/>
      <c r="G15" s="5"/>
      <c r="H15" s="5"/>
      <c r="I15" s="5"/>
      <c r="J15" s="5"/>
      <c r="K15" s="5"/>
      <c r="L15" s="5"/>
      <c r="M15" s="5"/>
      <c r="N15" s="5"/>
      <c r="O15" s="5"/>
      <c r="P15" s="5"/>
      <c r="Q15" s="5"/>
      <c r="R15" s="5"/>
      <c r="S15" s="5"/>
      <c r="T15" s="5"/>
      <c r="U15" s="5"/>
      <c r="V15" s="5"/>
      <c r="W15" s="5"/>
      <c r="X15" s="5"/>
      <c r="Y15" s="5"/>
      <c r="Z15" s="5"/>
    </row>
    <row r="16" ht="21.75" customHeight="1">
      <c r="A16" s="128" t="s">
        <v>385</v>
      </c>
      <c r="B16" s="124" t="s">
        <v>386</v>
      </c>
      <c r="C16" s="5"/>
      <c r="D16" s="5"/>
      <c r="E16" s="5"/>
      <c r="F16" s="5"/>
      <c r="G16" s="5"/>
      <c r="H16" s="5"/>
      <c r="I16" s="5"/>
      <c r="J16" s="5"/>
      <c r="K16" s="5"/>
      <c r="L16" s="5"/>
      <c r="M16" s="5"/>
      <c r="N16" s="5"/>
      <c r="O16" s="5"/>
      <c r="P16" s="5"/>
      <c r="Q16" s="5"/>
      <c r="R16" s="5"/>
      <c r="S16" s="5"/>
      <c r="T16" s="5"/>
      <c r="U16" s="5"/>
      <c r="V16" s="5"/>
      <c r="W16" s="5"/>
      <c r="X16" s="5"/>
      <c r="Y16" s="5"/>
      <c r="Z16" s="5"/>
    </row>
    <row r="17" ht="21.75" customHeight="1">
      <c r="A17" s="128" t="s">
        <v>387</v>
      </c>
      <c r="B17" s="124" t="s">
        <v>388</v>
      </c>
      <c r="C17" s="5"/>
      <c r="D17" s="5"/>
      <c r="E17" s="5"/>
      <c r="F17" s="5"/>
      <c r="G17" s="5"/>
      <c r="H17" s="5"/>
      <c r="I17" s="5"/>
      <c r="J17" s="5"/>
      <c r="K17" s="5"/>
      <c r="L17" s="5"/>
      <c r="M17" s="5"/>
      <c r="N17" s="5"/>
      <c r="O17" s="5"/>
      <c r="P17" s="5"/>
      <c r="Q17" s="5"/>
      <c r="R17" s="5"/>
      <c r="S17" s="5"/>
      <c r="T17" s="5"/>
      <c r="U17" s="5"/>
      <c r="V17" s="5"/>
      <c r="W17" s="5"/>
      <c r="X17" s="5"/>
      <c r="Y17" s="5"/>
      <c r="Z17" s="5"/>
    </row>
    <row r="18" ht="21.75" customHeight="1">
      <c r="A18" s="128" t="s">
        <v>389</v>
      </c>
      <c r="B18" s="124" t="s">
        <v>390</v>
      </c>
      <c r="C18" s="5"/>
      <c r="D18" s="5"/>
      <c r="E18" s="5"/>
      <c r="F18" s="5"/>
      <c r="G18" s="5"/>
      <c r="H18" s="5"/>
      <c r="I18" s="5"/>
      <c r="J18" s="5"/>
      <c r="K18" s="5"/>
      <c r="L18" s="5"/>
      <c r="M18" s="5"/>
      <c r="N18" s="5"/>
      <c r="O18" s="5"/>
      <c r="P18" s="5"/>
      <c r="Q18" s="5"/>
      <c r="R18" s="5"/>
      <c r="S18" s="5"/>
      <c r="T18" s="5"/>
      <c r="U18" s="5"/>
      <c r="V18" s="5"/>
      <c r="W18" s="5"/>
      <c r="X18" s="5"/>
      <c r="Y18" s="5"/>
      <c r="Z18" s="5"/>
    </row>
    <row r="19" ht="21.75" customHeight="1">
      <c r="A19" s="127"/>
      <c r="B19" s="124"/>
      <c r="C19" s="5"/>
      <c r="D19" s="5"/>
      <c r="E19" s="5"/>
      <c r="F19" s="5"/>
      <c r="G19" s="5"/>
      <c r="H19" s="5"/>
      <c r="I19" s="5"/>
      <c r="J19" s="5"/>
      <c r="K19" s="5"/>
      <c r="L19" s="5"/>
      <c r="M19" s="5"/>
      <c r="N19" s="5"/>
      <c r="O19" s="5"/>
      <c r="P19" s="5"/>
      <c r="Q19" s="5"/>
      <c r="R19" s="5"/>
      <c r="S19" s="5"/>
      <c r="T19" s="5"/>
      <c r="U19" s="5"/>
      <c r="V19" s="5"/>
      <c r="W19" s="5"/>
      <c r="X19" s="5"/>
      <c r="Y19" s="5"/>
      <c r="Z19" s="5"/>
    </row>
    <row r="20" ht="21.75" customHeight="1">
      <c r="A20" s="121" t="s">
        <v>391</v>
      </c>
      <c r="B20" s="122"/>
      <c r="C20" s="5"/>
      <c r="D20" s="5"/>
      <c r="E20" s="5"/>
      <c r="F20" s="5"/>
      <c r="G20" s="5"/>
      <c r="H20" s="5"/>
      <c r="I20" s="5"/>
      <c r="J20" s="5"/>
      <c r="K20" s="5"/>
      <c r="L20" s="5"/>
      <c r="M20" s="5"/>
      <c r="N20" s="5"/>
      <c r="O20" s="5"/>
      <c r="P20" s="5"/>
      <c r="Q20" s="5"/>
      <c r="R20" s="5"/>
      <c r="S20" s="5"/>
      <c r="T20" s="5"/>
      <c r="U20" s="5"/>
      <c r="V20" s="5"/>
      <c r="W20" s="5"/>
      <c r="X20" s="5"/>
      <c r="Y20" s="5"/>
      <c r="Z20" s="5"/>
    </row>
    <row r="21" ht="21.75" customHeight="1">
      <c r="A21" s="128" t="s">
        <v>392</v>
      </c>
      <c r="B21" s="124" t="s">
        <v>393</v>
      </c>
      <c r="C21" s="5"/>
      <c r="D21" s="5"/>
      <c r="E21" s="5"/>
      <c r="F21" s="5"/>
      <c r="G21" s="5"/>
      <c r="H21" s="5"/>
      <c r="I21" s="5"/>
      <c r="J21" s="5"/>
      <c r="K21" s="5"/>
      <c r="L21" s="5"/>
      <c r="M21" s="5"/>
      <c r="N21" s="5"/>
      <c r="O21" s="5"/>
      <c r="P21" s="5"/>
      <c r="Q21" s="5"/>
      <c r="R21" s="5"/>
      <c r="S21" s="5"/>
      <c r="T21" s="5"/>
      <c r="U21" s="5"/>
      <c r="V21" s="5"/>
      <c r="W21" s="5"/>
      <c r="X21" s="5"/>
      <c r="Y21" s="5"/>
      <c r="Z21" s="5"/>
    </row>
    <row r="22" ht="21.75" customHeight="1">
      <c r="A22" s="128" t="s">
        <v>394</v>
      </c>
      <c r="B22" s="124" t="s">
        <v>395</v>
      </c>
      <c r="C22" s="5"/>
      <c r="D22" s="5"/>
      <c r="E22" s="5"/>
      <c r="F22" s="5"/>
      <c r="G22" s="5"/>
      <c r="H22" s="5"/>
      <c r="I22" s="5"/>
      <c r="J22" s="5"/>
      <c r="K22" s="5"/>
      <c r="L22" s="5"/>
      <c r="M22" s="5"/>
      <c r="N22" s="5"/>
      <c r="O22" s="5"/>
      <c r="P22" s="5"/>
      <c r="Q22" s="5"/>
      <c r="R22" s="5"/>
      <c r="S22" s="5"/>
      <c r="T22" s="5"/>
      <c r="U22" s="5"/>
      <c r="V22" s="5"/>
      <c r="W22" s="5"/>
      <c r="X22" s="5"/>
      <c r="Y22" s="5"/>
      <c r="Z22" s="5"/>
    </row>
    <row r="23" ht="21.75" customHeight="1">
      <c r="A23" s="128" t="s">
        <v>396</v>
      </c>
      <c r="B23" s="124" t="s">
        <v>397</v>
      </c>
      <c r="C23" s="5"/>
      <c r="D23" s="5"/>
      <c r="E23" s="5"/>
      <c r="F23" s="5"/>
      <c r="G23" s="5"/>
      <c r="H23" s="5"/>
      <c r="I23" s="5"/>
      <c r="J23" s="5"/>
      <c r="K23" s="5"/>
      <c r="L23" s="5"/>
      <c r="M23" s="5"/>
      <c r="N23" s="5"/>
      <c r="O23" s="5"/>
      <c r="P23" s="5"/>
      <c r="Q23" s="5"/>
      <c r="R23" s="5"/>
      <c r="S23" s="5"/>
      <c r="T23" s="5"/>
      <c r="U23" s="5"/>
      <c r="V23" s="5"/>
      <c r="W23" s="5"/>
      <c r="X23" s="5"/>
      <c r="Y23" s="5"/>
      <c r="Z23" s="5"/>
    </row>
    <row r="24" ht="21.75" customHeight="1">
      <c r="A24" s="128" t="s">
        <v>398</v>
      </c>
      <c r="B24" s="124" t="s">
        <v>399</v>
      </c>
      <c r="C24" s="5"/>
      <c r="D24" s="5"/>
      <c r="E24" s="5"/>
      <c r="F24" s="5"/>
      <c r="G24" s="5"/>
      <c r="H24" s="5"/>
      <c r="I24" s="5"/>
      <c r="J24" s="5"/>
      <c r="K24" s="5"/>
      <c r="L24" s="5"/>
      <c r="M24" s="5"/>
      <c r="N24" s="5"/>
      <c r="O24" s="5"/>
      <c r="P24" s="5"/>
      <c r="Q24" s="5"/>
      <c r="R24" s="5"/>
      <c r="S24" s="5"/>
      <c r="T24" s="5"/>
      <c r="U24" s="5"/>
      <c r="V24" s="5"/>
      <c r="W24" s="5"/>
      <c r="X24" s="5"/>
      <c r="Y24" s="5"/>
      <c r="Z24" s="5"/>
    </row>
    <row r="25" ht="21.75" customHeight="1">
      <c r="A25" s="128" t="s">
        <v>400</v>
      </c>
      <c r="B25" s="124" t="s">
        <v>401</v>
      </c>
      <c r="C25" s="5"/>
      <c r="D25" s="5"/>
      <c r="E25" s="5"/>
      <c r="F25" s="5"/>
      <c r="G25" s="5"/>
      <c r="H25" s="5"/>
      <c r="I25" s="5"/>
      <c r="J25" s="5"/>
      <c r="K25" s="5"/>
      <c r="L25" s="5"/>
      <c r="M25" s="5"/>
      <c r="N25" s="5"/>
      <c r="O25" s="5"/>
      <c r="P25" s="5"/>
      <c r="Q25" s="5"/>
      <c r="R25" s="5"/>
      <c r="S25" s="5"/>
      <c r="T25" s="5"/>
      <c r="U25" s="5"/>
      <c r="V25" s="5"/>
      <c r="W25" s="5"/>
      <c r="X25" s="5"/>
      <c r="Y25" s="5"/>
      <c r="Z25" s="5"/>
    </row>
    <row r="26" ht="21.75" customHeight="1">
      <c r="A26" s="128" t="s">
        <v>402</v>
      </c>
      <c r="B26" s="124" t="s">
        <v>403</v>
      </c>
      <c r="C26" s="5"/>
      <c r="D26" s="5"/>
      <c r="E26" s="5"/>
      <c r="F26" s="5"/>
      <c r="G26" s="5"/>
      <c r="H26" s="5"/>
      <c r="I26" s="5"/>
      <c r="J26" s="5"/>
      <c r="K26" s="5"/>
      <c r="L26" s="5"/>
      <c r="M26" s="5"/>
      <c r="N26" s="5"/>
      <c r="O26" s="5"/>
      <c r="P26" s="5"/>
      <c r="Q26" s="5"/>
      <c r="R26" s="5"/>
      <c r="S26" s="5"/>
      <c r="T26" s="5"/>
      <c r="U26" s="5"/>
      <c r="V26" s="5"/>
      <c r="W26" s="5"/>
      <c r="X26" s="5"/>
      <c r="Y26" s="5"/>
      <c r="Z26" s="5"/>
    </row>
    <row r="27" ht="21.75" customHeight="1">
      <c r="A27" s="128" t="s">
        <v>404</v>
      </c>
      <c r="B27" s="124" t="s">
        <v>405</v>
      </c>
      <c r="C27" s="5"/>
      <c r="D27" s="5"/>
      <c r="E27" s="5"/>
      <c r="F27" s="5"/>
      <c r="G27" s="5"/>
      <c r="H27" s="5"/>
      <c r="I27" s="5"/>
      <c r="J27" s="5"/>
      <c r="K27" s="5"/>
      <c r="L27" s="5"/>
      <c r="M27" s="5"/>
      <c r="N27" s="5"/>
      <c r="O27" s="5"/>
      <c r="P27" s="5"/>
      <c r="Q27" s="5"/>
      <c r="R27" s="5"/>
      <c r="S27" s="5"/>
      <c r="T27" s="5"/>
      <c r="U27" s="5"/>
      <c r="V27" s="5"/>
      <c r="W27" s="5"/>
      <c r="X27" s="5"/>
      <c r="Y27" s="5"/>
      <c r="Z27" s="5"/>
    </row>
    <row r="28" ht="21.75" customHeight="1">
      <c r="A28" s="127"/>
      <c r="B28" s="124"/>
      <c r="C28" s="5"/>
      <c r="D28" s="5"/>
      <c r="E28" s="5"/>
      <c r="F28" s="5"/>
      <c r="G28" s="5"/>
      <c r="H28" s="5"/>
      <c r="I28" s="5"/>
      <c r="J28" s="5"/>
      <c r="K28" s="5"/>
      <c r="L28" s="5"/>
      <c r="M28" s="5"/>
      <c r="N28" s="5"/>
      <c r="O28" s="5"/>
      <c r="P28" s="5"/>
      <c r="Q28" s="5"/>
      <c r="R28" s="5"/>
      <c r="S28" s="5"/>
      <c r="T28" s="5"/>
      <c r="U28" s="5"/>
      <c r="V28" s="5"/>
      <c r="W28" s="5"/>
      <c r="X28" s="5"/>
      <c r="Y28" s="5"/>
      <c r="Z28" s="5"/>
    </row>
    <row r="29" ht="21.75" customHeight="1">
      <c r="A29" s="121" t="s">
        <v>406</v>
      </c>
      <c r="B29" s="122"/>
      <c r="C29" s="5"/>
      <c r="D29" s="5"/>
      <c r="E29" s="5"/>
      <c r="F29" s="5"/>
      <c r="G29" s="5"/>
      <c r="H29" s="5"/>
      <c r="I29" s="5"/>
      <c r="J29" s="5"/>
      <c r="K29" s="5"/>
      <c r="L29" s="5"/>
      <c r="M29" s="5"/>
      <c r="N29" s="5"/>
      <c r="O29" s="5"/>
      <c r="P29" s="5"/>
      <c r="Q29" s="5"/>
      <c r="R29" s="5"/>
      <c r="S29" s="5"/>
      <c r="T29" s="5"/>
      <c r="U29" s="5"/>
      <c r="V29" s="5"/>
      <c r="W29" s="5"/>
      <c r="X29" s="5"/>
      <c r="Y29" s="5"/>
      <c r="Z29" s="5"/>
    </row>
    <row r="30" ht="21.75" customHeight="1">
      <c r="A30" s="128" t="s">
        <v>407</v>
      </c>
      <c r="B30" s="124" t="s">
        <v>408</v>
      </c>
      <c r="C30" s="5"/>
      <c r="D30" s="5"/>
      <c r="E30" s="5"/>
      <c r="F30" s="5"/>
      <c r="G30" s="5"/>
      <c r="H30" s="5"/>
      <c r="I30" s="5"/>
      <c r="J30" s="5"/>
      <c r="K30" s="5"/>
      <c r="L30" s="5"/>
      <c r="M30" s="5"/>
      <c r="N30" s="5"/>
      <c r="O30" s="5"/>
      <c r="P30" s="5"/>
      <c r="Q30" s="5"/>
      <c r="R30" s="5"/>
      <c r="S30" s="5"/>
      <c r="T30" s="5"/>
      <c r="U30" s="5"/>
      <c r="V30" s="5"/>
      <c r="W30" s="5"/>
      <c r="X30" s="5"/>
      <c r="Y30" s="5"/>
      <c r="Z30" s="5"/>
    </row>
    <row r="31" ht="21.75" customHeight="1">
      <c r="A31" s="128" t="s">
        <v>24</v>
      </c>
      <c r="B31" s="124" t="s">
        <v>409</v>
      </c>
      <c r="C31" s="5"/>
      <c r="D31" s="5"/>
      <c r="E31" s="5"/>
      <c r="F31" s="5"/>
      <c r="G31" s="5"/>
      <c r="H31" s="5"/>
      <c r="I31" s="5"/>
      <c r="J31" s="5"/>
      <c r="K31" s="5"/>
      <c r="L31" s="5"/>
      <c r="M31" s="5"/>
      <c r="N31" s="5"/>
      <c r="O31" s="5"/>
      <c r="P31" s="5"/>
      <c r="Q31" s="5"/>
      <c r="R31" s="5"/>
      <c r="S31" s="5"/>
      <c r="T31" s="5"/>
      <c r="U31" s="5"/>
      <c r="V31" s="5"/>
      <c r="W31" s="5"/>
      <c r="X31" s="5"/>
      <c r="Y31" s="5"/>
      <c r="Z31" s="5"/>
    </row>
    <row r="32" ht="21.75" customHeight="1">
      <c r="A32" s="128" t="s">
        <v>410</v>
      </c>
      <c r="B32" s="124" t="s">
        <v>411</v>
      </c>
      <c r="C32" s="5"/>
      <c r="D32" s="5"/>
      <c r="E32" s="5"/>
      <c r="F32" s="5"/>
      <c r="G32" s="5"/>
      <c r="H32" s="5"/>
      <c r="I32" s="5"/>
      <c r="J32" s="5"/>
      <c r="K32" s="5"/>
      <c r="L32" s="5"/>
      <c r="M32" s="5"/>
      <c r="N32" s="5"/>
      <c r="O32" s="5"/>
      <c r="P32" s="5"/>
      <c r="Q32" s="5"/>
      <c r="R32" s="5"/>
      <c r="S32" s="5"/>
      <c r="T32" s="5"/>
      <c r="U32" s="5"/>
      <c r="V32" s="5"/>
      <c r="W32" s="5"/>
      <c r="X32" s="5"/>
      <c r="Y32" s="5"/>
      <c r="Z32" s="5"/>
    </row>
    <row r="33" ht="21.75" customHeight="1">
      <c r="A33" s="128" t="s">
        <v>412</v>
      </c>
      <c r="B33" s="124" t="s">
        <v>413</v>
      </c>
      <c r="C33" s="5"/>
      <c r="D33" s="5"/>
      <c r="E33" s="5"/>
      <c r="F33" s="5"/>
      <c r="G33" s="5"/>
      <c r="H33" s="5"/>
      <c r="I33" s="5"/>
      <c r="J33" s="5"/>
      <c r="K33" s="5"/>
      <c r="L33" s="5"/>
      <c r="M33" s="5"/>
      <c r="N33" s="5"/>
      <c r="O33" s="5"/>
      <c r="P33" s="5"/>
      <c r="Q33" s="5"/>
      <c r="R33" s="5"/>
      <c r="S33" s="5"/>
      <c r="T33" s="5"/>
      <c r="U33" s="5"/>
      <c r="V33" s="5"/>
      <c r="W33" s="5"/>
      <c r="X33" s="5"/>
      <c r="Y33" s="5"/>
      <c r="Z33" s="5"/>
    </row>
    <row r="34" ht="21.75" customHeight="1">
      <c r="A34" s="128" t="s">
        <v>414</v>
      </c>
      <c r="B34" s="124" t="s">
        <v>415</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
    <mergeCell ref="A1:B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21.0"/>
    <col customWidth="1" min="2" max="3" width="14.0"/>
    <col customWidth="1" min="4" max="4" width="17.5"/>
    <col customWidth="1" min="5" max="5" width="24.5"/>
    <col customWidth="1" min="6" max="6" width="7.63"/>
  </cols>
  <sheetData>
    <row r="1" ht="37.5" customHeight="1">
      <c r="A1" s="129" t="s">
        <v>416</v>
      </c>
      <c r="B1" s="19"/>
      <c r="C1" s="19"/>
      <c r="D1" s="19"/>
      <c r="E1" s="20"/>
      <c r="F1" s="5"/>
      <c r="G1" s="5"/>
      <c r="H1" s="5"/>
      <c r="I1" s="5"/>
      <c r="J1" s="5"/>
      <c r="K1" s="5"/>
      <c r="L1" s="5"/>
      <c r="M1" s="5"/>
      <c r="N1" s="5"/>
      <c r="O1" s="5"/>
      <c r="P1" s="5"/>
      <c r="Q1" s="5"/>
      <c r="R1" s="5"/>
      <c r="S1" s="5"/>
      <c r="T1" s="5"/>
      <c r="U1" s="5"/>
      <c r="V1" s="5"/>
      <c r="W1" s="5"/>
      <c r="X1" s="5"/>
      <c r="Y1" s="5"/>
      <c r="Z1" s="5"/>
    </row>
    <row r="2" ht="30.0" customHeight="1">
      <c r="A2" s="130" t="s">
        <v>417</v>
      </c>
      <c r="B2" s="19"/>
      <c r="C2" s="19"/>
      <c r="D2" s="19"/>
      <c r="E2" s="20"/>
      <c r="F2" s="5"/>
      <c r="G2" s="5"/>
      <c r="H2" s="5"/>
      <c r="I2" s="5"/>
      <c r="J2" s="5"/>
      <c r="K2" s="5"/>
      <c r="L2" s="5"/>
      <c r="M2" s="5"/>
      <c r="N2" s="5"/>
      <c r="O2" s="5"/>
      <c r="P2" s="5"/>
      <c r="Q2" s="5"/>
      <c r="R2" s="5"/>
      <c r="S2" s="5"/>
      <c r="T2" s="5"/>
      <c r="U2" s="5"/>
      <c r="V2" s="5"/>
      <c r="W2" s="5"/>
      <c r="X2" s="5"/>
      <c r="Y2" s="5"/>
      <c r="Z2" s="5"/>
    </row>
    <row r="3" ht="19.5" customHeight="1">
      <c r="A3" s="131" t="s">
        <v>418</v>
      </c>
      <c r="B3" s="19"/>
      <c r="C3" s="19"/>
      <c r="D3" s="19"/>
      <c r="E3" s="20"/>
      <c r="F3" s="5"/>
      <c r="G3" s="5"/>
      <c r="H3" s="5"/>
      <c r="I3" s="5"/>
      <c r="J3" s="5"/>
      <c r="K3" s="5"/>
      <c r="L3" s="5"/>
      <c r="M3" s="5"/>
      <c r="N3" s="5"/>
      <c r="O3" s="5"/>
      <c r="P3" s="5"/>
      <c r="Q3" s="5"/>
      <c r="R3" s="5"/>
      <c r="S3" s="5"/>
      <c r="T3" s="5"/>
      <c r="U3" s="5"/>
      <c r="V3" s="5"/>
      <c r="W3" s="5"/>
      <c r="X3" s="5"/>
      <c r="Y3" s="5"/>
      <c r="Z3" s="5"/>
    </row>
    <row r="4" ht="7.5" customHeight="1">
      <c r="A4" s="5"/>
      <c r="B4" s="5"/>
      <c r="C4" s="5"/>
      <c r="D4" s="5"/>
      <c r="E4" s="5"/>
      <c r="F4" s="5"/>
      <c r="G4" s="5"/>
      <c r="H4" s="5"/>
      <c r="I4" s="5"/>
      <c r="J4" s="5"/>
      <c r="K4" s="5"/>
      <c r="L4" s="5"/>
      <c r="M4" s="5"/>
      <c r="N4" s="5"/>
      <c r="O4" s="5"/>
      <c r="P4" s="5"/>
      <c r="Q4" s="5"/>
      <c r="R4" s="5"/>
      <c r="S4" s="5"/>
      <c r="T4" s="5"/>
      <c r="U4" s="5"/>
      <c r="V4" s="5"/>
      <c r="W4" s="5"/>
      <c r="X4" s="5"/>
      <c r="Y4" s="5"/>
      <c r="Z4" s="5"/>
    </row>
    <row r="5" ht="21.75" customHeight="1">
      <c r="A5" s="132" t="s">
        <v>95</v>
      </c>
      <c r="B5" s="132" t="s">
        <v>419</v>
      </c>
      <c r="C5" s="132" t="s">
        <v>20</v>
      </c>
      <c r="D5" s="132" t="s">
        <v>21</v>
      </c>
      <c r="E5" s="132" t="s">
        <v>420</v>
      </c>
      <c r="F5" s="5"/>
      <c r="G5" s="5"/>
      <c r="H5" s="5"/>
      <c r="I5" s="5"/>
      <c r="J5" s="5"/>
      <c r="K5" s="5"/>
      <c r="L5" s="5"/>
      <c r="M5" s="5"/>
      <c r="N5" s="5"/>
      <c r="O5" s="5"/>
      <c r="P5" s="5"/>
      <c r="Q5" s="5"/>
      <c r="R5" s="5"/>
      <c r="S5" s="5"/>
      <c r="T5" s="5"/>
      <c r="U5" s="5"/>
      <c r="V5" s="5"/>
      <c r="W5" s="5"/>
      <c r="X5" s="5"/>
      <c r="Y5" s="5"/>
      <c r="Z5" s="5"/>
    </row>
    <row r="6" ht="21.75" customHeight="1">
      <c r="A6" s="133" t="s">
        <v>137</v>
      </c>
      <c r="B6" s="134" t="s">
        <v>421</v>
      </c>
      <c r="C6" s="135" t="s">
        <v>422</v>
      </c>
      <c r="D6" s="135" t="s">
        <v>423</v>
      </c>
      <c r="E6" s="133"/>
      <c r="F6" s="5"/>
      <c r="G6" s="5"/>
      <c r="H6" s="5"/>
      <c r="I6" s="5"/>
      <c r="J6" s="5"/>
      <c r="K6" s="5"/>
      <c r="L6" s="5"/>
      <c r="M6" s="5"/>
      <c r="N6" s="5"/>
      <c r="O6" s="5"/>
      <c r="P6" s="5"/>
      <c r="Q6" s="5"/>
      <c r="R6" s="5"/>
      <c r="S6" s="5"/>
      <c r="T6" s="5"/>
      <c r="U6" s="5"/>
      <c r="V6" s="5"/>
      <c r="W6" s="5"/>
      <c r="X6" s="5"/>
      <c r="Y6" s="5"/>
      <c r="Z6" s="5"/>
    </row>
    <row r="7" ht="21.75" customHeight="1">
      <c r="A7" s="133" t="s">
        <v>174</v>
      </c>
      <c r="B7" s="134" t="s">
        <v>424</v>
      </c>
      <c r="C7" s="135" t="s">
        <v>425</v>
      </c>
      <c r="D7" s="135" t="s">
        <v>423</v>
      </c>
      <c r="E7" s="133"/>
      <c r="F7" s="5"/>
      <c r="G7" s="5"/>
      <c r="H7" s="5"/>
      <c r="I7" s="5"/>
      <c r="J7" s="5"/>
      <c r="K7" s="5"/>
      <c r="L7" s="5"/>
      <c r="M7" s="5"/>
      <c r="N7" s="5"/>
      <c r="O7" s="5"/>
      <c r="P7" s="5"/>
      <c r="Q7" s="5"/>
      <c r="R7" s="5"/>
      <c r="S7" s="5"/>
      <c r="T7" s="5"/>
      <c r="U7" s="5"/>
      <c r="V7" s="5"/>
      <c r="W7" s="5"/>
      <c r="X7" s="5"/>
      <c r="Y7" s="5"/>
      <c r="Z7" s="5"/>
    </row>
    <row r="8" ht="21.75" customHeight="1">
      <c r="A8" s="45" t="s">
        <v>81</v>
      </c>
      <c r="B8" s="136" t="s">
        <v>426</v>
      </c>
      <c r="C8" s="137" t="s">
        <v>425</v>
      </c>
      <c r="D8" s="137" t="s">
        <v>423</v>
      </c>
      <c r="E8" s="45"/>
      <c r="F8" s="5"/>
      <c r="G8" s="5"/>
      <c r="H8" s="5"/>
      <c r="I8" s="5"/>
      <c r="J8" s="5"/>
      <c r="K8" s="5"/>
      <c r="L8" s="5"/>
      <c r="M8" s="5"/>
      <c r="N8" s="5"/>
      <c r="O8" s="5"/>
      <c r="P8" s="5"/>
      <c r="Q8" s="5"/>
      <c r="R8" s="5"/>
      <c r="S8" s="5"/>
      <c r="T8" s="5"/>
      <c r="U8" s="5"/>
      <c r="V8" s="5"/>
      <c r="W8" s="5"/>
      <c r="X8" s="5"/>
      <c r="Y8" s="5"/>
      <c r="Z8" s="5"/>
    </row>
    <row r="9" ht="21.75" customHeight="1">
      <c r="A9" s="45" t="s">
        <v>118</v>
      </c>
      <c r="B9" s="136" t="s">
        <v>427</v>
      </c>
      <c r="C9" s="137" t="s">
        <v>425</v>
      </c>
      <c r="D9" s="137" t="s">
        <v>423</v>
      </c>
      <c r="E9" s="45"/>
      <c r="F9" s="5"/>
      <c r="G9" s="5"/>
      <c r="H9" s="5"/>
      <c r="I9" s="5"/>
      <c r="J9" s="5"/>
      <c r="K9" s="5"/>
      <c r="L9" s="5"/>
      <c r="M9" s="5"/>
      <c r="N9" s="5"/>
      <c r="O9" s="5"/>
      <c r="P9" s="5"/>
      <c r="Q9" s="5"/>
      <c r="R9" s="5"/>
      <c r="S9" s="5"/>
      <c r="T9" s="5"/>
      <c r="U9" s="5"/>
      <c r="V9" s="5"/>
      <c r="W9" s="5"/>
      <c r="X9" s="5"/>
      <c r="Y9" s="5"/>
      <c r="Z9" s="5"/>
    </row>
    <row r="10" ht="21.75" customHeight="1">
      <c r="A10" s="133" t="s">
        <v>145</v>
      </c>
      <c r="B10" s="134" t="s">
        <v>324</v>
      </c>
      <c r="C10" s="135" t="s">
        <v>425</v>
      </c>
      <c r="D10" s="135" t="s">
        <v>423</v>
      </c>
      <c r="E10" s="133"/>
      <c r="F10" s="5"/>
      <c r="G10" s="5"/>
      <c r="H10" s="5"/>
      <c r="I10" s="5"/>
      <c r="J10" s="5"/>
      <c r="K10" s="5"/>
      <c r="L10" s="5"/>
      <c r="M10" s="5"/>
      <c r="N10" s="5"/>
      <c r="O10" s="5"/>
      <c r="P10" s="5"/>
      <c r="Q10" s="5"/>
      <c r="R10" s="5"/>
      <c r="S10" s="5"/>
      <c r="T10" s="5"/>
      <c r="U10" s="5"/>
      <c r="V10" s="5"/>
      <c r="W10" s="5"/>
      <c r="X10" s="5"/>
      <c r="Y10" s="5"/>
      <c r="Z10" s="5"/>
    </row>
    <row r="11" ht="21.75" customHeight="1">
      <c r="A11" s="138" t="s">
        <v>130</v>
      </c>
      <c r="B11" s="139" t="s">
        <v>428</v>
      </c>
      <c r="C11" s="135" t="s">
        <v>425</v>
      </c>
      <c r="D11" s="135" t="s">
        <v>423</v>
      </c>
      <c r="E11" s="138"/>
      <c r="F11" s="5"/>
      <c r="G11" s="5"/>
      <c r="H11" s="5"/>
      <c r="I11" s="5"/>
      <c r="J11" s="5"/>
      <c r="K11" s="5"/>
      <c r="L11" s="5"/>
      <c r="M11" s="5"/>
      <c r="N11" s="5"/>
      <c r="O11" s="5"/>
      <c r="P11" s="5"/>
      <c r="Q11" s="5"/>
      <c r="R11" s="5"/>
      <c r="S11" s="5"/>
      <c r="T11" s="5"/>
      <c r="U11" s="5"/>
      <c r="V11" s="5"/>
      <c r="W11" s="5"/>
      <c r="X11" s="5"/>
      <c r="Y11" s="5"/>
      <c r="Z11" s="5"/>
    </row>
    <row r="12" ht="21.75" customHeight="1">
      <c r="A12" s="140" t="s">
        <v>107</v>
      </c>
      <c r="B12" s="141" t="s">
        <v>429</v>
      </c>
      <c r="C12" s="135" t="s">
        <v>425</v>
      </c>
      <c r="D12" s="135" t="s">
        <v>423</v>
      </c>
      <c r="E12" s="140"/>
      <c r="F12" s="5"/>
      <c r="G12" s="5"/>
      <c r="H12" s="5"/>
      <c r="I12" s="5"/>
      <c r="J12" s="5"/>
      <c r="K12" s="5"/>
      <c r="L12" s="5"/>
      <c r="M12" s="5"/>
      <c r="N12" s="5"/>
      <c r="O12" s="5"/>
      <c r="P12" s="5"/>
      <c r="Q12" s="5"/>
      <c r="R12" s="5"/>
      <c r="S12" s="5"/>
      <c r="T12" s="5"/>
      <c r="U12" s="5"/>
      <c r="V12" s="5"/>
      <c r="W12" s="5"/>
      <c r="X12" s="5"/>
      <c r="Y12" s="5"/>
      <c r="Z12" s="5"/>
    </row>
    <row r="13" ht="21.75" customHeight="1">
      <c r="A13" s="138" t="s">
        <v>83</v>
      </c>
      <c r="B13" s="139" t="s">
        <v>430</v>
      </c>
      <c r="C13" s="135" t="s">
        <v>425</v>
      </c>
      <c r="D13" s="135" t="s">
        <v>423</v>
      </c>
      <c r="E13" s="138"/>
      <c r="F13" s="5"/>
      <c r="G13" s="5"/>
      <c r="H13" s="5"/>
      <c r="I13" s="5"/>
      <c r="J13" s="5"/>
      <c r="K13" s="5"/>
      <c r="L13" s="5"/>
      <c r="M13" s="5"/>
      <c r="N13" s="5"/>
      <c r="O13" s="5"/>
      <c r="P13" s="5"/>
      <c r="Q13" s="5"/>
      <c r="R13" s="5"/>
      <c r="S13" s="5"/>
      <c r="T13" s="5"/>
      <c r="U13" s="5"/>
      <c r="V13" s="5"/>
      <c r="W13" s="5"/>
      <c r="X13" s="5"/>
      <c r="Y13" s="5"/>
      <c r="Z13" s="5"/>
    </row>
    <row r="14" ht="21.75" customHeight="1">
      <c r="A14" s="140" t="s">
        <v>172</v>
      </c>
      <c r="B14" s="141" t="s">
        <v>431</v>
      </c>
      <c r="C14" s="135" t="s">
        <v>425</v>
      </c>
      <c r="D14" s="135" t="s">
        <v>423</v>
      </c>
      <c r="E14" s="140"/>
      <c r="F14" s="5"/>
      <c r="G14" s="5"/>
      <c r="H14" s="5"/>
      <c r="I14" s="5"/>
      <c r="J14" s="5"/>
      <c r="K14" s="5"/>
      <c r="L14" s="5"/>
      <c r="M14" s="5"/>
      <c r="N14" s="5"/>
      <c r="O14" s="5"/>
      <c r="P14" s="5"/>
      <c r="Q14" s="5"/>
      <c r="R14" s="5"/>
      <c r="S14" s="5"/>
      <c r="T14" s="5"/>
      <c r="U14" s="5"/>
      <c r="V14" s="5"/>
      <c r="W14" s="5"/>
      <c r="X14" s="5"/>
      <c r="Y14" s="5"/>
      <c r="Z14" s="5"/>
    </row>
    <row r="15" ht="21.75" customHeight="1">
      <c r="A15" s="138" t="s">
        <v>64</v>
      </c>
      <c r="B15" s="139">
        <v>1762.0</v>
      </c>
      <c r="C15" s="135" t="s">
        <v>432</v>
      </c>
      <c r="D15" s="135" t="s">
        <v>423</v>
      </c>
      <c r="E15" s="138"/>
      <c r="F15" s="5"/>
      <c r="G15" s="5"/>
      <c r="H15" s="5"/>
      <c r="I15" s="5"/>
      <c r="J15" s="5"/>
      <c r="K15" s="5"/>
      <c r="L15" s="5"/>
      <c r="M15" s="5"/>
      <c r="N15" s="5"/>
      <c r="O15" s="5"/>
      <c r="P15" s="5"/>
      <c r="Q15" s="5"/>
      <c r="R15" s="5"/>
      <c r="S15" s="5"/>
      <c r="T15" s="5"/>
      <c r="U15" s="5"/>
      <c r="V15" s="5"/>
      <c r="W15" s="5"/>
      <c r="X15" s="5"/>
      <c r="Y15" s="5"/>
      <c r="Z15" s="5"/>
    </row>
    <row r="16" ht="21.75" customHeight="1">
      <c r="A16" s="140" t="s">
        <v>74</v>
      </c>
      <c r="B16" s="141" t="s">
        <v>433</v>
      </c>
      <c r="C16" s="135" t="s">
        <v>422</v>
      </c>
      <c r="D16" s="135" t="s">
        <v>423</v>
      </c>
      <c r="E16" s="140"/>
      <c r="F16" s="5"/>
      <c r="G16" s="5"/>
      <c r="H16" s="5"/>
      <c r="I16" s="5"/>
      <c r="J16" s="5"/>
      <c r="K16" s="5"/>
      <c r="L16" s="5"/>
      <c r="M16" s="5"/>
      <c r="N16" s="5"/>
      <c r="O16" s="5"/>
      <c r="P16" s="5"/>
      <c r="Q16" s="5"/>
      <c r="R16" s="5"/>
      <c r="S16" s="5"/>
      <c r="T16" s="5"/>
      <c r="U16" s="5"/>
      <c r="V16" s="5"/>
      <c r="W16" s="5"/>
      <c r="X16" s="5"/>
      <c r="Y16" s="5"/>
      <c r="Z16" s="5"/>
    </row>
    <row r="17" ht="21.75" customHeight="1">
      <c r="A17" s="138" t="s">
        <v>111</v>
      </c>
      <c r="B17" s="139" t="s">
        <v>434</v>
      </c>
      <c r="C17" s="135" t="s">
        <v>425</v>
      </c>
      <c r="D17" s="135" t="s">
        <v>423</v>
      </c>
      <c r="E17" s="138"/>
      <c r="F17" s="5"/>
      <c r="G17" s="5"/>
      <c r="H17" s="5"/>
      <c r="I17" s="5"/>
      <c r="J17" s="5"/>
      <c r="K17" s="5"/>
      <c r="L17" s="5"/>
      <c r="M17" s="5"/>
      <c r="N17" s="5"/>
      <c r="O17" s="5"/>
      <c r="P17" s="5"/>
      <c r="Q17" s="5"/>
      <c r="R17" s="5"/>
      <c r="S17" s="5"/>
      <c r="T17" s="5"/>
      <c r="U17" s="5"/>
      <c r="V17" s="5"/>
      <c r="W17" s="5"/>
      <c r="X17" s="5"/>
      <c r="Y17" s="5"/>
      <c r="Z17" s="5"/>
    </row>
    <row r="18" ht="21.75" customHeight="1">
      <c r="A18" s="140" t="s">
        <v>435</v>
      </c>
      <c r="B18" s="141" t="s">
        <v>436</v>
      </c>
      <c r="C18" s="135" t="s">
        <v>425</v>
      </c>
      <c r="D18" s="135" t="s">
        <v>423</v>
      </c>
      <c r="E18" s="140"/>
      <c r="F18" s="5"/>
      <c r="G18" s="5"/>
      <c r="H18" s="5"/>
      <c r="I18" s="5"/>
      <c r="J18" s="5"/>
      <c r="K18" s="5"/>
      <c r="L18" s="5"/>
      <c r="M18" s="5"/>
      <c r="N18" s="5"/>
      <c r="O18" s="5"/>
      <c r="P18" s="5"/>
      <c r="Q18" s="5"/>
      <c r="R18" s="5"/>
      <c r="S18" s="5"/>
      <c r="T18" s="5"/>
      <c r="U18" s="5"/>
      <c r="V18" s="5"/>
      <c r="W18" s="5"/>
      <c r="X18" s="5"/>
      <c r="Y18" s="5"/>
      <c r="Z18" s="5"/>
    </row>
    <row r="19" ht="21.75" customHeight="1">
      <c r="A19" s="138" t="s">
        <v>105</v>
      </c>
      <c r="B19" s="139" t="s">
        <v>437</v>
      </c>
      <c r="C19" s="135" t="s">
        <v>425</v>
      </c>
      <c r="D19" s="135" t="s">
        <v>423</v>
      </c>
      <c r="E19" s="138"/>
      <c r="F19" s="5"/>
      <c r="G19" s="5"/>
      <c r="H19" s="5"/>
      <c r="I19" s="5"/>
      <c r="J19" s="5"/>
      <c r="K19" s="5"/>
      <c r="L19" s="5"/>
      <c r="M19" s="5"/>
      <c r="N19" s="5"/>
      <c r="O19" s="5"/>
      <c r="P19" s="5"/>
      <c r="Q19" s="5"/>
      <c r="R19" s="5"/>
      <c r="S19" s="5"/>
      <c r="T19" s="5"/>
      <c r="U19" s="5"/>
      <c r="V19" s="5"/>
      <c r="W19" s="5"/>
      <c r="X19" s="5"/>
      <c r="Y19" s="5"/>
      <c r="Z19" s="5"/>
    </row>
    <row r="20" ht="21.75" customHeight="1">
      <c r="A20" s="140" t="s">
        <v>112</v>
      </c>
      <c r="B20" s="141" t="s">
        <v>438</v>
      </c>
      <c r="C20" s="135" t="s">
        <v>425</v>
      </c>
      <c r="D20" s="135" t="s">
        <v>423</v>
      </c>
      <c r="E20" s="140"/>
      <c r="F20" s="5"/>
      <c r="G20" s="5"/>
      <c r="H20" s="5"/>
      <c r="I20" s="5"/>
      <c r="J20" s="5"/>
      <c r="K20" s="5"/>
      <c r="L20" s="5"/>
      <c r="M20" s="5"/>
      <c r="N20" s="5"/>
      <c r="O20" s="5"/>
      <c r="P20" s="5"/>
      <c r="Q20" s="5"/>
      <c r="R20" s="5"/>
      <c r="S20" s="5"/>
      <c r="T20" s="5"/>
      <c r="U20" s="5"/>
      <c r="V20" s="5"/>
      <c r="W20" s="5"/>
      <c r="X20" s="5"/>
      <c r="Y20" s="5"/>
      <c r="Z20" s="5"/>
    </row>
    <row r="21" ht="21.75" customHeight="1">
      <c r="A21" s="138" t="s">
        <v>303</v>
      </c>
      <c r="B21" s="139" t="s">
        <v>439</v>
      </c>
      <c r="C21" s="135" t="s">
        <v>422</v>
      </c>
      <c r="D21" s="135" t="s">
        <v>423</v>
      </c>
      <c r="E21" s="138"/>
      <c r="F21" s="5"/>
      <c r="G21" s="5"/>
      <c r="H21" s="5"/>
      <c r="I21" s="5"/>
      <c r="J21" s="5"/>
      <c r="K21" s="5"/>
      <c r="L21" s="5"/>
      <c r="M21" s="5"/>
      <c r="N21" s="5"/>
      <c r="O21" s="5"/>
      <c r="P21" s="5"/>
      <c r="Q21" s="5"/>
      <c r="R21" s="5"/>
      <c r="S21" s="5"/>
      <c r="T21" s="5"/>
      <c r="U21" s="5"/>
      <c r="V21" s="5"/>
      <c r="W21" s="5"/>
      <c r="X21" s="5"/>
      <c r="Y21" s="5"/>
      <c r="Z21" s="5"/>
    </row>
    <row r="22" ht="21.75" customHeight="1">
      <c r="A22" s="140" t="s">
        <v>101</v>
      </c>
      <c r="B22" s="141" t="s">
        <v>440</v>
      </c>
      <c r="C22" s="135" t="s">
        <v>425</v>
      </c>
      <c r="D22" s="135" t="s">
        <v>423</v>
      </c>
      <c r="E22" s="140"/>
      <c r="F22" s="5"/>
      <c r="G22" s="5"/>
      <c r="H22" s="5"/>
      <c r="I22" s="5"/>
      <c r="J22" s="5"/>
      <c r="K22" s="5"/>
      <c r="L22" s="5"/>
      <c r="M22" s="5"/>
      <c r="N22" s="5"/>
      <c r="O22" s="5"/>
      <c r="P22" s="5"/>
      <c r="Q22" s="5"/>
      <c r="R22" s="5"/>
      <c r="S22" s="5"/>
      <c r="T22" s="5"/>
      <c r="U22" s="5"/>
      <c r="V22" s="5"/>
      <c r="W22" s="5"/>
      <c r="X22" s="5"/>
      <c r="Y22" s="5"/>
      <c r="Z22" s="5"/>
    </row>
    <row r="23" ht="21.75" customHeight="1">
      <c r="A23" s="138" t="s">
        <v>97</v>
      </c>
      <c r="B23" s="139" t="s">
        <v>441</v>
      </c>
      <c r="C23" s="135" t="s">
        <v>425</v>
      </c>
      <c r="D23" s="135" t="s">
        <v>423</v>
      </c>
      <c r="E23" s="138"/>
      <c r="F23" s="5"/>
      <c r="G23" s="5"/>
      <c r="H23" s="5"/>
      <c r="I23" s="5"/>
      <c r="J23" s="5"/>
      <c r="K23" s="5"/>
      <c r="L23" s="5"/>
      <c r="M23" s="5"/>
      <c r="N23" s="5"/>
      <c r="O23" s="5"/>
      <c r="P23" s="5"/>
      <c r="Q23" s="5"/>
      <c r="R23" s="5"/>
      <c r="S23" s="5"/>
      <c r="T23" s="5"/>
      <c r="U23" s="5"/>
      <c r="V23" s="5"/>
      <c r="W23" s="5"/>
      <c r="X23" s="5"/>
      <c r="Y23" s="5"/>
      <c r="Z23" s="5"/>
    </row>
    <row r="24" ht="21.75" customHeight="1">
      <c r="A24" s="140" t="s">
        <v>442</v>
      </c>
      <c r="B24" s="141" t="s">
        <v>443</v>
      </c>
      <c r="C24" s="135" t="s">
        <v>425</v>
      </c>
      <c r="D24" s="135" t="s">
        <v>423</v>
      </c>
      <c r="E24" s="140"/>
      <c r="F24" s="5"/>
      <c r="G24" s="5"/>
      <c r="H24" s="5"/>
      <c r="I24" s="5"/>
      <c r="J24" s="5"/>
      <c r="K24" s="5"/>
      <c r="L24" s="5"/>
      <c r="M24" s="5"/>
      <c r="N24" s="5"/>
      <c r="O24" s="5"/>
      <c r="P24" s="5"/>
      <c r="Q24" s="5"/>
      <c r="R24" s="5"/>
      <c r="S24" s="5"/>
      <c r="T24" s="5"/>
      <c r="U24" s="5"/>
      <c r="V24" s="5"/>
      <c r="W24" s="5"/>
      <c r="X24" s="5"/>
      <c r="Y24" s="5"/>
      <c r="Z24" s="5"/>
    </row>
    <row r="25" ht="21.75" customHeight="1">
      <c r="A25" s="138" t="s">
        <v>444</v>
      </c>
      <c r="B25" s="139" t="s">
        <v>445</v>
      </c>
      <c r="C25" s="135" t="s">
        <v>425</v>
      </c>
      <c r="D25" s="135" t="s">
        <v>423</v>
      </c>
      <c r="E25" s="138"/>
      <c r="F25" s="5"/>
      <c r="G25" s="5"/>
      <c r="H25" s="5"/>
      <c r="I25" s="5"/>
      <c r="J25" s="5"/>
      <c r="K25" s="5"/>
      <c r="L25" s="5"/>
      <c r="M25" s="5"/>
      <c r="N25" s="5"/>
      <c r="O25" s="5"/>
      <c r="P25" s="5"/>
      <c r="Q25" s="5"/>
      <c r="R25" s="5"/>
      <c r="S25" s="5"/>
      <c r="T25" s="5"/>
      <c r="U25" s="5"/>
      <c r="V25" s="5"/>
      <c r="W25" s="5"/>
      <c r="X25" s="5"/>
      <c r="Y25" s="5"/>
      <c r="Z25" s="5"/>
    </row>
    <row r="26" ht="21.75" customHeight="1">
      <c r="A26" s="138" t="s">
        <v>148</v>
      </c>
      <c r="B26" s="139" t="s">
        <v>446</v>
      </c>
      <c r="C26" s="135" t="s">
        <v>425</v>
      </c>
      <c r="D26" s="135" t="s">
        <v>423</v>
      </c>
      <c r="E26" s="140"/>
      <c r="F26" s="5"/>
      <c r="G26" s="5"/>
      <c r="H26" s="5"/>
      <c r="I26" s="5"/>
      <c r="J26" s="5"/>
      <c r="K26" s="5"/>
      <c r="L26" s="5"/>
      <c r="M26" s="5"/>
      <c r="N26" s="5"/>
      <c r="O26" s="5"/>
      <c r="P26" s="5"/>
      <c r="Q26" s="5"/>
      <c r="R26" s="5"/>
      <c r="S26" s="5"/>
      <c r="T26" s="5"/>
      <c r="U26" s="5"/>
      <c r="V26" s="5"/>
      <c r="W26" s="5"/>
      <c r="X26" s="5"/>
      <c r="Y26" s="5"/>
      <c r="Z26" s="5"/>
    </row>
    <row r="27" ht="21.75" customHeight="1">
      <c r="A27" s="140" t="s">
        <v>114</v>
      </c>
      <c r="B27" s="141" t="s">
        <v>447</v>
      </c>
      <c r="C27" s="135" t="s">
        <v>425</v>
      </c>
      <c r="D27" s="135" t="s">
        <v>423</v>
      </c>
      <c r="E27" s="138"/>
      <c r="F27" s="5"/>
      <c r="G27" s="5"/>
      <c r="H27" s="5"/>
      <c r="I27" s="5"/>
      <c r="J27" s="5"/>
      <c r="K27" s="5"/>
      <c r="L27" s="5"/>
      <c r="M27" s="5"/>
      <c r="N27" s="5"/>
      <c r="O27" s="5"/>
      <c r="P27" s="5"/>
      <c r="Q27" s="5"/>
      <c r="R27" s="5"/>
      <c r="S27" s="5"/>
      <c r="T27" s="5"/>
      <c r="U27" s="5"/>
      <c r="V27" s="5"/>
      <c r="W27" s="5"/>
      <c r="X27" s="5"/>
      <c r="Y27" s="5"/>
      <c r="Z27" s="5"/>
    </row>
    <row r="28" ht="21.75" customHeight="1">
      <c r="A28" s="138" t="s">
        <v>103</v>
      </c>
      <c r="B28" s="139" t="s">
        <v>448</v>
      </c>
      <c r="C28" s="135" t="s">
        <v>425</v>
      </c>
      <c r="D28" s="135" t="s">
        <v>423</v>
      </c>
      <c r="E28" s="140"/>
      <c r="F28" s="5"/>
      <c r="G28" s="5"/>
      <c r="H28" s="5"/>
      <c r="I28" s="5"/>
      <c r="J28" s="5"/>
      <c r="K28" s="5"/>
      <c r="L28" s="5"/>
      <c r="M28" s="5"/>
      <c r="N28" s="5"/>
      <c r="O28" s="5"/>
      <c r="P28" s="5"/>
      <c r="Q28" s="5"/>
      <c r="R28" s="5"/>
      <c r="S28" s="5"/>
      <c r="T28" s="5"/>
      <c r="U28" s="5"/>
      <c r="V28" s="5"/>
      <c r="W28" s="5"/>
      <c r="X28" s="5"/>
      <c r="Y28" s="5"/>
      <c r="Z28" s="5"/>
    </row>
    <row r="29" ht="21.75" customHeight="1">
      <c r="A29" s="140" t="s">
        <v>123</v>
      </c>
      <c r="B29" s="141" t="s">
        <v>449</v>
      </c>
      <c r="C29" s="135" t="s">
        <v>425</v>
      </c>
      <c r="D29" s="135" t="s">
        <v>423</v>
      </c>
      <c r="E29" s="138"/>
      <c r="F29" s="5"/>
      <c r="G29" s="5"/>
      <c r="H29" s="5"/>
      <c r="I29" s="5"/>
      <c r="J29" s="5"/>
      <c r="K29" s="5"/>
      <c r="L29" s="5"/>
      <c r="M29" s="5"/>
      <c r="N29" s="5"/>
      <c r="O29" s="5"/>
      <c r="P29" s="5"/>
      <c r="Q29" s="5"/>
      <c r="R29" s="5"/>
      <c r="S29" s="5"/>
      <c r="T29" s="5"/>
      <c r="U29" s="5"/>
      <c r="V29" s="5"/>
      <c r="W29" s="5"/>
      <c r="X29" s="5"/>
      <c r="Y29" s="5"/>
      <c r="Z29" s="5"/>
    </row>
    <row r="30" ht="21.75" customHeight="1">
      <c r="A30" s="138" t="s">
        <v>116</v>
      </c>
      <c r="B30" s="139" t="s">
        <v>450</v>
      </c>
      <c r="C30" s="135" t="s">
        <v>425</v>
      </c>
      <c r="D30" s="135" t="s">
        <v>423</v>
      </c>
      <c r="E30" s="140"/>
      <c r="F30" s="5"/>
      <c r="G30" s="5"/>
      <c r="H30" s="5"/>
      <c r="I30" s="5"/>
      <c r="J30" s="5"/>
      <c r="K30" s="5"/>
      <c r="L30" s="5"/>
      <c r="M30" s="5"/>
      <c r="N30" s="5"/>
      <c r="O30" s="5"/>
      <c r="P30" s="5"/>
      <c r="Q30" s="5"/>
      <c r="R30" s="5"/>
      <c r="S30" s="5"/>
      <c r="T30" s="5"/>
      <c r="U30" s="5"/>
      <c r="V30" s="5"/>
      <c r="W30" s="5"/>
      <c r="X30" s="5"/>
      <c r="Y30" s="5"/>
      <c r="Z30" s="5"/>
    </row>
    <row r="31" ht="21.75" customHeight="1">
      <c r="A31" s="140" t="s">
        <v>451</v>
      </c>
      <c r="B31" s="141" t="s">
        <v>452</v>
      </c>
      <c r="C31" s="135" t="s">
        <v>425</v>
      </c>
      <c r="D31" s="135" t="s">
        <v>423</v>
      </c>
      <c r="E31" s="138"/>
      <c r="F31" s="5"/>
      <c r="G31" s="5"/>
      <c r="H31" s="5"/>
      <c r="I31" s="5"/>
      <c r="J31" s="5"/>
      <c r="K31" s="5"/>
      <c r="L31" s="5"/>
      <c r="M31" s="5"/>
      <c r="N31" s="5"/>
      <c r="O31" s="5"/>
      <c r="P31" s="5"/>
      <c r="Q31" s="5"/>
      <c r="R31" s="5"/>
      <c r="S31" s="5"/>
      <c r="T31" s="5"/>
      <c r="U31" s="5"/>
      <c r="V31" s="5"/>
      <c r="W31" s="5"/>
      <c r="X31" s="5"/>
      <c r="Y31" s="5"/>
      <c r="Z31" s="5"/>
    </row>
    <row r="32" ht="21.75" customHeight="1">
      <c r="A32" s="138" t="s">
        <v>109</v>
      </c>
      <c r="B32" s="139" t="s">
        <v>453</v>
      </c>
      <c r="C32" s="135" t="s">
        <v>425</v>
      </c>
      <c r="D32" s="135" t="s">
        <v>423</v>
      </c>
      <c r="E32" s="140"/>
      <c r="F32" s="5"/>
      <c r="G32" s="5"/>
      <c r="H32" s="5"/>
      <c r="I32" s="5"/>
      <c r="J32" s="5"/>
      <c r="K32" s="5"/>
      <c r="L32" s="5"/>
      <c r="M32" s="5"/>
      <c r="N32" s="5"/>
      <c r="O32" s="5"/>
      <c r="P32" s="5"/>
      <c r="Q32" s="5"/>
      <c r="R32" s="5"/>
      <c r="S32" s="5"/>
      <c r="T32" s="5"/>
      <c r="U32" s="5"/>
      <c r="V32" s="5"/>
      <c r="W32" s="5"/>
      <c r="X32" s="5"/>
      <c r="Y32" s="5"/>
      <c r="Z32" s="5"/>
    </row>
    <row r="33" ht="21.75" customHeight="1">
      <c r="A33" s="140" t="s">
        <v>168</v>
      </c>
      <c r="B33" s="141" t="s">
        <v>454</v>
      </c>
      <c r="C33" s="135" t="s">
        <v>425</v>
      </c>
      <c r="D33" s="135" t="s">
        <v>423</v>
      </c>
      <c r="E33" s="138"/>
      <c r="F33" s="5"/>
      <c r="G33" s="5"/>
      <c r="H33" s="5"/>
      <c r="I33" s="5"/>
      <c r="J33" s="5"/>
      <c r="K33" s="5"/>
      <c r="L33" s="5"/>
      <c r="M33" s="5"/>
      <c r="N33" s="5"/>
      <c r="O33" s="5"/>
      <c r="P33" s="5"/>
      <c r="Q33" s="5"/>
      <c r="R33" s="5"/>
      <c r="S33" s="5"/>
      <c r="T33" s="5"/>
      <c r="U33" s="5"/>
      <c r="V33" s="5"/>
      <c r="W33" s="5"/>
      <c r="X33" s="5"/>
      <c r="Y33" s="5"/>
      <c r="Z33" s="5"/>
    </row>
    <row r="34" ht="21.75" customHeight="1">
      <c r="A34" s="138" t="s">
        <v>87</v>
      </c>
      <c r="B34" s="139" t="s">
        <v>455</v>
      </c>
      <c r="C34" s="135" t="s">
        <v>425</v>
      </c>
      <c r="D34" s="135" t="s">
        <v>423</v>
      </c>
      <c r="E34" s="140"/>
      <c r="F34" s="5"/>
      <c r="G34" s="5"/>
      <c r="H34" s="5"/>
      <c r="I34" s="5"/>
      <c r="J34" s="5"/>
      <c r="K34" s="5"/>
      <c r="L34" s="5"/>
      <c r="M34" s="5"/>
      <c r="N34" s="5"/>
      <c r="O34" s="5"/>
      <c r="P34" s="5"/>
      <c r="Q34" s="5"/>
      <c r="R34" s="5"/>
      <c r="S34" s="5"/>
      <c r="T34" s="5"/>
      <c r="U34" s="5"/>
      <c r="V34" s="5"/>
      <c r="W34" s="5"/>
      <c r="X34" s="5"/>
      <c r="Y34" s="5"/>
      <c r="Z34" s="5"/>
    </row>
    <row r="35" ht="21.75" customHeight="1">
      <c r="A35" s="140" t="s">
        <v>99</v>
      </c>
      <c r="B35" s="141" t="s">
        <v>456</v>
      </c>
      <c r="C35" s="135" t="s">
        <v>425</v>
      </c>
      <c r="D35" s="135" t="s">
        <v>423</v>
      </c>
      <c r="E35" s="138"/>
      <c r="F35" s="5"/>
      <c r="G35" s="5"/>
      <c r="H35" s="5"/>
      <c r="I35" s="5"/>
      <c r="J35" s="5"/>
      <c r="K35" s="5"/>
      <c r="L35" s="5"/>
      <c r="M35" s="5"/>
      <c r="N35" s="5"/>
      <c r="O35" s="5"/>
      <c r="P35" s="5"/>
      <c r="Q35" s="5"/>
      <c r="R35" s="5"/>
      <c r="S35" s="5"/>
      <c r="T35" s="5"/>
      <c r="U35" s="5"/>
      <c r="V35" s="5"/>
      <c r="W35" s="5"/>
      <c r="X35" s="5"/>
      <c r="Y35" s="5"/>
      <c r="Z35" s="5"/>
    </row>
    <row r="36" ht="21.75" customHeight="1">
      <c r="A36" s="138" t="s">
        <v>457</v>
      </c>
      <c r="B36" s="139" t="s">
        <v>458</v>
      </c>
      <c r="C36" s="135" t="s">
        <v>425</v>
      </c>
      <c r="D36" s="135" t="s">
        <v>423</v>
      </c>
      <c r="E36" s="140"/>
      <c r="F36" s="5"/>
      <c r="G36" s="5"/>
      <c r="H36" s="5"/>
      <c r="I36" s="5"/>
      <c r="J36" s="5"/>
      <c r="K36" s="5"/>
      <c r="L36" s="5"/>
      <c r="M36" s="5"/>
      <c r="N36" s="5"/>
      <c r="O36" s="5"/>
      <c r="P36" s="5"/>
      <c r="Q36" s="5"/>
      <c r="R36" s="5"/>
      <c r="S36" s="5"/>
      <c r="T36" s="5"/>
      <c r="U36" s="5"/>
      <c r="V36" s="5"/>
      <c r="W36" s="5"/>
      <c r="X36" s="5"/>
      <c r="Y36" s="5"/>
      <c r="Z36" s="5"/>
    </row>
    <row r="37" ht="21.75" customHeight="1">
      <c r="A37" s="140" t="s">
        <v>162</v>
      </c>
      <c r="B37" s="141" t="s">
        <v>459</v>
      </c>
      <c r="C37" s="135" t="s">
        <v>460</v>
      </c>
      <c r="D37" s="135" t="s">
        <v>423</v>
      </c>
      <c r="E37" s="138"/>
      <c r="F37" s="5"/>
      <c r="G37" s="5"/>
      <c r="H37" s="5"/>
      <c r="I37" s="5"/>
      <c r="J37" s="5"/>
      <c r="K37" s="5"/>
      <c r="L37" s="5"/>
      <c r="M37" s="5"/>
      <c r="N37" s="5"/>
      <c r="O37" s="5"/>
      <c r="P37" s="5"/>
      <c r="Q37" s="5"/>
      <c r="R37" s="5"/>
      <c r="S37" s="5"/>
      <c r="T37" s="5"/>
      <c r="U37" s="5"/>
      <c r="V37" s="5"/>
      <c r="W37" s="5"/>
      <c r="X37" s="5"/>
      <c r="Y37" s="5"/>
      <c r="Z37" s="5"/>
    </row>
    <row r="38" ht="21.75" customHeight="1">
      <c r="A38" s="138" t="s">
        <v>166</v>
      </c>
      <c r="B38" s="139" t="s">
        <v>461</v>
      </c>
      <c r="C38" s="135" t="s">
        <v>460</v>
      </c>
      <c r="D38" s="135" t="s">
        <v>423</v>
      </c>
      <c r="E38" s="140"/>
      <c r="F38" s="5"/>
      <c r="G38" s="5"/>
      <c r="H38" s="5"/>
      <c r="I38" s="5"/>
      <c r="J38" s="5"/>
      <c r="K38" s="5"/>
      <c r="L38" s="5"/>
      <c r="M38" s="5"/>
      <c r="N38" s="5"/>
      <c r="O38" s="5"/>
      <c r="P38" s="5"/>
      <c r="Q38" s="5"/>
      <c r="R38" s="5"/>
      <c r="S38" s="5"/>
      <c r="T38" s="5"/>
      <c r="U38" s="5"/>
      <c r="V38" s="5"/>
      <c r="W38" s="5"/>
      <c r="X38" s="5"/>
      <c r="Y38" s="5"/>
      <c r="Z38" s="5"/>
    </row>
    <row r="39" ht="21.75" customHeight="1">
      <c r="A39" s="140" t="s">
        <v>159</v>
      </c>
      <c r="B39" s="141" t="s">
        <v>462</v>
      </c>
      <c r="C39" s="135" t="s">
        <v>460</v>
      </c>
      <c r="D39" s="135" t="s">
        <v>423</v>
      </c>
      <c r="E39" s="138"/>
      <c r="F39" s="5"/>
      <c r="G39" s="5"/>
      <c r="H39" s="5"/>
      <c r="I39" s="5"/>
      <c r="J39" s="5"/>
      <c r="K39" s="5"/>
      <c r="L39" s="5"/>
      <c r="M39" s="5"/>
      <c r="N39" s="5"/>
      <c r="O39" s="5"/>
      <c r="P39" s="5"/>
      <c r="Q39" s="5"/>
      <c r="R39" s="5"/>
      <c r="S39" s="5"/>
      <c r="T39" s="5"/>
      <c r="U39" s="5"/>
      <c r="V39" s="5"/>
      <c r="W39" s="5"/>
      <c r="X39" s="5"/>
      <c r="Y39" s="5"/>
      <c r="Z39" s="5"/>
    </row>
    <row r="40" ht="21.75" customHeight="1">
      <c r="A40" s="138" t="s">
        <v>90</v>
      </c>
      <c r="B40" s="139" t="s">
        <v>463</v>
      </c>
      <c r="C40" s="135" t="s">
        <v>464</v>
      </c>
      <c r="D40" s="135" t="s">
        <v>423</v>
      </c>
      <c r="E40" s="140"/>
      <c r="F40" s="5"/>
      <c r="G40" s="5"/>
      <c r="H40" s="5"/>
      <c r="I40" s="5"/>
      <c r="J40" s="5"/>
      <c r="K40" s="5"/>
      <c r="L40" s="5"/>
      <c r="M40" s="5"/>
      <c r="N40" s="5"/>
      <c r="O40" s="5"/>
      <c r="P40" s="5"/>
      <c r="Q40" s="5"/>
      <c r="R40" s="5"/>
      <c r="S40" s="5"/>
      <c r="T40" s="5"/>
      <c r="U40" s="5"/>
      <c r="V40" s="5"/>
      <c r="W40" s="5"/>
      <c r="X40" s="5"/>
      <c r="Y40" s="5"/>
      <c r="Z40" s="5"/>
    </row>
    <row r="41" ht="21.75" customHeight="1">
      <c r="A41" s="138" t="s">
        <v>212</v>
      </c>
      <c r="B41" s="139" t="s">
        <v>465</v>
      </c>
      <c r="C41" s="142" t="s">
        <v>464</v>
      </c>
      <c r="D41" s="142" t="s">
        <v>423</v>
      </c>
      <c r="E41" s="138"/>
      <c r="F41" s="5"/>
      <c r="G41" s="5"/>
      <c r="H41" s="5"/>
      <c r="I41" s="5"/>
      <c r="J41" s="5"/>
      <c r="K41" s="5"/>
      <c r="L41" s="5"/>
      <c r="M41" s="5"/>
      <c r="N41" s="5"/>
      <c r="O41" s="5"/>
      <c r="P41" s="5"/>
      <c r="Q41" s="5"/>
      <c r="R41" s="5"/>
      <c r="S41" s="5"/>
      <c r="T41" s="5"/>
      <c r="U41" s="5"/>
      <c r="V41" s="5"/>
      <c r="W41" s="5"/>
      <c r="X41" s="5"/>
      <c r="Y41" s="5"/>
      <c r="Z41" s="5"/>
    </row>
    <row r="42" ht="21.75" customHeight="1">
      <c r="A42" s="143" t="s">
        <v>466</v>
      </c>
      <c r="B42" s="144" t="s">
        <v>467</v>
      </c>
      <c r="C42" s="142" t="s">
        <v>464</v>
      </c>
      <c r="D42" s="142" t="s">
        <v>423</v>
      </c>
      <c r="E42" s="140"/>
      <c r="F42" s="5"/>
      <c r="G42" s="5"/>
      <c r="H42" s="5"/>
      <c r="I42" s="5"/>
      <c r="J42" s="5"/>
      <c r="K42" s="5"/>
      <c r="L42" s="5"/>
      <c r="M42" s="5"/>
      <c r="N42" s="5"/>
      <c r="O42" s="5"/>
      <c r="P42" s="5"/>
      <c r="Q42" s="5"/>
      <c r="R42" s="5"/>
      <c r="S42" s="5"/>
      <c r="T42" s="5"/>
      <c r="U42" s="5"/>
      <c r="V42" s="5"/>
      <c r="W42" s="5"/>
      <c r="X42" s="5"/>
      <c r="Y42" s="5"/>
      <c r="Z42" s="5"/>
    </row>
    <row r="43" ht="21.75" customHeight="1">
      <c r="A43" s="143" t="s">
        <v>468</v>
      </c>
      <c r="B43" s="144" t="s">
        <v>469</v>
      </c>
      <c r="C43" s="145" t="s">
        <v>464</v>
      </c>
      <c r="D43" s="145" t="s">
        <v>423</v>
      </c>
      <c r="E43" s="138"/>
      <c r="F43" s="5"/>
      <c r="G43" s="5"/>
      <c r="H43" s="5"/>
      <c r="I43" s="5"/>
      <c r="J43" s="5"/>
      <c r="K43" s="5"/>
      <c r="L43" s="5"/>
      <c r="M43" s="5"/>
      <c r="N43" s="5"/>
      <c r="O43" s="5"/>
      <c r="P43" s="5"/>
      <c r="Q43" s="5"/>
      <c r="R43" s="5"/>
      <c r="S43" s="5"/>
      <c r="T43" s="5"/>
      <c r="U43" s="5"/>
      <c r="V43" s="5"/>
      <c r="W43" s="5"/>
      <c r="X43" s="5"/>
      <c r="Y43" s="5"/>
      <c r="Z43" s="5"/>
    </row>
    <row r="44" ht="21.75" customHeight="1">
      <c r="A44" s="140"/>
      <c r="B44" s="141"/>
      <c r="C44" s="146"/>
      <c r="D44" s="146"/>
      <c r="E44" s="140"/>
      <c r="F44" s="5"/>
      <c r="G44" s="5"/>
      <c r="H44" s="5"/>
      <c r="I44" s="5"/>
      <c r="J44" s="5"/>
      <c r="K44" s="5"/>
      <c r="L44" s="5"/>
      <c r="M44" s="5"/>
      <c r="N44" s="5"/>
      <c r="O44" s="5"/>
      <c r="P44" s="5"/>
      <c r="Q44" s="5"/>
      <c r="R44" s="5"/>
      <c r="S44" s="5"/>
      <c r="T44" s="5"/>
      <c r="U44" s="5"/>
      <c r="V44" s="5"/>
      <c r="W44" s="5"/>
      <c r="X44" s="5"/>
      <c r="Y44" s="5"/>
      <c r="Z44" s="5"/>
    </row>
    <row r="45" ht="21.75" customHeight="1">
      <c r="A45" s="138"/>
      <c r="B45" s="139"/>
      <c r="C45" s="142"/>
      <c r="D45" s="142"/>
      <c r="E45" s="138"/>
      <c r="F45" s="5"/>
      <c r="G45" s="5"/>
      <c r="H45" s="5"/>
      <c r="I45" s="5"/>
      <c r="J45" s="5"/>
      <c r="K45" s="5"/>
      <c r="L45" s="5"/>
      <c r="M45" s="5"/>
      <c r="N45" s="5"/>
      <c r="O45" s="5"/>
      <c r="P45" s="5"/>
      <c r="Q45" s="5"/>
      <c r="R45" s="5"/>
      <c r="S45" s="5"/>
      <c r="T45" s="5"/>
      <c r="U45" s="5"/>
      <c r="V45" s="5"/>
      <c r="W45" s="5"/>
      <c r="X45" s="5"/>
      <c r="Y45" s="5"/>
      <c r="Z45" s="5"/>
    </row>
    <row r="46" ht="21.75" customHeight="1">
      <c r="A46" s="140"/>
      <c r="B46" s="141"/>
      <c r="C46" s="146"/>
      <c r="D46" s="146"/>
      <c r="E46" s="140"/>
      <c r="F46" s="5"/>
      <c r="G46" s="5"/>
      <c r="H46" s="5"/>
      <c r="I46" s="5"/>
      <c r="J46" s="5"/>
      <c r="K46" s="5"/>
      <c r="L46" s="5"/>
      <c r="M46" s="5"/>
      <c r="N46" s="5"/>
      <c r="O46" s="5"/>
      <c r="P46" s="5"/>
      <c r="Q46" s="5"/>
      <c r="R46" s="5"/>
      <c r="S46" s="5"/>
      <c r="T46" s="5"/>
      <c r="U46" s="5"/>
      <c r="V46" s="5"/>
      <c r="W46" s="5"/>
      <c r="X46" s="5"/>
      <c r="Y46" s="5"/>
      <c r="Z46" s="5"/>
    </row>
    <row r="47" ht="21.75" customHeight="1">
      <c r="A47" s="138"/>
      <c r="B47" s="139"/>
      <c r="C47" s="142"/>
      <c r="D47" s="142"/>
      <c r="E47" s="138"/>
      <c r="F47" s="5"/>
      <c r="G47" s="5"/>
      <c r="H47" s="5"/>
      <c r="I47" s="5"/>
      <c r="J47" s="5"/>
      <c r="K47" s="5"/>
      <c r="L47" s="5"/>
      <c r="M47" s="5"/>
      <c r="N47" s="5"/>
      <c r="O47" s="5"/>
      <c r="P47" s="5"/>
      <c r="Q47" s="5"/>
      <c r="R47" s="5"/>
      <c r="S47" s="5"/>
      <c r="T47" s="5"/>
      <c r="U47" s="5"/>
      <c r="V47" s="5"/>
      <c r="W47" s="5"/>
      <c r="X47" s="5"/>
      <c r="Y47" s="5"/>
      <c r="Z47" s="5"/>
    </row>
    <row r="48" ht="21.75" customHeight="1">
      <c r="A48" s="140"/>
      <c r="B48" s="141"/>
      <c r="C48" s="146"/>
      <c r="D48" s="146"/>
      <c r="E48" s="140"/>
      <c r="F48" s="5"/>
      <c r="G48" s="5"/>
      <c r="H48" s="5"/>
      <c r="I48" s="5"/>
      <c r="J48" s="5"/>
      <c r="K48" s="5"/>
      <c r="L48" s="5"/>
      <c r="M48" s="5"/>
      <c r="N48" s="5"/>
      <c r="O48" s="5"/>
      <c r="P48" s="5"/>
      <c r="Q48" s="5"/>
      <c r="R48" s="5"/>
      <c r="S48" s="5"/>
      <c r="T48" s="5"/>
      <c r="U48" s="5"/>
      <c r="V48" s="5"/>
      <c r="W48" s="5"/>
      <c r="X48" s="5"/>
      <c r="Y48" s="5"/>
      <c r="Z48" s="5"/>
    </row>
    <row r="49" ht="21.75" customHeight="1">
      <c r="A49" s="138"/>
      <c r="B49" s="139"/>
      <c r="C49" s="142"/>
      <c r="D49" s="142"/>
      <c r="E49" s="138"/>
      <c r="F49" s="5"/>
      <c r="G49" s="5"/>
      <c r="H49" s="5"/>
      <c r="I49" s="5"/>
      <c r="J49" s="5"/>
      <c r="K49" s="5"/>
      <c r="L49" s="5"/>
      <c r="M49" s="5"/>
      <c r="N49" s="5"/>
      <c r="O49" s="5"/>
      <c r="P49" s="5"/>
      <c r="Q49" s="5"/>
      <c r="R49" s="5"/>
      <c r="S49" s="5"/>
      <c r="T49" s="5"/>
      <c r="U49" s="5"/>
      <c r="V49" s="5"/>
      <c r="W49" s="5"/>
      <c r="X49" s="5"/>
      <c r="Y49" s="5"/>
      <c r="Z49" s="5"/>
    </row>
    <row r="50" ht="21.75" customHeight="1">
      <c r="A50" s="140"/>
      <c r="B50" s="141"/>
      <c r="C50" s="146"/>
      <c r="D50" s="146"/>
      <c r="E50" s="140"/>
      <c r="F50" s="5"/>
      <c r="G50" s="5"/>
      <c r="H50" s="5"/>
      <c r="I50" s="5"/>
      <c r="J50" s="5"/>
      <c r="K50" s="5"/>
      <c r="L50" s="5"/>
      <c r="M50" s="5"/>
      <c r="N50" s="5"/>
      <c r="O50" s="5"/>
      <c r="P50" s="5"/>
      <c r="Q50" s="5"/>
      <c r="R50" s="5"/>
      <c r="S50" s="5"/>
      <c r="T50" s="5"/>
      <c r="U50" s="5"/>
      <c r="V50" s="5"/>
      <c r="W50" s="5"/>
      <c r="X50" s="5"/>
      <c r="Y50" s="5"/>
      <c r="Z50" s="5"/>
    </row>
    <row r="51" ht="21.75" customHeight="1">
      <c r="A51" s="138"/>
      <c r="B51" s="139"/>
      <c r="C51" s="142"/>
      <c r="D51" s="142"/>
      <c r="E51" s="138"/>
      <c r="F51" s="5"/>
      <c r="G51" s="5"/>
      <c r="H51" s="5"/>
      <c r="I51" s="5"/>
      <c r="J51" s="5"/>
      <c r="K51" s="5"/>
      <c r="L51" s="5"/>
      <c r="M51" s="5"/>
      <c r="N51" s="5"/>
      <c r="O51" s="5"/>
      <c r="P51" s="5"/>
      <c r="Q51" s="5"/>
      <c r="R51" s="5"/>
      <c r="S51" s="5"/>
      <c r="T51" s="5"/>
      <c r="U51" s="5"/>
      <c r="V51" s="5"/>
      <c r="W51" s="5"/>
      <c r="X51" s="5"/>
      <c r="Y51" s="5"/>
      <c r="Z51" s="5"/>
    </row>
    <row r="52" ht="21.75" customHeight="1">
      <c r="A52" s="140"/>
      <c r="B52" s="141"/>
      <c r="C52" s="146"/>
      <c r="D52" s="146"/>
      <c r="E52" s="140"/>
      <c r="F52" s="5"/>
      <c r="G52" s="5"/>
      <c r="H52" s="5"/>
      <c r="I52" s="5"/>
      <c r="J52" s="5"/>
      <c r="K52" s="5"/>
      <c r="L52" s="5"/>
      <c r="M52" s="5"/>
      <c r="N52" s="5"/>
      <c r="O52" s="5"/>
      <c r="P52" s="5"/>
      <c r="Q52" s="5"/>
      <c r="R52" s="5"/>
      <c r="S52" s="5"/>
      <c r="T52" s="5"/>
      <c r="U52" s="5"/>
      <c r="V52" s="5"/>
      <c r="W52" s="5"/>
      <c r="X52" s="5"/>
      <c r="Y52" s="5"/>
      <c r="Z52" s="5"/>
    </row>
    <row r="53" ht="21.75" customHeight="1">
      <c r="A53" s="138"/>
      <c r="B53" s="139"/>
      <c r="C53" s="142"/>
      <c r="D53" s="142"/>
      <c r="E53" s="138"/>
      <c r="F53" s="5"/>
      <c r="G53" s="5"/>
      <c r="H53" s="5"/>
      <c r="I53" s="5"/>
      <c r="J53" s="5"/>
      <c r="K53" s="5"/>
      <c r="L53" s="5"/>
      <c r="M53" s="5"/>
      <c r="N53" s="5"/>
      <c r="O53" s="5"/>
      <c r="P53" s="5"/>
      <c r="Q53" s="5"/>
      <c r="R53" s="5"/>
      <c r="S53" s="5"/>
      <c r="T53" s="5"/>
      <c r="U53" s="5"/>
      <c r="V53" s="5"/>
      <c r="W53" s="5"/>
      <c r="X53" s="5"/>
      <c r="Y53" s="5"/>
      <c r="Z53" s="5"/>
    </row>
    <row r="54" ht="21.75" customHeight="1">
      <c r="A54" s="140"/>
      <c r="B54" s="141"/>
      <c r="C54" s="146"/>
      <c r="D54" s="146"/>
      <c r="E54" s="140"/>
      <c r="F54" s="5"/>
      <c r="G54" s="5"/>
      <c r="H54" s="5"/>
      <c r="I54" s="5"/>
      <c r="J54" s="5"/>
      <c r="K54" s="5"/>
      <c r="L54" s="5"/>
      <c r="M54" s="5"/>
      <c r="N54" s="5"/>
      <c r="O54" s="5"/>
      <c r="P54" s="5"/>
      <c r="Q54" s="5"/>
      <c r="R54" s="5"/>
      <c r="S54" s="5"/>
      <c r="T54" s="5"/>
      <c r="U54" s="5"/>
      <c r="V54" s="5"/>
      <c r="W54" s="5"/>
      <c r="X54" s="5"/>
      <c r="Y54" s="5"/>
      <c r="Z54" s="5"/>
    </row>
    <row r="55" ht="21.75" customHeight="1">
      <c r="A55" s="138"/>
      <c r="B55" s="139"/>
      <c r="C55" s="142"/>
      <c r="D55" s="142"/>
      <c r="E55" s="138"/>
      <c r="F55" s="5"/>
      <c r="G55" s="5"/>
      <c r="H55" s="5"/>
      <c r="I55" s="5"/>
      <c r="J55" s="5"/>
      <c r="K55" s="5"/>
      <c r="L55" s="5"/>
      <c r="M55" s="5"/>
      <c r="N55" s="5"/>
      <c r="O55" s="5"/>
      <c r="P55" s="5"/>
      <c r="Q55" s="5"/>
      <c r="R55" s="5"/>
      <c r="S55" s="5"/>
      <c r="T55" s="5"/>
      <c r="U55" s="5"/>
      <c r="V55" s="5"/>
      <c r="W55" s="5"/>
      <c r="X55" s="5"/>
      <c r="Y55" s="5"/>
      <c r="Z55" s="5"/>
    </row>
    <row r="56" ht="21.75" customHeight="1">
      <c r="A56" s="140"/>
      <c r="B56" s="141"/>
      <c r="C56" s="146"/>
      <c r="D56" s="146"/>
      <c r="E56" s="140"/>
      <c r="F56" s="5"/>
      <c r="G56" s="5"/>
      <c r="H56" s="5"/>
      <c r="I56" s="5"/>
      <c r="J56" s="5"/>
      <c r="K56" s="5"/>
      <c r="L56" s="5"/>
      <c r="M56" s="5"/>
      <c r="N56" s="5"/>
      <c r="O56" s="5"/>
      <c r="P56" s="5"/>
      <c r="Q56" s="5"/>
      <c r="R56" s="5"/>
      <c r="S56" s="5"/>
      <c r="T56" s="5"/>
      <c r="U56" s="5"/>
      <c r="V56" s="5"/>
      <c r="W56" s="5"/>
      <c r="X56" s="5"/>
      <c r="Y56" s="5"/>
      <c r="Z56" s="5"/>
    </row>
    <row r="57" ht="21.75" customHeight="1">
      <c r="A57" s="138"/>
      <c r="B57" s="139"/>
      <c r="C57" s="142"/>
      <c r="D57" s="142"/>
      <c r="E57" s="138"/>
      <c r="F57" s="5"/>
      <c r="G57" s="5"/>
      <c r="H57" s="5"/>
      <c r="I57" s="5"/>
      <c r="J57" s="5"/>
      <c r="K57" s="5"/>
      <c r="L57" s="5"/>
      <c r="M57" s="5"/>
      <c r="N57" s="5"/>
      <c r="O57" s="5"/>
      <c r="P57" s="5"/>
      <c r="Q57" s="5"/>
      <c r="R57" s="5"/>
      <c r="S57" s="5"/>
      <c r="T57" s="5"/>
      <c r="U57" s="5"/>
      <c r="V57" s="5"/>
      <c r="W57" s="5"/>
      <c r="X57" s="5"/>
      <c r="Y57" s="5"/>
      <c r="Z57" s="5"/>
    </row>
    <row r="58" ht="21.75" customHeight="1">
      <c r="A58" s="140"/>
      <c r="B58" s="141"/>
      <c r="C58" s="146"/>
      <c r="D58" s="146"/>
      <c r="E58" s="140"/>
      <c r="F58" s="5"/>
      <c r="G58" s="5"/>
      <c r="H58" s="5"/>
      <c r="I58" s="5"/>
      <c r="J58" s="5"/>
      <c r="K58" s="5"/>
      <c r="L58" s="5"/>
      <c r="M58" s="5"/>
      <c r="N58" s="5"/>
      <c r="O58" s="5"/>
      <c r="P58" s="5"/>
      <c r="Q58" s="5"/>
      <c r="R58" s="5"/>
      <c r="S58" s="5"/>
      <c r="T58" s="5"/>
      <c r="U58" s="5"/>
      <c r="V58" s="5"/>
      <c r="W58" s="5"/>
      <c r="X58" s="5"/>
      <c r="Y58" s="5"/>
      <c r="Z58" s="5"/>
    </row>
    <row r="59" ht="21.75" customHeight="1">
      <c r="A59" s="138"/>
      <c r="B59" s="139"/>
      <c r="C59" s="142"/>
      <c r="D59" s="142"/>
      <c r="E59" s="138"/>
      <c r="F59" s="5"/>
      <c r="G59" s="5"/>
      <c r="H59" s="5"/>
      <c r="I59" s="5"/>
      <c r="J59" s="5"/>
      <c r="K59" s="5"/>
      <c r="L59" s="5"/>
      <c r="M59" s="5"/>
      <c r="N59" s="5"/>
      <c r="O59" s="5"/>
      <c r="P59" s="5"/>
      <c r="Q59" s="5"/>
      <c r="R59" s="5"/>
      <c r="S59" s="5"/>
      <c r="T59" s="5"/>
      <c r="U59" s="5"/>
      <c r="V59" s="5"/>
      <c r="W59" s="5"/>
      <c r="X59" s="5"/>
      <c r="Y59" s="5"/>
      <c r="Z59" s="5"/>
    </row>
    <row r="60" ht="21.75" customHeight="1">
      <c r="A60" s="140"/>
      <c r="B60" s="141"/>
      <c r="C60" s="146"/>
      <c r="D60" s="146"/>
      <c r="E60" s="140"/>
      <c r="F60" s="5"/>
      <c r="G60" s="5"/>
      <c r="H60" s="5"/>
      <c r="I60" s="5"/>
      <c r="J60" s="5"/>
      <c r="K60" s="5"/>
      <c r="L60" s="5"/>
      <c r="M60" s="5"/>
      <c r="N60" s="5"/>
      <c r="O60" s="5"/>
      <c r="P60" s="5"/>
      <c r="Q60" s="5"/>
      <c r="R60" s="5"/>
      <c r="S60" s="5"/>
      <c r="T60" s="5"/>
      <c r="U60" s="5"/>
      <c r="V60" s="5"/>
      <c r="W60" s="5"/>
      <c r="X60" s="5"/>
      <c r="Y60" s="5"/>
      <c r="Z60" s="5"/>
    </row>
    <row r="61" ht="21.75" customHeight="1">
      <c r="A61" s="138"/>
      <c r="B61" s="139"/>
      <c r="C61" s="142"/>
      <c r="D61" s="142"/>
      <c r="E61" s="138"/>
      <c r="F61" s="5"/>
      <c r="G61" s="5"/>
      <c r="H61" s="5"/>
      <c r="I61" s="5"/>
      <c r="J61" s="5"/>
      <c r="K61" s="5"/>
      <c r="L61" s="5"/>
      <c r="M61" s="5"/>
      <c r="N61" s="5"/>
      <c r="O61" s="5"/>
      <c r="P61" s="5"/>
      <c r="Q61" s="5"/>
      <c r="R61" s="5"/>
      <c r="S61" s="5"/>
      <c r="T61" s="5"/>
      <c r="U61" s="5"/>
      <c r="V61" s="5"/>
      <c r="W61" s="5"/>
      <c r="X61" s="5"/>
      <c r="Y61" s="5"/>
      <c r="Z61" s="5"/>
    </row>
    <row r="62" ht="21.75" customHeight="1">
      <c r="A62" s="140"/>
      <c r="B62" s="141"/>
      <c r="C62" s="146"/>
      <c r="D62" s="146"/>
      <c r="E62" s="140"/>
      <c r="F62" s="5"/>
      <c r="G62" s="5"/>
      <c r="H62" s="5"/>
      <c r="I62" s="5"/>
      <c r="J62" s="5"/>
      <c r="K62" s="5"/>
      <c r="L62" s="5"/>
      <c r="M62" s="5"/>
      <c r="N62" s="5"/>
      <c r="O62" s="5"/>
      <c r="P62" s="5"/>
      <c r="Q62" s="5"/>
      <c r="R62" s="5"/>
      <c r="S62" s="5"/>
      <c r="T62" s="5"/>
      <c r="U62" s="5"/>
      <c r="V62" s="5"/>
      <c r="W62" s="5"/>
      <c r="X62" s="5"/>
      <c r="Y62" s="5"/>
      <c r="Z62" s="5"/>
    </row>
    <row r="63" ht="21.75" customHeight="1">
      <c r="A63" s="138"/>
      <c r="B63" s="139"/>
      <c r="C63" s="142"/>
      <c r="D63" s="142"/>
      <c r="E63" s="138"/>
      <c r="F63" s="5"/>
      <c r="G63" s="5"/>
      <c r="H63" s="5"/>
      <c r="I63" s="5"/>
      <c r="J63" s="5"/>
      <c r="K63" s="5"/>
      <c r="L63" s="5"/>
      <c r="M63" s="5"/>
      <c r="N63" s="5"/>
      <c r="O63" s="5"/>
      <c r="P63" s="5"/>
      <c r="Q63" s="5"/>
      <c r="R63" s="5"/>
      <c r="S63" s="5"/>
      <c r="T63" s="5"/>
      <c r="U63" s="5"/>
      <c r="V63" s="5"/>
      <c r="W63" s="5"/>
      <c r="X63" s="5"/>
      <c r="Y63" s="5"/>
      <c r="Z63" s="5"/>
    </row>
    <row r="64" ht="21.75" customHeight="1">
      <c r="A64" s="140"/>
      <c r="B64" s="141"/>
      <c r="C64" s="146"/>
      <c r="D64" s="146"/>
      <c r="E64" s="140"/>
      <c r="F64" s="5"/>
      <c r="G64" s="5"/>
      <c r="H64" s="5"/>
      <c r="I64" s="5"/>
      <c r="J64" s="5"/>
      <c r="K64" s="5"/>
      <c r="L64" s="5"/>
      <c r="M64" s="5"/>
      <c r="N64" s="5"/>
      <c r="O64" s="5"/>
      <c r="P64" s="5"/>
      <c r="Q64" s="5"/>
      <c r="R64" s="5"/>
      <c r="S64" s="5"/>
      <c r="T64" s="5"/>
      <c r="U64" s="5"/>
      <c r="V64" s="5"/>
      <c r="W64" s="5"/>
      <c r="X64" s="5"/>
      <c r="Y64" s="5"/>
      <c r="Z64" s="5"/>
    </row>
    <row r="65" ht="21.75" customHeight="1">
      <c r="A65" s="138"/>
      <c r="B65" s="139"/>
      <c r="C65" s="142"/>
      <c r="D65" s="142"/>
      <c r="E65" s="138"/>
      <c r="F65" s="5"/>
      <c r="G65" s="5"/>
      <c r="H65" s="5"/>
      <c r="I65" s="5"/>
      <c r="J65" s="5"/>
      <c r="K65" s="5"/>
      <c r="L65" s="5"/>
      <c r="M65" s="5"/>
      <c r="N65" s="5"/>
      <c r="O65" s="5"/>
      <c r="P65" s="5"/>
      <c r="Q65" s="5"/>
      <c r="R65" s="5"/>
      <c r="S65" s="5"/>
      <c r="T65" s="5"/>
      <c r="U65" s="5"/>
      <c r="V65" s="5"/>
      <c r="W65" s="5"/>
      <c r="X65" s="5"/>
      <c r="Y65" s="5"/>
      <c r="Z65" s="5"/>
    </row>
    <row r="66" ht="21.75" customHeight="1">
      <c r="A66" s="140"/>
      <c r="B66" s="141"/>
      <c r="C66" s="146"/>
      <c r="D66" s="146"/>
      <c r="E66" s="140"/>
      <c r="F66" s="5"/>
      <c r="G66" s="5"/>
      <c r="H66" s="5"/>
      <c r="I66" s="5"/>
      <c r="J66" s="5"/>
      <c r="K66" s="5"/>
      <c r="L66" s="5"/>
      <c r="M66" s="5"/>
      <c r="N66" s="5"/>
      <c r="O66" s="5"/>
      <c r="P66" s="5"/>
      <c r="Q66" s="5"/>
      <c r="R66" s="5"/>
      <c r="S66" s="5"/>
      <c r="T66" s="5"/>
      <c r="U66" s="5"/>
      <c r="V66" s="5"/>
      <c r="W66" s="5"/>
      <c r="X66" s="5"/>
      <c r="Y66" s="5"/>
      <c r="Z66" s="5"/>
    </row>
    <row r="67" ht="21.75" customHeight="1">
      <c r="A67" s="138"/>
      <c r="B67" s="139"/>
      <c r="C67" s="142"/>
      <c r="D67" s="142"/>
      <c r="E67" s="138"/>
      <c r="F67" s="5"/>
      <c r="G67" s="5"/>
      <c r="H67" s="5"/>
      <c r="I67" s="5"/>
      <c r="J67" s="5"/>
      <c r="K67" s="5"/>
      <c r="L67" s="5"/>
      <c r="M67" s="5"/>
      <c r="N67" s="5"/>
      <c r="O67" s="5"/>
      <c r="P67" s="5"/>
      <c r="Q67" s="5"/>
      <c r="R67" s="5"/>
      <c r="S67" s="5"/>
      <c r="T67" s="5"/>
      <c r="U67" s="5"/>
      <c r="V67" s="5"/>
      <c r="W67" s="5"/>
      <c r="X67" s="5"/>
      <c r="Y67" s="5"/>
      <c r="Z67" s="5"/>
    </row>
    <row r="68" ht="21.75" customHeight="1">
      <c r="A68" s="140"/>
      <c r="B68" s="141"/>
      <c r="C68" s="146"/>
      <c r="D68" s="146"/>
      <c r="E68" s="140"/>
      <c r="F68" s="5"/>
      <c r="G68" s="5"/>
      <c r="H68" s="5"/>
      <c r="I68" s="5"/>
      <c r="J68" s="5"/>
      <c r="K68" s="5"/>
      <c r="L68" s="5"/>
      <c r="M68" s="5"/>
      <c r="N68" s="5"/>
      <c r="O68" s="5"/>
      <c r="P68" s="5"/>
      <c r="Q68" s="5"/>
      <c r="R68" s="5"/>
      <c r="S68" s="5"/>
      <c r="T68" s="5"/>
      <c r="U68" s="5"/>
      <c r="V68" s="5"/>
      <c r="W68" s="5"/>
      <c r="X68" s="5"/>
      <c r="Y68" s="5"/>
      <c r="Z68" s="5"/>
    </row>
    <row r="69" ht="21.75" customHeight="1">
      <c r="A69" s="138"/>
      <c r="B69" s="139"/>
      <c r="C69" s="142"/>
      <c r="D69" s="142"/>
      <c r="E69" s="138"/>
      <c r="F69" s="5"/>
      <c r="G69" s="5"/>
      <c r="H69" s="5"/>
      <c r="I69" s="5"/>
      <c r="J69" s="5"/>
      <c r="K69" s="5"/>
      <c r="L69" s="5"/>
      <c r="M69" s="5"/>
      <c r="N69" s="5"/>
      <c r="O69" s="5"/>
      <c r="P69" s="5"/>
      <c r="Q69" s="5"/>
      <c r="R69" s="5"/>
      <c r="S69" s="5"/>
      <c r="T69" s="5"/>
      <c r="U69" s="5"/>
      <c r="V69" s="5"/>
      <c r="W69" s="5"/>
      <c r="X69" s="5"/>
      <c r="Y69" s="5"/>
      <c r="Z69" s="5"/>
    </row>
    <row r="70" ht="21.75" customHeight="1">
      <c r="A70" s="140"/>
      <c r="B70" s="141"/>
      <c r="C70" s="146"/>
      <c r="D70" s="146"/>
      <c r="E70" s="140"/>
      <c r="F70" s="5"/>
      <c r="G70" s="5"/>
      <c r="H70" s="5"/>
      <c r="I70" s="5"/>
      <c r="J70" s="5"/>
      <c r="K70" s="5"/>
      <c r="L70" s="5"/>
      <c r="M70" s="5"/>
      <c r="N70" s="5"/>
      <c r="O70" s="5"/>
      <c r="P70" s="5"/>
      <c r="Q70" s="5"/>
      <c r="R70" s="5"/>
      <c r="S70" s="5"/>
      <c r="T70" s="5"/>
      <c r="U70" s="5"/>
      <c r="V70" s="5"/>
      <c r="W70" s="5"/>
      <c r="X70" s="5"/>
      <c r="Y70" s="5"/>
      <c r="Z70" s="5"/>
    </row>
    <row r="71" ht="21.75" customHeight="1">
      <c r="A71" s="138"/>
      <c r="B71" s="139"/>
      <c r="C71" s="142"/>
      <c r="D71" s="142"/>
      <c r="E71" s="138"/>
      <c r="F71" s="5"/>
      <c r="G71" s="5"/>
      <c r="H71" s="5"/>
      <c r="I71" s="5"/>
      <c r="J71" s="5"/>
      <c r="K71" s="5"/>
      <c r="L71" s="5"/>
      <c r="M71" s="5"/>
      <c r="N71" s="5"/>
      <c r="O71" s="5"/>
      <c r="P71" s="5"/>
      <c r="Q71" s="5"/>
      <c r="R71" s="5"/>
      <c r="S71" s="5"/>
      <c r="T71" s="5"/>
      <c r="U71" s="5"/>
      <c r="V71" s="5"/>
      <c r="W71" s="5"/>
      <c r="X71" s="5"/>
      <c r="Y71" s="5"/>
      <c r="Z71" s="5"/>
    </row>
    <row r="72" ht="21.75" customHeight="1">
      <c r="A72" s="140"/>
      <c r="B72" s="141"/>
      <c r="C72" s="146"/>
      <c r="D72" s="146"/>
      <c r="E72" s="140"/>
      <c r="F72" s="5"/>
      <c r="G72" s="5"/>
      <c r="H72" s="5"/>
      <c r="I72" s="5"/>
      <c r="J72" s="5"/>
      <c r="K72" s="5"/>
      <c r="L72" s="5"/>
      <c r="M72" s="5"/>
      <c r="N72" s="5"/>
      <c r="O72" s="5"/>
      <c r="P72" s="5"/>
      <c r="Q72" s="5"/>
      <c r="R72" s="5"/>
      <c r="S72" s="5"/>
      <c r="T72" s="5"/>
      <c r="U72" s="5"/>
      <c r="V72" s="5"/>
      <c r="W72" s="5"/>
      <c r="X72" s="5"/>
      <c r="Y72" s="5"/>
      <c r="Z72" s="5"/>
    </row>
    <row r="73" ht="21.75" customHeight="1">
      <c r="A73" s="138"/>
      <c r="B73" s="139"/>
      <c r="C73" s="142"/>
      <c r="D73" s="142"/>
      <c r="E73" s="138"/>
      <c r="F73" s="5"/>
      <c r="G73" s="5"/>
      <c r="H73" s="5"/>
      <c r="I73" s="5"/>
      <c r="J73" s="5"/>
      <c r="K73" s="5"/>
      <c r="L73" s="5"/>
      <c r="M73" s="5"/>
      <c r="N73" s="5"/>
      <c r="O73" s="5"/>
      <c r="P73" s="5"/>
      <c r="Q73" s="5"/>
      <c r="R73" s="5"/>
      <c r="S73" s="5"/>
      <c r="T73" s="5"/>
      <c r="U73" s="5"/>
      <c r="V73" s="5"/>
      <c r="W73" s="5"/>
      <c r="X73" s="5"/>
      <c r="Y73" s="5"/>
      <c r="Z73" s="5"/>
    </row>
    <row r="74" ht="21.75" customHeight="1">
      <c r="A74" s="140"/>
      <c r="B74" s="141"/>
      <c r="C74" s="146"/>
      <c r="D74" s="146"/>
      <c r="E74" s="140"/>
      <c r="F74" s="5"/>
      <c r="G74" s="5"/>
      <c r="H74" s="5"/>
      <c r="I74" s="5"/>
      <c r="J74" s="5"/>
      <c r="K74" s="5"/>
      <c r="L74" s="5"/>
      <c r="M74" s="5"/>
      <c r="N74" s="5"/>
      <c r="O74" s="5"/>
      <c r="P74" s="5"/>
      <c r="Q74" s="5"/>
      <c r="R74" s="5"/>
      <c r="S74" s="5"/>
      <c r="T74" s="5"/>
      <c r="U74" s="5"/>
      <c r="V74" s="5"/>
      <c r="W74" s="5"/>
      <c r="X74" s="5"/>
      <c r="Y74" s="5"/>
      <c r="Z74" s="5"/>
    </row>
    <row r="75" ht="21.75" customHeight="1">
      <c r="A75" s="138"/>
      <c r="B75" s="139"/>
      <c r="C75" s="142"/>
      <c r="D75" s="142"/>
      <c r="E75" s="138"/>
      <c r="F75" s="5"/>
      <c r="G75" s="5"/>
      <c r="H75" s="5"/>
      <c r="I75" s="5"/>
      <c r="J75" s="5"/>
      <c r="K75" s="5"/>
      <c r="L75" s="5"/>
      <c r="M75" s="5"/>
      <c r="N75" s="5"/>
      <c r="O75" s="5"/>
      <c r="P75" s="5"/>
      <c r="Q75" s="5"/>
      <c r="R75" s="5"/>
      <c r="S75" s="5"/>
      <c r="T75" s="5"/>
      <c r="U75" s="5"/>
      <c r="V75" s="5"/>
      <c r="W75" s="5"/>
      <c r="X75" s="5"/>
      <c r="Y75" s="5"/>
      <c r="Z75" s="5"/>
    </row>
    <row r="76" ht="21.75" customHeight="1">
      <c r="A76" s="140"/>
      <c r="B76" s="141"/>
      <c r="C76" s="146"/>
      <c r="D76" s="146"/>
      <c r="E76" s="140"/>
      <c r="F76" s="5"/>
      <c r="G76" s="5"/>
      <c r="H76" s="5"/>
      <c r="I76" s="5"/>
      <c r="J76" s="5"/>
      <c r="K76" s="5"/>
      <c r="L76" s="5"/>
      <c r="M76" s="5"/>
      <c r="N76" s="5"/>
      <c r="O76" s="5"/>
      <c r="P76" s="5"/>
      <c r="Q76" s="5"/>
      <c r="R76" s="5"/>
      <c r="S76" s="5"/>
      <c r="T76" s="5"/>
      <c r="U76" s="5"/>
      <c r="V76" s="5"/>
      <c r="W76" s="5"/>
      <c r="X76" s="5"/>
      <c r="Y76" s="5"/>
      <c r="Z76" s="5"/>
    </row>
    <row r="77" ht="21.75" customHeight="1">
      <c r="A77" s="138"/>
      <c r="B77" s="139"/>
      <c r="C77" s="142"/>
      <c r="D77" s="142"/>
      <c r="E77" s="138"/>
      <c r="F77" s="5"/>
      <c r="G77" s="5"/>
      <c r="H77" s="5"/>
      <c r="I77" s="5"/>
      <c r="J77" s="5"/>
      <c r="K77" s="5"/>
      <c r="L77" s="5"/>
      <c r="M77" s="5"/>
      <c r="N77" s="5"/>
      <c r="O77" s="5"/>
      <c r="P77" s="5"/>
      <c r="Q77" s="5"/>
      <c r="R77" s="5"/>
      <c r="S77" s="5"/>
      <c r="T77" s="5"/>
      <c r="U77" s="5"/>
      <c r="V77" s="5"/>
      <c r="W77" s="5"/>
      <c r="X77" s="5"/>
      <c r="Y77" s="5"/>
      <c r="Z77" s="5"/>
    </row>
    <row r="78" ht="21.75" customHeight="1">
      <c r="A78" s="140"/>
      <c r="B78" s="141"/>
      <c r="C78" s="146"/>
      <c r="D78" s="146"/>
      <c r="E78" s="140"/>
      <c r="F78" s="5"/>
      <c r="G78" s="5"/>
      <c r="H78" s="5"/>
      <c r="I78" s="5"/>
      <c r="J78" s="5"/>
      <c r="K78" s="5"/>
      <c r="L78" s="5"/>
      <c r="M78" s="5"/>
      <c r="N78" s="5"/>
      <c r="O78" s="5"/>
      <c r="P78" s="5"/>
      <c r="Q78" s="5"/>
      <c r="R78" s="5"/>
      <c r="S78" s="5"/>
      <c r="T78" s="5"/>
      <c r="U78" s="5"/>
      <c r="V78" s="5"/>
      <c r="W78" s="5"/>
      <c r="X78" s="5"/>
      <c r="Y78" s="5"/>
      <c r="Z78" s="5"/>
    </row>
    <row r="79" ht="21.75" customHeight="1">
      <c r="A79" s="138"/>
      <c r="B79" s="139"/>
      <c r="C79" s="142"/>
      <c r="D79" s="142"/>
      <c r="E79" s="138"/>
      <c r="F79" s="5"/>
      <c r="G79" s="5"/>
      <c r="H79" s="5"/>
      <c r="I79" s="5"/>
      <c r="J79" s="5"/>
      <c r="K79" s="5"/>
      <c r="L79" s="5"/>
      <c r="M79" s="5"/>
      <c r="N79" s="5"/>
      <c r="O79" s="5"/>
      <c r="P79" s="5"/>
      <c r="Q79" s="5"/>
      <c r="R79" s="5"/>
      <c r="S79" s="5"/>
      <c r="T79" s="5"/>
      <c r="U79" s="5"/>
      <c r="V79" s="5"/>
      <c r="W79" s="5"/>
      <c r="X79" s="5"/>
      <c r="Y79" s="5"/>
      <c r="Z79" s="5"/>
    </row>
    <row r="80" ht="21.75" customHeight="1">
      <c r="A80" s="140"/>
      <c r="B80" s="141"/>
      <c r="C80" s="146"/>
      <c r="D80" s="146"/>
      <c r="E80" s="140"/>
      <c r="F80" s="5"/>
      <c r="G80" s="5"/>
      <c r="H80" s="5"/>
      <c r="I80" s="5"/>
      <c r="J80" s="5"/>
      <c r="K80" s="5"/>
      <c r="L80" s="5"/>
      <c r="M80" s="5"/>
      <c r="N80" s="5"/>
      <c r="O80" s="5"/>
      <c r="P80" s="5"/>
      <c r="Q80" s="5"/>
      <c r="R80" s="5"/>
      <c r="S80" s="5"/>
      <c r="T80" s="5"/>
      <c r="U80" s="5"/>
      <c r="V80" s="5"/>
      <c r="W80" s="5"/>
      <c r="X80" s="5"/>
      <c r="Y80" s="5"/>
      <c r="Z80" s="5"/>
    </row>
    <row r="81" ht="21.75" customHeight="1">
      <c r="A81" s="138"/>
      <c r="B81" s="139"/>
      <c r="C81" s="142"/>
      <c r="D81" s="142"/>
      <c r="E81" s="138"/>
      <c r="F81" s="5"/>
      <c r="G81" s="5"/>
      <c r="H81" s="5"/>
      <c r="I81" s="5"/>
      <c r="J81" s="5"/>
      <c r="K81" s="5"/>
      <c r="L81" s="5"/>
      <c r="M81" s="5"/>
      <c r="N81" s="5"/>
      <c r="O81" s="5"/>
      <c r="P81" s="5"/>
      <c r="Q81" s="5"/>
      <c r="R81" s="5"/>
      <c r="S81" s="5"/>
      <c r="T81" s="5"/>
      <c r="U81" s="5"/>
      <c r="V81" s="5"/>
      <c r="W81" s="5"/>
      <c r="X81" s="5"/>
      <c r="Y81" s="5"/>
      <c r="Z81" s="5"/>
    </row>
    <row r="82" ht="21.75" customHeight="1">
      <c r="A82" s="140"/>
      <c r="B82" s="141"/>
      <c r="C82" s="146"/>
      <c r="D82" s="146"/>
      <c r="E82" s="140"/>
      <c r="F82" s="5"/>
      <c r="G82" s="5"/>
      <c r="H82" s="5"/>
      <c r="I82" s="5"/>
      <c r="J82" s="5"/>
      <c r="K82" s="5"/>
      <c r="L82" s="5"/>
      <c r="M82" s="5"/>
      <c r="N82" s="5"/>
      <c r="O82" s="5"/>
      <c r="P82" s="5"/>
      <c r="Q82" s="5"/>
      <c r="R82" s="5"/>
      <c r="S82" s="5"/>
      <c r="T82" s="5"/>
      <c r="U82" s="5"/>
      <c r="V82" s="5"/>
      <c r="W82" s="5"/>
      <c r="X82" s="5"/>
      <c r="Y82" s="5"/>
      <c r="Z82" s="5"/>
    </row>
    <row r="83" ht="21.75" customHeight="1">
      <c r="A83" s="138"/>
      <c r="B83" s="139"/>
      <c r="C83" s="142"/>
      <c r="D83" s="142"/>
      <c r="E83" s="138"/>
      <c r="F83" s="5"/>
      <c r="G83" s="5"/>
      <c r="H83" s="5"/>
      <c r="I83" s="5"/>
      <c r="J83" s="5"/>
      <c r="K83" s="5"/>
      <c r="L83" s="5"/>
      <c r="M83" s="5"/>
      <c r="N83" s="5"/>
      <c r="O83" s="5"/>
      <c r="P83" s="5"/>
      <c r="Q83" s="5"/>
      <c r="R83" s="5"/>
      <c r="S83" s="5"/>
      <c r="T83" s="5"/>
      <c r="U83" s="5"/>
      <c r="V83" s="5"/>
      <c r="W83" s="5"/>
      <c r="X83" s="5"/>
      <c r="Y83" s="5"/>
      <c r="Z83" s="5"/>
    </row>
    <row r="84" ht="21.75" customHeight="1">
      <c r="A84" s="140"/>
      <c r="B84" s="141"/>
      <c r="C84" s="146"/>
      <c r="D84" s="146"/>
      <c r="E84" s="140"/>
      <c r="F84" s="5"/>
      <c r="G84" s="5"/>
      <c r="H84" s="5"/>
      <c r="I84" s="5"/>
      <c r="J84" s="5"/>
      <c r="K84" s="5"/>
      <c r="L84" s="5"/>
      <c r="M84" s="5"/>
      <c r="N84" s="5"/>
      <c r="O84" s="5"/>
      <c r="P84" s="5"/>
      <c r="Q84" s="5"/>
      <c r="R84" s="5"/>
      <c r="S84" s="5"/>
      <c r="T84" s="5"/>
      <c r="U84" s="5"/>
      <c r="V84" s="5"/>
      <c r="W84" s="5"/>
      <c r="X84" s="5"/>
      <c r="Y84" s="5"/>
      <c r="Z84" s="5"/>
    </row>
    <row r="85" ht="21.75" customHeight="1">
      <c r="A85" s="138"/>
      <c r="B85" s="139"/>
      <c r="C85" s="142"/>
      <c r="D85" s="142"/>
      <c r="E85" s="138"/>
      <c r="F85" s="5"/>
      <c r="G85" s="5"/>
      <c r="H85" s="5"/>
      <c r="I85" s="5"/>
      <c r="J85" s="5"/>
      <c r="K85" s="5"/>
      <c r="L85" s="5"/>
      <c r="M85" s="5"/>
      <c r="N85" s="5"/>
      <c r="O85" s="5"/>
      <c r="P85" s="5"/>
      <c r="Q85" s="5"/>
      <c r="R85" s="5"/>
      <c r="S85" s="5"/>
      <c r="T85" s="5"/>
      <c r="U85" s="5"/>
      <c r="V85" s="5"/>
      <c r="W85" s="5"/>
      <c r="X85" s="5"/>
      <c r="Y85" s="5"/>
      <c r="Z85" s="5"/>
    </row>
    <row r="86" ht="21.75" customHeight="1">
      <c r="A86" s="140"/>
      <c r="B86" s="141"/>
      <c r="C86" s="146"/>
      <c r="D86" s="146"/>
      <c r="E86" s="140"/>
      <c r="F86" s="5"/>
      <c r="G86" s="5"/>
      <c r="H86" s="5"/>
      <c r="I86" s="5"/>
      <c r="J86" s="5"/>
      <c r="K86" s="5"/>
      <c r="L86" s="5"/>
      <c r="M86" s="5"/>
      <c r="N86" s="5"/>
      <c r="O86" s="5"/>
      <c r="P86" s="5"/>
      <c r="Q86" s="5"/>
      <c r="R86" s="5"/>
      <c r="S86" s="5"/>
      <c r="T86" s="5"/>
      <c r="U86" s="5"/>
      <c r="V86" s="5"/>
      <c r="W86" s="5"/>
      <c r="X86" s="5"/>
      <c r="Y86" s="5"/>
      <c r="Z86" s="5"/>
    </row>
    <row r="87" ht="21.75" customHeight="1">
      <c r="A87" s="138"/>
      <c r="B87" s="139"/>
      <c r="C87" s="142"/>
      <c r="D87" s="142"/>
      <c r="E87" s="138"/>
      <c r="F87" s="5"/>
      <c r="G87" s="5"/>
      <c r="H87" s="5"/>
      <c r="I87" s="5"/>
      <c r="J87" s="5"/>
      <c r="K87" s="5"/>
      <c r="L87" s="5"/>
      <c r="M87" s="5"/>
      <c r="N87" s="5"/>
      <c r="O87" s="5"/>
      <c r="P87" s="5"/>
      <c r="Q87" s="5"/>
      <c r="R87" s="5"/>
      <c r="S87" s="5"/>
      <c r="T87" s="5"/>
      <c r="U87" s="5"/>
      <c r="V87" s="5"/>
      <c r="W87" s="5"/>
      <c r="X87" s="5"/>
      <c r="Y87" s="5"/>
      <c r="Z87" s="5"/>
    </row>
    <row r="88" ht="21.75" customHeight="1">
      <c r="A88" s="140"/>
      <c r="B88" s="141"/>
      <c r="C88" s="146"/>
      <c r="D88" s="146"/>
      <c r="E88" s="140"/>
      <c r="F88" s="5"/>
      <c r="G88" s="5"/>
      <c r="H88" s="5"/>
      <c r="I88" s="5"/>
      <c r="J88" s="5"/>
      <c r="K88" s="5"/>
      <c r="L88" s="5"/>
      <c r="M88" s="5"/>
      <c r="N88" s="5"/>
      <c r="O88" s="5"/>
      <c r="P88" s="5"/>
      <c r="Q88" s="5"/>
      <c r="R88" s="5"/>
      <c r="S88" s="5"/>
      <c r="T88" s="5"/>
      <c r="U88" s="5"/>
      <c r="V88" s="5"/>
      <c r="W88" s="5"/>
      <c r="X88" s="5"/>
      <c r="Y88" s="5"/>
      <c r="Z88" s="5"/>
    </row>
    <row r="89" ht="21.75" customHeight="1">
      <c r="A89" s="138"/>
      <c r="B89" s="139"/>
      <c r="C89" s="142"/>
      <c r="D89" s="142"/>
      <c r="E89" s="138"/>
      <c r="F89" s="5"/>
      <c r="G89" s="5"/>
      <c r="H89" s="5"/>
      <c r="I89" s="5"/>
      <c r="J89" s="5"/>
      <c r="K89" s="5"/>
      <c r="L89" s="5"/>
      <c r="M89" s="5"/>
      <c r="N89" s="5"/>
      <c r="O89" s="5"/>
      <c r="P89" s="5"/>
      <c r="Q89" s="5"/>
      <c r="R89" s="5"/>
      <c r="S89" s="5"/>
      <c r="T89" s="5"/>
      <c r="U89" s="5"/>
      <c r="V89" s="5"/>
      <c r="W89" s="5"/>
      <c r="X89" s="5"/>
      <c r="Y89" s="5"/>
      <c r="Z89" s="5"/>
    </row>
    <row r="90" ht="21.75" customHeight="1">
      <c r="A90" s="140"/>
      <c r="B90" s="141"/>
      <c r="C90" s="146"/>
      <c r="D90" s="146"/>
      <c r="E90" s="140"/>
      <c r="F90" s="5"/>
      <c r="G90" s="5"/>
      <c r="H90" s="5"/>
      <c r="I90" s="5"/>
      <c r="J90" s="5"/>
      <c r="K90" s="5"/>
      <c r="L90" s="5"/>
      <c r="M90" s="5"/>
      <c r="N90" s="5"/>
      <c r="O90" s="5"/>
      <c r="P90" s="5"/>
      <c r="Q90" s="5"/>
      <c r="R90" s="5"/>
      <c r="S90" s="5"/>
      <c r="T90" s="5"/>
      <c r="U90" s="5"/>
      <c r="V90" s="5"/>
      <c r="W90" s="5"/>
      <c r="X90" s="5"/>
      <c r="Y90" s="5"/>
      <c r="Z90" s="5"/>
    </row>
    <row r="91" ht="21.75" customHeight="1">
      <c r="A91" s="138"/>
      <c r="B91" s="139"/>
      <c r="C91" s="142"/>
      <c r="D91" s="142"/>
      <c r="E91" s="138"/>
      <c r="F91" s="5"/>
      <c r="G91" s="5"/>
      <c r="H91" s="5"/>
      <c r="I91" s="5"/>
      <c r="J91" s="5"/>
      <c r="K91" s="5"/>
      <c r="L91" s="5"/>
      <c r="M91" s="5"/>
      <c r="N91" s="5"/>
      <c r="O91" s="5"/>
      <c r="P91" s="5"/>
      <c r="Q91" s="5"/>
      <c r="R91" s="5"/>
      <c r="S91" s="5"/>
      <c r="T91" s="5"/>
      <c r="U91" s="5"/>
      <c r="V91" s="5"/>
      <c r="W91" s="5"/>
      <c r="X91" s="5"/>
      <c r="Y91" s="5"/>
      <c r="Z91" s="5"/>
    </row>
    <row r="92" ht="21.75" customHeight="1">
      <c r="A92" s="140"/>
      <c r="B92" s="141"/>
      <c r="C92" s="146"/>
      <c r="D92" s="146"/>
      <c r="E92" s="140"/>
      <c r="F92" s="5"/>
      <c r="G92" s="5"/>
      <c r="H92" s="5"/>
      <c r="I92" s="5"/>
      <c r="J92" s="5"/>
      <c r="K92" s="5"/>
      <c r="L92" s="5"/>
      <c r="M92" s="5"/>
      <c r="N92" s="5"/>
      <c r="O92" s="5"/>
      <c r="P92" s="5"/>
      <c r="Q92" s="5"/>
      <c r="R92" s="5"/>
      <c r="S92" s="5"/>
      <c r="T92" s="5"/>
      <c r="U92" s="5"/>
      <c r="V92" s="5"/>
      <c r="W92" s="5"/>
      <c r="X92" s="5"/>
      <c r="Y92" s="5"/>
      <c r="Z92" s="5"/>
    </row>
    <row r="93" ht="21.75" customHeight="1">
      <c r="A93" s="138"/>
      <c r="B93" s="139"/>
      <c r="C93" s="142"/>
      <c r="D93" s="142"/>
      <c r="E93" s="138"/>
      <c r="F93" s="5"/>
      <c r="G93" s="5"/>
      <c r="H93" s="5"/>
      <c r="I93" s="5"/>
      <c r="J93" s="5"/>
      <c r="K93" s="5"/>
      <c r="L93" s="5"/>
      <c r="M93" s="5"/>
      <c r="N93" s="5"/>
      <c r="O93" s="5"/>
      <c r="P93" s="5"/>
      <c r="Q93" s="5"/>
      <c r="R93" s="5"/>
      <c r="S93" s="5"/>
      <c r="T93" s="5"/>
      <c r="U93" s="5"/>
      <c r="V93" s="5"/>
      <c r="W93" s="5"/>
      <c r="X93" s="5"/>
      <c r="Y93" s="5"/>
      <c r="Z93" s="5"/>
    </row>
    <row r="94" ht="21.75" customHeight="1">
      <c r="A94" s="140"/>
      <c r="B94" s="141"/>
      <c r="C94" s="146"/>
      <c r="D94" s="146"/>
      <c r="E94" s="140"/>
      <c r="F94" s="5"/>
      <c r="G94" s="5"/>
      <c r="H94" s="5"/>
      <c r="I94" s="5"/>
      <c r="J94" s="5"/>
      <c r="K94" s="5"/>
      <c r="L94" s="5"/>
      <c r="M94" s="5"/>
      <c r="N94" s="5"/>
      <c r="O94" s="5"/>
      <c r="P94" s="5"/>
      <c r="Q94" s="5"/>
      <c r="R94" s="5"/>
      <c r="S94" s="5"/>
      <c r="T94" s="5"/>
      <c r="U94" s="5"/>
      <c r="V94" s="5"/>
      <c r="W94" s="5"/>
      <c r="X94" s="5"/>
      <c r="Y94" s="5"/>
      <c r="Z94" s="5"/>
    </row>
    <row r="95" ht="21.75" customHeight="1">
      <c r="A95" s="138"/>
      <c r="B95" s="139"/>
      <c r="C95" s="142"/>
      <c r="D95" s="142"/>
      <c r="E95" s="138"/>
      <c r="F95" s="5"/>
      <c r="G95" s="5"/>
      <c r="H95" s="5"/>
      <c r="I95" s="5"/>
      <c r="J95" s="5"/>
      <c r="K95" s="5"/>
      <c r="L95" s="5"/>
      <c r="M95" s="5"/>
      <c r="N95" s="5"/>
      <c r="O95" s="5"/>
      <c r="P95" s="5"/>
      <c r="Q95" s="5"/>
      <c r="R95" s="5"/>
      <c r="S95" s="5"/>
      <c r="T95" s="5"/>
      <c r="U95" s="5"/>
      <c r="V95" s="5"/>
      <c r="W95" s="5"/>
      <c r="X95" s="5"/>
      <c r="Y95" s="5"/>
      <c r="Z95" s="5"/>
    </row>
    <row r="96" ht="21.75" customHeight="1">
      <c r="A96" s="140"/>
      <c r="B96" s="141"/>
      <c r="C96" s="146"/>
      <c r="D96" s="146"/>
      <c r="E96" s="140"/>
      <c r="F96" s="5"/>
      <c r="G96" s="5"/>
      <c r="H96" s="5"/>
      <c r="I96" s="5"/>
      <c r="J96" s="5"/>
      <c r="K96" s="5"/>
      <c r="L96" s="5"/>
      <c r="M96" s="5"/>
      <c r="N96" s="5"/>
      <c r="O96" s="5"/>
      <c r="P96" s="5"/>
      <c r="Q96" s="5"/>
      <c r="R96" s="5"/>
      <c r="S96" s="5"/>
      <c r="T96" s="5"/>
      <c r="U96" s="5"/>
      <c r="V96" s="5"/>
      <c r="W96" s="5"/>
      <c r="X96" s="5"/>
      <c r="Y96" s="5"/>
      <c r="Z96" s="5"/>
    </row>
    <row r="97" ht="21.75" customHeight="1">
      <c r="A97" s="138"/>
      <c r="B97" s="139"/>
      <c r="C97" s="142"/>
      <c r="D97" s="142"/>
      <c r="E97" s="138"/>
      <c r="F97" s="5"/>
      <c r="G97" s="5"/>
      <c r="H97" s="5"/>
      <c r="I97" s="5"/>
      <c r="J97" s="5"/>
      <c r="K97" s="5"/>
      <c r="L97" s="5"/>
      <c r="M97" s="5"/>
      <c r="N97" s="5"/>
      <c r="O97" s="5"/>
      <c r="P97" s="5"/>
      <c r="Q97" s="5"/>
      <c r="R97" s="5"/>
      <c r="S97" s="5"/>
      <c r="T97" s="5"/>
      <c r="U97" s="5"/>
      <c r="V97" s="5"/>
      <c r="W97" s="5"/>
      <c r="X97" s="5"/>
      <c r="Y97" s="5"/>
      <c r="Z97" s="5"/>
    </row>
    <row r="98" ht="21.75" customHeight="1">
      <c r="A98" s="140"/>
      <c r="B98" s="141"/>
      <c r="C98" s="146"/>
      <c r="D98" s="146"/>
      <c r="E98" s="140"/>
      <c r="F98" s="5"/>
      <c r="G98" s="5"/>
      <c r="H98" s="5"/>
      <c r="I98" s="5"/>
      <c r="J98" s="5"/>
      <c r="K98" s="5"/>
      <c r="L98" s="5"/>
      <c r="M98" s="5"/>
      <c r="N98" s="5"/>
      <c r="O98" s="5"/>
      <c r="P98" s="5"/>
      <c r="Q98" s="5"/>
      <c r="R98" s="5"/>
      <c r="S98" s="5"/>
      <c r="T98" s="5"/>
      <c r="U98" s="5"/>
      <c r="V98" s="5"/>
      <c r="W98" s="5"/>
      <c r="X98" s="5"/>
      <c r="Y98" s="5"/>
      <c r="Z98" s="5"/>
    </row>
    <row r="99" ht="21.75" customHeight="1">
      <c r="A99" s="138"/>
      <c r="B99" s="139"/>
      <c r="C99" s="142"/>
      <c r="D99" s="142"/>
      <c r="E99" s="138"/>
      <c r="F99" s="5"/>
      <c r="G99" s="5"/>
      <c r="H99" s="5"/>
      <c r="I99" s="5"/>
      <c r="J99" s="5"/>
      <c r="K99" s="5"/>
      <c r="L99" s="5"/>
      <c r="M99" s="5"/>
      <c r="N99" s="5"/>
      <c r="O99" s="5"/>
      <c r="P99" s="5"/>
      <c r="Q99" s="5"/>
      <c r="R99" s="5"/>
      <c r="S99" s="5"/>
      <c r="T99" s="5"/>
      <c r="U99" s="5"/>
      <c r="V99" s="5"/>
      <c r="W99" s="5"/>
      <c r="X99" s="5"/>
      <c r="Y99" s="5"/>
      <c r="Z99" s="5"/>
    </row>
    <row r="100" ht="21.75" customHeight="1">
      <c r="A100" s="140"/>
      <c r="B100" s="141"/>
      <c r="C100" s="146"/>
      <c r="D100" s="146"/>
      <c r="E100" s="140"/>
      <c r="F100" s="5"/>
      <c r="G100" s="5"/>
      <c r="H100" s="5"/>
      <c r="I100" s="5"/>
      <c r="J100" s="5"/>
      <c r="K100" s="5"/>
      <c r="L100" s="5"/>
      <c r="M100" s="5"/>
      <c r="N100" s="5"/>
      <c r="O100" s="5"/>
      <c r="P100" s="5"/>
      <c r="Q100" s="5"/>
      <c r="R100" s="5"/>
      <c r="S100" s="5"/>
      <c r="T100" s="5"/>
      <c r="U100" s="5"/>
      <c r="V100" s="5"/>
      <c r="W100" s="5"/>
      <c r="X100" s="5"/>
      <c r="Y100" s="5"/>
      <c r="Z100" s="5"/>
    </row>
    <row r="101" ht="21.75" customHeight="1">
      <c r="A101" s="138"/>
      <c r="B101" s="139"/>
      <c r="C101" s="142"/>
      <c r="D101" s="142"/>
      <c r="E101" s="138"/>
      <c r="F101" s="5"/>
      <c r="G101" s="5"/>
      <c r="H101" s="5"/>
      <c r="I101" s="5"/>
      <c r="J101" s="5"/>
      <c r="K101" s="5"/>
      <c r="L101" s="5"/>
      <c r="M101" s="5"/>
      <c r="N101" s="5"/>
      <c r="O101" s="5"/>
      <c r="P101" s="5"/>
      <c r="Q101" s="5"/>
      <c r="R101" s="5"/>
      <c r="S101" s="5"/>
      <c r="T101" s="5"/>
      <c r="U101" s="5"/>
      <c r="V101" s="5"/>
      <c r="W101" s="5"/>
      <c r="X101" s="5"/>
      <c r="Y101" s="5"/>
      <c r="Z101" s="5"/>
    </row>
    <row r="102" ht="21.75" customHeight="1">
      <c r="A102" s="140"/>
      <c r="B102" s="141"/>
      <c r="C102" s="146"/>
      <c r="D102" s="146"/>
      <c r="E102" s="140"/>
      <c r="F102" s="5"/>
      <c r="G102" s="5"/>
      <c r="H102" s="5"/>
      <c r="I102" s="5"/>
      <c r="J102" s="5"/>
      <c r="K102" s="5"/>
      <c r="L102" s="5"/>
      <c r="M102" s="5"/>
      <c r="N102" s="5"/>
      <c r="O102" s="5"/>
      <c r="P102" s="5"/>
      <c r="Q102" s="5"/>
      <c r="R102" s="5"/>
      <c r="S102" s="5"/>
      <c r="T102" s="5"/>
      <c r="U102" s="5"/>
      <c r="V102" s="5"/>
      <c r="W102" s="5"/>
      <c r="X102" s="5"/>
      <c r="Y102" s="5"/>
      <c r="Z102" s="5"/>
    </row>
    <row r="103" ht="21.75" customHeight="1">
      <c r="A103" s="138"/>
      <c r="B103" s="139"/>
      <c r="C103" s="142"/>
      <c r="D103" s="142"/>
      <c r="E103" s="138"/>
      <c r="F103" s="5"/>
      <c r="G103" s="5"/>
      <c r="H103" s="5"/>
      <c r="I103" s="5"/>
      <c r="J103" s="5"/>
      <c r="K103" s="5"/>
      <c r="L103" s="5"/>
      <c r="M103" s="5"/>
      <c r="N103" s="5"/>
      <c r="O103" s="5"/>
      <c r="P103" s="5"/>
      <c r="Q103" s="5"/>
      <c r="R103" s="5"/>
      <c r="S103" s="5"/>
      <c r="T103" s="5"/>
      <c r="U103" s="5"/>
      <c r="V103" s="5"/>
      <c r="W103" s="5"/>
      <c r="X103" s="5"/>
      <c r="Y103" s="5"/>
      <c r="Z103" s="5"/>
    </row>
    <row r="104" ht="21.75" customHeight="1">
      <c r="A104" s="140"/>
      <c r="B104" s="141"/>
      <c r="C104" s="146"/>
      <c r="D104" s="146"/>
      <c r="E104" s="140"/>
      <c r="F104" s="5"/>
      <c r="G104" s="5"/>
      <c r="H104" s="5"/>
      <c r="I104" s="5"/>
      <c r="J104" s="5"/>
      <c r="K104" s="5"/>
      <c r="L104" s="5"/>
      <c r="M104" s="5"/>
      <c r="N104" s="5"/>
      <c r="O104" s="5"/>
      <c r="P104" s="5"/>
      <c r="Q104" s="5"/>
      <c r="R104" s="5"/>
      <c r="S104" s="5"/>
      <c r="T104" s="5"/>
      <c r="U104" s="5"/>
      <c r="V104" s="5"/>
      <c r="W104" s="5"/>
      <c r="X104" s="5"/>
      <c r="Y104" s="5"/>
      <c r="Z104" s="5"/>
    </row>
    <row r="105" ht="21.75" customHeight="1">
      <c r="A105" s="138"/>
      <c r="B105" s="139"/>
      <c r="C105" s="142"/>
      <c r="D105" s="142"/>
      <c r="E105" s="138"/>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9.5" customHeight="1">
      <c r="A107" s="147" t="s">
        <v>470</v>
      </c>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4">
    <mergeCell ref="A1:E1"/>
    <mergeCell ref="A2:E2"/>
    <mergeCell ref="A3:E3"/>
    <mergeCell ref="A107:E107"/>
  </mergeCells>
  <dataValidations>
    <dataValidation type="list" allowBlank="1" sqref="C6:C105">
      <formula1>"Player,Captain,Coach,Treasurer,Support"</formula1>
    </dataValidation>
    <dataValidation type="list" allowBlank="1" sqref="D6:D105">
      <formula1>"Active,Inactive,Alumni"</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24.5"/>
    <col customWidth="1" min="2" max="2" width="17.5"/>
    <col customWidth="1" min="3" max="3" width="33.25"/>
    <col customWidth="1" min="4" max="6" width="7.63"/>
  </cols>
  <sheetData>
    <row r="1" ht="30.0" customHeight="1">
      <c r="A1" s="148" t="s">
        <v>471</v>
      </c>
      <c r="D1" s="5"/>
      <c r="E1" s="5"/>
      <c r="F1" s="5"/>
      <c r="G1" s="5"/>
      <c r="H1" s="5"/>
      <c r="I1" s="5"/>
      <c r="J1" s="5"/>
      <c r="K1" s="5"/>
      <c r="L1" s="5"/>
      <c r="M1" s="5"/>
      <c r="N1" s="5"/>
      <c r="O1" s="5"/>
      <c r="P1" s="5"/>
      <c r="Q1" s="5"/>
      <c r="R1" s="5"/>
      <c r="S1" s="5"/>
      <c r="T1" s="5"/>
      <c r="U1" s="5"/>
      <c r="V1" s="5"/>
      <c r="W1" s="5"/>
      <c r="X1" s="5"/>
      <c r="Y1" s="5"/>
      <c r="Z1" s="5"/>
    </row>
    <row r="2" ht="18.0" customHeight="1">
      <c r="A2" s="149" t="s">
        <v>472</v>
      </c>
      <c r="D2" s="5"/>
      <c r="E2" s="5"/>
      <c r="F2" s="5"/>
      <c r="G2" s="5"/>
      <c r="H2" s="5"/>
      <c r="I2" s="5"/>
      <c r="J2" s="5"/>
      <c r="K2" s="5"/>
      <c r="L2" s="5"/>
      <c r="M2" s="5"/>
      <c r="N2" s="5"/>
      <c r="O2" s="5"/>
      <c r="P2" s="5"/>
      <c r="Q2" s="5"/>
      <c r="R2" s="5"/>
      <c r="S2" s="5"/>
      <c r="T2" s="5"/>
      <c r="U2" s="5"/>
      <c r="V2" s="5"/>
      <c r="W2" s="5"/>
      <c r="X2" s="5"/>
      <c r="Y2" s="5"/>
      <c r="Z2" s="5"/>
    </row>
    <row r="3" ht="6.0"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150" t="s">
        <v>12</v>
      </c>
      <c r="B4" s="150" t="s">
        <v>473</v>
      </c>
      <c r="C4" s="150" t="s">
        <v>22</v>
      </c>
      <c r="D4" s="5"/>
      <c r="E4" s="5"/>
      <c r="F4" s="5"/>
      <c r="G4" s="5"/>
      <c r="H4" s="5"/>
      <c r="I4" s="5"/>
      <c r="J4" s="5"/>
      <c r="K4" s="5"/>
      <c r="L4" s="5"/>
      <c r="M4" s="5"/>
      <c r="N4" s="5"/>
      <c r="O4" s="5"/>
      <c r="P4" s="5"/>
      <c r="Q4" s="5"/>
      <c r="R4" s="5"/>
      <c r="S4" s="5"/>
      <c r="T4" s="5"/>
      <c r="U4" s="5"/>
      <c r="V4" s="5"/>
      <c r="W4" s="5"/>
      <c r="X4" s="5"/>
      <c r="Y4" s="5"/>
      <c r="Z4" s="5"/>
    </row>
    <row r="5" ht="18.0" customHeight="1">
      <c r="A5" s="151" t="s">
        <v>39</v>
      </c>
      <c r="B5" s="152" t="s">
        <v>474</v>
      </c>
      <c r="C5" s="153" t="s">
        <v>475</v>
      </c>
      <c r="D5" s="5"/>
      <c r="E5" s="5"/>
      <c r="F5" s="5"/>
      <c r="G5" s="5"/>
      <c r="H5" s="5"/>
      <c r="I5" s="5"/>
      <c r="J5" s="5"/>
      <c r="K5" s="5"/>
      <c r="L5" s="5"/>
      <c r="M5" s="5"/>
      <c r="N5" s="5"/>
      <c r="O5" s="5"/>
      <c r="P5" s="5"/>
      <c r="Q5" s="5"/>
      <c r="R5" s="5"/>
      <c r="S5" s="5"/>
      <c r="T5" s="5"/>
      <c r="U5" s="5"/>
      <c r="V5" s="5"/>
      <c r="W5" s="5"/>
      <c r="X5" s="5"/>
      <c r="Y5" s="5"/>
      <c r="Z5" s="5"/>
    </row>
    <row r="6" ht="18.0" customHeight="1">
      <c r="A6" s="154" t="s">
        <v>25</v>
      </c>
      <c r="B6" s="155" t="s">
        <v>476</v>
      </c>
      <c r="C6" s="156" t="s">
        <v>477</v>
      </c>
      <c r="D6" s="5"/>
      <c r="E6" s="5"/>
      <c r="F6" s="5"/>
      <c r="G6" s="5"/>
      <c r="H6" s="5"/>
      <c r="I6" s="5"/>
      <c r="J6" s="5"/>
      <c r="K6" s="5"/>
      <c r="L6" s="5"/>
      <c r="M6" s="5"/>
      <c r="N6" s="5"/>
      <c r="O6" s="5"/>
      <c r="P6" s="5"/>
      <c r="Q6" s="5"/>
      <c r="R6" s="5"/>
      <c r="S6" s="5"/>
      <c r="T6" s="5"/>
      <c r="U6" s="5"/>
      <c r="V6" s="5"/>
      <c r="W6" s="5"/>
      <c r="X6" s="5"/>
      <c r="Y6" s="5"/>
      <c r="Z6" s="5"/>
    </row>
    <row r="7" ht="18.0" customHeight="1">
      <c r="A7" s="157"/>
      <c r="B7" s="24"/>
      <c r="C7" s="157"/>
      <c r="D7" s="5"/>
      <c r="E7" s="5"/>
      <c r="F7" s="5"/>
      <c r="G7" s="5"/>
      <c r="H7" s="5"/>
      <c r="I7" s="5"/>
      <c r="J7" s="5"/>
      <c r="K7" s="5"/>
      <c r="L7" s="5"/>
      <c r="M7" s="5"/>
      <c r="N7" s="5"/>
      <c r="O7" s="5"/>
      <c r="P7" s="5"/>
      <c r="Q7" s="5"/>
      <c r="R7" s="5"/>
      <c r="S7" s="5"/>
      <c r="T7" s="5"/>
      <c r="U7" s="5"/>
      <c r="V7" s="5"/>
      <c r="W7" s="5"/>
      <c r="X7" s="5"/>
      <c r="Y7" s="5"/>
      <c r="Z7" s="5"/>
    </row>
    <row r="8" ht="18.0" customHeight="1">
      <c r="A8" s="158"/>
      <c r="B8" s="26"/>
      <c r="C8" s="158"/>
      <c r="D8" s="5"/>
      <c r="E8" s="5"/>
      <c r="F8" s="5"/>
      <c r="G8" s="5"/>
      <c r="H8" s="5"/>
      <c r="I8" s="5"/>
      <c r="J8" s="5"/>
      <c r="K8" s="5"/>
      <c r="L8" s="5"/>
      <c r="M8" s="5"/>
      <c r="N8" s="5"/>
      <c r="O8" s="5"/>
      <c r="P8" s="5"/>
      <c r="Q8" s="5"/>
      <c r="R8" s="5"/>
      <c r="S8" s="5"/>
      <c r="T8" s="5"/>
      <c r="U8" s="5"/>
      <c r="V8" s="5"/>
      <c r="W8" s="5"/>
      <c r="X8" s="5"/>
      <c r="Y8" s="5"/>
      <c r="Z8" s="5"/>
    </row>
    <row r="9" ht="18.0" customHeight="1">
      <c r="A9" s="157"/>
      <c r="B9" s="24"/>
      <c r="C9" s="157"/>
      <c r="D9" s="5"/>
      <c r="E9" s="5"/>
      <c r="F9" s="5"/>
      <c r="G9" s="5"/>
      <c r="H9" s="5"/>
      <c r="I9" s="5"/>
      <c r="J9" s="5"/>
      <c r="K9" s="5"/>
      <c r="L9" s="5"/>
      <c r="M9" s="5"/>
      <c r="N9" s="5"/>
      <c r="O9" s="5"/>
      <c r="P9" s="5"/>
      <c r="Q9" s="5"/>
      <c r="R9" s="5"/>
      <c r="S9" s="5"/>
      <c r="T9" s="5"/>
      <c r="U9" s="5"/>
      <c r="V9" s="5"/>
      <c r="W9" s="5"/>
      <c r="X9" s="5"/>
      <c r="Y9" s="5"/>
      <c r="Z9" s="5"/>
    </row>
    <row r="10" ht="18.0" customHeight="1">
      <c r="A10" s="158"/>
      <c r="B10" s="26"/>
      <c r="C10" s="158"/>
      <c r="D10" s="5"/>
      <c r="E10" s="5"/>
      <c r="F10" s="5"/>
      <c r="G10" s="5"/>
      <c r="H10" s="5"/>
      <c r="I10" s="5"/>
      <c r="J10" s="5"/>
      <c r="K10" s="5"/>
      <c r="L10" s="5"/>
      <c r="M10" s="5"/>
      <c r="N10" s="5"/>
      <c r="O10" s="5"/>
      <c r="P10" s="5"/>
      <c r="Q10" s="5"/>
      <c r="R10" s="5"/>
      <c r="S10" s="5"/>
      <c r="T10" s="5"/>
      <c r="U10" s="5"/>
      <c r="V10" s="5"/>
      <c r="W10" s="5"/>
      <c r="X10" s="5"/>
      <c r="Y10" s="5"/>
      <c r="Z10" s="5"/>
    </row>
    <row r="11" ht="18.0" customHeight="1">
      <c r="A11" s="157"/>
      <c r="B11" s="24"/>
      <c r="C11" s="157"/>
      <c r="D11" s="5"/>
      <c r="E11" s="5"/>
      <c r="F11" s="5"/>
      <c r="G11" s="5"/>
      <c r="H11" s="5"/>
      <c r="I11" s="5"/>
      <c r="J11" s="5"/>
      <c r="K11" s="5"/>
      <c r="L11" s="5"/>
      <c r="M11" s="5"/>
      <c r="N11" s="5"/>
      <c r="O11" s="5"/>
      <c r="P11" s="5"/>
      <c r="Q11" s="5"/>
      <c r="R11" s="5"/>
      <c r="S11" s="5"/>
      <c r="T11" s="5"/>
      <c r="U11" s="5"/>
      <c r="V11" s="5"/>
      <c r="W11" s="5"/>
      <c r="X11" s="5"/>
      <c r="Y11" s="5"/>
      <c r="Z11" s="5"/>
    </row>
    <row r="12" ht="18.0" customHeight="1">
      <c r="A12" s="158"/>
      <c r="B12" s="26"/>
      <c r="C12" s="158"/>
      <c r="D12" s="5"/>
      <c r="E12" s="5"/>
      <c r="F12" s="5"/>
      <c r="G12" s="5"/>
      <c r="H12" s="5"/>
      <c r="I12" s="5"/>
      <c r="J12" s="5"/>
      <c r="K12" s="5"/>
      <c r="L12" s="5"/>
      <c r="M12" s="5"/>
      <c r="N12" s="5"/>
      <c r="O12" s="5"/>
      <c r="P12" s="5"/>
      <c r="Q12" s="5"/>
      <c r="R12" s="5"/>
      <c r="S12" s="5"/>
      <c r="T12" s="5"/>
      <c r="U12" s="5"/>
      <c r="V12" s="5"/>
      <c r="W12" s="5"/>
      <c r="X12" s="5"/>
      <c r="Y12" s="5"/>
      <c r="Z12" s="5"/>
    </row>
    <row r="13" ht="18.0" customHeight="1">
      <c r="A13" s="157"/>
      <c r="B13" s="24"/>
      <c r="C13" s="157"/>
      <c r="D13" s="5"/>
      <c r="E13" s="5"/>
      <c r="F13" s="5"/>
      <c r="G13" s="5"/>
      <c r="H13" s="5"/>
      <c r="I13" s="5"/>
      <c r="J13" s="5"/>
      <c r="K13" s="5"/>
      <c r="L13" s="5"/>
      <c r="M13" s="5"/>
      <c r="N13" s="5"/>
      <c r="O13" s="5"/>
      <c r="P13" s="5"/>
      <c r="Q13" s="5"/>
      <c r="R13" s="5"/>
      <c r="S13" s="5"/>
      <c r="T13" s="5"/>
      <c r="U13" s="5"/>
      <c r="V13" s="5"/>
      <c r="W13" s="5"/>
      <c r="X13" s="5"/>
      <c r="Y13" s="5"/>
      <c r="Z13" s="5"/>
    </row>
    <row r="14" ht="18.0" customHeight="1">
      <c r="A14" s="158"/>
      <c r="B14" s="26"/>
      <c r="C14" s="158"/>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2">
    <mergeCell ref="A1:C1"/>
    <mergeCell ref="A2:C2"/>
  </mergeCells>
  <dataValidations>
    <dataValidation type="list" allowBlank="1" showInputMessage="1" showErrorMessage="1" prompt="Invalid value - Enter Yes or No." sqref="B5:B14">
      <formula1>"Yes,No"</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5" max="15" width="21.25"/>
    <col customWidth="1" min="16" max="16" width="20.0"/>
    <col customWidth="1" min="17" max="17" width="22.5"/>
  </cols>
  <sheetData>
    <row r="1">
      <c r="A1" s="159"/>
      <c r="B1" s="159"/>
      <c r="C1" s="159" t="s">
        <v>478</v>
      </c>
      <c r="D1" s="159" t="s">
        <v>479</v>
      </c>
      <c r="E1" s="159" t="s">
        <v>480</v>
      </c>
      <c r="F1" s="159" t="s">
        <v>481</v>
      </c>
      <c r="G1" s="159" t="s">
        <v>482</v>
      </c>
      <c r="H1" s="159" t="s">
        <v>483</v>
      </c>
      <c r="I1" s="159" t="s">
        <v>484</v>
      </c>
      <c r="J1" s="159" t="s">
        <v>485</v>
      </c>
      <c r="K1" s="159" t="s">
        <v>486</v>
      </c>
      <c r="L1" s="159" t="s">
        <v>487</v>
      </c>
      <c r="N1" s="160" t="s">
        <v>488</v>
      </c>
      <c r="O1" s="160" t="s">
        <v>489</v>
      </c>
      <c r="P1" s="160" t="s">
        <v>490</v>
      </c>
      <c r="Q1" s="160" t="s">
        <v>491</v>
      </c>
      <c r="R1" s="160" t="s">
        <v>492</v>
      </c>
      <c r="S1" s="159"/>
      <c r="T1" s="161" t="s">
        <v>493</v>
      </c>
      <c r="U1" s="161" t="s">
        <v>494</v>
      </c>
      <c r="V1" s="161" t="s">
        <v>495</v>
      </c>
      <c r="W1" s="161" t="s">
        <v>496</v>
      </c>
      <c r="X1" s="161" t="s">
        <v>497</v>
      </c>
      <c r="Y1" s="159"/>
      <c r="Z1" s="159"/>
      <c r="AA1" s="159"/>
      <c r="AB1" s="159"/>
    </row>
    <row r="2">
      <c r="A2" s="162" t="s">
        <v>174</v>
      </c>
      <c r="B2" s="162"/>
      <c r="C2" s="163">
        <v>149.0</v>
      </c>
      <c r="D2" s="164">
        <f>D31/D32</f>
        <v>2.125</v>
      </c>
      <c r="E2" s="164">
        <f>E31/D32</f>
        <v>3.849583333</v>
      </c>
      <c r="F2" s="164">
        <f>F31/D32</f>
        <v>1.822916667</v>
      </c>
      <c r="G2" s="164">
        <f>G31/D32</f>
        <v>1.600416667</v>
      </c>
      <c r="H2" s="164">
        <f>H31/D32</f>
        <v>0.9945833333</v>
      </c>
      <c r="I2" s="164">
        <f>180/24</f>
        <v>7.5</v>
      </c>
      <c r="J2" s="164">
        <f>J31/D32</f>
        <v>5.060416667</v>
      </c>
      <c r="K2" s="164">
        <f>K31/J32</f>
        <v>7.9416</v>
      </c>
      <c r="L2" s="165">
        <f t="shared" ref="L2:L29" si="1">SUM(C2:K2)</f>
        <v>179.8945167</v>
      </c>
      <c r="M2" s="166">
        <f t="shared" ref="M2:M29" si="2">round(L2,0)</f>
        <v>180</v>
      </c>
      <c r="N2" s="167">
        <f t="shared" ref="N2:N29" si="3">IF(M2=180, 1, 0)</f>
        <v>1</v>
      </c>
      <c r="O2" s="162">
        <f t="shared" ref="O2:O29" si="4">IF(M2=167, 1, 0)</f>
        <v>0</v>
      </c>
      <c r="P2" s="162">
        <f t="shared" ref="P2:P29" si="5">IF(M2=108, 1, 0)</f>
        <v>0</v>
      </c>
      <c r="Q2" s="162">
        <f t="shared" ref="Q2:Q29" si="6">IF(M2=70, 1, 0)</f>
        <v>0</v>
      </c>
      <c r="R2" s="162">
        <f t="shared" ref="R2:R29" si="7">IF(M2=25, 1, 0)</f>
        <v>0</v>
      </c>
      <c r="S2" s="162"/>
      <c r="T2" s="159">
        <f t="array" ref="T2">sum(N2:N29*L2:L29)</f>
        <v>3417.824517</v>
      </c>
      <c r="U2" s="159">
        <f t="array" ref="U2">sum(O2:O29*L2:L29)</f>
        <v>834.425</v>
      </c>
      <c r="V2" s="159">
        <f t="array" ref="V2">sum(P2:P29*L2:L29)</f>
        <v>107.94</v>
      </c>
      <c r="W2" s="159">
        <f t="array" ref="W2">sum(Q2:Q29*L2:L29)</f>
        <v>140</v>
      </c>
      <c r="X2" s="159">
        <f t="array" ref="X2">sum(R2:R29*L2:L29)</f>
        <v>25</v>
      </c>
      <c r="Y2" s="159"/>
      <c r="Z2" s="159"/>
      <c r="AA2" s="159"/>
      <c r="AB2" s="159"/>
    </row>
    <row r="3">
      <c r="A3" s="168" t="s">
        <v>327</v>
      </c>
      <c r="B3" s="168" t="s">
        <v>498</v>
      </c>
      <c r="C3" s="169">
        <v>136.0</v>
      </c>
      <c r="D3" s="170">
        <f>D31/D32</f>
        <v>2.125</v>
      </c>
      <c r="E3" s="170">
        <v>3.85</v>
      </c>
      <c r="F3" s="170">
        <v>1.82</v>
      </c>
      <c r="G3" s="170">
        <v>1.6</v>
      </c>
      <c r="H3" s="170">
        <v>0.99</v>
      </c>
      <c r="I3" s="170">
        <v>7.5</v>
      </c>
      <c r="J3" s="170">
        <v>5.06</v>
      </c>
      <c r="K3" s="170">
        <v>7.94</v>
      </c>
      <c r="L3" s="171">
        <f t="shared" si="1"/>
        <v>166.885</v>
      </c>
      <c r="M3" s="166">
        <f t="shared" si="2"/>
        <v>167</v>
      </c>
      <c r="N3" s="167">
        <f t="shared" si="3"/>
        <v>0</v>
      </c>
      <c r="O3" s="162">
        <f t="shared" si="4"/>
        <v>1</v>
      </c>
      <c r="P3" s="162">
        <f t="shared" si="5"/>
        <v>0</v>
      </c>
      <c r="Q3" s="162">
        <f t="shared" si="6"/>
        <v>0</v>
      </c>
      <c r="R3" s="162">
        <f t="shared" si="7"/>
        <v>0</v>
      </c>
      <c r="S3" s="168"/>
      <c r="T3" s="168"/>
      <c r="U3" s="168"/>
      <c r="V3" s="168"/>
      <c r="W3" s="168"/>
      <c r="X3" s="168"/>
      <c r="Y3" s="159"/>
      <c r="Z3" s="159"/>
      <c r="AA3" s="159"/>
      <c r="AB3" s="159"/>
    </row>
    <row r="4">
      <c r="A4" s="162" t="s">
        <v>499</v>
      </c>
      <c r="B4" s="162"/>
      <c r="C4" s="163">
        <v>149.0</v>
      </c>
      <c r="D4" s="164">
        <v>2.125</v>
      </c>
      <c r="E4" s="164">
        <v>3.85</v>
      </c>
      <c r="F4" s="164">
        <v>1.82</v>
      </c>
      <c r="G4" s="164">
        <v>1.6</v>
      </c>
      <c r="H4" s="164">
        <v>0.99</v>
      </c>
      <c r="I4" s="164">
        <v>7.5</v>
      </c>
      <c r="J4" s="164">
        <v>5.06</v>
      </c>
      <c r="K4" s="164">
        <v>7.94</v>
      </c>
      <c r="L4" s="165">
        <f t="shared" si="1"/>
        <v>179.885</v>
      </c>
      <c r="M4" s="166">
        <f t="shared" si="2"/>
        <v>180</v>
      </c>
      <c r="N4" s="167">
        <f t="shared" si="3"/>
        <v>1</v>
      </c>
      <c r="O4" s="162">
        <f t="shared" si="4"/>
        <v>0</v>
      </c>
      <c r="P4" s="162">
        <f t="shared" si="5"/>
        <v>0</v>
      </c>
      <c r="Q4" s="162">
        <f t="shared" si="6"/>
        <v>0</v>
      </c>
      <c r="R4" s="162">
        <f t="shared" si="7"/>
        <v>0</v>
      </c>
      <c r="S4" s="162"/>
      <c r="T4" s="162"/>
      <c r="U4" s="162"/>
      <c r="V4" s="162"/>
      <c r="W4" s="162"/>
      <c r="X4" s="162"/>
      <c r="Y4" s="159"/>
      <c r="Z4" s="159"/>
      <c r="AA4" s="159"/>
      <c r="AB4" s="159"/>
    </row>
    <row r="5">
      <c r="A5" s="168" t="s">
        <v>81</v>
      </c>
      <c r="B5" s="168"/>
      <c r="C5" s="169">
        <v>149.0</v>
      </c>
      <c r="D5" s="170">
        <v>2.125</v>
      </c>
      <c r="E5" s="170">
        <v>3.85</v>
      </c>
      <c r="F5" s="170">
        <v>1.82</v>
      </c>
      <c r="G5" s="170">
        <v>1.6</v>
      </c>
      <c r="H5" s="170">
        <v>0.99</v>
      </c>
      <c r="I5" s="170">
        <v>7.5</v>
      </c>
      <c r="J5" s="170">
        <v>5.06</v>
      </c>
      <c r="K5" s="170">
        <v>7.94</v>
      </c>
      <c r="L5" s="171">
        <f t="shared" si="1"/>
        <v>179.885</v>
      </c>
      <c r="M5" s="166">
        <f t="shared" si="2"/>
        <v>180</v>
      </c>
      <c r="N5" s="167">
        <f t="shared" si="3"/>
        <v>1</v>
      </c>
      <c r="O5" s="162">
        <f t="shared" si="4"/>
        <v>0</v>
      </c>
      <c r="P5" s="162">
        <f t="shared" si="5"/>
        <v>0</v>
      </c>
      <c r="Q5" s="162">
        <f t="shared" si="6"/>
        <v>0</v>
      </c>
      <c r="R5" s="162">
        <f t="shared" si="7"/>
        <v>0</v>
      </c>
      <c r="S5" s="168"/>
      <c r="T5" s="168"/>
      <c r="U5" s="168"/>
      <c r="V5" s="168"/>
      <c r="W5" s="168"/>
      <c r="X5" s="168"/>
      <c r="Y5" s="159"/>
      <c r="Z5" s="159"/>
      <c r="AA5" s="159"/>
      <c r="AB5" s="159"/>
    </row>
    <row r="6">
      <c r="A6" s="162" t="s">
        <v>118</v>
      </c>
      <c r="B6" s="162"/>
      <c r="C6" s="163">
        <v>149.0</v>
      </c>
      <c r="D6" s="164">
        <v>2.125</v>
      </c>
      <c r="E6" s="164">
        <v>3.85</v>
      </c>
      <c r="F6" s="164">
        <v>1.82</v>
      </c>
      <c r="G6" s="164">
        <v>1.6</v>
      </c>
      <c r="H6" s="164">
        <v>0.99</v>
      </c>
      <c r="I6" s="164">
        <v>7.5</v>
      </c>
      <c r="J6" s="164">
        <v>5.06</v>
      </c>
      <c r="K6" s="164">
        <v>7.94</v>
      </c>
      <c r="L6" s="165">
        <f t="shared" si="1"/>
        <v>179.885</v>
      </c>
      <c r="M6" s="166">
        <f t="shared" si="2"/>
        <v>180</v>
      </c>
      <c r="N6" s="167">
        <f t="shared" si="3"/>
        <v>1</v>
      </c>
      <c r="O6" s="162">
        <f t="shared" si="4"/>
        <v>0</v>
      </c>
      <c r="P6" s="162">
        <f t="shared" si="5"/>
        <v>0</v>
      </c>
      <c r="Q6" s="162">
        <f t="shared" si="6"/>
        <v>0</v>
      </c>
      <c r="R6" s="162">
        <f t="shared" si="7"/>
        <v>0</v>
      </c>
      <c r="S6" s="162"/>
      <c r="T6" s="162"/>
      <c r="U6" s="162"/>
      <c r="V6" s="162"/>
      <c r="W6" s="162"/>
      <c r="X6" s="162"/>
      <c r="Y6" s="159"/>
      <c r="Z6" s="159"/>
      <c r="AA6" s="159"/>
      <c r="AB6" s="159"/>
    </row>
    <row r="7">
      <c r="A7" s="168" t="s">
        <v>500</v>
      </c>
      <c r="B7" s="168"/>
      <c r="C7" s="169">
        <v>149.0</v>
      </c>
      <c r="D7" s="170">
        <f t="shared" ref="D7:D25" si="8">51/24</f>
        <v>2.125</v>
      </c>
      <c r="E7" s="170">
        <v>3.85</v>
      </c>
      <c r="F7" s="170">
        <v>1.82</v>
      </c>
      <c r="G7" s="170">
        <v>1.6</v>
      </c>
      <c r="H7" s="170">
        <v>0.99</v>
      </c>
      <c r="I7" s="170">
        <v>7.5</v>
      </c>
      <c r="J7" s="170">
        <v>5.06</v>
      </c>
      <c r="K7" s="170">
        <v>7.94</v>
      </c>
      <c r="L7" s="171">
        <f t="shared" si="1"/>
        <v>179.885</v>
      </c>
      <c r="M7" s="166">
        <f t="shared" si="2"/>
        <v>180</v>
      </c>
      <c r="N7" s="167">
        <f t="shared" si="3"/>
        <v>1</v>
      </c>
      <c r="O7" s="162">
        <f t="shared" si="4"/>
        <v>0</v>
      </c>
      <c r="P7" s="162">
        <f t="shared" si="5"/>
        <v>0</v>
      </c>
      <c r="Q7" s="162">
        <f t="shared" si="6"/>
        <v>0</v>
      </c>
      <c r="R7" s="162">
        <f t="shared" si="7"/>
        <v>0</v>
      </c>
      <c r="S7" s="168"/>
      <c r="T7" s="168"/>
      <c r="U7" s="168"/>
      <c r="V7" s="168"/>
      <c r="W7" s="168"/>
      <c r="X7" s="168"/>
      <c r="Y7" s="159"/>
      <c r="Z7" s="159"/>
      <c r="AA7" s="159"/>
      <c r="AB7" s="159"/>
    </row>
    <row r="8">
      <c r="A8" s="162" t="s">
        <v>501</v>
      </c>
      <c r="B8" s="162"/>
      <c r="C8" s="163">
        <v>149.0</v>
      </c>
      <c r="D8" s="164">
        <f t="shared" si="8"/>
        <v>2.125</v>
      </c>
      <c r="E8" s="164">
        <v>3.85</v>
      </c>
      <c r="F8" s="164">
        <v>1.82</v>
      </c>
      <c r="G8" s="164">
        <v>1.6</v>
      </c>
      <c r="H8" s="164">
        <v>0.99</v>
      </c>
      <c r="I8" s="164">
        <v>7.5</v>
      </c>
      <c r="J8" s="164">
        <v>5.06</v>
      </c>
      <c r="K8" s="164">
        <v>7.94</v>
      </c>
      <c r="L8" s="165">
        <f t="shared" si="1"/>
        <v>179.885</v>
      </c>
      <c r="M8" s="166">
        <f t="shared" si="2"/>
        <v>180</v>
      </c>
      <c r="N8" s="167">
        <f t="shared" si="3"/>
        <v>1</v>
      </c>
      <c r="O8" s="162">
        <f t="shared" si="4"/>
        <v>0</v>
      </c>
      <c r="P8" s="162">
        <f t="shared" si="5"/>
        <v>0</v>
      </c>
      <c r="Q8" s="162">
        <f t="shared" si="6"/>
        <v>0</v>
      </c>
      <c r="R8" s="162">
        <f t="shared" si="7"/>
        <v>0</v>
      </c>
      <c r="S8" s="162"/>
      <c r="T8" s="162"/>
      <c r="U8" s="162"/>
      <c r="V8" s="162"/>
      <c r="W8" s="162"/>
      <c r="X8" s="162"/>
      <c r="Y8" s="159"/>
      <c r="Z8" s="159"/>
      <c r="AA8" s="159"/>
      <c r="AB8" s="159"/>
    </row>
    <row r="9">
      <c r="A9" s="168" t="s">
        <v>502</v>
      </c>
      <c r="B9" s="168"/>
      <c r="C9" s="169">
        <v>149.0</v>
      </c>
      <c r="D9" s="170">
        <f t="shared" si="8"/>
        <v>2.125</v>
      </c>
      <c r="E9" s="170">
        <v>3.85</v>
      </c>
      <c r="F9" s="170">
        <v>1.82</v>
      </c>
      <c r="G9" s="170">
        <v>1.6</v>
      </c>
      <c r="H9" s="170">
        <v>0.99</v>
      </c>
      <c r="I9" s="170">
        <v>7.5</v>
      </c>
      <c r="J9" s="170">
        <v>5.06</v>
      </c>
      <c r="K9" s="170">
        <v>7.94</v>
      </c>
      <c r="L9" s="171">
        <f t="shared" si="1"/>
        <v>179.885</v>
      </c>
      <c r="M9" s="166">
        <f t="shared" si="2"/>
        <v>180</v>
      </c>
      <c r="N9" s="167">
        <f t="shared" si="3"/>
        <v>1</v>
      </c>
      <c r="O9" s="162">
        <f t="shared" si="4"/>
        <v>0</v>
      </c>
      <c r="P9" s="162">
        <f t="shared" si="5"/>
        <v>0</v>
      </c>
      <c r="Q9" s="162">
        <f t="shared" si="6"/>
        <v>0</v>
      </c>
      <c r="R9" s="162">
        <f t="shared" si="7"/>
        <v>0</v>
      </c>
      <c r="S9" s="168"/>
      <c r="T9" s="168"/>
      <c r="U9" s="168"/>
      <c r="V9" s="168"/>
      <c r="W9" s="168"/>
      <c r="X9" s="168"/>
      <c r="Y9" s="159"/>
      <c r="Z9" s="159"/>
      <c r="AA9" s="159"/>
      <c r="AB9" s="159"/>
    </row>
    <row r="10">
      <c r="A10" s="162" t="s">
        <v>468</v>
      </c>
      <c r="B10" s="162"/>
      <c r="C10" s="163">
        <v>149.0</v>
      </c>
      <c r="D10" s="164">
        <f t="shared" si="8"/>
        <v>2.125</v>
      </c>
      <c r="E10" s="164">
        <v>3.85</v>
      </c>
      <c r="F10" s="164">
        <v>1.82</v>
      </c>
      <c r="G10" s="164">
        <v>1.6</v>
      </c>
      <c r="H10" s="164">
        <v>0.99</v>
      </c>
      <c r="I10" s="164">
        <v>7.5</v>
      </c>
      <c r="J10" s="164">
        <v>5.06</v>
      </c>
      <c r="K10" s="164">
        <v>7.94</v>
      </c>
      <c r="L10" s="165">
        <f t="shared" si="1"/>
        <v>179.885</v>
      </c>
      <c r="M10" s="166">
        <f t="shared" si="2"/>
        <v>180</v>
      </c>
      <c r="N10" s="167">
        <f t="shared" si="3"/>
        <v>1</v>
      </c>
      <c r="O10" s="162">
        <f t="shared" si="4"/>
        <v>0</v>
      </c>
      <c r="P10" s="162">
        <f t="shared" si="5"/>
        <v>0</v>
      </c>
      <c r="Q10" s="162">
        <f t="shared" si="6"/>
        <v>0</v>
      </c>
      <c r="R10" s="162">
        <f t="shared" si="7"/>
        <v>0</v>
      </c>
      <c r="S10" s="162"/>
      <c r="T10" s="162"/>
      <c r="U10" s="162"/>
      <c r="V10" s="162"/>
      <c r="W10" s="162"/>
      <c r="X10" s="162"/>
      <c r="Y10" s="159"/>
      <c r="Z10" s="159"/>
      <c r="AA10" s="159"/>
      <c r="AB10" s="159"/>
    </row>
    <row r="11">
      <c r="A11" s="168" t="s">
        <v>466</v>
      </c>
      <c r="B11" s="168" t="s">
        <v>498</v>
      </c>
      <c r="C11" s="169">
        <v>136.0</v>
      </c>
      <c r="D11" s="170">
        <f t="shared" si="8"/>
        <v>2.125</v>
      </c>
      <c r="E11" s="170">
        <v>3.85</v>
      </c>
      <c r="F11" s="170">
        <v>1.82</v>
      </c>
      <c r="G11" s="170">
        <v>1.6</v>
      </c>
      <c r="H11" s="170">
        <v>0.99</v>
      </c>
      <c r="I11" s="170">
        <v>7.5</v>
      </c>
      <c r="J11" s="170">
        <v>5.06</v>
      </c>
      <c r="K11" s="170">
        <v>7.94</v>
      </c>
      <c r="L11" s="171">
        <f t="shared" si="1"/>
        <v>166.885</v>
      </c>
      <c r="M11" s="166">
        <f t="shared" si="2"/>
        <v>167</v>
      </c>
      <c r="N11" s="167">
        <f t="shared" si="3"/>
        <v>0</v>
      </c>
      <c r="O11" s="162">
        <f t="shared" si="4"/>
        <v>1</v>
      </c>
      <c r="P11" s="162">
        <f t="shared" si="5"/>
        <v>0</v>
      </c>
      <c r="Q11" s="162">
        <f t="shared" si="6"/>
        <v>0</v>
      </c>
      <c r="R11" s="162">
        <f t="shared" si="7"/>
        <v>0</v>
      </c>
      <c r="S11" s="168"/>
      <c r="T11" s="168"/>
      <c r="U11" s="168"/>
      <c r="V11" s="168"/>
      <c r="W11" s="168"/>
      <c r="X11" s="168"/>
      <c r="Y11" s="159"/>
      <c r="Z11" s="159"/>
      <c r="AA11" s="159"/>
      <c r="AB11" s="159"/>
    </row>
    <row r="12">
      <c r="A12" s="162" t="s">
        <v>217</v>
      </c>
      <c r="B12" s="162" t="s">
        <v>498</v>
      </c>
      <c r="C12" s="163">
        <v>136.0</v>
      </c>
      <c r="D12" s="164">
        <f t="shared" si="8"/>
        <v>2.125</v>
      </c>
      <c r="E12" s="164">
        <v>3.85</v>
      </c>
      <c r="F12" s="164">
        <v>1.82</v>
      </c>
      <c r="G12" s="164">
        <v>1.6</v>
      </c>
      <c r="H12" s="164">
        <v>0.99</v>
      </c>
      <c r="I12" s="164">
        <v>7.5</v>
      </c>
      <c r="J12" s="164">
        <v>5.06</v>
      </c>
      <c r="K12" s="164">
        <v>7.94</v>
      </c>
      <c r="L12" s="165">
        <f t="shared" si="1"/>
        <v>166.885</v>
      </c>
      <c r="M12" s="166">
        <f t="shared" si="2"/>
        <v>167</v>
      </c>
      <c r="N12" s="167">
        <f t="shared" si="3"/>
        <v>0</v>
      </c>
      <c r="O12" s="162">
        <f t="shared" si="4"/>
        <v>1</v>
      </c>
      <c r="P12" s="162">
        <f t="shared" si="5"/>
        <v>0</v>
      </c>
      <c r="Q12" s="162">
        <f t="shared" si="6"/>
        <v>0</v>
      </c>
      <c r="R12" s="162">
        <f t="shared" si="7"/>
        <v>0</v>
      </c>
      <c r="S12" s="162"/>
      <c r="T12" s="162"/>
      <c r="U12" s="162"/>
      <c r="V12" s="162"/>
      <c r="W12" s="162"/>
      <c r="X12" s="162"/>
      <c r="Y12" s="159"/>
      <c r="Z12" s="159"/>
      <c r="AA12" s="159"/>
      <c r="AB12" s="159"/>
    </row>
    <row r="13">
      <c r="A13" s="168" t="s">
        <v>321</v>
      </c>
      <c r="B13" s="168" t="s">
        <v>498</v>
      </c>
      <c r="C13" s="169">
        <v>136.0</v>
      </c>
      <c r="D13" s="170">
        <f t="shared" si="8"/>
        <v>2.125</v>
      </c>
      <c r="E13" s="170">
        <v>3.85</v>
      </c>
      <c r="F13" s="170">
        <v>1.82</v>
      </c>
      <c r="G13" s="170">
        <v>1.6</v>
      </c>
      <c r="H13" s="170">
        <v>0.99</v>
      </c>
      <c r="I13" s="170">
        <v>7.5</v>
      </c>
      <c r="J13" s="170">
        <v>5.06</v>
      </c>
      <c r="K13" s="170">
        <v>7.94</v>
      </c>
      <c r="L13" s="171">
        <f t="shared" si="1"/>
        <v>166.885</v>
      </c>
      <c r="M13" s="166">
        <f t="shared" si="2"/>
        <v>167</v>
      </c>
      <c r="N13" s="167">
        <f t="shared" si="3"/>
        <v>0</v>
      </c>
      <c r="O13" s="162">
        <f t="shared" si="4"/>
        <v>1</v>
      </c>
      <c r="P13" s="162">
        <f t="shared" si="5"/>
        <v>0</v>
      </c>
      <c r="Q13" s="162">
        <f t="shared" si="6"/>
        <v>0</v>
      </c>
      <c r="R13" s="162">
        <f t="shared" si="7"/>
        <v>0</v>
      </c>
      <c r="S13" s="168"/>
      <c r="T13" s="168"/>
      <c r="U13" s="168"/>
      <c r="V13" s="168"/>
      <c r="W13" s="168"/>
      <c r="X13" s="168"/>
      <c r="Y13" s="159"/>
      <c r="Z13" s="159"/>
      <c r="AA13" s="159"/>
      <c r="AB13" s="159"/>
    </row>
    <row r="14">
      <c r="A14" s="162" t="s">
        <v>503</v>
      </c>
      <c r="B14" s="162" t="s">
        <v>498</v>
      </c>
      <c r="C14" s="163">
        <v>136.0</v>
      </c>
      <c r="D14" s="164">
        <f t="shared" si="8"/>
        <v>2.125</v>
      </c>
      <c r="E14" s="164">
        <v>3.85</v>
      </c>
      <c r="F14" s="164">
        <v>1.82</v>
      </c>
      <c r="G14" s="164">
        <v>1.6</v>
      </c>
      <c r="H14" s="164">
        <v>0.99</v>
      </c>
      <c r="I14" s="164">
        <v>7.5</v>
      </c>
      <c r="J14" s="164">
        <v>5.06</v>
      </c>
      <c r="K14" s="164">
        <v>7.94</v>
      </c>
      <c r="L14" s="165">
        <f t="shared" si="1"/>
        <v>166.885</v>
      </c>
      <c r="M14" s="166">
        <f t="shared" si="2"/>
        <v>167</v>
      </c>
      <c r="N14" s="167">
        <f t="shared" si="3"/>
        <v>0</v>
      </c>
      <c r="O14" s="162">
        <f t="shared" si="4"/>
        <v>1</v>
      </c>
      <c r="P14" s="162">
        <f t="shared" si="5"/>
        <v>0</v>
      </c>
      <c r="Q14" s="162">
        <f t="shared" si="6"/>
        <v>0</v>
      </c>
      <c r="R14" s="162">
        <f t="shared" si="7"/>
        <v>0</v>
      </c>
      <c r="S14" s="162"/>
      <c r="T14" s="162"/>
      <c r="U14" s="162"/>
      <c r="V14" s="162"/>
      <c r="W14" s="162"/>
      <c r="X14" s="162"/>
      <c r="Y14" s="159"/>
      <c r="Z14" s="159"/>
      <c r="AA14" s="159"/>
      <c r="AB14" s="159"/>
    </row>
    <row r="15">
      <c r="A15" s="168" t="s">
        <v>504</v>
      </c>
      <c r="B15" s="168"/>
      <c r="C15" s="169">
        <v>149.0</v>
      </c>
      <c r="D15" s="170">
        <f t="shared" si="8"/>
        <v>2.125</v>
      </c>
      <c r="E15" s="170">
        <v>3.85</v>
      </c>
      <c r="F15" s="170">
        <v>1.82</v>
      </c>
      <c r="G15" s="170">
        <v>1.6</v>
      </c>
      <c r="H15" s="170">
        <v>0.99</v>
      </c>
      <c r="I15" s="170">
        <v>7.5</v>
      </c>
      <c r="J15" s="170">
        <v>5.06</v>
      </c>
      <c r="K15" s="170">
        <v>7.94</v>
      </c>
      <c r="L15" s="171">
        <f t="shared" si="1"/>
        <v>179.885</v>
      </c>
      <c r="M15" s="166">
        <f t="shared" si="2"/>
        <v>180</v>
      </c>
      <c r="N15" s="167">
        <f t="shared" si="3"/>
        <v>1</v>
      </c>
      <c r="O15" s="162">
        <f t="shared" si="4"/>
        <v>0</v>
      </c>
      <c r="P15" s="162">
        <f t="shared" si="5"/>
        <v>0</v>
      </c>
      <c r="Q15" s="162">
        <f t="shared" si="6"/>
        <v>0</v>
      </c>
      <c r="R15" s="162">
        <f t="shared" si="7"/>
        <v>0</v>
      </c>
      <c r="S15" s="168"/>
      <c r="T15" s="168"/>
      <c r="U15" s="168"/>
      <c r="V15" s="168"/>
      <c r="W15" s="168"/>
      <c r="X15" s="168"/>
      <c r="Y15" s="159"/>
      <c r="Z15" s="159"/>
      <c r="AA15" s="159"/>
      <c r="AB15" s="159"/>
    </row>
    <row r="16">
      <c r="A16" s="162" t="s">
        <v>505</v>
      </c>
      <c r="B16" s="162"/>
      <c r="C16" s="163">
        <v>149.0</v>
      </c>
      <c r="D16" s="164">
        <f t="shared" si="8"/>
        <v>2.125</v>
      </c>
      <c r="E16" s="164">
        <v>3.85</v>
      </c>
      <c r="F16" s="164">
        <v>1.82</v>
      </c>
      <c r="G16" s="164">
        <v>1.6</v>
      </c>
      <c r="H16" s="164">
        <v>0.99</v>
      </c>
      <c r="I16" s="164">
        <v>7.5</v>
      </c>
      <c r="J16" s="164">
        <v>5.06</v>
      </c>
      <c r="K16" s="164">
        <v>7.94</v>
      </c>
      <c r="L16" s="165">
        <f t="shared" si="1"/>
        <v>179.885</v>
      </c>
      <c r="M16" s="166">
        <f t="shared" si="2"/>
        <v>180</v>
      </c>
      <c r="N16" s="167">
        <f t="shared" si="3"/>
        <v>1</v>
      </c>
      <c r="O16" s="162">
        <f t="shared" si="4"/>
        <v>0</v>
      </c>
      <c r="P16" s="162">
        <f t="shared" si="5"/>
        <v>0</v>
      </c>
      <c r="Q16" s="162">
        <f t="shared" si="6"/>
        <v>0</v>
      </c>
      <c r="R16" s="162">
        <f t="shared" si="7"/>
        <v>0</v>
      </c>
      <c r="S16" s="162"/>
      <c r="T16" s="162"/>
      <c r="U16" s="162"/>
      <c r="V16" s="162"/>
      <c r="W16" s="162"/>
      <c r="X16" s="162"/>
      <c r="Y16" s="159"/>
      <c r="Z16" s="159"/>
      <c r="AA16" s="159"/>
      <c r="AB16" s="159"/>
    </row>
    <row r="17">
      <c r="A17" s="168" t="s">
        <v>506</v>
      </c>
      <c r="B17" s="168"/>
      <c r="C17" s="169">
        <v>149.0</v>
      </c>
      <c r="D17" s="170">
        <f t="shared" si="8"/>
        <v>2.125</v>
      </c>
      <c r="E17" s="170">
        <v>3.85</v>
      </c>
      <c r="F17" s="170">
        <v>1.82</v>
      </c>
      <c r="G17" s="170">
        <v>1.6</v>
      </c>
      <c r="H17" s="170">
        <v>0.99</v>
      </c>
      <c r="I17" s="170">
        <v>7.5</v>
      </c>
      <c r="J17" s="170">
        <v>5.06</v>
      </c>
      <c r="K17" s="170">
        <v>7.94</v>
      </c>
      <c r="L17" s="171">
        <f t="shared" si="1"/>
        <v>179.885</v>
      </c>
      <c r="M17" s="166">
        <f t="shared" si="2"/>
        <v>180</v>
      </c>
      <c r="N17" s="167">
        <f t="shared" si="3"/>
        <v>1</v>
      </c>
      <c r="O17" s="162">
        <f t="shared" si="4"/>
        <v>0</v>
      </c>
      <c r="P17" s="162">
        <f t="shared" si="5"/>
        <v>0</v>
      </c>
      <c r="Q17" s="162">
        <f t="shared" si="6"/>
        <v>0</v>
      </c>
      <c r="R17" s="162">
        <f t="shared" si="7"/>
        <v>0</v>
      </c>
      <c r="S17" s="168"/>
      <c r="T17" s="168"/>
      <c r="U17" s="168"/>
      <c r="V17" s="168"/>
      <c r="W17" s="168"/>
      <c r="X17" s="168"/>
      <c r="Y17" s="159"/>
      <c r="Z17" s="159"/>
      <c r="AA17" s="159"/>
      <c r="AB17" s="159"/>
    </row>
    <row r="18">
      <c r="A18" s="162" t="s">
        <v>507</v>
      </c>
      <c r="B18" s="162"/>
      <c r="C18" s="163">
        <v>149.0</v>
      </c>
      <c r="D18" s="164">
        <f t="shared" si="8"/>
        <v>2.125</v>
      </c>
      <c r="E18" s="164">
        <v>3.85</v>
      </c>
      <c r="F18" s="164">
        <v>1.82</v>
      </c>
      <c r="G18" s="164">
        <v>1.6</v>
      </c>
      <c r="H18" s="164">
        <v>0.99</v>
      </c>
      <c r="I18" s="164">
        <v>7.5</v>
      </c>
      <c r="J18" s="164">
        <v>5.06</v>
      </c>
      <c r="K18" s="164">
        <v>7.94</v>
      </c>
      <c r="L18" s="165">
        <f t="shared" si="1"/>
        <v>179.885</v>
      </c>
      <c r="M18" s="166">
        <f t="shared" si="2"/>
        <v>180</v>
      </c>
      <c r="N18" s="167">
        <f t="shared" si="3"/>
        <v>1</v>
      </c>
      <c r="O18" s="162">
        <f t="shared" si="4"/>
        <v>0</v>
      </c>
      <c r="P18" s="162">
        <f t="shared" si="5"/>
        <v>0</v>
      </c>
      <c r="Q18" s="162">
        <f t="shared" si="6"/>
        <v>0</v>
      </c>
      <c r="R18" s="162">
        <f t="shared" si="7"/>
        <v>0</v>
      </c>
      <c r="S18" s="162"/>
      <c r="T18" s="162"/>
      <c r="U18" s="162"/>
      <c r="V18" s="162"/>
      <c r="W18" s="162"/>
      <c r="X18" s="162"/>
      <c r="Y18" s="159"/>
      <c r="Z18" s="159"/>
      <c r="AA18" s="159"/>
      <c r="AB18" s="159"/>
    </row>
    <row r="19">
      <c r="A19" s="168" t="s">
        <v>508</v>
      </c>
      <c r="B19" s="168"/>
      <c r="C19" s="169">
        <v>149.0</v>
      </c>
      <c r="D19" s="170">
        <f t="shared" si="8"/>
        <v>2.125</v>
      </c>
      <c r="E19" s="170">
        <v>3.85</v>
      </c>
      <c r="F19" s="170">
        <v>1.82</v>
      </c>
      <c r="G19" s="170">
        <v>1.6</v>
      </c>
      <c r="H19" s="170">
        <v>0.99</v>
      </c>
      <c r="I19" s="170">
        <v>7.5</v>
      </c>
      <c r="J19" s="170">
        <v>5.06</v>
      </c>
      <c r="K19" s="170">
        <v>7.94</v>
      </c>
      <c r="L19" s="171">
        <f t="shared" si="1"/>
        <v>179.885</v>
      </c>
      <c r="M19" s="166">
        <f t="shared" si="2"/>
        <v>180</v>
      </c>
      <c r="N19" s="167">
        <f t="shared" si="3"/>
        <v>1</v>
      </c>
      <c r="O19" s="162">
        <f t="shared" si="4"/>
        <v>0</v>
      </c>
      <c r="P19" s="162">
        <f t="shared" si="5"/>
        <v>0</v>
      </c>
      <c r="Q19" s="162">
        <f t="shared" si="6"/>
        <v>0</v>
      </c>
      <c r="R19" s="162">
        <f t="shared" si="7"/>
        <v>0</v>
      </c>
      <c r="S19" s="168"/>
      <c r="T19" s="168"/>
      <c r="U19" s="168"/>
      <c r="V19" s="168"/>
      <c r="W19" s="168"/>
      <c r="X19" s="168"/>
      <c r="Y19" s="159"/>
      <c r="Z19" s="159"/>
      <c r="AA19" s="159"/>
      <c r="AB19" s="159"/>
    </row>
    <row r="20">
      <c r="A20" s="162" t="s">
        <v>509</v>
      </c>
      <c r="B20" s="162"/>
      <c r="C20" s="163">
        <v>149.0</v>
      </c>
      <c r="D20" s="164">
        <f t="shared" si="8"/>
        <v>2.125</v>
      </c>
      <c r="E20" s="164">
        <v>3.85</v>
      </c>
      <c r="F20" s="164">
        <v>1.82</v>
      </c>
      <c r="G20" s="164">
        <v>1.6</v>
      </c>
      <c r="H20" s="164">
        <v>0.99</v>
      </c>
      <c r="I20" s="164">
        <v>7.5</v>
      </c>
      <c r="J20" s="164">
        <v>5.06</v>
      </c>
      <c r="K20" s="164">
        <v>7.94</v>
      </c>
      <c r="L20" s="165">
        <f t="shared" si="1"/>
        <v>179.885</v>
      </c>
      <c r="M20" s="166">
        <f t="shared" si="2"/>
        <v>180</v>
      </c>
      <c r="N20" s="167">
        <f t="shared" si="3"/>
        <v>1</v>
      </c>
      <c r="O20" s="162">
        <f t="shared" si="4"/>
        <v>0</v>
      </c>
      <c r="P20" s="162">
        <f t="shared" si="5"/>
        <v>0</v>
      </c>
      <c r="Q20" s="162">
        <f t="shared" si="6"/>
        <v>0</v>
      </c>
      <c r="R20" s="162">
        <f t="shared" si="7"/>
        <v>0</v>
      </c>
      <c r="S20" s="162"/>
      <c r="T20" s="162"/>
      <c r="U20" s="162"/>
      <c r="V20" s="162"/>
      <c r="W20" s="162"/>
      <c r="X20" s="162"/>
      <c r="Y20" s="159"/>
      <c r="Z20" s="159"/>
      <c r="AA20" s="159"/>
      <c r="AB20" s="159"/>
    </row>
    <row r="21">
      <c r="A21" s="168" t="s">
        <v>510</v>
      </c>
      <c r="B21" s="168"/>
      <c r="C21" s="169">
        <v>149.0</v>
      </c>
      <c r="D21" s="170">
        <f t="shared" si="8"/>
        <v>2.125</v>
      </c>
      <c r="E21" s="170">
        <v>3.85</v>
      </c>
      <c r="F21" s="170">
        <v>1.82</v>
      </c>
      <c r="G21" s="170">
        <v>1.6</v>
      </c>
      <c r="H21" s="170">
        <v>0.99</v>
      </c>
      <c r="I21" s="170">
        <v>7.5</v>
      </c>
      <c r="J21" s="170">
        <v>5.06</v>
      </c>
      <c r="K21" s="170">
        <v>7.94</v>
      </c>
      <c r="L21" s="171">
        <f t="shared" si="1"/>
        <v>179.885</v>
      </c>
      <c r="M21" s="166">
        <f t="shared" si="2"/>
        <v>180</v>
      </c>
      <c r="N21" s="167">
        <f t="shared" si="3"/>
        <v>1</v>
      </c>
      <c r="O21" s="162">
        <f t="shared" si="4"/>
        <v>0</v>
      </c>
      <c r="P21" s="162">
        <f t="shared" si="5"/>
        <v>0</v>
      </c>
      <c r="Q21" s="162">
        <f t="shared" si="6"/>
        <v>0</v>
      </c>
      <c r="R21" s="162">
        <f t="shared" si="7"/>
        <v>0</v>
      </c>
      <c r="S21" s="168"/>
      <c r="T21" s="168"/>
      <c r="U21" s="168"/>
      <c r="V21" s="168"/>
      <c r="W21" s="168"/>
      <c r="X21" s="168"/>
      <c r="Y21" s="159"/>
      <c r="Z21" s="159"/>
      <c r="AA21" s="159"/>
      <c r="AB21" s="159"/>
    </row>
    <row r="22">
      <c r="A22" s="162" t="s">
        <v>511</v>
      </c>
      <c r="B22" s="162"/>
      <c r="C22" s="163">
        <v>149.0</v>
      </c>
      <c r="D22" s="164">
        <f t="shared" si="8"/>
        <v>2.125</v>
      </c>
      <c r="E22" s="164">
        <v>3.85</v>
      </c>
      <c r="F22" s="164">
        <v>1.82</v>
      </c>
      <c r="G22" s="164">
        <v>1.6</v>
      </c>
      <c r="H22" s="164">
        <v>0.99</v>
      </c>
      <c r="I22" s="164">
        <v>7.5</v>
      </c>
      <c r="J22" s="164">
        <v>5.06</v>
      </c>
      <c r="K22" s="164">
        <v>7.94</v>
      </c>
      <c r="L22" s="165">
        <f t="shared" si="1"/>
        <v>179.885</v>
      </c>
      <c r="M22" s="166">
        <f t="shared" si="2"/>
        <v>180</v>
      </c>
      <c r="N22" s="167">
        <f t="shared" si="3"/>
        <v>1</v>
      </c>
      <c r="O22" s="162">
        <f t="shared" si="4"/>
        <v>0</v>
      </c>
      <c r="P22" s="162">
        <f t="shared" si="5"/>
        <v>0</v>
      </c>
      <c r="Q22" s="162">
        <f t="shared" si="6"/>
        <v>0</v>
      </c>
      <c r="R22" s="162">
        <f t="shared" si="7"/>
        <v>0</v>
      </c>
      <c r="S22" s="162"/>
      <c r="T22" s="162"/>
      <c r="U22" s="162"/>
      <c r="V22" s="162"/>
      <c r="W22" s="162"/>
      <c r="X22" s="162"/>
      <c r="Y22" s="159"/>
      <c r="Z22" s="159"/>
      <c r="AA22" s="159"/>
      <c r="AB22" s="159"/>
    </row>
    <row r="23">
      <c r="A23" s="168" t="s">
        <v>512</v>
      </c>
      <c r="B23" s="168"/>
      <c r="C23" s="169">
        <v>149.0</v>
      </c>
      <c r="D23" s="170">
        <f t="shared" si="8"/>
        <v>2.125</v>
      </c>
      <c r="E23" s="170">
        <v>3.85</v>
      </c>
      <c r="F23" s="170">
        <v>1.82</v>
      </c>
      <c r="G23" s="170">
        <v>1.6</v>
      </c>
      <c r="H23" s="170">
        <v>0.99</v>
      </c>
      <c r="I23" s="170">
        <v>7.5</v>
      </c>
      <c r="J23" s="170">
        <v>5.06</v>
      </c>
      <c r="K23" s="170">
        <v>7.94</v>
      </c>
      <c r="L23" s="171">
        <f t="shared" si="1"/>
        <v>179.885</v>
      </c>
      <c r="M23" s="166">
        <f t="shared" si="2"/>
        <v>180</v>
      </c>
      <c r="N23" s="167">
        <f t="shared" si="3"/>
        <v>1</v>
      </c>
      <c r="O23" s="162">
        <f t="shared" si="4"/>
        <v>0</v>
      </c>
      <c r="P23" s="162">
        <f t="shared" si="5"/>
        <v>0</v>
      </c>
      <c r="Q23" s="162">
        <f t="shared" si="6"/>
        <v>0</v>
      </c>
      <c r="R23" s="162">
        <f t="shared" si="7"/>
        <v>0</v>
      </c>
      <c r="S23" s="168"/>
      <c r="T23" s="168"/>
      <c r="U23" s="168"/>
      <c r="V23" s="168"/>
      <c r="W23" s="168"/>
      <c r="X23" s="168"/>
      <c r="Y23" s="159"/>
      <c r="Z23" s="159"/>
      <c r="AA23" s="159"/>
      <c r="AB23" s="159"/>
    </row>
    <row r="24">
      <c r="A24" s="162" t="s">
        <v>329</v>
      </c>
      <c r="B24" s="162"/>
      <c r="C24" s="163">
        <v>149.0</v>
      </c>
      <c r="D24" s="164">
        <f t="shared" si="8"/>
        <v>2.125</v>
      </c>
      <c r="E24" s="164">
        <v>3.85</v>
      </c>
      <c r="F24" s="164">
        <v>1.82</v>
      </c>
      <c r="G24" s="164">
        <v>1.6</v>
      </c>
      <c r="H24" s="164">
        <v>0.99</v>
      </c>
      <c r="I24" s="164">
        <v>7.5</v>
      </c>
      <c r="J24" s="164">
        <v>5.06</v>
      </c>
      <c r="K24" s="164">
        <v>7.94</v>
      </c>
      <c r="L24" s="165">
        <f t="shared" si="1"/>
        <v>179.885</v>
      </c>
      <c r="M24" s="166">
        <f t="shared" si="2"/>
        <v>180</v>
      </c>
      <c r="N24" s="167">
        <f t="shared" si="3"/>
        <v>1</v>
      </c>
      <c r="O24" s="162">
        <f t="shared" si="4"/>
        <v>0</v>
      </c>
      <c r="P24" s="162">
        <f t="shared" si="5"/>
        <v>0</v>
      </c>
      <c r="Q24" s="162">
        <f t="shared" si="6"/>
        <v>0</v>
      </c>
      <c r="R24" s="162">
        <f t="shared" si="7"/>
        <v>0</v>
      </c>
      <c r="S24" s="162"/>
      <c r="T24" s="162"/>
      <c r="U24" s="162"/>
      <c r="V24" s="162"/>
      <c r="W24" s="162"/>
      <c r="X24" s="162"/>
      <c r="Y24" s="159"/>
      <c r="Z24" s="159"/>
      <c r="AA24" s="159"/>
      <c r="AB24" s="159"/>
    </row>
    <row r="25">
      <c r="A25" s="168" t="s">
        <v>513</v>
      </c>
      <c r="B25" s="168"/>
      <c r="C25" s="169">
        <v>149.0</v>
      </c>
      <c r="D25" s="170">
        <f t="shared" si="8"/>
        <v>2.125</v>
      </c>
      <c r="E25" s="170">
        <v>3.85</v>
      </c>
      <c r="F25" s="170">
        <v>1.82</v>
      </c>
      <c r="G25" s="170">
        <v>1.6</v>
      </c>
      <c r="H25" s="170">
        <v>0.99</v>
      </c>
      <c r="I25" s="170">
        <v>7.5</v>
      </c>
      <c r="J25" s="170">
        <v>5.06</v>
      </c>
      <c r="K25" s="170">
        <v>7.94</v>
      </c>
      <c r="L25" s="171">
        <f t="shared" si="1"/>
        <v>179.885</v>
      </c>
      <c r="M25" s="166">
        <f t="shared" si="2"/>
        <v>180</v>
      </c>
      <c r="N25" s="167">
        <f t="shared" si="3"/>
        <v>1</v>
      </c>
      <c r="O25" s="162">
        <f t="shared" si="4"/>
        <v>0</v>
      </c>
      <c r="P25" s="162">
        <f t="shared" si="5"/>
        <v>0</v>
      </c>
      <c r="Q25" s="162">
        <f t="shared" si="6"/>
        <v>0</v>
      </c>
      <c r="R25" s="162">
        <f t="shared" si="7"/>
        <v>0</v>
      </c>
      <c r="S25" s="168"/>
      <c r="T25" s="168"/>
      <c r="U25" s="168"/>
      <c r="V25" s="168"/>
      <c r="W25" s="168"/>
      <c r="X25" s="168"/>
      <c r="Y25" s="159"/>
      <c r="Z25" s="159"/>
      <c r="AA25" s="159"/>
      <c r="AB25" s="159"/>
    </row>
    <row r="26">
      <c r="A26" s="172" t="s">
        <v>103</v>
      </c>
      <c r="B26" s="172"/>
      <c r="C26" s="173">
        <v>100.0</v>
      </c>
      <c r="D26" s="172"/>
      <c r="E26" s="172"/>
      <c r="F26" s="172"/>
      <c r="G26" s="172"/>
      <c r="H26" s="172"/>
      <c r="I26" s="172"/>
      <c r="J26" s="172"/>
      <c r="K26" s="164">
        <v>7.94</v>
      </c>
      <c r="L26" s="165">
        <f t="shared" si="1"/>
        <v>107.94</v>
      </c>
      <c r="M26" s="166">
        <f t="shared" si="2"/>
        <v>108</v>
      </c>
      <c r="N26" s="167">
        <f t="shared" si="3"/>
        <v>0</v>
      </c>
      <c r="O26" s="162">
        <f t="shared" si="4"/>
        <v>0</v>
      </c>
      <c r="P26" s="162">
        <f t="shared" si="5"/>
        <v>1</v>
      </c>
      <c r="Q26" s="162">
        <f t="shared" si="6"/>
        <v>0</v>
      </c>
      <c r="R26" s="162">
        <f t="shared" si="7"/>
        <v>0</v>
      </c>
      <c r="S26" s="162"/>
      <c r="T26" s="162"/>
      <c r="U26" s="162"/>
      <c r="V26" s="162"/>
      <c r="W26" s="162"/>
      <c r="X26" s="162"/>
      <c r="Y26" s="174"/>
      <c r="Z26" s="174"/>
      <c r="AA26" s="174"/>
      <c r="AB26" s="174"/>
    </row>
    <row r="27">
      <c r="A27" s="172" t="s">
        <v>514</v>
      </c>
      <c r="B27" s="172"/>
      <c r="C27" s="173">
        <v>70.0</v>
      </c>
      <c r="D27" s="172"/>
      <c r="E27" s="172"/>
      <c r="F27" s="172"/>
      <c r="G27" s="172"/>
      <c r="H27" s="172"/>
      <c r="I27" s="172"/>
      <c r="J27" s="172"/>
      <c r="K27" s="172"/>
      <c r="L27" s="171">
        <f t="shared" si="1"/>
        <v>70</v>
      </c>
      <c r="M27" s="166">
        <f t="shared" si="2"/>
        <v>70</v>
      </c>
      <c r="N27" s="167">
        <f t="shared" si="3"/>
        <v>0</v>
      </c>
      <c r="O27" s="162">
        <f t="shared" si="4"/>
        <v>0</v>
      </c>
      <c r="P27" s="162">
        <f t="shared" si="5"/>
        <v>0</v>
      </c>
      <c r="Q27" s="162">
        <f t="shared" si="6"/>
        <v>1</v>
      </c>
      <c r="R27" s="162">
        <f t="shared" si="7"/>
        <v>0</v>
      </c>
      <c r="S27" s="168"/>
      <c r="T27" s="168"/>
      <c r="U27" s="168"/>
      <c r="V27" s="168"/>
      <c r="W27" s="168"/>
      <c r="X27" s="168"/>
      <c r="Y27" s="159"/>
      <c r="Z27" s="159"/>
      <c r="AA27" s="159"/>
      <c r="AB27" s="159"/>
    </row>
    <row r="28">
      <c r="A28" s="172" t="s">
        <v>515</v>
      </c>
      <c r="B28" s="172"/>
      <c r="C28" s="173">
        <v>70.0</v>
      </c>
      <c r="D28" s="172"/>
      <c r="E28" s="172"/>
      <c r="F28" s="172"/>
      <c r="G28" s="172"/>
      <c r="H28" s="172"/>
      <c r="I28" s="172"/>
      <c r="J28" s="172"/>
      <c r="K28" s="172"/>
      <c r="L28" s="165">
        <f t="shared" si="1"/>
        <v>70</v>
      </c>
      <c r="M28" s="166">
        <f t="shared" si="2"/>
        <v>70</v>
      </c>
      <c r="N28" s="167">
        <f t="shared" si="3"/>
        <v>0</v>
      </c>
      <c r="O28" s="162">
        <f t="shared" si="4"/>
        <v>0</v>
      </c>
      <c r="P28" s="162">
        <f t="shared" si="5"/>
        <v>0</v>
      </c>
      <c r="Q28" s="162">
        <f t="shared" si="6"/>
        <v>1</v>
      </c>
      <c r="R28" s="162">
        <f t="shared" si="7"/>
        <v>0</v>
      </c>
      <c r="S28" s="162"/>
      <c r="T28" s="162"/>
      <c r="U28" s="162"/>
      <c r="V28" s="162"/>
      <c r="W28" s="162"/>
      <c r="X28" s="162"/>
      <c r="Y28" s="159"/>
      <c r="Z28" s="159"/>
      <c r="AA28" s="159"/>
      <c r="AB28" s="159"/>
    </row>
    <row r="29">
      <c r="A29" s="172" t="s">
        <v>516</v>
      </c>
      <c r="B29" s="172"/>
      <c r="C29" s="173">
        <v>25.0</v>
      </c>
      <c r="D29" s="172"/>
      <c r="E29" s="172"/>
      <c r="F29" s="172"/>
      <c r="G29" s="172"/>
      <c r="H29" s="172"/>
      <c r="I29" s="172"/>
      <c r="J29" s="172"/>
      <c r="K29" s="172"/>
      <c r="L29" s="171">
        <f t="shared" si="1"/>
        <v>25</v>
      </c>
      <c r="M29" s="166">
        <f t="shared" si="2"/>
        <v>25</v>
      </c>
      <c r="N29" s="167">
        <f t="shared" si="3"/>
        <v>0</v>
      </c>
      <c r="O29" s="162">
        <f t="shared" si="4"/>
        <v>0</v>
      </c>
      <c r="P29" s="162">
        <f t="shared" si="5"/>
        <v>0</v>
      </c>
      <c r="Q29" s="162">
        <f t="shared" si="6"/>
        <v>0</v>
      </c>
      <c r="R29" s="162">
        <f t="shared" si="7"/>
        <v>1</v>
      </c>
      <c r="S29" s="168"/>
      <c r="T29" s="168"/>
      <c r="U29" s="168"/>
      <c r="V29" s="168"/>
      <c r="W29" s="168"/>
      <c r="X29" s="168"/>
      <c r="Y29" s="159"/>
      <c r="Z29" s="159"/>
      <c r="AA29" s="159"/>
      <c r="AB29" s="159"/>
    </row>
    <row r="30">
      <c r="A30" s="162"/>
      <c r="B30" s="162"/>
      <c r="C30" s="163">
        <f>SUM(C2:C29)</f>
        <v>3776</v>
      </c>
      <c r="D30" s="162"/>
      <c r="E30" s="162"/>
      <c r="F30" s="162"/>
      <c r="G30" s="175"/>
      <c r="H30" s="175"/>
      <c r="I30" s="175"/>
      <c r="J30" s="162"/>
      <c r="K30" s="175"/>
      <c r="L30" s="175"/>
      <c r="N30" s="175">
        <f>SUM(N2:N29)</f>
        <v>19</v>
      </c>
      <c r="O30" s="162"/>
      <c r="P30" s="162"/>
      <c r="Q30" s="162"/>
      <c r="R30" s="162"/>
      <c r="S30" s="162"/>
      <c r="T30" s="162"/>
      <c r="U30" s="162"/>
      <c r="V30" s="162"/>
      <c r="W30" s="162"/>
      <c r="X30" s="162"/>
      <c r="Y30" s="159"/>
      <c r="Z30" s="159"/>
      <c r="AA30" s="159"/>
      <c r="AB30" s="159"/>
    </row>
    <row r="31">
      <c r="A31" s="168"/>
      <c r="B31" s="168" t="s">
        <v>180</v>
      </c>
      <c r="C31" s="169">
        <v>3780.0</v>
      </c>
      <c r="D31" s="169">
        <v>51.0</v>
      </c>
      <c r="E31" s="169">
        <v>92.39</v>
      </c>
      <c r="F31" s="169">
        <v>43.75</v>
      </c>
      <c r="G31" s="169">
        <v>38.41</v>
      </c>
      <c r="H31" s="169">
        <v>23.87</v>
      </c>
      <c r="I31" s="169">
        <v>180.0</v>
      </c>
      <c r="J31" s="169">
        <v>121.45</v>
      </c>
      <c r="K31" s="169">
        <v>198.54</v>
      </c>
      <c r="L31" s="176"/>
      <c r="N31" s="175"/>
      <c r="O31" s="162"/>
      <c r="P31" s="162"/>
      <c r="Q31" s="162"/>
      <c r="R31" s="162"/>
      <c r="S31" s="168"/>
      <c r="T31" s="168"/>
      <c r="U31" s="168"/>
      <c r="V31" s="168"/>
      <c r="W31" s="168"/>
      <c r="X31" s="168"/>
      <c r="Y31" s="159"/>
      <c r="Z31" s="159"/>
      <c r="AA31" s="159"/>
      <c r="AB31" s="159"/>
    </row>
    <row r="32">
      <c r="A32" s="162"/>
      <c r="B32" s="162"/>
      <c r="C32" s="162"/>
      <c r="D32" s="163">
        <f>COUNT(C2:C25)</f>
        <v>24</v>
      </c>
      <c r="E32" s="162"/>
      <c r="F32" s="162"/>
      <c r="G32" s="162"/>
      <c r="H32" s="162"/>
      <c r="I32" s="162"/>
      <c r="J32" s="163">
        <f>COUNTA(A2:A26)</f>
        <v>25</v>
      </c>
      <c r="K32" s="162"/>
      <c r="L32" s="175"/>
      <c r="N32" s="175"/>
      <c r="O32" s="162"/>
      <c r="P32" s="162"/>
      <c r="Q32" s="162"/>
      <c r="R32" s="162"/>
      <c r="S32" s="162"/>
      <c r="T32" s="162"/>
      <c r="U32" s="162"/>
      <c r="V32" s="162"/>
      <c r="W32" s="162"/>
      <c r="X32" s="162"/>
      <c r="Y32" s="159"/>
      <c r="Z32" s="159"/>
      <c r="AA32" s="159"/>
      <c r="AB32" s="159"/>
    </row>
    <row r="33">
      <c r="A33" s="159"/>
      <c r="B33" s="159"/>
      <c r="C33" s="159"/>
      <c r="D33" s="159"/>
      <c r="E33" s="159"/>
      <c r="F33" s="159"/>
      <c r="G33" s="159"/>
      <c r="H33" s="159"/>
      <c r="I33" s="159"/>
      <c r="J33" s="159"/>
      <c r="K33" s="159"/>
      <c r="L33" s="159"/>
      <c r="N33" s="159"/>
      <c r="O33" s="159"/>
      <c r="P33" s="159"/>
      <c r="Q33" s="159"/>
      <c r="R33" s="159"/>
      <c r="S33" s="159"/>
      <c r="T33" s="159"/>
      <c r="U33" s="159"/>
      <c r="V33" s="159"/>
      <c r="W33" s="159"/>
      <c r="X33" s="159"/>
      <c r="Y33" s="159"/>
      <c r="Z33" s="159"/>
      <c r="AA33" s="159"/>
      <c r="AB33" s="159"/>
    </row>
    <row r="34">
      <c r="A34" s="159"/>
      <c r="B34" s="159"/>
      <c r="C34" s="159"/>
      <c r="D34" s="159"/>
      <c r="E34" s="159"/>
      <c r="F34" s="159"/>
      <c r="G34" s="159"/>
      <c r="H34" s="159"/>
      <c r="I34" s="159"/>
      <c r="J34" s="159"/>
      <c r="K34" s="159"/>
      <c r="L34" s="159"/>
      <c r="N34" s="159"/>
      <c r="O34" s="159"/>
      <c r="P34" s="159"/>
      <c r="Q34" s="159"/>
      <c r="R34" s="159"/>
      <c r="S34" s="159"/>
      <c r="T34" s="159"/>
      <c r="U34" s="159"/>
      <c r="V34" s="159"/>
      <c r="W34" s="159"/>
      <c r="X34" s="159"/>
      <c r="Y34" s="159"/>
      <c r="Z34" s="159"/>
      <c r="AA34" s="159"/>
      <c r="AB34" s="159"/>
    </row>
    <row r="35">
      <c r="A35" s="159"/>
      <c r="B35" s="159"/>
      <c r="C35" s="159"/>
      <c r="D35" s="159"/>
      <c r="E35" s="159"/>
      <c r="F35" s="159"/>
      <c r="G35" s="159"/>
      <c r="H35" s="159"/>
      <c r="I35" s="159"/>
      <c r="J35" s="159"/>
      <c r="K35" s="159"/>
      <c r="L35" s="159"/>
      <c r="N35" s="159"/>
      <c r="O35" s="159"/>
      <c r="P35" s="159"/>
      <c r="Q35" s="159"/>
      <c r="R35" s="159"/>
      <c r="S35" s="159"/>
      <c r="T35" s="159"/>
      <c r="U35" s="159"/>
      <c r="V35" s="159"/>
      <c r="W35" s="159"/>
      <c r="X35" s="159"/>
      <c r="Y35" s="159"/>
      <c r="Z35" s="159"/>
      <c r="AA35" s="159"/>
      <c r="AB35" s="159"/>
    </row>
    <row r="36">
      <c r="A36" s="159"/>
      <c r="B36" s="159"/>
      <c r="C36" s="159"/>
      <c r="I36" s="159"/>
      <c r="J36" s="159"/>
      <c r="K36" s="159"/>
      <c r="L36" s="159"/>
      <c r="N36" s="159"/>
      <c r="O36" s="159"/>
      <c r="P36" s="159"/>
      <c r="Q36" s="159"/>
      <c r="R36" s="159"/>
      <c r="S36" s="159"/>
      <c r="T36" s="159"/>
      <c r="U36" s="159"/>
      <c r="V36" s="159"/>
      <c r="W36" s="159"/>
      <c r="X36" s="159"/>
      <c r="Y36" s="159"/>
      <c r="Z36" s="159"/>
      <c r="AA36" s="159"/>
      <c r="AB36" s="159"/>
    </row>
    <row r="37">
      <c r="A37" s="159"/>
      <c r="B37" s="159"/>
      <c r="I37" s="159"/>
      <c r="J37" s="159"/>
      <c r="K37" s="159"/>
      <c r="L37" s="159"/>
      <c r="N37" s="159"/>
      <c r="O37" s="159"/>
      <c r="P37" s="159"/>
      <c r="Q37" s="159"/>
      <c r="R37" s="159"/>
      <c r="S37" s="159"/>
      <c r="T37" s="159"/>
      <c r="U37" s="159"/>
      <c r="V37" s="159"/>
      <c r="W37" s="159"/>
      <c r="X37" s="159"/>
      <c r="Y37" s="159"/>
      <c r="Z37" s="159"/>
      <c r="AA37" s="159"/>
      <c r="AB37" s="159"/>
    </row>
    <row r="38">
      <c r="A38" s="159"/>
      <c r="B38" s="159"/>
      <c r="C38" s="159"/>
      <c r="D38" s="159"/>
      <c r="E38" s="159"/>
      <c r="F38" s="159"/>
      <c r="G38" s="159"/>
      <c r="H38" s="159"/>
      <c r="I38" s="159"/>
      <c r="J38" s="159"/>
      <c r="K38" s="159"/>
      <c r="L38" s="159"/>
      <c r="N38" s="159"/>
      <c r="O38" s="159"/>
      <c r="P38" s="159"/>
      <c r="Q38" s="159"/>
      <c r="R38" s="159"/>
      <c r="S38" s="159"/>
      <c r="T38" s="159"/>
      <c r="U38" s="159"/>
      <c r="V38" s="159"/>
      <c r="W38" s="159"/>
      <c r="X38" s="159"/>
      <c r="Y38" s="159"/>
      <c r="Z38" s="159"/>
      <c r="AA38" s="159"/>
      <c r="AB38" s="159"/>
    </row>
    <row r="39">
      <c r="A39" s="159"/>
      <c r="B39" s="159"/>
      <c r="C39" s="159"/>
      <c r="D39" s="159"/>
      <c r="E39" s="159"/>
      <c r="F39" s="159"/>
      <c r="G39" s="159"/>
      <c r="H39" s="159"/>
      <c r="I39" s="159"/>
      <c r="J39" s="159"/>
      <c r="K39" s="159"/>
      <c r="L39" s="159"/>
      <c r="N39" s="159"/>
      <c r="O39" s="159"/>
      <c r="P39" s="159"/>
      <c r="Q39" s="159"/>
      <c r="R39" s="159"/>
      <c r="S39" s="159"/>
      <c r="T39" s="159"/>
      <c r="U39" s="159"/>
      <c r="V39" s="159"/>
      <c r="W39" s="159"/>
      <c r="X39" s="159"/>
      <c r="Y39" s="159"/>
      <c r="Z39" s="159"/>
      <c r="AA39" s="159"/>
      <c r="AB39" s="159"/>
    </row>
    <row r="40">
      <c r="A40" s="159"/>
      <c r="B40" s="159"/>
      <c r="C40" s="159"/>
      <c r="D40" s="159"/>
      <c r="E40" s="159"/>
      <c r="F40" s="159"/>
      <c r="G40" s="159"/>
      <c r="H40" s="159"/>
      <c r="I40" s="159"/>
      <c r="J40" s="159"/>
      <c r="K40" s="159"/>
      <c r="L40" s="159"/>
      <c r="N40" s="159"/>
      <c r="O40" s="159"/>
      <c r="P40" s="159"/>
      <c r="Q40" s="159"/>
      <c r="R40" s="159"/>
      <c r="S40" s="159"/>
      <c r="T40" s="159"/>
      <c r="U40" s="159"/>
      <c r="V40" s="159"/>
      <c r="W40" s="159"/>
      <c r="X40" s="159"/>
      <c r="Y40" s="159"/>
      <c r="Z40" s="159"/>
      <c r="AA40" s="159"/>
      <c r="AB40" s="159"/>
    </row>
    <row r="41">
      <c r="A41" s="159"/>
      <c r="B41" s="159"/>
      <c r="C41" s="159"/>
      <c r="D41" s="159"/>
      <c r="E41" s="159"/>
      <c r="F41" s="159"/>
      <c r="G41" s="159"/>
      <c r="H41" s="159"/>
      <c r="I41" s="159"/>
      <c r="J41" s="159"/>
      <c r="K41" s="159"/>
      <c r="L41" s="159"/>
      <c r="N41" s="159"/>
      <c r="O41" s="159"/>
      <c r="P41" s="159"/>
      <c r="Q41" s="159"/>
      <c r="R41" s="159"/>
      <c r="S41" s="159"/>
      <c r="T41" s="159"/>
      <c r="U41" s="159"/>
      <c r="V41" s="159"/>
      <c r="W41" s="159"/>
      <c r="X41" s="159"/>
      <c r="Y41" s="159"/>
      <c r="Z41" s="159"/>
      <c r="AA41" s="159"/>
      <c r="AB41" s="159"/>
    </row>
    <row r="42">
      <c r="A42" s="159"/>
      <c r="B42" s="159"/>
      <c r="C42" s="159"/>
      <c r="D42" s="159"/>
      <c r="E42" s="159"/>
      <c r="F42" s="159"/>
      <c r="G42" s="159"/>
      <c r="H42" s="159"/>
      <c r="I42" s="159"/>
      <c r="J42" s="159"/>
      <c r="K42" s="159"/>
      <c r="L42" s="159"/>
      <c r="N42" s="159"/>
      <c r="O42" s="159"/>
      <c r="P42" s="159"/>
      <c r="Q42" s="159"/>
      <c r="R42" s="159"/>
      <c r="S42" s="159"/>
      <c r="T42" s="159"/>
      <c r="U42" s="159"/>
      <c r="V42" s="159"/>
      <c r="W42" s="159"/>
      <c r="X42" s="159"/>
      <c r="Y42" s="159"/>
      <c r="Z42" s="159"/>
      <c r="AA42" s="159"/>
      <c r="AB42" s="159"/>
    </row>
    <row r="43">
      <c r="A43" s="159"/>
      <c r="B43" s="159"/>
      <c r="C43" s="159"/>
      <c r="D43" s="159"/>
      <c r="E43" s="159"/>
      <c r="F43" s="159"/>
      <c r="G43" s="159"/>
      <c r="H43" s="159"/>
      <c r="I43" s="159"/>
      <c r="J43" s="159"/>
      <c r="K43" s="159"/>
      <c r="L43" s="159"/>
      <c r="N43" s="159"/>
      <c r="O43" s="159"/>
      <c r="P43" s="159"/>
      <c r="Q43" s="159"/>
      <c r="R43" s="159"/>
      <c r="S43" s="159"/>
      <c r="T43" s="159"/>
      <c r="U43" s="159"/>
      <c r="V43" s="159"/>
      <c r="W43" s="159"/>
      <c r="X43" s="159"/>
      <c r="Y43" s="159"/>
      <c r="Z43" s="159"/>
      <c r="AA43" s="159"/>
      <c r="AB43" s="159"/>
    </row>
    <row r="44">
      <c r="A44" s="159"/>
      <c r="B44" s="159"/>
      <c r="C44" s="159"/>
      <c r="D44" s="159"/>
      <c r="E44" s="159"/>
      <c r="F44" s="159"/>
      <c r="G44" s="159"/>
      <c r="H44" s="159"/>
      <c r="I44" s="159"/>
      <c r="J44" s="159"/>
      <c r="K44" s="159"/>
      <c r="L44" s="159"/>
      <c r="N44" s="159"/>
      <c r="O44" s="159"/>
      <c r="P44" s="159"/>
      <c r="Q44" s="159"/>
      <c r="R44" s="159"/>
      <c r="S44" s="159"/>
      <c r="T44" s="159"/>
      <c r="U44" s="159"/>
      <c r="V44" s="159"/>
      <c r="W44" s="159"/>
      <c r="X44" s="159"/>
      <c r="Y44" s="159"/>
      <c r="Z44" s="159"/>
      <c r="AA44" s="159"/>
      <c r="AB44" s="159"/>
    </row>
    <row r="45">
      <c r="A45" s="159"/>
      <c r="B45" s="159"/>
      <c r="C45" s="159"/>
      <c r="D45" s="159"/>
      <c r="E45" s="159"/>
      <c r="F45" s="159"/>
      <c r="G45" s="159"/>
      <c r="H45" s="159"/>
      <c r="I45" s="159"/>
      <c r="J45" s="159"/>
      <c r="K45" s="159"/>
      <c r="L45" s="159"/>
      <c r="N45" s="159"/>
      <c r="O45" s="159"/>
      <c r="P45" s="159"/>
      <c r="Q45" s="159"/>
      <c r="R45" s="159"/>
      <c r="S45" s="159"/>
      <c r="T45" s="159"/>
      <c r="U45" s="159"/>
      <c r="V45" s="159"/>
      <c r="W45" s="159"/>
      <c r="X45" s="159"/>
      <c r="Y45" s="159"/>
      <c r="Z45" s="159"/>
      <c r="AA45" s="159"/>
      <c r="AB45" s="159"/>
    </row>
    <row r="46">
      <c r="A46" s="159"/>
      <c r="B46" s="159"/>
      <c r="C46" s="159"/>
      <c r="D46" s="159"/>
      <c r="E46" s="159"/>
      <c r="F46" s="159"/>
      <c r="G46" s="159"/>
      <c r="H46" s="159"/>
      <c r="I46" s="159"/>
      <c r="J46" s="159"/>
      <c r="K46" s="159"/>
      <c r="L46" s="159"/>
      <c r="N46" s="159"/>
      <c r="O46" s="159"/>
      <c r="P46" s="159"/>
      <c r="Q46" s="159"/>
      <c r="R46" s="159"/>
      <c r="S46" s="159"/>
      <c r="T46" s="159"/>
      <c r="U46" s="159"/>
      <c r="V46" s="159"/>
      <c r="W46" s="159"/>
      <c r="X46" s="159"/>
      <c r="Y46" s="159"/>
      <c r="Z46" s="159"/>
      <c r="AA46" s="159"/>
      <c r="AB46" s="159"/>
    </row>
    <row r="47">
      <c r="A47" s="159"/>
      <c r="B47" s="159"/>
      <c r="C47" s="159"/>
      <c r="D47" s="159"/>
      <c r="E47" s="159"/>
      <c r="F47" s="159"/>
      <c r="G47" s="159"/>
      <c r="H47" s="159"/>
      <c r="I47" s="159"/>
      <c r="J47" s="159"/>
      <c r="K47" s="159"/>
      <c r="L47" s="159"/>
      <c r="N47" s="159"/>
      <c r="O47" s="159"/>
      <c r="P47" s="159"/>
      <c r="Q47" s="159"/>
      <c r="R47" s="159"/>
      <c r="S47" s="159"/>
      <c r="T47" s="159"/>
      <c r="U47" s="159"/>
      <c r="V47" s="159"/>
      <c r="W47" s="159"/>
      <c r="X47" s="159"/>
      <c r="Y47" s="159"/>
      <c r="Z47" s="159"/>
      <c r="AA47" s="159"/>
      <c r="AB47" s="159"/>
    </row>
    <row r="48">
      <c r="A48" s="159"/>
      <c r="B48" s="159"/>
      <c r="C48" s="159"/>
      <c r="D48" s="159"/>
      <c r="E48" s="159"/>
      <c r="F48" s="159"/>
      <c r="G48" s="159"/>
      <c r="H48" s="159"/>
      <c r="I48" s="159"/>
      <c r="J48" s="159"/>
      <c r="K48" s="159"/>
      <c r="L48" s="159"/>
      <c r="N48" s="159"/>
      <c r="O48" s="159"/>
      <c r="P48" s="159"/>
      <c r="Q48" s="159"/>
      <c r="R48" s="159"/>
      <c r="S48" s="159"/>
      <c r="T48" s="159"/>
      <c r="U48" s="159"/>
      <c r="V48" s="159"/>
      <c r="W48" s="159"/>
      <c r="X48" s="159"/>
      <c r="Y48" s="159"/>
      <c r="Z48" s="159"/>
      <c r="AA48" s="159"/>
      <c r="AB48" s="159"/>
    </row>
    <row r="49">
      <c r="A49" s="159"/>
      <c r="B49" s="159"/>
      <c r="C49" s="159"/>
      <c r="D49" s="159"/>
      <c r="E49" s="159"/>
      <c r="F49" s="159"/>
      <c r="G49" s="159"/>
      <c r="H49" s="159"/>
      <c r="I49" s="159"/>
      <c r="J49" s="159"/>
      <c r="K49" s="159"/>
      <c r="L49" s="159"/>
      <c r="N49" s="159"/>
      <c r="O49" s="159"/>
      <c r="P49" s="159"/>
      <c r="Q49" s="159"/>
      <c r="R49" s="159"/>
      <c r="S49" s="159"/>
      <c r="T49" s="159"/>
      <c r="U49" s="159"/>
      <c r="V49" s="159"/>
      <c r="W49" s="159"/>
      <c r="X49" s="159"/>
      <c r="Y49" s="159"/>
      <c r="Z49" s="159"/>
      <c r="AA49" s="159"/>
      <c r="AB49" s="159"/>
    </row>
    <row r="50">
      <c r="A50" s="159"/>
      <c r="B50" s="159"/>
      <c r="C50" s="159"/>
      <c r="D50" s="159"/>
      <c r="E50" s="159"/>
      <c r="F50" s="159"/>
      <c r="G50" s="159"/>
      <c r="H50" s="159"/>
      <c r="I50" s="159"/>
      <c r="J50" s="159"/>
      <c r="K50" s="159"/>
      <c r="L50" s="159"/>
      <c r="N50" s="159"/>
      <c r="O50" s="159"/>
      <c r="P50" s="159"/>
      <c r="Q50" s="159"/>
      <c r="R50" s="159"/>
      <c r="S50" s="159"/>
      <c r="T50" s="159"/>
      <c r="U50" s="159"/>
      <c r="V50" s="159"/>
      <c r="W50" s="159"/>
      <c r="X50" s="159"/>
      <c r="Y50" s="159"/>
      <c r="Z50" s="159"/>
      <c r="AA50" s="159"/>
      <c r="AB50" s="159"/>
    </row>
    <row r="51">
      <c r="A51" s="159"/>
      <c r="B51" s="159"/>
      <c r="C51" s="159"/>
      <c r="D51" s="159"/>
      <c r="E51" s="159"/>
      <c r="F51" s="159"/>
      <c r="G51" s="159"/>
      <c r="H51" s="159"/>
      <c r="I51" s="159"/>
      <c r="J51" s="159"/>
      <c r="K51" s="159"/>
      <c r="L51" s="159"/>
      <c r="N51" s="159"/>
      <c r="O51" s="159"/>
      <c r="P51" s="159"/>
      <c r="Q51" s="159"/>
      <c r="R51" s="159"/>
      <c r="S51" s="159"/>
      <c r="T51" s="159"/>
      <c r="U51" s="159"/>
      <c r="V51" s="159"/>
      <c r="W51" s="159"/>
      <c r="X51" s="159"/>
      <c r="Y51" s="159"/>
      <c r="Z51" s="159"/>
      <c r="AA51" s="159"/>
      <c r="AB51" s="159"/>
    </row>
    <row r="52">
      <c r="A52" s="159"/>
      <c r="B52" s="159"/>
      <c r="C52" s="159"/>
      <c r="D52" s="159"/>
      <c r="E52" s="159"/>
      <c r="F52" s="159"/>
      <c r="G52" s="159"/>
      <c r="H52" s="159"/>
      <c r="I52" s="159"/>
      <c r="J52" s="159"/>
      <c r="K52" s="159"/>
      <c r="L52" s="159"/>
      <c r="N52" s="159"/>
      <c r="O52" s="159"/>
      <c r="P52" s="159"/>
      <c r="Q52" s="159"/>
      <c r="R52" s="159"/>
      <c r="S52" s="159"/>
      <c r="T52" s="159"/>
      <c r="U52" s="159"/>
      <c r="V52" s="159"/>
      <c r="W52" s="159"/>
      <c r="X52" s="159"/>
      <c r="Y52" s="159"/>
      <c r="Z52" s="159"/>
      <c r="AA52" s="159"/>
      <c r="AB52" s="159"/>
    </row>
    <row r="53">
      <c r="A53" s="159"/>
      <c r="B53" s="159"/>
      <c r="C53" s="159"/>
      <c r="D53" s="159"/>
      <c r="E53" s="159"/>
      <c r="F53" s="159"/>
      <c r="G53" s="159"/>
      <c r="H53" s="159"/>
      <c r="I53" s="159"/>
      <c r="J53" s="159"/>
      <c r="K53" s="159"/>
      <c r="L53" s="159"/>
      <c r="N53" s="159"/>
      <c r="O53" s="159"/>
      <c r="P53" s="159"/>
      <c r="Q53" s="159"/>
      <c r="R53" s="159"/>
      <c r="S53" s="159"/>
      <c r="T53" s="159"/>
      <c r="U53" s="159"/>
      <c r="V53" s="159"/>
      <c r="W53" s="159"/>
      <c r="X53" s="159"/>
      <c r="Y53" s="159"/>
      <c r="Z53" s="159"/>
      <c r="AA53" s="159"/>
      <c r="AB53" s="159"/>
    </row>
    <row r="54">
      <c r="A54" s="159"/>
      <c r="B54" s="159"/>
      <c r="C54" s="159"/>
      <c r="D54" s="159"/>
      <c r="E54" s="159"/>
      <c r="F54" s="159"/>
      <c r="G54" s="159"/>
      <c r="H54" s="159"/>
      <c r="I54" s="159"/>
      <c r="J54" s="159"/>
      <c r="K54" s="159"/>
      <c r="L54" s="159"/>
      <c r="N54" s="159"/>
      <c r="O54" s="159"/>
      <c r="P54" s="159"/>
      <c r="Q54" s="159"/>
      <c r="R54" s="159"/>
      <c r="S54" s="159"/>
      <c r="T54" s="159"/>
      <c r="U54" s="159"/>
      <c r="V54" s="159"/>
      <c r="W54" s="159"/>
      <c r="X54" s="159"/>
      <c r="Y54" s="159"/>
      <c r="Z54" s="159"/>
      <c r="AA54" s="159"/>
      <c r="AB54" s="159"/>
    </row>
    <row r="55">
      <c r="A55" s="159"/>
      <c r="B55" s="159"/>
      <c r="C55" s="159"/>
      <c r="D55" s="159"/>
      <c r="E55" s="159"/>
      <c r="F55" s="159"/>
      <c r="G55" s="159"/>
      <c r="H55" s="159"/>
      <c r="I55" s="159"/>
      <c r="J55" s="159"/>
      <c r="K55" s="159"/>
      <c r="L55" s="159"/>
      <c r="N55" s="159"/>
      <c r="O55" s="159"/>
      <c r="P55" s="159"/>
      <c r="Q55" s="159"/>
      <c r="R55" s="159"/>
      <c r="S55" s="159"/>
      <c r="T55" s="159"/>
      <c r="U55" s="159"/>
      <c r="V55" s="159"/>
      <c r="W55" s="159"/>
      <c r="X55" s="159"/>
      <c r="Y55" s="159"/>
      <c r="Z55" s="159"/>
      <c r="AA55" s="159"/>
      <c r="AB55" s="159"/>
    </row>
    <row r="56">
      <c r="A56" s="159"/>
      <c r="B56" s="159"/>
      <c r="C56" s="159"/>
      <c r="D56" s="159"/>
      <c r="E56" s="159"/>
      <c r="F56" s="159"/>
      <c r="G56" s="159"/>
      <c r="H56" s="159"/>
      <c r="I56" s="159"/>
      <c r="J56" s="159"/>
      <c r="K56" s="159"/>
      <c r="L56" s="159"/>
      <c r="N56" s="159"/>
      <c r="O56" s="159"/>
      <c r="P56" s="159"/>
      <c r="Q56" s="159"/>
      <c r="R56" s="159"/>
      <c r="S56" s="159"/>
      <c r="T56" s="159"/>
      <c r="U56" s="159"/>
      <c r="V56" s="159"/>
      <c r="W56" s="159"/>
      <c r="X56" s="159"/>
      <c r="Y56" s="159"/>
      <c r="Z56" s="159"/>
      <c r="AA56" s="159"/>
      <c r="AB56" s="159"/>
    </row>
    <row r="57">
      <c r="A57" s="159"/>
      <c r="B57" s="159"/>
      <c r="C57" s="159"/>
      <c r="D57" s="159"/>
      <c r="E57" s="159"/>
      <c r="F57" s="159"/>
      <c r="G57" s="159"/>
      <c r="H57" s="159"/>
      <c r="I57" s="159"/>
      <c r="J57" s="159"/>
      <c r="K57" s="159"/>
      <c r="L57" s="159"/>
      <c r="N57" s="159"/>
      <c r="O57" s="159"/>
      <c r="P57" s="159"/>
      <c r="Q57" s="159"/>
      <c r="R57" s="159"/>
      <c r="S57" s="159"/>
      <c r="T57" s="159"/>
      <c r="U57" s="159"/>
      <c r="V57" s="159"/>
      <c r="W57" s="159"/>
      <c r="X57" s="159"/>
      <c r="Y57" s="159"/>
      <c r="Z57" s="159"/>
      <c r="AA57" s="159"/>
      <c r="AB57" s="159"/>
    </row>
    <row r="58">
      <c r="A58" s="159"/>
      <c r="B58" s="159"/>
      <c r="C58" s="159"/>
      <c r="D58" s="159"/>
      <c r="E58" s="159"/>
      <c r="F58" s="159"/>
      <c r="G58" s="159"/>
      <c r="H58" s="159"/>
      <c r="I58" s="159"/>
      <c r="J58" s="159"/>
      <c r="K58" s="159"/>
      <c r="L58" s="159"/>
      <c r="N58" s="159"/>
      <c r="O58" s="159"/>
      <c r="P58" s="159"/>
      <c r="Q58" s="159"/>
      <c r="R58" s="159"/>
      <c r="S58" s="159"/>
      <c r="T58" s="159"/>
      <c r="U58" s="159"/>
      <c r="V58" s="159"/>
      <c r="W58" s="159"/>
      <c r="X58" s="159"/>
      <c r="Y58" s="159"/>
      <c r="Z58" s="159"/>
      <c r="AA58" s="159"/>
      <c r="AB58" s="159"/>
    </row>
    <row r="59">
      <c r="A59" s="159"/>
      <c r="B59" s="159"/>
      <c r="C59" s="159"/>
      <c r="D59" s="159"/>
      <c r="E59" s="159"/>
      <c r="F59" s="159"/>
      <c r="G59" s="159"/>
      <c r="H59" s="159"/>
      <c r="I59" s="159"/>
      <c r="J59" s="159"/>
      <c r="K59" s="159"/>
      <c r="L59" s="159"/>
      <c r="N59" s="159"/>
      <c r="O59" s="159"/>
      <c r="P59" s="159"/>
      <c r="Q59" s="159"/>
      <c r="R59" s="159"/>
      <c r="S59" s="159"/>
      <c r="T59" s="159"/>
      <c r="U59" s="159"/>
      <c r="V59" s="159"/>
      <c r="W59" s="159"/>
      <c r="X59" s="159"/>
      <c r="Y59" s="159"/>
      <c r="Z59" s="159"/>
      <c r="AA59" s="159"/>
      <c r="AB59" s="159"/>
    </row>
    <row r="60">
      <c r="A60" s="159"/>
      <c r="B60" s="159"/>
      <c r="C60" s="159"/>
      <c r="D60" s="159"/>
      <c r="E60" s="159"/>
      <c r="F60" s="159"/>
      <c r="G60" s="159"/>
      <c r="H60" s="159"/>
      <c r="I60" s="159"/>
      <c r="J60" s="159"/>
      <c r="K60" s="159"/>
      <c r="L60" s="159"/>
      <c r="N60" s="159"/>
      <c r="O60" s="159"/>
      <c r="P60" s="159"/>
      <c r="Q60" s="159"/>
      <c r="R60" s="159"/>
      <c r="S60" s="159"/>
      <c r="T60" s="159"/>
      <c r="U60" s="159"/>
      <c r="V60" s="159"/>
      <c r="W60" s="159"/>
      <c r="X60" s="159"/>
      <c r="Y60" s="159"/>
      <c r="Z60" s="159"/>
      <c r="AA60" s="159"/>
      <c r="AB60" s="159"/>
    </row>
    <row r="61">
      <c r="A61" s="159"/>
      <c r="B61" s="159"/>
      <c r="C61" s="159"/>
      <c r="D61" s="159"/>
      <c r="E61" s="159"/>
      <c r="F61" s="159"/>
      <c r="G61" s="159"/>
      <c r="H61" s="159"/>
      <c r="I61" s="159"/>
      <c r="J61" s="159"/>
      <c r="K61" s="159"/>
      <c r="L61" s="159"/>
      <c r="N61" s="159"/>
      <c r="O61" s="159"/>
      <c r="P61" s="159"/>
      <c r="Q61" s="159"/>
      <c r="R61" s="159"/>
      <c r="S61" s="159"/>
      <c r="T61" s="159"/>
      <c r="U61" s="159"/>
      <c r="V61" s="159"/>
      <c r="W61" s="159"/>
      <c r="X61" s="159"/>
      <c r="Y61" s="159"/>
      <c r="Z61" s="159"/>
      <c r="AA61" s="159"/>
      <c r="AB61" s="159"/>
    </row>
    <row r="62">
      <c r="A62" s="159"/>
      <c r="B62" s="159"/>
      <c r="C62" s="159"/>
      <c r="D62" s="159"/>
      <c r="E62" s="159"/>
      <c r="F62" s="159"/>
      <c r="G62" s="159"/>
      <c r="H62" s="159"/>
      <c r="I62" s="159"/>
      <c r="J62" s="159"/>
      <c r="K62" s="159"/>
      <c r="L62" s="159"/>
      <c r="N62" s="159"/>
      <c r="O62" s="159"/>
      <c r="P62" s="159"/>
      <c r="Q62" s="159"/>
      <c r="R62" s="159"/>
      <c r="S62" s="159"/>
      <c r="T62" s="159"/>
      <c r="U62" s="159"/>
      <c r="V62" s="159"/>
      <c r="W62" s="159"/>
      <c r="X62" s="159"/>
      <c r="Y62" s="159"/>
      <c r="Z62" s="159"/>
      <c r="AA62" s="159"/>
      <c r="AB62" s="159"/>
    </row>
    <row r="63">
      <c r="A63" s="159"/>
      <c r="B63" s="159"/>
      <c r="C63" s="159"/>
      <c r="D63" s="159"/>
      <c r="E63" s="159"/>
      <c r="F63" s="159"/>
      <c r="G63" s="159"/>
      <c r="H63" s="159"/>
      <c r="I63" s="159"/>
      <c r="J63" s="159"/>
      <c r="K63" s="159"/>
      <c r="L63" s="159"/>
      <c r="N63" s="159"/>
      <c r="O63" s="159"/>
      <c r="P63" s="159"/>
      <c r="Q63" s="159"/>
      <c r="R63" s="159"/>
      <c r="S63" s="159"/>
      <c r="T63" s="159"/>
      <c r="U63" s="159"/>
      <c r="V63" s="159"/>
      <c r="W63" s="159"/>
      <c r="X63" s="159"/>
      <c r="Y63" s="159"/>
      <c r="Z63" s="159"/>
      <c r="AA63" s="159"/>
      <c r="AB63" s="159"/>
    </row>
    <row r="64">
      <c r="A64" s="159"/>
      <c r="B64" s="159"/>
      <c r="C64" s="159"/>
      <c r="D64" s="159"/>
      <c r="E64" s="159"/>
      <c r="F64" s="159"/>
      <c r="G64" s="159"/>
      <c r="H64" s="159"/>
      <c r="I64" s="159"/>
      <c r="J64" s="159"/>
      <c r="K64" s="159"/>
      <c r="L64" s="159"/>
      <c r="N64" s="159"/>
      <c r="O64" s="159"/>
      <c r="P64" s="159"/>
      <c r="Q64" s="159"/>
      <c r="R64" s="159"/>
      <c r="S64" s="159"/>
      <c r="T64" s="159"/>
      <c r="U64" s="159"/>
      <c r="V64" s="159"/>
      <c r="W64" s="159"/>
      <c r="X64" s="159"/>
      <c r="Y64" s="159"/>
      <c r="Z64" s="159"/>
      <c r="AA64" s="159"/>
      <c r="AB64" s="159"/>
    </row>
    <row r="65">
      <c r="A65" s="159"/>
      <c r="B65" s="159"/>
      <c r="C65" s="159"/>
      <c r="D65" s="159"/>
      <c r="E65" s="159"/>
      <c r="F65" s="159"/>
      <c r="G65" s="159"/>
      <c r="H65" s="159"/>
      <c r="I65" s="159"/>
      <c r="J65" s="159"/>
      <c r="K65" s="159"/>
      <c r="L65" s="159"/>
      <c r="N65" s="159"/>
      <c r="O65" s="159"/>
      <c r="P65" s="159"/>
      <c r="Q65" s="159"/>
      <c r="R65" s="159"/>
      <c r="S65" s="159"/>
      <c r="T65" s="159"/>
      <c r="U65" s="159"/>
      <c r="V65" s="159"/>
      <c r="W65" s="159"/>
      <c r="X65" s="159"/>
      <c r="Y65" s="159"/>
      <c r="Z65" s="159"/>
      <c r="AA65" s="159"/>
      <c r="AB65" s="159"/>
    </row>
    <row r="66">
      <c r="A66" s="159"/>
      <c r="B66" s="159"/>
      <c r="C66" s="159"/>
      <c r="D66" s="159"/>
      <c r="E66" s="159"/>
      <c r="F66" s="159"/>
      <c r="G66" s="159"/>
      <c r="H66" s="159"/>
      <c r="I66" s="159"/>
      <c r="J66" s="159"/>
      <c r="K66" s="159"/>
      <c r="L66" s="159"/>
      <c r="N66" s="159"/>
      <c r="O66" s="159"/>
      <c r="P66" s="159"/>
      <c r="Q66" s="159"/>
      <c r="R66" s="159"/>
      <c r="S66" s="159"/>
      <c r="T66" s="159"/>
      <c r="U66" s="159"/>
      <c r="V66" s="159"/>
      <c r="W66" s="159"/>
      <c r="X66" s="159"/>
      <c r="Y66" s="159"/>
      <c r="Z66" s="159"/>
      <c r="AA66" s="159"/>
      <c r="AB66" s="159"/>
    </row>
    <row r="67">
      <c r="A67" s="159"/>
      <c r="B67" s="159"/>
      <c r="C67" s="159"/>
      <c r="D67" s="159"/>
      <c r="E67" s="159"/>
      <c r="F67" s="159"/>
      <c r="G67" s="159"/>
      <c r="H67" s="159"/>
      <c r="I67" s="159"/>
      <c r="J67" s="159"/>
      <c r="K67" s="159"/>
      <c r="L67" s="159"/>
      <c r="N67" s="159"/>
      <c r="O67" s="159"/>
      <c r="P67" s="159"/>
      <c r="Q67" s="159"/>
      <c r="R67" s="159"/>
      <c r="S67" s="159"/>
      <c r="T67" s="159"/>
      <c r="U67" s="159"/>
      <c r="V67" s="159"/>
      <c r="W67" s="159"/>
      <c r="X67" s="159"/>
      <c r="Y67" s="159"/>
      <c r="Z67" s="159"/>
      <c r="AA67" s="159"/>
      <c r="AB67" s="159"/>
    </row>
    <row r="68">
      <c r="A68" s="159"/>
      <c r="B68" s="159"/>
      <c r="C68" s="159"/>
      <c r="D68" s="159"/>
      <c r="E68" s="159"/>
      <c r="F68" s="159"/>
      <c r="G68" s="159"/>
      <c r="H68" s="159"/>
      <c r="I68" s="159"/>
      <c r="J68" s="159"/>
      <c r="K68" s="159"/>
      <c r="L68" s="159"/>
      <c r="N68" s="159"/>
      <c r="O68" s="159"/>
      <c r="P68" s="159"/>
      <c r="Q68" s="159"/>
      <c r="R68" s="159"/>
      <c r="S68" s="159"/>
      <c r="T68" s="159"/>
      <c r="U68" s="159"/>
      <c r="V68" s="159"/>
      <c r="W68" s="159"/>
      <c r="X68" s="159"/>
      <c r="Y68" s="159"/>
      <c r="Z68" s="159"/>
      <c r="AA68" s="159"/>
      <c r="AB68" s="159"/>
    </row>
    <row r="69">
      <c r="A69" s="159"/>
      <c r="B69" s="159"/>
      <c r="C69" s="159"/>
      <c r="D69" s="159"/>
      <c r="E69" s="159"/>
      <c r="F69" s="159"/>
      <c r="G69" s="159"/>
      <c r="H69" s="159"/>
      <c r="I69" s="159"/>
      <c r="J69" s="159"/>
      <c r="K69" s="159"/>
      <c r="L69" s="159"/>
      <c r="N69" s="159"/>
      <c r="O69" s="159"/>
      <c r="P69" s="159"/>
      <c r="Q69" s="159"/>
      <c r="R69" s="159"/>
      <c r="S69" s="159"/>
      <c r="T69" s="159"/>
      <c r="U69" s="159"/>
      <c r="V69" s="159"/>
      <c r="W69" s="159"/>
      <c r="X69" s="159"/>
      <c r="Y69" s="159"/>
      <c r="Z69" s="159"/>
      <c r="AA69" s="159"/>
      <c r="AB69" s="159"/>
    </row>
    <row r="70">
      <c r="A70" s="159"/>
      <c r="B70" s="159"/>
      <c r="C70" s="159"/>
      <c r="D70" s="159"/>
      <c r="E70" s="159"/>
      <c r="F70" s="159"/>
      <c r="G70" s="159"/>
      <c r="H70" s="159"/>
      <c r="I70" s="159"/>
      <c r="J70" s="159"/>
      <c r="K70" s="159"/>
      <c r="L70" s="159"/>
      <c r="N70" s="159"/>
      <c r="O70" s="159"/>
      <c r="P70" s="159"/>
      <c r="Q70" s="159"/>
      <c r="R70" s="159"/>
      <c r="S70" s="159"/>
      <c r="T70" s="159"/>
      <c r="U70" s="159"/>
      <c r="V70" s="159"/>
      <c r="W70" s="159"/>
      <c r="X70" s="159"/>
      <c r="Y70" s="159"/>
      <c r="Z70" s="159"/>
      <c r="AA70" s="159"/>
      <c r="AB70" s="159"/>
    </row>
    <row r="71">
      <c r="A71" s="159"/>
      <c r="B71" s="159"/>
      <c r="C71" s="159"/>
      <c r="D71" s="159"/>
      <c r="E71" s="159"/>
      <c r="F71" s="159"/>
      <c r="G71" s="159"/>
      <c r="H71" s="159"/>
      <c r="I71" s="159"/>
      <c r="J71" s="159"/>
      <c r="K71" s="159"/>
      <c r="L71" s="159"/>
      <c r="N71" s="159"/>
      <c r="O71" s="159"/>
      <c r="P71" s="159"/>
      <c r="Q71" s="159"/>
      <c r="R71" s="159"/>
      <c r="S71" s="159"/>
      <c r="T71" s="159"/>
      <c r="U71" s="159"/>
      <c r="V71" s="159"/>
      <c r="W71" s="159"/>
      <c r="X71" s="159"/>
      <c r="Y71" s="159"/>
      <c r="Z71" s="159"/>
      <c r="AA71" s="159"/>
      <c r="AB71" s="159"/>
    </row>
    <row r="72">
      <c r="A72" s="159"/>
      <c r="B72" s="159"/>
      <c r="C72" s="159"/>
      <c r="D72" s="159"/>
      <c r="E72" s="159"/>
      <c r="F72" s="159"/>
      <c r="G72" s="159"/>
      <c r="H72" s="159"/>
      <c r="I72" s="159"/>
      <c r="J72" s="159"/>
      <c r="K72" s="159"/>
      <c r="L72" s="159"/>
      <c r="N72" s="159"/>
      <c r="O72" s="159"/>
      <c r="P72" s="159"/>
      <c r="Q72" s="159"/>
      <c r="R72" s="159"/>
      <c r="S72" s="159"/>
      <c r="T72" s="159"/>
      <c r="U72" s="159"/>
      <c r="V72" s="159"/>
      <c r="W72" s="159"/>
      <c r="X72" s="159"/>
      <c r="Y72" s="159"/>
      <c r="Z72" s="159"/>
      <c r="AA72" s="159"/>
      <c r="AB72" s="159"/>
    </row>
    <row r="73">
      <c r="A73" s="159"/>
      <c r="B73" s="159"/>
      <c r="C73" s="159"/>
      <c r="D73" s="159"/>
      <c r="E73" s="159"/>
      <c r="F73" s="159"/>
      <c r="G73" s="159"/>
      <c r="H73" s="159"/>
      <c r="I73" s="159"/>
      <c r="J73" s="159"/>
      <c r="K73" s="159"/>
      <c r="L73" s="159"/>
      <c r="N73" s="159"/>
      <c r="O73" s="159"/>
      <c r="P73" s="159"/>
      <c r="Q73" s="159"/>
      <c r="R73" s="159"/>
      <c r="S73" s="159"/>
      <c r="T73" s="159"/>
      <c r="U73" s="159"/>
      <c r="V73" s="159"/>
      <c r="W73" s="159"/>
      <c r="X73" s="159"/>
      <c r="Y73" s="159"/>
      <c r="Z73" s="159"/>
      <c r="AA73" s="159"/>
      <c r="AB73" s="159"/>
    </row>
    <row r="74">
      <c r="A74" s="159"/>
      <c r="B74" s="159"/>
      <c r="C74" s="159"/>
      <c r="D74" s="159"/>
      <c r="E74" s="159"/>
      <c r="F74" s="159"/>
      <c r="G74" s="159"/>
      <c r="H74" s="159"/>
      <c r="I74" s="159"/>
      <c r="J74" s="159"/>
      <c r="K74" s="159"/>
      <c r="L74" s="159"/>
      <c r="N74" s="159"/>
      <c r="O74" s="159"/>
      <c r="P74" s="159"/>
      <c r="Q74" s="159"/>
      <c r="R74" s="159"/>
      <c r="S74" s="159"/>
      <c r="T74" s="159"/>
      <c r="U74" s="159"/>
      <c r="V74" s="159"/>
      <c r="W74" s="159"/>
      <c r="X74" s="159"/>
      <c r="Y74" s="159"/>
      <c r="Z74" s="159"/>
      <c r="AA74" s="159"/>
      <c r="AB74" s="159"/>
    </row>
    <row r="75">
      <c r="A75" s="159"/>
      <c r="B75" s="159"/>
      <c r="C75" s="159"/>
      <c r="D75" s="159"/>
      <c r="E75" s="159"/>
      <c r="F75" s="159"/>
      <c r="G75" s="159"/>
      <c r="H75" s="159"/>
      <c r="I75" s="159"/>
      <c r="J75" s="159"/>
      <c r="K75" s="159"/>
      <c r="L75" s="159"/>
      <c r="N75" s="159"/>
      <c r="O75" s="159"/>
      <c r="P75" s="159"/>
      <c r="Q75" s="159"/>
      <c r="R75" s="159"/>
      <c r="S75" s="159"/>
      <c r="T75" s="159"/>
      <c r="U75" s="159"/>
      <c r="V75" s="159"/>
      <c r="W75" s="159"/>
      <c r="X75" s="159"/>
      <c r="Y75" s="159"/>
      <c r="Z75" s="159"/>
      <c r="AA75" s="159"/>
      <c r="AB75" s="159"/>
    </row>
    <row r="76">
      <c r="A76" s="159"/>
      <c r="B76" s="159"/>
      <c r="C76" s="159"/>
      <c r="D76" s="159"/>
      <c r="E76" s="159"/>
      <c r="F76" s="159"/>
      <c r="G76" s="159"/>
      <c r="H76" s="159"/>
      <c r="I76" s="159"/>
      <c r="J76" s="159"/>
      <c r="K76" s="159"/>
      <c r="L76" s="159"/>
      <c r="N76" s="159"/>
      <c r="O76" s="159"/>
      <c r="P76" s="159"/>
      <c r="Q76" s="159"/>
      <c r="R76" s="159"/>
      <c r="S76" s="159"/>
      <c r="T76" s="159"/>
      <c r="U76" s="159"/>
      <c r="V76" s="159"/>
      <c r="W76" s="159"/>
      <c r="X76" s="159"/>
      <c r="Y76" s="159"/>
      <c r="Z76" s="159"/>
      <c r="AA76" s="159"/>
      <c r="AB76" s="159"/>
    </row>
    <row r="77">
      <c r="A77" s="159"/>
      <c r="B77" s="159"/>
      <c r="C77" s="159"/>
      <c r="D77" s="159"/>
      <c r="E77" s="159"/>
      <c r="F77" s="159"/>
      <c r="G77" s="159"/>
      <c r="H77" s="159"/>
      <c r="I77" s="159"/>
      <c r="J77" s="159"/>
      <c r="K77" s="159"/>
      <c r="L77" s="159"/>
      <c r="N77" s="159"/>
      <c r="O77" s="159"/>
      <c r="P77" s="159"/>
      <c r="Q77" s="159"/>
      <c r="R77" s="159"/>
      <c r="S77" s="159"/>
      <c r="T77" s="159"/>
      <c r="U77" s="159"/>
      <c r="V77" s="159"/>
      <c r="W77" s="159"/>
      <c r="X77" s="159"/>
      <c r="Y77" s="159"/>
      <c r="Z77" s="159"/>
      <c r="AA77" s="159"/>
      <c r="AB77" s="159"/>
    </row>
    <row r="78">
      <c r="A78" s="159"/>
      <c r="B78" s="159"/>
      <c r="C78" s="159"/>
      <c r="D78" s="159"/>
      <c r="E78" s="159"/>
      <c r="F78" s="159"/>
      <c r="G78" s="159"/>
      <c r="H78" s="159"/>
      <c r="I78" s="159"/>
      <c r="J78" s="159"/>
      <c r="K78" s="159"/>
      <c r="L78" s="159"/>
      <c r="N78" s="159"/>
      <c r="O78" s="159"/>
      <c r="P78" s="159"/>
      <c r="Q78" s="159"/>
      <c r="R78" s="159"/>
      <c r="S78" s="159"/>
      <c r="T78" s="159"/>
      <c r="U78" s="159"/>
      <c r="V78" s="159"/>
      <c r="W78" s="159"/>
      <c r="X78" s="159"/>
      <c r="Y78" s="159"/>
      <c r="Z78" s="159"/>
      <c r="AA78" s="159"/>
      <c r="AB78" s="159"/>
    </row>
    <row r="79">
      <c r="A79" s="159"/>
      <c r="B79" s="159"/>
      <c r="C79" s="159"/>
      <c r="D79" s="159"/>
      <c r="E79" s="159"/>
      <c r="F79" s="159"/>
      <c r="G79" s="159"/>
      <c r="H79" s="159"/>
      <c r="I79" s="159"/>
      <c r="J79" s="159"/>
      <c r="K79" s="159"/>
      <c r="L79" s="159"/>
      <c r="N79" s="159"/>
      <c r="O79" s="159"/>
      <c r="P79" s="159"/>
      <c r="Q79" s="159"/>
      <c r="R79" s="159"/>
      <c r="S79" s="159"/>
      <c r="T79" s="159"/>
      <c r="U79" s="159"/>
      <c r="V79" s="159"/>
      <c r="W79" s="159"/>
      <c r="X79" s="159"/>
      <c r="Y79" s="159"/>
      <c r="Z79" s="159"/>
      <c r="AA79" s="159"/>
      <c r="AB79" s="159"/>
    </row>
    <row r="80">
      <c r="A80" s="159"/>
      <c r="B80" s="159"/>
      <c r="C80" s="159"/>
      <c r="D80" s="159"/>
      <c r="E80" s="159"/>
      <c r="F80" s="159"/>
      <c r="G80" s="159"/>
      <c r="H80" s="159"/>
      <c r="I80" s="159"/>
      <c r="J80" s="159"/>
      <c r="K80" s="159"/>
      <c r="L80" s="159"/>
      <c r="N80" s="159"/>
      <c r="O80" s="159"/>
      <c r="P80" s="159"/>
      <c r="Q80" s="159"/>
      <c r="R80" s="159"/>
      <c r="S80" s="159"/>
      <c r="T80" s="159"/>
      <c r="U80" s="159"/>
      <c r="V80" s="159"/>
      <c r="W80" s="159"/>
      <c r="X80" s="159"/>
      <c r="Y80" s="159"/>
      <c r="Z80" s="159"/>
      <c r="AA80" s="159"/>
      <c r="AB80" s="159"/>
    </row>
    <row r="81">
      <c r="A81" s="159"/>
      <c r="B81" s="159"/>
      <c r="C81" s="159"/>
      <c r="D81" s="159"/>
      <c r="E81" s="159"/>
      <c r="F81" s="159"/>
      <c r="G81" s="159"/>
      <c r="H81" s="159"/>
      <c r="I81" s="159"/>
      <c r="J81" s="159"/>
      <c r="K81" s="159"/>
      <c r="L81" s="159"/>
      <c r="N81" s="159"/>
      <c r="O81" s="159"/>
      <c r="P81" s="159"/>
      <c r="Q81" s="159"/>
      <c r="R81" s="159"/>
      <c r="S81" s="159"/>
      <c r="T81" s="159"/>
      <c r="U81" s="159"/>
      <c r="V81" s="159"/>
      <c r="W81" s="159"/>
      <c r="X81" s="159"/>
      <c r="Y81" s="159"/>
      <c r="Z81" s="159"/>
      <c r="AA81" s="159"/>
      <c r="AB81" s="159"/>
    </row>
    <row r="82">
      <c r="A82" s="159"/>
      <c r="B82" s="159"/>
      <c r="C82" s="159"/>
      <c r="D82" s="159"/>
      <c r="E82" s="159"/>
      <c r="F82" s="159"/>
      <c r="G82" s="159"/>
      <c r="H82" s="159"/>
      <c r="I82" s="159"/>
      <c r="J82" s="159"/>
      <c r="K82" s="159"/>
      <c r="L82" s="159"/>
      <c r="N82" s="159"/>
      <c r="O82" s="159"/>
      <c r="P82" s="159"/>
      <c r="Q82" s="159"/>
      <c r="R82" s="159"/>
      <c r="S82" s="159"/>
      <c r="T82" s="159"/>
      <c r="U82" s="159"/>
      <c r="V82" s="159"/>
      <c r="W82" s="159"/>
      <c r="X82" s="159"/>
      <c r="Y82" s="159"/>
      <c r="Z82" s="159"/>
      <c r="AA82" s="159"/>
      <c r="AB82" s="159"/>
    </row>
    <row r="83">
      <c r="A83" s="159"/>
      <c r="B83" s="159"/>
      <c r="C83" s="159"/>
      <c r="D83" s="159"/>
      <c r="E83" s="159"/>
      <c r="F83" s="159"/>
      <c r="G83" s="159"/>
      <c r="H83" s="159"/>
      <c r="I83" s="159"/>
      <c r="J83" s="159"/>
      <c r="K83" s="159"/>
      <c r="L83" s="159"/>
      <c r="N83" s="159"/>
      <c r="O83" s="159"/>
      <c r="P83" s="159"/>
      <c r="Q83" s="159"/>
      <c r="R83" s="159"/>
      <c r="S83" s="159"/>
      <c r="T83" s="159"/>
      <c r="U83" s="159"/>
      <c r="V83" s="159"/>
      <c r="W83" s="159"/>
      <c r="X83" s="159"/>
      <c r="Y83" s="159"/>
      <c r="Z83" s="159"/>
      <c r="AA83" s="159"/>
      <c r="AB83" s="159"/>
    </row>
    <row r="84">
      <c r="A84" s="159"/>
      <c r="B84" s="159"/>
      <c r="C84" s="159"/>
      <c r="D84" s="159"/>
      <c r="E84" s="159"/>
      <c r="F84" s="159"/>
      <c r="G84" s="159"/>
      <c r="H84" s="159"/>
      <c r="I84" s="159"/>
      <c r="J84" s="159"/>
      <c r="K84" s="159"/>
      <c r="L84" s="159"/>
      <c r="N84" s="159"/>
      <c r="O84" s="159"/>
      <c r="P84" s="159"/>
      <c r="Q84" s="159"/>
      <c r="R84" s="159"/>
      <c r="S84" s="159"/>
      <c r="T84" s="159"/>
      <c r="U84" s="159"/>
      <c r="V84" s="159"/>
      <c r="W84" s="159"/>
      <c r="X84" s="159"/>
      <c r="Y84" s="159"/>
      <c r="Z84" s="159"/>
      <c r="AA84" s="159"/>
      <c r="AB84" s="159"/>
    </row>
    <row r="85">
      <c r="A85" s="159"/>
      <c r="B85" s="159"/>
      <c r="C85" s="159"/>
      <c r="D85" s="159"/>
      <c r="E85" s="159"/>
      <c r="F85" s="159"/>
      <c r="G85" s="159"/>
      <c r="H85" s="159"/>
      <c r="I85" s="159"/>
      <c r="J85" s="159"/>
      <c r="K85" s="159"/>
      <c r="L85" s="159"/>
      <c r="N85" s="159"/>
      <c r="O85" s="159"/>
      <c r="P85" s="159"/>
      <c r="Q85" s="159"/>
      <c r="R85" s="159"/>
      <c r="S85" s="159"/>
      <c r="T85" s="159"/>
      <c r="U85" s="159"/>
      <c r="V85" s="159"/>
      <c r="W85" s="159"/>
      <c r="X85" s="159"/>
      <c r="Y85" s="159"/>
      <c r="Z85" s="159"/>
      <c r="AA85" s="159"/>
      <c r="AB85" s="159"/>
    </row>
    <row r="86">
      <c r="A86" s="159"/>
      <c r="B86" s="159"/>
      <c r="C86" s="159"/>
      <c r="D86" s="159"/>
      <c r="E86" s="159"/>
      <c r="F86" s="159"/>
      <c r="G86" s="159"/>
      <c r="H86" s="159"/>
      <c r="I86" s="159"/>
      <c r="J86" s="159"/>
      <c r="K86" s="159"/>
      <c r="L86" s="159"/>
      <c r="N86" s="159"/>
      <c r="O86" s="159"/>
      <c r="P86" s="159"/>
      <c r="Q86" s="159"/>
      <c r="R86" s="159"/>
      <c r="S86" s="159"/>
      <c r="T86" s="159"/>
      <c r="U86" s="159"/>
      <c r="V86" s="159"/>
      <c r="W86" s="159"/>
      <c r="X86" s="159"/>
      <c r="Y86" s="159"/>
      <c r="Z86" s="159"/>
      <c r="AA86" s="159"/>
      <c r="AB86" s="159"/>
    </row>
    <row r="87">
      <c r="A87" s="159"/>
      <c r="B87" s="159"/>
      <c r="C87" s="159"/>
      <c r="D87" s="159"/>
      <c r="E87" s="159"/>
      <c r="F87" s="159"/>
      <c r="G87" s="159"/>
      <c r="H87" s="159"/>
      <c r="I87" s="159"/>
      <c r="J87" s="159"/>
      <c r="K87" s="159"/>
      <c r="L87" s="159"/>
      <c r="N87" s="159"/>
      <c r="O87" s="159"/>
      <c r="P87" s="159"/>
      <c r="Q87" s="159"/>
      <c r="R87" s="159"/>
      <c r="S87" s="159"/>
      <c r="T87" s="159"/>
      <c r="U87" s="159"/>
      <c r="V87" s="159"/>
      <c r="W87" s="159"/>
      <c r="X87" s="159"/>
      <c r="Y87" s="159"/>
      <c r="Z87" s="159"/>
      <c r="AA87" s="159"/>
      <c r="AB87" s="159"/>
    </row>
    <row r="88">
      <c r="A88" s="159"/>
      <c r="B88" s="159"/>
      <c r="C88" s="159"/>
      <c r="D88" s="159"/>
      <c r="E88" s="159"/>
      <c r="F88" s="159"/>
      <c r="G88" s="159"/>
      <c r="H88" s="159"/>
      <c r="I88" s="159"/>
      <c r="J88" s="159"/>
      <c r="K88" s="159"/>
      <c r="L88" s="159"/>
      <c r="N88" s="159"/>
      <c r="O88" s="159"/>
      <c r="P88" s="159"/>
      <c r="Q88" s="159"/>
      <c r="R88" s="159"/>
      <c r="S88" s="159"/>
      <c r="T88" s="159"/>
      <c r="U88" s="159"/>
      <c r="V88" s="159"/>
      <c r="W88" s="159"/>
      <c r="X88" s="159"/>
      <c r="Y88" s="159"/>
      <c r="Z88" s="159"/>
      <c r="AA88" s="159"/>
      <c r="AB88" s="159"/>
    </row>
    <row r="89">
      <c r="A89" s="159"/>
      <c r="B89" s="159"/>
      <c r="C89" s="159"/>
      <c r="D89" s="159"/>
      <c r="E89" s="159"/>
      <c r="F89" s="159"/>
      <c r="G89" s="159"/>
      <c r="H89" s="159"/>
      <c r="I89" s="159"/>
      <c r="J89" s="159"/>
      <c r="K89" s="159"/>
      <c r="L89" s="159"/>
      <c r="N89" s="159"/>
      <c r="O89" s="159"/>
      <c r="P89" s="159"/>
      <c r="Q89" s="159"/>
      <c r="R89" s="159"/>
      <c r="S89" s="159"/>
      <c r="T89" s="159"/>
      <c r="U89" s="159"/>
      <c r="V89" s="159"/>
      <c r="W89" s="159"/>
      <c r="X89" s="159"/>
      <c r="Y89" s="159"/>
      <c r="Z89" s="159"/>
      <c r="AA89" s="159"/>
      <c r="AB89" s="159"/>
    </row>
    <row r="90">
      <c r="A90" s="159"/>
      <c r="B90" s="159"/>
      <c r="C90" s="159"/>
      <c r="D90" s="159"/>
      <c r="E90" s="159"/>
      <c r="F90" s="159"/>
      <c r="G90" s="159"/>
      <c r="H90" s="159"/>
      <c r="I90" s="159"/>
      <c r="J90" s="159"/>
      <c r="K90" s="159"/>
      <c r="L90" s="159"/>
      <c r="N90" s="159"/>
      <c r="O90" s="159"/>
      <c r="P90" s="159"/>
      <c r="Q90" s="159"/>
      <c r="R90" s="159"/>
      <c r="S90" s="159"/>
      <c r="T90" s="159"/>
      <c r="U90" s="159"/>
      <c r="V90" s="159"/>
      <c r="W90" s="159"/>
      <c r="X90" s="159"/>
      <c r="Y90" s="159"/>
      <c r="Z90" s="159"/>
      <c r="AA90" s="159"/>
      <c r="AB90" s="159"/>
    </row>
    <row r="91">
      <c r="A91" s="159"/>
      <c r="B91" s="159"/>
      <c r="C91" s="159"/>
      <c r="D91" s="159"/>
      <c r="E91" s="159"/>
      <c r="F91" s="159"/>
      <c r="G91" s="159"/>
      <c r="H91" s="159"/>
      <c r="I91" s="159"/>
      <c r="J91" s="159"/>
      <c r="K91" s="159"/>
      <c r="L91" s="159"/>
      <c r="N91" s="159"/>
      <c r="O91" s="159"/>
      <c r="P91" s="159"/>
      <c r="Q91" s="159"/>
      <c r="R91" s="159"/>
      <c r="S91" s="159"/>
      <c r="T91" s="159"/>
      <c r="U91" s="159"/>
      <c r="V91" s="159"/>
      <c r="W91" s="159"/>
      <c r="X91" s="159"/>
      <c r="Y91" s="159"/>
      <c r="Z91" s="159"/>
      <c r="AA91" s="159"/>
      <c r="AB91" s="159"/>
    </row>
    <row r="92">
      <c r="A92" s="159"/>
      <c r="B92" s="159"/>
      <c r="C92" s="159"/>
      <c r="D92" s="159"/>
      <c r="E92" s="159"/>
      <c r="F92" s="159"/>
      <c r="G92" s="159"/>
      <c r="H92" s="159"/>
      <c r="I92" s="159"/>
      <c r="J92" s="159"/>
      <c r="K92" s="159"/>
      <c r="L92" s="159"/>
      <c r="N92" s="159"/>
      <c r="O92" s="159"/>
      <c r="P92" s="159"/>
      <c r="Q92" s="159"/>
      <c r="R92" s="159"/>
      <c r="S92" s="159"/>
      <c r="T92" s="159"/>
      <c r="U92" s="159"/>
      <c r="V92" s="159"/>
      <c r="W92" s="159"/>
      <c r="X92" s="159"/>
      <c r="Y92" s="159"/>
      <c r="Z92" s="159"/>
      <c r="AA92" s="159"/>
      <c r="AB92" s="159"/>
    </row>
    <row r="93">
      <c r="A93" s="159"/>
      <c r="B93" s="159"/>
      <c r="C93" s="159"/>
      <c r="D93" s="159"/>
      <c r="E93" s="159"/>
      <c r="F93" s="159"/>
      <c r="G93" s="159"/>
      <c r="H93" s="159"/>
      <c r="I93" s="159"/>
      <c r="J93" s="159"/>
      <c r="K93" s="159"/>
      <c r="L93" s="159"/>
      <c r="N93" s="159"/>
      <c r="O93" s="159"/>
      <c r="P93" s="159"/>
      <c r="Q93" s="159"/>
      <c r="R93" s="159"/>
      <c r="S93" s="159"/>
      <c r="T93" s="159"/>
      <c r="U93" s="159"/>
      <c r="V93" s="159"/>
      <c r="W93" s="159"/>
      <c r="X93" s="159"/>
      <c r="Y93" s="159"/>
      <c r="Z93" s="159"/>
      <c r="AA93" s="159"/>
      <c r="AB93" s="159"/>
    </row>
    <row r="94">
      <c r="A94" s="159"/>
      <c r="B94" s="159"/>
      <c r="C94" s="159"/>
      <c r="D94" s="159"/>
      <c r="E94" s="159"/>
      <c r="F94" s="159"/>
      <c r="G94" s="159"/>
      <c r="H94" s="159"/>
      <c r="I94" s="159"/>
      <c r="J94" s="159"/>
      <c r="K94" s="159"/>
      <c r="L94" s="159"/>
      <c r="N94" s="159"/>
      <c r="O94" s="159"/>
      <c r="P94" s="159"/>
      <c r="Q94" s="159"/>
      <c r="R94" s="159"/>
      <c r="S94" s="159"/>
      <c r="T94" s="159"/>
      <c r="U94" s="159"/>
      <c r="V94" s="159"/>
      <c r="W94" s="159"/>
      <c r="X94" s="159"/>
      <c r="Y94" s="159"/>
      <c r="Z94" s="159"/>
      <c r="AA94" s="159"/>
      <c r="AB94" s="159"/>
    </row>
    <row r="95">
      <c r="A95" s="159"/>
      <c r="B95" s="159"/>
      <c r="C95" s="159"/>
      <c r="D95" s="159"/>
      <c r="E95" s="159"/>
      <c r="F95" s="159"/>
      <c r="G95" s="159"/>
      <c r="H95" s="159"/>
      <c r="I95" s="159"/>
      <c r="J95" s="159"/>
      <c r="K95" s="159"/>
      <c r="L95" s="159"/>
      <c r="N95" s="159"/>
      <c r="O95" s="159"/>
      <c r="P95" s="159"/>
      <c r="Q95" s="159"/>
      <c r="R95" s="159"/>
      <c r="S95" s="159"/>
      <c r="T95" s="159"/>
      <c r="U95" s="159"/>
      <c r="V95" s="159"/>
      <c r="W95" s="159"/>
      <c r="X95" s="159"/>
      <c r="Y95" s="159"/>
      <c r="Z95" s="159"/>
      <c r="AA95" s="159"/>
      <c r="AB95" s="159"/>
    </row>
    <row r="96">
      <c r="A96" s="159"/>
      <c r="B96" s="159"/>
      <c r="C96" s="159"/>
      <c r="D96" s="159"/>
      <c r="E96" s="159"/>
      <c r="F96" s="159"/>
      <c r="G96" s="159"/>
      <c r="H96" s="159"/>
      <c r="I96" s="159"/>
      <c r="J96" s="159"/>
      <c r="K96" s="159"/>
      <c r="L96" s="159"/>
      <c r="N96" s="159"/>
      <c r="O96" s="159"/>
      <c r="P96" s="159"/>
      <c r="Q96" s="159"/>
      <c r="R96" s="159"/>
      <c r="S96" s="159"/>
      <c r="T96" s="159"/>
      <c r="U96" s="159"/>
      <c r="V96" s="159"/>
      <c r="W96" s="159"/>
      <c r="X96" s="159"/>
      <c r="Y96" s="159"/>
      <c r="Z96" s="159"/>
      <c r="AA96" s="159"/>
      <c r="AB96" s="159"/>
    </row>
    <row r="97">
      <c r="A97" s="159"/>
      <c r="B97" s="159"/>
      <c r="C97" s="159"/>
      <c r="D97" s="159"/>
      <c r="E97" s="159"/>
      <c r="F97" s="159"/>
      <c r="G97" s="159"/>
      <c r="H97" s="159"/>
      <c r="I97" s="159"/>
      <c r="J97" s="159"/>
      <c r="K97" s="159"/>
      <c r="L97" s="159"/>
      <c r="N97" s="159"/>
      <c r="O97" s="159"/>
      <c r="P97" s="159"/>
      <c r="Q97" s="159"/>
      <c r="R97" s="159"/>
      <c r="S97" s="159"/>
      <c r="T97" s="159"/>
      <c r="U97" s="159"/>
      <c r="V97" s="159"/>
      <c r="W97" s="159"/>
      <c r="X97" s="159"/>
      <c r="Y97" s="159"/>
      <c r="Z97" s="159"/>
      <c r="AA97" s="159"/>
      <c r="AB97" s="159"/>
    </row>
    <row r="98">
      <c r="A98" s="159"/>
      <c r="B98" s="159"/>
      <c r="C98" s="159"/>
      <c r="D98" s="159"/>
      <c r="E98" s="159"/>
      <c r="F98" s="159"/>
      <c r="G98" s="159"/>
      <c r="H98" s="159"/>
      <c r="I98" s="159"/>
      <c r="J98" s="159"/>
      <c r="K98" s="159"/>
      <c r="L98" s="159"/>
      <c r="N98" s="159"/>
      <c r="O98" s="159"/>
      <c r="P98" s="159"/>
      <c r="Q98" s="159"/>
      <c r="R98" s="159"/>
      <c r="S98" s="159"/>
      <c r="T98" s="159"/>
      <c r="U98" s="159"/>
      <c r="V98" s="159"/>
      <c r="W98" s="159"/>
      <c r="X98" s="159"/>
      <c r="Y98" s="159"/>
      <c r="Z98" s="159"/>
      <c r="AA98" s="159"/>
      <c r="AB98" s="159"/>
    </row>
    <row r="99">
      <c r="A99" s="159"/>
      <c r="B99" s="159"/>
      <c r="C99" s="159"/>
      <c r="D99" s="159"/>
      <c r="E99" s="159"/>
      <c r="F99" s="159"/>
      <c r="G99" s="159"/>
      <c r="H99" s="159"/>
      <c r="I99" s="159"/>
      <c r="J99" s="159"/>
      <c r="K99" s="159"/>
      <c r="L99" s="159"/>
      <c r="N99" s="159"/>
      <c r="O99" s="159"/>
      <c r="P99" s="159"/>
      <c r="Q99" s="159"/>
      <c r="R99" s="159"/>
      <c r="S99" s="159"/>
      <c r="T99" s="159"/>
      <c r="U99" s="159"/>
      <c r="V99" s="159"/>
      <c r="W99" s="159"/>
      <c r="X99" s="159"/>
      <c r="Y99" s="159"/>
      <c r="Z99" s="159"/>
      <c r="AA99" s="159"/>
      <c r="AB99" s="159"/>
    </row>
    <row r="100">
      <c r="A100" s="159"/>
      <c r="B100" s="159"/>
      <c r="C100" s="159"/>
      <c r="D100" s="159"/>
      <c r="E100" s="159"/>
      <c r="F100" s="159"/>
      <c r="G100" s="159"/>
      <c r="H100" s="159"/>
      <c r="I100" s="159"/>
      <c r="J100" s="159"/>
      <c r="K100" s="159"/>
      <c r="L100" s="159"/>
      <c r="N100" s="159"/>
      <c r="O100" s="159"/>
      <c r="P100" s="159"/>
      <c r="Q100" s="159"/>
      <c r="R100" s="159"/>
      <c r="S100" s="159"/>
      <c r="T100" s="159"/>
      <c r="U100" s="159"/>
      <c r="V100" s="159"/>
      <c r="W100" s="159"/>
      <c r="X100" s="159"/>
      <c r="Y100" s="159"/>
      <c r="Z100" s="159"/>
      <c r="AA100" s="159"/>
      <c r="AB100" s="159"/>
    </row>
    <row r="101">
      <c r="A101" s="159"/>
      <c r="B101" s="159"/>
      <c r="C101" s="159"/>
      <c r="D101" s="159"/>
      <c r="E101" s="159"/>
      <c r="F101" s="159"/>
      <c r="G101" s="159"/>
      <c r="H101" s="159"/>
      <c r="I101" s="159"/>
      <c r="J101" s="159"/>
      <c r="K101" s="159"/>
      <c r="L101" s="159"/>
      <c r="N101" s="159"/>
      <c r="O101" s="159"/>
      <c r="P101" s="159"/>
      <c r="Q101" s="159"/>
      <c r="R101" s="159"/>
      <c r="S101" s="159"/>
      <c r="T101" s="159"/>
      <c r="U101" s="159"/>
      <c r="V101" s="159"/>
      <c r="W101" s="159"/>
      <c r="X101" s="159"/>
      <c r="Y101" s="159"/>
      <c r="Z101" s="159"/>
      <c r="AA101" s="159"/>
      <c r="AB101" s="159"/>
    </row>
    <row r="102">
      <c r="A102" s="159"/>
      <c r="B102" s="159"/>
      <c r="C102" s="159"/>
      <c r="D102" s="159"/>
      <c r="E102" s="159"/>
      <c r="F102" s="159"/>
      <c r="G102" s="159"/>
      <c r="H102" s="159"/>
      <c r="I102" s="159"/>
      <c r="J102" s="159"/>
      <c r="K102" s="159"/>
      <c r="L102" s="159"/>
      <c r="N102" s="159"/>
      <c r="O102" s="159"/>
      <c r="P102" s="159"/>
      <c r="Q102" s="159"/>
      <c r="R102" s="159"/>
      <c r="S102" s="159"/>
      <c r="T102" s="159"/>
      <c r="U102" s="159"/>
      <c r="V102" s="159"/>
      <c r="W102" s="159"/>
      <c r="X102" s="159"/>
      <c r="Y102" s="159"/>
      <c r="Z102" s="159"/>
      <c r="AA102" s="159"/>
      <c r="AB102" s="159"/>
    </row>
    <row r="103">
      <c r="A103" s="159"/>
      <c r="B103" s="159"/>
      <c r="C103" s="159"/>
      <c r="D103" s="159"/>
      <c r="E103" s="159"/>
      <c r="F103" s="159"/>
      <c r="G103" s="159"/>
      <c r="H103" s="159"/>
      <c r="I103" s="159"/>
      <c r="J103" s="159"/>
      <c r="K103" s="159"/>
      <c r="L103" s="159"/>
      <c r="N103" s="159"/>
      <c r="O103" s="159"/>
      <c r="P103" s="159"/>
      <c r="Q103" s="159"/>
      <c r="R103" s="159"/>
      <c r="S103" s="159"/>
      <c r="T103" s="159"/>
      <c r="U103" s="159"/>
      <c r="V103" s="159"/>
      <c r="W103" s="159"/>
      <c r="X103" s="159"/>
      <c r="Y103" s="159"/>
      <c r="Z103" s="159"/>
      <c r="AA103" s="159"/>
      <c r="AB103" s="159"/>
    </row>
    <row r="104">
      <c r="A104" s="159"/>
      <c r="B104" s="159"/>
      <c r="C104" s="159"/>
      <c r="D104" s="159"/>
      <c r="E104" s="159"/>
      <c r="F104" s="159"/>
      <c r="G104" s="159"/>
      <c r="H104" s="159"/>
      <c r="I104" s="159"/>
      <c r="J104" s="159"/>
      <c r="K104" s="159"/>
      <c r="L104" s="159"/>
      <c r="N104" s="159"/>
      <c r="O104" s="159"/>
      <c r="P104" s="159"/>
      <c r="Q104" s="159"/>
      <c r="R104" s="159"/>
      <c r="S104" s="159"/>
      <c r="T104" s="159"/>
      <c r="U104" s="159"/>
      <c r="V104" s="159"/>
      <c r="W104" s="159"/>
      <c r="X104" s="159"/>
      <c r="Y104" s="159"/>
      <c r="Z104" s="159"/>
      <c r="AA104" s="159"/>
      <c r="AB104" s="159"/>
    </row>
    <row r="105">
      <c r="A105" s="159"/>
      <c r="B105" s="159"/>
      <c r="C105" s="159"/>
      <c r="D105" s="159"/>
      <c r="E105" s="159"/>
      <c r="F105" s="159"/>
      <c r="G105" s="159"/>
      <c r="H105" s="159"/>
      <c r="I105" s="159"/>
      <c r="J105" s="159"/>
      <c r="K105" s="159"/>
      <c r="L105" s="159"/>
      <c r="N105" s="159"/>
      <c r="O105" s="159"/>
      <c r="P105" s="159"/>
      <c r="Q105" s="159"/>
      <c r="R105" s="159"/>
      <c r="S105" s="159"/>
      <c r="T105" s="159"/>
      <c r="U105" s="159"/>
      <c r="V105" s="159"/>
      <c r="W105" s="159"/>
      <c r="X105" s="159"/>
      <c r="Y105" s="159"/>
      <c r="Z105" s="159"/>
      <c r="AA105" s="159"/>
      <c r="AB105" s="159"/>
    </row>
    <row r="106">
      <c r="A106" s="159"/>
      <c r="B106" s="159"/>
      <c r="C106" s="159"/>
      <c r="D106" s="159"/>
      <c r="E106" s="159"/>
      <c r="F106" s="159"/>
      <c r="G106" s="159"/>
      <c r="H106" s="159"/>
      <c r="I106" s="159"/>
      <c r="J106" s="159"/>
      <c r="K106" s="159"/>
      <c r="L106" s="159"/>
      <c r="N106" s="159"/>
      <c r="O106" s="159"/>
      <c r="P106" s="159"/>
      <c r="Q106" s="159"/>
      <c r="R106" s="159"/>
      <c r="S106" s="159"/>
      <c r="T106" s="159"/>
      <c r="U106" s="159"/>
      <c r="V106" s="159"/>
      <c r="W106" s="159"/>
      <c r="X106" s="159"/>
      <c r="Y106" s="159"/>
      <c r="Z106" s="159"/>
      <c r="AA106" s="159"/>
      <c r="AB106" s="159"/>
    </row>
    <row r="107">
      <c r="A107" s="159"/>
      <c r="B107" s="159"/>
      <c r="C107" s="159"/>
      <c r="D107" s="159"/>
      <c r="E107" s="159"/>
      <c r="F107" s="159"/>
      <c r="G107" s="159"/>
      <c r="H107" s="159"/>
      <c r="I107" s="159"/>
      <c r="J107" s="159"/>
      <c r="K107" s="159"/>
      <c r="L107" s="159"/>
      <c r="N107" s="159"/>
      <c r="O107" s="159"/>
      <c r="P107" s="159"/>
      <c r="Q107" s="159"/>
      <c r="R107" s="159"/>
      <c r="S107" s="159"/>
      <c r="T107" s="159"/>
      <c r="U107" s="159"/>
      <c r="V107" s="159"/>
      <c r="W107" s="159"/>
      <c r="X107" s="159"/>
      <c r="Y107" s="159"/>
      <c r="Z107" s="159"/>
      <c r="AA107" s="159"/>
      <c r="AB107" s="159"/>
    </row>
    <row r="108">
      <c r="A108" s="159"/>
      <c r="B108" s="159"/>
      <c r="C108" s="159"/>
      <c r="D108" s="159"/>
      <c r="E108" s="159"/>
      <c r="F108" s="159"/>
      <c r="G108" s="159"/>
      <c r="H108" s="159"/>
      <c r="I108" s="159"/>
      <c r="J108" s="159"/>
      <c r="K108" s="159"/>
      <c r="L108" s="159"/>
      <c r="N108" s="159"/>
      <c r="O108" s="159"/>
      <c r="P108" s="159"/>
      <c r="Q108" s="159"/>
      <c r="R108" s="159"/>
      <c r="S108" s="159"/>
      <c r="T108" s="159"/>
      <c r="U108" s="159"/>
      <c r="V108" s="159"/>
      <c r="W108" s="159"/>
      <c r="X108" s="159"/>
      <c r="Y108" s="159"/>
      <c r="Z108" s="159"/>
      <c r="AA108" s="159"/>
      <c r="AB108" s="159"/>
    </row>
    <row r="109">
      <c r="A109" s="159"/>
      <c r="B109" s="159"/>
      <c r="C109" s="159"/>
      <c r="D109" s="159"/>
      <c r="E109" s="159"/>
      <c r="F109" s="159"/>
      <c r="G109" s="159"/>
      <c r="H109" s="159"/>
      <c r="I109" s="159"/>
      <c r="J109" s="159"/>
      <c r="K109" s="159"/>
      <c r="L109" s="159"/>
      <c r="N109" s="159"/>
      <c r="O109" s="159"/>
      <c r="P109" s="159"/>
      <c r="Q109" s="159"/>
      <c r="R109" s="159"/>
      <c r="S109" s="159"/>
      <c r="T109" s="159"/>
      <c r="U109" s="159"/>
      <c r="V109" s="159"/>
      <c r="W109" s="159"/>
      <c r="X109" s="159"/>
      <c r="Y109" s="159"/>
      <c r="Z109" s="159"/>
      <c r="AA109" s="159"/>
      <c r="AB109" s="159"/>
    </row>
    <row r="110">
      <c r="A110" s="159"/>
      <c r="B110" s="159"/>
      <c r="C110" s="159"/>
      <c r="D110" s="159"/>
      <c r="E110" s="159"/>
      <c r="F110" s="159"/>
      <c r="G110" s="159"/>
      <c r="H110" s="159"/>
      <c r="I110" s="159"/>
      <c r="J110" s="159"/>
      <c r="K110" s="159"/>
      <c r="L110" s="159"/>
      <c r="N110" s="159"/>
      <c r="O110" s="159"/>
      <c r="P110" s="159"/>
      <c r="Q110" s="159"/>
      <c r="R110" s="159"/>
      <c r="S110" s="159"/>
      <c r="T110" s="159"/>
      <c r="U110" s="159"/>
      <c r="V110" s="159"/>
      <c r="W110" s="159"/>
      <c r="X110" s="159"/>
      <c r="Y110" s="159"/>
      <c r="Z110" s="159"/>
      <c r="AA110" s="159"/>
      <c r="AB110" s="159"/>
    </row>
    <row r="111">
      <c r="A111" s="159"/>
      <c r="B111" s="159"/>
      <c r="C111" s="159"/>
      <c r="D111" s="159"/>
      <c r="E111" s="159"/>
      <c r="F111" s="159"/>
      <c r="G111" s="159"/>
      <c r="H111" s="159"/>
      <c r="I111" s="159"/>
      <c r="J111" s="159"/>
      <c r="K111" s="159"/>
      <c r="L111" s="159"/>
      <c r="N111" s="159"/>
      <c r="O111" s="159"/>
      <c r="P111" s="159"/>
      <c r="Q111" s="159"/>
      <c r="R111" s="159"/>
      <c r="S111" s="159"/>
      <c r="T111" s="159"/>
      <c r="U111" s="159"/>
      <c r="V111" s="159"/>
      <c r="W111" s="159"/>
      <c r="X111" s="159"/>
      <c r="Y111" s="159"/>
      <c r="Z111" s="159"/>
      <c r="AA111" s="159"/>
      <c r="AB111" s="159"/>
    </row>
    <row r="112">
      <c r="A112" s="159"/>
      <c r="B112" s="159"/>
      <c r="C112" s="159"/>
      <c r="D112" s="159"/>
      <c r="E112" s="159"/>
      <c r="F112" s="159"/>
      <c r="G112" s="159"/>
      <c r="H112" s="159"/>
      <c r="I112" s="159"/>
      <c r="J112" s="159"/>
      <c r="K112" s="159"/>
      <c r="L112" s="159"/>
      <c r="N112" s="159"/>
      <c r="O112" s="159"/>
      <c r="P112" s="159"/>
      <c r="Q112" s="159"/>
      <c r="R112" s="159"/>
      <c r="S112" s="159"/>
      <c r="T112" s="159"/>
      <c r="U112" s="159"/>
      <c r="V112" s="159"/>
      <c r="W112" s="159"/>
      <c r="X112" s="159"/>
      <c r="Y112" s="159"/>
      <c r="Z112" s="159"/>
      <c r="AA112" s="159"/>
      <c r="AB112" s="159"/>
    </row>
    <row r="113">
      <c r="A113" s="159"/>
      <c r="B113" s="159"/>
      <c r="C113" s="159"/>
      <c r="D113" s="159"/>
      <c r="E113" s="159"/>
      <c r="F113" s="159"/>
      <c r="G113" s="159"/>
      <c r="H113" s="159"/>
      <c r="I113" s="159"/>
      <c r="J113" s="159"/>
      <c r="K113" s="159"/>
      <c r="L113" s="159"/>
      <c r="N113" s="159"/>
      <c r="O113" s="159"/>
      <c r="P113" s="159"/>
      <c r="Q113" s="159"/>
      <c r="R113" s="159"/>
      <c r="S113" s="159"/>
      <c r="T113" s="159"/>
      <c r="U113" s="159"/>
      <c r="V113" s="159"/>
      <c r="W113" s="159"/>
      <c r="X113" s="159"/>
      <c r="Y113" s="159"/>
      <c r="Z113" s="159"/>
      <c r="AA113" s="159"/>
      <c r="AB113" s="159"/>
    </row>
    <row r="114">
      <c r="A114" s="159"/>
      <c r="B114" s="159"/>
      <c r="C114" s="159"/>
      <c r="D114" s="159"/>
      <c r="E114" s="159"/>
      <c r="F114" s="159"/>
      <c r="G114" s="159"/>
      <c r="H114" s="159"/>
      <c r="I114" s="159"/>
      <c r="J114" s="159"/>
      <c r="K114" s="159"/>
      <c r="L114" s="159"/>
      <c r="N114" s="159"/>
      <c r="O114" s="159"/>
      <c r="P114" s="159"/>
      <c r="Q114" s="159"/>
      <c r="R114" s="159"/>
      <c r="S114" s="159"/>
      <c r="T114" s="159"/>
      <c r="U114" s="159"/>
      <c r="V114" s="159"/>
      <c r="W114" s="159"/>
      <c r="X114" s="159"/>
      <c r="Y114" s="159"/>
      <c r="Z114" s="159"/>
      <c r="AA114" s="159"/>
      <c r="AB114" s="159"/>
    </row>
    <row r="115">
      <c r="A115" s="159"/>
      <c r="B115" s="159"/>
      <c r="C115" s="159"/>
      <c r="D115" s="159"/>
      <c r="E115" s="159"/>
      <c r="F115" s="159"/>
      <c r="G115" s="159"/>
      <c r="H115" s="159"/>
      <c r="I115" s="159"/>
      <c r="J115" s="159"/>
      <c r="K115" s="159"/>
      <c r="L115" s="159"/>
      <c r="N115" s="159"/>
      <c r="O115" s="159"/>
      <c r="P115" s="159"/>
      <c r="Q115" s="159"/>
      <c r="R115" s="159"/>
      <c r="S115" s="159"/>
      <c r="T115" s="159"/>
      <c r="U115" s="159"/>
      <c r="V115" s="159"/>
      <c r="W115" s="159"/>
      <c r="X115" s="159"/>
      <c r="Y115" s="159"/>
      <c r="Z115" s="159"/>
      <c r="AA115" s="159"/>
      <c r="AB115" s="159"/>
    </row>
    <row r="116">
      <c r="A116" s="159"/>
      <c r="B116" s="159"/>
      <c r="C116" s="159"/>
      <c r="D116" s="159"/>
      <c r="E116" s="159"/>
      <c r="F116" s="159"/>
      <c r="G116" s="159"/>
      <c r="H116" s="159"/>
      <c r="I116" s="159"/>
      <c r="J116" s="159"/>
      <c r="K116" s="159"/>
      <c r="L116" s="159"/>
      <c r="N116" s="159"/>
      <c r="O116" s="159"/>
      <c r="P116" s="159"/>
      <c r="Q116" s="159"/>
      <c r="R116" s="159"/>
      <c r="S116" s="159"/>
      <c r="T116" s="159"/>
      <c r="U116" s="159"/>
      <c r="V116" s="159"/>
      <c r="W116" s="159"/>
      <c r="X116" s="159"/>
      <c r="Y116" s="159"/>
      <c r="Z116" s="159"/>
      <c r="AA116" s="159"/>
      <c r="AB116" s="159"/>
    </row>
    <row r="117">
      <c r="A117" s="159"/>
      <c r="B117" s="159"/>
      <c r="C117" s="159"/>
      <c r="D117" s="159"/>
      <c r="E117" s="159"/>
      <c r="F117" s="159"/>
      <c r="G117" s="159"/>
      <c r="H117" s="159"/>
      <c r="I117" s="159"/>
      <c r="J117" s="159"/>
      <c r="K117" s="159"/>
      <c r="L117" s="159"/>
      <c r="N117" s="159"/>
      <c r="O117" s="159"/>
      <c r="P117" s="159"/>
      <c r="Q117" s="159"/>
      <c r="R117" s="159"/>
      <c r="S117" s="159"/>
      <c r="T117" s="159"/>
      <c r="U117" s="159"/>
      <c r="V117" s="159"/>
      <c r="W117" s="159"/>
      <c r="X117" s="159"/>
      <c r="Y117" s="159"/>
      <c r="Z117" s="159"/>
      <c r="AA117" s="159"/>
      <c r="AB117" s="159"/>
    </row>
    <row r="118">
      <c r="A118" s="159"/>
      <c r="B118" s="159"/>
      <c r="C118" s="159"/>
      <c r="D118" s="159"/>
      <c r="E118" s="159"/>
      <c r="F118" s="159"/>
      <c r="G118" s="159"/>
      <c r="H118" s="159"/>
      <c r="I118" s="159"/>
      <c r="J118" s="159"/>
      <c r="K118" s="159"/>
      <c r="L118" s="159"/>
      <c r="N118" s="159"/>
      <c r="O118" s="159"/>
      <c r="P118" s="159"/>
      <c r="Q118" s="159"/>
      <c r="R118" s="159"/>
      <c r="S118" s="159"/>
      <c r="T118" s="159"/>
      <c r="U118" s="159"/>
      <c r="V118" s="159"/>
      <c r="W118" s="159"/>
      <c r="X118" s="159"/>
      <c r="Y118" s="159"/>
      <c r="Z118" s="159"/>
      <c r="AA118" s="159"/>
      <c r="AB118" s="159"/>
    </row>
    <row r="119">
      <c r="A119" s="159"/>
      <c r="B119" s="159"/>
      <c r="C119" s="159"/>
      <c r="D119" s="159"/>
      <c r="E119" s="159"/>
      <c r="F119" s="159"/>
      <c r="G119" s="159"/>
      <c r="H119" s="159"/>
      <c r="I119" s="159"/>
      <c r="J119" s="159"/>
      <c r="K119" s="159"/>
      <c r="L119" s="159"/>
      <c r="N119" s="159"/>
      <c r="O119" s="159"/>
      <c r="P119" s="159"/>
      <c r="Q119" s="159"/>
      <c r="R119" s="159"/>
      <c r="S119" s="159"/>
      <c r="T119" s="159"/>
      <c r="U119" s="159"/>
      <c r="V119" s="159"/>
      <c r="W119" s="159"/>
      <c r="X119" s="159"/>
      <c r="Y119" s="159"/>
      <c r="Z119" s="159"/>
      <c r="AA119" s="159"/>
      <c r="AB119" s="159"/>
    </row>
    <row r="120">
      <c r="A120" s="159"/>
      <c r="B120" s="159"/>
      <c r="C120" s="159"/>
      <c r="D120" s="159"/>
      <c r="E120" s="159"/>
      <c r="F120" s="159"/>
      <c r="G120" s="159"/>
      <c r="H120" s="159"/>
      <c r="I120" s="159"/>
      <c r="J120" s="159"/>
      <c r="K120" s="159"/>
      <c r="L120" s="159"/>
      <c r="N120" s="159"/>
      <c r="O120" s="159"/>
      <c r="P120" s="159"/>
      <c r="Q120" s="159"/>
      <c r="R120" s="159"/>
      <c r="S120" s="159"/>
      <c r="T120" s="159"/>
      <c r="U120" s="159"/>
      <c r="V120" s="159"/>
      <c r="W120" s="159"/>
      <c r="X120" s="159"/>
      <c r="Y120" s="159"/>
      <c r="Z120" s="159"/>
      <c r="AA120" s="159"/>
      <c r="AB120" s="159"/>
    </row>
    <row r="121">
      <c r="A121" s="159"/>
      <c r="B121" s="159"/>
      <c r="C121" s="159"/>
      <c r="D121" s="159"/>
      <c r="E121" s="159"/>
      <c r="F121" s="159"/>
      <c r="G121" s="159"/>
      <c r="H121" s="159"/>
      <c r="I121" s="159"/>
      <c r="J121" s="159"/>
      <c r="K121" s="159"/>
      <c r="L121" s="159"/>
      <c r="N121" s="159"/>
      <c r="O121" s="159"/>
      <c r="P121" s="159"/>
      <c r="Q121" s="159"/>
      <c r="R121" s="159"/>
      <c r="S121" s="159"/>
      <c r="T121" s="159"/>
      <c r="U121" s="159"/>
      <c r="V121" s="159"/>
      <c r="W121" s="159"/>
      <c r="X121" s="159"/>
      <c r="Y121" s="159"/>
      <c r="Z121" s="159"/>
      <c r="AA121" s="159"/>
      <c r="AB121" s="159"/>
    </row>
    <row r="122">
      <c r="A122" s="159"/>
      <c r="B122" s="159"/>
      <c r="C122" s="159"/>
      <c r="D122" s="159"/>
      <c r="E122" s="159"/>
      <c r="F122" s="159"/>
      <c r="G122" s="159"/>
      <c r="H122" s="159"/>
      <c r="I122" s="159"/>
      <c r="J122" s="159"/>
      <c r="K122" s="159"/>
      <c r="L122" s="159"/>
      <c r="N122" s="159"/>
      <c r="O122" s="159"/>
      <c r="P122" s="159"/>
      <c r="Q122" s="159"/>
      <c r="R122" s="159"/>
      <c r="S122" s="159"/>
      <c r="T122" s="159"/>
      <c r="U122" s="159"/>
      <c r="V122" s="159"/>
      <c r="W122" s="159"/>
      <c r="X122" s="159"/>
      <c r="Y122" s="159"/>
      <c r="Z122" s="159"/>
      <c r="AA122" s="159"/>
      <c r="AB122" s="159"/>
    </row>
    <row r="123">
      <c r="A123" s="159"/>
      <c r="B123" s="159"/>
      <c r="C123" s="159"/>
      <c r="D123" s="159"/>
      <c r="E123" s="159"/>
      <c r="F123" s="159"/>
      <c r="G123" s="159"/>
      <c r="H123" s="159"/>
      <c r="I123" s="159"/>
      <c r="J123" s="159"/>
      <c r="K123" s="159"/>
      <c r="L123" s="159"/>
      <c r="N123" s="159"/>
      <c r="O123" s="159"/>
      <c r="P123" s="159"/>
      <c r="Q123" s="159"/>
      <c r="R123" s="159"/>
      <c r="S123" s="159"/>
      <c r="T123" s="159"/>
      <c r="U123" s="159"/>
      <c r="V123" s="159"/>
      <c r="W123" s="159"/>
      <c r="X123" s="159"/>
      <c r="Y123" s="159"/>
      <c r="Z123" s="159"/>
      <c r="AA123" s="159"/>
      <c r="AB123" s="159"/>
    </row>
    <row r="124">
      <c r="A124" s="159"/>
      <c r="B124" s="159"/>
      <c r="C124" s="159"/>
      <c r="D124" s="159"/>
      <c r="E124" s="159"/>
      <c r="F124" s="159"/>
      <c r="G124" s="159"/>
      <c r="H124" s="159"/>
      <c r="I124" s="159"/>
      <c r="J124" s="159"/>
      <c r="K124" s="159"/>
      <c r="L124" s="159"/>
      <c r="N124" s="159"/>
      <c r="O124" s="159"/>
      <c r="P124" s="159"/>
      <c r="Q124" s="159"/>
      <c r="R124" s="159"/>
      <c r="S124" s="159"/>
      <c r="T124" s="159"/>
      <c r="U124" s="159"/>
      <c r="V124" s="159"/>
      <c r="W124" s="159"/>
      <c r="X124" s="159"/>
      <c r="Y124" s="159"/>
      <c r="Z124" s="159"/>
      <c r="AA124" s="159"/>
      <c r="AB124" s="159"/>
    </row>
    <row r="125">
      <c r="A125" s="159"/>
      <c r="B125" s="159"/>
      <c r="C125" s="159"/>
      <c r="D125" s="159"/>
      <c r="E125" s="159"/>
      <c r="F125" s="159"/>
      <c r="G125" s="159"/>
      <c r="H125" s="159"/>
      <c r="I125" s="159"/>
      <c r="J125" s="159"/>
      <c r="K125" s="159"/>
      <c r="L125" s="159"/>
      <c r="N125" s="159"/>
      <c r="O125" s="159"/>
      <c r="P125" s="159"/>
      <c r="Q125" s="159"/>
      <c r="R125" s="159"/>
      <c r="S125" s="159"/>
      <c r="T125" s="159"/>
      <c r="U125" s="159"/>
      <c r="V125" s="159"/>
      <c r="W125" s="159"/>
      <c r="X125" s="159"/>
      <c r="Y125" s="159"/>
      <c r="Z125" s="159"/>
      <c r="AA125" s="159"/>
      <c r="AB125" s="159"/>
    </row>
    <row r="126">
      <c r="A126" s="159"/>
      <c r="B126" s="159"/>
      <c r="C126" s="159"/>
      <c r="D126" s="159"/>
      <c r="E126" s="159"/>
      <c r="F126" s="159"/>
      <c r="G126" s="159"/>
      <c r="H126" s="159"/>
      <c r="I126" s="159"/>
      <c r="J126" s="159"/>
      <c r="K126" s="159"/>
      <c r="L126" s="159"/>
      <c r="N126" s="159"/>
      <c r="O126" s="159"/>
      <c r="P126" s="159"/>
      <c r="Q126" s="159"/>
      <c r="R126" s="159"/>
      <c r="S126" s="159"/>
      <c r="T126" s="159"/>
      <c r="U126" s="159"/>
      <c r="V126" s="159"/>
      <c r="W126" s="159"/>
      <c r="X126" s="159"/>
      <c r="Y126" s="159"/>
      <c r="Z126" s="159"/>
      <c r="AA126" s="159"/>
      <c r="AB126" s="159"/>
    </row>
    <row r="127">
      <c r="A127" s="159"/>
      <c r="B127" s="159"/>
      <c r="C127" s="159"/>
      <c r="D127" s="159"/>
      <c r="E127" s="159"/>
      <c r="F127" s="159"/>
      <c r="G127" s="159"/>
      <c r="H127" s="159"/>
      <c r="I127" s="159"/>
      <c r="J127" s="159"/>
      <c r="K127" s="159"/>
      <c r="L127" s="159"/>
      <c r="N127" s="159"/>
      <c r="O127" s="159"/>
      <c r="P127" s="159"/>
      <c r="Q127" s="159"/>
      <c r="R127" s="159"/>
      <c r="S127" s="159"/>
      <c r="T127" s="159"/>
      <c r="U127" s="159"/>
      <c r="V127" s="159"/>
      <c r="W127" s="159"/>
      <c r="X127" s="159"/>
      <c r="Y127" s="159"/>
      <c r="Z127" s="159"/>
      <c r="AA127" s="159"/>
      <c r="AB127" s="159"/>
    </row>
    <row r="128">
      <c r="A128" s="159"/>
      <c r="B128" s="159"/>
      <c r="C128" s="159"/>
      <c r="D128" s="159"/>
      <c r="E128" s="159"/>
      <c r="F128" s="159"/>
      <c r="G128" s="159"/>
      <c r="H128" s="159"/>
      <c r="I128" s="159"/>
      <c r="J128" s="159"/>
      <c r="K128" s="159"/>
      <c r="L128" s="159"/>
      <c r="N128" s="159"/>
      <c r="O128" s="159"/>
      <c r="P128" s="159"/>
      <c r="Q128" s="159"/>
      <c r="R128" s="159"/>
      <c r="S128" s="159"/>
      <c r="T128" s="159"/>
      <c r="U128" s="159"/>
      <c r="V128" s="159"/>
      <c r="W128" s="159"/>
      <c r="X128" s="159"/>
      <c r="Y128" s="159"/>
      <c r="Z128" s="159"/>
      <c r="AA128" s="159"/>
      <c r="AB128" s="159"/>
    </row>
    <row r="129">
      <c r="A129" s="159"/>
      <c r="B129" s="159"/>
      <c r="C129" s="159"/>
      <c r="D129" s="159"/>
      <c r="E129" s="159"/>
      <c r="F129" s="159"/>
      <c r="G129" s="159"/>
      <c r="H129" s="159"/>
      <c r="I129" s="159"/>
      <c r="J129" s="159"/>
      <c r="K129" s="159"/>
      <c r="L129" s="159"/>
      <c r="N129" s="159"/>
      <c r="O129" s="159"/>
      <c r="P129" s="159"/>
      <c r="Q129" s="159"/>
      <c r="R129" s="159"/>
      <c r="S129" s="159"/>
      <c r="T129" s="159"/>
      <c r="U129" s="159"/>
      <c r="V129" s="159"/>
      <c r="W129" s="159"/>
      <c r="X129" s="159"/>
      <c r="Y129" s="159"/>
      <c r="Z129" s="159"/>
      <c r="AA129" s="159"/>
      <c r="AB129" s="159"/>
    </row>
    <row r="130">
      <c r="A130" s="159"/>
      <c r="B130" s="159"/>
      <c r="C130" s="159"/>
      <c r="D130" s="159"/>
      <c r="E130" s="159"/>
      <c r="F130" s="159"/>
      <c r="G130" s="159"/>
      <c r="H130" s="159"/>
      <c r="I130" s="159"/>
      <c r="J130" s="159"/>
      <c r="K130" s="159"/>
      <c r="L130" s="159"/>
      <c r="N130" s="159"/>
      <c r="O130" s="159"/>
      <c r="P130" s="159"/>
      <c r="Q130" s="159"/>
      <c r="R130" s="159"/>
      <c r="S130" s="159"/>
      <c r="T130" s="159"/>
      <c r="U130" s="159"/>
      <c r="V130" s="159"/>
      <c r="W130" s="159"/>
      <c r="X130" s="159"/>
      <c r="Y130" s="159"/>
      <c r="Z130" s="159"/>
      <c r="AA130" s="159"/>
      <c r="AB130" s="159"/>
    </row>
    <row r="131">
      <c r="A131" s="159"/>
      <c r="B131" s="159"/>
      <c r="C131" s="159"/>
      <c r="D131" s="159"/>
      <c r="E131" s="159"/>
      <c r="F131" s="159"/>
      <c r="G131" s="159"/>
      <c r="H131" s="159"/>
      <c r="I131" s="159"/>
      <c r="J131" s="159"/>
      <c r="K131" s="159"/>
      <c r="L131" s="159"/>
      <c r="N131" s="159"/>
      <c r="O131" s="159"/>
      <c r="P131" s="159"/>
      <c r="Q131" s="159"/>
      <c r="R131" s="159"/>
      <c r="S131" s="159"/>
      <c r="T131" s="159"/>
      <c r="U131" s="159"/>
      <c r="V131" s="159"/>
      <c r="W131" s="159"/>
      <c r="X131" s="159"/>
      <c r="Y131" s="159"/>
      <c r="Z131" s="159"/>
      <c r="AA131" s="159"/>
      <c r="AB131" s="159"/>
    </row>
    <row r="132">
      <c r="A132" s="159"/>
      <c r="B132" s="159"/>
      <c r="C132" s="159"/>
      <c r="D132" s="159"/>
      <c r="E132" s="159"/>
      <c r="F132" s="159"/>
      <c r="G132" s="159"/>
      <c r="H132" s="159"/>
      <c r="I132" s="159"/>
      <c r="J132" s="159"/>
      <c r="K132" s="159"/>
      <c r="L132" s="159"/>
      <c r="N132" s="159"/>
      <c r="O132" s="159"/>
      <c r="P132" s="159"/>
      <c r="Q132" s="159"/>
      <c r="R132" s="159"/>
      <c r="S132" s="159"/>
      <c r="T132" s="159"/>
      <c r="U132" s="159"/>
      <c r="V132" s="159"/>
      <c r="W132" s="159"/>
      <c r="X132" s="159"/>
      <c r="Y132" s="159"/>
      <c r="Z132" s="159"/>
      <c r="AA132" s="159"/>
      <c r="AB132" s="159"/>
    </row>
    <row r="133">
      <c r="A133" s="159"/>
      <c r="B133" s="159"/>
      <c r="C133" s="159"/>
      <c r="D133" s="159"/>
      <c r="E133" s="159"/>
      <c r="F133" s="159"/>
      <c r="G133" s="159"/>
      <c r="H133" s="159"/>
      <c r="I133" s="159"/>
      <c r="J133" s="159"/>
      <c r="K133" s="159"/>
      <c r="L133" s="159"/>
      <c r="N133" s="159"/>
      <c r="O133" s="159"/>
      <c r="P133" s="159"/>
      <c r="Q133" s="159"/>
      <c r="R133" s="159"/>
      <c r="S133" s="159"/>
      <c r="T133" s="159"/>
      <c r="U133" s="159"/>
      <c r="V133" s="159"/>
      <c r="W133" s="159"/>
      <c r="X133" s="159"/>
      <c r="Y133" s="159"/>
      <c r="Z133" s="159"/>
      <c r="AA133" s="159"/>
      <c r="AB133" s="159"/>
    </row>
    <row r="134">
      <c r="A134" s="159"/>
      <c r="B134" s="159"/>
      <c r="C134" s="159"/>
      <c r="D134" s="159"/>
      <c r="E134" s="159"/>
      <c r="F134" s="159"/>
      <c r="G134" s="159"/>
      <c r="H134" s="159"/>
      <c r="I134" s="159"/>
      <c r="J134" s="159"/>
      <c r="K134" s="159"/>
      <c r="L134" s="159"/>
      <c r="N134" s="159"/>
      <c r="O134" s="159"/>
      <c r="P134" s="159"/>
      <c r="Q134" s="159"/>
      <c r="R134" s="159"/>
      <c r="S134" s="159"/>
      <c r="T134" s="159"/>
      <c r="U134" s="159"/>
      <c r="V134" s="159"/>
      <c r="W134" s="159"/>
      <c r="X134" s="159"/>
      <c r="Y134" s="159"/>
      <c r="Z134" s="159"/>
      <c r="AA134" s="159"/>
      <c r="AB134" s="159"/>
    </row>
    <row r="135">
      <c r="A135" s="159"/>
      <c r="B135" s="159"/>
      <c r="C135" s="159"/>
      <c r="D135" s="159"/>
      <c r="E135" s="159"/>
      <c r="F135" s="159"/>
      <c r="G135" s="159"/>
      <c r="H135" s="159"/>
      <c r="I135" s="159"/>
      <c r="J135" s="159"/>
      <c r="K135" s="159"/>
      <c r="L135" s="159"/>
      <c r="N135" s="159"/>
      <c r="O135" s="159"/>
      <c r="P135" s="159"/>
      <c r="Q135" s="159"/>
      <c r="R135" s="159"/>
      <c r="S135" s="159"/>
      <c r="T135" s="159"/>
      <c r="U135" s="159"/>
      <c r="V135" s="159"/>
      <c r="W135" s="159"/>
      <c r="X135" s="159"/>
      <c r="Y135" s="159"/>
      <c r="Z135" s="159"/>
      <c r="AA135" s="159"/>
      <c r="AB135" s="159"/>
    </row>
    <row r="136">
      <c r="A136" s="159"/>
      <c r="B136" s="159"/>
      <c r="C136" s="159"/>
      <c r="D136" s="159"/>
      <c r="E136" s="159"/>
      <c r="F136" s="159"/>
      <c r="G136" s="159"/>
      <c r="H136" s="159"/>
      <c r="I136" s="159"/>
      <c r="J136" s="159"/>
      <c r="K136" s="159"/>
      <c r="L136" s="159"/>
      <c r="N136" s="159"/>
      <c r="O136" s="159"/>
      <c r="P136" s="159"/>
      <c r="Q136" s="159"/>
      <c r="R136" s="159"/>
      <c r="S136" s="159"/>
      <c r="T136" s="159"/>
      <c r="U136" s="159"/>
      <c r="V136" s="159"/>
      <c r="W136" s="159"/>
      <c r="X136" s="159"/>
      <c r="Y136" s="159"/>
      <c r="Z136" s="159"/>
      <c r="AA136" s="159"/>
      <c r="AB136" s="159"/>
    </row>
    <row r="137">
      <c r="A137" s="159"/>
      <c r="B137" s="159"/>
      <c r="C137" s="159"/>
      <c r="D137" s="159"/>
      <c r="E137" s="159"/>
      <c r="F137" s="159"/>
      <c r="G137" s="159"/>
      <c r="H137" s="159"/>
      <c r="I137" s="159"/>
      <c r="J137" s="159"/>
      <c r="K137" s="159"/>
      <c r="L137" s="159"/>
      <c r="N137" s="159"/>
      <c r="O137" s="159"/>
      <c r="P137" s="159"/>
      <c r="Q137" s="159"/>
      <c r="R137" s="159"/>
      <c r="S137" s="159"/>
      <c r="T137" s="159"/>
      <c r="U137" s="159"/>
      <c r="V137" s="159"/>
      <c r="W137" s="159"/>
      <c r="X137" s="159"/>
      <c r="Y137" s="159"/>
      <c r="Z137" s="159"/>
      <c r="AA137" s="159"/>
      <c r="AB137" s="159"/>
    </row>
    <row r="138">
      <c r="A138" s="159"/>
      <c r="B138" s="159"/>
      <c r="C138" s="159"/>
      <c r="D138" s="159"/>
      <c r="E138" s="159"/>
      <c r="F138" s="159"/>
      <c r="G138" s="159"/>
      <c r="H138" s="159"/>
      <c r="I138" s="159"/>
      <c r="J138" s="159"/>
      <c r="K138" s="159"/>
      <c r="L138" s="159"/>
      <c r="N138" s="159"/>
      <c r="O138" s="159"/>
      <c r="P138" s="159"/>
      <c r="Q138" s="159"/>
      <c r="R138" s="159"/>
      <c r="S138" s="159"/>
      <c r="T138" s="159"/>
      <c r="U138" s="159"/>
      <c r="V138" s="159"/>
      <c r="W138" s="159"/>
      <c r="X138" s="159"/>
      <c r="Y138" s="159"/>
      <c r="Z138" s="159"/>
      <c r="AA138" s="159"/>
      <c r="AB138" s="159"/>
    </row>
    <row r="139">
      <c r="A139" s="159"/>
      <c r="B139" s="159"/>
      <c r="C139" s="159"/>
      <c r="D139" s="159"/>
      <c r="E139" s="159"/>
      <c r="F139" s="159"/>
      <c r="G139" s="159"/>
      <c r="H139" s="159"/>
      <c r="I139" s="159"/>
      <c r="J139" s="159"/>
      <c r="K139" s="159"/>
      <c r="L139" s="159"/>
      <c r="N139" s="159"/>
      <c r="O139" s="159"/>
      <c r="P139" s="159"/>
      <c r="Q139" s="159"/>
      <c r="R139" s="159"/>
      <c r="S139" s="159"/>
      <c r="T139" s="159"/>
      <c r="U139" s="159"/>
      <c r="V139" s="159"/>
      <c r="W139" s="159"/>
      <c r="X139" s="159"/>
      <c r="Y139" s="159"/>
      <c r="Z139" s="159"/>
      <c r="AA139" s="159"/>
      <c r="AB139" s="159"/>
    </row>
    <row r="140">
      <c r="A140" s="159"/>
      <c r="B140" s="159"/>
      <c r="C140" s="159"/>
      <c r="D140" s="159"/>
      <c r="E140" s="159"/>
      <c r="F140" s="159"/>
      <c r="G140" s="159"/>
      <c r="H140" s="159"/>
      <c r="I140" s="159"/>
      <c r="J140" s="159"/>
      <c r="K140" s="159"/>
      <c r="L140" s="159"/>
      <c r="N140" s="159"/>
      <c r="O140" s="159"/>
      <c r="P140" s="159"/>
      <c r="Q140" s="159"/>
      <c r="R140" s="159"/>
      <c r="S140" s="159"/>
      <c r="T140" s="159"/>
      <c r="U140" s="159"/>
      <c r="V140" s="159"/>
      <c r="W140" s="159"/>
      <c r="X140" s="159"/>
      <c r="Y140" s="159"/>
      <c r="Z140" s="159"/>
      <c r="AA140" s="159"/>
      <c r="AB140" s="159"/>
    </row>
    <row r="141">
      <c r="A141" s="159"/>
      <c r="B141" s="159"/>
      <c r="C141" s="159"/>
      <c r="D141" s="159"/>
      <c r="E141" s="159"/>
      <c r="F141" s="159"/>
      <c r="G141" s="159"/>
      <c r="H141" s="159"/>
      <c r="I141" s="159"/>
      <c r="J141" s="159"/>
      <c r="K141" s="159"/>
      <c r="L141" s="159"/>
      <c r="N141" s="159"/>
      <c r="O141" s="159"/>
      <c r="P141" s="159"/>
      <c r="Q141" s="159"/>
      <c r="R141" s="159"/>
      <c r="S141" s="159"/>
      <c r="T141" s="159"/>
      <c r="U141" s="159"/>
      <c r="V141" s="159"/>
      <c r="W141" s="159"/>
      <c r="X141" s="159"/>
      <c r="Y141" s="159"/>
      <c r="Z141" s="159"/>
      <c r="AA141" s="159"/>
      <c r="AB141" s="159"/>
    </row>
    <row r="142">
      <c r="A142" s="159"/>
      <c r="B142" s="159"/>
      <c r="C142" s="159"/>
      <c r="D142" s="159"/>
      <c r="E142" s="159"/>
      <c r="F142" s="159"/>
      <c r="G142" s="159"/>
      <c r="H142" s="159"/>
      <c r="I142" s="159"/>
      <c r="J142" s="159"/>
      <c r="K142" s="159"/>
      <c r="L142" s="159"/>
      <c r="N142" s="159"/>
      <c r="O142" s="159"/>
      <c r="P142" s="159"/>
      <c r="Q142" s="159"/>
      <c r="R142" s="159"/>
      <c r="S142" s="159"/>
      <c r="T142" s="159"/>
      <c r="U142" s="159"/>
      <c r="V142" s="159"/>
      <c r="W142" s="159"/>
      <c r="X142" s="159"/>
      <c r="Y142" s="159"/>
      <c r="Z142" s="159"/>
      <c r="AA142" s="159"/>
      <c r="AB142" s="159"/>
    </row>
    <row r="143">
      <c r="A143" s="159"/>
      <c r="B143" s="159"/>
      <c r="C143" s="159"/>
      <c r="D143" s="159"/>
      <c r="E143" s="159"/>
      <c r="F143" s="159"/>
      <c r="G143" s="159"/>
      <c r="H143" s="159"/>
      <c r="I143" s="159"/>
      <c r="J143" s="159"/>
      <c r="K143" s="159"/>
      <c r="L143" s="159"/>
      <c r="N143" s="159"/>
      <c r="O143" s="159"/>
      <c r="P143" s="159"/>
      <c r="Q143" s="159"/>
      <c r="R143" s="159"/>
      <c r="S143" s="159"/>
      <c r="T143" s="159"/>
      <c r="U143" s="159"/>
      <c r="V143" s="159"/>
      <c r="W143" s="159"/>
      <c r="X143" s="159"/>
      <c r="Y143" s="159"/>
      <c r="Z143" s="159"/>
      <c r="AA143" s="159"/>
      <c r="AB143" s="159"/>
    </row>
    <row r="144">
      <c r="A144" s="159"/>
      <c r="B144" s="159"/>
      <c r="C144" s="159"/>
      <c r="D144" s="159"/>
      <c r="E144" s="159"/>
      <c r="F144" s="159"/>
      <c r="G144" s="159"/>
      <c r="H144" s="159"/>
      <c r="I144" s="159"/>
      <c r="J144" s="159"/>
      <c r="K144" s="159"/>
      <c r="L144" s="159"/>
      <c r="N144" s="159"/>
      <c r="O144" s="159"/>
      <c r="P144" s="159"/>
      <c r="Q144" s="159"/>
      <c r="R144" s="159"/>
      <c r="S144" s="159"/>
      <c r="T144" s="159"/>
      <c r="U144" s="159"/>
      <c r="V144" s="159"/>
      <c r="W144" s="159"/>
      <c r="X144" s="159"/>
      <c r="Y144" s="159"/>
      <c r="Z144" s="159"/>
      <c r="AA144" s="159"/>
      <c r="AB144" s="159"/>
    </row>
    <row r="145">
      <c r="A145" s="159"/>
      <c r="B145" s="159"/>
      <c r="C145" s="159"/>
      <c r="D145" s="159"/>
      <c r="E145" s="159"/>
      <c r="F145" s="159"/>
      <c r="G145" s="159"/>
      <c r="H145" s="159"/>
      <c r="I145" s="159"/>
      <c r="J145" s="159"/>
      <c r="K145" s="159"/>
      <c r="L145" s="159"/>
      <c r="N145" s="159"/>
      <c r="O145" s="159"/>
      <c r="P145" s="159"/>
      <c r="Q145" s="159"/>
      <c r="R145" s="159"/>
      <c r="S145" s="159"/>
      <c r="T145" s="159"/>
      <c r="U145" s="159"/>
      <c r="V145" s="159"/>
      <c r="W145" s="159"/>
      <c r="X145" s="159"/>
      <c r="Y145" s="159"/>
      <c r="Z145" s="159"/>
      <c r="AA145" s="159"/>
      <c r="AB145" s="159"/>
    </row>
    <row r="146">
      <c r="A146" s="159"/>
      <c r="B146" s="159"/>
      <c r="C146" s="159"/>
      <c r="D146" s="159"/>
      <c r="E146" s="159"/>
      <c r="F146" s="159"/>
      <c r="G146" s="159"/>
      <c r="H146" s="159"/>
      <c r="I146" s="159"/>
      <c r="J146" s="159"/>
      <c r="K146" s="159"/>
      <c r="L146" s="159"/>
      <c r="N146" s="159"/>
      <c r="O146" s="159"/>
      <c r="P146" s="159"/>
      <c r="Q146" s="159"/>
      <c r="R146" s="159"/>
      <c r="S146" s="159"/>
      <c r="T146" s="159"/>
      <c r="U146" s="159"/>
      <c r="V146" s="159"/>
      <c r="W146" s="159"/>
      <c r="X146" s="159"/>
      <c r="Y146" s="159"/>
      <c r="Z146" s="159"/>
      <c r="AA146" s="159"/>
      <c r="AB146" s="159"/>
    </row>
    <row r="147">
      <c r="A147" s="159"/>
      <c r="B147" s="159"/>
      <c r="C147" s="159"/>
      <c r="D147" s="159"/>
      <c r="E147" s="159"/>
      <c r="F147" s="159"/>
      <c r="G147" s="159"/>
      <c r="H147" s="159"/>
      <c r="I147" s="159"/>
      <c r="J147" s="159"/>
      <c r="K147" s="159"/>
      <c r="L147" s="159"/>
      <c r="N147" s="159"/>
      <c r="O147" s="159"/>
      <c r="P147" s="159"/>
      <c r="Q147" s="159"/>
      <c r="R147" s="159"/>
      <c r="S147" s="159"/>
      <c r="T147" s="159"/>
      <c r="U147" s="159"/>
      <c r="V147" s="159"/>
      <c r="W147" s="159"/>
      <c r="X147" s="159"/>
      <c r="Y147" s="159"/>
      <c r="Z147" s="159"/>
      <c r="AA147" s="159"/>
      <c r="AB147" s="159"/>
    </row>
    <row r="148">
      <c r="A148" s="159"/>
      <c r="B148" s="159"/>
      <c r="C148" s="159"/>
      <c r="D148" s="159"/>
      <c r="E148" s="159"/>
      <c r="F148" s="159"/>
      <c r="G148" s="159"/>
      <c r="H148" s="159"/>
      <c r="I148" s="159"/>
      <c r="J148" s="159"/>
      <c r="K148" s="159"/>
      <c r="L148" s="159"/>
      <c r="N148" s="159"/>
      <c r="O148" s="159"/>
      <c r="P148" s="159"/>
      <c r="Q148" s="159"/>
      <c r="R148" s="159"/>
      <c r="S148" s="159"/>
      <c r="T148" s="159"/>
      <c r="U148" s="159"/>
      <c r="V148" s="159"/>
      <c r="W148" s="159"/>
      <c r="X148" s="159"/>
      <c r="Y148" s="159"/>
      <c r="Z148" s="159"/>
      <c r="AA148" s="159"/>
      <c r="AB148" s="159"/>
    </row>
    <row r="149">
      <c r="A149" s="159"/>
      <c r="B149" s="159"/>
      <c r="C149" s="159"/>
      <c r="D149" s="159"/>
      <c r="E149" s="159"/>
      <c r="F149" s="159"/>
      <c r="G149" s="159"/>
      <c r="H149" s="159"/>
      <c r="I149" s="159"/>
      <c r="J149" s="159"/>
      <c r="K149" s="159"/>
      <c r="L149" s="159"/>
      <c r="N149" s="159"/>
      <c r="O149" s="159"/>
      <c r="P149" s="159"/>
      <c r="Q149" s="159"/>
      <c r="R149" s="159"/>
      <c r="S149" s="159"/>
      <c r="T149" s="159"/>
      <c r="U149" s="159"/>
      <c r="V149" s="159"/>
      <c r="W149" s="159"/>
      <c r="X149" s="159"/>
      <c r="Y149" s="159"/>
      <c r="Z149" s="159"/>
      <c r="AA149" s="159"/>
      <c r="AB149" s="159"/>
    </row>
    <row r="150">
      <c r="A150" s="159"/>
      <c r="B150" s="159"/>
      <c r="C150" s="159"/>
      <c r="D150" s="159"/>
      <c r="E150" s="159"/>
      <c r="F150" s="159"/>
      <c r="G150" s="159"/>
      <c r="H150" s="159"/>
      <c r="I150" s="159"/>
      <c r="J150" s="159"/>
      <c r="K150" s="159"/>
      <c r="L150" s="159"/>
      <c r="N150" s="159"/>
      <c r="O150" s="159"/>
      <c r="P150" s="159"/>
      <c r="Q150" s="159"/>
      <c r="R150" s="159"/>
      <c r="S150" s="159"/>
      <c r="T150" s="159"/>
      <c r="U150" s="159"/>
      <c r="V150" s="159"/>
      <c r="W150" s="159"/>
      <c r="X150" s="159"/>
      <c r="Y150" s="159"/>
      <c r="Z150" s="159"/>
      <c r="AA150" s="159"/>
      <c r="AB150" s="159"/>
    </row>
    <row r="151">
      <c r="A151" s="159"/>
      <c r="B151" s="159"/>
      <c r="C151" s="159"/>
      <c r="D151" s="159"/>
      <c r="E151" s="159"/>
      <c r="F151" s="159"/>
      <c r="G151" s="159"/>
      <c r="H151" s="159"/>
      <c r="I151" s="159"/>
      <c r="J151" s="159"/>
      <c r="K151" s="159"/>
      <c r="L151" s="159"/>
      <c r="N151" s="159"/>
      <c r="O151" s="159"/>
      <c r="P151" s="159"/>
      <c r="Q151" s="159"/>
      <c r="R151" s="159"/>
      <c r="S151" s="159"/>
      <c r="T151" s="159"/>
      <c r="U151" s="159"/>
      <c r="V151" s="159"/>
      <c r="W151" s="159"/>
      <c r="X151" s="159"/>
      <c r="Y151" s="159"/>
      <c r="Z151" s="159"/>
      <c r="AA151" s="159"/>
      <c r="AB151" s="159"/>
    </row>
    <row r="152">
      <c r="A152" s="159"/>
      <c r="B152" s="159"/>
      <c r="C152" s="159"/>
      <c r="D152" s="159"/>
      <c r="E152" s="159"/>
      <c r="F152" s="159"/>
      <c r="G152" s="159"/>
      <c r="H152" s="159"/>
      <c r="I152" s="159"/>
      <c r="J152" s="159"/>
      <c r="K152" s="159"/>
      <c r="L152" s="159"/>
      <c r="N152" s="159"/>
      <c r="O152" s="159"/>
      <c r="P152" s="159"/>
      <c r="Q152" s="159"/>
      <c r="R152" s="159"/>
      <c r="S152" s="159"/>
      <c r="T152" s="159"/>
      <c r="U152" s="159"/>
      <c r="V152" s="159"/>
      <c r="W152" s="159"/>
      <c r="X152" s="159"/>
      <c r="Y152" s="159"/>
      <c r="Z152" s="159"/>
      <c r="AA152" s="159"/>
      <c r="AB152" s="159"/>
    </row>
    <row r="153">
      <c r="A153" s="159"/>
      <c r="B153" s="159"/>
      <c r="C153" s="159"/>
      <c r="D153" s="159"/>
      <c r="E153" s="159"/>
      <c r="F153" s="159"/>
      <c r="G153" s="159"/>
      <c r="H153" s="159"/>
      <c r="I153" s="159"/>
      <c r="J153" s="159"/>
      <c r="K153" s="159"/>
      <c r="L153" s="159"/>
      <c r="N153" s="159"/>
      <c r="O153" s="159"/>
      <c r="P153" s="159"/>
      <c r="Q153" s="159"/>
      <c r="R153" s="159"/>
      <c r="S153" s="159"/>
      <c r="T153" s="159"/>
      <c r="U153" s="159"/>
      <c r="V153" s="159"/>
      <c r="W153" s="159"/>
      <c r="X153" s="159"/>
      <c r="Y153" s="159"/>
      <c r="Z153" s="159"/>
      <c r="AA153" s="159"/>
      <c r="AB153" s="159"/>
    </row>
    <row r="154">
      <c r="A154" s="159"/>
      <c r="B154" s="159"/>
      <c r="C154" s="159"/>
      <c r="D154" s="159"/>
      <c r="E154" s="159"/>
      <c r="F154" s="159"/>
      <c r="G154" s="159"/>
      <c r="H154" s="159"/>
      <c r="I154" s="159"/>
      <c r="J154" s="159"/>
      <c r="K154" s="159"/>
      <c r="L154" s="159"/>
      <c r="N154" s="159"/>
      <c r="O154" s="159"/>
      <c r="P154" s="159"/>
      <c r="Q154" s="159"/>
      <c r="R154" s="159"/>
      <c r="S154" s="159"/>
      <c r="T154" s="159"/>
      <c r="U154" s="159"/>
      <c r="V154" s="159"/>
      <c r="W154" s="159"/>
      <c r="X154" s="159"/>
      <c r="Y154" s="159"/>
      <c r="Z154" s="159"/>
      <c r="AA154" s="159"/>
      <c r="AB154" s="159"/>
    </row>
    <row r="155">
      <c r="A155" s="159"/>
      <c r="B155" s="159"/>
      <c r="C155" s="159"/>
      <c r="D155" s="159"/>
      <c r="E155" s="159"/>
      <c r="F155" s="159"/>
      <c r="G155" s="159"/>
      <c r="H155" s="159"/>
      <c r="I155" s="159"/>
      <c r="J155" s="159"/>
      <c r="K155" s="159"/>
      <c r="L155" s="159"/>
      <c r="N155" s="159"/>
      <c r="O155" s="159"/>
      <c r="P155" s="159"/>
      <c r="Q155" s="159"/>
      <c r="R155" s="159"/>
      <c r="S155" s="159"/>
      <c r="T155" s="159"/>
      <c r="U155" s="159"/>
      <c r="V155" s="159"/>
      <c r="W155" s="159"/>
      <c r="X155" s="159"/>
      <c r="Y155" s="159"/>
      <c r="Z155" s="159"/>
      <c r="AA155" s="159"/>
      <c r="AB155" s="159"/>
    </row>
    <row r="156">
      <c r="A156" s="159"/>
      <c r="B156" s="159"/>
      <c r="C156" s="159"/>
      <c r="D156" s="159"/>
      <c r="E156" s="159"/>
      <c r="F156" s="159"/>
      <c r="G156" s="159"/>
      <c r="H156" s="159"/>
      <c r="I156" s="159"/>
      <c r="J156" s="159"/>
      <c r="K156" s="159"/>
      <c r="L156" s="159"/>
      <c r="N156" s="159"/>
      <c r="O156" s="159"/>
      <c r="P156" s="159"/>
      <c r="Q156" s="159"/>
      <c r="R156" s="159"/>
      <c r="S156" s="159"/>
      <c r="T156" s="159"/>
      <c r="U156" s="159"/>
      <c r="V156" s="159"/>
      <c r="W156" s="159"/>
      <c r="X156" s="159"/>
      <c r="Y156" s="159"/>
      <c r="Z156" s="159"/>
      <c r="AA156" s="159"/>
      <c r="AB156" s="159"/>
    </row>
    <row r="157">
      <c r="A157" s="159"/>
      <c r="B157" s="159"/>
      <c r="C157" s="159"/>
      <c r="D157" s="159"/>
      <c r="E157" s="159"/>
      <c r="F157" s="159"/>
      <c r="G157" s="159"/>
      <c r="H157" s="159"/>
      <c r="I157" s="159"/>
      <c r="J157" s="159"/>
      <c r="K157" s="159"/>
      <c r="L157" s="159"/>
      <c r="N157" s="159"/>
      <c r="O157" s="159"/>
      <c r="P157" s="159"/>
      <c r="Q157" s="159"/>
      <c r="R157" s="159"/>
      <c r="S157" s="159"/>
      <c r="T157" s="159"/>
      <c r="U157" s="159"/>
      <c r="V157" s="159"/>
      <c r="W157" s="159"/>
      <c r="X157" s="159"/>
      <c r="Y157" s="159"/>
      <c r="Z157" s="159"/>
      <c r="AA157" s="159"/>
      <c r="AB157" s="159"/>
    </row>
    <row r="158">
      <c r="A158" s="159"/>
      <c r="B158" s="159"/>
      <c r="C158" s="159"/>
      <c r="D158" s="159"/>
      <c r="E158" s="159"/>
      <c r="F158" s="159"/>
      <c r="G158" s="159"/>
      <c r="H158" s="159"/>
      <c r="I158" s="159"/>
      <c r="J158" s="159"/>
      <c r="K158" s="159"/>
      <c r="L158" s="159"/>
      <c r="N158" s="159"/>
      <c r="O158" s="159"/>
      <c r="P158" s="159"/>
      <c r="Q158" s="159"/>
      <c r="R158" s="159"/>
      <c r="S158" s="159"/>
      <c r="T158" s="159"/>
      <c r="U158" s="159"/>
      <c r="V158" s="159"/>
      <c r="W158" s="159"/>
      <c r="X158" s="159"/>
      <c r="Y158" s="159"/>
      <c r="Z158" s="159"/>
      <c r="AA158" s="159"/>
      <c r="AB158" s="159"/>
    </row>
    <row r="159">
      <c r="A159" s="159"/>
      <c r="B159" s="159"/>
      <c r="C159" s="159"/>
      <c r="D159" s="159"/>
      <c r="E159" s="159"/>
      <c r="F159" s="159"/>
      <c r="G159" s="159"/>
      <c r="H159" s="159"/>
      <c r="I159" s="159"/>
      <c r="J159" s="159"/>
      <c r="K159" s="159"/>
      <c r="L159" s="159"/>
      <c r="N159" s="159"/>
      <c r="O159" s="159"/>
      <c r="P159" s="159"/>
      <c r="Q159" s="159"/>
      <c r="R159" s="159"/>
      <c r="S159" s="159"/>
      <c r="T159" s="159"/>
      <c r="U159" s="159"/>
      <c r="V159" s="159"/>
      <c r="W159" s="159"/>
      <c r="X159" s="159"/>
      <c r="Y159" s="159"/>
      <c r="Z159" s="159"/>
      <c r="AA159" s="159"/>
      <c r="AB159" s="159"/>
    </row>
    <row r="160">
      <c r="A160" s="159"/>
      <c r="B160" s="159"/>
      <c r="C160" s="159"/>
      <c r="D160" s="159"/>
      <c r="E160" s="159"/>
      <c r="F160" s="159"/>
      <c r="G160" s="159"/>
      <c r="H160" s="159"/>
      <c r="I160" s="159"/>
      <c r="J160" s="159"/>
      <c r="K160" s="159"/>
      <c r="L160" s="159"/>
      <c r="N160" s="159"/>
      <c r="O160" s="159"/>
      <c r="P160" s="159"/>
      <c r="Q160" s="159"/>
      <c r="R160" s="159"/>
      <c r="S160" s="159"/>
      <c r="T160" s="159"/>
      <c r="U160" s="159"/>
      <c r="V160" s="159"/>
      <c r="W160" s="159"/>
      <c r="X160" s="159"/>
      <c r="Y160" s="159"/>
      <c r="Z160" s="159"/>
      <c r="AA160" s="159"/>
      <c r="AB160" s="159"/>
    </row>
    <row r="161">
      <c r="A161" s="159"/>
      <c r="B161" s="159"/>
      <c r="C161" s="159"/>
      <c r="D161" s="159"/>
      <c r="E161" s="159"/>
      <c r="F161" s="159"/>
      <c r="G161" s="159"/>
      <c r="H161" s="159"/>
      <c r="I161" s="159"/>
      <c r="J161" s="159"/>
      <c r="K161" s="159"/>
      <c r="L161" s="159"/>
      <c r="N161" s="159"/>
      <c r="O161" s="159"/>
      <c r="P161" s="159"/>
      <c r="Q161" s="159"/>
      <c r="R161" s="159"/>
      <c r="S161" s="159"/>
      <c r="T161" s="159"/>
      <c r="U161" s="159"/>
      <c r="V161" s="159"/>
      <c r="W161" s="159"/>
      <c r="X161" s="159"/>
      <c r="Y161" s="159"/>
      <c r="Z161" s="159"/>
      <c r="AA161" s="159"/>
      <c r="AB161" s="159"/>
    </row>
    <row r="162">
      <c r="A162" s="159"/>
      <c r="B162" s="159"/>
      <c r="C162" s="159"/>
      <c r="D162" s="159"/>
      <c r="E162" s="159"/>
      <c r="F162" s="159"/>
      <c r="G162" s="159"/>
      <c r="H162" s="159"/>
      <c r="I162" s="159"/>
      <c r="J162" s="159"/>
      <c r="K162" s="159"/>
      <c r="L162" s="159"/>
      <c r="N162" s="159"/>
      <c r="O162" s="159"/>
      <c r="P162" s="159"/>
      <c r="Q162" s="159"/>
      <c r="R162" s="159"/>
      <c r="S162" s="159"/>
      <c r="T162" s="159"/>
      <c r="U162" s="159"/>
      <c r="V162" s="159"/>
      <c r="W162" s="159"/>
      <c r="X162" s="159"/>
      <c r="Y162" s="159"/>
      <c r="Z162" s="159"/>
      <c r="AA162" s="159"/>
      <c r="AB162" s="159"/>
    </row>
    <row r="163">
      <c r="A163" s="159"/>
      <c r="B163" s="159"/>
      <c r="C163" s="159"/>
      <c r="D163" s="159"/>
      <c r="E163" s="159"/>
      <c r="F163" s="159"/>
      <c r="G163" s="159"/>
      <c r="H163" s="159"/>
      <c r="I163" s="159"/>
      <c r="J163" s="159"/>
      <c r="K163" s="159"/>
      <c r="L163" s="159"/>
      <c r="N163" s="159"/>
      <c r="O163" s="159"/>
      <c r="P163" s="159"/>
      <c r="Q163" s="159"/>
      <c r="R163" s="159"/>
      <c r="S163" s="159"/>
      <c r="T163" s="159"/>
      <c r="U163" s="159"/>
      <c r="V163" s="159"/>
      <c r="W163" s="159"/>
      <c r="X163" s="159"/>
      <c r="Y163" s="159"/>
      <c r="Z163" s="159"/>
      <c r="AA163" s="159"/>
      <c r="AB163" s="159"/>
    </row>
    <row r="164">
      <c r="A164" s="159"/>
      <c r="B164" s="159"/>
      <c r="C164" s="159"/>
      <c r="D164" s="159"/>
      <c r="E164" s="159"/>
      <c r="F164" s="159"/>
      <c r="G164" s="159"/>
      <c r="H164" s="159"/>
      <c r="I164" s="159"/>
      <c r="J164" s="159"/>
      <c r="K164" s="159"/>
      <c r="L164" s="159"/>
      <c r="N164" s="159"/>
      <c r="O164" s="159"/>
      <c r="P164" s="159"/>
      <c r="Q164" s="159"/>
      <c r="R164" s="159"/>
      <c r="S164" s="159"/>
      <c r="T164" s="159"/>
      <c r="U164" s="159"/>
      <c r="V164" s="159"/>
      <c r="W164" s="159"/>
      <c r="X164" s="159"/>
      <c r="Y164" s="159"/>
      <c r="Z164" s="159"/>
      <c r="AA164" s="159"/>
      <c r="AB164" s="159"/>
    </row>
    <row r="165">
      <c r="A165" s="159"/>
      <c r="B165" s="159"/>
      <c r="C165" s="159"/>
      <c r="D165" s="159"/>
      <c r="E165" s="159"/>
      <c r="F165" s="159"/>
      <c r="G165" s="159"/>
      <c r="H165" s="159"/>
      <c r="I165" s="159"/>
      <c r="J165" s="159"/>
      <c r="K165" s="159"/>
      <c r="L165" s="159"/>
      <c r="N165" s="159"/>
      <c r="O165" s="159"/>
      <c r="P165" s="159"/>
      <c r="Q165" s="159"/>
      <c r="R165" s="159"/>
      <c r="S165" s="159"/>
      <c r="T165" s="159"/>
      <c r="U165" s="159"/>
      <c r="V165" s="159"/>
      <c r="W165" s="159"/>
      <c r="X165" s="159"/>
      <c r="Y165" s="159"/>
      <c r="Z165" s="159"/>
      <c r="AA165" s="159"/>
      <c r="AB165" s="159"/>
    </row>
    <row r="166">
      <c r="A166" s="159"/>
      <c r="B166" s="159"/>
      <c r="C166" s="159"/>
      <c r="D166" s="159"/>
      <c r="E166" s="159"/>
      <c r="F166" s="159"/>
      <c r="G166" s="159"/>
      <c r="H166" s="159"/>
      <c r="I166" s="159"/>
      <c r="J166" s="159"/>
      <c r="K166" s="159"/>
      <c r="L166" s="159"/>
      <c r="N166" s="159"/>
      <c r="O166" s="159"/>
      <c r="P166" s="159"/>
      <c r="Q166" s="159"/>
      <c r="R166" s="159"/>
      <c r="S166" s="159"/>
      <c r="T166" s="159"/>
      <c r="U166" s="159"/>
      <c r="V166" s="159"/>
      <c r="W166" s="159"/>
      <c r="X166" s="159"/>
      <c r="Y166" s="159"/>
      <c r="Z166" s="159"/>
      <c r="AA166" s="159"/>
      <c r="AB166" s="159"/>
    </row>
    <row r="167">
      <c r="A167" s="159"/>
      <c r="B167" s="159"/>
      <c r="C167" s="159"/>
      <c r="D167" s="159"/>
      <c r="E167" s="159"/>
      <c r="F167" s="159"/>
      <c r="G167" s="159"/>
      <c r="H167" s="159"/>
      <c r="I167" s="159"/>
      <c r="J167" s="159"/>
      <c r="K167" s="159"/>
      <c r="L167" s="159"/>
      <c r="N167" s="159"/>
      <c r="O167" s="159"/>
      <c r="P167" s="159"/>
      <c r="Q167" s="159"/>
      <c r="R167" s="159"/>
      <c r="S167" s="159"/>
      <c r="T167" s="159"/>
      <c r="U167" s="159"/>
      <c r="V167" s="159"/>
      <c r="W167" s="159"/>
      <c r="X167" s="159"/>
      <c r="Y167" s="159"/>
      <c r="Z167" s="159"/>
      <c r="AA167" s="159"/>
      <c r="AB167" s="159"/>
    </row>
    <row r="168">
      <c r="A168" s="159"/>
      <c r="B168" s="159"/>
      <c r="C168" s="159"/>
      <c r="D168" s="159"/>
      <c r="E168" s="159"/>
      <c r="F168" s="159"/>
      <c r="G168" s="159"/>
      <c r="H168" s="159"/>
      <c r="I168" s="159"/>
      <c r="J168" s="159"/>
      <c r="K168" s="159"/>
      <c r="L168" s="159"/>
      <c r="N168" s="159"/>
      <c r="O168" s="159"/>
      <c r="P168" s="159"/>
      <c r="Q168" s="159"/>
      <c r="R168" s="159"/>
      <c r="S168" s="159"/>
      <c r="T168" s="159"/>
      <c r="U168" s="159"/>
      <c r="V168" s="159"/>
      <c r="W168" s="159"/>
      <c r="X168" s="159"/>
      <c r="Y168" s="159"/>
      <c r="Z168" s="159"/>
      <c r="AA168" s="159"/>
      <c r="AB168" s="159"/>
    </row>
    <row r="169">
      <c r="A169" s="159"/>
      <c r="B169" s="159"/>
      <c r="C169" s="159"/>
      <c r="D169" s="159"/>
      <c r="E169" s="159"/>
      <c r="F169" s="159"/>
      <c r="G169" s="159"/>
      <c r="H169" s="159"/>
      <c r="I169" s="159"/>
      <c r="J169" s="159"/>
      <c r="K169" s="159"/>
      <c r="L169" s="159"/>
      <c r="N169" s="159"/>
      <c r="O169" s="159"/>
      <c r="P169" s="159"/>
      <c r="Q169" s="159"/>
      <c r="R169" s="159"/>
      <c r="S169" s="159"/>
      <c r="T169" s="159"/>
      <c r="U169" s="159"/>
      <c r="V169" s="159"/>
      <c r="W169" s="159"/>
      <c r="X169" s="159"/>
      <c r="Y169" s="159"/>
      <c r="Z169" s="159"/>
      <c r="AA169" s="159"/>
      <c r="AB169" s="159"/>
    </row>
    <row r="170">
      <c r="A170" s="159"/>
      <c r="B170" s="159"/>
      <c r="C170" s="159"/>
      <c r="D170" s="159"/>
      <c r="E170" s="159"/>
      <c r="F170" s="159"/>
      <c r="G170" s="159"/>
      <c r="H170" s="159"/>
      <c r="I170" s="159"/>
      <c r="J170" s="159"/>
      <c r="K170" s="159"/>
      <c r="L170" s="159"/>
      <c r="N170" s="159"/>
      <c r="O170" s="159"/>
      <c r="P170" s="159"/>
      <c r="Q170" s="159"/>
      <c r="R170" s="159"/>
      <c r="S170" s="159"/>
      <c r="T170" s="159"/>
      <c r="U170" s="159"/>
      <c r="V170" s="159"/>
      <c r="W170" s="159"/>
      <c r="X170" s="159"/>
      <c r="Y170" s="159"/>
      <c r="Z170" s="159"/>
      <c r="AA170" s="159"/>
      <c r="AB170" s="159"/>
    </row>
    <row r="171">
      <c r="A171" s="159"/>
      <c r="B171" s="159"/>
      <c r="C171" s="159"/>
      <c r="D171" s="159"/>
      <c r="E171" s="159"/>
      <c r="F171" s="159"/>
      <c r="G171" s="159"/>
      <c r="H171" s="159"/>
      <c r="I171" s="159"/>
      <c r="J171" s="159"/>
      <c r="K171" s="159"/>
      <c r="L171" s="159"/>
      <c r="N171" s="159"/>
      <c r="O171" s="159"/>
      <c r="P171" s="159"/>
      <c r="Q171" s="159"/>
      <c r="R171" s="159"/>
      <c r="S171" s="159"/>
      <c r="T171" s="159"/>
      <c r="U171" s="159"/>
      <c r="V171" s="159"/>
      <c r="W171" s="159"/>
      <c r="X171" s="159"/>
      <c r="Y171" s="159"/>
      <c r="Z171" s="159"/>
      <c r="AA171" s="159"/>
      <c r="AB171" s="159"/>
    </row>
    <row r="172">
      <c r="A172" s="159"/>
      <c r="B172" s="159"/>
      <c r="C172" s="159"/>
      <c r="D172" s="159"/>
      <c r="E172" s="159"/>
      <c r="F172" s="159"/>
      <c r="G172" s="159"/>
      <c r="H172" s="159"/>
      <c r="I172" s="159"/>
      <c r="J172" s="159"/>
      <c r="K172" s="159"/>
      <c r="L172" s="159"/>
      <c r="N172" s="159"/>
      <c r="O172" s="159"/>
      <c r="P172" s="159"/>
      <c r="Q172" s="159"/>
      <c r="R172" s="159"/>
      <c r="S172" s="159"/>
      <c r="T172" s="159"/>
      <c r="U172" s="159"/>
      <c r="V172" s="159"/>
      <c r="W172" s="159"/>
      <c r="X172" s="159"/>
      <c r="Y172" s="159"/>
      <c r="Z172" s="159"/>
      <c r="AA172" s="159"/>
      <c r="AB172" s="159"/>
    </row>
    <row r="173">
      <c r="A173" s="159"/>
      <c r="B173" s="159"/>
      <c r="C173" s="159"/>
      <c r="D173" s="159"/>
      <c r="E173" s="159"/>
      <c r="F173" s="159"/>
      <c r="G173" s="159"/>
      <c r="H173" s="159"/>
      <c r="I173" s="159"/>
      <c r="J173" s="159"/>
      <c r="K173" s="159"/>
      <c r="L173" s="159"/>
      <c r="N173" s="159"/>
      <c r="O173" s="159"/>
      <c r="P173" s="159"/>
      <c r="Q173" s="159"/>
      <c r="R173" s="159"/>
      <c r="S173" s="159"/>
      <c r="T173" s="159"/>
      <c r="U173" s="159"/>
      <c r="V173" s="159"/>
      <c r="W173" s="159"/>
      <c r="X173" s="159"/>
      <c r="Y173" s="159"/>
      <c r="Z173" s="159"/>
      <c r="AA173" s="159"/>
      <c r="AB173" s="159"/>
    </row>
    <row r="174">
      <c r="A174" s="159"/>
      <c r="B174" s="159"/>
      <c r="C174" s="159"/>
      <c r="D174" s="159"/>
      <c r="E174" s="159"/>
      <c r="F174" s="159"/>
      <c r="G174" s="159"/>
      <c r="H174" s="159"/>
      <c r="I174" s="159"/>
      <c r="J174" s="159"/>
      <c r="K174" s="159"/>
      <c r="L174" s="159"/>
      <c r="N174" s="159"/>
      <c r="O174" s="159"/>
      <c r="P174" s="159"/>
      <c r="Q174" s="159"/>
      <c r="R174" s="159"/>
      <c r="S174" s="159"/>
      <c r="T174" s="159"/>
      <c r="U174" s="159"/>
      <c r="V174" s="159"/>
      <c r="W174" s="159"/>
      <c r="X174" s="159"/>
      <c r="Y174" s="159"/>
      <c r="Z174" s="159"/>
      <c r="AA174" s="159"/>
      <c r="AB174" s="159"/>
    </row>
    <row r="175">
      <c r="A175" s="159"/>
      <c r="B175" s="159"/>
      <c r="C175" s="159"/>
      <c r="D175" s="159"/>
      <c r="E175" s="159"/>
      <c r="F175" s="159"/>
      <c r="G175" s="159"/>
      <c r="H175" s="159"/>
      <c r="I175" s="159"/>
      <c r="J175" s="159"/>
      <c r="K175" s="159"/>
      <c r="L175" s="159"/>
      <c r="N175" s="159"/>
      <c r="O175" s="159"/>
      <c r="P175" s="159"/>
      <c r="Q175" s="159"/>
      <c r="R175" s="159"/>
      <c r="S175" s="159"/>
      <c r="T175" s="159"/>
      <c r="U175" s="159"/>
      <c r="V175" s="159"/>
      <c r="W175" s="159"/>
      <c r="X175" s="159"/>
      <c r="Y175" s="159"/>
      <c r="Z175" s="159"/>
      <c r="AA175" s="159"/>
      <c r="AB175" s="159"/>
    </row>
    <row r="176">
      <c r="A176" s="159"/>
      <c r="B176" s="159"/>
      <c r="C176" s="159"/>
      <c r="D176" s="159"/>
      <c r="E176" s="159"/>
      <c r="F176" s="159"/>
      <c r="G176" s="159"/>
      <c r="H176" s="159"/>
      <c r="I176" s="159"/>
      <c r="J176" s="159"/>
      <c r="K176" s="159"/>
      <c r="L176" s="159"/>
      <c r="N176" s="159"/>
      <c r="O176" s="159"/>
      <c r="P176" s="159"/>
      <c r="Q176" s="159"/>
      <c r="R176" s="159"/>
      <c r="S176" s="159"/>
      <c r="T176" s="159"/>
      <c r="U176" s="159"/>
      <c r="V176" s="159"/>
      <c r="W176" s="159"/>
      <c r="X176" s="159"/>
      <c r="Y176" s="159"/>
      <c r="Z176" s="159"/>
      <c r="AA176" s="159"/>
      <c r="AB176" s="159"/>
    </row>
    <row r="177">
      <c r="A177" s="159"/>
      <c r="B177" s="159"/>
      <c r="C177" s="159"/>
      <c r="D177" s="159"/>
      <c r="E177" s="159"/>
      <c r="F177" s="159"/>
      <c r="G177" s="159"/>
      <c r="H177" s="159"/>
      <c r="I177" s="159"/>
      <c r="J177" s="159"/>
      <c r="K177" s="159"/>
      <c r="L177" s="159"/>
      <c r="N177" s="159"/>
      <c r="O177" s="159"/>
      <c r="P177" s="159"/>
      <c r="Q177" s="159"/>
      <c r="R177" s="159"/>
      <c r="S177" s="159"/>
      <c r="T177" s="159"/>
      <c r="U177" s="159"/>
      <c r="V177" s="159"/>
      <c r="W177" s="159"/>
      <c r="X177" s="159"/>
      <c r="Y177" s="159"/>
      <c r="Z177" s="159"/>
      <c r="AA177" s="159"/>
      <c r="AB177" s="159"/>
    </row>
    <row r="178">
      <c r="A178" s="159"/>
      <c r="B178" s="159"/>
      <c r="C178" s="159"/>
      <c r="D178" s="159"/>
      <c r="E178" s="159"/>
      <c r="F178" s="159"/>
      <c r="G178" s="159"/>
      <c r="H178" s="159"/>
      <c r="I178" s="159"/>
      <c r="J178" s="159"/>
      <c r="K178" s="159"/>
      <c r="L178" s="159"/>
      <c r="N178" s="159"/>
      <c r="O178" s="159"/>
      <c r="P178" s="159"/>
      <c r="Q178" s="159"/>
      <c r="R178" s="159"/>
      <c r="S178" s="159"/>
      <c r="T178" s="159"/>
      <c r="U178" s="159"/>
      <c r="V178" s="159"/>
      <c r="W178" s="159"/>
      <c r="X178" s="159"/>
      <c r="Y178" s="159"/>
      <c r="Z178" s="159"/>
      <c r="AA178" s="159"/>
      <c r="AB178" s="159"/>
    </row>
    <row r="179">
      <c r="A179" s="159"/>
      <c r="B179" s="159"/>
      <c r="C179" s="159"/>
      <c r="D179" s="159"/>
      <c r="E179" s="159"/>
      <c r="F179" s="159"/>
      <c r="G179" s="159"/>
      <c r="H179" s="159"/>
      <c r="I179" s="159"/>
      <c r="J179" s="159"/>
      <c r="K179" s="159"/>
      <c r="L179" s="159"/>
      <c r="N179" s="159"/>
      <c r="O179" s="159"/>
      <c r="P179" s="159"/>
      <c r="Q179" s="159"/>
      <c r="R179" s="159"/>
      <c r="S179" s="159"/>
      <c r="T179" s="159"/>
      <c r="U179" s="159"/>
      <c r="V179" s="159"/>
      <c r="W179" s="159"/>
      <c r="X179" s="159"/>
      <c r="Y179" s="159"/>
      <c r="Z179" s="159"/>
      <c r="AA179" s="159"/>
      <c r="AB179" s="159"/>
    </row>
    <row r="180">
      <c r="A180" s="159"/>
      <c r="B180" s="159"/>
      <c r="C180" s="159"/>
      <c r="D180" s="159"/>
      <c r="E180" s="159"/>
      <c r="F180" s="159"/>
      <c r="G180" s="159"/>
      <c r="H180" s="159"/>
      <c r="I180" s="159"/>
      <c r="J180" s="159"/>
      <c r="K180" s="159"/>
      <c r="L180" s="159"/>
      <c r="N180" s="159"/>
      <c r="O180" s="159"/>
      <c r="P180" s="159"/>
      <c r="Q180" s="159"/>
      <c r="R180" s="159"/>
      <c r="S180" s="159"/>
      <c r="T180" s="159"/>
      <c r="U180" s="159"/>
      <c r="V180" s="159"/>
      <c r="W180" s="159"/>
      <c r="X180" s="159"/>
      <c r="Y180" s="159"/>
      <c r="Z180" s="159"/>
      <c r="AA180" s="159"/>
      <c r="AB180" s="159"/>
    </row>
    <row r="181">
      <c r="A181" s="159"/>
      <c r="B181" s="159"/>
      <c r="C181" s="159"/>
      <c r="D181" s="159"/>
      <c r="E181" s="159"/>
      <c r="F181" s="159"/>
      <c r="G181" s="159"/>
      <c r="H181" s="159"/>
      <c r="I181" s="159"/>
      <c r="J181" s="159"/>
      <c r="K181" s="159"/>
      <c r="L181" s="159"/>
      <c r="N181" s="159"/>
      <c r="O181" s="159"/>
      <c r="P181" s="159"/>
      <c r="Q181" s="159"/>
      <c r="R181" s="159"/>
      <c r="S181" s="159"/>
      <c r="T181" s="159"/>
      <c r="U181" s="159"/>
      <c r="V181" s="159"/>
      <c r="W181" s="159"/>
      <c r="X181" s="159"/>
      <c r="Y181" s="159"/>
      <c r="Z181" s="159"/>
      <c r="AA181" s="159"/>
      <c r="AB181" s="159"/>
    </row>
    <row r="182">
      <c r="A182" s="159"/>
      <c r="B182" s="159"/>
      <c r="C182" s="159"/>
      <c r="D182" s="159"/>
      <c r="E182" s="159"/>
      <c r="F182" s="159"/>
      <c r="G182" s="159"/>
      <c r="H182" s="159"/>
      <c r="I182" s="159"/>
      <c r="J182" s="159"/>
      <c r="K182" s="159"/>
      <c r="L182" s="159"/>
      <c r="N182" s="159"/>
      <c r="O182" s="159"/>
      <c r="P182" s="159"/>
      <c r="Q182" s="159"/>
      <c r="R182" s="159"/>
      <c r="S182" s="159"/>
      <c r="T182" s="159"/>
      <c r="U182" s="159"/>
      <c r="V182" s="159"/>
      <c r="W182" s="159"/>
      <c r="X182" s="159"/>
      <c r="Y182" s="159"/>
      <c r="Z182" s="159"/>
      <c r="AA182" s="159"/>
      <c r="AB182" s="159"/>
    </row>
    <row r="183">
      <c r="A183" s="159"/>
      <c r="B183" s="159"/>
      <c r="C183" s="159"/>
      <c r="D183" s="159"/>
      <c r="E183" s="159"/>
      <c r="F183" s="159"/>
      <c r="G183" s="159"/>
      <c r="H183" s="159"/>
      <c r="I183" s="159"/>
      <c r="J183" s="159"/>
      <c r="K183" s="159"/>
      <c r="L183" s="159"/>
      <c r="N183" s="159"/>
      <c r="O183" s="159"/>
      <c r="P183" s="159"/>
      <c r="Q183" s="159"/>
      <c r="R183" s="159"/>
      <c r="S183" s="159"/>
      <c r="T183" s="159"/>
      <c r="U183" s="159"/>
      <c r="V183" s="159"/>
      <c r="W183" s="159"/>
      <c r="X183" s="159"/>
      <c r="Y183" s="159"/>
      <c r="Z183" s="159"/>
      <c r="AA183" s="159"/>
      <c r="AB183" s="159"/>
    </row>
    <row r="184">
      <c r="A184" s="159"/>
      <c r="B184" s="159"/>
      <c r="C184" s="159"/>
      <c r="D184" s="159"/>
      <c r="E184" s="159"/>
      <c r="F184" s="159"/>
      <c r="G184" s="159"/>
      <c r="H184" s="159"/>
      <c r="I184" s="159"/>
      <c r="J184" s="159"/>
      <c r="K184" s="159"/>
      <c r="L184" s="159"/>
      <c r="N184" s="159"/>
      <c r="O184" s="159"/>
      <c r="P184" s="159"/>
      <c r="Q184" s="159"/>
      <c r="R184" s="159"/>
      <c r="S184" s="159"/>
      <c r="T184" s="159"/>
      <c r="U184" s="159"/>
      <c r="V184" s="159"/>
      <c r="W184" s="159"/>
      <c r="X184" s="159"/>
      <c r="Y184" s="159"/>
      <c r="Z184" s="159"/>
      <c r="AA184" s="159"/>
      <c r="AB184" s="159"/>
    </row>
    <row r="185">
      <c r="A185" s="159"/>
      <c r="B185" s="159"/>
      <c r="C185" s="159"/>
      <c r="D185" s="159"/>
      <c r="E185" s="159"/>
      <c r="F185" s="159"/>
      <c r="G185" s="159"/>
      <c r="H185" s="159"/>
      <c r="I185" s="159"/>
      <c r="J185" s="159"/>
      <c r="K185" s="159"/>
      <c r="L185" s="159"/>
      <c r="N185" s="159"/>
      <c r="O185" s="159"/>
      <c r="P185" s="159"/>
      <c r="Q185" s="159"/>
      <c r="R185" s="159"/>
      <c r="S185" s="159"/>
      <c r="T185" s="159"/>
      <c r="U185" s="159"/>
      <c r="V185" s="159"/>
      <c r="W185" s="159"/>
      <c r="X185" s="159"/>
      <c r="Y185" s="159"/>
      <c r="Z185" s="159"/>
      <c r="AA185" s="159"/>
      <c r="AB185" s="159"/>
    </row>
    <row r="186">
      <c r="A186" s="159"/>
      <c r="B186" s="159"/>
      <c r="C186" s="159"/>
      <c r="D186" s="159"/>
      <c r="E186" s="159"/>
      <c r="F186" s="159"/>
      <c r="G186" s="159"/>
      <c r="H186" s="159"/>
      <c r="I186" s="159"/>
      <c r="J186" s="159"/>
      <c r="K186" s="159"/>
      <c r="L186" s="159"/>
      <c r="N186" s="159"/>
      <c r="O186" s="159"/>
      <c r="P186" s="159"/>
      <c r="Q186" s="159"/>
      <c r="R186" s="159"/>
      <c r="S186" s="159"/>
      <c r="T186" s="159"/>
      <c r="U186" s="159"/>
      <c r="V186" s="159"/>
      <c r="W186" s="159"/>
      <c r="X186" s="159"/>
      <c r="Y186" s="159"/>
      <c r="Z186" s="159"/>
      <c r="AA186" s="159"/>
      <c r="AB186" s="159"/>
    </row>
    <row r="187">
      <c r="A187" s="159"/>
      <c r="B187" s="159"/>
      <c r="C187" s="159"/>
      <c r="D187" s="159"/>
      <c r="E187" s="159"/>
      <c r="F187" s="159"/>
      <c r="G187" s="159"/>
      <c r="H187" s="159"/>
      <c r="I187" s="159"/>
      <c r="J187" s="159"/>
      <c r="K187" s="159"/>
      <c r="L187" s="159"/>
      <c r="N187" s="159"/>
      <c r="O187" s="159"/>
      <c r="P187" s="159"/>
      <c r="Q187" s="159"/>
      <c r="R187" s="159"/>
      <c r="S187" s="159"/>
      <c r="T187" s="159"/>
      <c r="U187" s="159"/>
      <c r="V187" s="159"/>
      <c r="W187" s="159"/>
      <c r="X187" s="159"/>
      <c r="Y187" s="159"/>
      <c r="Z187" s="159"/>
      <c r="AA187" s="159"/>
      <c r="AB187" s="159"/>
    </row>
    <row r="188">
      <c r="A188" s="159"/>
      <c r="B188" s="159"/>
      <c r="C188" s="159"/>
      <c r="D188" s="159"/>
      <c r="E188" s="159"/>
      <c r="F188" s="159"/>
      <c r="G188" s="159"/>
      <c r="H188" s="159"/>
      <c r="I188" s="159"/>
      <c r="J188" s="159"/>
      <c r="K188" s="159"/>
      <c r="L188" s="159"/>
      <c r="N188" s="159"/>
      <c r="O188" s="159"/>
      <c r="P188" s="159"/>
      <c r="Q188" s="159"/>
      <c r="R188" s="159"/>
      <c r="S188" s="159"/>
      <c r="T188" s="159"/>
      <c r="U188" s="159"/>
      <c r="V188" s="159"/>
      <c r="W188" s="159"/>
      <c r="X188" s="159"/>
      <c r="Y188" s="159"/>
      <c r="Z188" s="159"/>
      <c r="AA188" s="159"/>
      <c r="AB188" s="159"/>
    </row>
    <row r="189">
      <c r="A189" s="159"/>
      <c r="B189" s="159"/>
      <c r="C189" s="159"/>
      <c r="D189" s="159"/>
      <c r="E189" s="159"/>
      <c r="F189" s="159"/>
      <c r="G189" s="159"/>
      <c r="H189" s="159"/>
      <c r="I189" s="159"/>
      <c r="J189" s="159"/>
      <c r="K189" s="159"/>
      <c r="L189" s="159"/>
      <c r="N189" s="159"/>
      <c r="O189" s="159"/>
      <c r="P189" s="159"/>
      <c r="Q189" s="159"/>
      <c r="R189" s="159"/>
      <c r="S189" s="159"/>
      <c r="T189" s="159"/>
      <c r="U189" s="159"/>
      <c r="V189" s="159"/>
      <c r="W189" s="159"/>
      <c r="X189" s="159"/>
      <c r="Y189" s="159"/>
      <c r="Z189" s="159"/>
      <c r="AA189" s="159"/>
      <c r="AB189" s="159"/>
    </row>
    <row r="190">
      <c r="A190" s="159"/>
      <c r="B190" s="159"/>
      <c r="C190" s="159"/>
      <c r="D190" s="159"/>
      <c r="E190" s="159"/>
      <c r="F190" s="159"/>
      <c r="G190" s="159"/>
      <c r="H190" s="159"/>
      <c r="I190" s="159"/>
      <c r="J190" s="159"/>
      <c r="K190" s="159"/>
      <c r="L190" s="159"/>
      <c r="N190" s="159"/>
      <c r="O190" s="159"/>
      <c r="P190" s="159"/>
      <c r="Q190" s="159"/>
      <c r="R190" s="159"/>
      <c r="S190" s="159"/>
      <c r="T190" s="159"/>
      <c r="U190" s="159"/>
      <c r="V190" s="159"/>
      <c r="W190" s="159"/>
      <c r="X190" s="159"/>
      <c r="Y190" s="159"/>
      <c r="Z190" s="159"/>
      <c r="AA190" s="159"/>
      <c r="AB190" s="159"/>
    </row>
    <row r="191">
      <c r="A191" s="159"/>
      <c r="B191" s="159"/>
      <c r="C191" s="159"/>
      <c r="D191" s="159"/>
      <c r="E191" s="159"/>
      <c r="F191" s="159"/>
      <c r="G191" s="159"/>
      <c r="H191" s="159"/>
      <c r="I191" s="159"/>
      <c r="J191" s="159"/>
      <c r="K191" s="159"/>
      <c r="L191" s="159"/>
      <c r="N191" s="159"/>
      <c r="O191" s="159"/>
      <c r="P191" s="159"/>
      <c r="Q191" s="159"/>
      <c r="R191" s="159"/>
      <c r="S191" s="159"/>
      <c r="T191" s="159"/>
      <c r="U191" s="159"/>
      <c r="V191" s="159"/>
      <c r="W191" s="159"/>
      <c r="X191" s="159"/>
      <c r="Y191" s="159"/>
      <c r="Z191" s="159"/>
      <c r="AA191" s="159"/>
      <c r="AB191" s="159"/>
    </row>
    <row r="192">
      <c r="A192" s="159"/>
      <c r="B192" s="159"/>
      <c r="C192" s="159"/>
      <c r="D192" s="159"/>
      <c r="E192" s="159"/>
      <c r="F192" s="159"/>
      <c r="G192" s="159"/>
      <c r="H192" s="159"/>
      <c r="I192" s="159"/>
      <c r="J192" s="159"/>
      <c r="K192" s="159"/>
      <c r="L192" s="159"/>
      <c r="N192" s="159"/>
      <c r="O192" s="159"/>
      <c r="P192" s="159"/>
      <c r="Q192" s="159"/>
      <c r="R192" s="159"/>
      <c r="S192" s="159"/>
      <c r="T192" s="159"/>
      <c r="U192" s="159"/>
      <c r="V192" s="159"/>
      <c r="W192" s="159"/>
      <c r="X192" s="159"/>
      <c r="Y192" s="159"/>
      <c r="Z192" s="159"/>
      <c r="AA192" s="159"/>
      <c r="AB192" s="159"/>
    </row>
    <row r="193">
      <c r="A193" s="159"/>
      <c r="B193" s="159"/>
      <c r="C193" s="159"/>
      <c r="D193" s="159"/>
      <c r="E193" s="159"/>
      <c r="F193" s="159"/>
      <c r="G193" s="159"/>
      <c r="H193" s="159"/>
      <c r="I193" s="159"/>
      <c r="J193" s="159"/>
      <c r="K193" s="159"/>
      <c r="L193" s="159"/>
      <c r="N193" s="159"/>
      <c r="O193" s="159"/>
      <c r="P193" s="159"/>
      <c r="Q193" s="159"/>
      <c r="R193" s="159"/>
      <c r="S193" s="159"/>
      <c r="T193" s="159"/>
      <c r="U193" s="159"/>
      <c r="V193" s="159"/>
      <c r="W193" s="159"/>
      <c r="X193" s="159"/>
      <c r="Y193" s="159"/>
      <c r="Z193" s="159"/>
      <c r="AA193" s="159"/>
      <c r="AB193" s="159"/>
    </row>
    <row r="194">
      <c r="A194" s="159"/>
      <c r="B194" s="159"/>
      <c r="C194" s="159"/>
      <c r="D194" s="159"/>
      <c r="E194" s="159"/>
      <c r="F194" s="159"/>
      <c r="G194" s="159"/>
      <c r="H194" s="159"/>
      <c r="I194" s="159"/>
      <c r="J194" s="159"/>
      <c r="K194" s="159"/>
      <c r="L194" s="159"/>
      <c r="N194" s="159"/>
      <c r="O194" s="159"/>
      <c r="P194" s="159"/>
      <c r="Q194" s="159"/>
      <c r="R194" s="159"/>
      <c r="S194" s="159"/>
      <c r="T194" s="159"/>
      <c r="U194" s="159"/>
      <c r="V194" s="159"/>
      <c r="W194" s="159"/>
      <c r="X194" s="159"/>
      <c r="Y194" s="159"/>
      <c r="Z194" s="159"/>
      <c r="AA194" s="159"/>
      <c r="AB194" s="159"/>
    </row>
    <row r="195">
      <c r="A195" s="159"/>
      <c r="B195" s="159"/>
      <c r="C195" s="159"/>
      <c r="D195" s="159"/>
      <c r="E195" s="159"/>
      <c r="F195" s="159"/>
      <c r="G195" s="159"/>
      <c r="H195" s="159"/>
      <c r="I195" s="159"/>
      <c r="J195" s="159"/>
      <c r="K195" s="159"/>
      <c r="L195" s="159"/>
      <c r="N195" s="159"/>
      <c r="O195" s="159"/>
      <c r="P195" s="159"/>
      <c r="Q195" s="159"/>
      <c r="R195" s="159"/>
      <c r="S195" s="159"/>
      <c r="T195" s="159"/>
      <c r="U195" s="159"/>
      <c r="V195" s="159"/>
      <c r="W195" s="159"/>
      <c r="X195" s="159"/>
      <c r="Y195" s="159"/>
      <c r="Z195" s="159"/>
      <c r="AA195" s="159"/>
      <c r="AB195" s="159"/>
    </row>
    <row r="196">
      <c r="A196" s="159"/>
      <c r="B196" s="159"/>
      <c r="C196" s="159"/>
      <c r="D196" s="159"/>
      <c r="E196" s="159"/>
      <c r="F196" s="159"/>
      <c r="G196" s="159"/>
      <c r="H196" s="159"/>
      <c r="I196" s="159"/>
      <c r="J196" s="159"/>
      <c r="K196" s="159"/>
      <c r="L196" s="159"/>
      <c r="N196" s="159"/>
      <c r="O196" s="159"/>
      <c r="P196" s="159"/>
      <c r="Q196" s="159"/>
      <c r="R196" s="159"/>
      <c r="S196" s="159"/>
      <c r="T196" s="159"/>
      <c r="U196" s="159"/>
      <c r="V196" s="159"/>
      <c r="W196" s="159"/>
      <c r="X196" s="159"/>
      <c r="Y196" s="159"/>
      <c r="Z196" s="159"/>
      <c r="AA196" s="159"/>
      <c r="AB196" s="159"/>
    </row>
    <row r="197">
      <c r="A197" s="159"/>
      <c r="B197" s="159"/>
      <c r="C197" s="159"/>
      <c r="D197" s="159"/>
      <c r="E197" s="159"/>
      <c r="F197" s="159"/>
      <c r="G197" s="159"/>
      <c r="H197" s="159"/>
      <c r="I197" s="159"/>
      <c r="J197" s="159"/>
      <c r="K197" s="159"/>
      <c r="L197" s="159"/>
      <c r="N197" s="159"/>
      <c r="O197" s="159"/>
      <c r="P197" s="159"/>
      <c r="Q197" s="159"/>
      <c r="R197" s="159"/>
      <c r="S197" s="159"/>
      <c r="T197" s="159"/>
      <c r="U197" s="159"/>
      <c r="V197" s="159"/>
      <c r="W197" s="159"/>
      <c r="X197" s="159"/>
      <c r="Y197" s="159"/>
      <c r="Z197" s="159"/>
      <c r="AA197" s="159"/>
      <c r="AB197" s="159"/>
    </row>
    <row r="198">
      <c r="A198" s="159"/>
      <c r="B198" s="159"/>
      <c r="C198" s="159"/>
      <c r="D198" s="159"/>
      <c r="E198" s="159"/>
      <c r="F198" s="159"/>
      <c r="G198" s="159"/>
      <c r="H198" s="159"/>
      <c r="I198" s="159"/>
      <c r="J198" s="159"/>
      <c r="K198" s="159"/>
      <c r="L198" s="159"/>
      <c r="N198" s="159"/>
      <c r="O198" s="159"/>
      <c r="P198" s="159"/>
      <c r="Q198" s="159"/>
      <c r="R198" s="159"/>
      <c r="S198" s="159"/>
      <c r="T198" s="159"/>
      <c r="U198" s="159"/>
      <c r="V198" s="159"/>
      <c r="W198" s="159"/>
      <c r="X198" s="159"/>
      <c r="Y198" s="159"/>
      <c r="Z198" s="159"/>
      <c r="AA198" s="159"/>
      <c r="AB198" s="159"/>
    </row>
    <row r="199">
      <c r="A199" s="159"/>
      <c r="B199" s="159"/>
      <c r="C199" s="159"/>
      <c r="D199" s="159"/>
      <c r="E199" s="159"/>
      <c r="F199" s="159"/>
      <c r="G199" s="159"/>
      <c r="H199" s="159"/>
      <c r="I199" s="159"/>
      <c r="J199" s="159"/>
      <c r="K199" s="159"/>
      <c r="L199" s="159"/>
      <c r="N199" s="159"/>
      <c r="O199" s="159"/>
      <c r="P199" s="159"/>
      <c r="Q199" s="159"/>
      <c r="R199" s="159"/>
      <c r="S199" s="159"/>
      <c r="T199" s="159"/>
      <c r="U199" s="159"/>
      <c r="V199" s="159"/>
      <c r="W199" s="159"/>
      <c r="X199" s="159"/>
      <c r="Y199" s="159"/>
      <c r="Z199" s="159"/>
      <c r="AA199" s="159"/>
      <c r="AB199" s="159"/>
    </row>
    <row r="200">
      <c r="A200" s="159"/>
      <c r="B200" s="159"/>
      <c r="C200" s="159"/>
      <c r="D200" s="159"/>
      <c r="E200" s="159"/>
      <c r="F200" s="159"/>
      <c r="G200" s="159"/>
      <c r="H200" s="159"/>
      <c r="I200" s="159"/>
      <c r="J200" s="159"/>
      <c r="K200" s="159"/>
      <c r="L200" s="159"/>
      <c r="N200" s="159"/>
      <c r="O200" s="159"/>
      <c r="P200" s="159"/>
      <c r="Q200" s="159"/>
      <c r="R200" s="159"/>
      <c r="S200" s="159"/>
      <c r="T200" s="159"/>
      <c r="U200" s="159"/>
      <c r="V200" s="159"/>
      <c r="W200" s="159"/>
      <c r="X200" s="159"/>
      <c r="Y200" s="159"/>
      <c r="Z200" s="159"/>
      <c r="AA200" s="159"/>
      <c r="AB200" s="159"/>
    </row>
    <row r="201">
      <c r="A201" s="159"/>
      <c r="B201" s="159"/>
      <c r="C201" s="159"/>
      <c r="D201" s="159"/>
      <c r="E201" s="159"/>
      <c r="F201" s="159"/>
      <c r="G201" s="159"/>
      <c r="H201" s="159"/>
      <c r="I201" s="159"/>
      <c r="J201" s="159"/>
      <c r="K201" s="159"/>
      <c r="L201" s="159"/>
      <c r="N201" s="159"/>
      <c r="O201" s="159"/>
      <c r="P201" s="159"/>
      <c r="Q201" s="159"/>
      <c r="R201" s="159"/>
      <c r="S201" s="159"/>
      <c r="T201" s="159"/>
      <c r="U201" s="159"/>
      <c r="V201" s="159"/>
      <c r="W201" s="159"/>
      <c r="X201" s="159"/>
      <c r="Y201" s="159"/>
      <c r="Z201" s="159"/>
      <c r="AA201" s="159"/>
      <c r="AB201" s="159"/>
    </row>
    <row r="202">
      <c r="A202" s="159"/>
      <c r="B202" s="159"/>
      <c r="C202" s="159"/>
      <c r="D202" s="159"/>
      <c r="E202" s="159"/>
      <c r="F202" s="159"/>
      <c r="G202" s="159"/>
      <c r="H202" s="159"/>
      <c r="I202" s="159"/>
      <c r="J202" s="159"/>
      <c r="K202" s="159"/>
      <c r="L202" s="159"/>
      <c r="N202" s="159"/>
      <c r="O202" s="159"/>
      <c r="P202" s="159"/>
      <c r="Q202" s="159"/>
      <c r="R202" s="159"/>
      <c r="S202" s="159"/>
      <c r="T202" s="159"/>
      <c r="U202" s="159"/>
      <c r="V202" s="159"/>
      <c r="W202" s="159"/>
      <c r="X202" s="159"/>
      <c r="Y202" s="159"/>
      <c r="Z202" s="159"/>
      <c r="AA202" s="159"/>
      <c r="AB202" s="159"/>
    </row>
    <row r="203">
      <c r="A203" s="159"/>
      <c r="B203" s="159"/>
      <c r="C203" s="159"/>
      <c r="D203" s="159"/>
      <c r="E203" s="159"/>
      <c r="F203" s="159"/>
      <c r="G203" s="159"/>
      <c r="H203" s="159"/>
      <c r="I203" s="159"/>
      <c r="J203" s="159"/>
      <c r="K203" s="159"/>
      <c r="L203" s="159"/>
      <c r="N203" s="159"/>
      <c r="O203" s="159"/>
      <c r="P203" s="159"/>
      <c r="Q203" s="159"/>
      <c r="R203" s="159"/>
      <c r="S203" s="159"/>
      <c r="T203" s="159"/>
      <c r="U203" s="159"/>
      <c r="V203" s="159"/>
      <c r="W203" s="159"/>
      <c r="X203" s="159"/>
      <c r="Y203" s="159"/>
      <c r="Z203" s="159"/>
      <c r="AA203" s="159"/>
      <c r="AB203" s="159"/>
    </row>
    <row r="204">
      <c r="A204" s="159"/>
      <c r="B204" s="159"/>
      <c r="C204" s="159"/>
      <c r="D204" s="159"/>
      <c r="E204" s="159"/>
      <c r="F204" s="159"/>
      <c r="G204" s="159"/>
      <c r="H204" s="159"/>
      <c r="I204" s="159"/>
      <c r="J204" s="159"/>
      <c r="K204" s="159"/>
      <c r="L204" s="159"/>
      <c r="N204" s="159"/>
      <c r="O204" s="159"/>
      <c r="P204" s="159"/>
      <c r="Q204" s="159"/>
      <c r="R204" s="159"/>
      <c r="S204" s="159"/>
      <c r="T204" s="159"/>
      <c r="U204" s="159"/>
      <c r="V204" s="159"/>
      <c r="W204" s="159"/>
      <c r="X204" s="159"/>
      <c r="Y204" s="159"/>
      <c r="Z204" s="159"/>
      <c r="AA204" s="159"/>
      <c r="AB204" s="159"/>
    </row>
    <row r="205">
      <c r="A205" s="159"/>
      <c r="B205" s="159"/>
      <c r="C205" s="159"/>
      <c r="D205" s="159"/>
      <c r="E205" s="159"/>
      <c r="F205" s="159"/>
      <c r="G205" s="159"/>
      <c r="H205" s="159"/>
      <c r="I205" s="159"/>
      <c r="J205" s="159"/>
      <c r="K205" s="159"/>
      <c r="L205" s="159"/>
      <c r="N205" s="159"/>
      <c r="O205" s="159"/>
      <c r="P205" s="159"/>
      <c r="Q205" s="159"/>
      <c r="R205" s="159"/>
      <c r="S205" s="159"/>
      <c r="T205" s="159"/>
      <c r="U205" s="159"/>
      <c r="V205" s="159"/>
      <c r="W205" s="159"/>
      <c r="X205" s="159"/>
      <c r="Y205" s="159"/>
      <c r="Z205" s="159"/>
      <c r="AA205" s="159"/>
      <c r="AB205" s="159"/>
    </row>
    <row r="206">
      <c r="A206" s="159"/>
      <c r="B206" s="159"/>
      <c r="C206" s="159"/>
      <c r="D206" s="159"/>
      <c r="E206" s="159"/>
      <c r="F206" s="159"/>
      <c r="G206" s="159"/>
      <c r="H206" s="159"/>
      <c r="I206" s="159"/>
      <c r="J206" s="159"/>
      <c r="K206" s="159"/>
      <c r="L206" s="159"/>
      <c r="N206" s="159"/>
      <c r="O206" s="159"/>
      <c r="P206" s="159"/>
      <c r="Q206" s="159"/>
      <c r="R206" s="159"/>
      <c r="S206" s="159"/>
      <c r="T206" s="159"/>
      <c r="U206" s="159"/>
      <c r="V206" s="159"/>
      <c r="W206" s="159"/>
      <c r="X206" s="159"/>
      <c r="Y206" s="159"/>
      <c r="Z206" s="159"/>
      <c r="AA206" s="159"/>
      <c r="AB206" s="159"/>
    </row>
    <row r="207">
      <c r="A207" s="159"/>
      <c r="B207" s="159"/>
      <c r="C207" s="159"/>
      <c r="D207" s="159"/>
      <c r="E207" s="159"/>
      <c r="F207" s="159"/>
      <c r="G207" s="159"/>
      <c r="H207" s="159"/>
      <c r="I207" s="159"/>
      <c r="J207" s="159"/>
      <c r="K207" s="159"/>
      <c r="L207" s="159"/>
      <c r="N207" s="159"/>
      <c r="O207" s="159"/>
      <c r="P207" s="159"/>
      <c r="Q207" s="159"/>
      <c r="R207" s="159"/>
      <c r="S207" s="159"/>
      <c r="T207" s="159"/>
      <c r="U207" s="159"/>
      <c r="V207" s="159"/>
      <c r="W207" s="159"/>
      <c r="X207" s="159"/>
      <c r="Y207" s="159"/>
      <c r="Z207" s="159"/>
      <c r="AA207" s="159"/>
      <c r="AB207" s="159"/>
    </row>
    <row r="208">
      <c r="A208" s="159"/>
      <c r="B208" s="159"/>
      <c r="C208" s="159"/>
      <c r="D208" s="159"/>
      <c r="E208" s="159"/>
      <c r="F208" s="159"/>
      <c r="G208" s="159"/>
      <c r="H208" s="159"/>
      <c r="I208" s="159"/>
      <c r="J208" s="159"/>
      <c r="K208" s="159"/>
      <c r="L208" s="159"/>
      <c r="N208" s="159"/>
      <c r="O208" s="159"/>
      <c r="P208" s="159"/>
      <c r="Q208" s="159"/>
      <c r="R208" s="159"/>
      <c r="S208" s="159"/>
      <c r="T208" s="159"/>
      <c r="U208" s="159"/>
      <c r="V208" s="159"/>
      <c r="W208" s="159"/>
      <c r="X208" s="159"/>
      <c r="Y208" s="159"/>
      <c r="Z208" s="159"/>
      <c r="AA208" s="159"/>
      <c r="AB208" s="159"/>
    </row>
    <row r="209">
      <c r="A209" s="159"/>
      <c r="B209" s="159"/>
      <c r="C209" s="159"/>
      <c r="D209" s="159"/>
      <c r="E209" s="159"/>
      <c r="F209" s="159"/>
      <c r="G209" s="159"/>
      <c r="H209" s="159"/>
      <c r="I209" s="159"/>
      <c r="J209" s="159"/>
      <c r="K209" s="159"/>
      <c r="L209" s="159"/>
      <c r="N209" s="159"/>
      <c r="O209" s="159"/>
      <c r="P209" s="159"/>
      <c r="Q209" s="159"/>
      <c r="R209" s="159"/>
      <c r="S209" s="159"/>
      <c r="T209" s="159"/>
      <c r="U209" s="159"/>
      <c r="V209" s="159"/>
      <c r="W209" s="159"/>
      <c r="X209" s="159"/>
      <c r="Y209" s="159"/>
      <c r="Z209" s="159"/>
      <c r="AA209" s="159"/>
      <c r="AB209" s="159"/>
    </row>
    <row r="210">
      <c r="A210" s="159"/>
      <c r="B210" s="159"/>
      <c r="C210" s="159"/>
      <c r="D210" s="159"/>
      <c r="E210" s="159"/>
      <c r="F210" s="159"/>
      <c r="G210" s="159"/>
      <c r="H210" s="159"/>
      <c r="I210" s="159"/>
      <c r="J210" s="159"/>
      <c r="K210" s="159"/>
      <c r="L210" s="159"/>
      <c r="N210" s="159"/>
      <c r="O210" s="159"/>
      <c r="P210" s="159"/>
      <c r="Q210" s="159"/>
      <c r="R210" s="159"/>
      <c r="S210" s="159"/>
      <c r="T210" s="159"/>
      <c r="U210" s="159"/>
      <c r="V210" s="159"/>
      <c r="W210" s="159"/>
      <c r="X210" s="159"/>
      <c r="Y210" s="159"/>
      <c r="Z210" s="159"/>
      <c r="AA210" s="159"/>
      <c r="AB210" s="159"/>
    </row>
    <row r="211">
      <c r="A211" s="159"/>
      <c r="B211" s="159"/>
      <c r="C211" s="159"/>
      <c r="D211" s="159"/>
      <c r="E211" s="159"/>
      <c r="F211" s="159"/>
      <c r="G211" s="159"/>
      <c r="H211" s="159"/>
      <c r="I211" s="159"/>
      <c r="J211" s="159"/>
      <c r="K211" s="159"/>
      <c r="L211" s="159"/>
      <c r="N211" s="159"/>
      <c r="O211" s="159"/>
      <c r="P211" s="159"/>
      <c r="Q211" s="159"/>
      <c r="R211" s="159"/>
      <c r="S211" s="159"/>
      <c r="T211" s="159"/>
      <c r="U211" s="159"/>
      <c r="V211" s="159"/>
      <c r="W211" s="159"/>
      <c r="X211" s="159"/>
      <c r="Y211" s="159"/>
      <c r="Z211" s="159"/>
      <c r="AA211" s="159"/>
      <c r="AB211" s="159"/>
    </row>
    <row r="212">
      <c r="A212" s="159"/>
      <c r="B212" s="159"/>
      <c r="C212" s="159"/>
      <c r="D212" s="159"/>
      <c r="E212" s="159"/>
      <c r="F212" s="159"/>
      <c r="G212" s="159"/>
      <c r="H212" s="159"/>
      <c r="I212" s="159"/>
      <c r="J212" s="159"/>
      <c r="K212" s="159"/>
      <c r="L212" s="159"/>
      <c r="N212" s="159"/>
      <c r="O212" s="159"/>
      <c r="P212" s="159"/>
      <c r="Q212" s="159"/>
      <c r="R212" s="159"/>
      <c r="S212" s="159"/>
      <c r="T212" s="159"/>
      <c r="U212" s="159"/>
      <c r="V212" s="159"/>
      <c r="W212" s="159"/>
      <c r="X212" s="159"/>
      <c r="Y212" s="159"/>
      <c r="Z212" s="159"/>
      <c r="AA212" s="159"/>
      <c r="AB212" s="159"/>
    </row>
    <row r="213">
      <c r="A213" s="159"/>
      <c r="B213" s="159"/>
      <c r="C213" s="159"/>
      <c r="D213" s="159"/>
      <c r="E213" s="159"/>
      <c r="F213" s="159"/>
      <c r="G213" s="159"/>
      <c r="H213" s="159"/>
      <c r="I213" s="159"/>
      <c r="J213" s="159"/>
      <c r="K213" s="159"/>
      <c r="L213" s="159"/>
      <c r="N213" s="159"/>
      <c r="O213" s="159"/>
      <c r="P213" s="159"/>
      <c r="Q213" s="159"/>
      <c r="R213" s="159"/>
      <c r="S213" s="159"/>
      <c r="T213" s="159"/>
      <c r="U213" s="159"/>
      <c r="V213" s="159"/>
      <c r="W213" s="159"/>
      <c r="X213" s="159"/>
      <c r="Y213" s="159"/>
      <c r="Z213" s="159"/>
      <c r="AA213" s="159"/>
      <c r="AB213" s="159"/>
    </row>
    <row r="214">
      <c r="A214" s="159"/>
      <c r="B214" s="159"/>
      <c r="C214" s="159"/>
      <c r="D214" s="159"/>
      <c r="E214" s="159"/>
      <c r="F214" s="159"/>
      <c r="G214" s="159"/>
      <c r="H214" s="159"/>
      <c r="I214" s="159"/>
      <c r="J214" s="159"/>
      <c r="K214" s="159"/>
      <c r="L214" s="159"/>
      <c r="N214" s="159"/>
      <c r="O214" s="159"/>
      <c r="P214" s="159"/>
      <c r="Q214" s="159"/>
      <c r="R214" s="159"/>
      <c r="S214" s="159"/>
      <c r="T214" s="159"/>
      <c r="U214" s="159"/>
      <c r="V214" s="159"/>
      <c r="W214" s="159"/>
      <c r="X214" s="159"/>
      <c r="Y214" s="159"/>
      <c r="Z214" s="159"/>
      <c r="AA214" s="159"/>
      <c r="AB214" s="159"/>
    </row>
    <row r="215">
      <c r="A215" s="159"/>
      <c r="B215" s="159"/>
      <c r="C215" s="159"/>
      <c r="D215" s="159"/>
      <c r="E215" s="159"/>
      <c r="F215" s="159"/>
      <c r="G215" s="159"/>
      <c r="H215" s="159"/>
      <c r="I215" s="159"/>
      <c r="J215" s="159"/>
      <c r="K215" s="159"/>
      <c r="L215" s="159"/>
      <c r="N215" s="159"/>
      <c r="O215" s="159"/>
      <c r="P215" s="159"/>
      <c r="Q215" s="159"/>
      <c r="R215" s="159"/>
      <c r="S215" s="159"/>
      <c r="T215" s="159"/>
      <c r="U215" s="159"/>
      <c r="V215" s="159"/>
      <c r="W215" s="159"/>
      <c r="X215" s="159"/>
      <c r="Y215" s="159"/>
      <c r="Z215" s="159"/>
      <c r="AA215" s="159"/>
      <c r="AB215" s="159"/>
    </row>
    <row r="216">
      <c r="A216" s="159"/>
      <c r="B216" s="159"/>
      <c r="C216" s="159"/>
      <c r="D216" s="159"/>
      <c r="E216" s="159"/>
      <c r="F216" s="159"/>
      <c r="G216" s="159"/>
      <c r="H216" s="159"/>
      <c r="I216" s="159"/>
      <c r="J216" s="159"/>
      <c r="K216" s="159"/>
      <c r="L216" s="159"/>
      <c r="N216" s="159"/>
      <c r="O216" s="159"/>
      <c r="P216" s="159"/>
      <c r="Q216" s="159"/>
      <c r="R216" s="159"/>
      <c r="S216" s="159"/>
      <c r="T216" s="159"/>
      <c r="U216" s="159"/>
      <c r="V216" s="159"/>
      <c r="W216" s="159"/>
      <c r="X216" s="159"/>
      <c r="Y216" s="159"/>
      <c r="Z216" s="159"/>
      <c r="AA216" s="159"/>
      <c r="AB216" s="159"/>
    </row>
    <row r="217">
      <c r="A217" s="159"/>
      <c r="B217" s="159"/>
      <c r="C217" s="159"/>
      <c r="D217" s="159"/>
      <c r="E217" s="159"/>
      <c r="F217" s="159"/>
      <c r="G217" s="159"/>
      <c r="H217" s="159"/>
      <c r="I217" s="159"/>
      <c r="J217" s="159"/>
      <c r="K217" s="159"/>
      <c r="L217" s="159"/>
      <c r="N217" s="159"/>
      <c r="O217" s="159"/>
      <c r="P217" s="159"/>
      <c r="Q217" s="159"/>
      <c r="R217" s="159"/>
      <c r="S217" s="159"/>
      <c r="T217" s="159"/>
      <c r="U217" s="159"/>
      <c r="V217" s="159"/>
      <c r="W217" s="159"/>
      <c r="X217" s="159"/>
      <c r="Y217" s="159"/>
      <c r="Z217" s="159"/>
      <c r="AA217" s="159"/>
      <c r="AB217" s="159"/>
    </row>
    <row r="218">
      <c r="A218" s="159"/>
      <c r="B218" s="159"/>
      <c r="C218" s="159"/>
      <c r="D218" s="159"/>
      <c r="E218" s="159"/>
      <c r="F218" s="159"/>
      <c r="G218" s="159"/>
      <c r="H218" s="159"/>
      <c r="I218" s="159"/>
      <c r="J218" s="159"/>
      <c r="K218" s="159"/>
      <c r="L218" s="159"/>
      <c r="N218" s="159"/>
      <c r="O218" s="159"/>
      <c r="P218" s="159"/>
      <c r="Q218" s="159"/>
      <c r="R218" s="159"/>
      <c r="S218" s="159"/>
      <c r="T218" s="159"/>
      <c r="U218" s="159"/>
      <c r="V218" s="159"/>
      <c r="W218" s="159"/>
      <c r="X218" s="159"/>
      <c r="Y218" s="159"/>
      <c r="Z218" s="159"/>
      <c r="AA218" s="159"/>
      <c r="AB218" s="159"/>
    </row>
    <row r="219">
      <c r="A219" s="159"/>
      <c r="B219" s="159"/>
      <c r="C219" s="159"/>
      <c r="D219" s="159"/>
      <c r="E219" s="159"/>
      <c r="F219" s="159"/>
      <c r="G219" s="159"/>
      <c r="H219" s="159"/>
      <c r="I219" s="159"/>
      <c r="J219" s="159"/>
      <c r="K219" s="159"/>
      <c r="L219" s="159"/>
      <c r="N219" s="159"/>
      <c r="O219" s="159"/>
      <c r="P219" s="159"/>
      <c r="Q219" s="159"/>
      <c r="R219" s="159"/>
      <c r="S219" s="159"/>
      <c r="T219" s="159"/>
      <c r="U219" s="159"/>
      <c r="V219" s="159"/>
      <c r="W219" s="159"/>
      <c r="X219" s="159"/>
      <c r="Y219" s="159"/>
      <c r="Z219" s="159"/>
      <c r="AA219" s="159"/>
      <c r="AB219" s="159"/>
    </row>
    <row r="220">
      <c r="A220" s="159"/>
      <c r="B220" s="159"/>
      <c r="C220" s="159"/>
      <c r="D220" s="159"/>
      <c r="E220" s="159"/>
      <c r="F220" s="159"/>
      <c r="G220" s="159"/>
      <c r="H220" s="159"/>
      <c r="I220" s="159"/>
      <c r="J220" s="159"/>
      <c r="K220" s="159"/>
      <c r="L220" s="159"/>
      <c r="N220" s="159"/>
      <c r="O220" s="159"/>
      <c r="P220" s="159"/>
      <c r="Q220" s="159"/>
      <c r="R220" s="159"/>
      <c r="S220" s="159"/>
      <c r="T220" s="159"/>
      <c r="U220" s="159"/>
      <c r="V220" s="159"/>
      <c r="W220" s="159"/>
      <c r="X220" s="159"/>
      <c r="Y220" s="159"/>
      <c r="Z220" s="159"/>
      <c r="AA220" s="159"/>
      <c r="AB220" s="159"/>
    </row>
    <row r="221">
      <c r="A221" s="159"/>
      <c r="B221" s="159"/>
      <c r="C221" s="159"/>
      <c r="D221" s="159"/>
      <c r="E221" s="159"/>
      <c r="F221" s="159"/>
      <c r="G221" s="159"/>
      <c r="H221" s="159"/>
      <c r="I221" s="159"/>
      <c r="J221" s="159"/>
      <c r="K221" s="159"/>
      <c r="L221" s="159"/>
      <c r="N221" s="159"/>
      <c r="O221" s="159"/>
      <c r="P221" s="159"/>
      <c r="Q221" s="159"/>
      <c r="R221" s="159"/>
      <c r="S221" s="159"/>
      <c r="T221" s="159"/>
      <c r="U221" s="159"/>
      <c r="V221" s="159"/>
      <c r="W221" s="159"/>
      <c r="X221" s="159"/>
      <c r="Y221" s="159"/>
      <c r="Z221" s="159"/>
      <c r="AA221" s="159"/>
      <c r="AB221" s="159"/>
    </row>
    <row r="222">
      <c r="A222" s="159"/>
      <c r="B222" s="159"/>
      <c r="C222" s="159"/>
      <c r="D222" s="159"/>
      <c r="E222" s="159"/>
      <c r="F222" s="159"/>
      <c r="G222" s="159"/>
      <c r="H222" s="159"/>
      <c r="I222" s="159"/>
      <c r="J222" s="159"/>
      <c r="K222" s="159"/>
      <c r="L222" s="159"/>
      <c r="N222" s="159"/>
      <c r="O222" s="159"/>
      <c r="P222" s="159"/>
      <c r="Q222" s="159"/>
      <c r="R222" s="159"/>
      <c r="S222" s="159"/>
      <c r="T222" s="159"/>
      <c r="U222" s="159"/>
      <c r="V222" s="159"/>
      <c r="W222" s="159"/>
      <c r="X222" s="159"/>
      <c r="Y222" s="159"/>
      <c r="Z222" s="159"/>
      <c r="AA222" s="159"/>
      <c r="AB222" s="159"/>
    </row>
    <row r="223">
      <c r="A223" s="159"/>
      <c r="B223" s="159"/>
      <c r="C223" s="159"/>
      <c r="D223" s="159"/>
      <c r="E223" s="159"/>
      <c r="F223" s="159"/>
      <c r="G223" s="159"/>
      <c r="H223" s="159"/>
      <c r="I223" s="159"/>
      <c r="J223" s="159"/>
      <c r="K223" s="159"/>
      <c r="L223" s="159"/>
      <c r="N223" s="159"/>
      <c r="O223" s="159"/>
      <c r="P223" s="159"/>
      <c r="Q223" s="159"/>
      <c r="R223" s="159"/>
      <c r="S223" s="159"/>
      <c r="T223" s="159"/>
      <c r="U223" s="159"/>
      <c r="V223" s="159"/>
      <c r="W223" s="159"/>
      <c r="X223" s="159"/>
      <c r="Y223" s="159"/>
      <c r="Z223" s="159"/>
      <c r="AA223" s="159"/>
      <c r="AB223" s="159"/>
    </row>
    <row r="224">
      <c r="A224" s="159"/>
      <c r="B224" s="159"/>
      <c r="C224" s="159"/>
      <c r="D224" s="159"/>
      <c r="E224" s="159"/>
      <c r="F224" s="159"/>
      <c r="G224" s="159"/>
      <c r="H224" s="159"/>
      <c r="I224" s="159"/>
      <c r="J224" s="159"/>
      <c r="K224" s="159"/>
      <c r="L224" s="159"/>
      <c r="N224" s="159"/>
      <c r="O224" s="159"/>
      <c r="P224" s="159"/>
      <c r="Q224" s="159"/>
      <c r="R224" s="159"/>
      <c r="S224" s="159"/>
      <c r="T224" s="159"/>
      <c r="U224" s="159"/>
      <c r="V224" s="159"/>
      <c r="W224" s="159"/>
      <c r="X224" s="159"/>
      <c r="Y224" s="159"/>
      <c r="Z224" s="159"/>
      <c r="AA224" s="159"/>
      <c r="AB224" s="159"/>
    </row>
    <row r="225">
      <c r="A225" s="159"/>
      <c r="B225" s="159"/>
      <c r="C225" s="159"/>
      <c r="D225" s="159"/>
      <c r="E225" s="159"/>
      <c r="F225" s="159"/>
      <c r="G225" s="159"/>
      <c r="H225" s="159"/>
      <c r="I225" s="159"/>
      <c r="J225" s="159"/>
      <c r="K225" s="159"/>
      <c r="L225" s="159"/>
      <c r="N225" s="159"/>
      <c r="O225" s="159"/>
      <c r="P225" s="159"/>
      <c r="Q225" s="159"/>
      <c r="R225" s="159"/>
      <c r="S225" s="159"/>
      <c r="T225" s="159"/>
      <c r="U225" s="159"/>
      <c r="V225" s="159"/>
      <c r="W225" s="159"/>
      <c r="X225" s="159"/>
      <c r="Y225" s="159"/>
      <c r="Z225" s="159"/>
      <c r="AA225" s="159"/>
      <c r="AB225" s="159"/>
    </row>
    <row r="226">
      <c r="A226" s="159"/>
      <c r="B226" s="159"/>
      <c r="C226" s="159"/>
      <c r="D226" s="159"/>
      <c r="E226" s="159"/>
      <c r="F226" s="159"/>
      <c r="G226" s="159"/>
      <c r="H226" s="159"/>
      <c r="I226" s="159"/>
      <c r="J226" s="159"/>
      <c r="K226" s="159"/>
      <c r="L226" s="159"/>
      <c r="N226" s="159"/>
      <c r="O226" s="159"/>
      <c r="P226" s="159"/>
      <c r="Q226" s="159"/>
      <c r="R226" s="159"/>
      <c r="S226" s="159"/>
      <c r="T226" s="159"/>
      <c r="U226" s="159"/>
      <c r="V226" s="159"/>
      <c r="W226" s="159"/>
      <c r="X226" s="159"/>
      <c r="Y226" s="159"/>
      <c r="Z226" s="159"/>
      <c r="AA226" s="159"/>
      <c r="AB226" s="159"/>
    </row>
    <row r="227">
      <c r="A227" s="159"/>
      <c r="B227" s="159"/>
      <c r="C227" s="159"/>
      <c r="D227" s="159"/>
      <c r="E227" s="159"/>
      <c r="F227" s="159"/>
      <c r="G227" s="159"/>
      <c r="H227" s="159"/>
      <c r="I227" s="159"/>
      <c r="J227" s="159"/>
      <c r="K227" s="159"/>
      <c r="L227" s="159"/>
      <c r="N227" s="159"/>
      <c r="O227" s="159"/>
      <c r="P227" s="159"/>
      <c r="Q227" s="159"/>
      <c r="R227" s="159"/>
      <c r="S227" s="159"/>
      <c r="T227" s="159"/>
      <c r="U227" s="159"/>
      <c r="V227" s="159"/>
      <c r="W227" s="159"/>
      <c r="X227" s="159"/>
      <c r="Y227" s="159"/>
      <c r="Z227" s="159"/>
      <c r="AA227" s="159"/>
      <c r="AB227" s="159"/>
    </row>
    <row r="228">
      <c r="A228" s="159"/>
      <c r="B228" s="159"/>
      <c r="C228" s="159"/>
      <c r="D228" s="159"/>
      <c r="E228" s="159"/>
      <c r="F228" s="159"/>
      <c r="G228" s="159"/>
      <c r="H228" s="159"/>
      <c r="I228" s="159"/>
      <c r="J228" s="159"/>
      <c r="K228" s="159"/>
      <c r="L228" s="159"/>
      <c r="N228" s="159"/>
      <c r="O228" s="159"/>
      <c r="P228" s="159"/>
      <c r="Q228" s="159"/>
      <c r="R228" s="159"/>
      <c r="S228" s="159"/>
      <c r="T228" s="159"/>
      <c r="U228" s="159"/>
      <c r="V228" s="159"/>
      <c r="W228" s="159"/>
      <c r="X228" s="159"/>
      <c r="Y228" s="159"/>
      <c r="Z228" s="159"/>
      <c r="AA228" s="159"/>
      <c r="AB228" s="159"/>
    </row>
    <row r="229">
      <c r="A229" s="159"/>
      <c r="B229" s="159"/>
      <c r="C229" s="159"/>
      <c r="D229" s="159"/>
      <c r="E229" s="159"/>
      <c r="F229" s="159"/>
      <c r="G229" s="159"/>
      <c r="H229" s="159"/>
      <c r="I229" s="159"/>
      <c r="J229" s="159"/>
      <c r="K229" s="159"/>
      <c r="L229" s="159"/>
      <c r="N229" s="159"/>
      <c r="O229" s="159"/>
      <c r="P229" s="159"/>
      <c r="Q229" s="159"/>
      <c r="R229" s="159"/>
      <c r="S229" s="159"/>
      <c r="T229" s="159"/>
      <c r="U229" s="159"/>
      <c r="V229" s="159"/>
      <c r="W229" s="159"/>
      <c r="X229" s="159"/>
      <c r="Y229" s="159"/>
      <c r="Z229" s="159"/>
      <c r="AA229" s="159"/>
      <c r="AB229" s="159"/>
    </row>
    <row r="230">
      <c r="A230" s="159"/>
      <c r="B230" s="159"/>
      <c r="C230" s="159"/>
      <c r="D230" s="159"/>
      <c r="E230" s="159"/>
      <c r="F230" s="159"/>
      <c r="G230" s="159"/>
      <c r="H230" s="159"/>
      <c r="I230" s="159"/>
      <c r="J230" s="159"/>
      <c r="K230" s="159"/>
      <c r="L230" s="159"/>
      <c r="N230" s="159"/>
      <c r="O230" s="159"/>
      <c r="P230" s="159"/>
      <c r="Q230" s="159"/>
      <c r="R230" s="159"/>
      <c r="S230" s="159"/>
      <c r="T230" s="159"/>
      <c r="U230" s="159"/>
      <c r="V230" s="159"/>
      <c r="W230" s="159"/>
      <c r="X230" s="159"/>
      <c r="Y230" s="159"/>
      <c r="Z230" s="159"/>
      <c r="AA230" s="159"/>
      <c r="AB230" s="159"/>
    </row>
    <row r="231">
      <c r="A231" s="159"/>
      <c r="B231" s="159"/>
      <c r="C231" s="159"/>
      <c r="D231" s="159"/>
      <c r="E231" s="159"/>
      <c r="F231" s="159"/>
      <c r="G231" s="159"/>
      <c r="H231" s="159"/>
      <c r="I231" s="159"/>
      <c r="J231" s="159"/>
      <c r="K231" s="159"/>
      <c r="L231" s="159"/>
      <c r="N231" s="159"/>
      <c r="O231" s="159"/>
      <c r="P231" s="159"/>
      <c r="Q231" s="159"/>
      <c r="R231" s="159"/>
      <c r="S231" s="159"/>
      <c r="T231" s="159"/>
      <c r="U231" s="159"/>
      <c r="V231" s="159"/>
      <c r="W231" s="159"/>
      <c r="X231" s="159"/>
      <c r="Y231" s="159"/>
      <c r="Z231" s="159"/>
      <c r="AA231" s="159"/>
      <c r="AB231" s="159"/>
    </row>
    <row r="232">
      <c r="A232" s="159"/>
      <c r="B232" s="159"/>
      <c r="C232" s="159"/>
      <c r="D232" s="159"/>
      <c r="E232" s="159"/>
      <c r="F232" s="159"/>
      <c r="G232" s="159"/>
      <c r="H232" s="159"/>
      <c r="I232" s="159"/>
      <c r="J232" s="159"/>
      <c r="K232" s="159"/>
      <c r="L232" s="159"/>
      <c r="N232" s="159"/>
      <c r="O232" s="159"/>
      <c r="P232" s="159"/>
      <c r="Q232" s="159"/>
      <c r="R232" s="159"/>
      <c r="S232" s="159"/>
      <c r="T232" s="159"/>
      <c r="U232" s="159"/>
      <c r="V232" s="159"/>
      <c r="W232" s="159"/>
      <c r="X232" s="159"/>
      <c r="Y232" s="159"/>
      <c r="Z232" s="159"/>
      <c r="AA232" s="159"/>
      <c r="AB232" s="159"/>
    </row>
    <row r="233">
      <c r="A233" s="159"/>
      <c r="B233" s="159"/>
      <c r="C233" s="159"/>
      <c r="D233" s="159"/>
      <c r="E233" s="159"/>
      <c r="F233" s="159"/>
      <c r="G233" s="159"/>
      <c r="H233" s="159"/>
      <c r="I233" s="159"/>
      <c r="J233" s="159"/>
      <c r="K233" s="159"/>
      <c r="L233" s="159"/>
      <c r="N233" s="159"/>
      <c r="O233" s="159"/>
      <c r="P233" s="159"/>
      <c r="Q233" s="159"/>
      <c r="R233" s="159"/>
      <c r="S233" s="159"/>
      <c r="T233" s="159"/>
      <c r="U233" s="159"/>
      <c r="V233" s="159"/>
      <c r="W233" s="159"/>
      <c r="X233" s="159"/>
      <c r="Y233" s="159"/>
      <c r="Z233" s="159"/>
      <c r="AA233" s="159"/>
      <c r="AB233" s="159"/>
    </row>
    <row r="234">
      <c r="A234" s="159"/>
      <c r="B234" s="159"/>
      <c r="C234" s="159"/>
      <c r="D234" s="159"/>
      <c r="E234" s="159"/>
      <c r="F234" s="159"/>
      <c r="G234" s="159"/>
      <c r="H234" s="159"/>
      <c r="I234" s="159"/>
      <c r="J234" s="159"/>
      <c r="K234" s="159"/>
      <c r="L234" s="159"/>
      <c r="N234" s="159"/>
      <c r="O234" s="159"/>
      <c r="P234" s="159"/>
      <c r="Q234" s="159"/>
      <c r="R234" s="159"/>
      <c r="S234" s="159"/>
      <c r="T234" s="159"/>
      <c r="U234" s="159"/>
      <c r="V234" s="159"/>
      <c r="W234" s="159"/>
      <c r="X234" s="159"/>
      <c r="Y234" s="159"/>
      <c r="Z234" s="159"/>
      <c r="AA234" s="159"/>
      <c r="AB234" s="159"/>
    </row>
    <row r="235">
      <c r="A235" s="159"/>
      <c r="B235" s="159"/>
      <c r="C235" s="159"/>
      <c r="D235" s="159"/>
      <c r="E235" s="159"/>
      <c r="F235" s="159"/>
      <c r="G235" s="159"/>
      <c r="H235" s="159"/>
      <c r="I235" s="159"/>
      <c r="J235" s="159"/>
      <c r="K235" s="159"/>
      <c r="L235" s="159"/>
      <c r="N235" s="159"/>
      <c r="O235" s="159"/>
      <c r="P235" s="159"/>
      <c r="Q235" s="159"/>
      <c r="R235" s="159"/>
      <c r="S235" s="159"/>
      <c r="T235" s="159"/>
      <c r="U235" s="159"/>
      <c r="V235" s="159"/>
      <c r="W235" s="159"/>
      <c r="X235" s="159"/>
      <c r="Y235" s="159"/>
      <c r="Z235" s="159"/>
      <c r="AA235" s="159"/>
      <c r="AB235" s="159"/>
    </row>
    <row r="236">
      <c r="A236" s="159"/>
      <c r="B236" s="159"/>
      <c r="C236" s="159"/>
      <c r="D236" s="159"/>
      <c r="E236" s="159"/>
      <c r="F236" s="159"/>
      <c r="G236" s="159"/>
      <c r="H236" s="159"/>
      <c r="I236" s="159"/>
      <c r="J236" s="159"/>
      <c r="K236" s="159"/>
      <c r="L236" s="159"/>
      <c r="N236" s="159"/>
      <c r="O236" s="159"/>
      <c r="P236" s="159"/>
      <c r="Q236" s="159"/>
      <c r="R236" s="159"/>
      <c r="S236" s="159"/>
      <c r="T236" s="159"/>
      <c r="U236" s="159"/>
      <c r="V236" s="159"/>
      <c r="W236" s="159"/>
      <c r="X236" s="159"/>
      <c r="Y236" s="159"/>
      <c r="Z236" s="159"/>
      <c r="AA236" s="159"/>
      <c r="AB236" s="159"/>
    </row>
    <row r="237">
      <c r="A237" s="159"/>
      <c r="B237" s="159"/>
      <c r="C237" s="159"/>
      <c r="D237" s="159"/>
      <c r="E237" s="159"/>
      <c r="F237" s="159"/>
      <c r="G237" s="159"/>
      <c r="H237" s="159"/>
      <c r="I237" s="159"/>
      <c r="J237" s="159"/>
      <c r="K237" s="159"/>
      <c r="L237" s="159"/>
      <c r="N237" s="159"/>
      <c r="O237" s="159"/>
      <c r="P237" s="159"/>
      <c r="Q237" s="159"/>
      <c r="R237" s="159"/>
      <c r="S237" s="159"/>
      <c r="T237" s="159"/>
      <c r="U237" s="159"/>
      <c r="V237" s="159"/>
      <c r="W237" s="159"/>
      <c r="X237" s="159"/>
      <c r="Y237" s="159"/>
      <c r="Z237" s="159"/>
      <c r="AA237" s="159"/>
      <c r="AB237" s="159"/>
    </row>
    <row r="238">
      <c r="A238" s="159"/>
      <c r="B238" s="159"/>
      <c r="C238" s="159"/>
      <c r="D238" s="159"/>
      <c r="E238" s="159"/>
      <c r="F238" s="159"/>
      <c r="G238" s="159"/>
      <c r="H238" s="159"/>
      <c r="I238" s="159"/>
      <c r="J238" s="159"/>
      <c r="K238" s="159"/>
      <c r="L238" s="159"/>
      <c r="N238" s="159"/>
      <c r="O238" s="159"/>
      <c r="P238" s="159"/>
      <c r="Q238" s="159"/>
      <c r="R238" s="159"/>
      <c r="S238" s="159"/>
      <c r="T238" s="159"/>
      <c r="U238" s="159"/>
      <c r="V238" s="159"/>
      <c r="W238" s="159"/>
      <c r="X238" s="159"/>
      <c r="Y238" s="159"/>
      <c r="Z238" s="159"/>
      <c r="AA238" s="159"/>
      <c r="AB238" s="159"/>
    </row>
    <row r="239">
      <c r="A239" s="159"/>
      <c r="B239" s="159"/>
      <c r="C239" s="159"/>
      <c r="D239" s="159"/>
      <c r="E239" s="159"/>
      <c r="F239" s="159"/>
      <c r="G239" s="159"/>
      <c r="H239" s="159"/>
      <c r="I239" s="159"/>
      <c r="J239" s="159"/>
      <c r="K239" s="159"/>
      <c r="L239" s="159"/>
      <c r="N239" s="159"/>
      <c r="O239" s="159"/>
      <c r="P239" s="159"/>
      <c r="Q239" s="159"/>
      <c r="R239" s="159"/>
      <c r="S239" s="159"/>
      <c r="T239" s="159"/>
      <c r="U239" s="159"/>
      <c r="V239" s="159"/>
      <c r="W239" s="159"/>
      <c r="X239" s="159"/>
      <c r="Y239" s="159"/>
      <c r="Z239" s="159"/>
      <c r="AA239" s="159"/>
      <c r="AB239" s="159"/>
    </row>
    <row r="240">
      <c r="A240" s="159"/>
      <c r="B240" s="159"/>
      <c r="C240" s="159"/>
      <c r="D240" s="159"/>
      <c r="E240" s="159"/>
      <c r="F240" s="159"/>
      <c r="G240" s="159"/>
      <c r="H240" s="159"/>
      <c r="I240" s="159"/>
      <c r="J240" s="159"/>
      <c r="K240" s="159"/>
      <c r="L240" s="159"/>
      <c r="N240" s="159"/>
      <c r="O240" s="159"/>
      <c r="P240" s="159"/>
      <c r="Q240" s="159"/>
      <c r="R240" s="159"/>
      <c r="S240" s="159"/>
      <c r="T240" s="159"/>
      <c r="U240" s="159"/>
      <c r="V240" s="159"/>
      <c r="W240" s="159"/>
      <c r="X240" s="159"/>
      <c r="Y240" s="159"/>
      <c r="Z240" s="159"/>
      <c r="AA240" s="159"/>
      <c r="AB240" s="159"/>
    </row>
    <row r="241">
      <c r="A241" s="159"/>
      <c r="B241" s="159"/>
      <c r="C241" s="159"/>
      <c r="D241" s="159"/>
      <c r="E241" s="159"/>
      <c r="F241" s="159"/>
      <c r="G241" s="159"/>
      <c r="H241" s="159"/>
      <c r="I241" s="159"/>
      <c r="J241" s="159"/>
      <c r="K241" s="159"/>
      <c r="L241" s="159"/>
      <c r="N241" s="159"/>
      <c r="O241" s="159"/>
      <c r="P241" s="159"/>
      <c r="Q241" s="159"/>
      <c r="R241" s="159"/>
      <c r="S241" s="159"/>
      <c r="T241" s="159"/>
      <c r="U241" s="159"/>
      <c r="V241" s="159"/>
      <c r="W241" s="159"/>
      <c r="X241" s="159"/>
      <c r="Y241" s="159"/>
      <c r="Z241" s="159"/>
      <c r="AA241" s="159"/>
      <c r="AB241" s="159"/>
    </row>
    <row r="242">
      <c r="A242" s="159"/>
      <c r="B242" s="159"/>
      <c r="C242" s="159"/>
      <c r="D242" s="159"/>
      <c r="E242" s="159"/>
      <c r="F242" s="159"/>
      <c r="G242" s="159"/>
      <c r="H242" s="159"/>
      <c r="I242" s="159"/>
      <c r="J242" s="159"/>
      <c r="K242" s="159"/>
      <c r="L242" s="159"/>
      <c r="N242" s="159"/>
      <c r="O242" s="159"/>
      <c r="P242" s="159"/>
      <c r="Q242" s="159"/>
      <c r="R242" s="159"/>
      <c r="S242" s="159"/>
      <c r="T242" s="159"/>
      <c r="U242" s="159"/>
      <c r="V242" s="159"/>
      <c r="W242" s="159"/>
      <c r="X242" s="159"/>
      <c r="Y242" s="159"/>
      <c r="Z242" s="159"/>
      <c r="AA242" s="159"/>
      <c r="AB242" s="159"/>
    </row>
    <row r="243">
      <c r="A243" s="159"/>
      <c r="B243" s="159"/>
      <c r="C243" s="159"/>
      <c r="D243" s="159"/>
      <c r="E243" s="159"/>
      <c r="F243" s="159"/>
      <c r="G243" s="159"/>
      <c r="H243" s="159"/>
      <c r="I243" s="159"/>
      <c r="J243" s="159"/>
      <c r="K243" s="159"/>
      <c r="L243" s="159"/>
      <c r="N243" s="159"/>
      <c r="O243" s="159"/>
      <c r="P243" s="159"/>
      <c r="Q243" s="159"/>
      <c r="R243" s="159"/>
      <c r="S243" s="159"/>
      <c r="T243" s="159"/>
      <c r="U243" s="159"/>
      <c r="V243" s="159"/>
      <c r="W243" s="159"/>
      <c r="X243" s="159"/>
      <c r="Y243" s="159"/>
      <c r="Z243" s="159"/>
      <c r="AA243" s="159"/>
      <c r="AB243" s="159"/>
    </row>
    <row r="244">
      <c r="A244" s="159"/>
      <c r="B244" s="159"/>
      <c r="C244" s="159"/>
      <c r="D244" s="159"/>
      <c r="E244" s="159"/>
      <c r="F244" s="159"/>
      <c r="G244" s="159"/>
      <c r="H244" s="159"/>
      <c r="I244" s="159"/>
      <c r="J244" s="159"/>
      <c r="K244" s="159"/>
      <c r="L244" s="159"/>
      <c r="N244" s="159"/>
      <c r="O244" s="159"/>
      <c r="P244" s="159"/>
      <c r="Q244" s="159"/>
      <c r="R244" s="159"/>
      <c r="S244" s="159"/>
      <c r="T244" s="159"/>
      <c r="U244" s="159"/>
      <c r="V244" s="159"/>
      <c r="W244" s="159"/>
      <c r="X244" s="159"/>
      <c r="Y244" s="159"/>
      <c r="Z244" s="159"/>
      <c r="AA244" s="159"/>
      <c r="AB244" s="159"/>
    </row>
    <row r="245">
      <c r="A245" s="159"/>
      <c r="B245" s="159"/>
      <c r="C245" s="159"/>
      <c r="D245" s="159"/>
      <c r="E245" s="159"/>
      <c r="F245" s="159"/>
      <c r="G245" s="159"/>
      <c r="H245" s="159"/>
      <c r="I245" s="159"/>
      <c r="J245" s="159"/>
      <c r="K245" s="159"/>
      <c r="L245" s="159"/>
      <c r="N245" s="159"/>
      <c r="O245" s="159"/>
      <c r="P245" s="159"/>
      <c r="Q245" s="159"/>
      <c r="R245" s="159"/>
      <c r="S245" s="159"/>
      <c r="T245" s="159"/>
      <c r="U245" s="159"/>
      <c r="V245" s="159"/>
      <c r="W245" s="159"/>
      <c r="X245" s="159"/>
      <c r="Y245" s="159"/>
      <c r="Z245" s="159"/>
      <c r="AA245" s="159"/>
      <c r="AB245" s="159"/>
    </row>
    <row r="246">
      <c r="A246" s="159"/>
      <c r="B246" s="159"/>
      <c r="C246" s="159"/>
      <c r="D246" s="159"/>
      <c r="E246" s="159"/>
      <c r="F246" s="159"/>
      <c r="G246" s="159"/>
      <c r="H246" s="159"/>
      <c r="I246" s="159"/>
      <c r="J246" s="159"/>
      <c r="K246" s="159"/>
      <c r="L246" s="159"/>
      <c r="N246" s="159"/>
      <c r="O246" s="159"/>
      <c r="P246" s="159"/>
      <c r="Q246" s="159"/>
      <c r="R246" s="159"/>
      <c r="S246" s="159"/>
      <c r="T246" s="159"/>
      <c r="U246" s="159"/>
      <c r="V246" s="159"/>
      <c r="W246" s="159"/>
      <c r="X246" s="159"/>
      <c r="Y246" s="159"/>
      <c r="Z246" s="159"/>
      <c r="AA246" s="159"/>
      <c r="AB246" s="159"/>
    </row>
    <row r="247">
      <c r="A247" s="159"/>
      <c r="B247" s="159"/>
      <c r="C247" s="159"/>
      <c r="D247" s="159"/>
      <c r="E247" s="159"/>
      <c r="F247" s="159"/>
      <c r="G247" s="159"/>
      <c r="H247" s="159"/>
      <c r="I247" s="159"/>
      <c r="J247" s="159"/>
      <c r="K247" s="159"/>
      <c r="L247" s="159"/>
      <c r="N247" s="159"/>
      <c r="O247" s="159"/>
      <c r="P247" s="159"/>
      <c r="Q247" s="159"/>
      <c r="R247" s="159"/>
      <c r="S247" s="159"/>
      <c r="T247" s="159"/>
      <c r="U247" s="159"/>
      <c r="V247" s="159"/>
      <c r="W247" s="159"/>
      <c r="X247" s="159"/>
      <c r="Y247" s="159"/>
      <c r="Z247" s="159"/>
      <c r="AA247" s="159"/>
      <c r="AB247" s="159"/>
    </row>
    <row r="248">
      <c r="A248" s="159"/>
      <c r="B248" s="159"/>
      <c r="C248" s="159"/>
      <c r="D248" s="159"/>
      <c r="E248" s="159"/>
      <c r="F248" s="159"/>
      <c r="G248" s="159"/>
      <c r="H248" s="159"/>
      <c r="I248" s="159"/>
      <c r="J248" s="159"/>
      <c r="K248" s="159"/>
      <c r="L248" s="159"/>
      <c r="N248" s="159"/>
      <c r="O248" s="159"/>
      <c r="P248" s="159"/>
      <c r="Q248" s="159"/>
      <c r="R248" s="159"/>
      <c r="S248" s="159"/>
      <c r="T248" s="159"/>
      <c r="U248" s="159"/>
      <c r="V248" s="159"/>
      <c r="W248" s="159"/>
      <c r="X248" s="159"/>
      <c r="Y248" s="159"/>
      <c r="Z248" s="159"/>
      <c r="AA248" s="159"/>
      <c r="AB248" s="159"/>
    </row>
    <row r="249">
      <c r="A249" s="159"/>
      <c r="B249" s="159"/>
      <c r="C249" s="159"/>
      <c r="D249" s="159"/>
      <c r="E249" s="159"/>
      <c r="F249" s="159"/>
      <c r="G249" s="159"/>
      <c r="H249" s="159"/>
      <c r="I249" s="159"/>
      <c r="J249" s="159"/>
      <c r="K249" s="159"/>
      <c r="L249" s="159"/>
      <c r="N249" s="159"/>
      <c r="O249" s="159"/>
      <c r="P249" s="159"/>
      <c r="Q249" s="159"/>
      <c r="R249" s="159"/>
      <c r="S249" s="159"/>
      <c r="T249" s="159"/>
      <c r="U249" s="159"/>
      <c r="V249" s="159"/>
      <c r="W249" s="159"/>
      <c r="X249" s="159"/>
      <c r="Y249" s="159"/>
      <c r="Z249" s="159"/>
      <c r="AA249" s="159"/>
      <c r="AB249" s="159"/>
    </row>
    <row r="250">
      <c r="A250" s="159"/>
      <c r="B250" s="159"/>
      <c r="C250" s="159"/>
      <c r="D250" s="159"/>
      <c r="E250" s="159"/>
      <c r="F250" s="159"/>
      <c r="G250" s="159"/>
      <c r="H250" s="159"/>
      <c r="I250" s="159"/>
      <c r="J250" s="159"/>
      <c r="K250" s="159"/>
      <c r="L250" s="159"/>
      <c r="N250" s="159"/>
      <c r="O250" s="159"/>
      <c r="P250" s="159"/>
      <c r="Q250" s="159"/>
      <c r="R250" s="159"/>
      <c r="S250" s="159"/>
      <c r="T250" s="159"/>
      <c r="U250" s="159"/>
      <c r="V250" s="159"/>
      <c r="W250" s="159"/>
      <c r="X250" s="159"/>
      <c r="Y250" s="159"/>
      <c r="Z250" s="159"/>
      <c r="AA250" s="159"/>
      <c r="AB250" s="159"/>
    </row>
    <row r="251">
      <c r="A251" s="159"/>
      <c r="B251" s="159"/>
      <c r="C251" s="159"/>
      <c r="D251" s="159"/>
      <c r="E251" s="159"/>
      <c r="F251" s="159"/>
      <c r="G251" s="159"/>
      <c r="H251" s="159"/>
      <c r="I251" s="159"/>
      <c r="J251" s="159"/>
      <c r="K251" s="159"/>
      <c r="L251" s="159"/>
      <c r="N251" s="159"/>
      <c r="O251" s="159"/>
      <c r="P251" s="159"/>
      <c r="Q251" s="159"/>
      <c r="R251" s="159"/>
      <c r="S251" s="159"/>
      <c r="T251" s="159"/>
      <c r="U251" s="159"/>
      <c r="V251" s="159"/>
      <c r="W251" s="159"/>
      <c r="X251" s="159"/>
      <c r="Y251" s="159"/>
      <c r="Z251" s="159"/>
      <c r="AA251" s="159"/>
      <c r="AB251" s="159"/>
    </row>
    <row r="252">
      <c r="A252" s="159"/>
      <c r="B252" s="159"/>
      <c r="C252" s="159"/>
      <c r="D252" s="159"/>
      <c r="E252" s="159"/>
      <c r="F252" s="159"/>
      <c r="G252" s="159"/>
      <c r="H252" s="159"/>
      <c r="I252" s="159"/>
      <c r="J252" s="159"/>
      <c r="K252" s="159"/>
      <c r="L252" s="159"/>
      <c r="N252" s="159"/>
      <c r="O252" s="159"/>
      <c r="P252" s="159"/>
      <c r="Q252" s="159"/>
      <c r="R252" s="159"/>
      <c r="S252" s="159"/>
      <c r="T252" s="159"/>
      <c r="U252" s="159"/>
      <c r="V252" s="159"/>
      <c r="W252" s="159"/>
      <c r="X252" s="159"/>
      <c r="Y252" s="159"/>
      <c r="Z252" s="159"/>
      <c r="AA252" s="159"/>
      <c r="AB252" s="159"/>
    </row>
    <row r="253">
      <c r="A253" s="159"/>
      <c r="B253" s="159"/>
      <c r="C253" s="159"/>
      <c r="D253" s="159"/>
      <c r="E253" s="159"/>
      <c r="F253" s="159"/>
      <c r="G253" s="159"/>
      <c r="H253" s="159"/>
      <c r="I253" s="159"/>
      <c r="J253" s="159"/>
      <c r="K253" s="159"/>
      <c r="L253" s="159"/>
      <c r="N253" s="159"/>
      <c r="O253" s="159"/>
      <c r="P253" s="159"/>
      <c r="Q253" s="159"/>
      <c r="R253" s="159"/>
      <c r="S253" s="159"/>
      <c r="T253" s="159"/>
      <c r="U253" s="159"/>
      <c r="V253" s="159"/>
      <c r="W253" s="159"/>
      <c r="X253" s="159"/>
      <c r="Y253" s="159"/>
      <c r="Z253" s="159"/>
      <c r="AA253" s="159"/>
      <c r="AB253" s="159"/>
    </row>
    <row r="254">
      <c r="A254" s="159"/>
      <c r="B254" s="159"/>
      <c r="C254" s="159"/>
      <c r="D254" s="159"/>
      <c r="E254" s="159"/>
      <c r="F254" s="159"/>
      <c r="G254" s="159"/>
      <c r="H254" s="159"/>
      <c r="I254" s="159"/>
      <c r="J254" s="159"/>
      <c r="K254" s="159"/>
      <c r="L254" s="159"/>
      <c r="N254" s="159"/>
      <c r="O254" s="159"/>
      <c r="P254" s="159"/>
      <c r="Q254" s="159"/>
      <c r="R254" s="159"/>
      <c r="S254" s="159"/>
      <c r="T254" s="159"/>
      <c r="U254" s="159"/>
      <c r="V254" s="159"/>
      <c r="W254" s="159"/>
      <c r="X254" s="159"/>
      <c r="Y254" s="159"/>
      <c r="Z254" s="159"/>
      <c r="AA254" s="159"/>
      <c r="AB254" s="159"/>
    </row>
    <row r="255">
      <c r="A255" s="159"/>
      <c r="B255" s="159"/>
      <c r="C255" s="159"/>
      <c r="D255" s="159"/>
      <c r="E255" s="159"/>
      <c r="F255" s="159"/>
      <c r="G255" s="159"/>
      <c r="H255" s="159"/>
      <c r="I255" s="159"/>
      <c r="J255" s="159"/>
      <c r="K255" s="159"/>
      <c r="L255" s="159"/>
      <c r="N255" s="159"/>
      <c r="O255" s="159"/>
      <c r="P255" s="159"/>
      <c r="Q255" s="159"/>
      <c r="R255" s="159"/>
      <c r="S255" s="159"/>
      <c r="T255" s="159"/>
      <c r="U255" s="159"/>
      <c r="V255" s="159"/>
      <c r="W255" s="159"/>
      <c r="X255" s="159"/>
      <c r="Y255" s="159"/>
      <c r="Z255" s="159"/>
      <c r="AA255" s="159"/>
      <c r="AB255" s="159"/>
    </row>
    <row r="256">
      <c r="A256" s="159"/>
      <c r="B256" s="159"/>
      <c r="C256" s="159"/>
      <c r="D256" s="159"/>
      <c r="E256" s="159"/>
      <c r="F256" s="159"/>
      <c r="G256" s="159"/>
      <c r="H256" s="159"/>
      <c r="I256" s="159"/>
      <c r="J256" s="159"/>
      <c r="K256" s="159"/>
      <c r="L256" s="159"/>
      <c r="N256" s="159"/>
      <c r="O256" s="159"/>
      <c r="P256" s="159"/>
      <c r="Q256" s="159"/>
      <c r="R256" s="159"/>
      <c r="S256" s="159"/>
      <c r="T256" s="159"/>
      <c r="U256" s="159"/>
      <c r="V256" s="159"/>
      <c r="W256" s="159"/>
      <c r="X256" s="159"/>
      <c r="Y256" s="159"/>
      <c r="Z256" s="159"/>
      <c r="AA256" s="159"/>
      <c r="AB256" s="159"/>
    </row>
    <row r="257">
      <c r="A257" s="159"/>
      <c r="B257" s="159"/>
      <c r="C257" s="159"/>
      <c r="D257" s="159"/>
      <c r="E257" s="159"/>
      <c r="F257" s="159"/>
      <c r="G257" s="159"/>
      <c r="H257" s="159"/>
      <c r="I257" s="159"/>
      <c r="J257" s="159"/>
      <c r="K257" s="159"/>
      <c r="L257" s="159"/>
      <c r="N257" s="159"/>
      <c r="O257" s="159"/>
      <c r="P257" s="159"/>
      <c r="Q257" s="159"/>
      <c r="R257" s="159"/>
      <c r="S257" s="159"/>
      <c r="T257" s="159"/>
      <c r="U257" s="159"/>
      <c r="V257" s="159"/>
      <c r="W257" s="159"/>
      <c r="X257" s="159"/>
      <c r="Y257" s="159"/>
      <c r="Z257" s="159"/>
      <c r="AA257" s="159"/>
      <c r="AB257" s="159"/>
    </row>
    <row r="258">
      <c r="A258" s="159"/>
      <c r="B258" s="159"/>
      <c r="C258" s="159"/>
      <c r="D258" s="159"/>
      <c r="E258" s="159"/>
      <c r="F258" s="159"/>
      <c r="G258" s="159"/>
      <c r="H258" s="159"/>
      <c r="I258" s="159"/>
      <c r="J258" s="159"/>
      <c r="K258" s="159"/>
      <c r="L258" s="159"/>
      <c r="N258" s="159"/>
      <c r="O258" s="159"/>
      <c r="P258" s="159"/>
      <c r="Q258" s="159"/>
      <c r="R258" s="159"/>
      <c r="S258" s="159"/>
      <c r="T258" s="159"/>
      <c r="U258" s="159"/>
      <c r="V258" s="159"/>
      <c r="W258" s="159"/>
      <c r="X258" s="159"/>
      <c r="Y258" s="159"/>
      <c r="Z258" s="159"/>
      <c r="AA258" s="159"/>
      <c r="AB258" s="159"/>
    </row>
    <row r="259">
      <c r="A259" s="159"/>
      <c r="B259" s="159"/>
      <c r="C259" s="159"/>
      <c r="D259" s="159"/>
      <c r="E259" s="159"/>
      <c r="F259" s="159"/>
      <c r="G259" s="159"/>
      <c r="H259" s="159"/>
      <c r="I259" s="159"/>
      <c r="J259" s="159"/>
      <c r="K259" s="159"/>
      <c r="L259" s="159"/>
      <c r="N259" s="159"/>
      <c r="O259" s="159"/>
      <c r="P259" s="159"/>
      <c r="Q259" s="159"/>
      <c r="R259" s="159"/>
      <c r="S259" s="159"/>
      <c r="T259" s="159"/>
      <c r="U259" s="159"/>
      <c r="V259" s="159"/>
      <c r="W259" s="159"/>
      <c r="X259" s="159"/>
      <c r="Y259" s="159"/>
      <c r="Z259" s="159"/>
      <c r="AA259" s="159"/>
      <c r="AB259" s="159"/>
    </row>
    <row r="260">
      <c r="A260" s="159"/>
      <c r="B260" s="159"/>
      <c r="C260" s="159"/>
      <c r="D260" s="159"/>
      <c r="E260" s="159"/>
      <c r="F260" s="159"/>
      <c r="G260" s="159"/>
      <c r="H260" s="159"/>
      <c r="I260" s="159"/>
      <c r="J260" s="159"/>
      <c r="K260" s="159"/>
      <c r="L260" s="159"/>
      <c r="N260" s="159"/>
      <c r="O260" s="159"/>
      <c r="P260" s="159"/>
      <c r="Q260" s="159"/>
      <c r="R260" s="159"/>
      <c r="S260" s="159"/>
      <c r="T260" s="159"/>
      <c r="U260" s="159"/>
      <c r="V260" s="159"/>
      <c r="W260" s="159"/>
      <c r="X260" s="159"/>
      <c r="Y260" s="159"/>
      <c r="Z260" s="159"/>
      <c r="AA260" s="159"/>
      <c r="AB260" s="159"/>
    </row>
    <row r="261">
      <c r="A261" s="159"/>
      <c r="B261" s="159"/>
      <c r="C261" s="159"/>
      <c r="D261" s="159"/>
      <c r="E261" s="159"/>
      <c r="F261" s="159"/>
      <c r="G261" s="159"/>
      <c r="H261" s="159"/>
      <c r="I261" s="159"/>
      <c r="J261" s="159"/>
      <c r="K261" s="159"/>
      <c r="L261" s="159"/>
      <c r="N261" s="159"/>
      <c r="O261" s="159"/>
      <c r="P261" s="159"/>
      <c r="Q261" s="159"/>
      <c r="R261" s="159"/>
      <c r="S261" s="159"/>
      <c r="T261" s="159"/>
      <c r="U261" s="159"/>
      <c r="V261" s="159"/>
      <c r="W261" s="159"/>
      <c r="X261" s="159"/>
      <c r="Y261" s="159"/>
      <c r="Z261" s="159"/>
      <c r="AA261" s="159"/>
      <c r="AB261" s="159"/>
    </row>
    <row r="262">
      <c r="A262" s="159"/>
      <c r="B262" s="159"/>
      <c r="C262" s="159"/>
      <c r="D262" s="159"/>
      <c r="E262" s="159"/>
      <c r="F262" s="159"/>
      <c r="G262" s="159"/>
      <c r="H262" s="159"/>
      <c r="I262" s="159"/>
      <c r="J262" s="159"/>
      <c r="K262" s="159"/>
      <c r="L262" s="159"/>
      <c r="N262" s="159"/>
      <c r="O262" s="159"/>
      <c r="P262" s="159"/>
      <c r="Q262" s="159"/>
      <c r="R262" s="159"/>
      <c r="S262" s="159"/>
      <c r="T262" s="159"/>
      <c r="U262" s="159"/>
      <c r="V262" s="159"/>
      <c r="W262" s="159"/>
      <c r="X262" s="159"/>
      <c r="Y262" s="159"/>
      <c r="Z262" s="159"/>
      <c r="AA262" s="159"/>
      <c r="AB262" s="159"/>
    </row>
    <row r="263">
      <c r="A263" s="159"/>
      <c r="B263" s="159"/>
      <c r="C263" s="159"/>
      <c r="D263" s="159"/>
      <c r="E263" s="159"/>
      <c r="F263" s="159"/>
      <c r="G263" s="159"/>
      <c r="H263" s="159"/>
      <c r="I263" s="159"/>
      <c r="J263" s="159"/>
      <c r="K263" s="159"/>
      <c r="L263" s="159"/>
      <c r="N263" s="159"/>
      <c r="O263" s="159"/>
      <c r="P263" s="159"/>
      <c r="Q263" s="159"/>
      <c r="R263" s="159"/>
      <c r="S263" s="159"/>
      <c r="T263" s="159"/>
      <c r="U263" s="159"/>
      <c r="V263" s="159"/>
      <c r="W263" s="159"/>
      <c r="X263" s="159"/>
      <c r="Y263" s="159"/>
      <c r="Z263" s="159"/>
      <c r="AA263" s="159"/>
      <c r="AB263" s="159"/>
    </row>
    <row r="264">
      <c r="A264" s="159"/>
      <c r="B264" s="159"/>
      <c r="C264" s="159"/>
      <c r="D264" s="159"/>
      <c r="E264" s="159"/>
      <c r="F264" s="159"/>
      <c r="G264" s="159"/>
      <c r="H264" s="159"/>
      <c r="I264" s="159"/>
      <c r="J264" s="159"/>
      <c r="K264" s="159"/>
      <c r="L264" s="159"/>
      <c r="N264" s="159"/>
      <c r="O264" s="159"/>
      <c r="P264" s="159"/>
      <c r="Q264" s="159"/>
      <c r="R264" s="159"/>
      <c r="S264" s="159"/>
      <c r="T264" s="159"/>
      <c r="U264" s="159"/>
      <c r="V264" s="159"/>
      <c r="W264" s="159"/>
      <c r="X264" s="159"/>
      <c r="Y264" s="159"/>
      <c r="Z264" s="159"/>
      <c r="AA264" s="159"/>
      <c r="AB264" s="159"/>
    </row>
    <row r="265">
      <c r="A265" s="159"/>
      <c r="B265" s="159"/>
      <c r="C265" s="159"/>
      <c r="D265" s="159"/>
      <c r="E265" s="159"/>
      <c r="F265" s="159"/>
      <c r="G265" s="159"/>
      <c r="H265" s="159"/>
      <c r="I265" s="159"/>
      <c r="J265" s="159"/>
      <c r="K265" s="159"/>
      <c r="L265" s="159"/>
      <c r="N265" s="159"/>
      <c r="O265" s="159"/>
      <c r="P265" s="159"/>
      <c r="Q265" s="159"/>
      <c r="R265" s="159"/>
      <c r="S265" s="159"/>
      <c r="T265" s="159"/>
      <c r="U265" s="159"/>
      <c r="V265" s="159"/>
      <c r="W265" s="159"/>
      <c r="X265" s="159"/>
      <c r="Y265" s="159"/>
      <c r="Z265" s="159"/>
      <c r="AA265" s="159"/>
      <c r="AB265" s="159"/>
    </row>
    <row r="266">
      <c r="A266" s="159"/>
      <c r="B266" s="159"/>
      <c r="C266" s="159"/>
      <c r="D266" s="159"/>
      <c r="E266" s="159"/>
      <c r="F266" s="159"/>
      <c r="G266" s="159"/>
      <c r="H266" s="159"/>
      <c r="I266" s="159"/>
      <c r="J266" s="159"/>
      <c r="K266" s="159"/>
      <c r="L266" s="159"/>
      <c r="N266" s="159"/>
      <c r="O266" s="159"/>
      <c r="P266" s="159"/>
      <c r="Q266" s="159"/>
      <c r="R266" s="159"/>
      <c r="S266" s="159"/>
      <c r="T266" s="159"/>
      <c r="U266" s="159"/>
      <c r="V266" s="159"/>
      <c r="W266" s="159"/>
      <c r="X266" s="159"/>
      <c r="Y266" s="159"/>
      <c r="Z266" s="159"/>
      <c r="AA266" s="159"/>
      <c r="AB266" s="159"/>
    </row>
    <row r="267">
      <c r="A267" s="159"/>
      <c r="B267" s="159"/>
      <c r="C267" s="159"/>
      <c r="D267" s="159"/>
      <c r="E267" s="159"/>
      <c r="F267" s="159"/>
      <c r="G267" s="159"/>
      <c r="H267" s="159"/>
      <c r="I267" s="159"/>
      <c r="J267" s="159"/>
      <c r="K267" s="159"/>
      <c r="L267" s="159"/>
      <c r="N267" s="159"/>
      <c r="O267" s="159"/>
      <c r="P267" s="159"/>
      <c r="Q267" s="159"/>
      <c r="R267" s="159"/>
      <c r="S267" s="159"/>
      <c r="T267" s="159"/>
      <c r="U267" s="159"/>
      <c r="V267" s="159"/>
      <c r="W267" s="159"/>
      <c r="X267" s="159"/>
      <c r="Y267" s="159"/>
      <c r="Z267" s="159"/>
      <c r="AA267" s="159"/>
      <c r="AB267" s="159"/>
    </row>
    <row r="268">
      <c r="A268" s="159"/>
      <c r="B268" s="159"/>
      <c r="C268" s="159"/>
      <c r="D268" s="159"/>
      <c r="E268" s="159"/>
      <c r="F268" s="159"/>
      <c r="G268" s="159"/>
      <c r="H268" s="159"/>
      <c r="I268" s="159"/>
      <c r="J268" s="159"/>
      <c r="K268" s="159"/>
      <c r="L268" s="159"/>
      <c r="N268" s="159"/>
      <c r="O268" s="159"/>
      <c r="P268" s="159"/>
      <c r="Q268" s="159"/>
      <c r="R268" s="159"/>
      <c r="S268" s="159"/>
      <c r="T268" s="159"/>
      <c r="U268" s="159"/>
      <c r="V268" s="159"/>
      <c r="W268" s="159"/>
      <c r="X268" s="159"/>
      <c r="Y268" s="159"/>
      <c r="Z268" s="159"/>
      <c r="AA268" s="159"/>
      <c r="AB268" s="159"/>
    </row>
    <row r="269">
      <c r="A269" s="159"/>
      <c r="B269" s="159"/>
      <c r="C269" s="159"/>
      <c r="D269" s="159"/>
      <c r="E269" s="159"/>
      <c r="F269" s="159"/>
      <c r="G269" s="159"/>
      <c r="H269" s="159"/>
      <c r="I269" s="159"/>
      <c r="J269" s="159"/>
      <c r="K269" s="159"/>
      <c r="L269" s="159"/>
      <c r="N269" s="159"/>
      <c r="O269" s="159"/>
      <c r="P269" s="159"/>
      <c r="Q269" s="159"/>
      <c r="R269" s="159"/>
      <c r="S269" s="159"/>
      <c r="T269" s="159"/>
      <c r="U269" s="159"/>
      <c r="V269" s="159"/>
      <c r="W269" s="159"/>
      <c r="X269" s="159"/>
      <c r="Y269" s="159"/>
      <c r="Z269" s="159"/>
      <c r="AA269" s="159"/>
      <c r="AB269" s="159"/>
    </row>
    <row r="270">
      <c r="A270" s="159"/>
      <c r="B270" s="159"/>
      <c r="C270" s="159"/>
      <c r="D270" s="159"/>
      <c r="E270" s="159"/>
      <c r="F270" s="159"/>
      <c r="G270" s="159"/>
      <c r="H270" s="159"/>
      <c r="I270" s="159"/>
      <c r="J270" s="159"/>
      <c r="K270" s="159"/>
      <c r="L270" s="159"/>
      <c r="N270" s="159"/>
      <c r="O270" s="159"/>
      <c r="P270" s="159"/>
      <c r="Q270" s="159"/>
      <c r="R270" s="159"/>
      <c r="S270" s="159"/>
      <c r="T270" s="159"/>
      <c r="U270" s="159"/>
      <c r="V270" s="159"/>
      <c r="W270" s="159"/>
      <c r="X270" s="159"/>
      <c r="Y270" s="159"/>
      <c r="Z270" s="159"/>
      <c r="AA270" s="159"/>
      <c r="AB270" s="159"/>
    </row>
    <row r="271">
      <c r="A271" s="159"/>
      <c r="B271" s="159"/>
      <c r="C271" s="159"/>
      <c r="D271" s="159"/>
      <c r="E271" s="159"/>
      <c r="F271" s="159"/>
      <c r="G271" s="159"/>
      <c r="H271" s="159"/>
      <c r="I271" s="159"/>
      <c r="J271" s="159"/>
      <c r="K271" s="159"/>
      <c r="L271" s="159"/>
      <c r="N271" s="159"/>
      <c r="O271" s="159"/>
      <c r="P271" s="159"/>
      <c r="Q271" s="159"/>
      <c r="R271" s="159"/>
      <c r="S271" s="159"/>
      <c r="T271" s="159"/>
      <c r="U271" s="159"/>
      <c r="V271" s="159"/>
      <c r="W271" s="159"/>
      <c r="X271" s="159"/>
      <c r="Y271" s="159"/>
      <c r="Z271" s="159"/>
      <c r="AA271" s="159"/>
      <c r="AB271" s="159"/>
    </row>
    <row r="272">
      <c r="A272" s="159"/>
      <c r="B272" s="159"/>
      <c r="C272" s="159"/>
      <c r="D272" s="159"/>
      <c r="E272" s="159"/>
      <c r="F272" s="159"/>
      <c r="G272" s="159"/>
      <c r="H272" s="159"/>
      <c r="I272" s="159"/>
      <c r="J272" s="159"/>
      <c r="K272" s="159"/>
      <c r="L272" s="159"/>
      <c r="N272" s="159"/>
      <c r="O272" s="159"/>
      <c r="P272" s="159"/>
      <c r="Q272" s="159"/>
      <c r="R272" s="159"/>
      <c r="S272" s="159"/>
      <c r="T272" s="159"/>
      <c r="U272" s="159"/>
      <c r="V272" s="159"/>
      <c r="W272" s="159"/>
      <c r="X272" s="159"/>
      <c r="Y272" s="159"/>
      <c r="Z272" s="159"/>
      <c r="AA272" s="159"/>
      <c r="AB272" s="159"/>
    </row>
    <row r="273">
      <c r="A273" s="159"/>
      <c r="B273" s="159"/>
      <c r="C273" s="159"/>
      <c r="D273" s="159"/>
      <c r="E273" s="159"/>
      <c r="F273" s="159"/>
      <c r="G273" s="159"/>
      <c r="H273" s="159"/>
      <c r="I273" s="159"/>
      <c r="J273" s="159"/>
      <c r="K273" s="159"/>
      <c r="L273" s="159"/>
      <c r="N273" s="159"/>
      <c r="O273" s="159"/>
      <c r="P273" s="159"/>
      <c r="Q273" s="159"/>
      <c r="R273" s="159"/>
      <c r="S273" s="159"/>
      <c r="T273" s="159"/>
      <c r="U273" s="159"/>
      <c r="V273" s="159"/>
      <c r="W273" s="159"/>
      <c r="X273" s="159"/>
      <c r="Y273" s="159"/>
      <c r="Z273" s="159"/>
      <c r="AA273" s="159"/>
      <c r="AB273" s="159"/>
    </row>
    <row r="274">
      <c r="A274" s="159"/>
      <c r="B274" s="159"/>
      <c r="C274" s="159"/>
      <c r="D274" s="159"/>
      <c r="E274" s="159"/>
      <c r="F274" s="159"/>
      <c r="G274" s="159"/>
      <c r="H274" s="159"/>
      <c r="I274" s="159"/>
      <c r="J274" s="159"/>
      <c r="K274" s="159"/>
      <c r="L274" s="159"/>
      <c r="N274" s="159"/>
      <c r="O274" s="159"/>
      <c r="P274" s="159"/>
      <c r="Q274" s="159"/>
      <c r="R274" s="159"/>
      <c r="S274" s="159"/>
      <c r="T274" s="159"/>
      <c r="U274" s="159"/>
      <c r="V274" s="159"/>
      <c r="W274" s="159"/>
      <c r="X274" s="159"/>
      <c r="Y274" s="159"/>
      <c r="Z274" s="159"/>
      <c r="AA274" s="159"/>
      <c r="AB274" s="159"/>
    </row>
    <row r="275">
      <c r="A275" s="159"/>
      <c r="B275" s="159"/>
      <c r="C275" s="159"/>
      <c r="D275" s="159"/>
      <c r="E275" s="159"/>
      <c r="F275" s="159"/>
      <c r="G275" s="159"/>
      <c r="H275" s="159"/>
      <c r="I275" s="159"/>
      <c r="J275" s="159"/>
      <c r="K275" s="159"/>
      <c r="L275" s="159"/>
      <c r="N275" s="159"/>
      <c r="O275" s="159"/>
      <c r="P275" s="159"/>
      <c r="Q275" s="159"/>
      <c r="R275" s="159"/>
      <c r="S275" s="159"/>
      <c r="T275" s="159"/>
      <c r="U275" s="159"/>
      <c r="V275" s="159"/>
      <c r="W275" s="159"/>
      <c r="X275" s="159"/>
      <c r="Y275" s="159"/>
      <c r="Z275" s="159"/>
      <c r="AA275" s="159"/>
      <c r="AB275" s="159"/>
    </row>
    <row r="276">
      <c r="A276" s="159"/>
      <c r="B276" s="159"/>
      <c r="C276" s="159"/>
      <c r="D276" s="159"/>
      <c r="E276" s="159"/>
      <c r="F276" s="159"/>
      <c r="G276" s="159"/>
      <c r="H276" s="159"/>
      <c r="I276" s="159"/>
      <c r="J276" s="159"/>
      <c r="K276" s="159"/>
      <c r="L276" s="159"/>
      <c r="N276" s="159"/>
      <c r="O276" s="159"/>
      <c r="P276" s="159"/>
      <c r="Q276" s="159"/>
      <c r="R276" s="159"/>
      <c r="S276" s="159"/>
      <c r="T276" s="159"/>
      <c r="U276" s="159"/>
      <c r="V276" s="159"/>
      <c r="W276" s="159"/>
      <c r="X276" s="159"/>
      <c r="Y276" s="159"/>
      <c r="Z276" s="159"/>
      <c r="AA276" s="159"/>
      <c r="AB276" s="159"/>
    </row>
    <row r="277">
      <c r="A277" s="159"/>
      <c r="B277" s="159"/>
      <c r="C277" s="159"/>
      <c r="D277" s="159"/>
      <c r="E277" s="159"/>
      <c r="F277" s="159"/>
      <c r="G277" s="159"/>
      <c r="H277" s="159"/>
      <c r="I277" s="159"/>
      <c r="J277" s="159"/>
      <c r="K277" s="159"/>
      <c r="L277" s="159"/>
      <c r="N277" s="159"/>
      <c r="O277" s="159"/>
      <c r="P277" s="159"/>
      <c r="Q277" s="159"/>
      <c r="R277" s="159"/>
      <c r="S277" s="159"/>
      <c r="T277" s="159"/>
      <c r="U277" s="159"/>
      <c r="V277" s="159"/>
      <c r="W277" s="159"/>
      <c r="X277" s="159"/>
      <c r="Y277" s="159"/>
      <c r="Z277" s="159"/>
      <c r="AA277" s="159"/>
      <c r="AB277" s="159"/>
    </row>
    <row r="278">
      <c r="A278" s="159"/>
      <c r="B278" s="159"/>
      <c r="C278" s="159"/>
      <c r="D278" s="159"/>
      <c r="E278" s="159"/>
      <c r="F278" s="159"/>
      <c r="G278" s="159"/>
      <c r="H278" s="159"/>
      <c r="I278" s="159"/>
      <c r="J278" s="159"/>
      <c r="K278" s="159"/>
      <c r="L278" s="159"/>
      <c r="N278" s="159"/>
      <c r="O278" s="159"/>
      <c r="P278" s="159"/>
      <c r="Q278" s="159"/>
      <c r="R278" s="159"/>
      <c r="S278" s="159"/>
      <c r="T278" s="159"/>
      <c r="U278" s="159"/>
      <c r="V278" s="159"/>
      <c r="W278" s="159"/>
      <c r="X278" s="159"/>
      <c r="Y278" s="159"/>
      <c r="Z278" s="159"/>
      <c r="AA278" s="159"/>
      <c r="AB278" s="159"/>
    </row>
    <row r="279">
      <c r="A279" s="159"/>
      <c r="B279" s="159"/>
      <c r="C279" s="159"/>
      <c r="D279" s="159"/>
      <c r="E279" s="159"/>
      <c r="F279" s="159"/>
      <c r="G279" s="159"/>
      <c r="H279" s="159"/>
      <c r="I279" s="159"/>
      <c r="J279" s="159"/>
      <c r="K279" s="159"/>
      <c r="L279" s="159"/>
      <c r="N279" s="159"/>
      <c r="O279" s="159"/>
      <c r="P279" s="159"/>
      <c r="Q279" s="159"/>
      <c r="R279" s="159"/>
      <c r="S279" s="159"/>
      <c r="T279" s="159"/>
      <c r="U279" s="159"/>
      <c r="V279" s="159"/>
      <c r="W279" s="159"/>
      <c r="X279" s="159"/>
      <c r="Y279" s="159"/>
      <c r="Z279" s="159"/>
      <c r="AA279" s="159"/>
      <c r="AB279" s="159"/>
    </row>
    <row r="280">
      <c r="A280" s="159"/>
      <c r="B280" s="159"/>
      <c r="C280" s="159"/>
      <c r="D280" s="159"/>
      <c r="E280" s="159"/>
      <c r="F280" s="159"/>
      <c r="G280" s="159"/>
      <c r="H280" s="159"/>
      <c r="I280" s="159"/>
      <c r="J280" s="159"/>
      <c r="K280" s="159"/>
      <c r="L280" s="159"/>
      <c r="N280" s="159"/>
      <c r="O280" s="159"/>
      <c r="P280" s="159"/>
      <c r="Q280" s="159"/>
      <c r="R280" s="159"/>
      <c r="S280" s="159"/>
      <c r="T280" s="159"/>
      <c r="U280" s="159"/>
      <c r="V280" s="159"/>
      <c r="W280" s="159"/>
      <c r="X280" s="159"/>
      <c r="Y280" s="159"/>
      <c r="Z280" s="159"/>
      <c r="AA280" s="159"/>
      <c r="AB280" s="159"/>
    </row>
    <row r="281">
      <c r="A281" s="159"/>
      <c r="B281" s="159"/>
      <c r="C281" s="159"/>
      <c r="D281" s="159"/>
      <c r="E281" s="159"/>
      <c r="F281" s="159"/>
      <c r="G281" s="159"/>
      <c r="H281" s="159"/>
      <c r="I281" s="159"/>
      <c r="J281" s="159"/>
      <c r="K281" s="159"/>
      <c r="L281" s="159"/>
      <c r="N281" s="159"/>
      <c r="O281" s="159"/>
      <c r="P281" s="159"/>
      <c r="Q281" s="159"/>
      <c r="R281" s="159"/>
      <c r="S281" s="159"/>
      <c r="T281" s="159"/>
      <c r="U281" s="159"/>
      <c r="V281" s="159"/>
      <c r="W281" s="159"/>
      <c r="X281" s="159"/>
      <c r="Y281" s="159"/>
      <c r="Z281" s="159"/>
      <c r="AA281" s="159"/>
      <c r="AB281" s="159"/>
    </row>
    <row r="282">
      <c r="A282" s="159"/>
      <c r="B282" s="159"/>
      <c r="C282" s="159"/>
      <c r="D282" s="159"/>
      <c r="E282" s="159"/>
      <c r="F282" s="159"/>
      <c r="G282" s="159"/>
      <c r="H282" s="159"/>
      <c r="I282" s="159"/>
      <c r="J282" s="159"/>
      <c r="K282" s="159"/>
      <c r="L282" s="159"/>
      <c r="N282" s="159"/>
      <c r="O282" s="159"/>
      <c r="P282" s="159"/>
      <c r="Q282" s="159"/>
      <c r="R282" s="159"/>
      <c r="S282" s="159"/>
      <c r="T282" s="159"/>
      <c r="U282" s="159"/>
      <c r="V282" s="159"/>
      <c r="W282" s="159"/>
      <c r="X282" s="159"/>
      <c r="Y282" s="159"/>
      <c r="Z282" s="159"/>
      <c r="AA282" s="159"/>
      <c r="AB282" s="159"/>
    </row>
    <row r="283">
      <c r="A283" s="159"/>
      <c r="B283" s="159"/>
      <c r="C283" s="159"/>
      <c r="D283" s="159"/>
      <c r="E283" s="159"/>
      <c r="F283" s="159"/>
      <c r="G283" s="159"/>
      <c r="H283" s="159"/>
      <c r="I283" s="159"/>
      <c r="J283" s="159"/>
      <c r="K283" s="159"/>
      <c r="L283" s="159"/>
      <c r="N283" s="159"/>
      <c r="O283" s="159"/>
      <c r="P283" s="159"/>
      <c r="Q283" s="159"/>
      <c r="R283" s="159"/>
      <c r="S283" s="159"/>
      <c r="T283" s="159"/>
      <c r="U283" s="159"/>
      <c r="V283" s="159"/>
      <c r="W283" s="159"/>
      <c r="X283" s="159"/>
      <c r="Y283" s="159"/>
      <c r="Z283" s="159"/>
      <c r="AA283" s="159"/>
      <c r="AB283" s="159"/>
    </row>
    <row r="284">
      <c r="A284" s="159"/>
      <c r="B284" s="159"/>
      <c r="C284" s="159"/>
      <c r="D284" s="159"/>
      <c r="E284" s="159"/>
      <c r="F284" s="159"/>
      <c r="G284" s="159"/>
      <c r="H284" s="159"/>
      <c r="I284" s="159"/>
      <c r="J284" s="159"/>
      <c r="K284" s="159"/>
      <c r="L284" s="159"/>
      <c r="N284" s="159"/>
      <c r="O284" s="159"/>
      <c r="P284" s="159"/>
      <c r="Q284" s="159"/>
      <c r="R284" s="159"/>
      <c r="S284" s="159"/>
      <c r="T284" s="159"/>
      <c r="U284" s="159"/>
      <c r="V284" s="159"/>
      <c r="W284" s="159"/>
      <c r="X284" s="159"/>
      <c r="Y284" s="159"/>
      <c r="Z284" s="159"/>
      <c r="AA284" s="159"/>
      <c r="AB284" s="159"/>
    </row>
    <row r="285">
      <c r="A285" s="159"/>
      <c r="B285" s="159"/>
      <c r="C285" s="159"/>
      <c r="D285" s="159"/>
      <c r="E285" s="159"/>
      <c r="F285" s="159"/>
      <c r="G285" s="159"/>
      <c r="H285" s="159"/>
      <c r="I285" s="159"/>
      <c r="J285" s="159"/>
      <c r="K285" s="159"/>
      <c r="L285" s="159"/>
      <c r="N285" s="159"/>
      <c r="O285" s="159"/>
      <c r="P285" s="159"/>
      <c r="Q285" s="159"/>
      <c r="R285" s="159"/>
      <c r="S285" s="159"/>
      <c r="T285" s="159"/>
      <c r="U285" s="159"/>
      <c r="V285" s="159"/>
      <c r="W285" s="159"/>
      <c r="X285" s="159"/>
      <c r="Y285" s="159"/>
      <c r="Z285" s="159"/>
      <c r="AA285" s="159"/>
      <c r="AB285" s="159"/>
    </row>
    <row r="286">
      <c r="A286" s="159"/>
      <c r="B286" s="159"/>
      <c r="C286" s="159"/>
      <c r="D286" s="159"/>
      <c r="E286" s="159"/>
      <c r="F286" s="159"/>
      <c r="G286" s="159"/>
      <c r="H286" s="159"/>
      <c r="I286" s="159"/>
      <c r="J286" s="159"/>
      <c r="K286" s="159"/>
      <c r="L286" s="159"/>
      <c r="N286" s="159"/>
      <c r="O286" s="159"/>
      <c r="P286" s="159"/>
      <c r="Q286" s="159"/>
      <c r="R286" s="159"/>
      <c r="S286" s="159"/>
      <c r="T286" s="159"/>
      <c r="U286" s="159"/>
      <c r="V286" s="159"/>
      <c r="W286" s="159"/>
      <c r="X286" s="159"/>
      <c r="Y286" s="159"/>
      <c r="Z286" s="159"/>
      <c r="AA286" s="159"/>
      <c r="AB286" s="159"/>
    </row>
    <row r="287">
      <c r="A287" s="159"/>
      <c r="B287" s="159"/>
      <c r="C287" s="159"/>
      <c r="D287" s="159"/>
      <c r="E287" s="159"/>
      <c r="F287" s="159"/>
      <c r="G287" s="159"/>
      <c r="H287" s="159"/>
      <c r="I287" s="159"/>
      <c r="J287" s="159"/>
      <c r="K287" s="159"/>
      <c r="L287" s="159"/>
      <c r="N287" s="159"/>
      <c r="O287" s="159"/>
      <c r="P287" s="159"/>
      <c r="Q287" s="159"/>
      <c r="R287" s="159"/>
      <c r="S287" s="159"/>
      <c r="T287" s="159"/>
      <c r="U287" s="159"/>
      <c r="V287" s="159"/>
      <c r="W287" s="159"/>
      <c r="X287" s="159"/>
      <c r="Y287" s="159"/>
      <c r="Z287" s="159"/>
      <c r="AA287" s="159"/>
      <c r="AB287" s="159"/>
    </row>
    <row r="288">
      <c r="A288" s="159"/>
      <c r="B288" s="159"/>
      <c r="C288" s="159"/>
      <c r="D288" s="159"/>
      <c r="E288" s="159"/>
      <c r="F288" s="159"/>
      <c r="G288" s="159"/>
      <c r="H288" s="159"/>
      <c r="I288" s="159"/>
      <c r="J288" s="159"/>
      <c r="K288" s="159"/>
      <c r="L288" s="159"/>
      <c r="N288" s="159"/>
      <c r="O288" s="159"/>
      <c r="P288" s="159"/>
      <c r="Q288" s="159"/>
      <c r="R288" s="159"/>
      <c r="S288" s="159"/>
      <c r="T288" s="159"/>
      <c r="U288" s="159"/>
      <c r="V288" s="159"/>
      <c r="W288" s="159"/>
      <c r="X288" s="159"/>
      <c r="Y288" s="159"/>
      <c r="Z288" s="159"/>
      <c r="AA288" s="159"/>
      <c r="AB288" s="159"/>
    </row>
    <row r="289">
      <c r="A289" s="159"/>
      <c r="B289" s="159"/>
      <c r="C289" s="159"/>
      <c r="D289" s="159"/>
      <c r="E289" s="159"/>
      <c r="F289" s="159"/>
      <c r="G289" s="159"/>
      <c r="H289" s="159"/>
      <c r="I289" s="159"/>
      <c r="J289" s="159"/>
      <c r="K289" s="159"/>
      <c r="L289" s="159"/>
      <c r="N289" s="159"/>
      <c r="O289" s="159"/>
      <c r="P289" s="159"/>
      <c r="Q289" s="159"/>
      <c r="R289" s="159"/>
      <c r="S289" s="159"/>
      <c r="T289" s="159"/>
      <c r="U289" s="159"/>
      <c r="V289" s="159"/>
      <c r="W289" s="159"/>
      <c r="X289" s="159"/>
      <c r="Y289" s="159"/>
      <c r="Z289" s="159"/>
      <c r="AA289" s="159"/>
      <c r="AB289" s="159"/>
    </row>
    <row r="290">
      <c r="A290" s="159"/>
      <c r="B290" s="159"/>
      <c r="C290" s="159"/>
      <c r="D290" s="159"/>
      <c r="E290" s="159"/>
      <c r="F290" s="159"/>
      <c r="G290" s="159"/>
      <c r="H290" s="159"/>
      <c r="I290" s="159"/>
      <c r="J290" s="159"/>
      <c r="K290" s="159"/>
      <c r="L290" s="159"/>
      <c r="N290" s="159"/>
      <c r="O290" s="159"/>
      <c r="P290" s="159"/>
      <c r="Q290" s="159"/>
      <c r="R290" s="159"/>
      <c r="S290" s="159"/>
      <c r="T290" s="159"/>
      <c r="U290" s="159"/>
      <c r="V290" s="159"/>
      <c r="W290" s="159"/>
      <c r="X290" s="159"/>
      <c r="Y290" s="159"/>
      <c r="Z290" s="159"/>
      <c r="AA290" s="159"/>
      <c r="AB290" s="159"/>
    </row>
    <row r="291">
      <c r="A291" s="159"/>
      <c r="B291" s="159"/>
      <c r="C291" s="159"/>
      <c r="D291" s="159"/>
      <c r="E291" s="159"/>
      <c r="F291" s="159"/>
      <c r="G291" s="159"/>
      <c r="H291" s="159"/>
      <c r="I291" s="159"/>
      <c r="J291" s="159"/>
      <c r="K291" s="159"/>
      <c r="L291" s="159"/>
      <c r="N291" s="159"/>
      <c r="O291" s="159"/>
      <c r="P291" s="159"/>
      <c r="Q291" s="159"/>
      <c r="R291" s="159"/>
      <c r="S291" s="159"/>
      <c r="T291" s="159"/>
      <c r="U291" s="159"/>
      <c r="V291" s="159"/>
      <c r="W291" s="159"/>
      <c r="X291" s="159"/>
      <c r="Y291" s="159"/>
      <c r="Z291" s="159"/>
      <c r="AA291" s="159"/>
      <c r="AB291" s="159"/>
    </row>
    <row r="292">
      <c r="A292" s="159"/>
      <c r="B292" s="159"/>
      <c r="C292" s="159"/>
      <c r="D292" s="159"/>
      <c r="E292" s="159"/>
      <c r="F292" s="159"/>
      <c r="G292" s="159"/>
      <c r="H292" s="159"/>
      <c r="I292" s="159"/>
      <c r="J292" s="159"/>
      <c r="K292" s="159"/>
      <c r="L292" s="159"/>
      <c r="N292" s="159"/>
      <c r="O292" s="159"/>
      <c r="P292" s="159"/>
      <c r="Q292" s="159"/>
      <c r="R292" s="159"/>
      <c r="S292" s="159"/>
      <c r="T292" s="159"/>
      <c r="U292" s="159"/>
      <c r="V292" s="159"/>
      <c r="W292" s="159"/>
      <c r="X292" s="159"/>
      <c r="Y292" s="159"/>
      <c r="Z292" s="159"/>
      <c r="AA292" s="159"/>
      <c r="AB292" s="159"/>
    </row>
    <row r="293">
      <c r="A293" s="159"/>
      <c r="B293" s="159"/>
      <c r="C293" s="159"/>
      <c r="D293" s="159"/>
      <c r="E293" s="159"/>
      <c r="F293" s="159"/>
      <c r="G293" s="159"/>
      <c r="H293" s="159"/>
      <c r="I293" s="159"/>
      <c r="J293" s="159"/>
      <c r="K293" s="159"/>
      <c r="L293" s="159"/>
      <c r="N293" s="159"/>
      <c r="O293" s="159"/>
      <c r="P293" s="159"/>
      <c r="Q293" s="159"/>
      <c r="R293" s="159"/>
      <c r="S293" s="159"/>
      <c r="T293" s="159"/>
      <c r="U293" s="159"/>
      <c r="V293" s="159"/>
      <c r="W293" s="159"/>
      <c r="X293" s="159"/>
      <c r="Y293" s="159"/>
      <c r="Z293" s="159"/>
      <c r="AA293" s="159"/>
      <c r="AB293" s="159"/>
    </row>
    <row r="294">
      <c r="A294" s="159"/>
      <c r="B294" s="159"/>
      <c r="C294" s="159"/>
      <c r="D294" s="159"/>
      <c r="E294" s="159"/>
      <c r="F294" s="159"/>
      <c r="G294" s="159"/>
      <c r="H294" s="159"/>
      <c r="I294" s="159"/>
      <c r="J294" s="159"/>
      <c r="K294" s="159"/>
      <c r="L294" s="159"/>
      <c r="N294" s="159"/>
      <c r="O294" s="159"/>
      <c r="P294" s="159"/>
      <c r="Q294" s="159"/>
      <c r="R294" s="159"/>
      <c r="S294" s="159"/>
      <c r="T294" s="159"/>
      <c r="U294" s="159"/>
      <c r="V294" s="159"/>
      <c r="W294" s="159"/>
      <c r="X294" s="159"/>
      <c r="Y294" s="159"/>
      <c r="Z294" s="159"/>
      <c r="AA294" s="159"/>
      <c r="AB294" s="159"/>
    </row>
    <row r="295">
      <c r="A295" s="159"/>
      <c r="B295" s="159"/>
      <c r="C295" s="159"/>
      <c r="D295" s="159"/>
      <c r="E295" s="159"/>
      <c r="F295" s="159"/>
      <c r="G295" s="159"/>
      <c r="H295" s="159"/>
      <c r="I295" s="159"/>
      <c r="J295" s="159"/>
      <c r="K295" s="159"/>
      <c r="L295" s="159"/>
      <c r="N295" s="159"/>
      <c r="O295" s="159"/>
      <c r="P295" s="159"/>
      <c r="Q295" s="159"/>
      <c r="R295" s="159"/>
      <c r="S295" s="159"/>
      <c r="T295" s="159"/>
      <c r="U295" s="159"/>
      <c r="V295" s="159"/>
      <c r="W295" s="159"/>
      <c r="X295" s="159"/>
      <c r="Y295" s="159"/>
      <c r="Z295" s="159"/>
      <c r="AA295" s="159"/>
      <c r="AB295" s="159"/>
    </row>
    <row r="296">
      <c r="A296" s="159"/>
      <c r="B296" s="159"/>
      <c r="C296" s="159"/>
      <c r="D296" s="159"/>
      <c r="E296" s="159"/>
      <c r="F296" s="159"/>
      <c r="G296" s="159"/>
      <c r="H296" s="159"/>
      <c r="I296" s="159"/>
      <c r="J296" s="159"/>
      <c r="K296" s="159"/>
      <c r="L296" s="159"/>
      <c r="N296" s="159"/>
      <c r="O296" s="159"/>
      <c r="P296" s="159"/>
      <c r="Q296" s="159"/>
      <c r="R296" s="159"/>
      <c r="S296" s="159"/>
      <c r="T296" s="159"/>
      <c r="U296" s="159"/>
      <c r="V296" s="159"/>
      <c r="W296" s="159"/>
      <c r="X296" s="159"/>
      <c r="Y296" s="159"/>
      <c r="Z296" s="159"/>
      <c r="AA296" s="159"/>
      <c r="AB296" s="159"/>
    </row>
    <row r="297">
      <c r="A297" s="159"/>
      <c r="B297" s="159"/>
      <c r="C297" s="159"/>
      <c r="D297" s="159"/>
      <c r="E297" s="159"/>
      <c r="F297" s="159"/>
      <c r="G297" s="159"/>
      <c r="H297" s="159"/>
      <c r="I297" s="159"/>
      <c r="J297" s="159"/>
      <c r="K297" s="159"/>
      <c r="L297" s="159"/>
      <c r="N297" s="159"/>
      <c r="O297" s="159"/>
      <c r="P297" s="159"/>
      <c r="Q297" s="159"/>
      <c r="R297" s="159"/>
      <c r="S297" s="159"/>
      <c r="T297" s="159"/>
      <c r="U297" s="159"/>
      <c r="V297" s="159"/>
      <c r="W297" s="159"/>
      <c r="X297" s="159"/>
      <c r="Y297" s="159"/>
      <c r="Z297" s="159"/>
      <c r="AA297" s="159"/>
      <c r="AB297" s="159"/>
    </row>
    <row r="298">
      <c r="A298" s="159"/>
      <c r="B298" s="159"/>
      <c r="C298" s="159"/>
      <c r="D298" s="159"/>
      <c r="E298" s="159"/>
      <c r="F298" s="159"/>
      <c r="G298" s="159"/>
      <c r="H298" s="159"/>
      <c r="I298" s="159"/>
      <c r="J298" s="159"/>
      <c r="K298" s="159"/>
      <c r="L298" s="159"/>
      <c r="N298" s="159"/>
      <c r="O298" s="159"/>
      <c r="P298" s="159"/>
      <c r="Q298" s="159"/>
      <c r="R298" s="159"/>
      <c r="S298" s="159"/>
      <c r="T298" s="159"/>
      <c r="U298" s="159"/>
      <c r="V298" s="159"/>
      <c r="W298" s="159"/>
      <c r="X298" s="159"/>
      <c r="Y298" s="159"/>
      <c r="Z298" s="159"/>
      <c r="AA298" s="159"/>
      <c r="AB298" s="159"/>
    </row>
    <row r="299">
      <c r="A299" s="159"/>
      <c r="B299" s="159"/>
      <c r="C299" s="159"/>
      <c r="D299" s="159"/>
      <c r="E299" s="159"/>
      <c r="F299" s="159"/>
      <c r="G299" s="159"/>
      <c r="H299" s="159"/>
      <c r="I299" s="159"/>
      <c r="J299" s="159"/>
      <c r="K299" s="159"/>
      <c r="L299" s="159"/>
      <c r="N299" s="159"/>
      <c r="O299" s="159"/>
      <c r="P299" s="159"/>
      <c r="Q299" s="159"/>
      <c r="R299" s="159"/>
      <c r="S299" s="159"/>
      <c r="T299" s="159"/>
      <c r="U299" s="159"/>
      <c r="V299" s="159"/>
      <c r="W299" s="159"/>
      <c r="X299" s="159"/>
      <c r="Y299" s="159"/>
      <c r="Z299" s="159"/>
      <c r="AA299" s="159"/>
      <c r="AB299" s="159"/>
    </row>
    <row r="300">
      <c r="A300" s="159"/>
      <c r="B300" s="159"/>
      <c r="C300" s="159"/>
      <c r="D300" s="159"/>
      <c r="E300" s="159"/>
      <c r="F300" s="159"/>
      <c r="G300" s="159"/>
      <c r="H300" s="159"/>
      <c r="I300" s="159"/>
      <c r="J300" s="159"/>
      <c r="K300" s="159"/>
      <c r="L300" s="159"/>
      <c r="N300" s="159"/>
      <c r="O300" s="159"/>
      <c r="P300" s="159"/>
      <c r="Q300" s="159"/>
      <c r="R300" s="159"/>
      <c r="S300" s="159"/>
      <c r="T300" s="159"/>
      <c r="U300" s="159"/>
      <c r="V300" s="159"/>
      <c r="W300" s="159"/>
      <c r="X300" s="159"/>
      <c r="Y300" s="159"/>
      <c r="Z300" s="159"/>
      <c r="AA300" s="159"/>
      <c r="AB300" s="159"/>
    </row>
    <row r="301">
      <c r="A301" s="159"/>
      <c r="B301" s="159"/>
      <c r="C301" s="159"/>
      <c r="D301" s="159"/>
      <c r="E301" s="159"/>
      <c r="F301" s="159"/>
      <c r="G301" s="159"/>
      <c r="H301" s="159"/>
      <c r="I301" s="159"/>
      <c r="J301" s="159"/>
      <c r="K301" s="159"/>
      <c r="L301" s="159"/>
      <c r="N301" s="159"/>
      <c r="O301" s="159"/>
      <c r="P301" s="159"/>
      <c r="Q301" s="159"/>
      <c r="R301" s="159"/>
      <c r="S301" s="159"/>
      <c r="T301" s="159"/>
      <c r="U301" s="159"/>
      <c r="V301" s="159"/>
      <c r="W301" s="159"/>
      <c r="X301" s="159"/>
      <c r="Y301" s="159"/>
      <c r="Z301" s="159"/>
      <c r="AA301" s="159"/>
      <c r="AB301" s="159"/>
    </row>
    <row r="302">
      <c r="A302" s="159"/>
      <c r="B302" s="159"/>
      <c r="C302" s="159"/>
      <c r="D302" s="159"/>
      <c r="E302" s="159"/>
      <c r="F302" s="159"/>
      <c r="G302" s="159"/>
      <c r="H302" s="159"/>
      <c r="I302" s="159"/>
      <c r="J302" s="159"/>
      <c r="K302" s="159"/>
      <c r="L302" s="159"/>
      <c r="N302" s="159"/>
      <c r="O302" s="159"/>
      <c r="P302" s="159"/>
      <c r="Q302" s="159"/>
      <c r="R302" s="159"/>
      <c r="S302" s="159"/>
      <c r="T302" s="159"/>
      <c r="U302" s="159"/>
      <c r="V302" s="159"/>
      <c r="W302" s="159"/>
      <c r="X302" s="159"/>
      <c r="Y302" s="159"/>
      <c r="Z302" s="159"/>
      <c r="AA302" s="159"/>
      <c r="AB302" s="159"/>
    </row>
    <row r="303">
      <c r="A303" s="159"/>
      <c r="B303" s="159"/>
      <c r="C303" s="159"/>
      <c r="D303" s="159"/>
      <c r="E303" s="159"/>
      <c r="F303" s="159"/>
      <c r="G303" s="159"/>
      <c r="H303" s="159"/>
      <c r="I303" s="159"/>
      <c r="J303" s="159"/>
      <c r="K303" s="159"/>
      <c r="L303" s="159"/>
      <c r="N303" s="159"/>
      <c r="O303" s="159"/>
      <c r="P303" s="159"/>
      <c r="Q303" s="159"/>
      <c r="R303" s="159"/>
      <c r="S303" s="159"/>
      <c r="T303" s="159"/>
      <c r="U303" s="159"/>
      <c r="V303" s="159"/>
      <c r="W303" s="159"/>
      <c r="X303" s="159"/>
      <c r="Y303" s="159"/>
      <c r="Z303" s="159"/>
      <c r="AA303" s="159"/>
      <c r="AB303" s="159"/>
    </row>
    <row r="304">
      <c r="A304" s="159"/>
      <c r="B304" s="159"/>
      <c r="C304" s="159"/>
      <c r="D304" s="159"/>
      <c r="E304" s="159"/>
      <c r="F304" s="159"/>
      <c r="G304" s="159"/>
      <c r="H304" s="159"/>
      <c r="I304" s="159"/>
      <c r="J304" s="159"/>
      <c r="K304" s="159"/>
      <c r="L304" s="159"/>
      <c r="N304" s="159"/>
      <c r="O304" s="159"/>
      <c r="P304" s="159"/>
      <c r="Q304" s="159"/>
      <c r="R304" s="159"/>
      <c r="S304" s="159"/>
      <c r="T304" s="159"/>
      <c r="U304" s="159"/>
      <c r="V304" s="159"/>
      <c r="W304" s="159"/>
      <c r="X304" s="159"/>
      <c r="Y304" s="159"/>
      <c r="Z304" s="159"/>
      <c r="AA304" s="159"/>
      <c r="AB304" s="159"/>
    </row>
    <row r="305">
      <c r="A305" s="159"/>
      <c r="B305" s="159"/>
      <c r="C305" s="159"/>
      <c r="D305" s="159"/>
      <c r="E305" s="159"/>
      <c r="F305" s="159"/>
      <c r="G305" s="159"/>
      <c r="H305" s="159"/>
      <c r="I305" s="159"/>
      <c r="J305" s="159"/>
      <c r="K305" s="159"/>
      <c r="L305" s="159"/>
      <c r="N305" s="159"/>
      <c r="O305" s="159"/>
      <c r="P305" s="159"/>
      <c r="Q305" s="159"/>
      <c r="R305" s="159"/>
      <c r="S305" s="159"/>
      <c r="T305" s="159"/>
      <c r="U305" s="159"/>
      <c r="V305" s="159"/>
      <c r="W305" s="159"/>
      <c r="X305" s="159"/>
      <c r="Y305" s="159"/>
      <c r="Z305" s="159"/>
      <c r="AA305" s="159"/>
      <c r="AB305" s="159"/>
    </row>
    <row r="306">
      <c r="A306" s="159"/>
      <c r="B306" s="159"/>
      <c r="C306" s="159"/>
      <c r="D306" s="159"/>
      <c r="E306" s="159"/>
      <c r="F306" s="159"/>
      <c r="G306" s="159"/>
      <c r="H306" s="159"/>
      <c r="I306" s="159"/>
      <c r="J306" s="159"/>
      <c r="K306" s="159"/>
      <c r="L306" s="159"/>
      <c r="N306" s="159"/>
      <c r="O306" s="159"/>
      <c r="P306" s="159"/>
      <c r="Q306" s="159"/>
      <c r="R306" s="159"/>
      <c r="S306" s="159"/>
      <c r="T306" s="159"/>
      <c r="U306" s="159"/>
      <c r="V306" s="159"/>
      <c r="W306" s="159"/>
      <c r="X306" s="159"/>
      <c r="Y306" s="159"/>
      <c r="Z306" s="159"/>
      <c r="AA306" s="159"/>
      <c r="AB306" s="159"/>
    </row>
    <row r="307">
      <c r="A307" s="159"/>
      <c r="B307" s="159"/>
      <c r="C307" s="159"/>
      <c r="D307" s="159"/>
      <c r="E307" s="159"/>
      <c r="F307" s="159"/>
      <c r="G307" s="159"/>
      <c r="H307" s="159"/>
      <c r="I307" s="159"/>
      <c r="J307" s="159"/>
      <c r="K307" s="159"/>
      <c r="L307" s="159"/>
      <c r="N307" s="159"/>
      <c r="O307" s="159"/>
      <c r="P307" s="159"/>
      <c r="Q307" s="159"/>
      <c r="R307" s="159"/>
      <c r="S307" s="159"/>
      <c r="T307" s="159"/>
      <c r="U307" s="159"/>
      <c r="V307" s="159"/>
      <c r="W307" s="159"/>
      <c r="X307" s="159"/>
      <c r="Y307" s="159"/>
      <c r="Z307" s="159"/>
      <c r="AA307" s="159"/>
      <c r="AB307" s="159"/>
    </row>
    <row r="308">
      <c r="A308" s="159"/>
      <c r="B308" s="159"/>
      <c r="C308" s="159"/>
      <c r="D308" s="159"/>
      <c r="E308" s="159"/>
      <c r="F308" s="159"/>
      <c r="G308" s="159"/>
      <c r="H308" s="159"/>
      <c r="I308" s="159"/>
      <c r="J308" s="159"/>
      <c r="K308" s="159"/>
      <c r="L308" s="159"/>
      <c r="N308" s="159"/>
      <c r="O308" s="159"/>
      <c r="P308" s="159"/>
      <c r="Q308" s="159"/>
      <c r="R308" s="159"/>
      <c r="S308" s="159"/>
      <c r="T308" s="159"/>
      <c r="U308" s="159"/>
      <c r="V308" s="159"/>
      <c r="W308" s="159"/>
      <c r="X308" s="159"/>
      <c r="Y308" s="159"/>
      <c r="Z308" s="159"/>
      <c r="AA308" s="159"/>
      <c r="AB308" s="159"/>
    </row>
    <row r="309">
      <c r="A309" s="159"/>
      <c r="B309" s="159"/>
      <c r="C309" s="159"/>
      <c r="D309" s="159"/>
      <c r="E309" s="159"/>
      <c r="F309" s="159"/>
      <c r="G309" s="159"/>
      <c r="H309" s="159"/>
      <c r="I309" s="159"/>
      <c r="J309" s="159"/>
      <c r="K309" s="159"/>
      <c r="L309" s="159"/>
      <c r="N309" s="159"/>
      <c r="O309" s="159"/>
      <c r="P309" s="159"/>
      <c r="Q309" s="159"/>
      <c r="R309" s="159"/>
      <c r="S309" s="159"/>
      <c r="T309" s="159"/>
      <c r="U309" s="159"/>
      <c r="V309" s="159"/>
      <c r="W309" s="159"/>
      <c r="X309" s="159"/>
      <c r="Y309" s="159"/>
      <c r="Z309" s="159"/>
      <c r="AA309" s="159"/>
      <c r="AB309" s="159"/>
    </row>
    <row r="310">
      <c r="A310" s="159"/>
      <c r="B310" s="159"/>
      <c r="C310" s="159"/>
      <c r="D310" s="159"/>
      <c r="E310" s="159"/>
      <c r="F310" s="159"/>
      <c r="G310" s="159"/>
      <c r="H310" s="159"/>
      <c r="I310" s="159"/>
      <c r="J310" s="159"/>
      <c r="K310" s="159"/>
      <c r="L310" s="159"/>
      <c r="N310" s="159"/>
      <c r="O310" s="159"/>
      <c r="P310" s="159"/>
      <c r="Q310" s="159"/>
      <c r="R310" s="159"/>
      <c r="S310" s="159"/>
      <c r="T310" s="159"/>
      <c r="U310" s="159"/>
      <c r="V310" s="159"/>
      <c r="W310" s="159"/>
      <c r="X310" s="159"/>
      <c r="Y310" s="159"/>
      <c r="Z310" s="159"/>
      <c r="AA310" s="159"/>
      <c r="AB310" s="159"/>
    </row>
    <row r="311">
      <c r="A311" s="159"/>
      <c r="B311" s="159"/>
      <c r="C311" s="159"/>
      <c r="D311" s="159"/>
      <c r="E311" s="159"/>
      <c r="F311" s="159"/>
      <c r="G311" s="159"/>
      <c r="H311" s="159"/>
      <c r="I311" s="159"/>
      <c r="J311" s="159"/>
      <c r="K311" s="159"/>
      <c r="L311" s="159"/>
      <c r="N311" s="159"/>
      <c r="O311" s="159"/>
      <c r="P311" s="159"/>
      <c r="Q311" s="159"/>
      <c r="R311" s="159"/>
      <c r="S311" s="159"/>
      <c r="T311" s="159"/>
      <c r="U311" s="159"/>
      <c r="V311" s="159"/>
      <c r="W311" s="159"/>
      <c r="X311" s="159"/>
      <c r="Y311" s="159"/>
      <c r="Z311" s="159"/>
      <c r="AA311" s="159"/>
      <c r="AB311" s="159"/>
    </row>
    <row r="312">
      <c r="A312" s="159"/>
      <c r="B312" s="159"/>
      <c r="C312" s="159"/>
      <c r="D312" s="159"/>
      <c r="E312" s="159"/>
      <c r="F312" s="159"/>
      <c r="G312" s="159"/>
      <c r="H312" s="159"/>
      <c r="I312" s="159"/>
      <c r="J312" s="159"/>
      <c r="K312" s="159"/>
      <c r="L312" s="159"/>
      <c r="N312" s="159"/>
      <c r="O312" s="159"/>
      <c r="P312" s="159"/>
      <c r="Q312" s="159"/>
      <c r="R312" s="159"/>
      <c r="S312" s="159"/>
      <c r="T312" s="159"/>
      <c r="U312" s="159"/>
      <c r="V312" s="159"/>
      <c r="W312" s="159"/>
      <c r="X312" s="159"/>
      <c r="Y312" s="159"/>
      <c r="Z312" s="159"/>
      <c r="AA312" s="159"/>
      <c r="AB312" s="159"/>
    </row>
    <row r="313">
      <c r="A313" s="159"/>
      <c r="B313" s="159"/>
      <c r="C313" s="159"/>
      <c r="D313" s="159"/>
      <c r="E313" s="159"/>
      <c r="F313" s="159"/>
      <c r="G313" s="159"/>
      <c r="H313" s="159"/>
      <c r="I313" s="159"/>
      <c r="J313" s="159"/>
      <c r="K313" s="159"/>
      <c r="L313" s="159"/>
      <c r="N313" s="159"/>
      <c r="O313" s="159"/>
      <c r="P313" s="159"/>
      <c r="Q313" s="159"/>
      <c r="R313" s="159"/>
      <c r="S313" s="159"/>
      <c r="T313" s="159"/>
      <c r="U313" s="159"/>
      <c r="V313" s="159"/>
      <c r="W313" s="159"/>
      <c r="X313" s="159"/>
      <c r="Y313" s="159"/>
      <c r="Z313" s="159"/>
      <c r="AA313" s="159"/>
      <c r="AB313" s="159"/>
    </row>
    <row r="314">
      <c r="A314" s="159"/>
      <c r="B314" s="159"/>
      <c r="C314" s="159"/>
      <c r="D314" s="159"/>
      <c r="E314" s="159"/>
      <c r="F314" s="159"/>
      <c r="G314" s="159"/>
      <c r="H314" s="159"/>
      <c r="I314" s="159"/>
      <c r="J314" s="159"/>
      <c r="K314" s="159"/>
      <c r="L314" s="159"/>
      <c r="N314" s="159"/>
      <c r="O314" s="159"/>
      <c r="P314" s="159"/>
      <c r="Q314" s="159"/>
      <c r="R314" s="159"/>
      <c r="S314" s="159"/>
      <c r="T314" s="159"/>
      <c r="U314" s="159"/>
      <c r="V314" s="159"/>
      <c r="W314" s="159"/>
      <c r="X314" s="159"/>
      <c r="Y314" s="159"/>
      <c r="Z314" s="159"/>
      <c r="AA314" s="159"/>
      <c r="AB314" s="159"/>
    </row>
    <row r="315">
      <c r="A315" s="159"/>
      <c r="B315" s="159"/>
      <c r="C315" s="159"/>
      <c r="D315" s="159"/>
      <c r="E315" s="159"/>
      <c r="F315" s="159"/>
      <c r="G315" s="159"/>
      <c r="H315" s="159"/>
      <c r="I315" s="159"/>
      <c r="J315" s="159"/>
      <c r="K315" s="159"/>
      <c r="L315" s="159"/>
      <c r="N315" s="159"/>
      <c r="O315" s="159"/>
      <c r="P315" s="159"/>
      <c r="Q315" s="159"/>
      <c r="R315" s="159"/>
      <c r="S315" s="159"/>
      <c r="T315" s="159"/>
      <c r="U315" s="159"/>
      <c r="V315" s="159"/>
      <c r="W315" s="159"/>
      <c r="X315" s="159"/>
      <c r="Y315" s="159"/>
      <c r="Z315" s="159"/>
      <c r="AA315" s="159"/>
      <c r="AB315" s="159"/>
    </row>
    <row r="316">
      <c r="A316" s="159"/>
      <c r="B316" s="159"/>
      <c r="C316" s="159"/>
      <c r="D316" s="159"/>
      <c r="E316" s="159"/>
      <c r="F316" s="159"/>
      <c r="G316" s="159"/>
      <c r="H316" s="159"/>
      <c r="I316" s="159"/>
      <c r="J316" s="159"/>
      <c r="K316" s="159"/>
      <c r="L316" s="159"/>
      <c r="N316" s="159"/>
      <c r="O316" s="159"/>
      <c r="P316" s="159"/>
      <c r="Q316" s="159"/>
      <c r="R316" s="159"/>
      <c r="S316" s="159"/>
      <c r="T316" s="159"/>
      <c r="U316" s="159"/>
      <c r="V316" s="159"/>
      <c r="W316" s="159"/>
      <c r="X316" s="159"/>
      <c r="Y316" s="159"/>
      <c r="Z316" s="159"/>
      <c r="AA316" s="159"/>
      <c r="AB316" s="159"/>
    </row>
    <row r="317">
      <c r="A317" s="159"/>
      <c r="B317" s="159"/>
      <c r="C317" s="159"/>
      <c r="D317" s="159"/>
      <c r="E317" s="159"/>
      <c r="F317" s="159"/>
      <c r="G317" s="159"/>
      <c r="H317" s="159"/>
      <c r="I317" s="159"/>
      <c r="J317" s="159"/>
      <c r="K317" s="159"/>
      <c r="L317" s="159"/>
      <c r="N317" s="159"/>
      <c r="O317" s="159"/>
      <c r="P317" s="159"/>
      <c r="Q317" s="159"/>
      <c r="R317" s="159"/>
      <c r="S317" s="159"/>
      <c r="T317" s="159"/>
      <c r="U317" s="159"/>
      <c r="V317" s="159"/>
      <c r="W317" s="159"/>
      <c r="X317" s="159"/>
      <c r="Y317" s="159"/>
      <c r="Z317" s="159"/>
      <c r="AA317" s="159"/>
      <c r="AB317" s="159"/>
    </row>
    <row r="318">
      <c r="A318" s="159"/>
      <c r="B318" s="159"/>
      <c r="C318" s="159"/>
      <c r="D318" s="159"/>
      <c r="E318" s="159"/>
      <c r="F318" s="159"/>
      <c r="G318" s="159"/>
      <c r="H318" s="159"/>
      <c r="I318" s="159"/>
      <c r="J318" s="159"/>
      <c r="K318" s="159"/>
      <c r="L318" s="159"/>
      <c r="N318" s="159"/>
      <c r="O318" s="159"/>
      <c r="P318" s="159"/>
      <c r="Q318" s="159"/>
      <c r="R318" s="159"/>
      <c r="S318" s="159"/>
      <c r="T318" s="159"/>
      <c r="U318" s="159"/>
      <c r="V318" s="159"/>
      <c r="W318" s="159"/>
      <c r="X318" s="159"/>
      <c r="Y318" s="159"/>
      <c r="Z318" s="159"/>
      <c r="AA318" s="159"/>
      <c r="AB318" s="159"/>
    </row>
    <row r="319">
      <c r="A319" s="159"/>
      <c r="B319" s="159"/>
      <c r="C319" s="159"/>
      <c r="D319" s="159"/>
      <c r="E319" s="159"/>
      <c r="F319" s="159"/>
      <c r="G319" s="159"/>
      <c r="H319" s="159"/>
      <c r="I319" s="159"/>
      <c r="J319" s="159"/>
      <c r="K319" s="159"/>
      <c r="L319" s="159"/>
      <c r="N319" s="159"/>
      <c r="O319" s="159"/>
      <c r="P319" s="159"/>
      <c r="Q319" s="159"/>
      <c r="R319" s="159"/>
      <c r="S319" s="159"/>
      <c r="T319" s="159"/>
      <c r="U319" s="159"/>
      <c r="V319" s="159"/>
      <c r="W319" s="159"/>
      <c r="X319" s="159"/>
      <c r="Y319" s="159"/>
      <c r="Z319" s="159"/>
      <c r="AA319" s="159"/>
      <c r="AB319" s="159"/>
    </row>
    <row r="320">
      <c r="A320" s="159"/>
      <c r="B320" s="159"/>
      <c r="C320" s="159"/>
      <c r="D320" s="159"/>
      <c r="E320" s="159"/>
      <c r="F320" s="159"/>
      <c r="G320" s="159"/>
      <c r="H320" s="159"/>
      <c r="I320" s="159"/>
      <c r="J320" s="159"/>
      <c r="K320" s="159"/>
      <c r="L320" s="159"/>
      <c r="N320" s="159"/>
      <c r="O320" s="159"/>
      <c r="P320" s="159"/>
      <c r="Q320" s="159"/>
      <c r="R320" s="159"/>
      <c r="S320" s="159"/>
      <c r="T320" s="159"/>
      <c r="U320" s="159"/>
      <c r="V320" s="159"/>
      <c r="W320" s="159"/>
      <c r="X320" s="159"/>
      <c r="Y320" s="159"/>
      <c r="Z320" s="159"/>
      <c r="AA320" s="159"/>
      <c r="AB320" s="159"/>
    </row>
    <row r="321">
      <c r="A321" s="159"/>
      <c r="B321" s="159"/>
      <c r="C321" s="159"/>
      <c r="D321" s="159"/>
      <c r="E321" s="159"/>
      <c r="F321" s="159"/>
      <c r="G321" s="159"/>
      <c r="H321" s="159"/>
      <c r="I321" s="159"/>
      <c r="J321" s="159"/>
      <c r="K321" s="159"/>
      <c r="L321" s="159"/>
      <c r="N321" s="159"/>
      <c r="O321" s="159"/>
      <c r="P321" s="159"/>
      <c r="Q321" s="159"/>
      <c r="R321" s="159"/>
      <c r="S321" s="159"/>
      <c r="T321" s="159"/>
      <c r="U321" s="159"/>
      <c r="V321" s="159"/>
      <c r="W321" s="159"/>
      <c r="X321" s="159"/>
      <c r="Y321" s="159"/>
      <c r="Z321" s="159"/>
      <c r="AA321" s="159"/>
      <c r="AB321" s="159"/>
    </row>
    <row r="322">
      <c r="A322" s="159"/>
      <c r="B322" s="159"/>
      <c r="C322" s="159"/>
      <c r="D322" s="159"/>
      <c r="E322" s="159"/>
      <c r="F322" s="159"/>
      <c r="G322" s="159"/>
      <c r="H322" s="159"/>
      <c r="I322" s="159"/>
      <c r="J322" s="159"/>
      <c r="K322" s="159"/>
      <c r="L322" s="159"/>
      <c r="N322" s="159"/>
      <c r="O322" s="159"/>
      <c r="P322" s="159"/>
      <c r="Q322" s="159"/>
      <c r="R322" s="159"/>
      <c r="S322" s="159"/>
      <c r="T322" s="159"/>
      <c r="U322" s="159"/>
      <c r="V322" s="159"/>
      <c r="W322" s="159"/>
      <c r="X322" s="159"/>
      <c r="Y322" s="159"/>
      <c r="Z322" s="159"/>
      <c r="AA322" s="159"/>
      <c r="AB322" s="159"/>
    </row>
    <row r="323">
      <c r="A323" s="159"/>
      <c r="B323" s="159"/>
      <c r="C323" s="159"/>
      <c r="D323" s="159"/>
      <c r="E323" s="159"/>
      <c r="F323" s="159"/>
      <c r="G323" s="159"/>
      <c r="H323" s="159"/>
      <c r="I323" s="159"/>
      <c r="J323" s="159"/>
      <c r="K323" s="159"/>
      <c r="L323" s="159"/>
      <c r="N323" s="159"/>
      <c r="O323" s="159"/>
      <c r="P323" s="159"/>
      <c r="Q323" s="159"/>
      <c r="R323" s="159"/>
      <c r="S323" s="159"/>
      <c r="T323" s="159"/>
      <c r="U323" s="159"/>
      <c r="V323" s="159"/>
      <c r="W323" s="159"/>
      <c r="X323" s="159"/>
      <c r="Y323" s="159"/>
      <c r="Z323" s="159"/>
      <c r="AA323" s="159"/>
      <c r="AB323" s="159"/>
    </row>
    <row r="324">
      <c r="A324" s="159"/>
      <c r="B324" s="159"/>
      <c r="C324" s="159"/>
      <c r="D324" s="159"/>
      <c r="E324" s="159"/>
      <c r="F324" s="159"/>
      <c r="G324" s="159"/>
      <c r="H324" s="159"/>
      <c r="I324" s="159"/>
      <c r="J324" s="159"/>
      <c r="K324" s="159"/>
      <c r="L324" s="159"/>
      <c r="N324" s="159"/>
      <c r="O324" s="159"/>
      <c r="P324" s="159"/>
      <c r="Q324" s="159"/>
      <c r="R324" s="159"/>
      <c r="S324" s="159"/>
      <c r="T324" s="159"/>
      <c r="U324" s="159"/>
      <c r="V324" s="159"/>
      <c r="W324" s="159"/>
      <c r="X324" s="159"/>
      <c r="Y324" s="159"/>
      <c r="Z324" s="159"/>
      <c r="AA324" s="159"/>
      <c r="AB324" s="159"/>
    </row>
    <row r="325">
      <c r="A325" s="159"/>
      <c r="B325" s="159"/>
      <c r="C325" s="159"/>
      <c r="D325" s="159"/>
      <c r="E325" s="159"/>
      <c r="F325" s="159"/>
      <c r="G325" s="159"/>
      <c r="H325" s="159"/>
      <c r="I325" s="159"/>
      <c r="J325" s="159"/>
      <c r="K325" s="159"/>
      <c r="L325" s="159"/>
      <c r="N325" s="159"/>
      <c r="O325" s="159"/>
      <c r="P325" s="159"/>
      <c r="Q325" s="159"/>
      <c r="R325" s="159"/>
      <c r="S325" s="159"/>
      <c r="T325" s="159"/>
      <c r="U325" s="159"/>
      <c r="V325" s="159"/>
      <c r="W325" s="159"/>
      <c r="X325" s="159"/>
      <c r="Y325" s="159"/>
      <c r="Z325" s="159"/>
      <c r="AA325" s="159"/>
      <c r="AB325" s="159"/>
    </row>
    <row r="326">
      <c r="A326" s="159"/>
      <c r="B326" s="159"/>
      <c r="C326" s="159"/>
      <c r="D326" s="159"/>
      <c r="E326" s="159"/>
      <c r="F326" s="159"/>
      <c r="G326" s="159"/>
      <c r="H326" s="159"/>
      <c r="I326" s="159"/>
      <c r="J326" s="159"/>
      <c r="K326" s="159"/>
      <c r="L326" s="159"/>
      <c r="N326" s="159"/>
      <c r="O326" s="159"/>
      <c r="P326" s="159"/>
      <c r="Q326" s="159"/>
      <c r="R326" s="159"/>
      <c r="S326" s="159"/>
      <c r="T326" s="159"/>
      <c r="U326" s="159"/>
      <c r="V326" s="159"/>
      <c r="W326" s="159"/>
      <c r="X326" s="159"/>
      <c r="Y326" s="159"/>
      <c r="Z326" s="159"/>
      <c r="AA326" s="159"/>
      <c r="AB326" s="159"/>
    </row>
    <row r="327">
      <c r="A327" s="159"/>
      <c r="B327" s="159"/>
      <c r="C327" s="159"/>
      <c r="D327" s="159"/>
      <c r="E327" s="159"/>
      <c r="F327" s="159"/>
      <c r="G327" s="159"/>
      <c r="H327" s="159"/>
      <c r="I327" s="159"/>
      <c r="J327" s="159"/>
      <c r="K327" s="159"/>
      <c r="L327" s="159"/>
      <c r="N327" s="159"/>
      <c r="O327" s="159"/>
      <c r="P327" s="159"/>
      <c r="Q327" s="159"/>
      <c r="R327" s="159"/>
      <c r="S327" s="159"/>
      <c r="T327" s="159"/>
      <c r="U327" s="159"/>
      <c r="V327" s="159"/>
      <c r="W327" s="159"/>
      <c r="X327" s="159"/>
      <c r="Y327" s="159"/>
      <c r="Z327" s="159"/>
      <c r="AA327" s="159"/>
      <c r="AB327" s="159"/>
    </row>
    <row r="328">
      <c r="A328" s="159"/>
      <c r="B328" s="159"/>
      <c r="C328" s="159"/>
      <c r="D328" s="159"/>
      <c r="E328" s="159"/>
      <c r="F328" s="159"/>
      <c r="G328" s="159"/>
      <c r="H328" s="159"/>
      <c r="I328" s="159"/>
      <c r="J328" s="159"/>
      <c r="K328" s="159"/>
      <c r="L328" s="159"/>
      <c r="N328" s="159"/>
      <c r="O328" s="159"/>
      <c r="P328" s="159"/>
      <c r="Q328" s="159"/>
      <c r="R328" s="159"/>
      <c r="S328" s="159"/>
      <c r="T328" s="159"/>
      <c r="U328" s="159"/>
      <c r="V328" s="159"/>
      <c r="W328" s="159"/>
      <c r="X328" s="159"/>
      <c r="Y328" s="159"/>
      <c r="Z328" s="159"/>
      <c r="AA328" s="159"/>
      <c r="AB328" s="159"/>
    </row>
    <row r="329">
      <c r="A329" s="159"/>
      <c r="B329" s="159"/>
      <c r="C329" s="159"/>
      <c r="D329" s="159"/>
      <c r="E329" s="159"/>
      <c r="F329" s="159"/>
      <c r="G329" s="159"/>
      <c r="H329" s="159"/>
      <c r="I329" s="159"/>
      <c r="J329" s="159"/>
      <c r="K329" s="159"/>
      <c r="L329" s="159"/>
      <c r="N329" s="159"/>
      <c r="O329" s="159"/>
      <c r="P329" s="159"/>
      <c r="Q329" s="159"/>
      <c r="R329" s="159"/>
      <c r="S329" s="159"/>
      <c r="T329" s="159"/>
      <c r="U329" s="159"/>
      <c r="V329" s="159"/>
      <c r="W329" s="159"/>
      <c r="X329" s="159"/>
      <c r="Y329" s="159"/>
      <c r="Z329" s="159"/>
      <c r="AA329" s="159"/>
      <c r="AB329" s="159"/>
    </row>
    <row r="330">
      <c r="A330" s="159"/>
      <c r="B330" s="159"/>
      <c r="C330" s="159"/>
      <c r="D330" s="159"/>
      <c r="E330" s="159"/>
      <c r="F330" s="159"/>
      <c r="G330" s="159"/>
      <c r="H330" s="159"/>
      <c r="I330" s="159"/>
      <c r="J330" s="159"/>
      <c r="K330" s="159"/>
      <c r="L330" s="159"/>
      <c r="N330" s="159"/>
      <c r="O330" s="159"/>
      <c r="P330" s="159"/>
      <c r="Q330" s="159"/>
      <c r="R330" s="159"/>
      <c r="S330" s="159"/>
      <c r="T330" s="159"/>
      <c r="U330" s="159"/>
      <c r="V330" s="159"/>
      <c r="W330" s="159"/>
      <c r="X330" s="159"/>
      <c r="Y330" s="159"/>
      <c r="Z330" s="159"/>
      <c r="AA330" s="159"/>
      <c r="AB330" s="159"/>
    </row>
    <row r="331">
      <c r="A331" s="159"/>
      <c r="B331" s="159"/>
      <c r="C331" s="159"/>
      <c r="D331" s="159"/>
      <c r="E331" s="159"/>
      <c r="F331" s="159"/>
      <c r="G331" s="159"/>
      <c r="H331" s="159"/>
      <c r="I331" s="159"/>
      <c r="J331" s="159"/>
      <c r="K331" s="159"/>
      <c r="L331" s="159"/>
      <c r="N331" s="159"/>
      <c r="O331" s="159"/>
      <c r="P331" s="159"/>
      <c r="Q331" s="159"/>
      <c r="R331" s="159"/>
      <c r="S331" s="159"/>
      <c r="T331" s="159"/>
      <c r="U331" s="159"/>
      <c r="V331" s="159"/>
      <c r="W331" s="159"/>
      <c r="X331" s="159"/>
      <c r="Y331" s="159"/>
      <c r="Z331" s="159"/>
      <c r="AA331" s="159"/>
      <c r="AB331" s="159"/>
    </row>
    <row r="332">
      <c r="A332" s="159"/>
      <c r="B332" s="159"/>
      <c r="C332" s="159"/>
      <c r="D332" s="159"/>
      <c r="E332" s="159"/>
      <c r="F332" s="159"/>
      <c r="G332" s="159"/>
      <c r="H332" s="159"/>
      <c r="I332" s="159"/>
      <c r="J332" s="159"/>
      <c r="K332" s="159"/>
      <c r="L332" s="159"/>
      <c r="N332" s="159"/>
      <c r="O332" s="159"/>
      <c r="P332" s="159"/>
      <c r="Q332" s="159"/>
      <c r="R332" s="159"/>
      <c r="S332" s="159"/>
      <c r="T332" s="159"/>
      <c r="U332" s="159"/>
      <c r="V332" s="159"/>
      <c r="W332" s="159"/>
      <c r="X332" s="159"/>
      <c r="Y332" s="159"/>
      <c r="Z332" s="159"/>
      <c r="AA332" s="159"/>
      <c r="AB332" s="159"/>
    </row>
    <row r="333">
      <c r="A333" s="159"/>
      <c r="B333" s="159"/>
      <c r="C333" s="159"/>
      <c r="D333" s="159"/>
      <c r="E333" s="159"/>
      <c r="F333" s="159"/>
      <c r="G333" s="159"/>
      <c r="H333" s="159"/>
      <c r="I333" s="159"/>
      <c r="J333" s="159"/>
      <c r="K333" s="159"/>
      <c r="L333" s="159"/>
      <c r="N333" s="159"/>
      <c r="O333" s="159"/>
      <c r="P333" s="159"/>
      <c r="Q333" s="159"/>
      <c r="R333" s="159"/>
      <c r="S333" s="159"/>
      <c r="T333" s="159"/>
      <c r="U333" s="159"/>
      <c r="V333" s="159"/>
      <c r="W333" s="159"/>
      <c r="X333" s="159"/>
      <c r="Y333" s="159"/>
      <c r="Z333" s="159"/>
      <c r="AA333" s="159"/>
      <c r="AB333" s="159"/>
    </row>
    <row r="334">
      <c r="A334" s="159"/>
      <c r="B334" s="159"/>
      <c r="C334" s="159"/>
      <c r="D334" s="159"/>
      <c r="E334" s="159"/>
      <c r="F334" s="159"/>
      <c r="G334" s="159"/>
      <c r="H334" s="159"/>
      <c r="I334" s="159"/>
      <c r="J334" s="159"/>
      <c r="K334" s="159"/>
      <c r="L334" s="159"/>
      <c r="N334" s="159"/>
      <c r="O334" s="159"/>
      <c r="P334" s="159"/>
      <c r="Q334" s="159"/>
      <c r="R334" s="159"/>
      <c r="S334" s="159"/>
      <c r="T334" s="159"/>
      <c r="U334" s="159"/>
      <c r="V334" s="159"/>
      <c r="W334" s="159"/>
      <c r="X334" s="159"/>
      <c r="Y334" s="159"/>
      <c r="Z334" s="159"/>
      <c r="AA334" s="159"/>
      <c r="AB334" s="159"/>
    </row>
    <row r="335">
      <c r="A335" s="159"/>
      <c r="B335" s="159"/>
      <c r="C335" s="159"/>
      <c r="D335" s="159"/>
      <c r="E335" s="159"/>
      <c r="F335" s="159"/>
      <c r="G335" s="159"/>
      <c r="H335" s="159"/>
      <c r="I335" s="159"/>
      <c r="J335" s="159"/>
      <c r="K335" s="159"/>
      <c r="L335" s="159"/>
      <c r="N335" s="159"/>
      <c r="O335" s="159"/>
      <c r="P335" s="159"/>
      <c r="Q335" s="159"/>
      <c r="R335" s="159"/>
      <c r="S335" s="159"/>
      <c r="T335" s="159"/>
      <c r="U335" s="159"/>
      <c r="V335" s="159"/>
      <c r="W335" s="159"/>
      <c r="X335" s="159"/>
      <c r="Y335" s="159"/>
      <c r="Z335" s="159"/>
      <c r="AA335" s="159"/>
      <c r="AB335" s="159"/>
    </row>
    <row r="336">
      <c r="A336" s="159"/>
      <c r="B336" s="159"/>
      <c r="C336" s="159"/>
      <c r="D336" s="159"/>
      <c r="E336" s="159"/>
      <c r="F336" s="159"/>
      <c r="G336" s="159"/>
      <c r="H336" s="159"/>
      <c r="I336" s="159"/>
      <c r="J336" s="159"/>
      <c r="K336" s="159"/>
      <c r="L336" s="159"/>
      <c r="N336" s="159"/>
      <c r="O336" s="159"/>
      <c r="P336" s="159"/>
      <c r="Q336" s="159"/>
      <c r="R336" s="159"/>
      <c r="S336" s="159"/>
      <c r="T336" s="159"/>
      <c r="U336" s="159"/>
      <c r="V336" s="159"/>
      <c r="W336" s="159"/>
      <c r="X336" s="159"/>
      <c r="Y336" s="159"/>
      <c r="Z336" s="159"/>
      <c r="AA336" s="159"/>
      <c r="AB336" s="159"/>
    </row>
    <row r="337">
      <c r="A337" s="159"/>
      <c r="B337" s="159"/>
      <c r="C337" s="159"/>
      <c r="D337" s="159"/>
      <c r="E337" s="159"/>
      <c r="F337" s="159"/>
      <c r="G337" s="159"/>
      <c r="H337" s="159"/>
      <c r="I337" s="159"/>
      <c r="J337" s="159"/>
      <c r="K337" s="159"/>
      <c r="L337" s="159"/>
      <c r="N337" s="159"/>
      <c r="O337" s="159"/>
      <c r="P337" s="159"/>
      <c r="Q337" s="159"/>
      <c r="R337" s="159"/>
      <c r="S337" s="159"/>
      <c r="T337" s="159"/>
      <c r="U337" s="159"/>
      <c r="V337" s="159"/>
      <c r="W337" s="159"/>
      <c r="X337" s="159"/>
      <c r="Y337" s="159"/>
      <c r="Z337" s="159"/>
      <c r="AA337" s="159"/>
      <c r="AB337" s="159"/>
    </row>
    <row r="338">
      <c r="A338" s="159"/>
      <c r="B338" s="159"/>
      <c r="C338" s="159"/>
      <c r="D338" s="159"/>
      <c r="E338" s="159"/>
      <c r="F338" s="159"/>
      <c r="G338" s="159"/>
      <c r="H338" s="159"/>
      <c r="I338" s="159"/>
      <c r="J338" s="159"/>
      <c r="K338" s="159"/>
      <c r="L338" s="159"/>
      <c r="N338" s="159"/>
      <c r="O338" s="159"/>
      <c r="P338" s="159"/>
      <c r="Q338" s="159"/>
      <c r="R338" s="159"/>
      <c r="S338" s="159"/>
      <c r="T338" s="159"/>
      <c r="U338" s="159"/>
      <c r="V338" s="159"/>
      <c r="W338" s="159"/>
      <c r="X338" s="159"/>
      <c r="Y338" s="159"/>
      <c r="Z338" s="159"/>
      <c r="AA338" s="159"/>
      <c r="AB338" s="159"/>
    </row>
    <row r="339">
      <c r="A339" s="159"/>
      <c r="B339" s="159"/>
      <c r="C339" s="159"/>
      <c r="D339" s="159"/>
      <c r="E339" s="159"/>
      <c r="F339" s="159"/>
      <c r="G339" s="159"/>
      <c r="H339" s="159"/>
      <c r="I339" s="159"/>
      <c r="J339" s="159"/>
      <c r="K339" s="159"/>
      <c r="L339" s="159"/>
      <c r="N339" s="159"/>
      <c r="O339" s="159"/>
      <c r="P339" s="159"/>
      <c r="Q339" s="159"/>
      <c r="R339" s="159"/>
      <c r="S339" s="159"/>
      <c r="T339" s="159"/>
      <c r="U339" s="159"/>
      <c r="V339" s="159"/>
      <c r="W339" s="159"/>
      <c r="X339" s="159"/>
      <c r="Y339" s="159"/>
      <c r="Z339" s="159"/>
      <c r="AA339" s="159"/>
      <c r="AB339" s="159"/>
    </row>
    <row r="340">
      <c r="A340" s="159"/>
      <c r="B340" s="159"/>
      <c r="C340" s="159"/>
      <c r="D340" s="159"/>
      <c r="E340" s="159"/>
      <c r="F340" s="159"/>
      <c r="G340" s="159"/>
      <c r="H340" s="159"/>
      <c r="I340" s="159"/>
      <c r="J340" s="159"/>
      <c r="K340" s="159"/>
      <c r="L340" s="159"/>
      <c r="N340" s="159"/>
      <c r="O340" s="159"/>
      <c r="P340" s="159"/>
      <c r="Q340" s="159"/>
      <c r="R340" s="159"/>
      <c r="S340" s="159"/>
      <c r="T340" s="159"/>
      <c r="U340" s="159"/>
      <c r="V340" s="159"/>
      <c r="W340" s="159"/>
      <c r="X340" s="159"/>
      <c r="Y340" s="159"/>
      <c r="Z340" s="159"/>
      <c r="AA340" s="159"/>
      <c r="AB340" s="159"/>
    </row>
    <row r="341">
      <c r="A341" s="159"/>
      <c r="B341" s="159"/>
      <c r="C341" s="159"/>
      <c r="D341" s="159"/>
      <c r="E341" s="159"/>
      <c r="F341" s="159"/>
      <c r="G341" s="159"/>
      <c r="H341" s="159"/>
      <c r="I341" s="159"/>
      <c r="J341" s="159"/>
      <c r="K341" s="159"/>
      <c r="L341" s="159"/>
      <c r="N341" s="159"/>
      <c r="O341" s="159"/>
      <c r="P341" s="159"/>
      <c r="Q341" s="159"/>
      <c r="R341" s="159"/>
      <c r="S341" s="159"/>
      <c r="T341" s="159"/>
      <c r="U341" s="159"/>
      <c r="V341" s="159"/>
      <c r="W341" s="159"/>
      <c r="X341" s="159"/>
      <c r="Y341" s="159"/>
      <c r="Z341" s="159"/>
      <c r="AA341" s="159"/>
      <c r="AB341" s="159"/>
    </row>
    <row r="342">
      <c r="A342" s="159"/>
      <c r="B342" s="159"/>
      <c r="C342" s="159"/>
      <c r="D342" s="159"/>
      <c r="E342" s="159"/>
      <c r="F342" s="159"/>
      <c r="G342" s="159"/>
      <c r="H342" s="159"/>
      <c r="I342" s="159"/>
      <c r="J342" s="159"/>
      <c r="K342" s="159"/>
      <c r="L342" s="159"/>
      <c r="N342" s="159"/>
      <c r="O342" s="159"/>
      <c r="P342" s="159"/>
      <c r="Q342" s="159"/>
      <c r="R342" s="159"/>
      <c r="S342" s="159"/>
      <c r="T342" s="159"/>
      <c r="U342" s="159"/>
      <c r="V342" s="159"/>
      <c r="W342" s="159"/>
      <c r="X342" s="159"/>
      <c r="Y342" s="159"/>
      <c r="Z342" s="159"/>
      <c r="AA342" s="159"/>
      <c r="AB342" s="159"/>
    </row>
    <row r="343">
      <c r="A343" s="159"/>
      <c r="B343" s="159"/>
      <c r="C343" s="159"/>
      <c r="D343" s="159"/>
      <c r="E343" s="159"/>
      <c r="F343" s="159"/>
      <c r="G343" s="159"/>
      <c r="H343" s="159"/>
      <c r="I343" s="159"/>
      <c r="J343" s="159"/>
      <c r="K343" s="159"/>
      <c r="L343" s="159"/>
      <c r="N343" s="159"/>
      <c r="O343" s="159"/>
      <c r="P343" s="159"/>
      <c r="Q343" s="159"/>
      <c r="R343" s="159"/>
      <c r="S343" s="159"/>
      <c r="T343" s="159"/>
      <c r="U343" s="159"/>
      <c r="V343" s="159"/>
      <c r="W343" s="159"/>
      <c r="X343" s="159"/>
      <c r="Y343" s="159"/>
      <c r="Z343" s="159"/>
      <c r="AA343" s="159"/>
      <c r="AB343" s="159"/>
    </row>
    <row r="344">
      <c r="A344" s="159"/>
      <c r="B344" s="159"/>
      <c r="C344" s="159"/>
      <c r="D344" s="159"/>
      <c r="E344" s="159"/>
      <c r="F344" s="159"/>
      <c r="G344" s="159"/>
      <c r="H344" s="159"/>
      <c r="I344" s="159"/>
      <c r="J344" s="159"/>
      <c r="K344" s="159"/>
      <c r="L344" s="159"/>
      <c r="N344" s="159"/>
      <c r="O344" s="159"/>
      <c r="P344" s="159"/>
      <c r="Q344" s="159"/>
      <c r="R344" s="159"/>
      <c r="S344" s="159"/>
      <c r="T344" s="159"/>
      <c r="U344" s="159"/>
      <c r="V344" s="159"/>
      <c r="W344" s="159"/>
      <c r="X344" s="159"/>
      <c r="Y344" s="159"/>
      <c r="Z344" s="159"/>
      <c r="AA344" s="159"/>
      <c r="AB344" s="159"/>
    </row>
    <row r="345">
      <c r="A345" s="159"/>
      <c r="B345" s="159"/>
      <c r="C345" s="159"/>
      <c r="D345" s="159"/>
      <c r="E345" s="159"/>
      <c r="F345" s="159"/>
      <c r="G345" s="159"/>
      <c r="H345" s="159"/>
      <c r="I345" s="159"/>
      <c r="J345" s="159"/>
      <c r="K345" s="159"/>
      <c r="L345" s="159"/>
      <c r="N345" s="159"/>
      <c r="O345" s="159"/>
      <c r="P345" s="159"/>
      <c r="Q345" s="159"/>
      <c r="R345" s="159"/>
      <c r="S345" s="159"/>
      <c r="T345" s="159"/>
      <c r="U345" s="159"/>
      <c r="V345" s="159"/>
      <c r="W345" s="159"/>
      <c r="X345" s="159"/>
      <c r="Y345" s="159"/>
      <c r="Z345" s="159"/>
      <c r="AA345" s="159"/>
      <c r="AB345" s="159"/>
    </row>
    <row r="346">
      <c r="A346" s="159"/>
      <c r="B346" s="159"/>
      <c r="C346" s="159"/>
      <c r="D346" s="159"/>
      <c r="E346" s="159"/>
      <c r="F346" s="159"/>
      <c r="G346" s="159"/>
      <c r="H346" s="159"/>
      <c r="I346" s="159"/>
      <c r="J346" s="159"/>
      <c r="K346" s="159"/>
      <c r="L346" s="159"/>
      <c r="N346" s="159"/>
      <c r="O346" s="159"/>
      <c r="P346" s="159"/>
      <c r="Q346" s="159"/>
      <c r="R346" s="159"/>
      <c r="S346" s="159"/>
      <c r="T346" s="159"/>
      <c r="U346" s="159"/>
      <c r="V346" s="159"/>
      <c r="W346" s="159"/>
      <c r="X346" s="159"/>
      <c r="Y346" s="159"/>
      <c r="Z346" s="159"/>
      <c r="AA346" s="159"/>
      <c r="AB346" s="159"/>
    </row>
    <row r="347">
      <c r="A347" s="159"/>
      <c r="B347" s="159"/>
      <c r="C347" s="159"/>
      <c r="D347" s="159"/>
      <c r="E347" s="159"/>
      <c r="F347" s="159"/>
      <c r="G347" s="159"/>
      <c r="H347" s="159"/>
      <c r="I347" s="159"/>
      <c r="J347" s="159"/>
      <c r="K347" s="159"/>
      <c r="L347" s="159"/>
      <c r="N347" s="159"/>
      <c r="O347" s="159"/>
      <c r="P347" s="159"/>
      <c r="Q347" s="159"/>
      <c r="R347" s="159"/>
      <c r="S347" s="159"/>
      <c r="T347" s="159"/>
      <c r="U347" s="159"/>
      <c r="V347" s="159"/>
      <c r="W347" s="159"/>
      <c r="X347" s="159"/>
      <c r="Y347" s="159"/>
      <c r="Z347" s="159"/>
      <c r="AA347" s="159"/>
      <c r="AB347" s="159"/>
    </row>
    <row r="348">
      <c r="A348" s="159"/>
      <c r="B348" s="159"/>
      <c r="C348" s="159"/>
      <c r="D348" s="159"/>
      <c r="E348" s="159"/>
      <c r="F348" s="159"/>
      <c r="G348" s="159"/>
      <c r="H348" s="159"/>
      <c r="I348" s="159"/>
      <c r="J348" s="159"/>
      <c r="K348" s="159"/>
      <c r="L348" s="159"/>
      <c r="N348" s="159"/>
      <c r="O348" s="159"/>
      <c r="P348" s="159"/>
      <c r="Q348" s="159"/>
      <c r="R348" s="159"/>
      <c r="S348" s="159"/>
      <c r="T348" s="159"/>
      <c r="U348" s="159"/>
      <c r="V348" s="159"/>
      <c r="W348" s="159"/>
      <c r="X348" s="159"/>
      <c r="Y348" s="159"/>
      <c r="Z348" s="159"/>
      <c r="AA348" s="159"/>
      <c r="AB348" s="159"/>
    </row>
    <row r="349">
      <c r="A349" s="159"/>
      <c r="B349" s="159"/>
      <c r="C349" s="159"/>
      <c r="D349" s="159"/>
      <c r="E349" s="159"/>
      <c r="F349" s="159"/>
      <c r="G349" s="159"/>
      <c r="H349" s="159"/>
      <c r="I349" s="159"/>
      <c r="J349" s="159"/>
      <c r="K349" s="159"/>
      <c r="L349" s="159"/>
      <c r="N349" s="159"/>
      <c r="O349" s="159"/>
      <c r="P349" s="159"/>
      <c r="Q349" s="159"/>
      <c r="R349" s="159"/>
      <c r="S349" s="159"/>
      <c r="T349" s="159"/>
      <c r="U349" s="159"/>
      <c r="V349" s="159"/>
      <c r="W349" s="159"/>
      <c r="X349" s="159"/>
      <c r="Y349" s="159"/>
      <c r="Z349" s="159"/>
      <c r="AA349" s="159"/>
      <c r="AB349" s="159"/>
    </row>
    <row r="350">
      <c r="A350" s="159"/>
      <c r="B350" s="159"/>
      <c r="C350" s="159"/>
      <c r="D350" s="159"/>
      <c r="E350" s="159"/>
      <c r="F350" s="159"/>
      <c r="G350" s="159"/>
      <c r="H350" s="159"/>
      <c r="I350" s="159"/>
      <c r="J350" s="159"/>
      <c r="K350" s="159"/>
      <c r="L350" s="159"/>
      <c r="N350" s="159"/>
      <c r="O350" s="159"/>
      <c r="P350" s="159"/>
      <c r="Q350" s="159"/>
      <c r="R350" s="159"/>
      <c r="S350" s="159"/>
      <c r="T350" s="159"/>
      <c r="U350" s="159"/>
      <c r="V350" s="159"/>
      <c r="W350" s="159"/>
      <c r="X350" s="159"/>
      <c r="Y350" s="159"/>
      <c r="Z350" s="159"/>
      <c r="AA350" s="159"/>
      <c r="AB350" s="159"/>
    </row>
    <row r="351">
      <c r="A351" s="159"/>
      <c r="B351" s="159"/>
      <c r="C351" s="159"/>
      <c r="D351" s="159"/>
      <c r="E351" s="159"/>
      <c r="F351" s="159"/>
      <c r="G351" s="159"/>
      <c r="H351" s="159"/>
      <c r="I351" s="159"/>
      <c r="J351" s="159"/>
      <c r="K351" s="159"/>
      <c r="L351" s="159"/>
      <c r="N351" s="159"/>
      <c r="O351" s="159"/>
      <c r="P351" s="159"/>
      <c r="Q351" s="159"/>
      <c r="R351" s="159"/>
      <c r="S351" s="159"/>
      <c r="T351" s="159"/>
      <c r="U351" s="159"/>
      <c r="V351" s="159"/>
      <c r="W351" s="159"/>
      <c r="X351" s="159"/>
      <c r="Y351" s="159"/>
      <c r="Z351" s="159"/>
      <c r="AA351" s="159"/>
      <c r="AB351" s="159"/>
    </row>
    <row r="352">
      <c r="A352" s="159"/>
      <c r="B352" s="159"/>
      <c r="C352" s="159"/>
      <c r="D352" s="159"/>
      <c r="E352" s="159"/>
      <c r="F352" s="159"/>
      <c r="G352" s="159"/>
      <c r="H352" s="159"/>
      <c r="I352" s="159"/>
      <c r="J352" s="159"/>
      <c r="K352" s="159"/>
      <c r="L352" s="159"/>
      <c r="N352" s="159"/>
      <c r="O352" s="159"/>
      <c r="P352" s="159"/>
      <c r="Q352" s="159"/>
      <c r="R352" s="159"/>
      <c r="S352" s="159"/>
      <c r="T352" s="159"/>
      <c r="U352" s="159"/>
      <c r="V352" s="159"/>
      <c r="W352" s="159"/>
      <c r="X352" s="159"/>
      <c r="Y352" s="159"/>
      <c r="Z352" s="159"/>
      <c r="AA352" s="159"/>
      <c r="AB352" s="159"/>
    </row>
    <row r="353">
      <c r="A353" s="159"/>
      <c r="B353" s="159"/>
      <c r="C353" s="159"/>
      <c r="D353" s="159"/>
      <c r="E353" s="159"/>
      <c r="F353" s="159"/>
      <c r="G353" s="159"/>
      <c r="H353" s="159"/>
      <c r="I353" s="159"/>
      <c r="J353" s="159"/>
      <c r="K353" s="159"/>
      <c r="L353" s="159"/>
      <c r="N353" s="159"/>
      <c r="O353" s="159"/>
      <c r="P353" s="159"/>
      <c r="Q353" s="159"/>
      <c r="R353" s="159"/>
      <c r="S353" s="159"/>
      <c r="T353" s="159"/>
      <c r="U353" s="159"/>
      <c r="V353" s="159"/>
      <c r="W353" s="159"/>
      <c r="X353" s="159"/>
      <c r="Y353" s="159"/>
      <c r="Z353" s="159"/>
      <c r="AA353" s="159"/>
      <c r="AB353" s="159"/>
    </row>
    <row r="354">
      <c r="A354" s="159"/>
      <c r="B354" s="159"/>
      <c r="C354" s="159"/>
      <c r="D354" s="159"/>
      <c r="E354" s="159"/>
      <c r="F354" s="159"/>
      <c r="G354" s="159"/>
      <c r="H354" s="159"/>
      <c r="I354" s="159"/>
      <c r="J354" s="159"/>
      <c r="K354" s="159"/>
      <c r="L354" s="159"/>
      <c r="N354" s="159"/>
      <c r="O354" s="159"/>
      <c r="P354" s="159"/>
      <c r="Q354" s="159"/>
      <c r="R354" s="159"/>
      <c r="S354" s="159"/>
      <c r="T354" s="159"/>
      <c r="U354" s="159"/>
      <c r="V354" s="159"/>
      <c r="W354" s="159"/>
      <c r="X354" s="159"/>
      <c r="Y354" s="159"/>
      <c r="Z354" s="159"/>
      <c r="AA354" s="159"/>
      <c r="AB354" s="159"/>
    </row>
    <row r="355">
      <c r="A355" s="159"/>
      <c r="B355" s="159"/>
      <c r="C355" s="159"/>
      <c r="D355" s="159"/>
      <c r="E355" s="159"/>
      <c r="F355" s="159"/>
      <c r="G355" s="159"/>
      <c r="H355" s="159"/>
      <c r="I355" s="159"/>
      <c r="J355" s="159"/>
      <c r="K355" s="159"/>
      <c r="L355" s="159"/>
      <c r="N355" s="159"/>
      <c r="O355" s="159"/>
      <c r="P355" s="159"/>
      <c r="Q355" s="159"/>
      <c r="R355" s="159"/>
      <c r="S355" s="159"/>
      <c r="T355" s="159"/>
      <c r="U355" s="159"/>
      <c r="V355" s="159"/>
      <c r="W355" s="159"/>
      <c r="X355" s="159"/>
      <c r="Y355" s="159"/>
      <c r="Z355" s="159"/>
      <c r="AA355" s="159"/>
      <c r="AB355" s="159"/>
    </row>
    <row r="356">
      <c r="A356" s="159"/>
      <c r="B356" s="159"/>
      <c r="C356" s="159"/>
      <c r="D356" s="159"/>
      <c r="E356" s="159"/>
      <c r="F356" s="159"/>
      <c r="G356" s="159"/>
      <c r="H356" s="159"/>
      <c r="I356" s="159"/>
      <c r="J356" s="159"/>
      <c r="K356" s="159"/>
      <c r="L356" s="159"/>
      <c r="N356" s="159"/>
      <c r="O356" s="159"/>
      <c r="P356" s="159"/>
      <c r="Q356" s="159"/>
      <c r="R356" s="159"/>
      <c r="S356" s="159"/>
      <c r="T356" s="159"/>
      <c r="U356" s="159"/>
      <c r="V356" s="159"/>
      <c r="W356" s="159"/>
      <c r="X356" s="159"/>
      <c r="Y356" s="159"/>
      <c r="Z356" s="159"/>
      <c r="AA356" s="159"/>
      <c r="AB356" s="159"/>
    </row>
    <row r="357">
      <c r="A357" s="159"/>
      <c r="B357" s="159"/>
      <c r="C357" s="159"/>
      <c r="D357" s="159"/>
      <c r="E357" s="159"/>
      <c r="F357" s="159"/>
      <c r="G357" s="159"/>
      <c r="H357" s="159"/>
      <c r="I357" s="159"/>
      <c r="J357" s="159"/>
      <c r="K357" s="159"/>
      <c r="L357" s="159"/>
      <c r="N357" s="159"/>
      <c r="O357" s="159"/>
      <c r="P357" s="159"/>
      <c r="Q357" s="159"/>
      <c r="R357" s="159"/>
      <c r="S357" s="159"/>
      <c r="T357" s="159"/>
      <c r="U357" s="159"/>
      <c r="V357" s="159"/>
      <c r="W357" s="159"/>
      <c r="X357" s="159"/>
      <c r="Y357" s="159"/>
      <c r="Z357" s="159"/>
      <c r="AA357" s="159"/>
      <c r="AB357" s="159"/>
    </row>
    <row r="358">
      <c r="A358" s="159"/>
      <c r="B358" s="159"/>
      <c r="C358" s="159"/>
      <c r="D358" s="159"/>
      <c r="E358" s="159"/>
      <c r="F358" s="159"/>
      <c r="G358" s="159"/>
      <c r="H358" s="159"/>
      <c r="I358" s="159"/>
      <c r="J358" s="159"/>
      <c r="K358" s="159"/>
      <c r="L358" s="159"/>
      <c r="N358" s="159"/>
      <c r="O358" s="159"/>
      <c r="P358" s="159"/>
      <c r="Q358" s="159"/>
      <c r="R358" s="159"/>
      <c r="S358" s="159"/>
      <c r="T358" s="159"/>
      <c r="U358" s="159"/>
      <c r="V358" s="159"/>
      <c r="W358" s="159"/>
      <c r="X358" s="159"/>
      <c r="Y358" s="159"/>
      <c r="Z358" s="159"/>
      <c r="AA358" s="159"/>
      <c r="AB358" s="159"/>
    </row>
    <row r="359">
      <c r="A359" s="159"/>
      <c r="B359" s="159"/>
      <c r="C359" s="159"/>
      <c r="D359" s="159"/>
      <c r="E359" s="159"/>
      <c r="F359" s="159"/>
      <c r="G359" s="159"/>
      <c r="H359" s="159"/>
      <c r="I359" s="159"/>
      <c r="J359" s="159"/>
      <c r="K359" s="159"/>
      <c r="L359" s="159"/>
      <c r="N359" s="159"/>
      <c r="O359" s="159"/>
      <c r="P359" s="159"/>
      <c r="Q359" s="159"/>
      <c r="R359" s="159"/>
      <c r="S359" s="159"/>
      <c r="T359" s="159"/>
      <c r="U359" s="159"/>
      <c r="V359" s="159"/>
      <c r="W359" s="159"/>
      <c r="X359" s="159"/>
      <c r="Y359" s="159"/>
      <c r="Z359" s="159"/>
      <c r="AA359" s="159"/>
      <c r="AB359" s="159"/>
    </row>
    <row r="360">
      <c r="A360" s="159"/>
      <c r="B360" s="159"/>
      <c r="C360" s="159"/>
      <c r="D360" s="159"/>
      <c r="E360" s="159"/>
      <c r="F360" s="159"/>
      <c r="G360" s="159"/>
      <c r="H360" s="159"/>
      <c r="I360" s="159"/>
      <c r="J360" s="159"/>
      <c r="K360" s="159"/>
      <c r="L360" s="159"/>
      <c r="N360" s="159"/>
      <c r="O360" s="159"/>
      <c r="P360" s="159"/>
      <c r="Q360" s="159"/>
      <c r="R360" s="159"/>
      <c r="S360" s="159"/>
      <c r="T360" s="159"/>
      <c r="U360" s="159"/>
      <c r="V360" s="159"/>
      <c r="W360" s="159"/>
      <c r="X360" s="159"/>
      <c r="Y360" s="159"/>
      <c r="Z360" s="159"/>
      <c r="AA360" s="159"/>
      <c r="AB360" s="159"/>
    </row>
    <row r="361">
      <c r="A361" s="159"/>
      <c r="B361" s="159"/>
      <c r="C361" s="159"/>
      <c r="D361" s="159"/>
      <c r="E361" s="159"/>
      <c r="F361" s="159"/>
      <c r="G361" s="159"/>
      <c r="H361" s="159"/>
      <c r="I361" s="159"/>
      <c r="J361" s="159"/>
      <c r="K361" s="159"/>
      <c r="L361" s="159"/>
      <c r="N361" s="159"/>
      <c r="O361" s="159"/>
      <c r="P361" s="159"/>
      <c r="Q361" s="159"/>
      <c r="R361" s="159"/>
      <c r="S361" s="159"/>
      <c r="T361" s="159"/>
      <c r="U361" s="159"/>
      <c r="V361" s="159"/>
      <c r="W361" s="159"/>
      <c r="X361" s="159"/>
      <c r="Y361" s="159"/>
      <c r="Z361" s="159"/>
      <c r="AA361" s="159"/>
      <c r="AB361" s="159"/>
    </row>
    <row r="362">
      <c r="A362" s="159"/>
      <c r="B362" s="159"/>
      <c r="C362" s="159"/>
      <c r="D362" s="159"/>
      <c r="E362" s="159"/>
      <c r="F362" s="159"/>
      <c r="G362" s="159"/>
      <c r="H362" s="159"/>
      <c r="I362" s="159"/>
      <c r="J362" s="159"/>
      <c r="K362" s="159"/>
      <c r="L362" s="159"/>
      <c r="N362" s="159"/>
      <c r="O362" s="159"/>
      <c r="P362" s="159"/>
      <c r="Q362" s="159"/>
      <c r="R362" s="159"/>
      <c r="S362" s="159"/>
      <c r="T362" s="159"/>
      <c r="U362" s="159"/>
      <c r="V362" s="159"/>
      <c r="W362" s="159"/>
      <c r="X362" s="159"/>
      <c r="Y362" s="159"/>
      <c r="Z362" s="159"/>
      <c r="AA362" s="159"/>
      <c r="AB362" s="159"/>
    </row>
    <row r="363">
      <c r="A363" s="159"/>
      <c r="B363" s="159"/>
      <c r="C363" s="159"/>
      <c r="D363" s="159"/>
      <c r="E363" s="159"/>
      <c r="F363" s="159"/>
      <c r="G363" s="159"/>
      <c r="H363" s="159"/>
      <c r="I363" s="159"/>
      <c r="J363" s="159"/>
      <c r="K363" s="159"/>
      <c r="L363" s="159"/>
      <c r="N363" s="159"/>
      <c r="O363" s="159"/>
      <c r="P363" s="159"/>
      <c r="Q363" s="159"/>
      <c r="R363" s="159"/>
      <c r="S363" s="159"/>
      <c r="T363" s="159"/>
      <c r="U363" s="159"/>
      <c r="V363" s="159"/>
      <c r="W363" s="159"/>
      <c r="X363" s="159"/>
      <c r="Y363" s="159"/>
      <c r="Z363" s="159"/>
      <c r="AA363" s="159"/>
      <c r="AB363" s="159"/>
    </row>
    <row r="364">
      <c r="A364" s="159"/>
      <c r="B364" s="159"/>
      <c r="C364" s="159"/>
      <c r="D364" s="159"/>
      <c r="E364" s="159"/>
      <c r="F364" s="159"/>
      <c r="G364" s="159"/>
      <c r="H364" s="159"/>
      <c r="I364" s="159"/>
      <c r="J364" s="159"/>
      <c r="K364" s="159"/>
      <c r="L364" s="159"/>
      <c r="N364" s="159"/>
      <c r="O364" s="159"/>
      <c r="P364" s="159"/>
      <c r="Q364" s="159"/>
      <c r="R364" s="159"/>
      <c r="S364" s="159"/>
      <c r="T364" s="159"/>
      <c r="U364" s="159"/>
      <c r="V364" s="159"/>
      <c r="W364" s="159"/>
      <c r="X364" s="159"/>
      <c r="Y364" s="159"/>
      <c r="Z364" s="159"/>
      <c r="AA364" s="159"/>
      <c r="AB364" s="159"/>
    </row>
    <row r="365">
      <c r="A365" s="159"/>
      <c r="B365" s="159"/>
      <c r="C365" s="159"/>
      <c r="D365" s="159"/>
      <c r="E365" s="159"/>
      <c r="F365" s="159"/>
      <c r="G365" s="159"/>
      <c r="H365" s="159"/>
      <c r="I365" s="159"/>
      <c r="J365" s="159"/>
      <c r="K365" s="159"/>
      <c r="L365" s="159"/>
      <c r="N365" s="159"/>
      <c r="O365" s="159"/>
      <c r="P365" s="159"/>
      <c r="Q365" s="159"/>
      <c r="R365" s="159"/>
      <c r="S365" s="159"/>
      <c r="T365" s="159"/>
      <c r="U365" s="159"/>
      <c r="V365" s="159"/>
      <c r="W365" s="159"/>
      <c r="X365" s="159"/>
      <c r="Y365" s="159"/>
      <c r="Z365" s="159"/>
      <c r="AA365" s="159"/>
      <c r="AB365" s="159"/>
    </row>
    <row r="366">
      <c r="A366" s="159"/>
      <c r="B366" s="159"/>
      <c r="C366" s="159"/>
      <c r="D366" s="159"/>
      <c r="E366" s="159"/>
      <c r="F366" s="159"/>
      <c r="G366" s="159"/>
      <c r="H366" s="159"/>
      <c r="I366" s="159"/>
      <c r="J366" s="159"/>
      <c r="K366" s="159"/>
      <c r="L366" s="159"/>
      <c r="N366" s="159"/>
      <c r="O366" s="159"/>
      <c r="P366" s="159"/>
      <c r="Q366" s="159"/>
      <c r="R366" s="159"/>
      <c r="S366" s="159"/>
      <c r="T366" s="159"/>
      <c r="U366" s="159"/>
      <c r="V366" s="159"/>
      <c r="W366" s="159"/>
      <c r="X366" s="159"/>
      <c r="Y366" s="159"/>
      <c r="Z366" s="159"/>
      <c r="AA366" s="159"/>
      <c r="AB366" s="159"/>
    </row>
    <row r="367">
      <c r="A367" s="159"/>
      <c r="B367" s="159"/>
      <c r="C367" s="159"/>
      <c r="D367" s="159"/>
      <c r="E367" s="159"/>
      <c r="F367" s="159"/>
      <c r="G367" s="159"/>
      <c r="H367" s="159"/>
      <c r="I367" s="159"/>
      <c r="J367" s="159"/>
      <c r="K367" s="159"/>
      <c r="L367" s="159"/>
      <c r="N367" s="159"/>
      <c r="O367" s="159"/>
      <c r="P367" s="159"/>
      <c r="Q367" s="159"/>
      <c r="R367" s="159"/>
      <c r="S367" s="159"/>
      <c r="T367" s="159"/>
      <c r="U367" s="159"/>
      <c r="V367" s="159"/>
      <c r="W367" s="159"/>
      <c r="X367" s="159"/>
      <c r="Y367" s="159"/>
      <c r="Z367" s="159"/>
      <c r="AA367" s="159"/>
      <c r="AB367" s="159"/>
    </row>
    <row r="368">
      <c r="A368" s="159"/>
      <c r="B368" s="159"/>
      <c r="C368" s="159"/>
      <c r="D368" s="159"/>
      <c r="E368" s="159"/>
      <c r="F368" s="159"/>
      <c r="G368" s="159"/>
      <c r="H368" s="159"/>
      <c r="I368" s="159"/>
      <c r="J368" s="159"/>
      <c r="K368" s="159"/>
      <c r="L368" s="159"/>
      <c r="N368" s="159"/>
      <c r="O368" s="159"/>
      <c r="P368" s="159"/>
      <c r="Q368" s="159"/>
      <c r="R368" s="159"/>
      <c r="S368" s="159"/>
      <c r="T368" s="159"/>
      <c r="U368" s="159"/>
      <c r="V368" s="159"/>
      <c r="W368" s="159"/>
      <c r="X368" s="159"/>
      <c r="Y368" s="159"/>
      <c r="Z368" s="159"/>
      <c r="AA368" s="159"/>
      <c r="AB368" s="159"/>
    </row>
    <row r="369">
      <c r="A369" s="159"/>
      <c r="B369" s="159"/>
      <c r="C369" s="159"/>
      <c r="D369" s="159"/>
      <c r="E369" s="159"/>
      <c r="F369" s="159"/>
      <c r="G369" s="159"/>
      <c r="H369" s="159"/>
      <c r="I369" s="159"/>
      <c r="J369" s="159"/>
      <c r="K369" s="159"/>
      <c r="L369" s="159"/>
      <c r="N369" s="159"/>
      <c r="O369" s="159"/>
      <c r="P369" s="159"/>
      <c r="Q369" s="159"/>
      <c r="R369" s="159"/>
      <c r="S369" s="159"/>
      <c r="T369" s="159"/>
      <c r="U369" s="159"/>
      <c r="V369" s="159"/>
      <c r="W369" s="159"/>
      <c r="X369" s="159"/>
      <c r="Y369" s="159"/>
      <c r="Z369" s="159"/>
      <c r="AA369" s="159"/>
      <c r="AB369" s="159"/>
    </row>
    <row r="370">
      <c r="A370" s="159"/>
      <c r="B370" s="159"/>
      <c r="C370" s="159"/>
      <c r="D370" s="159"/>
      <c r="E370" s="159"/>
      <c r="F370" s="159"/>
      <c r="G370" s="159"/>
      <c r="H370" s="159"/>
      <c r="I370" s="159"/>
      <c r="J370" s="159"/>
      <c r="K370" s="159"/>
      <c r="L370" s="159"/>
      <c r="N370" s="159"/>
      <c r="O370" s="159"/>
      <c r="P370" s="159"/>
      <c r="Q370" s="159"/>
      <c r="R370" s="159"/>
      <c r="S370" s="159"/>
      <c r="T370" s="159"/>
      <c r="U370" s="159"/>
      <c r="V370" s="159"/>
      <c r="W370" s="159"/>
      <c r="X370" s="159"/>
      <c r="Y370" s="159"/>
      <c r="Z370" s="159"/>
      <c r="AA370" s="159"/>
      <c r="AB370" s="159"/>
    </row>
    <row r="371">
      <c r="A371" s="159"/>
      <c r="B371" s="159"/>
      <c r="C371" s="159"/>
      <c r="D371" s="159"/>
      <c r="E371" s="159"/>
      <c r="F371" s="159"/>
      <c r="G371" s="159"/>
      <c r="H371" s="159"/>
      <c r="I371" s="159"/>
      <c r="J371" s="159"/>
      <c r="K371" s="159"/>
      <c r="L371" s="159"/>
      <c r="N371" s="159"/>
      <c r="O371" s="159"/>
      <c r="P371" s="159"/>
      <c r="Q371" s="159"/>
      <c r="R371" s="159"/>
      <c r="S371" s="159"/>
      <c r="T371" s="159"/>
      <c r="U371" s="159"/>
      <c r="V371" s="159"/>
      <c r="W371" s="159"/>
      <c r="X371" s="159"/>
      <c r="Y371" s="159"/>
      <c r="Z371" s="159"/>
      <c r="AA371" s="159"/>
      <c r="AB371" s="159"/>
    </row>
    <row r="372">
      <c r="A372" s="159"/>
      <c r="B372" s="159"/>
      <c r="C372" s="159"/>
      <c r="D372" s="159"/>
      <c r="E372" s="159"/>
      <c r="F372" s="159"/>
      <c r="G372" s="159"/>
      <c r="H372" s="159"/>
      <c r="I372" s="159"/>
      <c r="J372" s="159"/>
      <c r="K372" s="159"/>
      <c r="L372" s="159"/>
      <c r="N372" s="159"/>
      <c r="O372" s="159"/>
      <c r="P372" s="159"/>
      <c r="Q372" s="159"/>
      <c r="R372" s="159"/>
      <c r="S372" s="159"/>
      <c r="T372" s="159"/>
      <c r="U372" s="159"/>
      <c r="V372" s="159"/>
      <c r="W372" s="159"/>
      <c r="X372" s="159"/>
      <c r="Y372" s="159"/>
      <c r="Z372" s="159"/>
      <c r="AA372" s="159"/>
      <c r="AB372" s="159"/>
    </row>
    <row r="373">
      <c r="A373" s="159"/>
      <c r="B373" s="159"/>
      <c r="C373" s="159"/>
      <c r="D373" s="159"/>
      <c r="E373" s="159"/>
      <c r="F373" s="159"/>
      <c r="G373" s="159"/>
      <c r="H373" s="159"/>
      <c r="I373" s="159"/>
      <c r="J373" s="159"/>
      <c r="K373" s="159"/>
      <c r="L373" s="159"/>
      <c r="N373" s="159"/>
      <c r="O373" s="159"/>
      <c r="P373" s="159"/>
      <c r="Q373" s="159"/>
      <c r="R373" s="159"/>
      <c r="S373" s="159"/>
      <c r="T373" s="159"/>
      <c r="U373" s="159"/>
      <c r="V373" s="159"/>
      <c r="W373" s="159"/>
      <c r="X373" s="159"/>
      <c r="Y373" s="159"/>
      <c r="Z373" s="159"/>
      <c r="AA373" s="159"/>
      <c r="AB373" s="159"/>
    </row>
    <row r="374">
      <c r="A374" s="159"/>
      <c r="B374" s="159"/>
      <c r="C374" s="159"/>
      <c r="D374" s="159"/>
      <c r="E374" s="159"/>
      <c r="F374" s="159"/>
      <c r="G374" s="159"/>
      <c r="H374" s="159"/>
      <c r="I374" s="159"/>
      <c r="J374" s="159"/>
      <c r="K374" s="159"/>
      <c r="L374" s="159"/>
      <c r="N374" s="159"/>
      <c r="O374" s="159"/>
      <c r="P374" s="159"/>
      <c r="Q374" s="159"/>
      <c r="R374" s="159"/>
      <c r="S374" s="159"/>
      <c r="T374" s="159"/>
      <c r="U374" s="159"/>
      <c r="V374" s="159"/>
      <c r="W374" s="159"/>
      <c r="X374" s="159"/>
      <c r="Y374" s="159"/>
      <c r="Z374" s="159"/>
      <c r="AA374" s="159"/>
      <c r="AB374" s="159"/>
    </row>
    <row r="375">
      <c r="A375" s="159"/>
      <c r="B375" s="159"/>
      <c r="C375" s="159"/>
      <c r="D375" s="159"/>
      <c r="E375" s="159"/>
      <c r="F375" s="159"/>
      <c r="G375" s="159"/>
      <c r="H375" s="159"/>
      <c r="I375" s="159"/>
      <c r="J375" s="159"/>
      <c r="K375" s="159"/>
      <c r="L375" s="159"/>
      <c r="N375" s="159"/>
      <c r="O375" s="159"/>
      <c r="P375" s="159"/>
      <c r="Q375" s="159"/>
      <c r="R375" s="159"/>
      <c r="S375" s="159"/>
      <c r="T375" s="159"/>
      <c r="U375" s="159"/>
      <c r="V375" s="159"/>
      <c r="W375" s="159"/>
      <c r="X375" s="159"/>
      <c r="Y375" s="159"/>
      <c r="Z375" s="159"/>
      <c r="AA375" s="159"/>
      <c r="AB375" s="159"/>
    </row>
    <row r="376">
      <c r="A376" s="159"/>
      <c r="B376" s="159"/>
      <c r="C376" s="159"/>
      <c r="D376" s="159"/>
      <c r="E376" s="159"/>
      <c r="F376" s="159"/>
      <c r="G376" s="159"/>
      <c r="H376" s="159"/>
      <c r="I376" s="159"/>
      <c r="J376" s="159"/>
      <c r="K376" s="159"/>
      <c r="L376" s="159"/>
      <c r="N376" s="159"/>
      <c r="O376" s="159"/>
      <c r="P376" s="159"/>
      <c r="Q376" s="159"/>
      <c r="R376" s="159"/>
      <c r="S376" s="159"/>
      <c r="T376" s="159"/>
      <c r="U376" s="159"/>
      <c r="V376" s="159"/>
      <c r="W376" s="159"/>
      <c r="X376" s="159"/>
      <c r="Y376" s="159"/>
      <c r="Z376" s="159"/>
      <c r="AA376" s="159"/>
      <c r="AB376" s="159"/>
    </row>
    <row r="377">
      <c r="A377" s="159"/>
      <c r="B377" s="159"/>
      <c r="C377" s="159"/>
      <c r="D377" s="159"/>
      <c r="E377" s="159"/>
      <c r="F377" s="159"/>
      <c r="G377" s="159"/>
      <c r="H377" s="159"/>
      <c r="I377" s="159"/>
      <c r="J377" s="159"/>
      <c r="K377" s="159"/>
      <c r="L377" s="159"/>
      <c r="N377" s="159"/>
      <c r="O377" s="159"/>
      <c r="P377" s="159"/>
      <c r="Q377" s="159"/>
      <c r="R377" s="159"/>
      <c r="S377" s="159"/>
      <c r="T377" s="159"/>
      <c r="U377" s="159"/>
      <c r="V377" s="159"/>
      <c r="W377" s="159"/>
      <c r="X377" s="159"/>
      <c r="Y377" s="159"/>
      <c r="Z377" s="159"/>
      <c r="AA377" s="159"/>
      <c r="AB377" s="159"/>
    </row>
    <row r="378">
      <c r="A378" s="159"/>
      <c r="B378" s="159"/>
      <c r="C378" s="159"/>
      <c r="D378" s="159"/>
      <c r="E378" s="159"/>
      <c r="F378" s="159"/>
      <c r="G378" s="159"/>
      <c r="H378" s="159"/>
      <c r="I378" s="159"/>
      <c r="J378" s="159"/>
      <c r="K378" s="159"/>
      <c r="L378" s="159"/>
      <c r="N378" s="159"/>
      <c r="O378" s="159"/>
      <c r="P378" s="159"/>
      <c r="Q378" s="159"/>
      <c r="R378" s="159"/>
      <c r="S378" s="159"/>
      <c r="T378" s="159"/>
      <c r="U378" s="159"/>
      <c r="V378" s="159"/>
      <c r="W378" s="159"/>
      <c r="X378" s="159"/>
      <c r="Y378" s="159"/>
      <c r="Z378" s="159"/>
      <c r="AA378" s="159"/>
      <c r="AB378" s="159"/>
    </row>
    <row r="379">
      <c r="A379" s="159"/>
      <c r="B379" s="159"/>
      <c r="C379" s="159"/>
      <c r="D379" s="159"/>
      <c r="E379" s="159"/>
      <c r="F379" s="159"/>
      <c r="G379" s="159"/>
      <c r="H379" s="159"/>
      <c r="I379" s="159"/>
      <c r="J379" s="159"/>
      <c r="K379" s="159"/>
      <c r="L379" s="159"/>
      <c r="N379" s="159"/>
      <c r="O379" s="159"/>
      <c r="P379" s="159"/>
      <c r="Q379" s="159"/>
      <c r="R379" s="159"/>
      <c r="S379" s="159"/>
      <c r="T379" s="159"/>
      <c r="U379" s="159"/>
      <c r="V379" s="159"/>
      <c r="W379" s="159"/>
      <c r="X379" s="159"/>
      <c r="Y379" s="159"/>
      <c r="Z379" s="159"/>
      <c r="AA379" s="159"/>
      <c r="AB379" s="159"/>
    </row>
    <row r="380">
      <c r="A380" s="159"/>
      <c r="B380" s="159"/>
      <c r="C380" s="159"/>
      <c r="D380" s="159"/>
      <c r="E380" s="159"/>
      <c r="F380" s="159"/>
      <c r="G380" s="159"/>
      <c r="H380" s="159"/>
      <c r="I380" s="159"/>
      <c r="J380" s="159"/>
      <c r="K380" s="159"/>
      <c r="L380" s="159"/>
      <c r="N380" s="159"/>
      <c r="O380" s="159"/>
      <c r="P380" s="159"/>
      <c r="Q380" s="159"/>
      <c r="R380" s="159"/>
      <c r="S380" s="159"/>
      <c r="T380" s="159"/>
      <c r="U380" s="159"/>
      <c r="V380" s="159"/>
      <c r="W380" s="159"/>
      <c r="X380" s="159"/>
      <c r="Y380" s="159"/>
      <c r="Z380" s="159"/>
      <c r="AA380" s="159"/>
      <c r="AB380" s="159"/>
    </row>
    <row r="381">
      <c r="A381" s="159"/>
      <c r="B381" s="159"/>
      <c r="C381" s="159"/>
      <c r="D381" s="159"/>
      <c r="E381" s="159"/>
      <c r="F381" s="159"/>
      <c r="G381" s="159"/>
      <c r="H381" s="159"/>
      <c r="I381" s="159"/>
      <c r="J381" s="159"/>
      <c r="K381" s="159"/>
      <c r="L381" s="159"/>
      <c r="N381" s="159"/>
      <c r="O381" s="159"/>
      <c r="P381" s="159"/>
      <c r="Q381" s="159"/>
      <c r="R381" s="159"/>
      <c r="S381" s="159"/>
      <c r="T381" s="159"/>
      <c r="U381" s="159"/>
      <c r="V381" s="159"/>
      <c r="W381" s="159"/>
      <c r="X381" s="159"/>
      <c r="Y381" s="159"/>
      <c r="Z381" s="159"/>
      <c r="AA381" s="159"/>
      <c r="AB381" s="159"/>
    </row>
    <row r="382">
      <c r="A382" s="159"/>
      <c r="B382" s="159"/>
      <c r="C382" s="159"/>
      <c r="D382" s="159"/>
      <c r="E382" s="159"/>
      <c r="F382" s="159"/>
      <c r="G382" s="159"/>
      <c r="H382" s="159"/>
      <c r="I382" s="159"/>
      <c r="J382" s="159"/>
      <c r="K382" s="159"/>
      <c r="L382" s="159"/>
      <c r="N382" s="159"/>
      <c r="O382" s="159"/>
      <c r="P382" s="159"/>
      <c r="Q382" s="159"/>
      <c r="R382" s="159"/>
      <c r="S382" s="159"/>
      <c r="T382" s="159"/>
      <c r="U382" s="159"/>
      <c r="V382" s="159"/>
      <c r="W382" s="159"/>
      <c r="X382" s="159"/>
      <c r="Y382" s="159"/>
      <c r="Z382" s="159"/>
      <c r="AA382" s="159"/>
      <c r="AB382" s="159"/>
    </row>
    <row r="383">
      <c r="A383" s="159"/>
      <c r="B383" s="159"/>
      <c r="C383" s="159"/>
      <c r="D383" s="159"/>
      <c r="E383" s="159"/>
      <c r="F383" s="159"/>
      <c r="G383" s="159"/>
      <c r="H383" s="159"/>
      <c r="I383" s="159"/>
      <c r="J383" s="159"/>
      <c r="K383" s="159"/>
      <c r="L383" s="159"/>
      <c r="N383" s="159"/>
      <c r="O383" s="159"/>
      <c r="P383" s="159"/>
      <c r="Q383" s="159"/>
      <c r="R383" s="159"/>
      <c r="S383" s="159"/>
      <c r="T383" s="159"/>
      <c r="U383" s="159"/>
      <c r="V383" s="159"/>
      <c r="W383" s="159"/>
      <c r="X383" s="159"/>
      <c r="Y383" s="159"/>
      <c r="Z383" s="159"/>
      <c r="AA383" s="159"/>
      <c r="AB383" s="159"/>
    </row>
    <row r="384">
      <c r="A384" s="159"/>
      <c r="B384" s="159"/>
      <c r="C384" s="159"/>
      <c r="D384" s="159"/>
      <c r="E384" s="159"/>
      <c r="F384" s="159"/>
      <c r="G384" s="159"/>
      <c r="H384" s="159"/>
      <c r="I384" s="159"/>
      <c r="J384" s="159"/>
      <c r="K384" s="159"/>
      <c r="L384" s="159"/>
      <c r="N384" s="159"/>
      <c r="O384" s="159"/>
      <c r="P384" s="159"/>
      <c r="Q384" s="159"/>
      <c r="R384" s="159"/>
      <c r="S384" s="159"/>
      <c r="T384" s="159"/>
      <c r="U384" s="159"/>
      <c r="V384" s="159"/>
      <c r="W384" s="159"/>
      <c r="X384" s="159"/>
      <c r="Y384" s="159"/>
      <c r="Z384" s="159"/>
      <c r="AA384" s="159"/>
      <c r="AB384" s="159"/>
    </row>
    <row r="385">
      <c r="A385" s="159"/>
      <c r="B385" s="159"/>
      <c r="C385" s="159"/>
      <c r="D385" s="159"/>
      <c r="E385" s="159"/>
      <c r="F385" s="159"/>
      <c r="G385" s="159"/>
      <c r="H385" s="159"/>
      <c r="I385" s="159"/>
      <c r="J385" s="159"/>
      <c r="K385" s="159"/>
      <c r="L385" s="159"/>
      <c r="N385" s="159"/>
      <c r="O385" s="159"/>
      <c r="P385" s="159"/>
      <c r="Q385" s="159"/>
      <c r="R385" s="159"/>
      <c r="S385" s="159"/>
      <c r="T385" s="159"/>
      <c r="U385" s="159"/>
      <c r="V385" s="159"/>
      <c r="W385" s="159"/>
      <c r="X385" s="159"/>
      <c r="Y385" s="159"/>
      <c r="Z385" s="159"/>
      <c r="AA385" s="159"/>
      <c r="AB385" s="159"/>
    </row>
    <row r="386">
      <c r="A386" s="159"/>
      <c r="B386" s="159"/>
      <c r="C386" s="159"/>
      <c r="D386" s="159"/>
      <c r="E386" s="159"/>
      <c r="F386" s="159"/>
      <c r="G386" s="159"/>
      <c r="H386" s="159"/>
      <c r="I386" s="159"/>
      <c r="J386" s="159"/>
      <c r="K386" s="159"/>
      <c r="L386" s="159"/>
      <c r="N386" s="159"/>
      <c r="O386" s="159"/>
      <c r="P386" s="159"/>
      <c r="Q386" s="159"/>
      <c r="R386" s="159"/>
      <c r="S386" s="159"/>
      <c r="T386" s="159"/>
      <c r="U386" s="159"/>
      <c r="V386" s="159"/>
      <c r="W386" s="159"/>
      <c r="X386" s="159"/>
      <c r="Y386" s="159"/>
      <c r="Z386" s="159"/>
      <c r="AA386" s="159"/>
      <c r="AB386" s="159"/>
    </row>
    <row r="387">
      <c r="A387" s="159"/>
      <c r="B387" s="159"/>
      <c r="C387" s="159"/>
      <c r="D387" s="159"/>
      <c r="E387" s="159"/>
      <c r="F387" s="159"/>
      <c r="G387" s="159"/>
      <c r="H387" s="159"/>
      <c r="I387" s="159"/>
      <c r="J387" s="159"/>
      <c r="K387" s="159"/>
      <c r="L387" s="159"/>
      <c r="N387" s="159"/>
      <c r="O387" s="159"/>
      <c r="P387" s="159"/>
      <c r="Q387" s="159"/>
      <c r="R387" s="159"/>
      <c r="S387" s="159"/>
      <c r="T387" s="159"/>
      <c r="U387" s="159"/>
      <c r="V387" s="159"/>
      <c r="W387" s="159"/>
      <c r="X387" s="159"/>
      <c r="Y387" s="159"/>
      <c r="Z387" s="159"/>
      <c r="AA387" s="159"/>
      <c r="AB387" s="159"/>
    </row>
    <row r="388">
      <c r="A388" s="159"/>
      <c r="B388" s="159"/>
      <c r="C388" s="159"/>
      <c r="D388" s="159"/>
      <c r="E388" s="159"/>
      <c r="F388" s="159"/>
      <c r="G388" s="159"/>
      <c r="H388" s="159"/>
      <c r="I388" s="159"/>
      <c r="J388" s="159"/>
      <c r="K388" s="159"/>
      <c r="L388" s="159"/>
      <c r="N388" s="159"/>
      <c r="O388" s="159"/>
      <c r="P388" s="159"/>
      <c r="Q388" s="159"/>
      <c r="R388" s="159"/>
      <c r="S388" s="159"/>
      <c r="T388" s="159"/>
      <c r="U388" s="159"/>
      <c r="V388" s="159"/>
      <c r="W388" s="159"/>
      <c r="X388" s="159"/>
      <c r="Y388" s="159"/>
      <c r="Z388" s="159"/>
      <c r="AA388" s="159"/>
      <c r="AB388" s="159"/>
    </row>
    <row r="389">
      <c r="A389" s="159"/>
      <c r="B389" s="159"/>
      <c r="C389" s="159"/>
      <c r="D389" s="159"/>
      <c r="E389" s="159"/>
      <c r="F389" s="159"/>
      <c r="G389" s="159"/>
      <c r="H389" s="159"/>
      <c r="I389" s="159"/>
      <c r="J389" s="159"/>
      <c r="K389" s="159"/>
      <c r="L389" s="159"/>
      <c r="N389" s="159"/>
      <c r="O389" s="159"/>
      <c r="P389" s="159"/>
      <c r="Q389" s="159"/>
      <c r="R389" s="159"/>
      <c r="S389" s="159"/>
      <c r="T389" s="159"/>
      <c r="U389" s="159"/>
      <c r="V389" s="159"/>
      <c r="W389" s="159"/>
      <c r="X389" s="159"/>
      <c r="Y389" s="159"/>
      <c r="Z389" s="159"/>
      <c r="AA389" s="159"/>
      <c r="AB389" s="159"/>
    </row>
    <row r="390">
      <c r="A390" s="159"/>
      <c r="B390" s="159"/>
      <c r="C390" s="159"/>
      <c r="D390" s="159"/>
      <c r="E390" s="159"/>
      <c r="F390" s="159"/>
      <c r="G390" s="159"/>
      <c r="H390" s="159"/>
      <c r="I390" s="159"/>
      <c r="J390" s="159"/>
      <c r="K390" s="159"/>
      <c r="L390" s="159"/>
      <c r="N390" s="159"/>
      <c r="O390" s="159"/>
      <c r="P390" s="159"/>
      <c r="Q390" s="159"/>
      <c r="R390" s="159"/>
      <c r="S390" s="159"/>
      <c r="T390" s="159"/>
      <c r="U390" s="159"/>
      <c r="V390" s="159"/>
      <c r="W390" s="159"/>
      <c r="X390" s="159"/>
      <c r="Y390" s="159"/>
      <c r="Z390" s="159"/>
      <c r="AA390" s="159"/>
      <c r="AB390" s="159"/>
    </row>
    <row r="391">
      <c r="A391" s="159"/>
      <c r="B391" s="159"/>
      <c r="C391" s="159"/>
      <c r="D391" s="159"/>
      <c r="E391" s="159"/>
      <c r="F391" s="159"/>
      <c r="G391" s="159"/>
      <c r="H391" s="159"/>
      <c r="I391" s="159"/>
      <c r="J391" s="159"/>
      <c r="K391" s="159"/>
      <c r="L391" s="159"/>
      <c r="N391" s="159"/>
      <c r="O391" s="159"/>
      <c r="P391" s="159"/>
      <c r="Q391" s="159"/>
      <c r="R391" s="159"/>
      <c r="S391" s="159"/>
      <c r="T391" s="159"/>
      <c r="U391" s="159"/>
      <c r="V391" s="159"/>
      <c r="W391" s="159"/>
      <c r="X391" s="159"/>
      <c r="Y391" s="159"/>
      <c r="Z391" s="159"/>
      <c r="AA391" s="159"/>
      <c r="AB391" s="159"/>
    </row>
    <row r="392">
      <c r="A392" s="159"/>
      <c r="B392" s="159"/>
      <c r="C392" s="159"/>
      <c r="D392" s="159"/>
      <c r="E392" s="159"/>
      <c r="F392" s="159"/>
      <c r="G392" s="159"/>
      <c r="H392" s="159"/>
      <c r="I392" s="159"/>
      <c r="J392" s="159"/>
      <c r="K392" s="159"/>
      <c r="L392" s="159"/>
      <c r="N392" s="159"/>
      <c r="O392" s="159"/>
      <c r="P392" s="159"/>
      <c r="Q392" s="159"/>
      <c r="R392" s="159"/>
      <c r="S392" s="159"/>
      <c r="T392" s="159"/>
      <c r="U392" s="159"/>
      <c r="V392" s="159"/>
      <c r="W392" s="159"/>
      <c r="X392" s="159"/>
      <c r="Y392" s="159"/>
      <c r="Z392" s="159"/>
      <c r="AA392" s="159"/>
      <c r="AB392" s="159"/>
    </row>
    <row r="393">
      <c r="A393" s="159"/>
      <c r="B393" s="159"/>
      <c r="C393" s="159"/>
      <c r="D393" s="159"/>
      <c r="E393" s="159"/>
      <c r="F393" s="159"/>
      <c r="G393" s="159"/>
      <c r="H393" s="159"/>
      <c r="I393" s="159"/>
      <c r="J393" s="159"/>
      <c r="K393" s="159"/>
      <c r="L393" s="159"/>
      <c r="N393" s="159"/>
      <c r="O393" s="159"/>
      <c r="P393" s="159"/>
      <c r="Q393" s="159"/>
      <c r="R393" s="159"/>
      <c r="S393" s="159"/>
      <c r="T393" s="159"/>
      <c r="U393" s="159"/>
      <c r="V393" s="159"/>
      <c r="W393" s="159"/>
      <c r="X393" s="159"/>
      <c r="Y393" s="159"/>
      <c r="Z393" s="159"/>
      <c r="AA393" s="159"/>
      <c r="AB393" s="159"/>
    </row>
    <row r="394">
      <c r="A394" s="159"/>
      <c r="B394" s="159"/>
      <c r="C394" s="159"/>
      <c r="D394" s="159"/>
      <c r="E394" s="159"/>
      <c r="F394" s="159"/>
      <c r="G394" s="159"/>
      <c r="H394" s="159"/>
      <c r="I394" s="159"/>
      <c r="J394" s="159"/>
      <c r="K394" s="159"/>
      <c r="L394" s="159"/>
      <c r="N394" s="159"/>
      <c r="O394" s="159"/>
      <c r="P394" s="159"/>
      <c r="Q394" s="159"/>
      <c r="R394" s="159"/>
      <c r="S394" s="159"/>
      <c r="T394" s="159"/>
      <c r="U394" s="159"/>
      <c r="V394" s="159"/>
      <c r="W394" s="159"/>
      <c r="X394" s="159"/>
      <c r="Y394" s="159"/>
      <c r="Z394" s="159"/>
      <c r="AA394" s="159"/>
      <c r="AB394" s="159"/>
    </row>
    <row r="395">
      <c r="A395" s="159"/>
      <c r="B395" s="159"/>
      <c r="C395" s="159"/>
      <c r="D395" s="159"/>
      <c r="E395" s="159"/>
      <c r="F395" s="159"/>
      <c r="G395" s="159"/>
      <c r="H395" s="159"/>
      <c r="I395" s="159"/>
      <c r="J395" s="159"/>
      <c r="K395" s="159"/>
      <c r="L395" s="159"/>
      <c r="N395" s="159"/>
      <c r="O395" s="159"/>
      <c r="P395" s="159"/>
      <c r="Q395" s="159"/>
      <c r="R395" s="159"/>
      <c r="S395" s="159"/>
      <c r="T395" s="159"/>
      <c r="U395" s="159"/>
      <c r="V395" s="159"/>
      <c r="W395" s="159"/>
      <c r="X395" s="159"/>
      <c r="Y395" s="159"/>
      <c r="Z395" s="159"/>
      <c r="AA395" s="159"/>
      <c r="AB395" s="159"/>
    </row>
    <row r="396">
      <c r="A396" s="159"/>
      <c r="B396" s="159"/>
      <c r="C396" s="159"/>
      <c r="D396" s="159"/>
      <c r="E396" s="159"/>
      <c r="F396" s="159"/>
      <c r="G396" s="159"/>
      <c r="H396" s="159"/>
      <c r="I396" s="159"/>
      <c r="J396" s="159"/>
      <c r="K396" s="159"/>
      <c r="L396" s="159"/>
      <c r="N396" s="159"/>
      <c r="O396" s="159"/>
      <c r="P396" s="159"/>
      <c r="Q396" s="159"/>
      <c r="R396" s="159"/>
      <c r="S396" s="159"/>
      <c r="T396" s="159"/>
      <c r="U396" s="159"/>
      <c r="V396" s="159"/>
      <c r="W396" s="159"/>
      <c r="X396" s="159"/>
      <c r="Y396" s="159"/>
      <c r="Z396" s="159"/>
      <c r="AA396" s="159"/>
      <c r="AB396" s="159"/>
    </row>
    <row r="397">
      <c r="A397" s="159"/>
      <c r="B397" s="159"/>
      <c r="C397" s="159"/>
      <c r="D397" s="159"/>
      <c r="E397" s="159"/>
      <c r="F397" s="159"/>
      <c r="G397" s="159"/>
      <c r="H397" s="159"/>
      <c r="I397" s="159"/>
      <c r="J397" s="159"/>
      <c r="K397" s="159"/>
      <c r="L397" s="159"/>
      <c r="N397" s="159"/>
      <c r="O397" s="159"/>
      <c r="P397" s="159"/>
      <c r="Q397" s="159"/>
      <c r="R397" s="159"/>
      <c r="S397" s="159"/>
      <c r="T397" s="159"/>
      <c r="U397" s="159"/>
      <c r="V397" s="159"/>
      <c r="W397" s="159"/>
      <c r="X397" s="159"/>
      <c r="Y397" s="159"/>
      <c r="Z397" s="159"/>
      <c r="AA397" s="159"/>
      <c r="AB397" s="159"/>
    </row>
    <row r="398">
      <c r="A398" s="159"/>
      <c r="B398" s="159"/>
      <c r="C398" s="159"/>
      <c r="D398" s="159"/>
      <c r="E398" s="159"/>
      <c r="F398" s="159"/>
      <c r="G398" s="159"/>
      <c r="H398" s="159"/>
      <c r="I398" s="159"/>
      <c r="J398" s="159"/>
      <c r="K398" s="159"/>
      <c r="L398" s="159"/>
      <c r="N398" s="159"/>
      <c r="O398" s="159"/>
      <c r="P398" s="159"/>
      <c r="Q398" s="159"/>
      <c r="R398" s="159"/>
      <c r="S398" s="159"/>
      <c r="T398" s="159"/>
      <c r="U398" s="159"/>
      <c r="V398" s="159"/>
      <c r="W398" s="159"/>
      <c r="X398" s="159"/>
      <c r="Y398" s="159"/>
      <c r="Z398" s="159"/>
      <c r="AA398" s="159"/>
      <c r="AB398" s="159"/>
    </row>
    <row r="399">
      <c r="A399" s="159"/>
      <c r="B399" s="159"/>
      <c r="C399" s="159"/>
      <c r="D399" s="159"/>
      <c r="E399" s="159"/>
      <c r="F399" s="159"/>
      <c r="G399" s="159"/>
      <c r="H399" s="159"/>
      <c r="I399" s="159"/>
      <c r="J399" s="159"/>
      <c r="K399" s="159"/>
      <c r="L399" s="159"/>
      <c r="N399" s="159"/>
      <c r="O399" s="159"/>
      <c r="P399" s="159"/>
      <c r="Q399" s="159"/>
      <c r="R399" s="159"/>
      <c r="S399" s="159"/>
      <c r="T399" s="159"/>
      <c r="U399" s="159"/>
      <c r="V399" s="159"/>
      <c r="W399" s="159"/>
      <c r="X399" s="159"/>
      <c r="Y399" s="159"/>
      <c r="Z399" s="159"/>
      <c r="AA399" s="159"/>
      <c r="AB399" s="159"/>
    </row>
    <row r="400">
      <c r="A400" s="159"/>
      <c r="B400" s="159"/>
      <c r="C400" s="159"/>
      <c r="D400" s="159"/>
      <c r="E400" s="159"/>
      <c r="F400" s="159"/>
      <c r="G400" s="159"/>
      <c r="H400" s="159"/>
      <c r="I400" s="159"/>
      <c r="J400" s="159"/>
      <c r="K400" s="159"/>
      <c r="L400" s="159"/>
      <c r="N400" s="159"/>
      <c r="O400" s="159"/>
      <c r="P400" s="159"/>
      <c r="Q400" s="159"/>
      <c r="R400" s="159"/>
      <c r="S400" s="159"/>
      <c r="T400" s="159"/>
      <c r="U400" s="159"/>
      <c r="V400" s="159"/>
      <c r="W400" s="159"/>
      <c r="X400" s="159"/>
      <c r="Y400" s="159"/>
      <c r="Z400" s="159"/>
      <c r="AA400" s="159"/>
      <c r="AB400" s="159"/>
    </row>
    <row r="401">
      <c r="A401" s="159"/>
      <c r="B401" s="159"/>
      <c r="C401" s="159"/>
      <c r="D401" s="159"/>
      <c r="E401" s="159"/>
      <c r="F401" s="159"/>
      <c r="G401" s="159"/>
      <c r="H401" s="159"/>
      <c r="I401" s="159"/>
      <c r="J401" s="159"/>
      <c r="K401" s="159"/>
      <c r="L401" s="159"/>
      <c r="N401" s="159"/>
      <c r="O401" s="159"/>
      <c r="P401" s="159"/>
      <c r="Q401" s="159"/>
      <c r="R401" s="159"/>
      <c r="S401" s="159"/>
      <c r="T401" s="159"/>
      <c r="U401" s="159"/>
      <c r="V401" s="159"/>
      <c r="W401" s="159"/>
      <c r="X401" s="159"/>
      <c r="Y401" s="159"/>
      <c r="Z401" s="159"/>
      <c r="AA401" s="159"/>
      <c r="AB401" s="159"/>
    </row>
    <row r="402">
      <c r="A402" s="159"/>
      <c r="B402" s="159"/>
      <c r="C402" s="159"/>
      <c r="D402" s="159"/>
      <c r="E402" s="159"/>
      <c r="F402" s="159"/>
      <c r="G402" s="159"/>
      <c r="H402" s="159"/>
      <c r="I402" s="159"/>
      <c r="J402" s="159"/>
      <c r="K402" s="159"/>
      <c r="L402" s="159"/>
      <c r="N402" s="159"/>
      <c r="O402" s="159"/>
      <c r="P402" s="159"/>
      <c r="Q402" s="159"/>
      <c r="R402" s="159"/>
      <c r="S402" s="159"/>
      <c r="T402" s="159"/>
      <c r="U402" s="159"/>
      <c r="V402" s="159"/>
      <c r="W402" s="159"/>
      <c r="X402" s="159"/>
      <c r="Y402" s="159"/>
      <c r="Z402" s="159"/>
      <c r="AA402" s="159"/>
      <c r="AB402" s="159"/>
    </row>
    <row r="403">
      <c r="A403" s="159"/>
      <c r="B403" s="159"/>
      <c r="C403" s="159"/>
      <c r="D403" s="159"/>
      <c r="E403" s="159"/>
      <c r="F403" s="159"/>
      <c r="G403" s="159"/>
      <c r="H403" s="159"/>
      <c r="I403" s="159"/>
      <c r="J403" s="159"/>
      <c r="K403" s="159"/>
      <c r="L403" s="159"/>
      <c r="N403" s="159"/>
      <c r="O403" s="159"/>
      <c r="P403" s="159"/>
      <c r="Q403" s="159"/>
      <c r="R403" s="159"/>
      <c r="S403" s="159"/>
      <c r="T403" s="159"/>
      <c r="U403" s="159"/>
      <c r="V403" s="159"/>
      <c r="W403" s="159"/>
      <c r="X403" s="159"/>
      <c r="Y403" s="159"/>
      <c r="Z403" s="159"/>
      <c r="AA403" s="159"/>
      <c r="AB403" s="159"/>
    </row>
    <row r="404">
      <c r="A404" s="159"/>
      <c r="B404" s="159"/>
      <c r="C404" s="159"/>
      <c r="D404" s="159"/>
      <c r="E404" s="159"/>
      <c r="F404" s="159"/>
      <c r="G404" s="159"/>
      <c r="H404" s="159"/>
      <c r="I404" s="159"/>
      <c r="J404" s="159"/>
      <c r="K404" s="159"/>
      <c r="L404" s="159"/>
      <c r="N404" s="159"/>
      <c r="O404" s="159"/>
      <c r="P404" s="159"/>
      <c r="Q404" s="159"/>
      <c r="R404" s="159"/>
      <c r="S404" s="159"/>
      <c r="T404" s="159"/>
      <c r="U404" s="159"/>
      <c r="V404" s="159"/>
      <c r="W404" s="159"/>
      <c r="X404" s="159"/>
      <c r="Y404" s="159"/>
      <c r="Z404" s="159"/>
      <c r="AA404" s="159"/>
      <c r="AB404" s="159"/>
    </row>
    <row r="405">
      <c r="A405" s="159"/>
      <c r="B405" s="159"/>
      <c r="C405" s="159"/>
      <c r="D405" s="159"/>
      <c r="E405" s="159"/>
      <c r="F405" s="159"/>
      <c r="G405" s="159"/>
      <c r="H405" s="159"/>
      <c r="I405" s="159"/>
      <c r="J405" s="159"/>
      <c r="K405" s="159"/>
      <c r="L405" s="159"/>
      <c r="N405" s="159"/>
      <c r="O405" s="159"/>
      <c r="P405" s="159"/>
      <c r="Q405" s="159"/>
      <c r="R405" s="159"/>
      <c r="S405" s="159"/>
      <c r="T405" s="159"/>
      <c r="U405" s="159"/>
      <c r="V405" s="159"/>
      <c r="W405" s="159"/>
      <c r="X405" s="159"/>
      <c r="Y405" s="159"/>
      <c r="Z405" s="159"/>
      <c r="AA405" s="159"/>
      <c r="AB405" s="159"/>
    </row>
    <row r="406">
      <c r="A406" s="159"/>
      <c r="B406" s="159"/>
      <c r="C406" s="159"/>
      <c r="D406" s="159"/>
      <c r="E406" s="159"/>
      <c r="F406" s="159"/>
      <c r="G406" s="159"/>
      <c r="H406" s="159"/>
      <c r="I406" s="159"/>
      <c r="J406" s="159"/>
      <c r="K406" s="159"/>
      <c r="L406" s="159"/>
      <c r="N406" s="159"/>
      <c r="O406" s="159"/>
      <c r="P406" s="159"/>
      <c r="Q406" s="159"/>
      <c r="R406" s="159"/>
      <c r="S406" s="159"/>
      <c r="T406" s="159"/>
      <c r="U406" s="159"/>
      <c r="V406" s="159"/>
      <c r="W406" s="159"/>
      <c r="X406" s="159"/>
      <c r="Y406" s="159"/>
      <c r="Z406" s="159"/>
      <c r="AA406" s="159"/>
      <c r="AB406" s="159"/>
    </row>
    <row r="407">
      <c r="A407" s="159"/>
      <c r="B407" s="159"/>
      <c r="C407" s="159"/>
      <c r="D407" s="159"/>
      <c r="E407" s="159"/>
      <c r="F407" s="159"/>
      <c r="G407" s="159"/>
      <c r="H407" s="159"/>
      <c r="I407" s="159"/>
      <c r="J407" s="159"/>
      <c r="K407" s="159"/>
      <c r="L407" s="159"/>
      <c r="N407" s="159"/>
      <c r="O407" s="159"/>
      <c r="P407" s="159"/>
      <c r="Q407" s="159"/>
      <c r="R407" s="159"/>
      <c r="S407" s="159"/>
      <c r="T407" s="159"/>
      <c r="U407" s="159"/>
      <c r="V407" s="159"/>
      <c r="W407" s="159"/>
      <c r="X407" s="159"/>
      <c r="Y407" s="159"/>
      <c r="Z407" s="159"/>
      <c r="AA407" s="159"/>
      <c r="AB407" s="159"/>
    </row>
    <row r="408">
      <c r="A408" s="159"/>
      <c r="B408" s="159"/>
      <c r="C408" s="159"/>
      <c r="D408" s="159"/>
      <c r="E408" s="159"/>
      <c r="F408" s="159"/>
      <c r="G408" s="159"/>
      <c r="H408" s="159"/>
      <c r="I408" s="159"/>
      <c r="J408" s="159"/>
      <c r="K408" s="159"/>
      <c r="L408" s="159"/>
      <c r="N408" s="159"/>
      <c r="O408" s="159"/>
      <c r="P408" s="159"/>
      <c r="Q408" s="159"/>
      <c r="R408" s="159"/>
      <c r="S408" s="159"/>
      <c r="T408" s="159"/>
      <c r="U408" s="159"/>
      <c r="V408" s="159"/>
      <c r="W408" s="159"/>
      <c r="X408" s="159"/>
      <c r="Y408" s="159"/>
      <c r="Z408" s="159"/>
      <c r="AA408" s="159"/>
      <c r="AB408" s="159"/>
    </row>
    <row r="409">
      <c r="A409" s="159"/>
      <c r="B409" s="159"/>
      <c r="C409" s="159"/>
      <c r="D409" s="159"/>
      <c r="E409" s="159"/>
      <c r="F409" s="159"/>
      <c r="G409" s="159"/>
      <c r="H409" s="159"/>
      <c r="I409" s="159"/>
      <c r="J409" s="159"/>
      <c r="K409" s="159"/>
      <c r="L409" s="159"/>
      <c r="N409" s="159"/>
      <c r="O409" s="159"/>
      <c r="P409" s="159"/>
      <c r="Q409" s="159"/>
      <c r="R409" s="159"/>
      <c r="S409" s="159"/>
      <c r="T409" s="159"/>
      <c r="U409" s="159"/>
      <c r="V409" s="159"/>
      <c r="W409" s="159"/>
      <c r="X409" s="159"/>
      <c r="Y409" s="159"/>
      <c r="Z409" s="159"/>
      <c r="AA409" s="159"/>
      <c r="AB409" s="159"/>
    </row>
    <row r="410">
      <c r="A410" s="159"/>
      <c r="B410" s="159"/>
      <c r="C410" s="159"/>
      <c r="D410" s="159"/>
      <c r="E410" s="159"/>
      <c r="F410" s="159"/>
      <c r="G410" s="159"/>
      <c r="H410" s="159"/>
      <c r="I410" s="159"/>
      <c r="J410" s="159"/>
      <c r="K410" s="159"/>
      <c r="L410" s="159"/>
      <c r="N410" s="159"/>
      <c r="O410" s="159"/>
      <c r="P410" s="159"/>
      <c r="Q410" s="159"/>
      <c r="R410" s="159"/>
      <c r="S410" s="159"/>
      <c r="T410" s="159"/>
      <c r="U410" s="159"/>
      <c r="V410" s="159"/>
      <c r="W410" s="159"/>
      <c r="X410" s="159"/>
      <c r="Y410" s="159"/>
      <c r="Z410" s="159"/>
      <c r="AA410" s="159"/>
      <c r="AB410" s="159"/>
    </row>
    <row r="411">
      <c r="A411" s="159"/>
      <c r="B411" s="159"/>
      <c r="C411" s="159"/>
      <c r="D411" s="159"/>
      <c r="E411" s="159"/>
      <c r="F411" s="159"/>
      <c r="G411" s="159"/>
      <c r="H411" s="159"/>
      <c r="I411" s="159"/>
      <c r="J411" s="159"/>
      <c r="K411" s="159"/>
      <c r="L411" s="159"/>
      <c r="N411" s="159"/>
      <c r="O411" s="159"/>
      <c r="P411" s="159"/>
      <c r="Q411" s="159"/>
      <c r="R411" s="159"/>
      <c r="S411" s="159"/>
      <c r="T411" s="159"/>
      <c r="U411" s="159"/>
      <c r="V411" s="159"/>
      <c r="W411" s="159"/>
      <c r="X411" s="159"/>
      <c r="Y411" s="159"/>
      <c r="Z411" s="159"/>
      <c r="AA411" s="159"/>
      <c r="AB411" s="159"/>
    </row>
    <row r="412">
      <c r="A412" s="159"/>
      <c r="B412" s="159"/>
      <c r="C412" s="159"/>
      <c r="D412" s="159"/>
      <c r="E412" s="159"/>
      <c r="F412" s="159"/>
      <c r="G412" s="159"/>
      <c r="H412" s="159"/>
      <c r="I412" s="159"/>
      <c r="J412" s="159"/>
      <c r="K412" s="159"/>
      <c r="L412" s="159"/>
      <c r="N412" s="159"/>
      <c r="O412" s="159"/>
      <c r="P412" s="159"/>
      <c r="Q412" s="159"/>
      <c r="R412" s="159"/>
      <c r="S412" s="159"/>
      <c r="T412" s="159"/>
      <c r="U412" s="159"/>
      <c r="V412" s="159"/>
      <c r="W412" s="159"/>
      <c r="X412" s="159"/>
      <c r="Y412" s="159"/>
      <c r="Z412" s="159"/>
      <c r="AA412" s="159"/>
      <c r="AB412" s="159"/>
    </row>
    <row r="413">
      <c r="A413" s="159"/>
      <c r="B413" s="159"/>
      <c r="C413" s="159"/>
      <c r="D413" s="159"/>
      <c r="E413" s="159"/>
      <c r="F413" s="159"/>
      <c r="G413" s="159"/>
      <c r="H413" s="159"/>
      <c r="I413" s="159"/>
      <c r="J413" s="159"/>
      <c r="K413" s="159"/>
      <c r="L413" s="159"/>
      <c r="N413" s="159"/>
      <c r="O413" s="159"/>
      <c r="P413" s="159"/>
      <c r="Q413" s="159"/>
      <c r="R413" s="159"/>
      <c r="S413" s="159"/>
      <c r="T413" s="159"/>
      <c r="U413" s="159"/>
      <c r="V413" s="159"/>
      <c r="W413" s="159"/>
      <c r="X413" s="159"/>
      <c r="Y413" s="159"/>
      <c r="Z413" s="159"/>
      <c r="AA413" s="159"/>
      <c r="AB413" s="159"/>
    </row>
    <row r="414">
      <c r="A414" s="159"/>
      <c r="B414" s="159"/>
      <c r="C414" s="159"/>
      <c r="D414" s="159"/>
      <c r="E414" s="159"/>
      <c r="F414" s="159"/>
      <c r="G414" s="159"/>
      <c r="H414" s="159"/>
      <c r="I414" s="159"/>
      <c r="J414" s="159"/>
      <c r="K414" s="159"/>
      <c r="L414" s="159"/>
      <c r="N414" s="159"/>
      <c r="O414" s="159"/>
      <c r="P414" s="159"/>
      <c r="Q414" s="159"/>
      <c r="R414" s="159"/>
      <c r="S414" s="159"/>
      <c r="T414" s="159"/>
      <c r="U414" s="159"/>
      <c r="V414" s="159"/>
      <c r="W414" s="159"/>
      <c r="X414" s="159"/>
      <c r="Y414" s="159"/>
      <c r="Z414" s="159"/>
      <c r="AA414" s="159"/>
      <c r="AB414" s="159"/>
    </row>
    <row r="415">
      <c r="A415" s="159"/>
      <c r="B415" s="159"/>
      <c r="C415" s="159"/>
      <c r="D415" s="159"/>
      <c r="E415" s="159"/>
      <c r="F415" s="159"/>
      <c r="G415" s="159"/>
      <c r="H415" s="159"/>
      <c r="I415" s="159"/>
      <c r="J415" s="159"/>
      <c r="K415" s="159"/>
      <c r="L415" s="159"/>
      <c r="N415" s="159"/>
      <c r="O415" s="159"/>
      <c r="P415" s="159"/>
      <c r="Q415" s="159"/>
      <c r="R415" s="159"/>
      <c r="S415" s="159"/>
      <c r="T415" s="159"/>
      <c r="U415" s="159"/>
      <c r="V415" s="159"/>
      <c r="W415" s="159"/>
      <c r="X415" s="159"/>
      <c r="Y415" s="159"/>
      <c r="Z415" s="159"/>
      <c r="AA415" s="159"/>
      <c r="AB415" s="159"/>
    </row>
    <row r="416">
      <c r="A416" s="159"/>
      <c r="B416" s="159"/>
      <c r="C416" s="159"/>
      <c r="D416" s="159"/>
      <c r="E416" s="159"/>
      <c r="F416" s="159"/>
      <c r="G416" s="159"/>
      <c r="H416" s="159"/>
      <c r="I416" s="159"/>
      <c r="J416" s="159"/>
      <c r="K416" s="159"/>
      <c r="L416" s="159"/>
      <c r="N416" s="159"/>
      <c r="O416" s="159"/>
      <c r="P416" s="159"/>
      <c r="Q416" s="159"/>
      <c r="R416" s="159"/>
      <c r="S416" s="159"/>
      <c r="T416" s="159"/>
      <c r="U416" s="159"/>
      <c r="V416" s="159"/>
      <c r="W416" s="159"/>
      <c r="X416" s="159"/>
      <c r="Y416" s="159"/>
      <c r="Z416" s="159"/>
      <c r="AA416" s="159"/>
      <c r="AB416" s="159"/>
    </row>
    <row r="417">
      <c r="A417" s="159"/>
      <c r="B417" s="159"/>
      <c r="C417" s="159"/>
      <c r="D417" s="159"/>
      <c r="E417" s="159"/>
      <c r="F417" s="159"/>
      <c r="G417" s="159"/>
      <c r="H417" s="159"/>
      <c r="I417" s="159"/>
      <c r="J417" s="159"/>
      <c r="K417" s="159"/>
      <c r="L417" s="159"/>
      <c r="N417" s="159"/>
      <c r="O417" s="159"/>
      <c r="P417" s="159"/>
      <c r="Q417" s="159"/>
      <c r="R417" s="159"/>
      <c r="S417" s="159"/>
      <c r="T417" s="159"/>
      <c r="U417" s="159"/>
      <c r="V417" s="159"/>
      <c r="W417" s="159"/>
      <c r="X417" s="159"/>
      <c r="Y417" s="159"/>
      <c r="Z417" s="159"/>
      <c r="AA417" s="159"/>
      <c r="AB417" s="159"/>
    </row>
    <row r="418">
      <c r="A418" s="159"/>
      <c r="B418" s="159"/>
      <c r="C418" s="159"/>
      <c r="D418" s="159"/>
      <c r="E418" s="159"/>
      <c r="F418" s="159"/>
      <c r="G418" s="159"/>
      <c r="H418" s="159"/>
      <c r="I418" s="159"/>
      <c r="J418" s="159"/>
      <c r="K418" s="159"/>
      <c r="L418" s="159"/>
      <c r="N418" s="159"/>
      <c r="O418" s="159"/>
      <c r="P418" s="159"/>
      <c r="Q418" s="159"/>
      <c r="R418" s="159"/>
      <c r="S418" s="159"/>
      <c r="T418" s="159"/>
      <c r="U418" s="159"/>
      <c r="V418" s="159"/>
      <c r="W418" s="159"/>
      <c r="X418" s="159"/>
      <c r="Y418" s="159"/>
      <c r="Z418" s="159"/>
      <c r="AA418" s="159"/>
      <c r="AB418" s="159"/>
    </row>
    <row r="419">
      <c r="A419" s="159"/>
      <c r="B419" s="159"/>
      <c r="C419" s="159"/>
      <c r="D419" s="159"/>
      <c r="E419" s="159"/>
      <c r="F419" s="159"/>
      <c r="G419" s="159"/>
      <c r="H419" s="159"/>
      <c r="I419" s="159"/>
      <c r="J419" s="159"/>
      <c r="K419" s="159"/>
      <c r="L419" s="159"/>
      <c r="N419" s="159"/>
      <c r="O419" s="159"/>
      <c r="P419" s="159"/>
      <c r="Q419" s="159"/>
      <c r="R419" s="159"/>
      <c r="S419" s="159"/>
      <c r="T419" s="159"/>
      <c r="U419" s="159"/>
      <c r="V419" s="159"/>
      <c r="W419" s="159"/>
      <c r="X419" s="159"/>
      <c r="Y419" s="159"/>
      <c r="Z419" s="159"/>
      <c r="AA419" s="159"/>
      <c r="AB419" s="159"/>
    </row>
    <row r="420">
      <c r="A420" s="159"/>
      <c r="B420" s="159"/>
      <c r="C420" s="159"/>
      <c r="D420" s="159"/>
      <c r="E420" s="159"/>
      <c r="F420" s="159"/>
      <c r="G420" s="159"/>
      <c r="H420" s="159"/>
      <c r="I420" s="159"/>
      <c r="J420" s="159"/>
      <c r="K420" s="159"/>
      <c r="L420" s="159"/>
      <c r="N420" s="159"/>
      <c r="O420" s="159"/>
      <c r="P420" s="159"/>
      <c r="Q420" s="159"/>
      <c r="R420" s="159"/>
      <c r="S420" s="159"/>
      <c r="T420" s="159"/>
      <c r="U420" s="159"/>
      <c r="V420" s="159"/>
      <c r="W420" s="159"/>
      <c r="X420" s="159"/>
      <c r="Y420" s="159"/>
      <c r="Z420" s="159"/>
      <c r="AA420" s="159"/>
      <c r="AB420" s="159"/>
    </row>
    <row r="421">
      <c r="A421" s="159"/>
      <c r="B421" s="159"/>
      <c r="C421" s="159"/>
      <c r="D421" s="159"/>
      <c r="E421" s="159"/>
      <c r="F421" s="159"/>
      <c r="G421" s="159"/>
      <c r="H421" s="159"/>
      <c r="I421" s="159"/>
      <c r="J421" s="159"/>
      <c r="K421" s="159"/>
      <c r="L421" s="159"/>
      <c r="N421" s="159"/>
      <c r="O421" s="159"/>
      <c r="P421" s="159"/>
      <c r="Q421" s="159"/>
      <c r="R421" s="159"/>
      <c r="S421" s="159"/>
      <c r="T421" s="159"/>
      <c r="U421" s="159"/>
      <c r="V421" s="159"/>
      <c r="W421" s="159"/>
      <c r="X421" s="159"/>
      <c r="Y421" s="159"/>
      <c r="Z421" s="159"/>
      <c r="AA421" s="159"/>
      <c r="AB421" s="159"/>
    </row>
    <row r="422">
      <c r="A422" s="159"/>
      <c r="B422" s="159"/>
      <c r="C422" s="159"/>
      <c r="D422" s="159"/>
      <c r="E422" s="159"/>
      <c r="F422" s="159"/>
      <c r="G422" s="159"/>
      <c r="H422" s="159"/>
      <c r="I422" s="159"/>
      <c r="J422" s="159"/>
      <c r="K422" s="159"/>
      <c r="L422" s="159"/>
      <c r="N422" s="159"/>
      <c r="O422" s="159"/>
      <c r="P422" s="159"/>
      <c r="Q422" s="159"/>
      <c r="R422" s="159"/>
      <c r="S422" s="159"/>
      <c r="T422" s="159"/>
      <c r="U422" s="159"/>
      <c r="V422" s="159"/>
      <c r="W422" s="159"/>
      <c r="X422" s="159"/>
      <c r="Y422" s="159"/>
      <c r="Z422" s="159"/>
      <c r="AA422" s="159"/>
      <c r="AB422" s="159"/>
    </row>
    <row r="423">
      <c r="A423" s="159"/>
      <c r="B423" s="159"/>
      <c r="C423" s="159"/>
      <c r="D423" s="159"/>
      <c r="E423" s="159"/>
      <c r="F423" s="159"/>
      <c r="G423" s="159"/>
      <c r="H423" s="159"/>
      <c r="I423" s="159"/>
      <c r="J423" s="159"/>
      <c r="K423" s="159"/>
      <c r="L423" s="159"/>
      <c r="N423" s="159"/>
      <c r="O423" s="159"/>
      <c r="P423" s="159"/>
      <c r="Q423" s="159"/>
      <c r="R423" s="159"/>
      <c r="S423" s="159"/>
      <c r="T423" s="159"/>
      <c r="U423" s="159"/>
      <c r="V423" s="159"/>
      <c r="W423" s="159"/>
      <c r="X423" s="159"/>
      <c r="Y423" s="159"/>
      <c r="Z423" s="159"/>
      <c r="AA423" s="159"/>
      <c r="AB423" s="159"/>
    </row>
    <row r="424">
      <c r="A424" s="159"/>
      <c r="B424" s="159"/>
      <c r="C424" s="159"/>
      <c r="D424" s="159"/>
      <c r="E424" s="159"/>
      <c r="F424" s="159"/>
      <c r="G424" s="159"/>
      <c r="H424" s="159"/>
      <c r="I424" s="159"/>
      <c r="J424" s="159"/>
      <c r="K424" s="159"/>
      <c r="L424" s="159"/>
      <c r="N424" s="159"/>
      <c r="O424" s="159"/>
      <c r="P424" s="159"/>
      <c r="Q424" s="159"/>
      <c r="R424" s="159"/>
      <c r="S424" s="159"/>
      <c r="T424" s="159"/>
      <c r="U424" s="159"/>
      <c r="V424" s="159"/>
      <c r="W424" s="159"/>
      <c r="X424" s="159"/>
      <c r="Y424" s="159"/>
      <c r="Z424" s="159"/>
      <c r="AA424" s="159"/>
      <c r="AB424" s="159"/>
    </row>
    <row r="425">
      <c r="A425" s="159"/>
      <c r="B425" s="159"/>
      <c r="C425" s="159"/>
      <c r="D425" s="159"/>
      <c r="E425" s="159"/>
      <c r="F425" s="159"/>
      <c r="G425" s="159"/>
      <c r="H425" s="159"/>
      <c r="I425" s="159"/>
      <c r="J425" s="159"/>
      <c r="K425" s="159"/>
      <c r="L425" s="159"/>
      <c r="N425" s="159"/>
      <c r="O425" s="159"/>
      <c r="P425" s="159"/>
      <c r="Q425" s="159"/>
      <c r="R425" s="159"/>
      <c r="S425" s="159"/>
      <c r="T425" s="159"/>
      <c r="U425" s="159"/>
      <c r="V425" s="159"/>
      <c r="W425" s="159"/>
      <c r="X425" s="159"/>
      <c r="Y425" s="159"/>
      <c r="Z425" s="159"/>
      <c r="AA425" s="159"/>
      <c r="AB425" s="159"/>
    </row>
    <row r="426">
      <c r="A426" s="159"/>
      <c r="B426" s="159"/>
      <c r="C426" s="159"/>
      <c r="D426" s="159"/>
      <c r="E426" s="159"/>
      <c r="F426" s="159"/>
      <c r="G426" s="159"/>
      <c r="H426" s="159"/>
      <c r="I426" s="159"/>
      <c r="J426" s="159"/>
      <c r="K426" s="159"/>
      <c r="L426" s="159"/>
      <c r="N426" s="159"/>
      <c r="O426" s="159"/>
      <c r="P426" s="159"/>
      <c r="Q426" s="159"/>
      <c r="R426" s="159"/>
      <c r="S426" s="159"/>
      <c r="T426" s="159"/>
      <c r="U426" s="159"/>
      <c r="V426" s="159"/>
      <c r="W426" s="159"/>
      <c r="X426" s="159"/>
      <c r="Y426" s="159"/>
      <c r="Z426" s="159"/>
      <c r="AA426" s="159"/>
      <c r="AB426" s="159"/>
    </row>
    <row r="427">
      <c r="A427" s="159"/>
      <c r="B427" s="159"/>
      <c r="C427" s="159"/>
      <c r="D427" s="159"/>
      <c r="E427" s="159"/>
      <c r="F427" s="159"/>
      <c r="G427" s="159"/>
      <c r="H427" s="159"/>
      <c r="I427" s="159"/>
      <c r="J427" s="159"/>
      <c r="K427" s="159"/>
      <c r="L427" s="159"/>
      <c r="N427" s="159"/>
      <c r="O427" s="159"/>
      <c r="P427" s="159"/>
      <c r="Q427" s="159"/>
      <c r="R427" s="159"/>
      <c r="S427" s="159"/>
      <c r="T427" s="159"/>
      <c r="U427" s="159"/>
      <c r="V427" s="159"/>
      <c r="W427" s="159"/>
      <c r="X427" s="159"/>
      <c r="Y427" s="159"/>
      <c r="Z427" s="159"/>
      <c r="AA427" s="159"/>
      <c r="AB427" s="159"/>
    </row>
    <row r="428">
      <c r="A428" s="159"/>
      <c r="B428" s="159"/>
      <c r="C428" s="159"/>
      <c r="D428" s="159"/>
      <c r="E428" s="159"/>
      <c r="F428" s="159"/>
      <c r="G428" s="159"/>
      <c r="H428" s="159"/>
      <c r="I428" s="159"/>
      <c r="J428" s="159"/>
      <c r="K428" s="159"/>
      <c r="L428" s="159"/>
      <c r="N428" s="159"/>
      <c r="O428" s="159"/>
      <c r="P428" s="159"/>
      <c r="Q428" s="159"/>
      <c r="R428" s="159"/>
      <c r="S428" s="159"/>
      <c r="T428" s="159"/>
      <c r="U428" s="159"/>
      <c r="V428" s="159"/>
      <c r="W428" s="159"/>
      <c r="X428" s="159"/>
      <c r="Y428" s="159"/>
      <c r="Z428" s="159"/>
      <c r="AA428" s="159"/>
      <c r="AB428" s="159"/>
    </row>
    <row r="429">
      <c r="A429" s="159"/>
      <c r="B429" s="159"/>
      <c r="C429" s="159"/>
      <c r="D429" s="159"/>
      <c r="E429" s="159"/>
      <c r="F429" s="159"/>
      <c r="G429" s="159"/>
      <c r="H429" s="159"/>
      <c r="I429" s="159"/>
      <c r="J429" s="159"/>
      <c r="K429" s="159"/>
      <c r="L429" s="159"/>
      <c r="N429" s="159"/>
      <c r="O429" s="159"/>
      <c r="P429" s="159"/>
      <c r="Q429" s="159"/>
      <c r="R429" s="159"/>
      <c r="S429" s="159"/>
      <c r="T429" s="159"/>
      <c r="U429" s="159"/>
      <c r="V429" s="159"/>
      <c r="W429" s="159"/>
      <c r="X429" s="159"/>
      <c r="Y429" s="159"/>
      <c r="Z429" s="159"/>
      <c r="AA429" s="159"/>
      <c r="AB429" s="159"/>
    </row>
    <row r="430">
      <c r="A430" s="159"/>
      <c r="B430" s="159"/>
      <c r="C430" s="159"/>
      <c r="D430" s="159"/>
      <c r="E430" s="159"/>
      <c r="F430" s="159"/>
      <c r="G430" s="159"/>
      <c r="H430" s="159"/>
      <c r="I430" s="159"/>
      <c r="J430" s="159"/>
      <c r="K430" s="159"/>
      <c r="L430" s="159"/>
      <c r="N430" s="159"/>
      <c r="O430" s="159"/>
      <c r="P430" s="159"/>
      <c r="Q430" s="159"/>
      <c r="R430" s="159"/>
      <c r="S430" s="159"/>
      <c r="T430" s="159"/>
      <c r="U430" s="159"/>
      <c r="V430" s="159"/>
      <c r="W430" s="159"/>
      <c r="X430" s="159"/>
      <c r="Y430" s="159"/>
      <c r="Z430" s="159"/>
      <c r="AA430" s="159"/>
      <c r="AB430" s="159"/>
    </row>
    <row r="431">
      <c r="A431" s="159"/>
      <c r="B431" s="159"/>
      <c r="C431" s="159"/>
      <c r="D431" s="159"/>
      <c r="E431" s="159"/>
      <c r="F431" s="159"/>
      <c r="G431" s="159"/>
      <c r="H431" s="159"/>
      <c r="I431" s="159"/>
      <c r="J431" s="159"/>
      <c r="K431" s="159"/>
      <c r="L431" s="159"/>
      <c r="N431" s="159"/>
      <c r="O431" s="159"/>
      <c r="P431" s="159"/>
      <c r="Q431" s="159"/>
      <c r="R431" s="159"/>
      <c r="S431" s="159"/>
      <c r="T431" s="159"/>
      <c r="U431" s="159"/>
      <c r="V431" s="159"/>
      <c r="W431" s="159"/>
      <c r="X431" s="159"/>
      <c r="Y431" s="159"/>
      <c r="Z431" s="159"/>
      <c r="AA431" s="159"/>
      <c r="AB431" s="159"/>
    </row>
    <row r="432">
      <c r="A432" s="159"/>
      <c r="B432" s="159"/>
      <c r="C432" s="159"/>
      <c r="D432" s="159"/>
      <c r="E432" s="159"/>
      <c r="F432" s="159"/>
      <c r="G432" s="159"/>
      <c r="H432" s="159"/>
      <c r="I432" s="159"/>
      <c r="J432" s="159"/>
      <c r="K432" s="159"/>
      <c r="L432" s="159"/>
      <c r="N432" s="159"/>
      <c r="O432" s="159"/>
      <c r="P432" s="159"/>
      <c r="Q432" s="159"/>
      <c r="R432" s="159"/>
      <c r="S432" s="159"/>
      <c r="T432" s="159"/>
      <c r="U432" s="159"/>
      <c r="V432" s="159"/>
      <c r="W432" s="159"/>
      <c r="X432" s="159"/>
      <c r="Y432" s="159"/>
      <c r="Z432" s="159"/>
      <c r="AA432" s="159"/>
      <c r="AB432" s="159"/>
    </row>
    <row r="433">
      <c r="A433" s="159"/>
      <c r="B433" s="159"/>
      <c r="C433" s="159"/>
      <c r="D433" s="159"/>
      <c r="E433" s="159"/>
      <c r="F433" s="159"/>
      <c r="G433" s="159"/>
      <c r="H433" s="159"/>
      <c r="I433" s="159"/>
      <c r="J433" s="159"/>
      <c r="K433" s="159"/>
      <c r="L433" s="159"/>
      <c r="N433" s="159"/>
      <c r="O433" s="159"/>
      <c r="P433" s="159"/>
      <c r="Q433" s="159"/>
      <c r="R433" s="159"/>
      <c r="S433" s="159"/>
      <c r="T433" s="159"/>
      <c r="U433" s="159"/>
      <c r="V433" s="159"/>
      <c r="W433" s="159"/>
      <c r="X433" s="159"/>
      <c r="Y433" s="159"/>
      <c r="Z433" s="159"/>
      <c r="AA433" s="159"/>
      <c r="AB433" s="159"/>
    </row>
    <row r="434">
      <c r="A434" s="159"/>
      <c r="B434" s="159"/>
      <c r="C434" s="159"/>
      <c r="D434" s="159"/>
      <c r="E434" s="159"/>
      <c r="F434" s="159"/>
      <c r="G434" s="159"/>
      <c r="H434" s="159"/>
      <c r="I434" s="159"/>
      <c r="J434" s="159"/>
      <c r="K434" s="159"/>
      <c r="L434" s="159"/>
      <c r="N434" s="159"/>
      <c r="O434" s="159"/>
      <c r="P434" s="159"/>
      <c r="Q434" s="159"/>
      <c r="R434" s="159"/>
      <c r="S434" s="159"/>
      <c r="T434" s="159"/>
      <c r="U434" s="159"/>
      <c r="V434" s="159"/>
      <c r="W434" s="159"/>
      <c r="X434" s="159"/>
      <c r="Y434" s="159"/>
      <c r="Z434" s="159"/>
      <c r="AA434" s="159"/>
      <c r="AB434" s="159"/>
    </row>
    <row r="435">
      <c r="A435" s="159"/>
      <c r="B435" s="159"/>
      <c r="C435" s="159"/>
      <c r="D435" s="159"/>
      <c r="E435" s="159"/>
      <c r="F435" s="159"/>
      <c r="G435" s="159"/>
      <c r="H435" s="159"/>
      <c r="I435" s="159"/>
      <c r="J435" s="159"/>
      <c r="K435" s="159"/>
      <c r="L435" s="159"/>
      <c r="N435" s="159"/>
      <c r="O435" s="159"/>
      <c r="P435" s="159"/>
      <c r="Q435" s="159"/>
      <c r="R435" s="159"/>
      <c r="S435" s="159"/>
      <c r="T435" s="159"/>
      <c r="U435" s="159"/>
      <c r="V435" s="159"/>
      <c r="W435" s="159"/>
      <c r="X435" s="159"/>
      <c r="Y435" s="159"/>
      <c r="Z435" s="159"/>
      <c r="AA435" s="159"/>
      <c r="AB435" s="159"/>
    </row>
    <row r="436">
      <c r="A436" s="159"/>
      <c r="B436" s="159"/>
      <c r="C436" s="159"/>
      <c r="D436" s="159"/>
      <c r="E436" s="159"/>
      <c r="F436" s="159"/>
      <c r="G436" s="159"/>
      <c r="H436" s="159"/>
      <c r="I436" s="159"/>
      <c r="J436" s="159"/>
      <c r="K436" s="159"/>
      <c r="L436" s="159"/>
      <c r="N436" s="159"/>
      <c r="O436" s="159"/>
      <c r="P436" s="159"/>
      <c r="Q436" s="159"/>
      <c r="R436" s="159"/>
      <c r="S436" s="159"/>
      <c r="T436" s="159"/>
      <c r="U436" s="159"/>
      <c r="V436" s="159"/>
      <c r="W436" s="159"/>
      <c r="X436" s="159"/>
      <c r="Y436" s="159"/>
      <c r="Z436" s="159"/>
      <c r="AA436" s="159"/>
      <c r="AB436" s="159"/>
    </row>
    <row r="437">
      <c r="A437" s="159"/>
      <c r="B437" s="159"/>
      <c r="C437" s="159"/>
      <c r="D437" s="159"/>
      <c r="E437" s="159"/>
      <c r="F437" s="159"/>
      <c r="G437" s="159"/>
      <c r="H437" s="159"/>
      <c r="I437" s="159"/>
      <c r="J437" s="159"/>
      <c r="K437" s="159"/>
      <c r="L437" s="159"/>
      <c r="N437" s="159"/>
      <c r="O437" s="159"/>
      <c r="P437" s="159"/>
      <c r="Q437" s="159"/>
      <c r="R437" s="159"/>
      <c r="S437" s="159"/>
      <c r="T437" s="159"/>
      <c r="U437" s="159"/>
      <c r="V437" s="159"/>
      <c r="W437" s="159"/>
      <c r="X437" s="159"/>
      <c r="Y437" s="159"/>
      <c r="Z437" s="159"/>
      <c r="AA437" s="159"/>
      <c r="AB437" s="159"/>
    </row>
    <row r="438">
      <c r="A438" s="159"/>
      <c r="B438" s="159"/>
      <c r="C438" s="159"/>
      <c r="D438" s="159"/>
      <c r="E438" s="159"/>
      <c r="F438" s="159"/>
      <c r="G438" s="159"/>
      <c r="H438" s="159"/>
      <c r="I438" s="159"/>
      <c r="J438" s="159"/>
      <c r="K438" s="159"/>
      <c r="L438" s="159"/>
      <c r="N438" s="159"/>
      <c r="O438" s="159"/>
      <c r="P438" s="159"/>
      <c r="Q438" s="159"/>
      <c r="R438" s="159"/>
      <c r="S438" s="159"/>
      <c r="T438" s="159"/>
      <c r="U438" s="159"/>
      <c r="V438" s="159"/>
      <c r="W438" s="159"/>
      <c r="X438" s="159"/>
      <c r="Y438" s="159"/>
      <c r="Z438" s="159"/>
      <c r="AA438" s="159"/>
      <c r="AB438" s="159"/>
    </row>
    <row r="439">
      <c r="A439" s="159"/>
      <c r="B439" s="159"/>
      <c r="C439" s="159"/>
      <c r="D439" s="159"/>
      <c r="E439" s="159"/>
      <c r="F439" s="159"/>
      <c r="G439" s="159"/>
      <c r="H439" s="159"/>
      <c r="I439" s="159"/>
      <c r="J439" s="159"/>
      <c r="K439" s="159"/>
      <c r="L439" s="159"/>
      <c r="N439" s="159"/>
      <c r="O439" s="159"/>
      <c r="P439" s="159"/>
      <c r="Q439" s="159"/>
      <c r="R439" s="159"/>
      <c r="S439" s="159"/>
      <c r="T439" s="159"/>
      <c r="U439" s="159"/>
      <c r="V439" s="159"/>
      <c r="W439" s="159"/>
      <c r="X439" s="159"/>
      <c r="Y439" s="159"/>
      <c r="Z439" s="159"/>
      <c r="AA439" s="159"/>
      <c r="AB439" s="159"/>
    </row>
    <row r="440">
      <c r="A440" s="159"/>
      <c r="B440" s="159"/>
      <c r="C440" s="159"/>
      <c r="D440" s="159"/>
      <c r="E440" s="159"/>
      <c r="F440" s="159"/>
      <c r="G440" s="159"/>
      <c r="H440" s="159"/>
      <c r="I440" s="159"/>
      <c r="J440" s="159"/>
      <c r="K440" s="159"/>
      <c r="L440" s="159"/>
      <c r="N440" s="159"/>
      <c r="O440" s="159"/>
      <c r="P440" s="159"/>
      <c r="Q440" s="159"/>
      <c r="R440" s="159"/>
      <c r="S440" s="159"/>
      <c r="T440" s="159"/>
      <c r="U440" s="159"/>
      <c r="V440" s="159"/>
      <c r="W440" s="159"/>
      <c r="X440" s="159"/>
      <c r="Y440" s="159"/>
      <c r="Z440" s="159"/>
      <c r="AA440" s="159"/>
      <c r="AB440" s="159"/>
    </row>
    <row r="441">
      <c r="A441" s="159"/>
      <c r="B441" s="159"/>
      <c r="C441" s="159"/>
      <c r="D441" s="159"/>
      <c r="E441" s="159"/>
      <c r="F441" s="159"/>
      <c r="G441" s="159"/>
      <c r="H441" s="159"/>
      <c r="I441" s="159"/>
      <c r="J441" s="159"/>
      <c r="K441" s="159"/>
      <c r="L441" s="159"/>
      <c r="N441" s="159"/>
      <c r="O441" s="159"/>
      <c r="P441" s="159"/>
      <c r="Q441" s="159"/>
      <c r="R441" s="159"/>
      <c r="S441" s="159"/>
      <c r="T441" s="159"/>
      <c r="U441" s="159"/>
      <c r="V441" s="159"/>
      <c r="W441" s="159"/>
      <c r="X441" s="159"/>
      <c r="Y441" s="159"/>
      <c r="Z441" s="159"/>
      <c r="AA441" s="159"/>
      <c r="AB441" s="159"/>
    </row>
    <row r="442">
      <c r="A442" s="159"/>
      <c r="B442" s="159"/>
      <c r="C442" s="159"/>
      <c r="D442" s="159"/>
      <c r="E442" s="159"/>
      <c r="F442" s="159"/>
      <c r="G442" s="159"/>
      <c r="H442" s="159"/>
      <c r="I442" s="159"/>
      <c r="J442" s="159"/>
      <c r="K442" s="159"/>
      <c r="L442" s="159"/>
      <c r="N442" s="159"/>
      <c r="O442" s="159"/>
      <c r="P442" s="159"/>
      <c r="Q442" s="159"/>
      <c r="R442" s="159"/>
      <c r="S442" s="159"/>
      <c r="T442" s="159"/>
      <c r="U442" s="159"/>
      <c r="V442" s="159"/>
      <c r="W442" s="159"/>
      <c r="X442" s="159"/>
      <c r="Y442" s="159"/>
      <c r="Z442" s="159"/>
      <c r="AA442" s="159"/>
      <c r="AB442" s="159"/>
    </row>
    <row r="443">
      <c r="A443" s="159"/>
      <c r="B443" s="159"/>
      <c r="C443" s="159"/>
      <c r="D443" s="159"/>
      <c r="E443" s="159"/>
      <c r="F443" s="159"/>
      <c r="G443" s="159"/>
      <c r="H443" s="159"/>
      <c r="I443" s="159"/>
      <c r="J443" s="159"/>
      <c r="K443" s="159"/>
      <c r="L443" s="159"/>
      <c r="N443" s="159"/>
      <c r="O443" s="159"/>
      <c r="P443" s="159"/>
      <c r="Q443" s="159"/>
      <c r="R443" s="159"/>
      <c r="S443" s="159"/>
      <c r="T443" s="159"/>
      <c r="U443" s="159"/>
      <c r="V443" s="159"/>
      <c r="W443" s="159"/>
      <c r="X443" s="159"/>
      <c r="Y443" s="159"/>
      <c r="Z443" s="159"/>
      <c r="AA443" s="159"/>
      <c r="AB443" s="159"/>
    </row>
    <row r="444">
      <c r="A444" s="159"/>
      <c r="B444" s="159"/>
      <c r="C444" s="159"/>
      <c r="D444" s="159"/>
      <c r="E444" s="159"/>
      <c r="F444" s="159"/>
      <c r="G444" s="159"/>
      <c r="H444" s="159"/>
      <c r="I444" s="159"/>
      <c r="J444" s="159"/>
      <c r="K444" s="159"/>
      <c r="L444" s="159"/>
      <c r="N444" s="159"/>
      <c r="O444" s="159"/>
      <c r="P444" s="159"/>
      <c r="Q444" s="159"/>
      <c r="R444" s="159"/>
      <c r="S444" s="159"/>
      <c r="T444" s="159"/>
      <c r="U444" s="159"/>
      <c r="V444" s="159"/>
      <c r="W444" s="159"/>
      <c r="X444" s="159"/>
      <c r="Y444" s="159"/>
      <c r="Z444" s="159"/>
      <c r="AA444" s="159"/>
      <c r="AB444" s="159"/>
    </row>
    <row r="445">
      <c r="A445" s="159"/>
      <c r="B445" s="159"/>
      <c r="C445" s="159"/>
      <c r="D445" s="159"/>
      <c r="E445" s="159"/>
      <c r="F445" s="159"/>
      <c r="G445" s="159"/>
      <c r="H445" s="159"/>
      <c r="I445" s="159"/>
      <c r="J445" s="159"/>
      <c r="K445" s="159"/>
      <c r="L445" s="159"/>
      <c r="N445" s="159"/>
      <c r="O445" s="159"/>
      <c r="P445" s="159"/>
      <c r="Q445" s="159"/>
      <c r="R445" s="159"/>
      <c r="S445" s="159"/>
      <c r="T445" s="159"/>
      <c r="U445" s="159"/>
      <c r="V445" s="159"/>
      <c r="W445" s="159"/>
      <c r="X445" s="159"/>
      <c r="Y445" s="159"/>
      <c r="Z445" s="159"/>
      <c r="AA445" s="159"/>
      <c r="AB445" s="159"/>
    </row>
    <row r="446">
      <c r="A446" s="159"/>
      <c r="B446" s="159"/>
      <c r="C446" s="159"/>
      <c r="D446" s="159"/>
      <c r="E446" s="159"/>
      <c r="F446" s="159"/>
      <c r="G446" s="159"/>
      <c r="H446" s="159"/>
      <c r="I446" s="159"/>
      <c r="J446" s="159"/>
      <c r="K446" s="159"/>
      <c r="L446" s="159"/>
      <c r="N446" s="159"/>
      <c r="O446" s="159"/>
      <c r="P446" s="159"/>
      <c r="Q446" s="159"/>
      <c r="R446" s="159"/>
      <c r="S446" s="159"/>
      <c r="T446" s="159"/>
      <c r="U446" s="159"/>
      <c r="V446" s="159"/>
      <c r="W446" s="159"/>
      <c r="X446" s="159"/>
      <c r="Y446" s="159"/>
      <c r="Z446" s="159"/>
      <c r="AA446" s="159"/>
      <c r="AB446" s="159"/>
    </row>
    <row r="447">
      <c r="A447" s="159"/>
      <c r="B447" s="159"/>
      <c r="C447" s="159"/>
      <c r="D447" s="159"/>
      <c r="E447" s="159"/>
      <c r="F447" s="159"/>
      <c r="G447" s="159"/>
      <c r="H447" s="159"/>
      <c r="I447" s="159"/>
      <c r="J447" s="159"/>
      <c r="K447" s="159"/>
      <c r="L447" s="159"/>
      <c r="N447" s="159"/>
      <c r="O447" s="159"/>
      <c r="P447" s="159"/>
      <c r="Q447" s="159"/>
      <c r="R447" s="159"/>
      <c r="S447" s="159"/>
      <c r="T447" s="159"/>
      <c r="U447" s="159"/>
      <c r="V447" s="159"/>
      <c r="W447" s="159"/>
      <c r="X447" s="159"/>
      <c r="Y447" s="159"/>
      <c r="Z447" s="159"/>
      <c r="AA447" s="159"/>
      <c r="AB447" s="159"/>
    </row>
    <row r="448">
      <c r="A448" s="159"/>
      <c r="B448" s="159"/>
      <c r="C448" s="159"/>
      <c r="D448" s="159"/>
      <c r="E448" s="159"/>
      <c r="F448" s="159"/>
      <c r="G448" s="159"/>
      <c r="H448" s="159"/>
      <c r="I448" s="159"/>
      <c r="J448" s="159"/>
      <c r="K448" s="159"/>
      <c r="L448" s="159"/>
      <c r="N448" s="159"/>
      <c r="O448" s="159"/>
      <c r="P448" s="159"/>
      <c r="Q448" s="159"/>
      <c r="R448" s="159"/>
      <c r="S448" s="159"/>
      <c r="T448" s="159"/>
      <c r="U448" s="159"/>
      <c r="V448" s="159"/>
      <c r="W448" s="159"/>
      <c r="X448" s="159"/>
      <c r="Y448" s="159"/>
      <c r="Z448" s="159"/>
      <c r="AA448" s="159"/>
      <c r="AB448" s="159"/>
    </row>
    <row r="449">
      <c r="A449" s="159"/>
      <c r="B449" s="159"/>
      <c r="C449" s="159"/>
      <c r="D449" s="159"/>
      <c r="E449" s="159"/>
      <c r="F449" s="159"/>
      <c r="G449" s="159"/>
      <c r="H449" s="159"/>
      <c r="I449" s="159"/>
      <c r="J449" s="159"/>
      <c r="K449" s="159"/>
      <c r="L449" s="159"/>
      <c r="N449" s="159"/>
      <c r="O449" s="159"/>
      <c r="P449" s="159"/>
      <c r="Q449" s="159"/>
      <c r="R449" s="159"/>
      <c r="S449" s="159"/>
      <c r="T449" s="159"/>
      <c r="U449" s="159"/>
      <c r="V449" s="159"/>
      <c r="W449" s="159"/>
      <c r="X449" s="159"/>
      <c r="Y449" s="159"/>
      <c r="Z449" s="159"/>
      <c r="AA449" s="159"/>
      <c r="AB449" s="159"/>
    </row>
    <row r="450">
      <c r="A450" s="159"/>
      <c r="B450" s="159"/>
      <c r="C450" s="159"/>
      <c r="D450" s="159"/>
      <c r="E450" s="159"/>
      <c r="F450" s="159"/>
      <c r="G450" s="159"/>
      <c r="H450" s="159"/>
      <c r="I450" s="159"/>
      <c r="J450" s="159"/>
      <c r="K450" s="159"/>
      <c r="L450" s="159"/>
      <c r="N450" s="159"/>
      <c r="O450" s="159"/>
      <c r="P450" s="159"/>
      <c r="Q450" s="159"/>
      <c r="R450" s="159"/>
      <c r="S450" s="159"/>
      <c r="T450" s="159"/>
      <c r="U450" s="159"/>
      <c r="V450" s="159"/>
      <c r="W450" s="159"/>
      <c r="X450" s="159"/>
      <c r="Y450" s="159"/>
      <c r="Z450" s="159"/>
      <c r="AA450" s="159"/>
      <c r="AB450" s="159"/>
    </row>
    <row r="451">
      <c r="A451" s="159"/>
      <c r="B451" s="159"/>
      <c r="C451" s="159"/>
      <c r="D451" s="159"/>
      <c r="E451" s="159"/>
      <c r="F451" s="159"/>
      <c r="G451" s="159"/>
      <c r="H451" s="159"/>
      <c r="I451" s="159"/>
      <c r="J451" s="159"/>
      <c r="K451" s="159"/>
      <c r="L451" s="159"/>
      <c r="N451" s="159"/>
      <c r="O451" s="159"/>
      <c r="P451" s="159"/>
      <c r="Q451" s="159"/>
      <c r="R451" s="159"/>
      <c r="S451" s="159"/>
      <c r="T451" s="159"/>
      <c r="U451" s="159"/>
      <c r="V451" s="159"/>
      <c r="W451" s="159"/>
      <c r="X451" s="159"/>
      <c r="Y451" s="159"/>
      <c r="Z451" s="159"/>
      <c r="AA451" s="159"/>
      <c r="AB451" s="159"/>
    </row>
    <row r="452">
      <c r="A452" s="159"/>
      <c r="B452" s="159"/>
      <c r="C452" s="159"/>
      <c r="D452" s="159"/>
      <c r="E452" s="159"/>
      <c r="F452" s="159"/>
      <c r="G452" s="159"/>
      <c r="H452" s="159"/>
      <c r="I452" s="159"/>
      <c r="J452" s="159"/>
      <c r="K452" s="159"/>
      <c r="L452" s="159"/>
      <c r="N452" s="159"/>
      <c r="O452" s="159"/>
      <c r="P452" s="159"/>
      <c r="Q452" s="159"/>
      <c r="R452" s="159"/>
      <c r="S452" s="159"/>
      <c r="T452" s="159"/>
      <c r="U452" s="159"/>
      <c r="V452" s="159"/>
      <c r="W452" s="159"/>
      <c r="X452" s="159"/>
      <c r="Y452" s="159"/>
      <c r="Z452" s="159"/>
      <c r="AA452" s="159"/>
      <c r="AB452" s="159"/>
    </row>
    <row r="453">
      <c r="A453" s="159"/>
      <c r="B453" s="159"/>
      <c r="C453" s="159"/>
      <c r="D453" s="159"/>
      <c r="E453" s="159"/>
      <c r="F453" s="159"/>
      <c r="G453" s="159"/>
      <c r="H453" s="159"/>
      <c r="I453" s="159"/>
      <c r="J453" s="159"/>
      <c r="K453" s="159"/>
      <c r="L453" s="159"/>
      <c r="N453" s="159"/>
      <c r="O453" s="159"/>
      <c r="P453" s="159"/>
      <c r="Q453" s="159"/>
      <c r="R453" s="159"/>
      <c r="S453" s="159"/>
      <c r="T453" s="159"/>
      <c r="U453" s="159"/>
      <c r="V453" s="159"/>
      <c r="W453" s="159"/>
      <c r="X453" s="159"/>
      <c r="Y453" s="159"/>
      <c r="Z453" s="159"/>
      <c r="AA453" s="159"/>
      <c r="AB453" s="159"/>
    </row>
    <row r="454">
      <c r="A454" s="159"/>
      <c r="B454" s="159"/>
      <c r="C454" s="159"/>
      <c r="D454" s="159"/>
      <c r="E454" s="159"/>
      <c r="F454" s="159"/>
      <c r="G454" s="159"/>
      <c r="H454" s="159"/>
      <c r="I454" s="159"/>
      <c r="J454" s="159"/>
      <c r="K454" s="159"/>
      <c r="L454" s="159"/>
      <c r="N454" s="159"/>
      <c r="O454" s="159"/>
      <c r="P454" s="159"/>
      <c r="Q454" s="159"/>
      <c r="R454" s="159"/>
      <c r="S454" s="159"/>
      <c r="T454" s="159"/>
      <c r="U454" s="159"/>
      <c r="V454" s="159"/>
      <c r="W454" s="159"/>
      <c r="X454" s="159"/>
      <c r="Y454" s="159"/>
      <c r="Z454" s="159"/>
      <c r="AA454" s="159"/>
      <c r="AB454" s="159"/>
    </row>
    <row r="455">
      <c r="A455" s="159"/>
      <c r="B455" s="159"/>
      <c r="C455" s="159"/>
      <c r="D455" s="159"/>
      <c r="E455" s="159"/>
      <c r="F455" s="159"/>
      <c r="G455" s="159"/>
      <c r="H455" s="159"/>
      <c r="I455" s="159"/>
      <c r="J455" s="159"/>
      <c r="K455" s="159"/>
      <c r="L455" s="159"/>
      <c r="N455" s="159"/>
      <c r="O455" s="159"/>
      <c r="P455" s="159"/>
      <c r="Q455" s="159"/>
      <c r="R455" s="159"/>
      <c r="S455" s="159"/>
      <c r="T455" s="159"/>
      <c r="U455" s="159"/>
      <c r="V455" s="159"/>
      <c r="W455" s="159"/>
      <c r="X455" s="159"/>
      <c r="Y455" s="159"/>
      <c r="Z455" s="159"/>
      <c r="AA455" s="159"/>
      <c r="AB455" s="159"/>
    </row>
    <row r="456">
      <c r="A456" s="159"/>
      <c r="B456" s="159"/>
      <c r="C456" s="159"/>
      <c r="D456" s="159"/>
      <c r="E456" s="159"/>
      <c r="F456" s="159"/>
      <c r="G456" s="159"/>
      <c r="H456" s="159"/>
      <c r="I456" s="159"/>
      <c r="J456" s="159"/>
      <c r="K456" s="159"/>
      <c r="L456" s="159"/>
      <c r="N456" s="159"/>
      <c r="O456" s="159"/>
      <c r="P456" s="159"/>
      <c r="Q456" s="159"/>
      <c r="R456" s="159"/>
      <c r="S456" s="159"/>
      <c r="T456" s="159"/>
      <c r="U456" s="159"/>
      <c r="V456" s="159"/>
      <c r="W456" s="159"/>
      <c r="X456" s="159"/>
      <c r="Y456" s="159"/>
      <c r="Z456" s="159"/>
      <c r="AA456" s="159"/>
      <c r="AB456" s="159"/>
    </row>
    <row r="457">
      <c r="A457" s="159"/>
      <c r="B457" s="159"/>
      <c r="C457" s="159"/>
      <c r="D457" s="159"/>
      <c r="E457" s="159"/>
      <c r="F457" s="159"/>
      <c r="G457" s="159"/>
      <c r="H457" s="159"/>
      <c r="I457" s="159"/>
      <c r="J457" s="159"/>
      <c r="K457" s="159"/>
      <c r="L457" s="159"/>
      <c r="N457" s="159"/>
      <c r="O457" s="159"/>
      <c r="P457" s="159"/>
      <c r="Q457" s="159"/>
      <c r="R457" s="159"/>
      <c r="S457" s="159"/>
      <c r="T457" s="159"/>
      <c r="U457" s="159"/>
      <c r="V457" s="159"/>
      <c r="W457" s="159"/>
      <c r="X457" s="159"/>
      <c r="Y457" s="159"/>
      <c r="Z457" s="159"/>
      <c r="AA457" s="159"/>
      <c r="AB457" s="159"/>
    </row>
    <row r="458">
      <c r="A458" s="159"/>
      <c r="B458" s="159"/>
      <c r="C458" s="159"/>
      <c r="D458" s="159"/>
      <c r="E458" s="159"/>
      <c r="F458" s="159"/>
      <c r="G458" s="159"/>
      <c r="H458" s="159"/>
      <c r="I458" s="159"/>
      <c r="J458" s="159"/>
      <c r="K458" s="159"/>
      <c r="L458" s="159"/>
      <c r="N458" s="159"/>
      <c r="O458" s="159"/>
      <c r="P458" s="159"/>
      <c r="Q458" s="159"/>
      <c r="R458" s="159"/>
      <c r="S458" s="159"/>
      <c r="T458" s="159"/>
      <c r="U458" s="159"/>
      <c r="V458" s="159"/>
      <c r="W458" s="159"/>
      <c r="X458" s="159"/>
      <c r="Y458" s="159"/>
      <c r="Z458" s="159"/>
      <c r="AA458" s="159"/>
      <c r="AB458" s="159"/>
    </row>
    <row r="459">
      <c r="A459" s="159"/>
      <c r="B459" s="159"/>
      <c r="C459" s="159"/>
      <c r="D459" s="159"/>
      <c r="E459" s="159"/>
      <c r="F459" s="159"/>
      <c r="G459" s="159"/>
      <c r="H459" s="159"/>
      <c r="I459" s="159"/>
      <c r="J459" s="159"/>
      <c r="K459" s="159"/>
      <c r="L459" s="159"/>
      <c r="N459" s="159"/>
      <c r="O459" s="159"/>
      <c r="P459" s="159"/>
      <c r="Q459" s="159"/>
      <c r="R459" s="159"/>
      <c r="S459" s="159"/>
      <c r="T459" s="159"/>
      <c r="U459" s="159"/>
      <c r="V459" s="159"/>
      <c r="W459" s="159"/>
      <c r="X459" s="159"/>
      <c r="Y459" s="159"/>
      <c r="Z459" s="159"/>
      <c r="AA459" s="159"/>
      <c r="AB459" s="159"/>
    </row>
    <row r="460">
      <c r="A460" s="159"/>
      <c r="B460" s="159"/>
      <c r="C460" s="159"/>
      <c r="D460" s="159"/>
      <c r="E460" s="159"/>
      <c r="F460" s="159"/>
      <c r="G460" s="159"/>
      <c r="H460" s="159"/>
      <c r="I460" s="159"/>
      <c r="J460" s="159"/>
      <c r="K460" s="159"/>
      <c r="L460" s="159"/>
      <c r="N460" s="159"/>
      <c r="O460" s="159"/>
      <c r="P460" s="159"/>
      <c r="Q460" s="159"/>
      <c r="R460" s="159"/>
      <c r="S460" s="159"/>
      <c r="T460" s="159"/>
      <c r="U460" s="159"/>
      <c r="V460" s="159"/>
      <c r="W460" s="159"/>
      <c r="X460" s="159"/>
      <c r="Y460" s="159"/>
      <c r="Z460" s="159"/>
      <c r="AA460" s="159"/>
      <c r="AB460" s="159"/>
    </row>
    <row r="461">
      <c r="A461" s="159"/>
      <c r="B461" s="159"/>
      <c r="C461" s="159"/>
      <c r="D461" s="159"/>
      <c r="E461" s="159"/>
      <c r="F461" s="159"/>
      <c r="G461" s="159"/>
      <c r="H461" s="159"/>
      <c r="I461" s="159"/>
      <c r="J461" s="159"/>
      <c r="K461" s="159"/>
      <c r="L461" s="159"/>
      <c r="N461" s="159"/>
      <c r="O461" s="159"/>
      <c r="P461" s="159"/>
      <c r="Q461" s="159"/>
      <c r="R461" s="159"/>
      <c r="S461" s="159"/>
      <c r="T461" s="159"/>
      <c r="U461" s="159"/>
      <c r="V461" s="159"/>
      <c r="W461" s="159"/>
      <c r="X461" s="159"/>
      <c r="Y461" s="159"/>
      <c r="Z461" s="159"/>
      <c r="AA461" s="159"/>
      <c r="AB461" s="159"/>
    </row>
    <row r="462">
      <c r="A462" s="159"/>
      <c r="B462" s="159"/>
      <c r="C462" s="159"/>
      <c r="D462" s="159"/>
      <c r="E462" s="159"/>
      <c r="F462" s="159"/>
      <c r="G462" s="159"/>
      <c r="H462" s="159"/>
      <c r="I462" s="159"/>
      <c r="J462" s="159"/>
      <c r="K462" s="159"/>
      <c r="L462" s="159"/>
      <c r="N462" s="159"/>
      <c r="O462" s="159"/>
      <c r="P462" s="159"/>
      <c r="Q462" s="159"/>
      <c r="R462" s="159"/>
      <c r="S462" s="159"/>
      <c r="T462" s="159"/>
      <c r="U462" s="159"/>
      <c r="V462" s="159"/>
      <c r="W462" s="159"/>
      <c r="X462" s="159"/>
      <c r="Y462" s="159"/>
      <c r="Z462" s="159"/>
      <c r="AA462" s="159"/>
      <c r="AB462" s="159"/>
    </row>
    <row r="463">
      <c r="A463" s="159"/>
      <c r="B463" s="159"/>
      <c r="C463" s="159"/>
      <c r="D463" s="159"/>
      <c r="E463" s="159"/>
      <c r="F463" s="159"/>
      <c r="G463" s="159"/>
      <c r="H463" s="159"/>
      <c r="I463" s="159"/>
      <c r="J463" s="159"/>
      <c r="K463" s="159"/>
      <c r="L463" s="159"/>
      <c r="N463" s="159"/>
      <c r="O463" s="159"/>
      <c r="P463" s="159"/>
      <c r="Q463" s="159"/>
      <c r="R463" s="159"/>
      <c r="S463" s="159"/>
      <c r="T463" s="159"/>
      <c r="U463" s="159"/>
      <c r="V463" s="159"/>
      <c r="W463" s="159"/>
      <c r="X463" s="159"/>
      <c r="Y463" s="159"/>
      <c r="Z463" s="159"/>
      <c r="AA463" s="159"/>
      <c r="AB463" s="159"/>
    </row>
    <row r="464">
      <c r="A464" s="159"/>
      <c r="B464" s="159"/>
      <c r="C464" s="159"/>
      <c r="D464" s="159"/>
      <c r="E464" s="159"/>
      <c r="F464" s="159"/>
      <c r="G464" s="159"/>
      <c r="H464" s="159"/>
      <c r="I464" s="159"/>
      <c r="J464" s="159"/>
      <c r="K464" s="159"/>
      <c r="L464" s="159"/>
      <c r="N464" s="159"/>
      <c r="O464" s="159"/>
      <c r="P464" s="159"/>
      <c r="Q464" s="159"/>
      <c r="R464" s="159"/>
      <c r="S464" s="159"/>
      <c r="T464" s="159"/>
      <c r="U464" s="159"/>
      <c r="V464" s="159"/>
      <c r="W464" s="159"/>
      <c r="X464" s="159"/>
      <c r="Y464" s="159"/>
      <c r="Z464" s="159"/>
      <c r="AA464" s="159"/>
      <c r="AB464" s="159"/>
    </row>
    <row r="465">
      <c r="A465" s="159"/>
      <c r="B465" s="159"/>
      <c r="C465" s="159"/>
      <c r="D465" s="159"/>
      <c r="E465" s="159"/>
      <c r="F465" s="159"/>
      <c r="G465" s="159"/>
      <c r="H465" s="159"/>
      <c r="I465" s="159"/>
      <c r="J465" s="159"/>
      <c r="K465" s="159"/>
      <c r="L465" s="159"/>
      <c r="N465" s="159"/>
      <c r="O465" s="159"/>
      <c r="P465" s="159"/>
      <c r="Q465" s="159"/>
      <c r="R465" s="159"/>
      <c r="S465" s="159"/>
      <c r="T465" s="159"/>
      <c r="U465" s="159"/>
      <c r="V465" s="159"/>
      <c r="W465" s="159"/>
      <c r="X465" s="159"/>
      <c r="Y465" s="159"/>
      <c r="Z465" s="159"/>
      <c r="AA465" s="159"/>
      <c r="AB465" s="159"/>
    </row>
    <row r="466">
      <c r="A466" s="159"/>
      <c r="B466" s="159"/>
      <c r="C466" s="159"/>
      <c r="D466" s="159"/>
      <c r="E466" s="159"/>
      <c r="F466" s="159"/>
      <c r="G466" s="159"/>
      <c r="H466" s="159"/>
      <c r="I466" s="159"/>
      <c r="J466" s="159"/>
      <c r="K466" s="159"/>
      <c r="L466" s="159"/>
      <c r="N466" s="159"/>
      <c r="O466" s="159"/>
      <c r="P466" s="159"/>
      <c r="Q466" s="159"/>
      <c r="R466" s="159"/>
      <c r="S466" s="159"/>
      <c r="T466" s="159"/>
      <c r="U466" s="159"/>
      <c r="V466" s="159"/>
      <c r="W466" s="159"/>
      <c r="X466" s="159"/>
      <c r="Y466" s="159"/>
      <c r="Z466" s="159"/>
      <c r="AA466" s="159"/>
      <c r="AB466" s="159"/>
    </row>
    <row r="467">
      <c r="A467" s="159"/>
      <c r="B467" s="159"/>
      <c r="C467" s="159"/>
      <c r="D467" s="159"/>
      <c r="E467" s="159"/>
      <c r="F467" s="159"/>
      <c r="G467" s="159"/>
      <c r="H467" s="159"/>
      <c r="I467" s="159"/>
      <c r="J467" s="159"/>
      <c r="K467" s="159"/>
      <c r="L467" s="159"/>
      <c r="N467" s="159"/>
      <c r="O467" s="159"/>
      <c r="P467" s="159"/>
      <c r="Q467" s="159"/>
      <c r="R467" s="159"/>
      <c r="S467" s="159"/>
      <c r="T467" s="159"/>
      <c r="U467" s="159"/>
      <c r="V467" s="159"/>
      <c r="W467" s="159"/>
      <c r="X467" s="159"/>
      <c r="Y467" s="159"/>
      <c r="Z467" s="159"/>
      <c r="AA467" s="159"/>
      <c r="AB467" s="159"/>
    </row>
    <row r="468">
      <c r="A468" s="159"/>
      <c r="B468" s="159"/>
      <c r="C468" s="159"/>
      <c r="D468" s="159"/>
      <c r="E468" s="159"/>
      <c r="F468" s="159"/>
      <c r="G468" s="159"/>
      <c r="H468" s="159"/>
      <c r="I468" s="159"/>
      <c r="J468" s="159"/>
      <c r="K468" s="159"/>
      <c r="L468" s="159"/>
      <c r="N468" s="159"/>
      <c r="O468" s="159"/>
      <c r="P468" s="159"/>
      <c r="Q468" s="159"/>
      <c r="R468" s="159"/>
      <c r="S468" s="159"/>
      <c r="T468" s="159"/>
      <c r="U468" s="159"/>
      <c r="V468" s="159"/>
      <c r="W468" s="159"/>
      <c r="X468" s="159"/>
      <c r="Y468" s="159"/>
      <c r="Z468" s="159"/>
      <c r="AA468" s="159"/>
      <c r="AB468" s="159"/>
    </row>
    <row r="469">
      <c r="A469" s="159"/>
      <c r="B469" s="159"/>
      <c r="C469" s="159"/>
      <c r="D469" s="159"/>
      <c r="E469" s="159"/>
      <c r="F469" s="159"/>
      <c r="G469" s="159"/>
      <c r="H469" s="159"/>
      <c r="I469" s="159"/>
      <c r="J469" s="159"/>
      <c r="K469" s="159"/>
      <c r="L469" s="159"/>
      <c r="N469" s="159"/>
      <c r="O469" s="159"/>
      <c r="P469" s="159"/>
      <c r="Q469" s="159"/>
      <c r="R469" s="159"/>
      <c r="S469" s="159"/>
      <c r="T469" s="159"/>
      <c r="U469" s="159"/>
      <c r="V469" s="159"/>
      <c r="W469" s="159"/>
      <c r="X469" s="159"/>
      <c r="Y469" s="159"/>
      <c r="Z469" s="159"/>
      <c r="AA469" s="159"/>
      <c r="AB469" s="159"/>
    </row>
    <row r="470">
      <c r="A470" s="159"/>
      <c r="B470" s="159"/>
      <c r="C470" s="159"/>
      <c r="D470" s="159"/>
      <c r="E470" s="159"/>
      <c r="F470" s="159"/>
      <c r="G470" s="159"/>
      <c r="H470" s="159"/>
      <c r="I470" s="159"/>
      <c r="J470" s="159"/>
      <c r="K470" s="159"/>
      <c r="L470" s="159"/>
      <c r="N470" s="159"/>
      <c r="O470" s="159"/>
      <c r="P470" s="159"/>
      <c r="Q470" s="159"/>
      <c r="R470" s="159"/>
      <c r="S470" s="159"/>
      <c r="T470" s="159"/>
      <c r="U470" s="159"/>
      <c r="V470" s="159"/>
      <c r="W470" s="159"/>
      <c r="X470" s="159"/>
      <c r="Y470" s="159"/>
      <c r="Z470" s="159"/>
      <c r="AA470" s="159"/>
      <c r="AB470" s="159"/>
    </row>
    <row r="471">
      <c r="A471" s="159"/>
      <c r="B471" s="159"/>
      <c r="C471" s="159"/>
      <c r="D471" s="159"/>
      <c r="E471" s="159"/>
      <c r="F471" s="159"/>
      <c r="G471" s="159"/>
      <c r="H471" s="159"/>
      <c r="I471" s="159"/>
      <c r="J471" s="159"/>
      <c r="K471" s="159"/>
      <c r="L471" s="159"/>
      <c r="N471" s="159"/>
      <c r="O471" s="159"/>
      <c r="P471" s="159"/>
      <c r="Q471" s="159"/>
      <c r="R471" s="159"/>
      <c r="S471" s="159"/>
      <c r="T471" s="159"/>
      <c r="U471" s="159"/>
      <c r="V471" s="159"/>
      <c r="W471" s="159"/>
      <c r="X471" s="159"/>
      <c r="Y471" s="159"/>
      <c r="Z471" s="159"/>
      <c r="AA471" s="159"/>
      <c r="AB471" s="159"/>
    </row>
    <row r="472">
      <c r="A472" s="159"/>
      <c r="B472" s="159"/>
      <c r="C472" s="159"/>
      <c r="D472" s="159"/>
      <c r="E472" s="159"/>
      <c r="F472" s="159"/>
      <c r="G472" s="159"/>
      <c r="H472" s="159"/>
      <c r="I472" s="159"/>
      <c r="J472" s="159"/>
      <c r="K472" s="159"/>
      <c r="L472" s="159"/>
      <c r="N472" s="159"/>
      <c r="O472" s="159"/>
      <c r="P472" s="159"/>
      <c r="Q472" s="159"/>
      <c r="R472" s="159"/>
      <c r="S472" s="159"/>
      <c r="T472" s="159"/>
      <c r="U472" s="159"/>
      <c r="V472" s="159"/>
      <c r="W472" s="159"/>
      <c r="X472" s="159"/>
      <c r="Y472" s="159"/>
      <c r="Z472" s="159"/>
      <c r="AA472" s="159"/>
      <c r="AB472" s="159"/>
    </row>
    <row r="473">
      <c r="A473" s="159"/>
      <c r="B473" s="159"/>
      <c r="C473" s="159"/>
      <c r="D473" s="159"/>
      <c r="E473" s="159"/>
      <c r="F473" s="159"/>
      <c r="G473" s="159"/>
      <c r="H473" s="159"/>
      <c r="I473" s="159"/>
      <c r="J473" s="159"/>
      <c r="K473" s="159"/>
      <c r="L473" s="159"/>
      <c r="N473" s="159"/>
      <c r="O473" s="159"/>
      <c r="P473" s="159"/>
      <c r="Q473" s="159"/>
      <c r="R473" s="159"/>
      <c r="S473" s="159"/>
      <c r="T473" s="159"/>
      <c r="U473" s="159"/>
      <c r="V473" s="159"/>
      <c r="W473" s="159"/>
      <c r="X473" s="159"/>
      <c r="Y473" s="159"/>
      <c r="Z473" s="159"/>
      <c r="AA473" s="159"/>
      <c r="AB473" s="159"/>
    </row>
    <row r="474">
      <c r="A474" s="159"/>
      <c r="B474" s="159"/>
      <c r="C474" s="159"/>
      <c r="D474" s="159"/>
      <c r="E474" s="159"/>
      <c r="F474" s="159"/>
      <c r="G474" s="159"/>
      <c r="H474" s="159"/>
      <c r="I474" s="159"/>
      <c r="J474" s="159"/>
      <c r="K474" s="159"/>
      <c r="L474" s="159"/>
      <c r="N474" s="159"/>
      <c r="O474" s="159"/>
      <c r="P474" s="159"/>
      <c r="Q474" s="159"/>
      <c r="R474" s="159"/>
      <c r="S474" s="159"/>
      <c r="T474" s="159"/>
      <c r="U474" s="159"/>
      <c r="V474" s="159"/>
      <c r="W474" s="159"/>
      <c r="X474" s="159"/>
      <c r="Y474" s="159"/>
      <c r="Z474" s="159"/>
      <c r="AA474" s="159"/>
      <c r="AB474" s="159"/>
    </row>
    <row r="475">
      <c r="A475" s="159"/>
      <c r="B475" s="159"/>
      <c r="C475" s="159"/>
      <c r="D475" s="159"/>
      <c r="E475" s="159"/>
      <c r="F475" s="159"/>
      <c r="G475" s="159"/>
      <c r="H475" s="159"/>
      <c r="I475" s="159"/>
      <c r="J475" s="159"/>
      <c r="K475" s="159"/>
      <c r="L475" s="159"/>
      <c r="N475" s="159"/>
      <c r="O475" s="159"/>
      <c r="P475" s="159"/>
      <c r="Q475" s="159"/>
      <c r="R475" s="159"/>
      <c r="S475" s="159"/>
      <c r="T475" s="159"/>
      <c r="U475" s="159"/>
      <c r="V475" s="159"/>
      <c r="W475" s="159"/>
      <c r="X475" s="159"/>
      <c r="Y475" s="159"/>
      <c r="Z475" s="159"/>
      <c r="AA475" s="159"/>
      <c r="AB475" s="159"/>
    </row>
    <row r="476">
      <c r="A476" s="159"/>
      <c r="B476" s="159"/>
      <c r="C476" s="159"/>
      <c r="D476" s="159"/>
      <c r="E476" s="159"/>
      <c r="F476" s="159"/>
      <c r="G476" s="159"/>
      <c r="H476" s="159"/>
      <c r="I476" s="159"/>
      <c r="J476" s="159"/>
      <c r="K476" s="159"/>
      <c r="L476" s="159"/>
      <c r="N476" s="159"/>
      <c r="O476" s="159"/>
      <c r="P476" s="159"/>
      <c r="Q476" s="159"/>
      <c r="R476" s="159"/>
      <c r="S476" s="159"/>
      <c r="T476" s="159"/>
      <c r="U476" s="159"/>
      <c r="V476" s="159"/>
      <c r="W476" s="159"/>
      <c r="X476" s="159"/>
      <c r="Y476" s="159"/>
      <c r="Z476" s="159"/>
      <c r="AA476" s="159"/>
      <c r="AB476" s="159"/>
    </row>
    <row r="477">
      <c r="A477" s="159"/>
      <c r="B477" s="159"/>
      <c r="C477" s="159"/>
      <c r="D477" s="159"/>
      <c r="E477" s="159"/>
      <c r="F477" s="159"/>
      <c r="G477" s="159"/>
      <c r="H477" s="159"/>
      <c r="I477" s="159"/>
      <c r="J477" s="159"/>
      <c r="K477" s="159"/>
      <c r="L477" s="159"/>
      <c r="N477" s="159"/>
      <c r="O477" s="159"/>
      <c r="P477" s="159"/>
      <c r="Q477" s="159"/>
      <c r="R477" s="159"/>
      <c r="S477" s="159"/>
      <c r="T477" s="159"/>
      <c r="U477" s="159"/>
      <c r="V477" s="159"/>
      <c r="W477" s="159"/>
      <c r="X477" s="159"/>
      <c r="Y477" s="159"/>
      <c r="Z477" s="159"/>
      <c r="AA477" s="159"/>
      <c r="AB477" s="159"/>
    </row>
    <row r="478">
      <c r="A478" s="159"/>
      <c r="B478" s="159"/>
      <c r="C478" s="159"/>
      <c r="D478" s="159"/>
      <c r="E478" s="159"/>
      <c r="F478" s="159"/>
      <c r="G478" s="159"/>
      <c r="H478" s="159"/>
      <c r="I478" s="159"/>
      <c r="J478" s="159"/>
      <c r="K478" s="159"/>
      <c r="L478" s="159"/>
      <c r="N478" s="159"/>
      <c r="O478" s="159"/>
      <c r="P478" s="159"/>
      <c r="Q478" s="159"/>
      <c r="R478" s="159"/>
      <c r="S478" s="159"/>
      <c r="T478" s="159"/>
      <c r="U478" s="159"/>
      <c r="V478" s="159"/>
      <c r="W478" s="159"/>
      <c r="X478" s="159"/>
      <c r="Y478" s="159"/>
      <c r="Z478" s="159"/>
      <c r="AA478" s="159"/>
      <c r="AB478" s="159"/>
    </row>
    <row r="479">
      <c r="A479" s="159"/>
      <c r="B479" s="159"/>
      <c r="C479" s="159"/>
      <c r="D479" s="159"/>
      <c r="E479" s="159"/>
      <c r="F479" s="159"/>
      <c r="G479" s="159"/>
      <c r="H479" s="159"/>
      <c r="I479" s="159"/>
      <c r="J479" s="159"/>
      <c r="K479" s="159"/>
      <c r="L479" s="159"/>
      <c r="N479" s="159"/>
      <c r="O479" s="159"/>
      <c r="P479" s="159"/>
      <c r="Q479" s="159"/>
      <c r="R479" s="159"/>
      <c r="S479" s="159"/>
      <c r="T479" s="159"/>
      <c r="U479" s="159"/>
      <c r="V479" s="159"/>
      <c r="W479" s="159"/>
      <c r="X479" s="159"/>
      <c r="Y479" s="159"/>
      <c r="Z479" s="159"/>
      <c r="AA479" s="159"/>
      <c r="AB479" s="159"/>
    </row>
    <row r="480">
      <c r="A480" s="159"/>
      <c r="B480" s="159"/>
      <c r="C480" s="159"/>
      <c r="D480" s="159"/>
      <c r="E480" s="159"/>
      <c r="F480" s="159"/>
      <c r="G480" s="159"/>
      <c r="H480" s="159"/>
      <c r="I480" s="159"/>
      <c r="J480" s="159"/>
      <c r="K480" s="159"/>
      <c r="L480" s="159"/>
      <c r="N480" s="159"/>
      <c r="O480" s="159"/>
      <c r="P480" s="159"/>
      <c r="Q480" s="159"/>
      <c r="R480" s="159"/>
      <c r="S480" s="159"/>
      <c r="T480" s="159"/>
      <c r="U480" s="159"/>
      <c r="V480" s="159"/>
      <c r="W480" s="159"/>
      <c r="X480" s="159"/>
      <c r="Y480" s="159"/>
      <c r="Z480" s="159"/>
      <c r="AA480" s="159"/>
      <c r="AB480" s="159"/>
    </row>
    <row r="481">
      <c r="A481" s="159"/>
      <c r="B481" s="159"/>
      <c r="C481" s="159"/>
      <c r="D481" s="159"/>
      <c r="E481" s="159"/>
      <c r="F481" s="159"/>
      <c r="G481" s="159"/>
      <c r="H481" s="159"/>
      <c r="I481" s="159"/>
      <c r="J481" s="159"/>
      <c r="K481" s="159"/>
      <c r="L481" s="159"/>
      <c r="N481" s="159"/>
      <c r="O481" s="159"/>
      <c r="P481" s="159"/>
      <c r="Q481" s="159"/>
      <c r="R481" s="159"/>
      <c r="S481" s="159"/>
      <c r="T481" s="159"/>
      <c r="U481" s="159"/>
      <c r="V481" s="159"/>
      <c r="W481" s="159"/>
      <c r="X481" s="159"/>
      <c r="Y481" s="159"/>
      <c r="Z481" s="159"/>
      <c r="AA481" s="159"/>
      <c r="AB481" s="159"/>
    </row>
    <row r="482">
      <c r="A482" s="159"/>
      <c r="B482" s="159"/>
      <c r="C482" s="159"/>
      <c r="D482" s="159"/>
      <c r="E482" s="159"/>
      <c r="F482" s="159"/>
      <c r="G482" s="159"/>
      <c r="H482" s="159"/>
      <c r="I482" s="159"/>
      <c r="J482" s="159"/>
      <c r="K482" s="159"/>
      <c r="L482" s="159"/>
      <c r="N482" s="159"/>
      <c r="O482" s="159"/>
      <c r="P482" s="159"/>
      <c r="Q482" s="159"/>
      <c r="R482" s="159"/>
      <c r="S482" s="159"/>
      <c r="T482" s="159"/>
      <c r="U482" s="159"/>
      <c r="V482" s="159"/>
      <c r="W482" s="159"/>
      <c r="X482" s="159"/>
      <c r="Y482" s="159"/>
      <c r="Z482" s="159"/>
      <c r="AA482" s="159"/>
      <c r="AB482" s="159"/>
    </row>
    <row r="483">
      <c r="A483" s="159"/>
      <c r="B483" s="159"/>
      <c r="C483" s="159"/>
      <c r="D483" s="159"/>
      <c r="E483" s="159"/>
      <c r="F483" s="159"/>
      <c r="G483" s="159"/>
      <c r="H483" s="159"/>
      <c r="I483" s="159"/>
      <c r="J483" s="159"/>
      <c r="K483" s="159"/>
      <c r="L483" s="159"/>
      <c r="N483" s="159"/>
      <c r="O483" s="159"/>
      <c r="P483" s="159"/>
      <c r="Q483" s="159"/>
      <c r="R483" s="159"/>
      <c r="S483" s="159"/>
      <c r="T483" s="159"/>
      <c r="U483" s="159"/>
      <c r="V483" s="159"/>
      <c r="W483" s="159"/>
      <c r="X483" s="159"/>
      <c r="Y483" s="159"/>
      <c r="Z483" s="159"/>
      <c r="AA483" s="159"/>
      <c r="AB483" s="159"/>
    </row>
    <row r="484">
      <c r="A484" s="159"/>
      <c r="B484" s="159"/>
      <c r="C484" s="159"/>
      <c r="D484" s="159"/>
      <c r="E484" s="159"/>
      <c r="F484" s="159"/>
      <c r="G484" s="159"/>
      <c r="H484" s="159"/>
      <c r="I484" s="159"/>
      <c r="J484" s="159"/>
      <c r="K484" s="159"/>
      <c r="L484" s="159"/>
      <c r="N484" s="159"/>
      <c r="O484" s="159"/>
      <c r="P484" s="159"/>
      <c r="Q484" s="159"/>
      <c r="R484" s="159"/>
      <c r="S484" s="159"/>
      <c r="T484" s="159"/>
      <c r="U484" s="159"/>
      <c r="V484" s="159"/>
      <c r="W484" s="159"/>
      <c r="X484" s="159"/>
      <c r="Y484" s="159"/>
      <c r="Z484" s="159"/>
      <c r="AA484" s="159"/>
      <c r="AB484" s="159"/>
    </row>
    <row r="485">
      <c r="A485" s="159"/>
      <c r="B485" s="159"/>
      <c r="C485" s="159"/>
      <c r="D485" s="159"/>
      <c r="E485" s="159"/>
      <c r="F485" s="159"/>
      <c r="G485" s="159"/>
      <c r="H485" s="159"/>
      <c r="I485" s="159"/>
      <c r="J485" s="159"/>
      <c r="K485" s="159"/>
      <c r="L485" s="159"/>
      <c r="N485" s="159"/>
      <c r="O485" s="159"/>
      <c r="P485" s="159"/>
      <c r="Q485" s="159"/>
      <c r="R485" s="159"/>
      <c r="S485" s="159"/>
      <c r="T485" s="159"/>
      <c r="U485" s="159"/>
      <c r="V485" s="159"/>
      <c r="W485" s="159"/>
      <c r="X485" s="159"/>
      <c r="Y485" s="159"/>
      <c r="Z485" s="159"/>
      <c r="AA485" s="159"/>
      <c r="AB485" s="159"/>
    </row>
    <row r="486">
      <c r="A486" s="159"/>
      <c r="B486" s="159"/>
      <c r="C486" s="159"/>
      <c r="D486" s="159"/>
      <c r="E486" s="159"/>
      <c r="F486" s="159"/>
      <c r="G486" s="159"/>
      <c r="H486" s="159"/>
      <c r="I486" s="159"/>
      <c r="J486" s="159"/>
      <c r="K486" s="159"/>
      <c r="L486" s="159"/>
      <c r="N486" s="159"/>
      <c r="O486" s="159"/>
      <c r="P486" s="159"/>
      <c r="Q486" s="159"/>
      <c r="R486" s="159"/>
      <c r="S486" s="159"/>
      <c r="T486" s="159"/>
      <c r="U486" s="159"/>
      <c r="V486" s="159"/>
      <c r="W486" s="159"/>
      <c r="X486" s="159"/>
      <c r="Y486" s="159"/>
      <c r="Z486" s="159"/>
      <c r="AA486" s="159"/>
      <c r="AB486" s="159"/>
    </row>
    <row r="487">
      <c r="A487" s="159"/>
      <c r="B487" s="159"/>
      <c r="C487" s="159"/>
      <c r="D487" s="159"/>
      <c r="E487" s="159"/>
      <c r="F487" s="159"/>
      <c r="G487" s="159"/>
      <c r="H487" s="159"/>
      <c r="I487" s="159"/>
      <c r="J487" s="159"/>
      <c r="K487" s="159"/>
      <c r="L487" s="159"/>
      <c r="N487" s="159"/>
      <c r="O487" s="159"/>
      <c r="P487" s="159"/>
      <c r="Q487" s="159"/>
      <c r="R487" s="159"/>
      <c r="S487" s="159"/>
      <c r="T487" s="159"/>
      <c r="U487" s="159"/>
      <c r="V487" s="159"/>
      <c r="W487" s="159"/>
      <c r="X487" s="159"/>
      <c r="Y487" s="159"/>
      <c r="Z487" s="159"/>
      <c r="AA487" s="159"/>
      <c r="AB487" s="159"/>
    </row>
    <row r="488">
      <c r="A488" s="159"/>
      <c r="B488" s="159"/>
      <c r="C488" s="159"/>
      <c r="D488" s="159"/>
      <c r="E488" s="159"/>
      <c r="F488" s="159"/>
      <c r="G488" s="159"/>
      <c r="H488" s="159"/>
      <c r="I488" s="159"/>
      <c r="J488" s="159"/>
      <c r="K488" s="159"/>
      <c r="L488" s="159"/>
      <c r="N488" s="159"/>
      <c r="O488" s="159"/>
      <c r="P488" s="159"/>
      <c r="Q488" s="159"/>
      <c r="R488" s="159"/>
      <c r="S488" s="159"/>
      <c r="T488" s="159"/>
      <c r="U488" s="159"/>
      <c r="V488" s="159"/>
      <c r="W488" s="159"/>
      <c r="X488" s="159"/>
      <c r="Y488" s="159"/>
      <c r="Z488" s="159"/>
      <c r="AA488" s="159"/>
      <c r="AB488" s="159"/>
    </row>
    <row r="489">
      <c r="A489" s="159"/>
      <c r="B489" s="159"/>
      <c r="C489" s="159"/>
      <c r="D489" s="159"/>
      <c r="E489" s="159"/>
      <c r="F489" s="159"/>
      <c r="G489" s="159"/>
      <c r="H489" s="159"/>
      <c r="I489" s="159"/>
      <c r="J489" s="159"/>
      <c r="K489" s="159"/>
      <c r="L489" s="159"/>
      <c r="N489" s="159"/>
      <c r="O489" s="159"/>
      <c r="P489" s="159"/>
      <c r="Q489" s="159"/>
      <c r="R489" s="159"/>
      <c r="S489" s="159"/>
      <c r="T489" s="159"/>
      <c r="U489" s="159"/>
      <c r="V489" s="159"/>
      <c r="W489" s="159"/>
      <c r="X489" s="159"/>
      <c r="Y489" s="159"/>
      <c r="Z489" s="159"/>
      <c r="AA489" s="159"/>
      <c r="AB489" s="159"/>
    </row>
    <row r="490">
      <c r="A490" s="159"/>
      <c r="B490" s="159"/>
      <c r="C490" s="159"/>
      <c r="D490" s="159"/>
      <c r="E490" s="159"/>
      <c r="F490" s="159"/>
      <c r="G490" s="159"/>
      <c r="H490" s="159"/>
      <c r="I490" s="159"/>
      <c r="J490" s="159"/>
      <c r="K490" s="159"/>
      <c r="L490" s="159"/>
      <c r="N490" s="159"/>
      <c r="O490" s="159"/>
      <c r="P490" s="159"/>
      <c r="Q490" s="159"/>
      <c r="R490" s="159"/>
      <c r="S490" s="159"/>
      <c r="T490" s="159"/>
      <c r="U490" s="159"/>
      <c r="V490" s="159"/>
      <c r="W490" s="159"/>
      <c r="X490" s="159"/>
      <c r="Y490" s="159"/>
      <c r="Z490" s="159"/>
      <c r="AA490" s="159"/>
      <c r="AB490" s="159"/>
    </row>
    <row r="491">
      <c r="A491" s="159"/>
      <c r="B491" s="159"/>
      <c r="C491" s="159"/>
      <c r="D491" s="159"/>
      <c r="E491" s="159"/>
      <c r="F491" s="159"/>
      <c r="G491" s="159"/>
      <c r="H491" s="159"/>
      <c r="I491" s="159"/>
      <c r="J491" s="159"/>
      <c r="K491" s="159"/>
      <c r="L491" s="159"/>
      <c r="N491" s="159"/>
      <c r="O491" s="159"/>
      <c r="P491" s="159"/>
      <c r="Q491" s="159"/>
      <c r="R491" s="159"/>
      <c r="S491" s="159"/>
      <c r="T491" s="159"/>
      <c r="U491" s="159"/>
      <c r="V491" s="159"/>
      <c r="W491" s="159"/>
      <c r="X491" s="159"/>
      <c r="Y491" s="159"/>
      <c r="Z491" s="159"/>
      <c r="AA491" s="159"/>
      <c r="AB491" s="159"/>
    </row>
    <row r="492">
      <c r="A492" s="159"/>
      <c r="B492" s="159"/>
      <c r="C492" s="159"/>
      <c r="D492" s="159"/>
      <c r="E492" s="159"/>
      <c r="F492" s="159"/>
      <c r="G492" s="159"/>
      <c r="H492" s="159"/>
      <c r="I492" s="159"/>
      <c r="J492" s="159"/>
      <c r="K492" s="159"/>
      <c r="L492" s="159"/>
      <c r="N492" s="159"/>
      <c r="O492" s="159"/>
      <c r="P492" s="159"/>
      <c r="Q492" s="159"/>
      <c r="R492" s="159"/>
      <c r="S492" s="159"/>
      <c r="T492" s="159"/>
      <c r="U492" s="159"/>
      <c r="V492" s="159"/>
      <c r="W492" s="159"/>
      <c r="X492" s="159"/>
      <c r="Y492" s="159"/>
      <c r="Z492" s="159"/>
      <c r="AA492" s="159"/>
      <c r="AB492" s="159"/>
    </row>
    <row r="493">
      <c r="A493" s="159"/>
      <c r="B493" s="159"/>
      <c r="C493" s="159"/>
      <c r="D493" s="159"/>
      <c r="E493" s="159"/>
      <c r="F493" s="159"/>
      <c r="G493" s="159"/>
      <c r="H493" s="159"/>
      <c r="I493" s="159"/>
      <c r="J493" s="159"/>
      <c r="K493" s="159"/>
      <c r="L493" s="159"/>
      <c r="N493" s="159"/>
      <c r="O493" s="159"/>
      <c r="P493" s="159"/>
      <c r="Q493" s="159"/>
      <c r="R493" s="159"/>
      <c r="S493" s="159"/>
      <c r="T493" s="159"/>
      <c r="U493" s="159"/>
      <c r="V493" s="159"/>
      <c r="W493" s="159"/>
      <c r="X493" s="159"/>
      <c r="Y493" s="159"/>
      <c r="Z493" s="159"/>
      <c r="AA493" s="159"/>
      <c r="AB493" s="159"/>
    </row>
    <row r="494">
      <c r="A494" s="159"/>
      <c r="B494" s="159"/>
      <c r="C494" s="159"/>
      <c r="D494" s="159"/>
      <c r="E494" s="159"/>
      <c r="F494" s="159"/>
      <c r="G494" s="159"/>
      <c r="H494" s="159"/>
      <c r="I494" s="159"/>
      <c r="J494" s="159"/>
      <c r="K494" s="159"/>
      <c r="L494" s="159"/>
      <c r="N494" s="159"/>
      <c r="O494" s="159"/>
      <c r="P494" s="159"/>
      <c r="Q494" s="159"/>
      <c r="R494" s="159"/>
      <c r="S494" s="159"/>
      <c r="T494" s="159"/>
      <c r="U494" s="159"/>
      <c r="V494" s="159"/>
      <c r="W494" s="159"/>
      <c r="X494" s="159"/>
      <c r="Y494" s="159"/>
      <c r="Z494" s="159"/>
      <c r="AA494" s="159"/>
      <c r="AB494" s="159"/>
    </row>
    <row r="495">
      <c r="A495" s="159"/>
      <c r="B495" s="159"/>
      <c r="C495" s="159"/>
      <c r="D495" s="159"/>
      <c r="E495" s="159"/>
      <c r="F495" s="159"/>
      <c r="G495" s="159"/>
      <c r="H495" s="159"/>
      <c r="I495" s="159"/>
      <c r="J495" s="159"/>
      <c r="K495" s="159"/>
      <c r="L495" s="159"/>
      <c r="N495" s="159"/>
      <c r="O495" s="159"/>
      <c r="P495" s="159"/>
      <c r="Q495" s="159"/>
      <c r="R495" s="159"/>
      <c r="S495" s="159"/>
      <c r="T495" s="159"/>
      <c r="U495" s="159"/>
      <c r="V495" s="159"/>
      <c r="W495" s="159"/>
      <c r="X495" s="159"/>
      <c r="Y495" s="159"/>
      <c r="Z495" s="159"/>
      <c r="AA495" s="159"/>
      <c r="AB495" s="159"/>
    </row>
    <row r="496">
      <c r="A496" s="159"/>
      <c r="B496" s="159"/>
      <c r="C496" s="159"/>
      <c r="D496" s="159"/>
      <c r="E496" s="159"/>
      <c r="F496" s="159"/>
      <c r="G496" s="159"/>
      <c r="H496" s="159"/>
      <c r="I496" s="159"/>
      <c r="J496" s="159"/>
      <c r="K496" s="159"/>
      <c r="L496" s="159"/>
      <c r="N496" s="159"/>
      <c r="O496" s="159"/>
      <c r="P496" s="159"/>
      <c r="Q496" s="159"/>
      <c r="R496" s="159"/>
      <c r="S496" s="159"/>
      <c r="T496" s="159"/>
      <c r="U496" s="159"/>
      <c r="V496" s="159"/>
      <c r="W496" s="159"/>
      <c r="X496" s="159"/>
      <c r="Y496" s="159"/>
      <c r="Z496" s="159"/>
      <c r="AA496" s="159"/>
      <c r="AB496" s="159"/>
    </row>
    <row r="497">
      <c r="A497" s="159"/>
      <c r="B497" s="159"/>
      <c r="C497" s="159"/>
      <c r="D497" s="159"/>
      <c r="E497" s="159"/>
      <c r="F497" s="159"/>
      <c r="G497" s="159"/>
      <c r="H497" s="159"/>
      <c r="I497" s="159"/>
      <c r="J497" s="159"/>
      <c r="K497" s="159"/>
      <c r="L497" s="159"/>
      <c r="N497" s="159"/>
      <c r="O497" s="159"/>
      <c r="P497" s="159"/>
      <c r="Q497" s="159"/>
      <c r="R497" s="159"/>
      <c r="S497" s="159"/>
      <c r="T497" s="159"/>
      <c r="U497" s="159"/>
      <c r="V497" s="159"/>
      <c r="W497" s="159"/>
      <c r="X497" s="159"/>
      <c r="Y497" s="159"/>
      <c r="Z497" s="159"/>
      <c r="AA497" s="159"/>
      <c r="AB497" s="159"/>
    </row>
    <row r="498">
      <c r="A498" s="159"/>
      <c r="B498" s="159"/>
      <c r="C498" s="159"/>
      <c r="D498" s="159"/>
      <c r="E498" s="159"/>
      <c r="F498" s="159"/>
      <c r="G498" s="159"/>
      <c r="H498" s="159"/>
      <c r="I498" s="159"/>
      <c r="J498" s="159"/>
      <c r="K498" s="159"/>
      <c r="L498" s="159"/>
      <c r="N498" s="159"/>
      <c r="O498" s="159"/>
      <c r="P498" s="159"/>
      <c r="Q498" s="159"/>
      <c r="R498" s="159"/>
      <c r="S498" s="159"/>
      <c r="T498" s="159"/>
      <c r="U498" s="159"/>
      <c r="V498" s="159"/>
      <c r="W498" s="159"/>
      <c r="X498" s="159"/>
      <c r="Y498" s="159"/>
      <c r="Z498" s="159"/>
      <c r="AA498" s="159"/>
      <c r="AB498" s="159"/>
    </row>
    <row r="499">
      <c r="A499" s="159"/>
      <c r="B499" s="159"/>
      <c r="C499" s="159"/>
      <c r="D499" s="159"/>
      <c r="E499" s="159"/>
      <c r="F499" s="159"/>
      <c r="G499" s="159"/>
      <c r="H499" s="159"/>
      <c r="I499" s="159"/>
      <c r="J499" s="159"/>
      <c r="K499" s="159"/>
      <c r="L499" s="159"/>
      <c r="N499" s="159"/>
      <c r="O499" s="159"/>
      <c r="P499" s="159"/>
      <c r="Q499" s="159"/>
      <c r="R499" s="159"/>
      <c r="S499" s="159"/>
      <c r="T499" s="159"/>
      <c r="U499" s="159"/>
      <c r="V499" s="159"/>
      <c r="W499" s="159"/>
      <c r="X499" s="159"/>
      <c r="Y499" s="159"/>
      <c r="Z499" s="159"/>
      <c r="AA499" s="159"/>
      <c r="AB499" s="159"/>
    </row>
    <row r="500">
      <c r="A500" s="159"/>
      <c r="B500" s="159"/>
      <c r="C500" s="159"/>
      <c r="D500" s="159"/>
      <c r="E500" s="159"/>
      <c r="F500" s="159"/>
      <c r="G500" s="159"/>
      <c r="H500" s="159"/>
      <c r="I500" s="159"/>
      <c r="J500" s="159"/>
      <c r="K500" s="159"/>
      <c r="L500" s="159"/>
      <c r="N500" s="159"/>
      <c r="O500" s="159"/>
      <c r="P500" s="159"/>
      <c r="Q500" s="159"/>
      <c r="R500" s="159"/>
      <c r="S500" s="159"/>
      <c r="T500" s="159"/>
      <c r="U500" s="159"/>
      <c r="V500" s="159"/>
      <c r="W500" s="159"/>
      <c r="X500" s="159"/>
      <c r="Y500" s="159"/>
      <c r="Z500" s="159"/>
      <c r="AA500" s="159"/>
      <c r="AB500" s="159"/>
    </row>
    <row r="501">
      <c r="A501" s="159"/>
      <c r="B501" s="159"/>
      <c r="C501" s="159"/>
      <c r="D501" s="159"/>
      <c r="E501" s="159"/>
      <c r="F501" s="159"/>
      <c r="G501" s="159"/>
      <c r="H501" s="159"/>
      <c r="I501" s="159"/>
      <c r="J501" s="159"/>
      <c r="K501" s="159"/>
      <c r="L501" s="159"/>
      <c r="N501" s="159"/>
      <c r="O501" s="159"/>
      <c r="P501" s="159"/>
      <c r="Q501" s="159"/>
      <c r="R501" s="159"/>
      <c r="S501" s="159"/>
      <c r="T501" s="159"/>
      <c r="U501" s="159"/>
      <c r="V501" s="159"/>
      <c r="W501" s="159"/>
      <c r="X501" s="159"/>
      <c r="Y501" s="159"/>
      <c r="Z501" s="159"/>
      <c r="AA501" s="159"/>
      <c r="AB501" s="159"/>
    </row>
    <row r="502">
      <c r="A502" s="159"/>
      <c r="B502" s="159"/>
      <c r="C502" s="159"/>
      <c r="D502" s="159"/>
      <c r="E502" s="159"/>
      <c r="F502" s="159"/>
      <c r="G502" s="159"/>
      <c r="H502" s="159"/>
      <c r="I502" s="159"/>
      <c r="J502" s="159"/>
      <c r="K502" s="159"/>
      <c r="L502" s="159"/>
      <c r="N502" s="159"/>
      <c r="O502" s="159"/>
      <c r="P502" s="159"/>
      <c r="Q502" s="159"/>
      <c r="R502" s="159"/>
      <c r="S502" s="159"/>
      <c r="T502" s="159"/>
      <c r="U502" s="159"/>
      <c r="V502" s="159"/>
      <c r="W502" s="159"/>
      <c r="X502" s="159"/>
      <c r="Y502" s="159"/>
      <c r="Z502" s="159"/>
      <c r="AA502" s="159"/>
      <c r="AB502" s="159"/>
    </row>
    <row r="503">
      <c r="A503" s="159"/>
      <c r="B503" s="159"/>
      <c r="C503" s="159"/>
      <c r="D503" s="159"/>
      <c r="E503" s="159"/>
      <c r="F503" s="159"/>
      <c r="G503" s="159"/>
      <c r="H503" s="159"/>
      <c r="I503" s="159"/>
      <c r="J503" s="159"/>
      <c r="K503" s="159"/>
      <c r="L503" s="159"/>
      <c r="N503" s="159"/>
      <c r="O503" s="159"/>
      <c r="P503" s="159"/>
      <c r="Q503" s="159"/>
      <c r="R503" s="159"/>
      <c r="S503" s="159"/>
      <c r="T503" s="159"/>
      <c r="U503" s="159"/>
      <c r="V503" s="159"/>
      <c r="W503" s="159"/>
      <c r="X503" s="159"/>
      <c r="Y503" s="159"/>
      <c r="Z503" s="159"/>
      <c r="AA503" s="159"/>
      <c r="AB503" s="159"/>
    </row>
    <row r="504">
      <c r="A504" s="159"/>
      <c r="B504" s="159"/>
      <c r="C504" s="159"/>
      <c r="D504" s="159"/>
      <c r="E504" s="159"/>
      <c r="F504" s="159"/>
      <c r="G504" s="159"/>
      <c r="H504" s="159"/>
      <c r="I504" s="159"/>
      <c r="J504" s="159"/>
      <c r="K504" s="159"/>
      <c r="L504" s="159"/>
      <c r="N504" s="159"/>
      <c r="O504" s="159"/>
      <c r="P504" s="159"/>
      <c r="Q504" s="159"/>
      <c r="R504" s="159"/>
      <c r="S504" s="159"/>
      <c r="T504" s="159"/>
      <c r="U504" s="159"/>
      <c r="V504" s="159"/>
      <c r="W504" s="159"/>
      <c r="X504" s="159"/>
      <c r="Y504" s="159"/>
      <c r="Z504" s="159"/>
      <c r="AA504" s="159"/>
      <c r="AB504" s="159"/>
    </row>
    <row r="505">
      <c r="A505" s="159"/>
      <c r="B505" s="159"/>
      <c r="C505" s="159"/>
      <c r="D505" s="159"/>
      <c r="E505" s="159"/>
      <c r="F505" s="159"/>
      <c r="G505" s="159"/>
      <c r="H505" s="159"/>
      <c r="I505" s="159"/>
      <c r="J505" s="159"/>
      <c r="K505" s="159"/>
      <c r="L505" s="159"/>
      <c r="N505" s="159"/>
      <c r="O505" s="159"/>
      <c r="P505" s="159"/>
      <c r="Q505" s="159"/>
      <c r="R505" s="159"/>
      <c r="S505" s="159"/>
      <c r="T505" s="159"/>
      <c r="U505" s="159"/>
      <c r="V505" s="159"/>
      <c r="W505" s="159"/>
      <c r="X505" s="159"/>
      <c r="Y505" s="159"/>
      <c r="Z505" s="159"/>
      <c r="AA505" s="159"/>
      <c r="AB505" s="159"/>
    </row>
    <row r="506">
      <c r="A506" s="159"/>
      <c r="B506" s="159"/>
      <c r="C506" s="159"/>
      <c r="D506" s="159"/>
      <c r="E506" s="159"/>
      <c r="F506" s="159"/>
      <c r="G506" s="159"/>
      <c r="H506" s="159"/>
      <c r="I506" s="159"/>
      <c r="J506" s="159"/>
      <c r="K506" s="159"/>
      <c r="L506" s="159"/>
      <c r="N506" s="159"/>
      <c r="O506" s="159"/>
      <c r="P506" s="159"/>
      <c r="Q506" s="159"/>
      <c r="R506" s="159"/>
      <c r="S506" s="159"/>
      <c r="T506" s="159"/>
      <c r="U506" s="159"/>
      <c r="V506" s="159"/>
      <c r="W506" s="159"/>
      <c r="X506" s="159"/>
      <c r="Y506" s="159"/>
      <c r="Z506" s="159"/>
      <c r="AA506" s="159"/>
      <c r="AB506" s="159"/>
    </row>
    <row r="507">
      <c r="A507" s="159"/>
      <c r="B507" s="159"/>
      <c r="C507" s="159"/>
      <c r="D507" s="159"/>
      <c r="E507" s="159"/>
      <c r="F507" s="159"/>
      <c r="G507" s="159"/>
      <c r="H507" s="159"/>
      <c r="I507" s="159"/>
      <c r="J507" s="159"/>
      <c r="K507" s="159"/>
      <c r="L507" s="159"/>
      <c r="N507" s="159"/>
      <c r="O507" s="159"/>
      <c r="P507" s="159"/>
      <c r="Q507" s="159"/>
      <c r="R507" s="159"/>
      <c r="S507" s="159"/>
      <c r="T507" s="159"/>
      <c r="U507" s="159"/>
      <c r="V507" s="159"/>
      <c r="W507" s="159"/>
      <c r="X507" s="159"/>
      <c r="Y507" s="159"/>
      <c r="Z507" s="159"/>
      <c r="AA507" s="159"/>
      <c r="AB507" s="159"/>
    </row>
    <row r="508">
      <c r="A508" s="159"/>
      <c r="B508" s="159"/>
      <c r="C508" s="159"/>
      <c r="D508" s="159"/>
      <c r="E508" s="159"/>
      <c r="F508" s="159"/>
      <c r="G508" s="159"/>
      <c r="H508" s="159"/>
      <c r="I508" s="159"/>
      <c r="J508" s="159"/>
      <c r="K508" s="159"/>
      <c r="L508" s="159"/>
      <c r="N508" s="159"/>
      <c r="O508" s="159"/>
      <c r="P508" s="159"/>
      <c r="Q508" s="159"/>
      <c r="R508" s="159"/>
      <c r="S508" s="159"/>
      <c r="T508" s="159"/>
      <c r="U508" s="159"/>
      <c r="V508" s="159"/>
      <c r="W508" s="159"/>
      <c r="X508" s="159"/>
      <c r="Y508" s="159"/>
      <c r="Z508" s="159"/>
      <c r="AA508" s="159"/>
      <c r="AB508" s="159"/>
    </row>
    <row r="509">
      <c r="A509" s="159"/>
      <c r="B509" s="159"/>
      <c r="C509" s="159"/>
      <c r="D509" s="159"/>
      <c r="E509" s="159"/>
      <c r="F509" s="159"/>
      <c r="G509" s="159"/>
      <c r="H509" s="159"/>
      <c r="I509" s="159"/>
      <c r="J509" s="159"/>
      <c r="K509" s="159"/>
      <c r="L509" s="159"/>
      <c r="N509" s="159"/>
      <c r="O509" s="159"/>
      <c r="P509" s="159"/>
      <c r="Q509" s="159"/>
      <c r="R509" s="159"/>
      <c r="S509" s="159"/>
      <c r="T509" s="159"/>
      <c r="U509" s="159"/>
      <c r="V509" s="159"/>
      <c r="W509" s="159"/>
      <c r="X509" s="159"/>
      <c r="Y509" s="159"/>
      <c r="Z509" s="159"/>
      <c r="AA509" s="159"/>
      <c r="AB509" s="159"/>
    </row>
    <row r="510">
      <c r="A510" s="159"/>
      <c r="B510" s="159"/>
      <c r="C510" s="159"/>
      <c r="D510" s="159"/>
      <c r="E510" s="159"/>
      <c r="F510" s="159"/>
      <c r="G510" s="159"/>
      <c r="H510" s="159"/>
      <c r="I510" s="159"/>
      <c r="J510" s="159"/>
      <c r="K510" s="159"/>
      <c r="L510" s="159"/>
      <c r="N510" s="159"/>
      <c r="O510" s="159"/>
      <c r="P510" s="159"/>
      <c r="Q510" s="159"/>
      <c r="R510" s="159"/>
      <c r="S510" s="159"/>
      <c r="T510" s="159"/>
      <c r="U510" s="159"/>
      <c r="V510" s="159"/>
      <c r="W510" s="159"/>
      <c r="X510" s="159"/>
      <c r="Y510" s="159"/>
      <c r="Z510" s="159"/>
      <c r="AA510" s="159"/>
      <c r="AB510" s="159"/>
    </row>
    <row r="511">
      <c r="A511" s="159"/>
      <c r="B511" s="159"/>
      <c r="C511" s="159"/>
      <c r="D511" s="159"/>
      <c r="E511" s="159"/>
      <c r="F511" s="159"/>
      <c r="G511" s="159"/>
      <c r="H511" s="159"/>
      <c r="I511" s="159"/>
      <c r="J511" s="159"/>
      <c r="K511" s="159"/>
      <c r="L511" s="159"/>
      <c r="N511" s="159"/>
      <c r="O511" s="159"/>
      <c r="P511" s="159"/>
      <c r="Q511" s="159"/>
      <c r="R511" s="159"/>
      <c r="S511" s="159"/>
      <c r="T511" s="159"/>
      <c r="U511" s="159"/>
      <c r="V511" s="159"/>
      <c r="W511" s="159"/>
      <c r="X511" s="159"/>
      <c r="Y511" s="159"/>
      <c r="Z511" s="159"/>
      <c r="AA511" s="159"/>
      <c r="AB511" s="159"/>
    </row>
    <row r="512">
      <c r="A512" s="159"/>
      <c r="B512" s="159"/>
      <c r="C512" s="159"/>
      <c r="D512" s="159"/>
      <c r="E512" s="159"/>
      <c r="F512" s="159"/>
      <c r="G512" s="159"/>
      <c r="H512" s="159"/>
      <c r="I512" s="159"/>
      <c r="J512" s="159"/>
      <c r="K512" s="159"/>
      <c r="L512" s="159"/>
      <c r="N512" s="159"/>
      <c r="O512" s="159"/>
      <c r="P512" s="159"/>
      <c r="Q512" s="159"/>
      <c r="R512" s="159"/>
      <c r="S512" s="159"/>
      <c r="T512" s="159"/>
      <c r="U512" s="159"/>
      <c r="V512" s="159"/>
      <c r="W512" s="159"/>
      <c r="X512" s="159"/>
      <c r="Y512" s="159"/>
      <c r="Z512" s="159"/>
      <c r="AA512" s="159"/>
      <c r="AB512" s="159"/>
    </row>
    <row r="513">
      <c r="A513" s="159"/>
      <c r="B513" s="159"/>
      <c r="C513" s="159"/>
      <c r="D513" s="159"/>
      <c r="E513" s="159"/>
      <c r="F513" s="159"/>
      <c r="G513" s="159"/>
      <c r="H513" s="159"/>
      <c r="I513" s="159"/>
      <c r="J513" s="159"/>
      <c r="K513" s="159"/>
      <c r="L513" s="159"/>
      <c r="N513" s="159"/>
      <c r="O513" s="159"/>
      <c r="P513" s="159"/>
      <c r="Q513" s="159"/>
      <c r="R513" s="159"/>
      <c r="S513" s="159"/>
      <c r="T513" s="159"/>
      <c r="U513" s="159"/>
      <c r="V513" s="159"/>
      <c r="W513" s="159"/>
      <c r="X513" s="159"/>
      <c r="Y513" s="159"/>
      <c r="Z513" s="159"/>
      <c r="AA513" s="159"/>
      <c r="AB513" s="159"/>
    </row>
    <row r="514">
      <c r="A514" s="159"/>
      <c r="B514" s="159"/>
      <c r="C514" s="159"/>
      <c r="D514" s="159"/>
      <c r="E514" s="159"/>
      <c r="F514" s="159"/>
      <c r="G514" s="159"/>
      <c r="H514" s="159"/>
      <c r="I514" s="159"/>
      <c r="J514" s="159"/>
      <c r="K514" s="159"/>
      <c r="L514" s="159"/>
      <c r="N514" s="159"/>
      <c r="O514" s="159"/>
      <c r="P514" s="159"/>
      <c r="Q514" s="159"/>
      <c r="R514" s="159"/>
      <c r="S514" s="159"/>
      <c r="T514" s="159"/>
      <c r="U514" s="159"/>
      <c r="V514" s="159"/>
      <c r="W514" s="159"/>
      <c r="X514" s="159"/>
      <c r="Y514" s="159"/>
      <c r="Z514" s="159"/>
      <c r="AA514" s="159"/>
      <c r="AB514" s="159"/>
    </row>
    <row r="515">
      <c r="A515" s="159"/>
      <c r="B515" s="159"/>
      <c r="C515" s="159"/>
      <c r="D515" s="159"/>
      <c r="E515" s="159"/>
      <c r="F515" s="159"/>
      <c r="G515" s="159"/>
      <c r="H515" s="159"/>
      <c r="I515" s="159"/>
      <c r="J515" s="159"/>
      <c r="K515" s="159"/>
      <c r="L515" s="159"/>
      <c r="N515" s="159"/>
      <c r="O515" s="159"/>
      <c r="P515" s="159"/>
      <c r="Q515" s="159"/>
      <c r="R515" s="159"/>
      <c r="S515" s="159"/>
      <c r="T515" s="159"/>
      <c r="U515" s="159"/>
      <c r="V515" s="159"/>
      <c r="W515" s="159"/>
      <c r="X515" s="159"/>
      <c r="Y515" s="159"/>
      <c r="Z515" s="159"/>
      <c r="AA515" s="159"/>
      <c r="AB515" s="159"/>
    </row>
    <row r="516">
      <c r="A516" s="159"/>
      <c r="B516" s="159"/>
      <c r="C516" s="159"/>
      <c r="D516" s="159"/>
      <c r="E516" s="159"/>
      <c r="F516" s="159"/>
      <c r="G516" s="159"/>
      <c r="H516" s="159"/>
      <c r="I516" s="159"/>
      <c r="J516" s="159"/>
      <c r="K516" s="159"/>
      <c r="L516" s="159"/>
      <c r="N516" s="159"/>
      <c r="O516" s="159"/>
      <c r="P516" s="159"/>
      <c r="Q516" s="159"/>
      <c r="R516" s="159"/>
      <c r="S516" s="159"/>
      <c r="T516" s="159"/>
      <c r="U516" s="159"/>
      <c r="V516" s="159"/>
      <c r="W516" s="159"/>
      <c r="X516" s="159"/>
      <c r="Y516" s="159"/>
      <c r="Z516" s="159"/>
      <c r="AA516" s="159"/>
      <c r="AB516" s="159"/>
    </row>
    <row r="517">
      <c r="A517" s="159"/>
      <c r="B517" s="159"/>
      <c r="C517" s="159"/>
      <c r="D517" s="159"/>
      <c r="E517" s="159"/>
      <c r="F517" s="159"/>
      <c r="G517" s="159"/>
      <c r="H517" s="159"/>
      <c r="I517" s="159"/>
      <c r="J517" s="159"/>
      <c r="K517" s="159"/>
      <c r="L517" s="159"/>
      <c r="N517" s="159"/>
      <c r="O517" s="159"/>
      <c r="P517" s="159"/>
      <c r="Q517" s="159"/>
      <c r="R517" s="159"/>
      <c r="S517" s="159"/>
      <c r="T517" s="159"/>
      <c r="U517" s="159"/>
      <c r="V517" s="159"/>
      <c r="W517" s="159"/>
      <c r="X517" s="159"/>
      <c r="Y517" s="159"/>
      <c r="Z517" s="159"/>
      <c r="AA517" s="159"/>
      <c r="AB517" s="159"/>
    </row>
    <row r="518">
      <c r="A518" s="159"/>
      <c r="B518" s="159"/>
      <c r="C518" s="159"/>
      <c r="D518" s="159"/>
      <c r="E518" s="159"/>
      <c r="F518" s="159"/>
      <c r="G518" s="159"/>
      <c r="H518" s="159"/>
      <c r="I518" s="159"/>
      <c r="J518" s="159"/>
      <c r="K518" s="159"/>
      <c r="L518" s="159"/>
      <c r="N518" s="159"/>
      <c r="O518" s="159"/>
      <c r="P518" s="159"/>
      <c r="Q518" s="159"/>
      <c r="R518" s="159"/>
      <c r="S518" s="159"/>
      <c r="T518" s="159"/>
      <c r="U518" s="159"/>
      <c r="V518" s="159"/>
      <c r="W518" s="159"/>
      <c r="X518" s="159"/>
      <c r="Y518" s="159"/>
      <c r="Z518" s="159"/>
      <c r="AA518" s="159"/>
      <c r="AB518" s="159"/>
    </row>
    <row r="519">
      <c r="A519" s="159"/>
      <c r="B519" s="159"/>
      <c r="C519" s="159"/>
      <c r="D519" s="159"/>
      <c r="E519" s="159"/>
      <c r="F519" s="159"/>
      <c r="G519" s="159"/>
      <c r="H519" s="159"/>
      <c r="I519" s="159"/>
      <c r="J519" s="159"/>
      <c r="K519" s="159"/>
      <c r="L519" s="159"/>
      <c r="N519" s="159"/>
      <c r="O519" s="159"/>
      <c r="P519" s="159"/>
      <c r="Q519" s="159"/>
      <c r="R519" s="159"/>
      <c r="S519" s="159"/>
      <c r="T519" s="159"/>
      <c r="U519" s="159"/>
      <c r="V519" s="159"/>
      <c r="W519" s="159"/>
      <c r="X519" s="159"/>
      <c r="Y519" s="159"/>
      <c r="Z519" s="159"/>
      <c r="AA519" s="159"/>
      <c r="AB519" s="159"/>
    </row>
    <row r="520">
      <c r="A520" s="159"/>
      <c r="B520" s="159"/>
      <c r="C520" s="159"/>
      <c r="D520" s="159"/>
      <c r="E520" s="159"/>
      <c r="F520" s="159"/>
      <c r="G520" s="159"/>
      <c r="H520" s="159"/>
      <c r="I520" s="159"/>
      <c r="J520" s="159"/>
      <c r="K520" s="159"/>
      <c r="L520" s="159"/>
      <c r="N520" s="159"/>
      <c r="O520" s="159"/>
      <c r="P520" s="159"/>
      <c r="Q520" s="159"/>
      <c r="R520" s="159"/>
      <c r="S520" s="159"/>
      <c r="T520" s="159"/>
      <c r="U520" s="159"/>
      <c r="V520" s="159"/>
      <c r="W520" s="159"/>
      <c r="X520" s="159"/>
      <c r="Y520" s="159"/>
      <c r="Z520" s="159"/>
      <c r="AA520" s="159"/>
      <c r="AB520" s="159"/>
    </row>
    <row r="521">
      <c r="A521" s="159"/>
      <c r="B521" s="159"/>
      <c r="C521" s="159"/>
      <c r="D521" s="159"/>
      <c r="E521" s="159"/>
      <c r="F521" s="159"/>
      <c r="G521" s="159"/>
      <c r="H521" s="159"/>
      <c r="I521" s="159"/>
      <c r="J521" s="159"/>
      <c r="K521" s="159"/>
      <c r="L521" s="159"/>
      <c r="N521" s="159"/>
      <c r="O521" s="159"/>
      <c r="P521" s="159"/>
      <c r="Q521" s="159"/>
      <c r="R521" s="159"/>
      <c r="S521" s="159"/>
      <c r="T521" s="159"/>
      <c r="U521" s="159"/>
      <c r="V521" s="159"/>
      <c r="W521" s="159"/>
      <c r="X521" s="159"/>
      <c r="Y521" s="159"/>
      <c r="Z521" s="159"/>
      <c r="AA521" s="159"/>
      <c r="AB521" s="159"/>
    </row>
    <row r="522">
      <c r="A522" s="159"/>
      <c r="B522" s="159"/>
      <c r="C522" s="159"/>
      <c r="D522" s="159"/>
      <c r="E522" s="159"/>
      <c r="F522" s="159"/>
      <c r="G522" s="159"/>
      <c r="H522" s="159"/>
      <c r="I522" s="159"/>
      <c r="J522" s="159"/>
      <c r="K522" s="159"/>
      <c r="L522" s="159"/>
      <c r="N522" s="159"/>
      <c r="O522" s="159"/>
      <c r="P522" s="159"/>
      <c r="Q522" s="159"/>
      <c r="R522" s="159"/>
      <c r="S522" s="159"/>
      <c r="T522" s="159"/>
      <c r="U522" s="159"/>
      <c r="V522" s="159"/>
      <c r="W522" s="159"/>
      <c r="X522" s="159"/>
      <c r="Y522" s="159"/>
      <c r="Z522" s="159"/>
      <c r="AA522" s="159"/>
      <c r="AB522" s="159"/>
    </row>
    <row r="523">
      <c r="A523" s="159"/>
      <c r="B523" s="159"/>
      <c r="C523" s="159"/>
      <c r="D523" s="159"/>
      <c r="E523" s="159"/>
      <c r="F523" s="159"/>
      <c r="G523" s="159"/>
      <c r="H523" s="159"/>
      <c r="I523" s="159"/>
      <c r="J523" s="159"/>
      <c r="K523" s="159"/>
      <c r="L523" s="159"/>
      <c r="N523" s="159"/>
      <c r="O523" s="159"/>
      <c r="P523" s="159"/>
      <c r="Q523" s="159"/>
      <c r="R523" s="159"/>
      <c r="S523" s="159"/>
      <c r="T523" s="159"/>
      <c r="U523" s="159"/>
      <c r="V523" s="159"/>
      <c r="W523" s="159"/>
      <c r="X523" s="159"/>
      <c r="Y523" s="159"/>
      <c r="Z523" s="159"/>
      <c r="AA523" s="159"/>
      <c r="AB523" s="159"/>
    </row>
    <row r="524">
      <c r="A524" s="159"/>
      <c r="B524" s="159"/>
      <c r="C524" s="159"/>
      <c r="D524" s="159"/>
      <c r="E524" s="159"/>
      <c r="F524" s="159"/>
      <c r="G524" s="159"/>
      <c r="H524" s="159"/>
      <c r="I524" s="159"/>
      <c r="J524" s="159"/>
      <c r="K524" s="159"/>
      <c r="L524" s="159"/>
      <c r="N524" s="159"/>
      <c r="O524" s="159"/>
      <c r="P524" s="159"/>
      <c r="Q524" s="159"/>
      <c r="R524" s="159"/>
      <c r="S524" s="159"/>
      <c r="T524" s="159"/>
      <c r="U524" s="159"/>
      <c r="V524" s="159"/>
      <c r="W524" s="159"/>
      <c r="X524" s="159"/>
      <c r="Y524" s="159"/>
      <c r="Z524" s="159"/>
      <c r="AA524" s="159"/>
      <c r="AB524" s="159"/>
    </row>
    <row r="525">
      <c r="A525" s="159"/>
      <c r="B525" s="159"/>
      <c r="C525" s="159"/>
      <c r="D525" s="159"/>
      <c r="E525" s="159"/>
      <c r="F525" s="159"/>
      <c r="G525" s="159"/>
      <c r="H525" s="159"/>
      <c r="I525" s="159"/>
      <c r="J525" s="159"/>
      <c r="K525" s="159"/>
      <c r="L525" s="159"/>
      <c r="N525" s="159"/>
      <c r="O525" s="159"/>
      <c r="P525" s="159"/>
      <c r="Q525" s="159"/>
      <c r="R525" s="159"/>
      <c r="S525" s="159"/>
      <c r="T525" s="159"/>
      <c r="U525" s="159"/>
      <c r="V525" s="159"/>
      <c r="W525" s="159"/>
      <c r="X525" s="159"/>
      <c r="Y525" s="159"/>
      <c r="Z525" s="159"/>
      <c r="AA525" s="159"/>
      <c r="AB525" s="159"/>
    </row>
    <row r="526">
      <c r="A526" s="159"/>
      <c r="B526" s="159"/>
      <c r="C526" s="159"/>
      <c r="D526" s="159"/>
      <c r="E526" s="159"/>
      <c r="F526" s="159"/>
      <c r="G526" s="159"/>
      <c r="H526" s="159"/>
      <c r="I526" s="159"/>
      <c r="J526" s="159"/>
      <c r="K526" s="159"/>
      <c r="L526" s="159"/>
      <c r="N526" s="159"/>
      <c r="O526" s="159"/>
      <c r="P526" s="159"/>
      <c r="Q526" s="159"/>
      <c r="R526" s="159"/>
      <c r="S526" s="159"/>
      <c r="T526" s="159"/>
      <c r="U526" s="159"/>
      <c r="V526" s="159"/>
      <c r="W526" s="159"/>
      <c r="X526" s="159"/>
      <c r="Y526" s="159"/>
      <c r="Z526" s="159"/>
      <c r="AA526" s="159"/>
      <c r="AB526" s="159"/>
    </row>
    <row r="527">
      <c r="A527" s="159"/>
      <c r="B527" s="159"/>
      <c r="C527" s="159"/>
      <c r="D527" s="159"/>
      <c r="E527" s="159"/>
      <c r="F527" s="159"/>
      <c r="G527" s="159"/>
      <c r="H527" s="159"/>
      <c r="I527" s="159"/>
      <c r="J527" s="159"/>
      <c r="K527" s="159"/>
      <c r="L527" s="159"/>
      <c r="N527" s="159"/>
      <c r="O527" s="159"/>
      <c r="P527" s="159"/>
      <c r="Q527" s="159"/>
      <c r="R527" s="159"/>
      <c r="S527" s="159"/>
      <c r="T527" s="159"/>
      <c r="U527" s="159"/>
      <c r="V527" s="159"/>
      <c r="W527" s="159"/>
      <c r="X527" s="159"/>
      <c r="Y527" s="159"/>
      <c r="Z527" s="159"/>
      <c r="AA527" s="159"/>
      <c r="AB527" s="159"/>
    </row>
    <row r="528">
      <c r="A528" s="159"/>
      <c r="B528" s="159"/>
      <c r="C528" s="159"/>
      <c r="D528" s="159"/>
      <c r="E528" s="159"/>
      <c r="F528" s="159"/>
      <c r="G528" s="159"/>
      <c r="H528" s="159"/>
      <c r="I528" s="159"/>
      <c r="J528" s="159"/>
      <c r="K528" s="159"/>
      <c r="L528" s="159"/>
      <c r="N528" s="159"/>
      <c r="O528" s="159"/>
      <c r="P528" s="159"/>
      <c r="Q528" s="159"/>
      <c r="R528" s="159"/>
      <c r="S528" s="159"/>
      <c r="T528" s="159"/>
      <c r="U528" s="159"/>
      <c r="V528" s="159"/>
      <c r="W528" s="159"/>
      <c r="X528" s="159"/>
      <c r="Y528" s="159"/>
      <c r="Z528" s="159"/>
      <c r="AA528" s="159"/>
      <c r="AB528" s="159"/>
    </row>
    <row r="529">
      <c r="A529" s="159"/>
      <c r="B529" s="159"/>
      <c r="C529" s="159"/>
      <c r="D529" s="159"/>
      <c r="E529" s="159"/>
      <c r="F529" s="159"/>
      <c r="G529" s="159"/>
      <c r="H529" s="159"/>
      <c r="I529" s="159"/>
      <c r="J529" s="159"/>
      <c r="K529" s="159"/>
      <c r="L529" s="159"/>
      <c r="N529" s="159"/>
      <c r="O529" s="159"/>
      <c r="P529" s="159"/>
      <c r="Q529" s="159"/>
      <c r="R529" s="159"/>
      <c r="S529" s="159"/>
      <c r="T529" s="159"/>
      <c r="U529" s="159"/>
      <c r="V529" s="159"/>
      <c r="W529" s="159"/>
      <c r="X529" s="159"/>
      <c r="Y529" s="159"/>
      <c r="Z529" s="159"/>
      <c r="AA529" s="159"/>
      <c r="AB529" s="159"/>
    </row>
    <row r="530">
      <c r="A530" s="159"/>
      <c r="B530" s="159"/>
      <c r="C530" s="159"/>
      <c r="D530" s="159"/>
      <c r="E530" s="159"/>
      <c r="F530" s="159"/>
      <c r="G530" s="159"/>
      <c r="H530" s="159"/>
      <c r="I530" s="159"/>
      <c r="J530" s="159"/>
      <c r="K530" s="159"/>
      <c r="L530" s="159"/>
      <c r="N530" s="159"/>
      <c r="O530" s="159"/>
      <c r="P530" s="159"/>
      <c r="Q530" s="159"/>
      <c r="R530" s="159"/>
      <c r="S530" s="159"/>
      <c r="T530" s="159"/>
      <c r="U530" s="159"/>
      <c r="V530" s="159"/>
      <c r="W530" s="159"/>
      <c r="X530" s="159"/>
      <c r="Y530" s="159"/>
      <c r="Z530" s="159"/>
      <c r="AA530" s="159"/>
      <c r="AB530" s="159"/>
    </row>
    <row r="531">
      <c r="A531" s="159"/>
      <c r="B531" s="159"/>
      <c r="C531" s="159"/>
      <c r="D531" s="159"/>
      <c r="E531" s="159"/>
      <c r="F531" s="159"/>
      <c r="G531" s="159"/>
      <c r="H531" s="159"/>
      <c r="I531" s="159"/>
      <c r="J531" s="159"/>
      <c r="K531" s="159"/>
      <c r="L531" s="159"/>
      <c r="N531" s="159"/>
      <c r="O531" s="159"/>
      <c r="P531" s="159"/>
      <c r="Q531" s="159"/>
      <c r="R531" s="159"/>
      <c r="S531" s="159"/>
      <c r="T531" s="159"/>
      <c r="U531" s="159"/>
      <c r="V531" s="159"/>
      <c r="W531" s="159"/>
      <c r="X531" s="159"/>
      <c r="Y531" s="159"/>
      <c r="Z531" s="159"/>
      <c r="AA531" s="159"/>
      <c r="AB531" s="159"/>
    </row>
    <row r="532">
      <c r="A532" s="159"/>
      <c r="B532" s="159"/>
      <c r="C532" s="159"/>
      <c r="D532" s="159"/>
      <c r="E532" s="159"/>
      <c r="F532" s="159"/>
      <c r="G532" s="159"/>
      <c r="H532" s="159"/>
      <c r="I532" s="159"/>
      <c r="J532" s="159"/>
      <c r="K532" s="159"/>
      <c r="L532" s="159"/>
      <c r="N532" s="159"/>
      <c r="O532" s="159"/>
      <c r="P532" s="159"/>
      <c r="Q532" s="159"/>
      <c r="R532" s="159"/>
      <c r="S532" s="159"/>
      <c r="T532" s="159"/>
      <c r="U532" s="159"/>
      <c r="V532" s="159"/>
      <c r="W532" s="159"/>
      <c r="X532" s="159"/>
      <c r="Y532" s="159"/>
      <c r="Z532" s="159"/>
      <c r="AA532" s="159"/>
      <c r="AB532" s="159"/>
    </row>
    <row r="533">
      <c r="A533" s="159"/>
      <c r="B533" s="159"/>
      <c r="C533" s="159"/>
      <c r="D533" s="159"/>
      <c r="E533" s="159"/>
      <c r="F533" s="159"/>
      <c r="G533" s="159"/>
      <c r="H533" s="159"/>
      <c r="I533" s="159"/>
      <c r="J533" s="159"/>
      <c r="K533" s="159"/>
      <c r="L533" s="159"/>
      <c r="N533" s="159"/>
      <c r="O533" s="159"/>
      <c r="P533" s="159"/>
      <c r="Q533" s="159"/>
      <c r="R533" s="159"/>
      <c r="S533" s="159"/>
      <c r="T533" s="159"/>
      <c r="U533" s="159"/>
      <c r="V533" s="159"/>
      <c r="W533" s="159"/>
      <c r="X533" s="159"/>
      <c r="Y533" s="159"/>
      <c r="Z533" s="159"/>
      <c r="AA533" s="159"/>
      <c r="AB533" s="159"/>
    </row>
    <row r="534">
      <c r="A534" s="159"/>
      <c r="B534" s="159"/>
      <c r="C534" s="159"/>
      <c r="D534" s="159"/>
      <c r="E534" s="159"/>
      <c r="F534" s="159"/>
      <c r="G534" s="159"/>
      <c r="H534" s="159"/>
      <c r="I534" s="159"/>
      <c r="J534" s="159"/>
      <c r="K534" s="159"/>
      <c r="L534" s="159"/>
      <c r="N534" s="159"/>
      <c r="O534" s="159"/>
      <c r="P534" s="159"/>
      <c r="Q534" s="159"/>
      <c r="R534" s="159"/>
      <c r="S534" s="159"/>
      <c r="T534" s="159"/>
      <c r="U534" s="159"/>
      <c r="V534" s="159"/>
      <c r="W534" s="159"/>
      <c r="X534" s="159"/>
      <c r="Y534" s="159"/>
      <c r="Z534" s="159"/>
      <c r="AA534" s="159"/>
      <c r="AB534" s="159"/>
    </row>
    <row r="535">
      <c r="A535" s="159"/>
      <c r="B535" s="159"/>
      <c r="C535" s="159"/>
      <c r="D535" s="159"/>
      <c r="E535" s="159"/>
      <c r="F535" s="159"/>
      <c r="G535" s="159"/>
      <c r="H535" s="159"/>
      <c r="I535" s="159"/>
      <c r="J535" s="159"/>
      <c r="K535" s="159"/>
      <c r="L535" s="159"/>
      <c r="N535" s="159"/>
      <c r="O535" s="159"/>
      <c r="P535" s="159"/>
      <c r="Q535" s="159"/>
      <c r="R535" s="159"/>
      <c r="S535" s="159"/>
      <c r="T535" s="159"/>
      <c r="U535" s="159"/>
      <c r="V535" s="159"/>
      <c r="W535" s="159"/>
      <c r="X535" s="159"/>
      <c r="Y535" s="159"/>
      <c r="Z535" s="159"/>
      <c r="AA535" s="159"/>
      <c r="AB535" s="159"/>
    </row>
    <row r="536">
      <c r="A536" s="159"/>
      <c r="B536" s="159"/>
      <c r="C536" s="159"/>
      <c r="D536" s="159"/>
      <c r="E536" s="159"/>
      <c r="F536" s="159"/>
      <c r="G536" s="159"/>
      <c r="H536" s="159"/>
      <c r="I536" s="159"/>
      <c r="J536" s="159"/>
      <c r="K536" s="159"/>
      <c r="L536" s="159"/>
      <c r="N536" s="159"/>
      <c r="O536" s="159"/>
      <c r="P536" s="159"/>
      <c r="Q536" s="159"/>
      <c r="R536" s="159"/>
      <c r="S536" s="159"/>
      <c r="T536" s="159"/>
      <c r="U536" s="159"/>
      <c r="V536" s="159"/>
      <c r="W536" s="159"/>
      <c r="X536" s="159"/>
      <c r="Y536" s="159"/>
      <c r="Z536" s="159"/>
      <c r="AA536" s="159"/>
      <c r="AB536" s="159"/>
    </row>
    <row r="537">
      <c r="A537" s="159"/>
      <c r="B537" s="159"/>
      <c r="C537" s="159"/>
      <c r="D537" s="159"/>
      <c r="E537" s="159"/>
      <c r="F537" s="159"/>
      <c r="G537" s="159"/>
      <c r="H537" s="159"/>
      <c r="I537" s="159"/>
      <c r="J537" s="159"/>
      <c r="K537" s="159"/>
      <c r="L537" s="159"/>
      <c r="N537" s="159"/>
      <c r="O537" s="159"/>
      <c r="P537" s="159"/>
      <c r="Q537" s="159"/>
      <c r="R537" s="159"/>
      <c r="S537" s="159"/>
      <c r="T537" s="159"/>
      <c r="U537" s="159"/>
      <c r="V537" s="159"/>
      <c r="W537" s="159"/>
      <c r="X537" s="159"/>
      <c r="Y537" s="159"/>
      <c r="Z537" s="159"/>
      <c r="AA537" s="159"/>
      <c r="AB537" s="159"/>
    </row>
    <row r="538">
      <c r="A538" s="159"/>
      <c r="B538" s="159"/>
      <c r="C538" s="159"/>
      <c r="D538" s="159"/>
      <c r="E538" s="159"/>
      <c r="F538" s="159"/>
      <c r="G538" s="159"/>
      <c r="H538" s="159"/>
      <c r="I538" s="159"/>
      <c r="J538" s="159"/>
      <c r="K538" s="159"/>
      <c r="L538" s="159"/>
      <c r="N538" s="159"/>
      <c r="O538" s="159"/>
      <c r="P538" s="159"/>
      <c r="Q538" s="159"/>
      <c r="R538" s="159"/>
      <c r="S538" s="159"/>
      <c r="T538" s="159"/>
      <c r="U538" s="159"/>
      <c r="V538" s="159"/>
      <c r="W538" s="159"/>
      <c r="X538" s="159"/>
      <c r="Y538" s="159"/>
      <c r="Z538" s="159"/>
      <c r="AA538" s="159"/>
      <c r="AB538" s="159"/>
    </row>
    <row r="539">
      <c r="A539" s="159"/>
      <c r="B539" s="159"/>
      <c r="C539" s="159"/>
      <c r="D539" s="159"/>
      <c r="E539" s="159"/>
      <c r="F539" s="159"/>
      <c r="G539" s="159"/>
      <c r="H539" s="159"/>
      <c r="I539" s="159"/>
      <c r="J539" s="159"/>
      <c r="K539" s="159"/>
      <c r="L539" s="159"/>
      <c r="N539" s="159"/>
      <c r="O539" s="159"/>
      <c r="P539" s="159"/>
      <c r="Q539" s="159"/>
      <c r="R539" s="159"/>
      <c r="S539" s="159"/>
      <c r="T539" s="159"/>
      <c r="U539" s="159"/>
      <c r="V539" s="159"/>
      <c r="W539" s="159"/>
      <c r="X539" s="159"/>
      <c r="Y539" s="159"/>
      <c r="Z539" s="159"/>
      <c r="AA539" s="159"/>
      <c r="AB539" s="159"/>
    </row>
    <row r="540">
      <c r="A540" s="159"/>
      <c r="B540" s="159"/>
      <c r="C540" s="159"/>
      <c r="D540" s="159"/>
      <c r="E540" s="159"/>
      <c r="F540" s="159"/>
      <c r="G540" s="159"/>
      <c r="H540" s="159"/>
      <c r="I540" s="159"/>
      <c r="J540" s="159"/>
      <c r="K540" s="159"/>
      <c r="L540" s="159"/>
      <c r="N540" s="159"/>
      <c r="O540" s="159"/>
      <c r="P540" s="159"/>
      <c r="Q540" s="159"/>
      <c r="R540" s="159"/>
      <c r="S540" s="159"/>
      <c r="T540" s="159"/>
      <c r="U540" s="159"/>
      <c r="V540" s="159"/>
      <c r="W540" s="159"/>
      <c r="X540" s="159"/>
      <c r="Y540" s="159"/>
      <c r="Z540" s="159"/>
      <c r="AA540" s="159"/>
      <c r="AB540" s="159"/>
    </row>
    <row r="541">
      <c r="A541" s="159"/>
      <c r="B541" s="159"/>
      <c r="C541" s="159"/>
      <c r="D541" s="159"/>
      <c r="E541" s="159"/>
      <c r="F541" s="159"/>
      <c r="G541" s="159"/>
      <c r="H541" s="159"/>
      <c r="I541" s="159"/>
      <c r="J541" s="159"/>
      <c r="K541" s="159"/>
      <c r="L541" s="159"/>
      <c r="N541" s="159"/>
      <c r="O541" s="159"/>
      <c r="P541" s="159"/>
      <c r="Q541" s="159"/>
      <c r="R541" s="159"/>
      <c r="S541" s="159"/>
      <c r="T541" s="159"/>
      <c r="U541" s="159"/>
      <c r="V541" s="159"/>
      <c r="W541" s="159"/>
      <c r="X541" s="159"/>
      <c r="Y541" s="159"/>
      <c r="Z541" s="159"/>
      <c r="AA541" s="159"/>
      <c r="AB541" s="159"/>
    </row>
    <row r="542">
      <c r="A542" s="159"/>
      <c r="B542" s="159"/>
      <c r="C542" s="159"/>
      <c r="D542" s="159"/>
      <c r="E542" s="159"/>
      <c r="F542" s="159"/>
      <c r="G542" s="159"/>
      <c r="H542" s="159"/>
      <c r="I542" s="159"/>
      <c r="J542" s="159"/>
      <c r="K542" s="159"/>
      <c r="L542" s="159"/>
      <c r="N542" s="159"/>
      <c r="O542" s="159"/>
      <c r="P542" s="159"/>
      <c r="Q542" s="159"/>
      <c r="R542" s="159"/>
      <c r="S542" s="159"/>
      <c r="T542" s="159"/>
      <c r="U542" s="159"/>
      <c r="V542" s="159"/>
      <c r="W542" s="159"/>
      <c r="X542" s="159"/>
      <c r="Y542" s="159"/>
      <c r="Z542" s="159"/>
      <c r="AA542" s="159"/>
      <c r="AB542" s="159"/>
    </row>
    <row r="543">
      <c r="A543" s="159"/>
      <c r="B543" s="159"/>
      <c r="C543" s="159"/>
      <c r="D543" s="159"/>
      <c r="E543" s="159"/>
      <c r="F543" s="159"/>
      <c r="G543" s="159"/>
      <c r="H543" s="159"/>
      <c r="I543" s="159"/>
      <c r="J543" s="159"/>
      <c r="K543" s="159"/>
      <c r="L543" s="159"/>
      <c r="N543" s="159"/>
      <c r="O543" s="159"/>
      <c r="P543" s="159"/>
      <c r="Q543" s="159"/>
      <c r="R543" s="159"/>
      <c r="S543" s="159"/>
      <c r="T543" s="159"/>
      <c r="U543" s="159"/>
      <c r="V543" s="159"/>
      <c r="W543" s="159"/>
      <c r="X543" s="159"/>
      <c r="Y543" s="159"/>
      <c r="Z543" s="159"/>
      <c r="AA543" s="159"/>
      <c r="AB543" s="159"/>
    </row>
    <row r="544">
      <c r="A544" s="159"/>
      <c r="B544" s="159"/>
      <c r="C544" s="159"/>
      <c r="D544" s="159"/>
      <c r="E544" s="159"/>
      <c r="F544" s="159"/>
      <c r="G544" s="159"/>
      <c r="H544" s="159"/>
      <c r="I544" s="159"/>
      <c r="J544" s="159"/>
      <c r="K544" s="159"/>
      <c r="L544" s="159"/>
      <c r="N544" s="159"/>
      <c r="O544" s="159"/>
      <c r="P544" s="159"/>
      <c r="Q544" s="159"/>
      <c r="R544" s="159"/>
      <c r="S544" s="159"/>
      <c r="T544" s="159"/>
      <c r="U544" s="159"/>
      <c r="V544" s="159"/>
      <c r="W544" s="159"/>
      <c r="X544" s="159"/>
      <c r="Y544" s="159"/>
      <c r="Z544" s="159"/>
      <c r="AA544" s="159"/>
      <c r="AB544" s="159"/>
    </row>
    <row r="545">
      <c r="A545" s="159"/>
      <c r="B545" s="159"/>
      <c r="C545" s="159"/>
      <c r="D545" s="159"/>
      <c r="E545" s="159"/>
      <c r="F545" s="159"/>
      <c r="G545" s="159"/>
      <c r="H545" s="159"/>
      <c r="I545" s="159"/>
      <c r="J545" s="159"/>
      <c r="K545" s="159"/>
      <c r="L545" s="159"/>
      <c r="N545" s="159"/>
      <c r="O545" s="159"/>
      <c r="P545" s="159"/>
      <c r="Q545" s="159"/>
      <c r="R545" s="159"/>
      <c r="S545" s="159"/>
      <c r="T545" s="159"/>
      <c r="U545" s="159"/>
      <c r="V545" s="159"/>
      <c r="W545" s="159"/>
      <c r="X545" s="159"/>
      <c r="Y545" s="159"/>
      <c r="Z545" s="159"/>
      <c r="AA545" s="159"/>
      <c r="AB545" s="159"/>
    </row>
    <row r="546">
      <c r="A546" s="159"/>
      <c r="B546" s="159"/>
      <c r="C546" s="159"/>
      <c r="D546" s="159"/>
      <c r="E546" s="159"/>
      <c r="F546" s="159"/>
      <c r="G546" s="159"/>
      <c r="H546" s="159"/>
      <c r="I546" s="159"/>
      <c r="J546" s="159"/>
      <c r="K546" s="159"/>
      <c r="L546" s="159"/>
      <c r="N546" s="159"/>
      <c r="O546" s="159"/>
      <c r="P546" s="159"/>
      <c r="Q546" s="159"/>
      <c r="R546" s="159"/>
      <c r="S546" s="159"/>
      <c r="T546" s="159"/>
      <c r="U546" s="159"/>
      <c r="V546" s="159"/>
      <c r="W546" s="159"/>
      <c r="X546" s="159"/>
      <c r="Y546" s="159"/>
      <c r="Z546" s="159"/>
      <c r="AA546" s="159"/>
      <c r="AB546" s="159"/>
    </row>
    <row r="547">
      <c r="A547" s="159"/>
      <c r="B547" s="159"/>
      <c r="C547" s="159"/>
      <c r="D547" s="159"/>
      <c r="E547" s="159"/>
      <c r="F547" s="159"/>
      <c r="G547" s="159"/>
      <c r="H547" s="159"/>
      <c r="I547" s="159"/>
      <c r="J547" s="159"/>
      <c r="K547" s="159"/>
      <c r="L547" s="159"/>
      <c r="N547" s="159"/>
      <c r="O547" s="159"/>
      <c r="P547" s="159"/>
      <c r="Q547" s="159"/>
      <c r="R547" s="159"/>
      <c r="S547" s="159"/>
      <c r="T547" s="159"/>
      <c r="U547" s="159"/>
      <c r="V547" s="159"/>
      <c r="W547" s="159"/>
      <c r="X547" s="159"/>
      <c r="Y547" s="159"/>
      <c r="Z547" s="159"/>
      <c r="AA547" s="159"/>
      <c r="AB547" s="159"/>
    </row>
    <row r="548">
      <c r="A548" s="159"/>
      <c r="B548" s="159"/>
      <c r="C548" s="159"/>
      <c r="D548" s="159"/>
      <c r="E548" s="159"/>
      <c r="F548" s="159"/>
      <c r="G548" s="159"/>
      <c r="H548" s="159"/>
      <c r="I548" s="159"/>
      <c r="J548" s="159"/>
      <c r="K548" s="159"/>
      <c r="L548" s="159"/>
      <c r="N548" s="159"/>
      <c r="O548" s="159"/>
      <c r="P548" s="159"/>
      <c r="Q548" s="159"/>
      <c r="R548" s="159"/>
      <c r="S548" s="159"/>
      <c r="T548" s="159"/>
      <c r="U548" s="159"/>
      <c r="V548" s="159"/>
      <c r="W548" s="159"/>
      <c r="X548" s="159"/>
      <c r="Y548" s="159"/>
      <c r="Z548" s="159"/>
      <c r="AA548" s="159"/>
      <c r="AB548" s="159"/>
    </row>
    <row r="549">
      <c r="A549" s="159"/>
      <c r="B549" s="159"/>
      <c r="C549" s="159"/>
      <c r="D549" s="159"/>
      <c r="E549" s="159"/>
      <c r="F549" s="159"/>
      <c r="G549" s="159"/>
      <c r="H549" s="159"/>
      <c r="I549" s="159"/>
      <c r="J549" s="159"/>
      <c r="K549" s="159"/>
      <c r="L549" s="159"/>
      <c r="N549" s="159"/>
      <c r="O549" s="159"/>
      <c r="P549" s="159"/>
      <c r="Q549" s="159"/>
      <c r="R549" s="159"/>
      <c r="S549" s="159"/>
      <c r="T549" s="159"/>
      <c r="U549" s="159"/>
      <c r="V549" s="159"/>
      <c r="W549" s="159"/>
      <c r="X549" s="159"/>
      <c r="Y549" s="159"/>
      <c r="Z549" s="159"/>
      <c r="AA549" s="159"/>
      <c r="AB549" s="159"/>
    </row>
    <row r="550">
      <c r="A550" s="159"/>
      <c r="B550" s="159"/>
      <c r="C550" s="159"/>
      <c r="D550" s="159"/>
      <c r="E550" s="159"/>
      <c r="F550" s="159"/>
      <c r="G550" s="159"/>
      <c r="H550" s="159"/>
      <c r="I550" s="159"/>
      <c r="J550" s="159"/>
      <c r="K550" s="159"/>
      <c r="L550" s="159"/>
      <c r="N550" s="159"/>
      <c r="O550" s="159"/>
      <c r="P550" s="159"/>
      <c r="Q550" s="159"/>
      <c r="R550" s="159"/>
      <c r="S550" s="159"/>
      <c r="T550" s="159"/>
      <c r="U550" s="159"/>
      <c r="V550" s="159"/>
      <c r="W550" s="159"/>
      <c r="X550" s="159"/>
      <c r="Y550" s="159"/>
      <c r="Z550" s="159"/>
      <c r="AA550" s="159"/>
      <c r="AB550" s="159"/>
    </row>
    <row r="551">
      <c r="A551" s="159"/>
      <c r="B551" s="159"/>
      <c r="C551" s="159"/>
      <c r="D551" s="159"/>
      <c r="E551" s="159"/>
      <c r="F551" s="159"/>
      <c r="G551" s="159"/>
      <c r="H551" s="159"/>
      <c r="I551" s="159"/>
      <c r="J551" s="159"/>
      <c r="K551" s="159"/>
      <c r="L551" s="159"/>
      <c r="N551" s="159"/>
      <c r="O551" s="159"/>
      <c r="P551" s="159"/>
      <c r="Q551" s="159"/>
      <c r="R551" s="159"/>
      <c r="S551" s="159"/>
      <c r="T551" s="159"/>
      <c r="U551" s="159"/>
      <c r="V551" s="159"/>
      <c r="W551" s="159"/>
      <c r="X551" s="159"/>
      <c r="Y551" s="159"/>
      <c r="Z551" s="159"/>
      <c r="AA551" s="159"/>
      <c r="AB551" s="159"/>
    </row>
    <row r="552">
      <c r="A552" s="159"/>
      <c r="B552" s="159"/>
      <c r="C552" s="159"/>
      <c r="D552" s="159"/>
      <c r="E552" s="159"/>
      <c r="F552" s="159"/>
      <c r="G552" s="159"/>
      <c r="H552" s="159"/>
      <c r="I552" s="159"/>
      <c r="J552" s="159"/>
      <c r="K552" s="159"/>
      <c r="L552" s="159"/>
      <c r="N552" s="159"/>
      <c r="O552" s="159"/>
      <c r="P552" s="159"/>
      <c r="Q552" s="159"/>
      <c r="R552" s="159"/>
      <c r="S552" s="159"/>
      <c r="T552" s="159"/>
      <c r="U552" s="159"/>
      <c r="V552" s="159"/>
      <c r="W552" s="159"/>
      <c r="X552" s="159"/>
      <c r="Y552" s="159"/>
      <c r="Z552" s="159"/>
      <c r="AA552" s="159"/>
      <c r="AB552" s="159"/>
    </row>
    <row r="553">
      <c r="A553" s="159"/>
      <c r="B553" s="159"/>
      <c r="C553" s="159"/>
      <c r="D553" s="159"/>
      <c r="E553" s="159"/>
      <c r="F553" s="159"/>
      <c r="G553" s="159"/>
      <c r="H553" s="159"/>
      <c r="I553" s="159"/>
      <c r="J553" s="159"/>
      <c r="K553" s="159"/>
      <c r="L553" s="159"/>
      <c r="N553" s="159"/>
      <c r="O553" s="159"/>
      <c r="P553" s="159"/>
      <c r="Q553" s="159"/>
      <c r="R553" s="159"/>
      <c r="S553" s="159"/>
      <c r="T553" s="159"/>
      <c r="U553" s="159"/>
      <c r="V553" s="159"/>
      <c r="W553" s="159"/>
      <c r="X553" s="159"/>
      <c r="Y553" s="159"/>
      <c r="Z553" s="159"/>
      <c r="AA553" s="159"/>
      <c r="AB553" s="159"/>
    </row>
    <row r="554">
      <c r="A554" s="159"/>
      <c r="B554" s="159"/>
      <c r="C554" s="159"/>
      <c r="D554" s="159"/>
      <c r="E554" s="159"/>
      <c r="F554" s="159"/>
      <c r="G554" s="159"/>
      <c r="H554" s="159"/>
      <c r="I554" s="159"/>
      <c r="J554" s="159"/>
      <c r="K554" s="159"/>
      <c r="L554" s="159"/>
      <c r="N554" s="159"/>
      <c r="O554" s="159"/>
      <c r="P554" s="159"/>
      <c r="Q554" s="159"/>
      <c r="R554" s="159"/>
      <c r="S554" s="159"/>
      <c r="T554" s="159"/>
      <c r="U554" s="159"/>
      <c r="V554" s="159"/>
      <c r="W554" s="159"/>
      <c r="X554" s="159"/>
      <c r="Y554" s="159"/>
      <c r="Z554" s="159"/>
      <c r="AA554" s="159"/>
      <c r="AB554" s="159"/>
    </row>
    <row r="555">
      <c r="A555" s="159"/>
      <c r="B555" s="159"/>
      <c r="C555" s="159"/>
      <c r="D555" s="159"/>
      <c r="E555" s="159"/>
      <c r="F555" s="159"/>
      <c r="G555" s="159"/>
      <c r="H555" s="159"/>
      <c r="I555" s="159"/>
      <c r="J555" s="159"/>
      <c r="K555" s="159"/>
      <c r="L555" s="159"/>
      <c r="N555" s="159"/>
      <c r="O555" s="159"/>
      <c r="P555" s="159"/>
      <c r="Q555" s="159"/>
      <c r="R555" s="159"/>
      <c r="S555" s="159"/>
      <c r="T555" s="159"/>
      <c r="U555" s="159"/>
      <c r="V555" s="159"/>
      <c r="W555" s="159"/>
      <c r="X555" s="159"/>
      <c r="Y555" s="159"/>
      <c r="Z555" s="159"/>
      <c r="AA555" s="159"/>
      <c r="AB555" s="159"/>
    </row>
    <row r="556">
      <c r="A556" s="159"/>
      <c r="B556" s="159"/>
      <c r="C556" s="159"/>
      <c r="D556" s="159"/>
      <c r="E556" s="159"/>
      <c r="F556" s="159"/>
      <c r="G556" s="159"/>
      <c r="H556" s="159"/>
      <c r="I556" s="159"/>
      <c r="J556" s="159"/>
      <c r="K556" s="159"/>
      <c r="L556" s="159"/>
      <c r="N556" s="159"/>
      <c r="O556" s="159"/>
      <c r="P556" s="159"/>
      <c r="Q556" s="159"/>
      <c r="R556" s="159"/>
      <c r="S556" s="159"/>
      <c r="T556" s="159"/>
      <c r="U556" s="159"/>
      <c r="V556" s="159"/>
      <c r="W556" s="159"/>
      <c r="X556" s="159"/>
      <c r="Y556" s="159"/>
      <c r="Z556" s="159"/>
      <c r="AA556" s="159"/>
      <c r="AB556" s="159"/>
    </row>
    <row r="557">
      <c r="A557" s="159"/>
      <c r="B557" s="159"/>
      <c r="C557" s="159"/>
      <c r="D557" s="159"/>
      <c r="E557" s="159"/>
      <c r="F557" s="159"/>
      <c r="G557" s="159"/>
      <c r="H557" s="159"/>
      <c r="I557" s="159"/>
      <c r="J557" s="159"/>
      <c r="K557" s="159"/>
      <c r="L557" s="159"/>
      <c r="N557" s="159"/>
      <c r="O557" s="159"/>
      <c r="P557" s="159"/>
      <c r="Q557" s="159"/>
      <c r="R557" s="159"/>
      <c r="S557" s="159"/>
      <c r="T557" s="159"/>
      <c r="U557" s="159"/>
      <c r="V557" s="159"/>
      <c r="W557" s="159"/>
      <c r="X557" s="159"/>
      <c r="Y557" s="159"/>
      <c r="Z557" s="159"/>
      <c r="AA557" s="159"/>
      <c r="AB557" s="159"/>
    </row>
    <row r="558">
      <c r="A558" s="159"/>
      <c r="B558" s="159"/>
      <c r="C558" s="159"/>
      <c r="D558" s="159"/>
      <c r="E558" s="159"/>
      <c r="F558" s="159"/>
      <c r="G558" s="159"/>
      <c r="H558" s="159"/>
      <c r="I558" s="159"/>
      <c r="J558" s="159"/>
      <c r="K558" s="159"/>
      <c r="L558" s="159"/>
      <c r="N558" s="159"/>
      <c r="O558" s="159"/>
      <c r="P558" s="159"/>
      <c r="Q558" s="159"/>
      <c r="R558" s="159"/>
      <c r="S558" s="159"/>
      <c r="T558" s="159"/>
      <c r="U558" s="159"/>
      <c r="V558" s="159"/>
      <c r="W558" s="159"/>
      <c r="X558" s="159"/>
      <c r="Y558" s="159"/>
      <c r="Z558" s="159"/>
      <c r="AA558" s="159"/>
      <c r="AB558" s="159"/>
    </row>
    <row r="559">
      <c r="A559" s="159"/>
      <c r="B559" s="159"/>
      <c r="C559" s="159"/>
      <c r="D559" s="159"/>
      <c r="E559" s="159"/>
      <c r="F559" s="159"/>
      <c r="G559" s="159"/>
      <c r="H559" s="159"/>
      <c r="I559" s="159"/>
      <c r="J559" s="159"/>
      <c r="K559" s="159"/>
      <c r="L559" s="159"/>
      <c r="N559" s="159"/>
      <c r="O559" s="159"/>
      <c r="P559" s="159"/>
      <c r="Q559" s="159"/>
      <c r="R559" s="159"/>
      <c r="S559" s="159"/>
      <c r="T559" s="159"/>
      <c r="U559" s="159"/>
      <c r="V559" s="159"/>
      <c r="W559" s="159"/>
      <c r="X559" s="159"/>
      <c r="Y559" s="159"/>
      <c r="Z559" s="159"/>
      <c r="AA559" s="159"/>
      <c r="AB559" s="159"/>
    </row>
    <row r="560">
      <c r="A560" s="159"/>
      <c r="B560" s="159"/>
      <c r="C560" s="159"/>
      <c r="D560" s="159"/>
      <c r="E560" s="159"/>
      <c r="F560" s="159"/>
      <c r="G560" s="159"/>
      <c r="H560" s="159"/>
      <c r="I560" s="159"/>
      <c r="J560" s="159"/>
      <c r="K560" s="159"/>
      <c r="L560" s="159"/>
      <c r="N560" s="159"/>
      <c r="O560" s="159"/>
      <c r="P560" s="159"/>
      <c r="Q560" s="159"/>
      <c r="R560" s="159"/>
      <c r="S560" s="159"/>
      <c r="T560" s="159"/>
      <c r="U560" s="159"/>
      <c r="V560" s="159"/>
      <c r="W560" s="159"/>
      <c r="X560" s="159"/>
      <c r="Y560" s="159"/>
      <c r="Z560" s="159"/>
      <c r="AA560" s="159"/>
      <c r="AB560" s="159"/>
    </row>
    <row r="561">
      <c r="A561" s="159"/>
      <c r="B561" s="159"/>
      <c r="C561" s="159"/>
      <c r="D561" s="159"/>
      <c r="E561" s="159"/>
      <c r="F561" s="159"/>
      <c r="G561" s="159"/>
      <c r="H561" s="159"/>
      <c r="I561" s="159"/>
      <c r="J561" s="159"/>
      <c r="K561" s="159"/>
      <c r="L561" s="159"/>
      <c r="N561" s="159"/>
      <c r="O561" s="159"/>
      <c r="P561" s="159"/>
      <c r="Q561" s="159"/>
      <c r="R561" s="159"/>
      <c r="S561" s="159"/>
      <c r="T561" s="159"/>
      <c r="U561" s="159"/>
      <c r="V561" s="159"/>
      <c r="W561" s="159"/>
      <c r="X561" s="159"/>
      <c r="Y561" s="159"/>
      <c r="Z561" s="159"/>
      <c r="AA561" s="159"/>
      <c r="AB561" s="159"/>
    </row>
    <row r="562">
      <c r="A562" s="159"/>
      <c r="B562" s="159"/>
      <c r="C562" s="159"/>
      <c r="D562" s="159"/>
      <c r="E562" s="159"/>
      <c r="F562" s="159"/>
      <c r="G562" s="159"/>
      <c r="H562" s="159"/>
      <c r="I562" s="159"/>
      <c r="J562" s="159"/>
      <c r="K562" s="159"/>
      <c r="L562" s="159"/>
      <c r="N562" s="159"/>
      <c r="O562" s="159"/>
      <c r="P562" s="159"/>
      <c r="Q562" s="159"/>
      <c r="R562" s="159"/>
      <c r="S562" s="159"/>
      <c r="T562" s="159"/>
      <c r="U562" s="159"/>
      <c r="V562" s="159"/>
      <c r="W562" s="159"/>
      <c r="X562" s="159"/>
      <c r="Y562" s="159"/>
      <c r="Z562" s="159"/>
      <c r="AA562" s="159"/>
      <c r="AB562" s="159"/>
    </row>
    <row r="563">
      <c r="A563" s="159"/>
      <c r="B563" s="159"/>
      <c r="C563" s="159"/>
      <c r="D563" s="159"/>
      <c r="E563" s="159"/>
      <c r="F563" s="159"/>
      <c r="G563" s="159"/>
      <c r="H563" s="159"/>
      <c r="I563" s="159"/>
      <c r="J563" s="159"/>
      <c r="K563" s="159"/>
      <c r="L563" s="159"/>
      <c r="N563" s="159"/>
      <c r="O563" s="159"/>
      <c r="P563" s="159"/>
      <c r="Q563" s="159"/>
      <c r="R563" s="159"/>
      <c r="S563" s="159"/>
      <c r="T563" s="159"/>
      <c r="U563" s="159"/>
      <c r="V563" s="159"/>
      <c r="W563" s="159"/>
      <c r="X563" s="159"/>
      <c r="Y563" s="159"/>
      <c r="Z563" s="159"/>
      <c r="AA563" s="159"/>
      <c r="AB563" s="159"/>
    </row>
    <row r="564">
      <c r="A564" s="159"/>
      <c r="B564" s="159"/>
      <c r="C564" s="159"/>
      <c r="D564" s="159"/>
      <c r="E564" s="159"/>
      <c r="F564" s="159"/>
      <c r="G564" s="159"/>
      <c r="H564" s="159"/>
      <c r="I564" s="159"/>
      <c r="J564" s="159"/>
      <c r="K564" s="159"/>
      <c r="L564" s="159"/>
      <c r="N564" s="159"/>
      <c r="O564" s="159"/>
      <c r="P564" s="159"/>
      <c r="Q564" s="159"/>
      <c r="R564" s="159"/>
      <c r="S564" s="159"/>
      <c r="T564" s="159"/>
      <c r="U564" s="159"/>
      <c r="V564" s="159"/>
      <c r="W564" s="159"/>
      <c r="X564" s="159"/>
      <c r="Y564" s="159"/>
      <c r="Z564" s="159"/>
      <c r="AA564" s="159"/>
      <c r="AB564" s="159"/>
    </row>
    <row r="565">
      <c r="A565" s="159"/>
      <c r="B565" s="159"/>
      <c r="C565" s="159"/>
      <c r="D565" s="159"/>
      <c r="E565" s="159"/>
      <c r="F565" s="159"/>
      <c r="G565" s="159"/>
      <c r="H565" s="159"/>
      <c r="I565" s="159"/>
      <c r="J565" s="159"/>
      <c r="K565" s="159"/>
      <c r="L565" s="159"/>
      <c r="N565" s="159"/>
      <c r="O565" s="159"/>
      <c r="P565" s="159"/>
      <c r="Q565" s="159"/>
      <c r="R565" s="159"/>
      <c r="S565" s="159"/>
      <c r="T565" s="159"/>
      <c r="U565" s="159"/>
      <c r="V565" s="159"/>
      <c r="W565" s="159"/>
      <c r="X565" s="159"/>
      <c r="Y565" s="159"/>
      <c r="Z565" s="159"/>
      <c r="AA565" s="159"/>
      <c r="AB565" s="159"/>
    </row>
    <row r="566">
      <c r="A566" s="159"/>
      <c r="B566" s="159"/>
      <c r="C566" s="159"/>
      <c r="D566" s="159"/>
      <c r="E566" s="159"/>
      <c r="F566" s="159"/>
      <c r="G566" s="159"/>
      <c r="H566" s="159"/>
      <c r="I566" s="159"/>
      <c r="J566" s="159"/>
      <c r="K566" s="159"/>
      <c r="L566" s="159"/>
      <c r="N566" s="159"/>
      <c r="O566" s="159"/>
      <c r="P566" s="159"/>
      <c r="Q566" s="159"/>
      <c r="R566" s="159"/>
      <c r="S566" s="159"/>
      <c r="T566" s="159"/>
      <c r="U566" s="159"/>
      <c r="V566" s="159"/>
      <c r="W566" s="159"/>
      <c r="X566" s="159"/>
      <c r="Y566" s="159"/>
      <c r="Z566" s="159"/>
      <c r="AA566" s="159"/>
      <c r="AB566" s="159"/>
    </row>
    <row r="567">
      <c r="A567" s="159"/>
      <c r="B567" s="159"/>
      <c r="C567" s="159"/>
      <c r="D567" s="159"/>
      <c r="E567" s="159"/>
      <c r="F567" s="159"/>
      <c r="G567" s="159"/>
      <c r="H567" s="159"/>
      <c r="I567" s="159"/>
      <c r="J567" s="159"/>
      <c r="K567" s="159"/>
      <c r="L567" s="159"/>
      <c r="N567" s="159"/>
      <c r="O567" s="159"/>
      <c r="P567" s="159"/>
      <c r="Q567" s="159"/>
      <c r="R567" s="159"/>
      <c r="S567" s="159"/>
      <c r="T567" s="159"/>
      <c r="U567" s="159"/>
      <c r="V567" s="159"/>
      <c r="W567" s="159"/>
      <c r="X567" s="159"/>
      <c r="Y567" s="159"/>
      <c r="Z567" s="159"/>
      <c r="AA567" s="159"/>
      <c r="AB567" s="159"/>
    </row>
    <row r="568">
      <c r="A568" s="159"/>
      <c r="B568" s="159"/>
      <c r="C568" s="159"/>
      <c r="D568" s="159"/>
      <c r="E568" s="159"/>
      <c r="F568" s="159"/>
      <c r="G568" s="159"/>
      <c r="H568" s="159"/>
      <c r="I568" s="159"/>
      <c r="J568" s="159"/>
      <c r="K568" s="159"/>
      <c r="L568" s="159"/>
      <c r="N568" s="159"/>
      <c r="O568" s="159"/>
      <c r="P568" s="159"/>
      <c r="Q568" s="159"/>
      <c r="R568" s="159"/>
      <c r="S568" s="159"/>
      <c r="T568" s="159"/>
      <c r="U568" s="159"/>
      <c r="V568" s="159"/>
      <c r="W568" s="159"/>
      <c r="X568" s="159"/>
      <c r="Y568" s="159"/>
      <c r="Z568" s="159"/>
      <c r="AA568" s="159"/>
      <c r="AB568" s="159"/>
    </row>
    <row r="569">
      <c r="A569" s="159"/>
      <c r="B569" s="159"/>
      <c r="C569" s="159"/>
      <c r="D569" s="159"/>
      <c r="E569" s="159"/>
      <c r="F569" s="159"/>
      <c r="G569" s="159"/>
      <c r="H569" s="159"/>
      <c r="I569" s="159"/>
      <c r="J569" s="159"/>
      <c r="K569" s="159"/>
      <c r="L569" s="159"/>
      <c r="N569" s="159"/>
      <c r="O569" s="159"/>
      <c r="P569" s="159"/>
      <c r="Q569" s="159"/>
      <c r="R569" s="159"/>
      <c r="S569" s="159"/>
      <c r="T569" s="159"/>
      <c r="U569" s="159"/>
      <c r="V569" s="159"/>
      <c r="W569" s="159"/>
      <c r="X569" s="159"/>
      <c r="Y569" s="159"/>
      <c r="Z569" s="159"/>
      <c r="AA569" s="159"/>
      <c r="AB569" s="159"/>
    </row>
    <row r="570">
      <c r="A570" s="159"/>
      <c r="B570" s="159"/>
      <c r="C570" s="159"/>
      <c r="D570" s="159"/>
      <c r="E570" s="159"/>
      <c r="F570" s="159"/>
      <c r="G570" s="159"/>
      <c r="H570" s="159"/>
      <c r="I570" s="159"/>
      <c r="J570" s="159"/>
      <c r="K570" s="159"/>
      <c r="L570" s="159"/>
      <c r="N570" s="159"/>
      <c r="O570" s="159"/>
      <c r="P570" s="159"/>
      <c r="Q570" s="159"/>
      <c r="R570" s="159"/>
      <c r="S570" s="159"/>
      <c r="T570" s="159"/>
      <c r="U570" s="159"/>
      <c r="V570" s="159"/>
      <c r="W570" s="159"/>
      <c r="X570" s="159"/>
      <c r="Y570" s="159"/>
      <c r="Z570" s="159"/>
      <c r="AA570" s="159"/>
      <c r="AB570" s="159"/>
    </row>
    <row r="571">
      <c r="A571" s="159"/>
      <c r="B571" s="159"/>
      <c r="C571" s="159"/>
      <c r="D571" s="159"/>
      <c r="E571" s="159"/>
      <c r="F571" s="159"/>
      <c r="G571" s="159"/>
      <c r="H571" s="159"/>
      <c r="I571" s="159"/>
      <c r="J571" s="159"/>
      <c r="K571" s="159"/>
      <c r="L571" s="159"/>
      <c r="N571" s="159"/>
      <c r="O571" s="159"/>
      <c r="P571" s="159"/>
      <c r="Q571" s="159"/>
      <c r="R571" s="159"/>
      <c r="S571" s="159"/>
      <c r="T571" s="159"/>
      <c r="U571" s="159"/>
      <c r="V571" s="159"/>
      <c r="W571" s="159"/>
      <c r="X571" s="159"/>
      <c r="Y571" s="159"/>
      <c r="Z571" s="159"/>
      <c r="AA571" s="159"/>
      <c r="AB571" s="159"/>
    </row>
    <row r="572">
      <c r="A572" s="159"/>
      <c r="B572" s="159"/>
      <c r="C572" s="159"/>
      <c r="D572" s="159"/>
      <c r="E572" s="159"/>
      <c r="F572" s="159"/>
      <c r="G572" s="159"/>
      <c r="H572" s="159"/>
      <c r="I572" s="159"/>
      <c r="J572" s="159"/>
      <c r="K572" s="159"/>
      <c r="L572" s="159"/>
      <c r="N572" s="159"/>
      <c r="O572" s="159"/>
      <c r="P572" s="159"/>
      <c r="Q572" s="159"/>
      <c r="R572" s="159"/>
      <c r="S572" s="159"/>
      <c r="T572" s="159"/>
      <c r="U572" s="159"/>
      <c r="V572" s="159"/>
      <c r="W572" s="159"/>
      <c r="X572" s="159"/>
      <c r="Y572" s="159"/>
      <c r="Z572" s="159"/>
      <c r="AA572" s="159"/>
      <c r="AB572" s="159"/>
    </row>
    <row r="573">
      <c r="A573" s="159"/>
      <c r="B573" s="159"/>
      <c r="C573" s="159"/>
      <c r="D573" s="159"/>
      <c r="E573" s="159"/>
      <c r="F573" s="159"/>
      <c r="G573" s="159"/>
      <c r="H573" s="159"/>
      <c r="I573" s="159"/>
      <c r="J573" s="159"/>
      <c r="K573" s="159"/>
      <c r="L573" s="159"/>
      <c r="N573" s="159"/>
      <c r="O573" s="159"/>
      <c r="P573" s="159"/>
      <c r="Q573" s="159"/>
      <c r="R573" s="159"/>
      <c r="S573" s="159"/>
      <c r="T573" s="159"/>
      <c r="U573" s="159"/>
      <c r="V573" s="159"/>
      <c r="W573" s="159"/>
      <c r="X573" s="159"/>
      <c r="Y573" s="159"/>
      <c r="Z573" s="159"/>
      <c r="AA573" s="159"/>
      <c r="AB573" s="159"/>
    </row>
    <row r="574">
      <c r="A574" s="159"/>
      <c r="B574" s="159"/>
      <c r="C574" s="159"/>
      <c r="D574" s="159"/>
      <c r="E574" s="159"/>
      <c r="F574" s="159"/>
      <c r="G574" s="159"/>
      <c r="H574" s="159"/>
      <c r="I574" s="159"/>
      <c r="J574" s="159"/>
      <c r="K574" s="159"/>
      <c r="L574" s="159"/>
      <c r="N574" s="159"/>
      <c r="O574" s="159"/>
      <c r="P574" s="159"/>
      <c r="Q574" s="159"/>
      <c r="R574" s="159"/>
      <c r="S574" s="159"/>
      <c r="T574" s="159"/>
      <c r="U574" s="159"/>
      <c r="V574" s="159"/>
      <c r="W574" s="159"/>
      <c r="X574" s="159"/>
      <c r="Y574" s="159"/>
      <c r="Z574" s="159"/>
      <c r="AA574" s="159"/>
      <c r="AB574" s="159"/>
    </row>
    <row r="575">
      <c r="A575" s="159"/>
      <c r="B575" s="159"/>
      <c r="C575" s="159"/>
      <c r="D575" s="159"/>
      <c r="E575" s="159"/>
      <c r="F575" s="159"/>
      <c r="G575" s="159"/>
      <c r="H575" s="159"/>
      <c r="I575" s="159"/>
      <c r="J575" s="159"/>
      <c r="K575" s="159"/>
      <c r="L575" s="159"/>
      <c r="N575" s="159"/>
      <c r="O575" s="159"/>
      <c r="P575" s="159"/>
      <c r="Q575" s="159"/>
      <c r="R575" s="159"/>
      <c r="S575" s="159"/>
      <c r="T575" s="159"/>
      <c r="U575" s="159"/>
      <c r="V575" s="159"/>
      <c r="W575" s="159"/>
      <c r="X575" s="159"/>
      <c r="Y575" s="159"/>
      <c r="Z575" s="159"/>
      <c r="AA575" s="159"/>
      <c r="AB575" s="159"/>
    </row>
    <row r="576">
      <c r="A576" s="159"/>
      <c r="B576" s="159"/>
      <c r="C576" s="159"/>
      <c r="D576" s="159"/>
      <c r="E576" s="159"/>
      <c r="F576" s="159"/>
      <c r="G576" s="159"/>
      <c r="H576" s="159"/>
      <c r="I576" s="159"/>
      <c r="J576" s="159"/>
      <c r="K576" s="159"/>
      <c r="L576" s="159"/>
      <c r="N576" s="159"/>
      <c r="O576" s="159"/>
      <c r="P576" s="159"/>
      <c r="Q576" s="159"/>
      <c r="R576" s="159"/>
      <c r="S576" s="159"/>
      <c r="T576" s="159"/>
      <c r="U576" s="159"/>
      <c r="V576" s="159"/>
      <c r="W576" s="159"/>
      <c r="X576" s="159"/>
      <c r="Y576" s="159"/>
      <c r="Z576" s="159"/>
      <c r="AA576" s="159"/>
      <c r="AB576" s="159"/>
    </row>
    <row r="577">
      <c r="A577" s="159"/>
      <c r="B577" s="159"/>
      <c r="C577" s="159"/>
      <c r="D577" s="159"/>
      <c r="E577" s="159"/>
      <c r="F577" s="159"/>
      <c r="G577" s="159"/>
      <c r="H577" s="159"/>
      <c r="I577" s="159"/>
      <c r="J577" s="159"/>
      <c r="K577" s="159"/>
      <c r="L577" s="159"/>
      <c r="N577" s="159"/>
      <c r="O577" s="159"/>
      <c r="P577" s="159"/>
      <c r="Q577" s="159"/>
      <c r="R577" s="159"/>
      <c r="S577" s="159"/>
      <c r="T577" s="159"/>
      <c r="U577" s="159"/>
      <c r="V577" s="159"/>
      <c r="W577" s="159"/>
      <c r="X577" s="159"/>
      <c r="Y577" s="159"/>
      <c r="Z577" s="159"/>
      <c r="AA577" s="159"/>
      <c r="AB577" s="159"/>
    </row>
    <row r="578">
      <c r="A578" s="159"/>
      <c r="B578" s="159"/>
      <c r="C578" s="159"/>
      <c r="D578" s="159"/>
      <c r="E578" s="159"/>
      <c r="F578" s="159"/>
      <c r="G578" s="159"/>
      <c r="H578" s="159"/>
      <c r="I578" s="159"/>
      <c r="J578" s="159"/>
      <c r="K578" s="159"/>
      <c r="L578" s="159"/>
      <c r="N578" s="159"/>
      <c r="O578" s="159"/>
      <c r="P578" s="159"/>
      <c r="Q578" s="159"/>
      <c r="R578" s="159"/>
      <c r="S578" s="159"/>
      <c r="T578" s="159"/>
      <c r="U578" s="159"/>
      <c r="V578" s="159"/>
      <c r="W578" s="159"/>
      <c r="X578" s="159"/>
      <c r="Y578" s="159"/>
      <c r="Z578" s="159"/>
      <c r="AA578" s="159"/>
      <c r="AB578" s="159"/>
    </row>
    <row r="579">
      <c r="A579" s="159"/>
      <c r="B579" s="159"/>
      <c r="C579" s="159"/>
      <c r="D579" s="159"/>
      <c r="E579" s="159"/>
      <c r="F579" s="159"/>
      <c r="G579" s="159"/>
      <c r="H579" s="159"/>
      <c r="I579" s="159"/>
      <c r="J579" s="159"/>
      <c r="K579" s="159"/>
      <c r="L579" s="159"/>
      <c r="N579" s="159"/>
      <c r="O579" s="159"/>
      <c r="P579" s="159"/>
      <c r="Q579" s="159"/>
      <c r="R579" s="159"/>
      <c r="S579" s="159"/>
      <c r="T579" s="159"/>
      <c r="U579" s="159"/>
      <c r="V579" s="159"/>
      <c r="W579" s="159"/>
      <c r="X579" s="159"/>
      <c r="Y579" s="159"/>
      <c r="Z579" s="159"/>
      <c r="AA579" s="159"/>
      <c r="AB579" s="159"/>
    </row>
    <row r="580">
      <c r="A580" s="159"/>
      <c r="B580" s="159"/>
      <c r="C580" s="159"/>
      <c r="D580" s="159"/>
      <c r="E580" s="159"/>
      <c r="F580" s="159"/>
      <c r="G580" s="159"/>
      <c r="H580" s="159"/>
      <c r="I580" s="159"/>
      <c r="J580" s="159"/>
      <c r="K580" s="159"/>
      <c r="L580" s="159"/>
      <c r="N580" s="159"/>
      <c r="O580" s="159"/>
      <c r="P580" s="159"/>
      <c r="Q580" s="159"/>
      <c r="R580" s="159"/>
      <c r="S580" s="159"/>
      <c r="T580" s="159"/>
      <c r="U580" s="159"/>
      <c r="V580" s="159"/>
      <c r="W580" s="159"/>
      <c r="X580" s="159"/>
      <c r="Y580" s="159"/>
      <c r="Z580" s="159"/>
      <c r="AA580" s="159"/>
      <c r="AB580" s="159"/>
    </row>
    <row r="581">
      <c r="A581" s="159"/>
      <c r="B581" s="159"/>
      <c r="C581" s="159"/>
      <c r="D581" s="159"/>
      <c r="E581" s="159"/>
      <c r="F581" s="159"/>
      <c r="G581" s="159"/>
      <c r="H581" s="159"/>
      <c r="I581" s="159"/>
      <c r="J581" s="159"/>
      <c r="K581" s="159"/>
      <c r="L581" s="159"/>
      <c r="N581" s="159"/>
      <c r="O581" s="159"/>
      <c r="P581" s="159"/>
      <c r="Q581" s="159"/>
      <c r="R581" s="159"/>
      <c r="S581" s="159"/>
      <c r="T581" s="159"/>
      <c r="U581" s="159"/>
      <c r="V581" s="159"/>
      <c r="W581" s="159"/>
      <c r="X581" s="159"/>
      <c r="Y581" s="159"/>
      <c r="Z581" s="159"/>
      <c r="AA581" s="159"/>
      <c r="AB581" s="159"/>
    </row>
    <row r="582">
      <c r="A582" s="159"/>
      <c r="B582" s="159"/>
      <c r="C582" s="159"/>
      <c r="D582" s="159"/>
      <c r="E582" s="159"/>
      <c r="F582" s="159"/>
      <c r="G582" s="159"/>
      <c r="H582" s="159"/>
      <c r="I582" s="159"/>
      <c r="J582" s="159"/>
      <c r="K582" s="159"/>
      <c r="L582" s="159"/>
      <c r="N582" s="159"/>
      <c r="O582" s="159"/>
      <c r="P582" s="159"/>
      <c r="Q582" s="159"/>
      <c r="R582" s="159"/>
      <c r="S582" s="159"/>
      <c r="T582" s="159"/>
      <c r="U582" s="159"/>
      <c r="V582" s="159"/>
      <c r="W582" s="159"/>
      <c r="X582" s="159"/>
      <c r="Y582" s="159"/>
      <c r="Z582" s="159"/>
      <c r="AA582" s="159"/>
      <c r="AB582" s="159"/>
    </row>
    <row r="583">
      <c r="A583" s="159"/>
      <c r="B583" s="159"/>
      <c r="C583" s="159"/>
      <c r="D583" s="159"/>
      <c r="E583" s="159"/>
      <c r="F583" s="159"/>
      <c r="G583" s="159"/>
      <c r="H583" s="159"/>
      <c r="I583" s="159"/>
      <c r="J583" s="159"/>
      <c r="K583" s="159"/>
      <c r="L583" s="159"/>
      <c r="N583" s="159"/>
      <c r="O583" s="159"/>
      <c r="P583" s="159"/>
      <c r="Q583" s="159"/>
      <c r="R583" s="159"/>
      <c r="S583" s="159"/>
      <c r="T583" s="159"/>
      <c r="U583" s="159"/>
      <c r="V583" s="159"/>
      <c r="W583" s="159"/>
      <c r="X583" s="159"/>
      <c r="Y583" s="159"/>
      <c r="Z583" s="159"/>
      <c r="AA583" s="159"/>
      <c r="AB583" s="159"/>
    </row>
    <row r="584">
      <c r="A584" s="159"/>
      <c r="B584" s="159"/>
      <c r="C584" s="159"/>
      <c r="D584" s="159"/>
      <c r="E584" s="159"/>
      <c r="F584" s="159"/>
      <c r="G584" s="159"/>
      <c r="H584" s="159"/>
      <c r="I584" s="159"/>
      <c r="J584" s="159"/>
      <c r="K584" s="159"/>
      <c r="L584" s="159"/>
      <c r="N584" s="159"/>
      <c r="O584" s="159"/>
      <c r="P584" s="159"/>
      <c r="Q584" s="159"/>
      <c r="R584" s="159"/>
      <c r="S584" s="159"/>
      <c r="T584" s="159"/>
      <c r="U584" s="159"/>
      <c r="V584" s="159"/>
      <c r="W584" s="159"/>
      <c r="X584" s="159"/>
      <c r="Y584" s="159"/>
      <c r="Z584" s="159"/>
      <c r="AA584" s="159"/>
      <c r="AB584" s="159"/>
    </row>
    <row r="585">
      <c r="A585" s="159"/>
      <c r="B585" s="159"/>
      <c r="C585" s="159"/>
      <c r="D585" s="159"/>
      <c r="E585" s="159"/>
      <c r="F585" s="159"/>
      <c r="G585" s="159"/>
      <c r="H585" s="159"/>
      <c r="I585" s="159"/>
      <c r="J585" s="159"/>
      <c r="K585" s="159"/>
      <c r="L585" s="159"/>
      <c r="N585" s="159"/>
      <c r="O585" s="159"/>
      <c r="P585" s="159"/>
      <c r="Q585" s="159"/>
      <c r="R585" s="159"/>
      <c r="S585" s="159"/>
      <c r="T585" s="159"/>
      <c r="U585" s="159"/>
      <c r="V585" s="159"/>
      <c r="W585" s="159"/>
      <c r="X585" s="159"/>
      <c r="Y585" s="159"/>
      <c r="Z585" s="159"/>
      <c r="AA585" s="159"/>
      <c r="AB585" s="159"/>
    </row>
    <row r="586">
      <c r="A586" s="159"/>
      <c r="B586" s="159"/>
      <c r="C586" s="159"/>
      <c r="D586" s="159"/>
      <c r="E586" s="159"/>
      <c r="F586" s="159"/>
      <c r="G586" s="159"/>
      <c r="H586" s="159"/>
      <c r="I586" s="159"/>
      <c r="J586" s="159"/>
      <c r="K586" s="159"/>
      <c r="L586" s="159"/>
      <c r="N586" s="159"/>
      <c r="O586" s="159"/>
      <c r="P586" s="159"/>
      <c r="Q586" s="159"/>
      <c r="R586" s="159"/>
      <c r="S586" s="159"/>
      <c r="T586" s="159"/>
      <c r="U586" s="159"/>
      <c r="V586" s="159"/>
      <c r="W586" s="159"/>
      <c r="X586" s="159"/>
      <c r="Y586" s="159"/>
      <c r="Z586" s="159"/>
      <c r="AA586" s="159"/>
      <c r="AB586" s="159"/>
    </row>
    <row r="587">
      <c r="A587" s="159"/>
      <c r="B587" s="159"/>
      <c r="C587" s="159"/>
      <c r="D587" s="159"/>
      <c r="E587" s="159"/>
      <c r="F587" s="159"/>
      <c r="G587" s="159"/>
      <c r="H587" s="159"/>
      <c r="I587" s="159"/>
      <c r="J587" s="159"/>
      <c r="K587" s="159"/>
      <c r="L587" s="159"/>
      <c r="N587" s="159"/>
      <c r="O587" s="159"/>
      <c r="P587" s="159"/>
      <c r="Q587" s="159"/>
      <c r="R587" s="159"/>
      <c r="S587" s="159"/>
      <c r="T587" s="159"/>
      <c r="U587" s="159"/>
      <c r="V587" s="159"/>
      <c r="W587" s="159"/>
      <c r="X587" s="159"/>
      <c r="Y587" s="159"/>
      <c r="Z587" s="159"/>
      <c r="AA587" s="159"/>
      <c r="AB587" s="159"/>
    </row>
    <row r="588">
      <c r="A588" s="159"/>
      <c r="B588" s="159"/>
      <c r="C588" s="159"/>
      <c r="D588" s="159"/>
      <c r="E588" s="159"/>
      <c r="F588" s="159"/>
      <c r="G588" s="159"/>
      <c r="H588" s="159"/>
      <c r="I588" s="159"/>
      <c r="J588" s="159"/>
      <c r="K588" s="159"/>
      <c r="L588" s="159"/>
      <c r="N588" s="159"/>
      <c r="O588" s="159"/>
      <c r="P588" s="159"/>
      <c r="Q588" s="159"/>
      <c r="R588" s="159"/>
      <c r="S588" s="159"/>
      <c r="T588" s="159"/>
      <c r="U588" s="159"/>
      <c r="V588" s="159"/>
      <c r="W588" s="159"/>
      <c r="X588" s="159"/>
      <c r="Y588" s="159"/>
      <c r="Z588" s="159"/>
      <c r="AA588" s="159"/>
      <c r="AB588" s="159"/>
    </row>
    <row r="589">
      <c r="A589" s="159"/>
      <c r="B589" s="159"/>
      <c r="C589" s="159"/>
      <c r="D589" s="159"/>
      <c r="E589" s="159"/>
      <c r="F589" s="159"/>
      <c r="G589" s="159"/>
      <c r="H589" s="159"/>
      <c r="I589" s="159"/>
      <c r="J589" s="159"/>
      <c r="K589" s="159"/>
      <c r="L589" s="159"/>
      <c r="N589" s="159"/>
      <c r="O589" s="159"/>
      <c r="P589" s="159"/>
      <c r="Q589" s="159"/>
      <c r="R589" s="159"/>
      <c r="S589" s="159"/>
      <c r="T589" s="159"/>
      <c r="U589" s="159"/>
      <c r="V589" s="159"/>
      <c r="W589" s="159"/>
      <c r="X589" s="159"/>
      <c r="Y589" s="159"/>
      <c r="Z589" s="159"/>
      <c r="AA589" s="159"/>
      <c r="AB589" s="159"/>
    </row>
    <row r="590">
      <c r="A590" s="159"/>
      <c r="B590" s="159"/>
      <c r="C590" s="159"/>
      <c r="D590" s="159"/>
      <c r="E590" s="159"/>
      <c r="F590" s="159"/>
      <c r="G590" s="159"/>
      <c r="H590" s="159"/>
      <c r="I590" s="159"/>
      <c r="J590" s="159"/>
      <c r="K590" s="159"/>
      <c r="L590" s="159"/>
      <c r="N590" s="159"/>
      <c r="O590" s="159"/>
      <c r="P590" s="159"/>
      <c r="Q590" s="159"/>
      <c r="R590" s="159"/>
      <c r="S590" s="159"/>
      <c r="T590" s="159"/>
      <c r="U590" s="159"/>
      <c r="V590" s="159"/>
      <c r="W590" s="159"/>
      <c r="X590" s="159"/>
      <c r="Y590" s="159"/>
      <c r="Z590" s="159"/>
      <c r="AA590" s="159"/>
      <c r="AB590" s="159"/>
    </row>
    <row r="591">
      <c r="A591" s="159"/>
      <c r="B591" s="159"/>
      <c r="C591" s="159"/>
      <c r="D591" s="159"/>
      <c r="E591" s="159"/>
      <c r="F591" s="159"/>
      <c r="G591" s="159"/>
      <c r="H591" s="159"/>
      <c r="I591" s="159"/>
      <c r="J591" s="159"/>
      <c r="K591" s="159"/>
      <c r="L591" s="159"/>
      <c r="N591" s="159"/>
      <c r="O591" s="159"/>
      <c r="P591" s="159"/>
      <c r="Q591" s="159"/>
      <c r="R591" s="159"/>
      <c r="S591" s="159"/>
      <c r="T591" s="159"/>
      <c r="U591" s="159"/>
      <c r="V591" s="159"/>
      <c r="W591" s="159"/>
      <c r="X591" s="159"/>
      <c r="Y591" s="159"/>
      <c r="Z591" s="159"/>
      <c r="AA591" s="159"/>
      <c r="AB591" s="159"/>
    </row>
    <row r="592">
      <c r="A592" s="159"/>
      <c r="B592" s="159"/>
      <c r="C592" s="159"/>
      <c r="D592" s="159"/>
      <c r="E592" s="159"/>
      <c r="F592" s="159"/>
      <c r="G592" s="159"/>
      <c r="H592" s="159"/>
      <c r="I592" s="159"/>
      <c r="J592" s="159"/>
      <c r="K592" s="159"/>
      <c r="L592" s="159"/>
      <c r="N592" s="159"/>
      <c r="O592" s="159"/>
      <c r="P592" s="159"/>
      <c r="Q592" s="159"/>
      <c r="R592" s="159"/>
      <c r="S592" s="159"/>
      <c r="T592" s="159"/>
      <c r="U592" s="159"/>
      <c r="V592" s="159"/>
      <c r="W592" s="159"/>
      <c r="X592" s="159"/>
      <c r="Y592" s="159"/>
      <c r="Z592" s="159"/>
      <c r="AA592" s="159"/>
      <c r="AB592" s="159"/>
    </row>
    <row r="593">
      <c r="A593" s="159"/>
      <c r="B593" s="159"/>
      <c r="C593" s="159"/>
      <c r="D593" s="159"/>
      <c r="E593" s="159"/>
      <c r="F593" s="159"/>
      <c r="G593" s="159"/>
      <c r="H593" s="159"/>
      <c r="I593" s="159"/>
      <c r="J593" s="159"/>
      <c r="K593" s="159"/>
      <c r="L593" s="159"/>
      <c r="N593" s="159"/>
      <c r="O593" s="159"/>
      <c r="P593" s="159"/>
      <c r="Q593" s="159"/>
      <c r="R593" s="159"/>
      <c r="S593" s="159"/>
      <c r="T593" s="159"/>
      <c r="U593" s="159"/>
      <c r="V593" s="159"/>
      <c r="W593" s="159"/>
      <c r="X593" s="159"/>
      <c r="Y593" s="159"/>
      <c r="Z593" s="159"/>
      <c r="AA593" s="159"/>
      <c r="AB593" s="159"/>
    </row>
    <row r="594">
      <c r="A594" s="159"/>
      <c r="B594" s="159"/>
      <c r="C594" s="159"/>
      <c r="D594" s="159"/>
      <c r="E594" s="159"/>
      <c r="F594" s="159"/>
      <c r="G594" s="159"/>
      <c r="H594" s="159"/>
      <c r="I594" s="159"/>
      <c r="J594" s="159"/>
      <c r="K594" s="159"/>
      <c r="L594" s="159"/>
      <c r="N594" s="159"/>
      <c r="O594" s="159"/>
      <c r="P594" s="159"/>
      <c r="Q594" s="159"/>
      <c r="R594" s="159"/>
      <c r="S594" s="159"/>
      <c r="T594" s="159"/>
      <c r="U594" s="159"/>
      <c r="V594" s="159"/>
      <c r="W594" s="159"/>
      <c r="X594" s="159"/>
      <c r="Y594" s="159"/>
      <c r="Z594" s="159"/>
      <c r="AA594" s="159"/>
      <c r="AB594" s="159"/>
    </row>
    <row r="595">
      <c r="A595" s="159"/>
      <c r="B595" s="159"/>
      <c r="C595" s="159"/>
      <c r="D595" s="159"/>
      <c r="E595" s="159"/>
      <c r="F595" s="159"/>
      <c r="G595" s="159"/>
      <c r="H595" s="159"/>
      <c r="I595" s="159"/>
      <c r="J595" s="159"/>
      <c r="K595" s="159"/>
      <c r="L595" s="159"/>
      <c r="N595" s="159"/>
      <c r="O595" s="159"/>
      <c r="P595" s="159"/>
      <c r="Q595" s="159"/>
      <c r="R595" s="159"/>
      <c r="S595" s="159"/>
      <c r="T595" s="159"/>
      <c r="U595" s="159"/>
      <c r="V595" s="159"/>
      <c r="W595" s="159"/>
      <c r="X595" s="159"/>
      <c r="Y595" s="159"/>
      <c r="Z595" s="159"/>
      <c r="AA595" s="159"/>
      <c r="AB595" s="159"/>
    </row>
    <row r="596">
      <c r="A596" s="159"/>
      <c r="B596" s="159"/>
      <c r="C596" s="159"/>
      <c r="D596" s="159"/>
      <c r="E596" s="159"/>
      <c r="F596" s="159"/>
      <c r="G596" s="159"/>
      <c r="H596" s="159"/>
      <c r="I596" s="159"/>
      <c r="J596" s="159"/>
      <c r="K596" s="159"/>
      <c r="L596" s="159"/>
      <c r="N596" s="159"/>
      <c r="O596" s="159"/>
      <c r="P596" s="159"/>
      <c r="Q596" s="159"/>
      <c r="R596" s="159"/>
      <c r="S596" s="159"/>
      <c r="T596" s="159"/>
      <c r="U596" s="159"/>
      <c r="V596" s="159"/>
      <c r="W596" s="159"/>
      <c r="X596" s="159"/>
      <c r="Y596" s="159"/>
      <c r="Z596" s="159"/>
      <c r="AA596" s="159"/>
      <c r="AB596" s="159"/>
    </row>
    <row r="597">
      <c r="A597" s="159"/>
      <c r="B597" s="159"/>
      <c r="C597" s="159"/>
      <c r="D597" s="159"/>
      <c r="E597" s="159"/>
      <c r="F597" s="159"/>
      <c r="G597" s="159"/>
      <c r="H597" s="159"/>
      <c r="I597" s="159"/>
      <c r="J597" s="159"/>
      <c r="K597" s="159"/>
      <c r="L597" s="159"/>
      <c r="N597" s="159"/>
      <c r="O597" s="159"/>
      <c r="P597" s="159"/>
      <c r="Q597" s="159"/>
      <c r="R597" s="159"/>
      <c r="S597" s="159"/>
      <c r="T597" s="159"/>
      <c r="U597" s="159"/>
      <c r="V597" s="159"/>
      <c r="W597" s="159"/>
      <c r="X597" s="159"/>
      <c r="Y597" s="159"/>
      <c r="Z597" s="159"/>
      <c r="AA597" s="159"/>
      <c r="AB597" s="159"/>
    </row>
    <row r="598">
      <c r="A598" s="159"/>
      <c r="B598" s="159"/>
      <c r="C598" s="159"/>
      <c r="D598" s="159"/>
      <c r="E598" s="159"/>
      <c r="F598" s="159"/>
      <c r="G598" s="159"/>
      <c r="H598" s="159"/>
      <c r="I598" s="159"/>
      <c r="J598" s="159"/>
      <c r="K598" s="159"/>
      <c r="L598" s="159"/>
      <c r="N598" s="159"/>
      <c r="O598" s="159"/>
      <c r="P598" s="159"/>
      <c r="Q598" s="159"/>
      <c r="R598" s="159"/>
      <c r="S598" s="159"/>
      <c r="T598" s="159"/>
      <c r="U598" s="159"/>
      <c r="V598" s="159"/>
      <c r="W598" s="159"/>
      <c r="X598" s="159"/>
      <c r="Y598" s="159"/>
      <c r="Z598" s="159"/>
      <c r="AA598" s="159"/>
      <c r="AB598" s="159"/>
    </row>
    <row r="599">
      <c r="A599" s="159"/>
      <c r="B599" s="159"/>
      <c r="C599" s="159"/>
      <c r="D599" s="159"/>
      <c r="E599" s="159"/>
      <c r="F599" s="159"/>
      <c r="G599" s="159"/>
      <c r="H599" s="159"/>
      <c r="I599" s="159"/>
      <c r="J599" s="159"/>
      <c r="K599" s="159"/>
      <c r="L599" s="159"/>
      <c r="N599" s="159"/>
      <c r="O599" s="159"/>
      <c r="P599" s="159"/>
      <c r="Q599" s="159"/>
      <c r="R599" s="159"/>
      <c r="S599" s="159"/>
      <c r="T599" s="159"/>
      <c r="U599" s="159"/>
      <c r="V599" s="159"/>
      <c r="W599" s="159"/>
      <c r="X599" s="159"/>
      <c r="Y599" s="159"/>
      <c r="Z599" s="159"/>
      <c r="AA599" s="159"/>
      <c r="AB599" s="159"/>
    </row>
    <row r="600">
      <c r="A600" s="159"/>
      <c r="B600" s="159"/>
      <c r="C600" s="159"/>
      <c r="D600" s="159"/>
      <c r="E600" s="159"/>
      <c r="F600" s="159"/>
      <c r="G600" s="159"/>
      <c r="H600" s="159"/>
      <c r="I600" s="159"/>
      <c r="J600" s="159"/>
      <c r="K600" s="159"/>
      <c r="L600" s="159"/>
      <c r="N600" s="159"/>
      <c r="O600" s="159"/>
      <c r="P600" s="159"/>
      <c r="Q600" s="159"/>
      <c r="R600" s="159"/>
      <c r="S600" s="159"/>
      <c r="T600" s="159"/>
      <c r="U600" s="159"/>
      <c r="V600" s="159"/>
      <c r="W600" s="159"/>
      <c r="X600" s="159"/>
      <c r="Y600" s="159"/>
      <c r="Z600" s="159"/>
      <c r="AA600" s="159"/>
      <c r="AB600" s="159"/>
    </row>
    <row r="601">
      <c r="A601" s="159"/>
      <c r="B601" s="159"/>
      <c r="C601" s="159"/>
      <c r="D601" s="159"/>
      <c r="E601" s="159"/>
      <c r="F601" s="159"/>
      <c r="G601" s="159"/>
      <c r="H601" s="159"/>
      <c r="I601" s="159"/>
      <c r="J601" s="159"/>
      <c r="K601" s="159"/>
      <c r="L601" s="159"/>
      <c r="N601" s="159"/>
      <c r="O601" s="159"/>
      <c r="P601" s="159"/>
      <c r="Q601" s="159"/>
      <c r="R601" s="159"/>
      <c r="S601" s="159"/>
      <c r="T601" s="159"/>
      <c r="U601" s="159"/>
      <c r="V601" s="159"/>
      <c r="W601" s="159"/>
      <c r="X601" s="159"/>
      <c r="Y601" s="159"/>
      <c r="Z601" s="159"/>
      <c r="AA601" s="159"/>
      <c r="AB601" s="159"/>
    </row>
    <row r="602">
      <c r="A602" s="159"/>
      <c r="B602" s="159"/>
      <c r="C602" s="159"/>
      <c r="D602" s="159"/>
      <c r="E602" s="159"/>
      <c r="F602" s="159"/>
      <c r="G602" s="159"/>
      <c r="H602" s="159"/>
      <c r="I602" s="159"/>
      <c r="J602" s="159"/>
      <c r="K602" s="159"/>
      <c r="L602" s="159"/>
      <c r="N602" s="159"/>
      <c r="O602" s="159"/>
      <c r="P602" s="159"/>
      <c r="Q602" s="159"/>
      <c r="R602" s="159"/>
      <c r="S602" s="159"/>
      <c r="T602" s="159"/>
      <c r="U602" s="159"/>
      <c r="V602" s="159"/>
      <c r="W602" s="159"/>
      <c r="X602" s="159"/>
      <c r="Y602" s="159"/>
      <c r="Z602" s="159"/>
      <c r="AA602" s="159"/>
      <c r="AB602" s="159"/>
    </row>
    <row r="603">
      <c r="A603" s="159"/>
      <c r="B603" s="159"/>
      <c r="C603" s="159"/>
      <c r="D603" s="159"/>
      <c r="E603" s="159"/>
      <c r="F603" s="159"/>
      <c r="G603" s="159"/>
      <c r="H603" s="159"/>
      <c r="I603" s="159"/>
      <c r="J603" s="159"/>
      <c r="K603" s="159"/>
      <c r="L603" s="159"/>
      <c r="N603" s="159"/>
      <c r="O603" s="159"/>
      <c r="P603" s="159"/>
      <c r="Q603" s="159"/>
      <c r="R603" s="159"/>
      <c r="S603" s="159"/>
      <c r="T603" s="159"/>
      <c r="U603" s="159"/>
      <c r="V603" s="159"/>
      <c r="W603" s="159"/>
      <c r="X603" s="159"/>
      <c r="Y603" s="159"/>
      <c r="Z603" s="159"/>
      <c r="AA603" s="159"/>
      <c r="AB603" s="159"/>
    </row>
    <row r="604">
      <c r="A604" s="159"/>
      <c r="B604" s="159"/>
      <c r="C604" s="159"/>
      <c r="D604" s="159"/>
      <c r="E604" s="159"/>
      <c r="F604" s="159"/>
      <c r="G604" s="159"/>
      <c r="H604" s="159"/>
      <c r="I604" s="159"/>
      <c r="J604" s="159"/>
      <c r="K604" s="159"/>
      <c r="L604" s="159"/>
      <c r="N604" s="159"/>
      <c r="O604" s="159"/>
      <c r="P604" s="159"/>
      <c r="Q604" s="159"/>
      <c r="R604" s="159"/>
      <c r="S604" s="159"/>
      <c r="T604" s="159"/>
      <c r="U604" s="159"/>
      <c r="V604" s="159"/>
      <c r="W604" s="159"/>
      <c r="X604" s="159"/>
      <c r="Y604" s="159"/>
      <c r="Z604" s="159"/>
      <c r="AA604" s="159"/>
      <c r="AB604" s="159"/>
    </row>
    <row r="605">
      <c r="A605" s="159"/>
      <c r="B605" s="159"/>
      <c r="C605" s="159"/>
      <c r="D605" s="159"/>
      <c r="E605" s="159"/>
      <c r="F605" s="159"/>
      <c r="G605" s="159"/>
      <c r="H605" s="159"/>
      <c r="I605" s="159"/>
      <c r="J605" s="159"/>
      <c r="K605" s="159"/>
      <c r="L605" s="159"/>
      <c r="N605" s="159"/>
      <c r="O605" s="159"/>
      <c r="P605" s="159"/>
      <c r="Q605" s="159"/>
      <c r="R605" s="159"/>
      <c r="S605" s="159"/>
      <c r="T605" s="159"/>
      <c r="U605" s="159"/>
      <c r="V605" s="159"/>
      <c r="W605" s="159"/>
      <c r="X605" s="159"/>
      <c r="Y605" s="159"/>
      <c r="Z605" s="159"/>
      <c r="AA605" s="159"/>
      <c r="AB605" s="159"/>
    </row>
    <row r="606">
      <c r="A606" s="159"/>
      <c r="B606" s="159"/>
      <c r="C606" s="159"/>
      <c r="D606" s="159"/>
      <c r="E606" s="159"/>
      <c r="F606" s="159"/>
      <c r="G606" s="159"/>
      <c r="H606" s="159"/>
      <c r="I606" s="159"/>
      <c r="J606" s="159"/>
      <c r="K606" s="159"/>
      <c r="L606" s="159"/>
      <c r="N606" s="159"/>
      <c r="O606" s="159"/>
      <c r="P606" s="159"/>
      <c r="Q606" s="159"/>
      <c r="R606" s="159"/>
      <c r="S606" s="159"/>
      <c r="T606" s="159"/>
      <c r="U606" s="159"/>
      <c r="V606" s="159"/>
      <c r="W606" s="159"/>
      <c r="X606" s="159"/>
      <c r="Y606" s="159"/>
      <c r="Z606" s="159"/>
      <c r="AA606" s="159"/>
      <c r="AB606" s="159"/>
    </row>
    <row r="607">
      <c r="A607" s="159"/>
      <c r="B607" s="159"/>
      <c r="C607" s="159"/>
      <c r="D607" s="159"/>
      <c r="E607" s="159"/>
      <c r="F607" s="159"/>
      <c r="G607" s="159"/>
      <c r="H607" s="159"/>
      <c r="I607" s="159"/>
      <c r="J607" s="159"/>
      <c r="K607" s="159"/>
      <c r="L607" s="159"/>
      <c r="N607" s="159"/>
      <c r="O607" s="159"/>
      <c r="P607" s="159"/>
      <c r="Q607" s="159"/>
      <c r="R607" s="159"/>
      <c r="S607" s="159"/>
      <c r="T607" s="159"/>
      <c r="U607" s="159"/>
      <c r="V607" s="159"/>
      <c r="W607" s="159"/>
      <c r="X607" s="159"/>
      <c r="Y607" s="159"/>
      <c r="Z607" s="159"/>
      <c r="AA607" s="159"/>
      <c r="AB607" s="159"/>
    </row>
    <row r="608">
      <c r="A608" s="159"/>
      <c r="B608" s="159"/>
      <c r="C608" s="159"/>
      <c r="D608" s="159"/>
      <c r="E608" s="159"/>
      <c r="F608" s="159"/>
      <c r="G608" s="159"/>
      <c r="H608" s="159"/>
      <c r="I608" s="159"/>
      <c r="J608" s="159"/>
      <c r="K608" s="159"/>
      <c r="L608" s="159"/>
      <c r="N608" s="159"/>
      <c r="O608" s="159"/>
      <c r="P608" s="159"/>
      <c r="Q608" s="159"/>
      <c r="R608" s="159"/>
      <c r="S608" s="159"/>
      <c r="T608" s="159"/>
      <c r="U608" s="159"/>
      <c r="V608" s="159"/>
      <c r="W608" s="159"/>
      <c r="X608" s="159"/>
      <c r="Y608" s="159"/>
      <c r="Z608" s="159"/>
      <c r="AA608" s="159"/>
      <c r="AB608" s="159"/>
    </row>
    <row r="609">
      <c r="A609" s="159"/>
      <c r="B609" s="159"/>
      <c r="C609" s="159"/>
      <c r="D609" s="159"/>
      <c r="E609" s="159"/>
      <c r="F609" s="159"/>
      <c r="G609" s="159"/>
      <c r="H609" s="159"/>
      <c r="I609" s="159"/>
      <c r="J609" s="159"/>
      <c r="K609" s="159"/>
      <c r="L609" s="159"/>
      <c r="N609" s="159"/>
      <c r="O609" s="159"/>
      <c r="P609" s="159"/>
      <c r="Q609" s="159"/>
      <c r="R609" s="159"/>
      <c r="S609" s="159"/>
      <c r="T609" s="159"/>
      <c r="U609" s="159"/>
      <c r="V609" s="159"/>
      <c r="W609" s="159"/>
      <c r="X609" s="159"/>
      <c r="Y609" s="159"/>
      <c r="Z609" s="159"/>
      <c r="AA609" s="159"/>
      <c r="AB609" s="159"/>
    </row>
    <row r="610">
      <c r="A610" s="159"/>
      <c r="B610" s="159"/>
      <c r="C610" s="159"/>
      <c r="D610" s="159"/>
      <c r="E610" s="159"/>
      <c r="F610" s="159"/>
      <c r="G610" s="159"/>
      <c r="H610" s="159"/>
      <c r="I610" s="159"/>
      <c r="J610" s="159"/>
      <c r="K610" s="159"/>
      <c r="L610" s="159"/>
      <c r="N610" s="159"/>
      <c r="O610" s="159"/>
      <c r="P610" s="159"/>
      <c r="Q610" s="159"/>
      <c r="R610" s="159"/>
      <c r="S610" s="159"/>
      <c r="T610" s="159"/>
      <c r="U610" s="159"/>
      <c r="V610" s="159"/>
      <c r="W610" s="159"/>
      <c r="X610" s="159"/>
      <c r="Y610" s="159"/>
      <c r="Z610" s="159"/>
      <c r="AA610" s="159"/>
      <c r="AB610" s="159"/>
    </row>
    <row r="611">
      <c r="A611" s="159"/>
      <c r="B611" s="159"/>
      <c r="C611" s="159"/>
      <c r="D611" s="159"/>
      <c r="E611" s="159"/>
      <c r="F611" s="159"/>
      <c r="G611" s="159"/>
      <c r="H611" s="159"/>
      <c r="I611" s="159"/>
      <c r="J611" s="159"/>
      <c r="K611" s="159"/>
      <c r="L611" s="159"/>
      <c r="N611" s="159"/>
      <c r="O611" s="159"/>
      <c r="P611" s="159"/>
      <c r="Q611" s="159"/>
      <c r="R611" s="159"/>
      <c r="S611" s="159"/>
      <c r="T611" s="159"/>
      <c r="U611" s="159"/>
      <c r="V611" s="159"/>
      <c r="W611" s="159"/>
      <c r="X611" s="159"/>
      <c r="Y611" s="159"/>
      <c r="Z611" s="159"/>
      <c r="AA611" s="159"/>
      <c r="AB611" s="159"/>
    </row>
    <row r="612">
      <c r="A612" s="159"/>
      <c r="B612" s="159"/>
      <c r="C612" s="159"/>
      <c r="D612" s="159"/>
      <c r="E612" s="159"/>
      <c r="F612" s="159"/>
      <c r="G612" s="159"/>
      <c r="H612" s="159"/>
      <c r="I612" s="159"/>
      <c r="J612" s="159"/>
      <c r="K612" s="159"/>
      <c r="L612" s="159"/>
      <c r="N612" s="159"/>
      <c r="O612" s="159"/>
      <c r="P612" s="159"/>
      <c r="Q612" s="159"/>
      <c r="R612" s="159"/>
      <c r="S612" s="159"/>
      <c r="T612" s="159"/>
      <c r="U612" s="159"/>
      <c r="V612" s="159"/>
      <c r="W612" s="159"/>
      <c r="X612" s="159"/>
      <c r="Y612" s="159"/>
      <c r="Z612" s="159"/>
      <c r="AA612" s="159"/>
      <c r="AB612" s="159"/>
    </row>
    <row r="613">
      <c r="A613" s="159"/>
      <c r="B613" s="159"/>
      <c r="C613" s="159"/>
      <c r="D613" s="159"/>
      <c r="E613" s="159"/>
      <c r="F613" s="159"/>
      <c r="G613" s="159"/>
      <c r="H613" s="159"/>
      <c r="I613" s="159"/>
      <c r="J613" s="159"/>
      <c r="K613" s="159"/>
      <c r="L613" s="159"/>
      <c r="N613" s="159"/>
      <c r="O613" s="159"/>
      <c r="P613" s="159"/>
      <c r="Q613" s="159"/>
      <c r="R613" s="159"/>
      <c r="S613" s="159"/>
      <c r="T613" s="159"/>
      <c r="U613" s="159"/>
      <c r="V613" s="159"/>
      <c r="W613" s="159"/>
      <c r="X613" s="159"/>
      <c r="Y613" s="159"/>
      <c r="Z613" s="159"/>
      <c r="AA613" s="159"/>
      <c r="AB613" s="159"/>
    </row>
    <row r="614">
      <c r="A614" s="159"/>
      <c r="B614" s="159"/>
      <c r="C614" s="159"/>
      <c r="D614" s="159"/>
      <c r="E614" s="159"/>
      <c r="F614" s="159"/>
      <c r="G614" s="159"/>
      <c r="H614" s="159"/>
      <c r="I614" s="159"/>
      <c r="J614" s="159"/>
      <c r="K614" s="159"/>
      <c r="L614" s="159"/>
      <c r="N614" s="159"/>
      <c r="O614" s="159"/>
      <c r="P614" s="159"/>
      <c r="Q614" s="159"/>
      <c r="R614" s="159"/>
      <c r="S614" s="159"/>
      <c r="T614" s="159"/>
      <c r="U614" s="159"/>
      <c r="V614" s="159"/>
      <c r="W614" s="159"/>
      <c r="X614" s="159"/>
      <c r="Y614" s="159"/>
      <c r="Z614" s="159"/>
      <c r="AA614" s="159"/>
      <c r="AB614" s="159"/>
    </row>
    <row r="615">
      <c r="A615" s="159"/>
      <c r="B615" s="159"/>
      <c r="C615" s="159"/>
      <c r="D615" s="159"/>
      <c r="E615" s="159"/>
      <c r="F615" s="159"/>
      <c r="G615" s="159"/>
      <c r="H615" s="159"/>
      <c r="I615" s="159"/>
      <c r="J615" s="159"/>
      <c r="K615" s="159"/>
      <c r="L615" s="159"/>
      <c r="N615" s="159"/>
      <c r="O615" s="159"/>
      <c r="P615" s="159"/>
      <c r="Q615" s="159"/>
      <c r="R615" s="159"/>
      <c r="S615" s="159"/>
      <c r="T615" s="159"/>
      <c r="U615" s="159"/>
      <c r="V615" s="159"/>
      <c r="W615" s="159"/>
      <c r="X615" s="159"/>
      <c r="Y615" s="159"/>
      <c r="Z615" s="159"/>
      <c r="AA615" s="159"/>
      <c r="AB615" s="159"/>
    </row>
    <row r="616">
      <c r="A616" s="159"/>
      <c r="B616" s="159"/>
      <c r="C616" s="159"/>
      <c r="D616" s="159"/>
      <c r="E616" s="159"/>
      <c r="F616" s="159"/>
      <c r="G616" s="159"/>
      <c r="H616" s="159"/>
      <c r="I616" s="159"/>
      <c r="J616" s="159"/>
      <c r="K616" s="159"/>
      <c r="L616" s="159"/>
      <c r="N616" s="159"/>
      <c r="O616" s="159"/>
      <c r="P616" s="159"/>
      <c r="Q616" s="159"/>
      <c r="R616" s="159"/>
      <c r="S616" s="159"/>
      <c r="T616" s="159"/>
      <c r="U616" s="159"/>
      <c r="V616" s="159"/>
      <c r="W616" s="159"/>
      <c r="X616" s="159"/>
      <c r="Y616" s="159"/>
      <c r="Z616" s="159"/>
      <c r="AA616" s="159"/>
      <c r="AB616" s="159"/>
    </row>
    <row r="617">
      <c r="A617" s="159"/>
      <c r="B617" s="159"/>
      <c r="C617" s="159"/>
      <c r="D617" s="159"/>
      <c r="E617" s="159"/>
      <c r="F617" s="159"/>
      <c r="G617" s="159"/>
      <c r="H617" s="159"/>
      <c r="I617" s="159"/>
      <c r="J617" s="159"/>
      <c r="K617" s="159"/>
      <c r="L617" s="159"/>
      <c r="N617" s="159"/>
      <c r="O617" s="159"/>
      <c r="P617" s="159"/>
      <c r="Q617" s="159"/>
      <c r="R617" s="159"/>
      <c r="S617" s="159"/>
      <c r="T617" s="159"/>
      <c r="U617" s="159"/>
      <c r="V617" s="159"/>
      <c r="W617" s="159"/>
      <c r="X617" s="159"/>
      <c r="Y617" s="159"/>
      <c r="Z617" s="159"/>
      <c r="AA617" s="159"/>
      <c r="AB617" s="159"/>
    </row>
    <row r="618">
      <c r="A618" s="159"/>
      <c r="B618" s="159"/>
      <c r="C618" s="159"/>
      <c r="D618" s="159"/>
      <c r="E618" s="159"/>
      <c r="F618" s="159"/>
      <c r="G618" s="159"/>
      <c r="H618" s="159"/>
      <c r="I618" s="159"/>
      <c r="J618" s="159"/>
      <c r="K618" s="159"/>
      <c r="L618" s="159"/>
      <c r="N618" s="159"/>
      <c r="O618" s="159"/>
      <c r="P618" s="159"/>
      <c r="Q618" s="159"/>
      <c r="R618" s="159"/>
      <c r="S618" s="159"/>
      <c r="T618" s="159"/>
      <c r="U618" s="159"/>
      <c r="V618" s="159"/>
      <c r="W618" s="159"/>
      <c r="X618" s="159"/>
      <c r="Y618" s="159"/>
      <c r="Z618" s="159"/>
      <c r="AA618" s="159"/>
      <c r="AB618" s="159"/>
    </row>
    <row r="619">
      <c r="A619" s="159"/>
      <c r="B619" s="159"/>
      <c r="C619" s="159"/>
      <c r="D619" s="159"/>
      <c r="E619" s="159"/>
      <c r="F619" s="159"/>
      <c r="G619" s="159"/>
      <c r="H619" s="159"/>
      <c r="I619" s="159"/>
      <c r="J619" s="159"/>
      <c r="K619" s="159"/>
      <c r="L619" s="159"/>
      <c r="N619" s="159"/>
      <c r="O619" s="159"/>
      <c r="P619" s="159"/>
      <c r="Q619" s="159"/>
      <c r="R619" s="159"/>
      <c r="S619" s="159"/>
      <c r="T619" s="159"/>
      <c r="U619" s="159"/>
      <c r="V619" s="159"/>
      <c r="W619" s="159"/>
      <c r="X619" s="159"/>
      <c r="Y619" s="159"/>
      <c r="Z619" s="159"/>
      <c r="AA619" s="159"/>
      <c r="AB619" s="159"/>
    </row>
    <row r="620">
      <c r="A620" s="159"/>
      <c r="B620" s="159"/>
      <c r="C620" s="159"/>
      <c r="D620" s="159"/>
      <c r="E620" s="159"/>
      <c r="F620" s="159"/>
      <c r="G620" s="159"/>
      <c r="H620" s="159"/>
      <c r="I620" s="159"/>
      <c r="J620" s="159"/>
      <c r="K620" s="159"/>
      <c r="L620" s="159"/>
      <c r="N620" s="159"/>
      <c r="O620" s="159"/>
      <c r="P620" s="159"/>
      <c r="Q620" s="159"/>
      <c r="R620" s="159"/>
      <c r="S620" s="159"/>
      <c r="T620" s="159"/>
      <c r="U620" s="159"/>
      <c r="V620" s="159"/>
      <c r="W620" s="159"/>
      <c r="X620" s="159"/>
      <c r="Y620" s="159"/>
      <c r="Z620" s="159"/>
      <c r="AA620" s="159"/>
      <c r="AB620" s="159"/>
    </row>
    <row r="621">
      <c r="A621" s="159"/>
      <c r="B621" s="159"/>
      <c r="C621" s="159"/>
      <c r="D621" s="159"/>
      <c r="E621" s="159"/>
      <c r="F621" s="159"/>
      <c r="G621" s="159"/>
      <c r="H621" s="159"/>
      <c r="I621" s="159"/>
      <c r="J621" s="159"/>
      <c r="K621" s="159"/>
      <c r="L621" s="159"/>
      <c r="N621" s="159"/>
      <c r="O621" s="159"/>
      <c r="P621" s="159"/>
      <c r="Q621" s="159"/>
      <c r="R621" s="159"/>
      <c r="S621" s="159"/>
      <c r="T621" s="159"/>
      <c r="U621" s="159"/>
      <c r="V621" s="159"/>
      <c r="W621" s="159"/>
      <c r="X621" s="159"/>
      <c r="Y621" s="159"/>
      <c r="Z621" s="159"/>
      <c r="AA621" s="159"/>
      <c r="AB621" s="159"/>
    </row>
    <row r="622">
      <c r="A622" s="159"/>
      <c r="B622" s="159"/>
      <c r="C622" s="159"/>
      <c r="D622" s="159"/>
      <c r="E622" s="159"/>
      <c r="F622" s="159"/>
      <c r="G622" s="159"/>
      <c r="H622" s="159"/>
      <c r="I622" s="159"/>
      <c r="J622" s="159"/>
      <c r="K622" s="159"/>
      <c r="L622" s="159"/>
      <c r="N622" s="159"/>
      <c r="O622" s="159"/>
      <c r="P622" s="159"/>
      <c r="Q622" s="159"/>
      <c r="R622" s="159"/>
      <c r="S622" s="159"/>
      <c r="T622" s="159"/>
      <c r="U622" s="159"/>
      <c r="V622" s="159"/>
      <c r="W622" s="159"/>
      <c r="X622" s="159"/>
      <c r="Y622" s="159"/>
      <c r="Z622" s="159"/>
      <c r="AA622" s="159"/>
      <c r="AB622" s="159"/>
    </row>
    <row r="623">
      <c r="A623" s="159"/>
      <c r="B623" s="159"/>
      <c r="C623" s="159"/>
      <c r="D623" s="159"/>
      <c r="E623" s="159"/>
      <c r="F623" s="159"/>
      <c r="G623" s="159"/>
      <c r="H623" s="159"/>
      <c r="I623" s="159"/>
      <c r="J623" s="159"/>
      <c r="K623" s="159"/>
      <c r="L623" s="159"/>
      <c r="N623" s="159"/>
      <c r="O623" s="159"/>
      <c r="P623" s="159"/>
      <c r="Q623" s="159"/>
      <c r="R623" s="159"/>
      <c r="S623" s="159"/>
      <c r="T623" s="159"/>
      <c r="U623" s="159"/>
      <c r="V623" s="159"/>
      <c r="W623" s="159"/>
      <c r="X623" s="159"/>
      <c r="Y623" s="159"/>
      <c r="Z623" s="159"/>
      <c r="AA623" s="159"/>
      <c r="AB623" s="159"/>
    </row>
    <row r="624">
      <c r="A624" s="159"/>
      <c r="B624" s="159"/>
      <c r="C624" s="159"/>
      <c r="D624" s="159"/>
      <c r="E624" s="159"/>
      <c r="F624" s="159"/>
      <c r="G624" s="159"/>
      <c r="H624" s="159"/>
      <c r="I624" s="159"/>
      <c r="J624" s="159"/>
      <c r="K624" s="159"/>
      <c r="L624" s="159"/>
      <c r="N624" s="159"/>
      <c r="O624" s="159"/>
      <c r="P624" s="159"/>
      <c r="Q624" s="159"/>
      <c r="R624" s="159"/>
      <c r="S624" s="159"/>
      <c r="T624" s="159"/>
      <c r="U624" s="159"/>
      <c r="V624" s="159"/>
      <c r="W624" s="159"/>
      <c r="X624" s="159"/>
      <c r="Y624" s="159"/>
      <c r="Z624" s="159"/>
      <c r="AA624" s="159"/>
      <c r="AB624" s="159"/>
    </row>
    <row r="625">
      <c r="A625" s="159"/>
      <c r="B625" s="159"/>
      <c r="C625" s="159"/>
      <c r="D625" s="159"/>
      <c r="E625" s="159"/>
      <c r="F625" s="159"/>
      <c r="G625" s="159"/>
      <c r="H625" s="159"/>
      <c r="I625" s="159"/>
      <c r="J625" s="159"/>
      <c r="K625" s="159"/>
      <c r="L625" s="159"/>
      <c r="N625" s="159"/>
      <c r="O625" s="159"/>
      <c r="P625" s="159"/>
      <c r="Q625" s="159"/>
      <c r="R625" s="159"/>
      <c r="S625" s="159"/>
      <c r="T625" s="159"/>
      <c r="U625" s="159"/>
      <c r="V625" s="159"/>
      <c r="W625" s="159"/>
      <c r="X625" s="159"/>
      <c r="Y625" s="159"/>
      <c r="Z625" s="159"/>
      <c r="AA625" s="159"/>
      <c r="AB625" s="159"/>
    </row>
    <row r="626">
      <c r="A626" s="159"/>
      <c r="B626" s="159"/>
      <c r="C626" s="159"/>
      <c r="D626" s="159"/>
      <c r="E626" s="159"/>
      <c r="F626" s="159"/>
      <c r="G626" s="159"/>
      <c r="H626" s="159"/>
      <c r="I626" s="159"/>
      <c r="J626" s="159"/>
      <c r="K626" s="159"/>
      <c r="L626" s="159"/>
      <c r="N626" s="159"/>
      <c r="O626" s="159"/>
      <c r="P626" s="159"/>
      <c r="Q626" s="159"/>
      <c r="R626" s="159"/>
      <c r="S626" s="159"/>
      <c r="T626" s="159"/>
      <c r="U626" s="159"/>
      <c r="V626" s="159"/>
      <c r="W626" s="159"/>
      <c r="X626" s="159"/>
      <c r="Y626" s="159"/>
      <c r="Z626" s="159"/>
      <c r="AA626" s="159"/>
      <c r="AB626" s="159"/>
    </row>
    <row r="627">
      <c r="A627" s="159"/>
      <c r="B627" s="159"/>
      <c r="C627" s="159"/>
      <c r="D627" s="159"/>
      <c r="E627" s="159"/>
      <c r="F627" s="159"/>
      <c r="G627" s="159"/>
      <c r="H627" s="159"/>
      <c r="I627" s="159"/>
      <c r="J627" s="159"/>
      <c r="K627" s="159"/>
      <c r="L627" s="159"/>
      <c r="N627" s="159"/>
      <c r="O627" s="159"/>
      <c r="P627" s="159"/>
      <c r="Q627" s="159"/>
      <c r="R627" s="159"/>
      <c r="S627" s="159"/>
      <c r="T627" s="159"/>
      <c r="U627" s="159"/>
      <c r="V627" s="159"/>
      <c r="W627" s="159"/>
      <c r="X627" s="159"/>
      <c r="Y627" s="159"/>
      <c r="Z627" s="159"/>
      <c r="AA627" s="159"/>
      <c r="AB627" s="159"/>
    </row>
    <row r="628">
      <c r="A628" s="159"/>
      <c r="B628" s="159"/>
      <c r="C628" s="159"/>
      <c r="D628" s="159"/>
      <c r="E628" s="159"/>
      <c r="F628" s="159"/>
      <c r="G628" s="159"/>
      <c r="H628" s="159"/>
      <c r="I628" s="159"/>
      <c r="J628" s="159"/>
      <c r="K628" s="159"/>
      <c r="L628" s="159"/>
      <c r="N628" s="159"/>
      <c r="O628" s="159"/>
      <c r="P628" s="159"/>
      <c r="Q628" s="159"/>
      <c r="R628" s="159"/>
      <c r="S628" s="159"/>
      <c r="T628" s="159"/>
      <c r="U628" s="159"/>
      <c r="V628" s="159"/>
      <c r="W628" s="159"/>
      <c r="X628" s="159"/>
      <c r="Y628" s="159"/>
      <c r="Z628" s="159"/>
      <c r="AA628" s="159"/>
      <c r="AB628" s="159"/>
    </row>
    <row r="629">
      <c r="A629" s="159"/>
      <c r="B629" s="159"/>
      <c r="C629" s="159"/>
      <c r="D629" s="159"/>
      <c r="E629" s="159"/>
      <c r="F629" s="159"/>
      <c r="G629" s="159"/>
      <c r="H629" s="159"/>
      <c r="I629" s="159"/>
      <c r="J629" s="159"/>
      <c r="K629" s="159"/>
      <c r="L629" s="159"/>
      <c r="N629" s="159"/>
      <c r="O629" s="159"/>
      <c r="P629" s="159"/>
      <c r="Q629" s="159"/>
      <c r="R629" s="159"/>
      <c r="S629" s="159"/>
      <c r="T629" s="159"/>
      <c r="U629" s="159"/>
      <c r="V629" s="159"/>
      <c r="W629" s="159"/>
      <c r="X629" s="159"/>
      <c r="Y629" s="159"/>
      <c r="Z629" s="159"/>
      <c r="AA629" s="159"/>
      <c r="AB629" s="159"/>
    </row>
    <row r="630">
      <c r="A630" s="159"/>
      <c r="B630" s="159"/>
      <c r="C630" s="159"/>
      <c r="D630" s="159"/>
      <c r="E630" s="159"/>
      <c r="F630" s="159"/>
      <c r="G630" s="159"/>
      <c r="H630" s="159"/>
      <c r="I630" s="159"/>
      <c r="J630" s="159"/>
      <c r="K630" s="159"/>
      <c r="L630" s="159"/>
      <c r="N630" s="159"/>
      <c r="O630" s="159"/>
      <c r="P630" s="159"/>
      <c r="Q630" s="159"/>
      <c r="R630" s="159"/>
      <c r="S630" s="159"/>
      <c r="T630" s="159"/>
      <c r="U630" s="159"/>
      <c r="V630" s="159"/>
      <c r="W630" s="159"/>
      <c r="X630" s="159"/>
      <c r="Y630" s="159"/>
      <c r="Z630" s="159"/>
      <c r="AA630" s="159"/>
      <c r="AB630" s="159"/>
    </row>
    <row r="631">
      <c r="A631" s="159"/>
      <c r="B631" s="159"/>
      <c r="C631" s="159"/>
      <c r="D631" s="159"/>
      <c r="E631" s="159"/>
      <c r="F631" s="159"/>
      <c r="G631" s="159"/>
      <c r="H631" s="159"/>
      <c r="I631" s="159"/>
      <c r="J631" s="159"/>
      <c r="K631" s="159"/>
      <c r="L631" s="159"/>
      <c r="N631" s="159"/>
      <c r="O631" s="159"/>
      <c r="P631" s="159"/>
      <c r="Q631" s="159"/>
      <c r="R631" s="159"/>
      <c r="S631" s="159"/>
      <c r="T631" s="159"/>
      <c r="U631" s="159"/>
      <c r="V631" s="159"/>
      <c r="W631" s="159"/>
      <c r="X631" s="159"/>
      <c r="Y631" s="159"/>
      <c r="Z631" s="159"/>
      <c r="AA631" s="159"/>
      <c r="AB631" s="159"/>
    </row>
    <row r="632">
      <c r="A632" s="159"/>
      <c r="B632" s="159"/>
      <c r="C632" s="159"/>
      <c r="D632" s="159"/>
      <c r="E632" s="159"/>
      <c r="F632" s="159"/>
      <c r="G632" s="159"/>
      <c r="H632" s="159"/>
      <c r="I632" s="159"/>
      <c r="J632" s="159"/>
      <c r="K632" s="159"/>
      <c r="L632" s="159"/>
      <c r="N632" s="159"/>
      <c r="O632" s="159"/>
      <c r="P632" s="159"/>
      <c r="Q632" s="159"/>
      <c r="R632" s="159"/>
      <c r="S632" s="159"/>
      <c r="T632" s="159"/>
      <c r="U632" s="159"/>
      <c r="V632" s="159"/>
      <c r="W632" s="159"/>
      <c r="X632" s="159"/>
      <c r="Y632" s="159"/>
      <c r="Z632" s="159"/>
      <c r="AA632" s="159"/>
      <c r="AB632" s="159"/>
    </row>
    <row r="633">
      <c r="A633" s="159"/>
      <c r="B633" s="159"/>
      <c r="C633" s="159"/>
      <c r="D633" s="159"/>
      <c r="E633" s="159"/>
      <c r="F633" s="159"/>
      <c r="G633" s="159"/>
      <c r="H633" s="159"/>
      <c r="I633" s="159"/>
      <c r="J633" s="159"/>
      <c r="K633" s="159"/>
      <c r="L633" s="159"/>
      <c r="N633" s="159"/>
      <c r="O633" s="159"/>
      <c r="P633" s="159"/>
      <c r="Q633" s="159"/>
      <c r="R633" s="159"/>
      <c r="S633" s="159"/>
      <c r="T633" s="159"/>
      <c r="U633" s="159"/>
      <c r="V633" s="159"/>
      <c r="W633" s="159"/>
      <c r="X633" s="159"/>
      <c r="Y633" s="159"/>
      <c r="Z633" s="159"/>
      <c r="AA633" s="159"/>
      <c r="AB633" s="159"/>
    </row>
    <row r="634">
      <c r="A634" s="159"/>
      <c r="B634" s="159"/>
      <c r="C634" s="159"/>
      <c r="D634" s="159"/>
      <c r="E634" s="159"/>
      <c r="F634" s="159"/>
      <c r="G634" s="159"/>
      <c r="H634" s="159"/>
      <c r="I634" s="159"/>
      <c r="J634" s="159"/>
      <c r="K634" s="159"/>
      <c r="L634" s="159"/>
      <c r="N634" s="159"/>
      <c r="O634" s="159"/>
      <c r="P634" s="159"/>
      <c r="Q634" s="159"/>
      <c r="R634" s="159"/>
      <c r="S634" s="159"/>
      <c r="T634" s="159"/>
      <c r="U634" s="159"/>
      <c r="V634" s="159"/>
      <c r="W634" s="159"/>
      <c r="X634" s="159"/>
      <c r="Y634" s="159"/>
      <c r="Z634" s="159"/>
      <c r="AA634" s="159"/>
      <c r="AB634" s="159"/>
    </row>
    <row r="635">
      <c r="A635" s="159"/>
      <c r="B635" s="159"/>
      <c r="C635" s="159"/>
      <c r="D635" s="159"/>
      <c r="E635" s="159"/>
      <c r="F635" s="159"/>
      <c r="G635" s="159"/>
      <c r="H635" s="159"/>
      <c r="I635" s="159"/>
      <c r="J635" s="159"/>
      <c r="K635" s="159"/>
      <c r="L635" s="159"/>
      <c r="N635" s="159"/>
      <c r="O635" s="159"/>
      <c r="P635" s="159"/>
      <c r="Q635" s="159"/>
      <c r="R635" s="159"/>
      <c r="S635" s="159"/>
      <c r="T635" s="159"/>
      <c r="U635" s="159"/>
      <c r="V635" s="159"/>
      <c r="W635" s="159"/>
      <c r="X635" s="159"/>
      <c r="Y635" s="159"/>
      <c r="Z635" s="159"/>
      <c r="AA635" s="159"/>
      <c r="AB635" s="159"/>
    </row>
    <row r="636">
      <c r="A636" s="159"/>
      <c r="B636" s="159"/>
      <c r="C636" s="159"/>
      <c r="D636" s="159"/>
      <c r="E636" s="159"/>
      <c r="F636" s="159"/>
      <c r="G636" s="159"/>
      <c r="H636" s="159"/>
      <c r="I636" s="159"/>
      <c r="J636" s="159"/>
      <c r="K636" s="159"/>
      <c r="L636" s="159"/>
      <c r="N636" s="159"/>
      <c r="O636" s="159"/>
      <c r="P636" s="159"/>
      <c r="Q636" s="159"/>
      <c r="R636" s="159"/>
      <c r="S636" s="159"/>
      <c r="T636" s="159"/>
      <c r="U636" s="159"/>
      <c r="V636" s="159"/>
      <c r="W636" s="159"/>
      <c r="X636" s="159"/>
      <c r="Y636" s="159"/>
      <c r="Z636" s="159"/>
      <c r="AA636" s="159"/>
      <c r="AB636" s="159"/>
    </row>
    <row r="637">
      <c r="A637" s="159"/>
      <c r="B637" s="159"/>
      <c r="C637" s="159"/>
      <c r="D637" s="159"/>
      <c r="E637" s="159"/>
      <c r="F637" s="159"/>
      <c r="G637" s="159"/>
      <c r="H637" s="159"/>
      <c r="I637" s="159"/>
      <c r="J637" s="159"/>
      <c r="K637" s="159"/>
      <c r="L637" s="159"/>
      <c r="N637" s="159"/>
      <c r="O637" s="159"/>
      <c r="P637" s="159"/>
      <c r="Q637" s="159"/>
      <c r="R637" s="159"/>
      <c r="S637" s="159"/>
      <c r="T637" s="159"/>
      <c r="U637" s="159"/>
      <c r="V637" s="159"/>
      <c r="W637" s="159"/>
      <c r="X637" s="159"/>
      <c r="Y637" s="159"/>
      <c r="Z637" s="159"/>
      <c r="AA637" s="159"/>
      <c r="AB637" s="159"/>
    </row>
    <row r="638">
      <c r="A638" s="159"/>
      <c r="B638" s="159"/>
      <c r="C638" s="159"/>
      <c r="D638" s="159"/>
      <c r="E638" s="159"/>
      <c r="F638" s="159"/>
      <c r="G638" s="159"/>
      <c r="H638" s="159"/>
      <c r="I638" s="159"/>
      <c r="J638" s="159"/>
      <c r="K638" s="159"/>
      <c r="L638" s="159"/>
      <c r="N638" s="159"/>
      <c r="O638" s="159"/>
      <c r="P638" s="159"/>
      <c r="Q638" s="159"/>
      <c r="R638" s="159"/>
      <c r="S638" s="159"/>
      <c r="T638" s="159"/>
      <c r="U638" s="159"/>
      <c r="V638" s="159"/>
      <c r="W638" s="159"/>
      <c r="X638" s="159"/>
      <c r="Y638" s="159"/>
      <c r="Z638" s="159"/>
      <c r="AA638" s="159"/>
      <c r="AB638" s="159"/>
    </row>
    <row r="639">
      <c r="A639" s="159"/>
      <c r="B639" s="159"/>
      <c r="C639" s="159"/>
      <c r="D639" s="159"/>
      <c r="E639" s="159"/>
      <c r="F639" s="159"/>
      <c r="G639" s="159"/>
      <c r="H639" s="159"/>
      <c r="I639" s="159"/>
      <c r="J639" s="159"/>
      <c r="K639" s="159"/>
      <c r="L639" s="159"/>
      <c r="N639" s="159"/>
      <c r="O639" s="159"/>
      <c r="P639" s="159"/>
      <c r="Q639" s="159"/>
      <c r="R639" s="159"/>
      <c r="S639" s="159"/>
      <c r="T639" s="159"/>
      <c r="U639" s="159"/>
      <c r="V639" s="159"/>
      <c r="W639" s="159"/>
      <c r="X639" s="159"/>
      <c r="Y639" s="159"/>
      <c r="Z639" s="159"/>
      <c r="AA639" s="159"/>
      <c r="AB639" s="159"/>
    </row>
    <row r="640">
      <c r="A640" s="159"/>
      <c r="B640" s="159"/>
      <c r="C640" s="159"/>
      <c r="D640" s="159"/>
      <c r="E640" s="159"/>
      <c r="F640" s="159"/>
      <c r="G640" s="159"/>
      <c r="H640" s="159"/>
      <c r="I640" s="159"/>
      <c r="J640" s="159"/>
      <c r="K640" s="159"/>
      <c r="L640" s="159"/>
      <c r="N640" s="159"/>
      <c r="O640" s="159"/>
      <c r="P640" s="159"/>
      <c r="Q640" s="159"/>
      <c r="R640" s="159"/>
      <c r="S640" s="159"/>
      <c r="T640" s="159"/>
      <c r="U640" s="159"/>
      <c r="V640" s="159"/>
      <c r="W640" s="159"/>
      <c r="X640" s="159"/>
      <c r="Y640" s="159"/>
      <c r="Z640" s="159"/>
      <c r="AA640" s="159"/>
      <c r="AB640" s="159"/>
    </row>
    <row r="641">
      <c r="A641" s="159"/>
      <c r="B641" s="159"/>
      <c r="C641" s="159"/>
      <c r="D641" s="159"/>
      <c r="E641" s="159"/>
      <c r="F641" s="159"/>
      <c r="G641" s="159"/>
      <c r="H641" s="159"/>
      <c r="I641" s="159"/>
      <c r="J641" s="159"/>
      <c r="K641" s="159"/>
      <c r="L641" s="159"/>
      <c r="N641" s="159"/>
      <c r="O641" s="159"/>
      <c r="P641" s="159"/>
      <c r="Q641" s="159"/>
      <c r="R641" s="159"/>
      <c r="S641" s="159"/>
      <c r="T641" s="159"/>
      <c r="U641" s="159"/>
      <c r="V641" s="159"/>
      <c r="W641" s="159"/>
      <c r="X641" s="159"/>
      <c r="Y641" s="159"/>
      <c r="Z641" s="159"/>
      <c r="AA641" s="159"/>
      <c r="AB641" s="159"/>
    </row>
    <row r="642">
      <c r="A642" s="159"/>
      <c r="B642" s="159"/>
      <c r="C642" s="159"/>
      <c r="D642" s="159"/>
      <c r="E642" s="159"/>
      <c r="F642" s="159"/>
      <c r="G642" s="159"/>
      <c r="H642" s="159"/>
      <c r="I642" s="159"/>
      <c r="J642" s="159"/>
      <c r="K642" s="159"/>
      <c r="L642" s="159"/>
      <c r="N642" s="159"/>
      <c r="O642" s="159"/>
      <c r="P642" s="159"/>
      <c r="Q642" s="159"/>
      <c r="R642" s="159"/>
      <c r="S642" s="159"/>
      <c r="T642" s="159"/>
      <c r="U642" s="159"/>
      <c r="V642" s="159"/>
      <c r="W642" s="159"/>
      <c r="X642" s="159"/>
      <c r="Y642" s="159"/>
      <c r="Z642" s="159"/>
      <c r="AA642" s="159"/>
      <c r="AB642" s="159"/>
    </row>
    <row r="643">
      <c r="A643" s="159"/>
      <c r="B643" s="159"/>
      <c r="C643" s="159"/>
      <c r="D643" s="159"/>
      <c r="E643" s="159"/>
      <c r="F643" s="159"/>
      <c r="G643" s="159"/>
      <c r="H643" s="159"/>
      <c r="I643" s="159"/>
      <c r="J643" s="159"/>
      <c r="K643" s="159"/>
      <c r="L643" s="159"/>
      <c r="N643" s="159"/>
      <c r="O643" s="159"/>
      <c r="P643" s="159"/>
      <c r="Q643" s="159"/>
      <c r="R643" s="159"/>
      <c r="S643" s="159"/>
      <c r="T643" s="159"/>
      <c r="U643" s="159"/>
      <c r="V643" s="159"/>
      <c r="W643" s="159"/>
      <c r="X643" s="159"/>
      <c r="Y643" s="159"/>
      <c r="Z643" s="159"/>
      <c r="AA643" s="159"/>
      <c r="AB643" s="159"/>
    </row>
    <row r="644">
      <c r="A644" s="159"/>
      <c r="B644" s="159"/>
      <c r="C644" s="159"/>
      <c r="D644" s="159"/>
      <c r="E644" s="159"/>
      <c r="F644" s="159"/>
      <c r="G644" s="159"/>
      <c r="H644" s="159"/>
      <c r="I644" s="159"/>
      <c r="J644" s="159"/>
      <c r="K644" s="159"/>
      <c r="L644" s="159"/>
      <c r="N644" s="159"/>
      <c r="O644" s="159"/>
      <c r="P644" s="159"/>
      <c r="Q644" s="159"/>
      <c r="R644" s="159"/>
      <c r="S644" s="159"/>
      <c r="T644" s="159"/>
      <c r="U644" s="159"/>
      <c r="V644" s="159"/>
      <c r="W644" s="159"/>
      <c r="X644" s="159"/>
      <c r="Y644" s="159"/>
      <c r="Z644" s="159"/>
      <c r="AA644" s="159"/>
      <c r="AB644" s="159"/>
    </row>
    <row r="645">
      <c r="A645" s="159"/>
      <c r="B645" s="159"/>
      <c r="C645" s="159"/>
      <c r="D645" s="159"/>
      <c r="E645" s="159"/>
      <c r="F645" s="159"/>
      <c r="G645" s="159"/>
      <c r="H645" s="159"/>
      <c r="I645" s="159"/>
      <c r="J645" s="159"/>
      <c r="K645" s="159"/>
      <c r="L645" s="159"/>
      <c r="N645" s="159"/>
      <c r="O645" s="159"/>
      <c r="P645" s="159"/>
      <c r="Q645" s="159"/>
      <c r="R645" s="159"/>
      <c r="S645" s="159"/>
      <c r="T645" s="159"/>
      <c r="U645" s="159"/>
      <c r="V645" s="159"/>
      <c r="W645" s="159"/>
      <c r="X645" s="159"/>
      <c r="Y645" s="159"/>
      <c r="Z645" s="159"/>
      <c r="AA645" s="159"/>
      <c r="AB645" s="159"/>
    </row>
    <row r="646">
      <c r="A646" s="159"/>
      <c r="B646" s="159"/>
      <c r="C646" s="159"/>
      <c r="D646" s="159"/>
      <c r="E646" s="159"/>
      <c r="F646" s="159"/>
      <c r="G646" s="159"/>
      <c r="H646" s="159"/>
      <c r="I646" s="159"/>
      <c r="J646" s="159"/>
      <c r="K646" s="159"/>
      <c r="L646" s="159"/>
      <c r="N646" s="159"/>
      <c r="O646" s="159"/>
      <c r="P646" s="159"/>
      <c r="Q646" s="159"/>
      <c r="R646" s="159"/>
      <c r="S646" s="159"/>
      <c r="T646" s="159"/>
      <c r="U646" s="159"/>
      <c r="V646" s="159"/>
      <c r="W646" s="159"/>
      <c r="X646" s="159"/>
      <c r="Y646" s="159"/>
      <c r="Z646" s="159"/>
      <c r="AA646" s="159"/>
      <c r="AB646" s="159"/>
    </row>
    <row r="647">
      <c r="A647" s="159"/>
      <c r="B647" s="159"/>
      <c r="C647" s="159"/>
      <c r="D647" s="159"/>
      <c r="E647" s="159"/>
      <c r="F647" s="159"/>
      <c r="G647" s="159"/>
      <c r="H647" s="159"/>
      <c r="I647" s="159"/>
      <c r="J647" s="159"/>
      <c r="K647" s="159"/>
      <c r="L647" s="159"/>
      <c r="N647" s="159"/>
      <c r="O647" s="159"/>
      <c r="P647" s="159"/>
      <c r="Q647" s="159"/>
      <c r="R647" s="159"/>
      <c r="S647" s="159"/>
      <c r="T647" s="159"/>
      <c r="U647" s="159"/>
      <c r="V647" s="159"/>
      <c r="W647" s="159"/>
      <c r="X647" s="159"/>
      <c r="Y647" s="159"/>
      <c r="Z647" s="159"/>
      <c r="AA647" s="159"/>
      <c r="AB647" s="159"/>
    </row>
    <row r="648">
      <c r="A648" s="159"/>
      <c r="B648" s="159"/>
      <c r="C648" s="159"/>
      <c r="D648" s="159"/>
      <c r="E648" s="159"/>
      <c r="F648" s="159"/>
      <c r="G648" s="159"/>
      <c r="H648" s="159"/>
      <c r="I648" s="159"/>
      <c r="J648" s="159"/>
      <c r="K648" s="159"/>
      <c r="L648" s="159"/>
      <c r="N648" s="159"/>
      <c r="O648" s="159"/>
      <c r="P648" s="159"/>
      <c r="Q648" s="159"/>
      <c r="R648" s="159"/>
      <c r="S648" s="159"/>
      <c r="T648" s="159"/>
      <c r="U648" s="159"/>
      <c r="V648" s="159"/>
      <c r="W648" s="159"/>
      <c r="X648" s="159"/>
      <c r="Y648" s="159"/>
      <c r="Z648" s="159"/>
      <c r="AA648" s="159"/>
      <c r="AB648" s="159"/>
    </row>
    <row r="649">
      <c r="A649" s="159"/>
      <c r="B649" s="159"/>
      <c r="C649" s="159"/>
      <c r="D649" s="159"/>
      <c r="E649" s="159"/>
      <c r="F649" s="159"/>
      <c r="G649" s="159"/>
      <c r="H649" s="159"/>
      <c r="I649" s="159"/>
      <c r="J649" s="159"/>
      <c r="K649" s="159"/>
      <c r="L649" s="159"/>
      <c r="N649" s="159"/>
      <c r="O649" s="159"/>
      <c r="P649" s="159"/>
      <c r="Q649" s="159"/>
      <c r="R649" s="159"/>
      <c r="S649" s="159"/>
      <c r="T649" s="159"/>
      <c r="U649" s="159"/>
      <c r="V649" s="159"/>
      <c r="W649" s="159"/>
      <c r="X649" s="159"/>
      <c r="Y649" s="159"/>
      <c r="Z649" s="159"/>
      <c r="AA649" s="159"/>
      <c r="AB649" s="159"/>
    </row>
    <row r="650">
      <c r="A650" s="159"/>
      <c r="B650" s="159"/>
      <c r="C650" s="159"/>
      <c r="D650" s="159"/>
      <c r="E650" s="159"/>
      <c r="F650" s="159"/>
      <c r="G650" s="159"/>
      <c r="H650" s="159"/>
      <c r="I650" s="159"/>
      <c r="J650" s="159"/>
      <c r="K650" s="159"/>
      <c r="L650" s="159"/>
      <c r="N650" s="159"/>
      <c r="O650" s="159"/>
      <c r="P650" s="159"/>
      <c r="Q650" s="159"/>
      <c r="R650" s="159"/>
      <c r="S650" s="159"/>
      <c r="T650" s="159"/>
      <c r="U650" s="159"/>
      <c r="V650" s="159"/>
      <c r="W650" s="159"/>
      <c r="X650" s="159"/>
      <c r="Y650" s="159"/>
      <c r="Z650" s="159"/>
      <c r="AA650" s="159"/>
      <c r="AB650" s="159"/>
    </row>
    <row r="651">
      <c r="A651" s="159"/>
      <c r="B651" s="159"/>
      <c r="C651" s="159"/>
      <c r="D651" s="159"/>
      <c r="E651" s="159"/>
      <c r="F651" s="159"/>
      <c r="G651" s="159"/>
      <c r="H651" s="159"/>
      <c r="I651" s="159"/>
      <c r="J651" s="159"/>
      <c r="K651" s="159"/>
      <c r="L651" s="159"/>
      <c r="N651" s="159"/>
      <c r="O651" s="159"/>
      <c r="P651" s="159"/>
      <c r="Q651" s="159"/>
      <c r="R651" s="159"/>
      <c r="S651" s="159"/>
      <c r="T651" s="159"/>
      <c r="U651" s="159"/>
      <c r="V651" s="159"/>
      <c r="W651" s="159"/>
      <c r="X651" s="159"/>
      <c r="Y651" s="159"/>
      <c r="Z651" s="159"/>
      <c r="AA651" s="159"/>
      <c r="AB651" s="159"/>
    </row>
    <row r="652">
      <c r="A652" s="159"/>
      <c r="B652" s="159"/>
      <c r="C652" s="159"/>
      <c r="D652" s="159"/>
      <c r="E652" s="159"/>
      <c r="F652" s="159"/>
      <c r="G652" s="159"/>
      <c r="H652" s="159"/>
      <c r="I652" s="159"/>
      <c r="J652" s="159"/>
      <c r="K652" s="159"/>
      <c r="L652" s="159"/>
      <c r="N652" s="159"/>
      <c r="O652" s="159"/>
      <c r="P652" s="159"/>
      <c r="Q652" s="159"/>
      <c r="R652" s="159"/>
      <c r="S652" s="159"/>
      <c r="T652" s="159"/>
      <c r="U652" s="159"/>
      <c r="V652" s="159"/>
      <c r="W652" s="159"/>
      <c r="X652" s="159"/>
      <c r="Y652" s="159"/>
      <c r="Z652" s="159"/>
      <c r="AA652" s="159"/>
      <c r="AB652" s="159"/>
    </row>
    <row r="653">
      <c r="A653" s="159"/>
      <c r="B653" s="159"/>
      <c r="C653" s="159"/>
      <c r="D653" s="159"/>
      <c r="E653" s="159"/>
      <c r="F653" s="159"/>
      <c r="G653" s="159"/>
      <c r="H653" s="159"/>
      <c r="I653" s="159"/>
      <c r="J653" s="159"/>
      <c r="K653" s="159"/>
      <c r="L653" s="159"/>
      <c r="N653" s="159"/>
      <c r="O653" s="159"/>
      <c r="P653" s="159"/>
      <c r="Q653" s="159"/>
      <c r="R653" s="159"/>
      <c r="S653" s="159"/>
      <c r="T653" s="159"/>
      <c r="U653" s="159"/>
      <c r="V653" s="159"/>
      <c r="W653" s="159"/>
      <c r="X653" s="159"/>
      <c r="Y653" s="159"/>
      <c r="Z653" s="159"/>
      <c r="AA653" s="159"/>
      <c r="AB653" s="159"/>
    </row>
    <row r="654">
      <c r="A654" s="159"/>
      <c r="B654" s="159"/>
      <c r="C654" s="159"/>
      <c r="D654" s="159"/>
      <c r="E654" s="159"/>
      <c r="F654" s="159"/>
      <c r="G654" s="159"/>
      <c r="H654" s="159"/>
      <c r="I654" s="159"/>
      <c r="J654" s="159"/>
      <c r="K654" s="159"/>
      <c r="L654" s="159"/>
      <c r="N654" s="159"/>
      <c r="O654" s="159"/>
      <c r="P654" s="159"/>
      <c r="Q654" s="159"/>
      <c r="R654" s="159"/>
      <c r="S654" s="159"/>
      <c r="T654" s="159"/>
      <c r="U654" s="159"/>
      <c r="V654" s="159"/>
      <c r="W654" s="159"/>
      <c r="X654" s="159"/>
      <c r="Y654" s="159"/>
      <c r="Z654" s="159"/>
      <c r="AA654" s="159"/>
      <c r="AB654" s="159"/>
    </row>
    <row r="655">
      <c r="A655" s="159"/>
      <c r="B655" s="159"/>
      <c r="C655" s="159"/>
      <c r="D655" s="159"/>
      <c r="E655" s="159"/>
      <c r="F655" s="159"/>
      <c r="G655" s="159"/>
      <c r="H655" s="159"/>
      <c r="I655" s="159"/>
      <c r="J655" s="159"/>
      <c r="K655" s="159"/>
      <c r="L655" s="159"/>
      <c r="N655" s="159"/>
      <c r="O655" s="159"/>
      <c r="P655" s="159"/>
      <c r="Q655" s="159"/>
      <c r="R655" s="159"/>
      <c r="S655" s="159"/>
      <c r="T655" s="159"/>
      <c r="U655" s="159"/>
      <c r="V655" s="159"/>
      <c r="W655" s="159"/>
      <c r="X655" s="159"/>
      <c r="Y655" s="159"/>
      <c r="Z655" s="159"/>
      <c r="AA655" s="159"/>
      <c r="AB655" s="159"/>
    </row>
    <row r="656">
      <c r="A656" s="159"/>
      <c r="B656" s="159"/>
      <c r="C656" s="159"/>
      <c r="D656" s="159"/>
      <c r="E656" s="159"/>
      <c r="F656" s="159"/>
      <c r="G656" s="159"/>
      <c r="H656" s="159"/>
      <c r="I656" s="159"/>
      <c r="J656" s="159"/>
      <c r="K656" s="159"/>
      <c r="L656" s="159"/>
      <c r="N656" s="159"/>
      <c r="O656" s="159"/>
      <c r="P656" s="159"/>
      <c r="Q656" s="159"/>
      <c r="R656" s="159"/>
      <c r="S656" s="159"/>
      <c r="T656" s="159"/>
      <c r="U656" s="159"/>
      <c r="V656" s="159"/>
      <c r="W656" s="159"/>
      <c r="X656" s="159"/>
      <c r="Y656" s="159"/>
      <c r="Z656" s="159"/>
      <c r="AA656" s="159"/>
      <c r="AB656" s="159"/>
    </row>
    <row r="657">
      <c r="A657" s="159"/>
      <c r="B657" s="159"/>
      <c r="C657" s="159"/>
      <c r="D657" s="159"/>
      <c r="E657" s="159"/>
      <c r="F657" s="159"/>
      <c r="G657" s="159"/>
      <c r="H657" s="159"/>
      <c r="I657" s="159"/>
      <c r="J657" s="159"/>
      <c r="K657" s="159"/>
      <c r="L657" s="159"/>
      <c r="N657" s="159"/>
      <c r="O657" s="159"/>
      <c r="P657" s="159"/>
      <c r="Q657" s="159"/>
      <c r="R657" s="159"/>
      <c r="S657" s="159"/>
      <c r="T657" s="159"/>
      <c r="U657" s="159"/>
      <c r="V657" s="159"/>
      <c r="W657" s="159"/>
      <c r="X657" s="159"/>
      <c r="Y657" s="159"/>
      <c r="Z657" s="159"/>
      <c r="AA657" s="159"/>
      <c r="AB657" s="159"/>
    </row>
    <row r="658">
      <c r="A658" s="159"/>
      <c r="B658" s="159"/>
      <c r="C658" s="159"/>
      <c r="D658" s="159"/>
      <c r="E658" s="159"/>
      <c r="F658" s="159"/>
      <c r="G658" s="159"/>
      <c r="H658" s="159"/>
      <c r="I658" s="159"/>
      <c r="J658" s="159"/>
      <c r="K658" s="159"/>
      <c r="L658" s="159"/>
      <c r="N658" s="159"/>
      <c r="O658" s="159"/>
      <c r="P658" s="159"/>
      <c r="Q658" s="159"/>
      <c r="R658" s="159"/>
      <c r="S658" s="159"/>
      <c r="T658" s="159"/>
      <c r="U658" s="159"/>
      <c r="V658" s="159"/>
      <c r="W658" s="159"/>
      <c r="X658" s="159"/>
      <c r="Y658" s="159"/>
      <c r="Z658" s="159"/>
      <c r="AA658" s="159"/>
      <c r="AB658" s="159"/>
    </row>
    <row r="659">
      <c r="A659" s="159"/>
      <c r="B659" s="159"/>
      <c r="C659" s="159"/>
      <c r="D659" s="159"/>
      <c r="E659" s="159"/>
      <c r="F659" s="159"/>
      <c r="G659" s="159"/>
      <c r="H659" s="159"/>
      <c r="I659" s="159"/>
      <c r="J659" s="159"/>
      <c r="K659" s="159"/>
      <c r="L659" s="159"/>
      <c r="N659" s="159"/>
      <c r="O659" s="159"/>
      <c r="P659" s="159"/>
      <c r="Q659" s="159"/>
      <c r="R659" s="159"/>
      <c r="S659" s="159"/>
      <c r="T659" s="159"/>
      <c r="U659" s="159"/>
      <c r="V659" s="159"/>
      <c r="W659" s="159"/>
      <c r="X659" s="159"/>
      <c r="Y659" s="159"/>
      <c r="Z659" s="159"/>
      <c r="AA659" s="159"/>
      <c r="AB659" s="159"/>
    </row>
    <row r="660">
      <c r="A660" s="159"/>
      <c r="B660" s="159"/>
      <c r="C660" s="159"/>
      <c r="D660" s="159"/>
      <c r="E660" s="159"/>
      <c r="F660" s="159"/>
      <c r="G660" s="159"/>
      <c r="H660" s="159"/>
      <c r="I660" s="159"/>
      <c r="J660" s="159"/>
      <c r="K660" s="159"/>
      <c r="L660" s="159"/>
      <c r="N660" s="159"/>
      <c r="O660" s="159"/>
      <c r="P660" s="159"/>
      <c r="Q660" s="159"/>
      <c r="R660" s="159"/>
      <c r="S660" s="159"/>
      <c r="T660" s="159"/>
      <c r="U660" s="159"/>
      <c r="V660" s="159"/>
      <c r="W660" s="159"/>
      <c r="X660" s="159"/>
      <c r="Y660" s="159"/>
      <c r="Z660" s="159"/>
      <c r="AA660" s="159"/>
      <c r="AB660" s="159"/>
    </row>
    <row r="661">
      <c r="A661" s="159"/>
      <c r="B661" s="159"/>
      <c r="C661" s="159"/>
      <c r="D661" s="159"/>
      <c r="E661" s="159"/>
      <c r="F661" s="159"/>
      <c r="G661" s="159"/>
      <c r="H661" s="159"/>
      <c r="I661" s="159"/>
      <c r="J661" s="159"/>
      <c r="K661" s="159"/>
      <c r="L661" s="159"/>
      <c r="N661" s="159"/>
      <c r="O661" s="159"/>
      <c r="P661" s="159"/>
      <c r="Q661" s="159"/>
      <c r="R661" s="159"/>
      <c r="S661" s="159"/>
      <c r="T661" s="159"/>
      <c r="U661" s="159"/>
      <c r="V661" s="159"/>
      <c r="W661" s="159"/>
      <c r="X661" s="159"/>
      <c r="Y661" s="159"/>
      <c r="Z661" s="159"/>
      <c r="AA661" s="159"/>
      <c r="AB661" s="159"/>
    </row>
    <row r="662">
      <c r="A662" s="159"/>
      <c r="B662" s="159"/>
      <c r="C662" s="159"/>
      <c r="D662" s="159"/>
      <c r="E662" s="159"/>
      <c r="F662" s="159"/>
      <c r="G662" s="159"/>
      <c r="H662" s="159"/>
      <c r="I662" s="159"/>
      <c r="J662" s="159"/>
      <c r="K662" s="159"/>
      <c r="L662" s="159"/>
      <c r="N662" s="159"/>
      <c r="O662" s="159"/>
      <c r="P662" s="159"/>
      <c r="Q662" s="159"/>
      <c r="R662" s="159"/>
      <c r="S662" s="159"/>
      <c r="T662" s="159"/>
      <c r="U662" s="159"/>
      <c r="V662" s="159"/>
      <c r="W662" s="159"/>
      <c r="X662" s="159"/>
      <c r="Y662" s="159"/>
      <c r="Z662" s="159"/>
      <c r="AA662" s="159"/>
      <c r="AB662" s="159"/>
    </row>
    <row r="663">
      <c r="A663" s="159"/>
      <c r="B663" s="159"/>
      <c r="C663" s="159"/>
      <c r="D663" s="159"/>
      <c r="E663" s="159"/>
      <c r="F663" s="159"/>
      <c r="G663" s="159"/>
      <c r="H663" s="159"/>
      <c r="I663" s="159"/>
      <c r="J663" s="159"/>
      <c r="K663" s="159"/>
      <c r="L663" s="159"/>
      <c r="N663" s="159"/>
      <c r="O663" s="159"/>
      <c r="P663" s="159"/>
      <c r="Q663" s="159"/>
      <c r="R663" s="159"/>
      <c r="S663" s="159"/>
      <c r="T663" s="159"/>
      <c r="U663" s="159"/>
      <c r="V663" s="159"/>
      <c r="W663" s="159"/>
      <c r="X663" s="159"/>
      <c r="Y663" s="159"/>
      <c r="Z663" s="159"/>
      <c r="AA663" s="159"/>
      <c r="AB663" s="159"/>
    </row>
    <row r="664">
      <c r="A664" s="159"/>
      <c r="B664" s="159"/>
      <c r="C664" s="159"/>
      <c r="D664" s="159"/>
      <c r="E664" s="159"/>
      <c r="F664" s="159"/>
      <c r="G664" s="159"/>
      <c r="H664" s="159"/>
      <c r="I664" s="159"/>
      <c r="J664" s="159"/>
      <c r="K664" s="159"/>
      <c r="L664" s="159"/>
      <c r="N664" s="159"/>
      <c r="O664" s="159"/>
      <c r="P664" s="159"/>
      <c r="Q664" s="159"/>
      <c r="R664" s="159"/>
      <c r="S664" s="159"/>
      <c r="T664" s="159"/>
      <c r="U664" s="159"/>
      <c r="V664" s="159"/>
      <c r="W664" s="159"/>
      <c r="X664" s="159"/>
      <c r="Y664" s="159"/>
      <c r="Z664" s="159"/>
      <c r="AA664" s="159"/>
      <c r="AB664" s="159"/>
    </row>
    <row r="665">
      <c r="A665" s="159"/>
      <c r="B665" s="159"/>
      <c r="C665" s="159"/>
      <c r="D665" s="159"/>
      <c r="E665" s="159"/>
      <c r="F665" s="159"/>
      <c r="G665" s="159"/>
      <c r="H665" s="159"/>
      <c r="I665" s="159"/>
      <c r="J665" s="159"/>
      <c r="K665" s="159"/>
      <c r="L665" s="159"/>
      <c r="N665" s="159"/>
      <c r="O665" s="159"/>
      <c r="P665" s="159"/>
      <c r="Q665" s="159"/>
      <c r="R665" s="159"/>
      <c r="S665" s="159"/>
      <c r="T665" s="159"/>
      <c r="U665" s="159"/>
      <c r="V665" s="159"/>
      <c r="W665" s="159"/>
      <c r="X665" s="159"/>
      <c r="Y665" s="159"/>
      <c r="Z665" s="159"/>
      <c r="AA665" s="159"/>
      <c r="AB665" s="159"/>
    </row>
    <row r="666">
      <c r="A666" s="159"/>
      <c r="B666" s="159"/>
      <c r="C666" s="159"/>
      <c r="D666" s="159"/>
      <c r="E666" s="159"/>
      <c r="F666" s="159"/>
      <c r="G666" s="159"/>
      <c r="H666" s="159"/>
      <c r="I666" s="159"/>
      <c r="J666" s="159"/>
      <c r="K666" s="159"/>
      <c r="L666" s="159"/>
      <c r="N666" s="159"/>
      <c r="O666" s="159"/>
      <c r="P666" s="159"/>
      <c r="Q666" s="159"/>
      <c r="R666" s="159"/>
      <c r="S666" s="159"/>
      <c r="T666" s="159"/>
      <c r="U666" s="159"/>
      <c r="V666" s="159"/>
      <c r="W666" s="159"/>
      <c r="X666" s="159"/>
      <c r="Y666" s="159"/>
      <c r="Z666" s="159"/>
      <c r="AA666" s="159"/>
      <c r="AB666" s="159"/>
    </row>
    <row r="667">
      <c r="A667" s="159"/>
      <c r="B667" s="159"/>
      <c r="C667" s="159"/>
      <c r="D667" s="159"/>
      <c r="E667" s="159"/>
      <c r="F667" s="159"/>
      <c r="G667" s="159"/>
      <c r="H667" s="159"/>
      <c r="I667" s="159"/>
      <c r="J667" s="159"/>
      <c r="K667" s="159"/>
      <c r="L667" s="159"/>
      <c r="N667" s="159"/>
      <c r="O667" s="159"/>
      <c r="P667" s="159"/>
      <c r="Q667" s="159"/>
      <c r="R667" s="159"/>
      <c r="S667" s="159"/>
      <c r="T667" s="159"/>
      <c r="U667" s="159"/>
      <c r="V667" s="159"/>
      <c r="W667" s="159"/>
      <c r="X667" s="159"/>
      <c r="Y667" s="159"/>
      <c r="Z667" s="159"/>
      <c r="AA667" s="159"/>
      <c r="AB667" s="159"/>
    </row>
    <row r="668">
      <c r="A668" s="159"/>
      <c r="B668" s="159"/>
      <c r="C668" s="159"/>
      <c r="D668" s="159"/>
      <c r="E668" s="159"/>
      <c r="F668" s="159"/>
      <c r="G668" s="159"/>
      <c r="H668" s="159"/>
      <c r="I668" s="159"/>
      <c r="J668" s="159"/>
      <c r="K668" s="159"/>
      <c r="L668" s="159"/>
      <c r="N668" s="159"/>
      <c r="O668" s="159"/>
      <c r="P668" s="159"/>
      <c r="Q668" s="159"/>
      <c r="R668" s="159"/>
      <c r="S668" s="159"/>
      <c r="T668" s="159"/>
      <c r="U668" s="159"/>
      <c r="V668" s="159"/>
      <c r="W668" s="159"/>
      <c r="X668" s="159"/>
      <c r="Y668" s="159"/>
      <c r="Z668" s="159"/>
      <c r="AA668" s="159"/>
      <c r="AB668" s="159"/>
    </row>
    <row r="669">
      <c r="A669" s="159"/>
      <c r="B669" s="159"/>
      <c r="C669" s="159"/>
      <c r="D669" s="159"/>
      <c r="E669" s="159"/>
      <c r="F669" s="159"/>
      <c r="G669" s="159"/>
      <c r="H669" s="159"/>
      <c r="I669" s="159"/>
      <c r="J669" s="159"/>
      <c r="K669" s="159"/>
      <c r="L669" s="159"/>
      <c r="N669" s="159"/>
      <c r="O669" s="159"/>
      <c r="P669" s="159"/>
      <c r="Q669" s="159"/>
      <c r="R669" s="159"/>
      <c r="S669" s="159"/>
      <c r="T669" s="159"/>
      <c r="U669" s="159"/>
      <c r="V669" s="159"/>
      <c r="W669" s="159"/>
      <c r="X669" s="159"/>
      <c r="Y669" s="159"/>
      <c r="Z669" s="159"/>
      <c r="AA669" s="159"/>
      <c r="AB669" s="159"/>
    </row>
    <row r="670">
      <c r="A670" s="159"/>
      <c r="B670" s="159"/>
      <c r="C670" s="159"/>
      <c r="D670" s="159"/>
      <c r="E670" s="159"/>
      <c r="F670" s="159"/>
      <c r="G670" s="159"/>
      <c r="H670" s="159"/>
      <c r="I670" s="159"/>
      <c r="J670" s="159"/>
      <c r="K670" s="159"/>
      <c r="L670" s="159"/>
      <c r="N670" s="159"/>
      <c r="O670" s="159"/>
      <c r="P670" s="159"/>
      <c r="Q670" s="159"/>
      <c r="R670" s="159"/>
      <c r="S670" s="159"/>
      <c r="T670" s="159"/>
      <c r="U670" s="159"/>
      <c r="V670" s="159"/>
      <c r="W670" s="159"/>
      <c r="X670" s="159"/>
      <c r="Y670" s="159"/>
      <c r="Z670" s="159"/>
      <c r="AA670" s="159"/>
      <c r="AB670" s="159"/>
    </row>
    <row r="671">
      <c r="A671" s="159"/>
      <c r="B671" s="159"/>
      <c r="C671" s="159"/>
      <c r="D671" s="159"/>
      <c r="E671" s="159"/>
      <c r="F671" s="159"/>
      <c r="G671" s="159"/>
      <c r="H671" s="159"/>
      <c r="I671" s="159"/>
      <c r="J671" s="159"/>
      <c r="K671" s="159"/>
      <c r="L671" s="159"/>
      <c r="N671" s="159"/>
      <c r="O671" s="159"/>
      <c r="P671" s="159"/>
      <c r="Q671" s="159"/>
      <c r="R671" s="159"/>
      <c r="S671" s="159"/>
      <c r="T671" s="159"/>
      <c r="U671" s="159"/>
      <c r="V671" s="159"/>
      <c r="W671" s="159"/>
      <c r="X671" s="159"/>
      <c r="Y671" s="159"/>
      <c r="Z671" s="159"/>
      <c r="AA671" s="159"/>
      <c r="AB671" s="159"/>
    </row>
    <row r="672">
      <c r="A672" s="159"/>
      <c r="B672" s="159"/>
      <c r="C672" s="159"/>
      <c r="D672" s="159"/>
      <c r="E672" s="159"/>
      <c r="F672" s="159"/>
      <c r="G672" s="159"/>
      <c r="H672" s="159"/>
      <c r="I672" s="159"/>
      <c r="J672" s="159"/>
      <c r="K672" s="159"/>
      <c r="L672" s="159"/>
      <c r="N672" s="159"/>
      <c r="O672" s="159"/>
      <c r="P672" s="159"/>
      <c r="Q672" s="159"/>
      <c r="R672" s="159"/>
      <c r="S672" s="159"/>
      <c r="T672" s="159"/>
      <c r="U672" s="159"/>
      <c r="V672" s="159"/>
      <c r="W672" s="159"/>
      <c r="X672" s="159"/>
      <c r="Y672" s="159"/>
      <c r="Z672" s="159"/>
      <c r="AA672" s="159"/>
      <c r="AB672" s="159"/>
    </row>
    <row r="673">
      <c r="A673" s="159"/>
      <c r="B673" s="159"/>
      <c r="C673" s="159"/>
      <c r="D673" s="159"/>
      <c r="E673" s="159"/>
      <c r="F673" s="159"/>
      <c r="G673" s="159"/>
      <c r="H673" s="159"/>
      <c r="I673" s="159"/>
      <c r="J673" s="159"/>
      <c r="K673" s="159"/>
      <c r="L673" s="159"/>
      <c r="N673" s="159"/>
      <c r="O673" s="159"/>
      <c r="P673" s="159"/>
      <c r="Q673" s="159"/>
      <c r="R673" s="159"/>
      <c r="S673" s="159"/>
      <c r="T673" s="159"/>
      <c r="U673" s="159"/>
      <c r="V673" s="159"/>
      <c r="W673" s="159"/>
      <c r="X673" s="159"/>
      <c r="Y673" s="159"/>
      <c r="Z673" s="159"/>
      <c r="AA673" s="159"/>
      <c r="AB673" s="159"/>
    </row>
    <row r="674">
      <c r="A674" s="159"/>
      <c r="B674" s="159"/>
      <c r="C674" s="159"/>
      <c r="D674" s="159"/>
      <c r="E674" s="159"/>
      <c r="F674" s="159"/>
      <c r="G674" s="159"/>
      <c r="H674" s="159"/>
      <c r="I674" s="159"/>
      <c r="J674" s="159"/>
      <c r="K674" s="159"/>
      <c r="L674" s="159"/>
      <c r="N674" s="159"/>
      <c r="O674" s="159"/>
      <c r="P674" s="159"/>
      <c r="Q674" s="159"/>
      <c r="R674" s="159"/>
      <c r="S674" s="159"/>
      <c r="T674" s="159"/>
      <c r="U674" s="159"/>
      <c r="V674" s="159"/>
      <c r="W674" s="159"/>
      <c r="X674" s="159"/>
      <c r="Y674" s="159"/>
      <c r="Z674" s="159"/>
      <c r="AA674" s="159"/>
      <c r="AB674" s="159"/>
    </row>
    <row r="675">
      <c r="A675" s="159"/>
      <c r="B675" s="159"/>
      <c r="C675" s="159"/>
      <c r="D675" s="159"/>
      <c r="E675" s="159"/>
      <c r="F675" s="159"/>
      <c r="G675" s="159"/>
      <c r="H675" s="159"/>
      <c r="I675" s="159"/>
      <c r="J675" s="159"/>
      <c r="K675" s="159"/>
      <c r="L675" s="159"/>
      <c r="N675" s="159"/>
      <c r="O675" s="159"/>
      <c r="P675" s="159"/>
      <c r="Q675" s="159"/>
      <c r="R675" s="159"/>
      <c r="S675" s="159"/>
      <c r="T675" s="159"/>
      <c r="U675" s="159"/>
      <c r="V675" s="159"/>
      <c r="W675" s="159"/>
      <c r="X675" s="159"/>
      <c r="Y675" s="159"/>
      <c r="Z675" s="159"/>
      <c r="AA675" s="159"/>
      <c r="AB675" s="159"/>
    </row>
    <row r="676">
      <c r="A676" s="159"/>
      <c r="B676" s="159"/>
      <c r="C676" s="159"/>
      <c r="D676" s="159"/>
      <c r="E676" s="159"/>
      <c r="F676" s="159"/>
      <c r="G676" s="159"/>
      <c r="H676" s="159"/>
      <c r="I676" s="159"/>
      <c r="J676" s="159"/>
      <c r="K676" s="159"/>
      <c r="L676" s="159"/>
      <c r="N676" s="159"/>
      <c r="O676" s="159"/>
      <c r="P676" s="159"/>
      <c r="Q676" s="159"/>
      <c r="R676" s="159"/>
      <c r="S676" s="159"/>
      <c r="T676" s="159"/>
      <c r="U676" s="159"/>
      <c r="V676" s="159"/>
      <c r="W676" s="159"/>
      <c r="X676" s="159"/>
      <c r="Y676" s="159"/>
      <c r="Z676" s="159"/>
      <c r="AA676" s="159"/>
      <c r="AB676" s="159"/>
    </row>
    <row r="677">
      <c r="A677" s="159"/>
      <c r="B677" s="159"/>
      <c r="C677" s="159"/>
      <c r="D677" s="159"/>
      <c r="E677" s="159"/>
      <c r="F677" s="159"/>
      <c r="G677" s="159"/>
      <c r="H677" s="159"/>
      <c r="I677" s="159"/>
      <c r="J677" s="159"/>
      <c r="K677" s="159"/>
      <c r="L677" s="159"/>
      <c r="N677" s="159"/>
      <c r="O677" s="159"/>
      <c r="P677" s="159"/>
      <c r="Q677" s="159"/>
      <c r="R677" s="159"/>
      <c r="S677" s="159"/>
      <c r="T677" s="159"/>
      <c r="U677" s="159"/>
      <c r="V677" s="159"/>
      <c r="W677" s="159"/>
      <c r="X677" s="159"/>
      <c r="Y677" s="159"/>
      <c r="Z677" s="159"/>
      <c r="AA677" s="159"/>
      <c r="AB677" s="159"/>
    </row>
    <row r="678">
      <c r="A678" s="159"/>
      <c r="B678" s="159"/>
      <c r="C678" s="159"/>
      <c r="D678" s="159"/>
      <c r="E678" s="159"/>
      <c r="F678" s="159"/>
      <c r="G678" s="159"/>
      <c r="H678" s="159"/>
      <c r="I678" s="159"/>
      <c r="J678" s="159"/>
      <c r="K678" s="159"/>
      <c r="L678" s="159"/>
      <c r="N678" s="159"/>
      <c r="O678" s="159"/>
      <c r="P678" s="159"/>
      <c r="Q678" s="159"/>
      <c r="R678" s="159"/>
      <c r="S678" s="159"/>
      <c r="T678" s="159"/>
      <c r="U678" s="159"/>
      <c r="V678" s="159"/>
      <c r="W678" s="159"/>
      <c r="X678" s="159"/>
      <c r="Y678" s="159"/>
      <c r="Z678" s="159"/>
      <c r="AA678" s="159"/>
      <c r="AB678" s="159"/>
    </row>
    <row r="679">
      <c r="A679" s="159"/>
      <c r="B679" s="159"/>
      <c r="C679" s="159"/>
      <c r="D679" s="159"/>
      <c r="E679" s="159"/>
      <c r="F679" s="159"/>
      <c r="G679" s="159"/>
      <c r="H679" s="159"/>
      <c r="I679" s="159"/>
      <c r="J679" s="159"/>
      <c r="K679" s="159"/>
      <c r="L679" s="159"/>
      <c r="N679" s="159"/>
      <c r="O679" s="159"/>
      <c r="P679" s="159"/>
      <c r="Q679" s="159"/>
      <c r="R679" s="159"/>
      <c r="S679" s="159"/>
      <c r="T679" s="159"/>
      <c r="U679" s="159"/>
      <c r="V679" s="159"/>
      <c r="W679" s="159"/>
      <c r="X679" s="159"/>
      <c r="Y679" s="159"/>
      <c r="Z679" s="159"/>
      <c r="AA679" s="159"/>
      <c r="AB679" s="159"/>
    </row>
    <row r="680">
      <c r="A680" s="159"/>
      <c r="B680" s="159"/>
      <c r="C680" s="159"/>
      <c r="D680" s="159"/>
      <c r="E680" s="159"/>
      <c r="F680" s="159"/>
      <c r="G680" s="159"/>
      <c r="H680" s="159"/>
      <c r="I680" s="159"/>
      <c r="J680" s="159"/>
      <c r="K680" s="159"/>
      <c r="L680" s="159"/>
      <c r="N680" s="159"/>
      <c r="O680" s="159"/>
      <c r="P680" s="159"/>
      <c r="Q680" s="159"/>
      <c r="R680" s="159"/>
      <c r="S680" s="159"/>
      <c r="T680" s="159"/>
      <c r="U680" s="159"/>
      <c r="V680" s="159"/>
      <c r="W680" s="159"/>
      <c r="X680" s="159"/>
      <c r="Y680" s="159"/>
      <c r="Z680" s="159"/>
      <c r="AA680" s="159"/>
      <c r="AB680" s="159"/>
    </row>
    <row r="681">
      <c r="A681" s="159"/>
      <c r="B681" s="159"/>
      <c r="C681" s="159"/>
      <c r="D681" s="159"/>
      <c r="E681" s="159"/>
      <c r="F681" s="159"/>
      <c r="G681" s="159"/>
      <c r="H681" s="159"/>
      <c r="I681" s="159"/>
      <c r="J681" s="159"/>
      <c r="K681" s="159"/>
      <c r="L681" s="159"/>
      <c r="N681" s="159"/>
      <c r="O681" s="159"/>
      <c r="P681" s="159"/>
      <c r="Q681" s="159"/>
      <c r="R681" s="159"/>
      <c r="S681" s="159"/>
      <c r="T681" s="159"/>
      <c r="U681" s="159"/>
      <c r="V681" s="159"/>
      <c r="W681" s="159"/>
      <c r="X681" s="159"/>
      <c r="Y681" s="159"/>
      <c r="Z681" s="159"/>
      <c r="AA681" s="159"/>
      <c r="AB681" s="159"/>
    </row>
    <row r="682">
      <c r="A682" s="159"/>
      <c r="B682" s="159"/>
      <c r="C682" s="159"/>
      <c r="D682" s="159"/>
      <c r="E682" s="159"/>
      <c r="F682" s="159"/>
      <c r="G682" s="159"/>
      <c r="H682" s="159"/>
      <c r="I682" s="159"/>
      <c r="J682" s="159"/>
      <c r="K682" s="159"/>
      <c r="L682" s="159"/>
      <c r="N682" s="159"/>
      <c r="O682" s="159"/>
      <c r="P682" s="159"/>
      <c r="Q682" s="159"/>
      <c r="R682" s="159"/>
      <c r="S682" s="159"/>
      <c r="T682" s="159"/>
      <c r="U682" s="159"/>
      <c r="V682" s="159"/>
      <c r="W682" s="159"/>
      <c r="X682" s="159"/>
      <c r="Y682" s="159"/>
      <c r="Z682" s="159"/>
      <c r="AA682" s="159"/>
      <c r="AB682" s="159"/>
    </row>
    <row r="683">
      <c r="A683" s="159"/>
      <c r="B683" s="159"/>
      <c r="C683" s="159"/>
      <c r="D683" s="159"/>
      <c r="E683" s="159"/>
      <c r="F683" s="159"/>
      <c r="G683" s="159"/>
      <c r="H683" s="159"/>
      <c r="I683" s="159"/>
      <c r="J683" s="159"/>
      <c r="K683" s="159"/>
      <c r="L683" s="159"/>
      <c r="N683" s="159"/>
      <c r="O683" s="159"/>
      <c r="P683" s="159"/>
      <c r="Q683" s="159"/>
      <c r="R683" s="159"/>
      <c r="S683" s="159"/>
      <c r="T683" s="159"/>
      <c r="U683" s="159"/>
      <c r="V683" s="159"/>
      <c r="W683" s="159"/>
      <c r="X683" s="159"/>
      <c r="Y683" s="159"/>
      <c r="Z683" s="159"/>
      <c r="AA683" s="159"/>
      <c r="AB683" s="159"/>
    </row>
    <row r="684">
      <c r="A684" s="159"/>
      <c r="B684" s="159"/>
      <c r="C684" s="159"/>
      <c r="D684" s="159"/>
      <c r="E684" s="159"/>
      <c r="F684" s="159"/>
      <c r="G684" s="159"/>
      <c r="H684" s="159"/>
      <c r="I684" s="159"/>
      <c r="J684" s="159"/>
      <c r="K684" s="159"/>
      <c r="L684" s="159"/>
      <c r="N684" s="159"/>
      <c r="O684" s="159"/>
      <c r="P684" s="159"/>
      <c r="Q684" s="159"/>
      <c r="R684" s="159"/>
      <c r="S684" s="159"/>
      <c r="T684" s="159"/>
      <c r="U684" s="159"/>
      <c r="V684" s="159"/>
      <c r="W684" s="159"/>
      <c r="X684" s="159"/>
      <c r="Y684" s="159"/>
      <c r="Z684" s="159"/>
      <c r="AA684" s="159"/>
      <c r="AB684" s="159"/>
    </row>
    <row r="685">
      <c r="A685" s="159"/>
      <c r="B685" s="159"/>
      <c r="C685" s="159"/>
      <c r="D685" s="159"/>
      <c r="E685" s="159"/>
      <c r="F685" s="159"/>
      <c r="G685" s="159"/>
      <c r="H685" s="159"/>
      <c r="I685" s="159"/>
      <c r="J685" s="159"/>
      <c r="K685" s="159"/>
      <c r="L685" s="159"/>
      <c r="N685" s="159"/>
      <c r="O685" s="159"/>
      <c r="P685" s="159"/>
      <c r="Q685" s="159"/>
      <c r="R685" s="159"/>
      <c r="S685" s="159"/>
      <c r="T685" s="159"/>
      <c r="U685" s="159"/>
      <c r="V685" s="159"/>
      <c r="W685" s="159"/>
      <c r="X685" s="159"/>
      <c r="Y685" s="159"/>
      <c r="Z685" s="159"/>
      <c r="AA685" s="159"/>
      <c r="AB685" s="159"/>
    </row>
    <row r="686">
      <c r="A686" s="159"/>
      <c r="B686" s="159"/>
      <c r="C686" s="159"/>
      <c r="D686" s="159"/>
      <c r="E686" s="159"/>
      <c r="F686" s="159"/>
      <c r="G686" s="159"/>
      <c r="H686" s="159"/>
      <c r="I686" s="159"/>
      <c r="J686" s="159"/>
      <c r="K686" s="159"/>
      <c r="L686" s="159"/>
      <c r="N686" s="159"/>
      <c r="O686" s="159"/>
      <c r="P686" s="159"/>
      <c r="Q686" s="159"/>
      <c r="R686" s="159"/>
      <c r="S686" s="159"/>
      <c r="T686" s="159"/>
      <c r="U686" s="159"/>
      <c r="V686" s="159"/>
      <c r="W686" s="159"/>
      <c r="X686" s="159"/>
      <c r="Y686" s="159"/>
      <c r="Z686" s="159"/>
      <c r="AA686" s="159"/>
      <c r="AB686" s="159"/>
    </row>
    <row r="687">
      <c r="A687" s="159"/>
      <c r="B687" s="159"/>
      <c r="C687" s="159"/>
      <c r="D687" s="159"/>
      <c r="E687" s="159"/>
      <c r="F687" s="159"/>
      <c r="G687" s="159"/>
      <c r="H687" s="159"/>
      <c r="I687" s="159"/>
      <c r="J687" s="159"/>
      <c r="K687" s="159"/>
      <c r="L687" s="159"/>
      <c r="N687" s="159"/>
      <c r="O687" s="159"/>
      <c r="P687" s="159"/>
      <c r="Q687" s="159"/>
      <c r="R687" s="159"/>
      <c r="S687" s="159"/>
      <c r="T687" s="159"/>
      <c r="U687" s="159"/>
      <c r="V687" s="159"/>
      <c r="W687" s="159"/>
      <c r="X687" s="159"/>
      <c r="Y687" s="159"/>
      <c r="Z687" s="159"/>
      <c r="AA687" s="159"/>
      <c r="AB687" s="159"/>
    </row>
    <row r="688">
      <c r="A688" s="159"/>
      <c r="B688" s="159"/>
      <c r="C688" s="159"/>
      <c r="D688" s="159"/>
      <c r="E688" s="159"/>
      <c r="F688" s="159"/>
      <c r="G688" s="159"/>
      <c r="H688" s="159"/>
      <c r="I688" s="159"/>
      <c r="J688" s="159"/>
      <c r="K688" s="159"/>
      <c r="L688" s="159"/>
      <c r="N688" s="159"/>
      <c r="O688" s="159"/>
      <c r="P688" s="159"/>
      <c r="Q688" s="159"/>
      <c r="R688" s="159"/>
      <c r="S688" s="159"/>
      <c r="T688" s="159"/>
      <c r="U688" s="159"/>
      <c r="V688" s="159"/>
      <c r="W688" s="159"/>
      <c r="X688" s="159"/>
      <c r="Y688" s="159"/>
      <c r="Z688" s="159"/>
      <c r="AA688" s="159"/>
      <c r="AB688" s="159"/>
    </row>
    <row r="689">
      <c r="A689" s="159"/>
      <c r="B689" s="159"/>
      <c r="C689" s="159"/>
      <c r="D689" s="159"/>
      <c r="E689" s="159"/>
      <c r="F689" s="159"/>
      <c r="G689" s="159"/>
      <c r="H689" s="159"/>
      <c r="I689" s="159"/>
      <c r="J689" s="159"/>
      <c r="K689" s="159"/>
      <c r="L689" s="159"/>
      <c r="N689" s="159"/>
      <c r="O689" s="159"/>
      <c r="P689" s="159"/>
      <c r="Q689" s="159"/>
      <c r="R689" s="159"/>
      <c r="S689" s="159"/>
      <c r="T689" s="159"/>
      <c r="U689" s="159"/>
      <c r="V689" s="159"/>
      <c r="W689" s="159"/>
      <c r="X689" s="159"/>
      <c r="Y689" s="159"/>
      <c r="Z689" s="159"/>
      <c r="AA689" s="159"/>
      <c r="AB689" s="159"/>
    </row>
    <row r="690">
      <c r="A690" s="159"/>
      <c r="B690" s="159"/>
      <c r="C690" s="159"/>
      <c r="D690" s="159"/>
      <c r="E690" s="159"/>
      <c r="F690" s="159"/>
      <c r="G690" s="159"/>
      <c r="H690" s="159"/>
      <c r="I690" s="159"/>
      <c r="J690" s="159"/>
      <c r="K690" s="159"/>
      <c r="L690" s="159"/>
      <c r="N690" s="159"/>
      <c r="O690" s="159"/>
      <c r="P690" s="159"/>
      <c r="Q690" s="159"/>
      <c r="R690" s="159"/>
      <c r="S690" s="159"/>
      <c r="T690" s="159"/>
      <c r="U690" s="159"/>
      <c r="V690" s="159"/>
      <c r="W690" s="159"/>
      <c r="X690" s="159"/>
      <c r="Y690" s="159"/>
      <c r="Z690" s="159"/>
      <c r="AA690" s="159"/>
      <c r="AB690" s="159"/>
    </row>
    <row r="691">
      <c r="A691" s="159"/>
      <c r="B691" s="159"/>
      <c r="C691" s="159"/>
      <c r="D691" s="159"/>
      <c r="E691" s="159"/>
      <c r="F691" s="159"/>
      <c r="G691" s="159"/>
      <c r="H691" s="159"/>
      <c r="I691" s="159"/>
      <c r="J691" s="159"/>
      <c r="K691" s="159"/>
      <c r="L691" s="159"/>
      <c r="N691" s="159"/>
      <c r="O691" s="159"/>
      <c r="P691" s="159"/>
      <c r="Q691" s="159"/>
      <c r="R691" s="159"/>
      <c r="S691" s="159"/>
      <c r="T691" s="159"/>
      <c r="U691" s="159"/>
      <c r="V691" s="159"/>
      <c r="W691" s="159"/>
      <c r="X691" s="159"/>
      <c r="Y691" s="159"/>
      <c r="Z691" s="159"/>
      <c r="AA691" s="159"/>
      <c r="AB691" s="159"/>
    </row>
    <row r="692">
      <c r="A692" s="159"/>
      <c r="B692" s="159"/>
      <c r="C692" s="159"/>
      <c r="D692" s="159"/>
      <c r="E692" s="159"/>
      <c r="F692" s="159"/>
      <c r="G692" s="159"/>
      <c r="H692" s="159"/>
      <c r="I692" s="159"/>
      <c r="J692" s="159"/>
      <c r="K692" s="159"/>
      <c r="L692" s="159"/>
      <c r="N692" s="159"/>
      <c r="O692" s="159"/>
      <c r="P692" s="159"/>
      <c r="Q692" s="159"/>
      <c r="R692" s="159"/>
      <c r="S692" s="159"/>
      <c r="T692" s="159"/>
      <c r="U692" s="159"/>
      <c r="V692" s="159"/>
      <c r="W692" s="159"/>
      <c r="X692" s="159"/>
      <c r="Y692" s="159"/>
      <c r="Z692" s="159"/>
      <c r="AA692" s="159"/>
      <c r="AB692" s="159"/>
    </row>
    <row r="693">
      <c r="A693" s="159"/>
      <c r="B693" s="159"/>
      <c r="C693" s="159"/>
      <c r="D693" s="159"/>
      <c r="E693" s="159"/>
      <c r="F693" s="159"/>
      <c r="G693" s="159"/>
      <c r="H693" s="159"/>
      <c r="I693" s="159"/>
      <c r="J693" s="159"/>
      <c r="K693" s="159"/>
      <c r="L693" s="159"/>
      <c r="N693" s="159"/>
      <c r="O693" s="159"/>
      <c r="P693" s="159"/>
      <c r="Q693" s="159"/>
      <c r="R693" s="159"/>
      <c r="S693" s="159"/>
      <c r="T693" s="159"/>
      <c r="U693" s="159"/>
      <c r="V693" s="159"/>
      <c r="W693" s="159"/>
      <c r="X693" s="159"/>
      <c r="Y693" s="159"/>
      <c r="Z693" s="159"/>
      <c r="AA693" s="159"/>
      <c r="AB693" s="159"/>
    </row>
    <row r="694">
      <c r="A694" s="159"/>
      <c r="B694" s="159"/>
      <c r="C694" s="159"/>
      <c r="D694" s="159"/>
      <c r="E694" s="159"/>
      <c r="F694" s="159"/>
      <c r="G694" s="159"/>
      <c r="H694" s="159"/>
      <c r="I694" s="159"/>
      <c r="J694" s="159"/>
      <c r="K694" s="159"/>
      <c r="L694" s="159"/>
      <c r="N694" s="159"/>
      <c r="O694" s="159"/>
      <c r="P694" s="159"/>
      <c r="Q694" s="159"/>
      <c r="R694" s="159"/>
      <c r="S694" s="159"/>
      <c r="T694" s="159"/>
      <c r="U694" s="159"/>
      <c r="V694" s="159"/>
      <c r="W694" s="159"/>
      <c r="X694" s="159"/>
      <c r="Y694" s="159"/>
      <c r="Z694" s="159"/>
      <c r="AA694" s="159"/>
      <c r="AB694" s="159"/>
    </row>
    <row r="695">
      <c r="A695" s="159"/>
      <c r="B695" s="159"/>
      <c r="C695" s="159"/>
      <c r="D695" s="159"/>
      <c r="E695" s="159"/>
      <c r="F695" s="159"/>
      <c r="G695" s="159"/>
      <c r="H695" s="159"/>
      <c r="I695" s="159"/>
      <c r="J695" s="159"/>
      <c r="K695" s="159"/>
      <c r="L695" s="159"/>
      <c r="N695" s="159"/>
      <c r="O695" s="159"/>
      <c r="P695" s="159"/>
      <c r="Q695" s="159"/>
      <c r="R695" s="159"/>
      <c r="S695" s="159"/>
      <c r="T695" s="159"/>
      <c r="U695" s="159"/>
      <c r="V695" s="159"/>
      <c r="W695" s="159"/>
      <c r="X695" s="159"/>
      <c r="Y695" s="159"/>
      <c r="Z695" s="159"/>
      <c r="AA695" s="159"/>
      <c r="AB695" s="159"/>
    </row>
    <row r="696">
      <c r="A696" s="159"/>
      <c r="B696" s="159"/>
      <c r="C696" s="159"/>
      <c r="D696" s="159"/>
      <c r="E696" s="159"/>
      <c r="F696" s="159"/>
      <c r="G696" s="159"/>
      <c r="H696" s="159"/>
      <c r="I696" s="159"/>
      <c r="J696" s="159"/>
      <c r="K696" s="159"/>
      <c r="L696" s="159"/>
      <c r="N696" s="159"/>
      <c r="O696" s="159"/>
      <c r="P696" s="159"/>
      <c r="Q696" s="159"/>
      <c r="R696" s="159"/>
      <c r="S696" s="159"/>
      <c r="T696" s="159"/>
      <c r="U696" s="159"/>
      <c r="V696" s="159"/>
      <c r="W696" s="159"/>
      <c r="X696" s="159"/>
      <c r="Y696" s="159"/>
      <c r="Z696" s="159"/>
      <c r="AA696" s="159"/>
      <c r="AB696" s="159"/>
    </row>
    <row r="697">
      <c r="A697" s="159"/>
      <c r="B697" s="159"/>
      <c r="C697" s="159"/>
      <c r="D697" s="159"/>
      <c r="E697" s="159"/>
      <c r="F697" s="159"/>
      <c r="G697" s="159"/>
      <c r="H697" s="159"/>
      <c r="I697" s="159"/>
      <c r="J697" s="159"/>
      <c r="K697" s="159"/>
      <c r="L697" s="159"/>
      <c r="N697" s="159"/>
      <c r="O697" s="159"/>
      <c r="P697" s="159"/>
      <c r="Q697" s="159"/>
      <c r="R697" s="159"/>
      <c r="S697" s="159"/>
      <c r="T697" s="159"/>
      <c r="U697" s="159"/>
      <c r="V697" s="159"/>
      <c r="W697" s="159"/>
      <c r="X697" s="159"/>
      <c r="Y697" s="159"/>
      <c r="Z697" s="159"/>
      <c r="AA697" s="159"/>
      <c r="AB697" s="159"/>
    </row>
    <row r="698">
      <c r="A698" s="159"/>
      <c r="B698" s="159"/>
      <c r="C698" s="159"/>
      <c r="D698" s="159"/>
      <c r="E698" s="159"/>
      <c r="F698" s="159"/>
      <c r="G698" s="159"/>
      <c r="H698" s="159"/>
      <c r="I698" s="159"/>
      <c r="J698" s="159"/>
      <c r="K698" s="159"/>
      <c r="L698" s="159"/>
      <c r="N698" s="159"/>
      <c r="O698" s="159"/>
      <c r="P698" s="159"/>
      <c r="Q698" s="159"/>
      <c r="R698" s="159"/>
      <c r="S698" s="159"/>
      <c r="T698" s="159"/>
      <c r="U698" s="159"/>
      <c r="V698" s="159"/>
      <c r="W698" s="159"/>
      <c r="X698" s="159"/>
      <c r="Y698" s="159"/>
      <c r="Z698" s="159"/>
      <c r="AA698" s="159"/>
      <c r="AB698" s="159"/>
    </row>
    <row r="699">
      <c r="A699" s="159"/>
      <c r="B699" s="159"/>
      <c r="C699" s="159"/>
      <c r="D699" s="159"/>
      <c r="E699" s="159"/>
      <c r="F699" s="159"/>
      <c r="G699" s="159"/>
      <c r="H699" s="159"/>
      <c r="I699" s="159"/>
      <c r="J699" s="159"/>
      <c r="K699" s="159"/>
      <c r="L699" s="159"/>
      <c r="N699" s="159"/>
      <c r="O699" s="159"/>
      <c r="P699" s="159"/>
      <c r="Q699" s="159"/>
      <c r="R699" s="159"/>
      <c r="S699" s="159"/>
      <c r="T699" s="159"/>
      <c r="U699" s="159"/>
      <c r="V699" s="159"/>
      <c r="W699" s="159"/>
      <c r="X699" s="159"/>
      <c r="Y699" s="159"/>
      <c r="Z699" s="159"/>
      <c r="AA699" s="159"/>
      <c r="AB699" s="159"/>
    </row>
    <row r="700">
      <c r="A700" s="159"/>
      <c r="B700" s="159"/>
      <c r="C700" s="159"/>
      <c r="D700" s="159"/>
      <c r="E700" s="159"/>
      <c r="F700" s="159"/>
      <c r="G700" s="159"/>
      <c r="H700" s="159"/>
      <c r="I700" s="159"/>
      <c r="J700" s="159"/>
      <c r="K700" s="159"/>
      <c r="L700" s="159"/>
      <c r="N700" s="159"/>
      <c r="O700" s="159"/>
      <c r="P700" s="159"/>
      <c r="Q700" s="159"/>
      <c r="R700" s="159"/>
      <c r="S700" s="159"/>
      <c r="T700" s="159"/>
      <c r="U700" s="159"/>
      <c r="V700" s="159"/>
      <c r="W700" s="159"/>
      <c r="X700" s="159"/>
      <c r="Y700" s="159"/>
      <c r="Z700" s="159"/>
      <c r="AA700" s="159"/>
      <c r="AB700" s="159"/>
    </row>
    <row r="701">
      <c r="A701" s="159"/>
      <c r="B701" s="159"/>
      <c r="C701" s="159"/>
      <c r="D701" s="159"/>
      <c r="E701" s="159"/>
      <c r="F701" s="159"/>
      <c r="G701" s="159"/>
      <c r="H701" s="159"/>
      <c r="I701" s="159"/>
      <c r="J701" s="159"/>
      <c r="K701" s="159"/>
      <c r="L701" s="159"/>
      <c r="N701" s="159"/>
      <c r="O701" s="159"/>
      <c r="P701" s="159"/>
      <c r="Q701" s="159"/>
      <c r="R701" s="159"/>
      <c r="S701" s="159"/>
      <c r="T701" s="159"/>
      <c r="U701" s="159"/>
      <c r="V701" s="159"/>
      <c r="W701" s="159"/>
      <c r="X701" s="159"/>
      <c r="Y701" s="159"/>
      <c r="Z701" s="159"/>
      <c r="AA701" s="159"/>
      <c r="AB701" s="159"/>
    </row>
    <row r="702">
      <c r="A702" s="159"/>
      <c r="B702" s="159"/>
      <c r="C702" s="159"/>
      <c r="D702" s="159"/>
      <c r="E702" s="159"/>
      <c r="F702" s="159"/>
      <c r="G702" s="159"/>
      <c r="H702" s="159"/>
      <c r="I702" s="159"/>
      <c r="J702" s="159"/>
      <c r="K702" s="159"/>
      <c r="L702" s="159"/>
      <c r="N702" s="159"/>
      <c r="O702" s="159"/>
      <c r="P702" s="159"/>
      <c r="Q702" s="159"/>
      <c r="R702" s="159"/>
      <c r="S702" s="159"/>
      <c r="T702" s="159"/>
      <c r="U702" s="159"/>
      <c r="V702" s="159"/>
      <c r="W702" s="159"/>
      <c r="X702" s="159"/>
      <c r="Y702" s="159"/>
      <c r="Z702" s="159"/>
      <c r="AA702" s="159"/>
      <c r="AB702" s="159"/>
    </row>
    <row r="703">
      <c r="A703" s="159"/>
      <c r="B703" s="159"/>
      <c r="C703" s="159"/>
      <c r="D703" s="159"/>
      <c r="E703" s="159"/>
      <c r="F703" s="159"/>
      <c r="G703" s="159"/>
      <c r="H703" s="159"/>
      <c r="I703" s="159"/>
      <c r="J703" s="159"/>
      <c r="K703" s="159"/>
      <c r="L703" s="159"/>
      <c r="N703" s="159"/>
      <c r="O703" s="159"/>
      <c r="P703" s="159"/>
      <c r="Q703" s="159"/>
      <c r="R703" s="159"/>
      <c r="S703" s="159"/>
      <c r="T703" s="159"/>
      <c r="U703" s="159"/>
      <c r="V703" s="159"/>
      <c r="W703" s="159"/>
      <c r="X703" s="159"/>
      <c r="Y703" s="159"/>
      <c r="Z703" s="159"/>
      <c r="AA703" s="159"/>
      <c r="AB703" s="159"/>
    </row>
    <row r="704">
      <c r="A704" s="159"/>
      <c r="B704" s="159"/>
      <c r="C704" s="159"/>
      <c r="D704" s="159"/>
      <c r="E704" s="159"/>
      <c r="F704" s="159"/>
      <c r="G704" s="159"/>
      <c r="H704" s="159"/>
      <c r="I704" s="159"/>
      <c r="J704" s="159"/>
      <c r="K704" s="159"/>
      <c r="L704" s="159"/>
      <c r="N704" s="159"/>
      <c r="O704" s="159"/>
      <c r="P704" s="159"/>
      <c r="Q704" s="159"/>
      <c r="R704" s="159"/>
      <c r="S704" s="159"/>
      <c r="T704" s="159"/>
      <c r="U704" s="159"/>
      <c r="V704" s="159"/>
      <c r="W704" s="159"/>
      <c r="X704" s="159"/>
      <c r="Y704" s="159"/>
      <c r="Z704" s="159"/>
      <c r="AA704" s="159"/>
      <c r="AB704" s="159"/>
    </row>
    <row r="705">
      <c r="A705" s="159"/>
      <c r="B705" s="159"/>
      <c r="C705" s="159"/>
      <c r="D705" s="159"/>
      <c r="E705" s="159"/>
      <c r="F705" s="159"/>
      <c r="G705" s="159"/>
      <c r="H705" s="159"/>
      <c r="I705" s="159"/>
      <c r="J705" s="159"/>
      <c r="K705" s="159"/>
      <c r="L705" s="159"/>
      <c r="N705" s="159"/>
      <c r="O705" s="159"/>
      <c r="P705" s="159"/>
      <c r="Q705" s="159"/>
      <c r="R705" s="159"/>
      <c r="S705" s="159"/>
      <c r="T705" s="159"/>
      <c r="U705" s="159"/>
      <c r="V705" s="159"/>
      <c r="W705" s="159"/>
      <c r="X705" s="159"/>
      <c r="Y705" s="159"/>
      <c r="Z705" s="159"/>
      <c r="AA705" s="159"/>
      <c r="AB705" s="159"/>
    </row>
    <row r="706">
      <c r="A706" s="159"/>
      <c r="B706" s="159"/>
      <c r="C706" s="159"/>
      <c r="D706" s="159"/>
      <c r="E706" s="159"/>
      <c r="F706" s="159"/>
      <c r="G706" s="159"/>
      <c r="H706" s="159"/>
      <c r="I706" s="159"/>
      <c r="J706" s="159"/>
      <c r="K706" s="159"/>
      <c r="L706" s="159"/>
      <c r="N706" s="159"/>
      <c r="O706" s="159"/>
      <c r="P706" s="159"/>
      <c r="Q706" s="159"/>
      <c r="R706" s="159"/>
      <c r="S706" s="159"/>
      <c r="T706" s="159"/>
      <c r="U706" s="159"/>
      <c r="V706" s="159"/>
      <c r="W706" s="159"/>
      <c r="X706" s="159"/>
      <c r="Y706" s="159"/>
      <c r="Z706" s="159"/>
      <c r="AA706" s="159"/>
      <c r="AB706" s="159"/>
    </row>
    <row r="707">
      <c r="A707" s="159"/>
      <c r="B707" s="159"/>
      <c r="C707" s="159"/>
      <c r="D707" s="159"/>
      <c r="E707" s="159"/>
      <c r="F707" s="159"/>
      <c r="G707" s="159"/>
      <c r="H707" s="159"/>
      <c r="I707" s="159"/>
      <c r="J707" s="159"/>
      <c r="K707" s="159"/>
      <c r="L707" s="159"/>
      <c r="N707" s="159"/>
      <c r="O707" s="159"/>
      <c r="P707" s="159"/>
      <c r="Q707" s="159"/>
      <c r="R707" s="159"/>
      <c r="S707" s="159"/>
      <c r="T707" s="159"/>
      <c r="U707" s="159"/>
      <c r="V707" s="159"/>
      <c r="W707" s="159"/>
      <c r="X707" s="159"/>
      <c r="Y707" s="159"/>
      <c r="Z707" s="159"/>
      <c r="AA707" s="159"/>
      <c r="AB707" s="159"/>
    </row>
    <row r="708">
      <c r="A708" s="159"/>
      <c r="B708" s="159"/>
      <c r="C708" s="159"/>
      <c r="D708" s="159"/>
      <c r="E708" s="159"/>
      <c r="F708" s="159"/>
      <c r="G708" s="159"/>
      <c r="H708" s="159"/>
      <c r="I708" s="159"/>
      <c r="J708" s="159"/>
      <c r="K708" s="159"/>
      <c r="L708" s="159"/>
      <c r="N708" s="159"/>
      <c r="O708" s="159"/>
      <c r="P708" s="159"/>
      <c r="Q708" s="159"/>
      <c r="R708" s="159"/>
      <c r="S708" s="159"/>
      <c r="T708" s="159"/>
      <c r="U708" s="159"/>
      <c r="V708" s="159"/>
      <c r="W708" s="159"/>
      <c r="X708" s="159"/>
      <c r="Y708" s="159"/>
      <c r="Z708" s="159"/>
      <c r="AA708" s="159"/>
      <c r="AB708" s="159"/>
    </row>
    <row r="709">
      <c r="A709" s="159"/>
      <c r="B709" s="159"/>
      <c r="C709" s="159"/>
      <c r="D709" s="159"/>
      <c r="E709" s="159"/>
      <c r="F709" s="159"/>
      <c r="G709" s="159"/>
      <c r="H709" s="159"/>
      <c r="I709" s="159"/>
      <c r="J709" s="159"/>
      <c r="K709" s="159"/>
      <c r="L709" s="159"/>
      <c r="N709" s="159"/>
      <c r="O709" s="159"/>
      <c r="P709" s="159"/>
      <c r="Q709" s="159"/>
      <c r="R709" s="159"/>
      <c r="S709" s="159"/>
      <c r="T709" s="159"/>
      <c r="U709" s="159"/>
      <c r="V709" s="159"/>
      <c r="W709" s="159"/>
      <c r="X709" s="159"/>
      <c r="Y709" s="159"/>
      <c r="Z709" s="159"/>
      <c r="AA709" s="159"/>
      <c r="AB709" s="159"/>
    </row>
    <row r="710">
      <c r="A710" s="159"/>
      <c r="B710" s="159"/>
      <c r="C710" s="159"/>
      <c r="D710" s="159"/>
      <c r="E710" s="159"/>
      <c r="F710" s="159"/>
      <c r="G710" s="159"/>
      <c r="H710" s="159"/>
      <c r="I710" s="159"/>
      <c r="J710" s="159"/>
      <c r="K710" s="159"/>
      <c r="L710" s="159"/>
      <c r="N710" s="159"/>
      <c r="O710" s="159"/>
      <c r="P710" s="159"/>
      <c r="Q710" s="159"/>
      <c r="R710" s="159"/>
      <c r="S710" s="159"/>
      <c r="T710" s="159"/>
      <c r="U710" s="159"/>
      <c r="V710" s="159"/>
      <c r="W710" s="159"/>
      <c r="X710" s="159"/>
      <c r="Y710" s="159"/>
      <c r="Z710" s="159"/>
      <c r="AA710" s="159"/>
      <c r="AB710" s="159"/>
    </row>
    <row r="711">
      <c r="A711" s="159"/>
      <c r="B711" s="159"/>
      <c r="C711" s="159"/>
      <c r="D711" s="159"/>
      <c r="E711" s="159"/>
      <c r="F711" s="159"/>
      <c r="G711" s="159"/>
      <c r="H711" s="159"/>
      <c r="I711" s="159"/>
      <c r="J711" s="159"/>
      <c r="K711" s="159"/>
      <c r="L711" s="159"/>
      <c r="N711" s="159"/>
      <c r="O711" s="159"/>
      <c r="P711" s="159"/>
      <c r="Q711" s="159"/>
      <c r="R711" s="159"/>
      <c r="S711" s="159"/>
      <c r="T711" s="159"/>
      <c r="U711" s="159"/>
      <c r="V711" s="159"/>
      <c r="W711" s="159"/>
      <c r="X711" s="159"/>
      <c r="Y711" s="159"/>
      <c r="Z711" s="159"/>
      <c r="AA711" s="159"/>
      <c r="AB711" s="159"/>
    </row>
    <row r="712">
      <c r="A712" s="159"/>
      <c r="B712" s="159"/>
      <c r="C712" s="159"/>
      <c r="D712" s="159"/>
      <c r="E712" s="159"/>
      <c r="F712" s="159"/>
      <c r="G712" s="159"/>
      <c r="H712" s="159"/>
      <c r="I712" s="159"/>
      <c r="J712" s="159"/>
      <c r="K712" s="159"/>
      <c r="L712" s="159"/>
      <c r="N712" s="159"/>
      <c r="O712" s="159"/>
      <c r="P712" s="159"/>
      <c r="Q712" s="159"/>
      <c r="R712" s="159"/>
      <c r="S712" s="159"/>
      <c r="T712" s="159"/>
      <c r="U712" s="159"/>
      <c r="V712" s="159"/>
      <c r="W712" s="159"/>
      <c r="X712" s="159"/>
      <c r="Y712" s="159"/>
      <c r="Z712" s="159"/>
      <c r="AA712" s="159"/>
      <c r="AB712" s="159"/>
    </row>
    <row r="713">
      <c r="A713" s="159"/>
      <c r="B713" s="159"/>
      <c r="C713" s="159"/>
      <c r="D713" s="159"/>
      <c r="E713" s="159"/>
      <c r="F713" s="159"/>
      <c r="G713" s="159"/>
      <c r="H713" s="159"/>
      <c r="I713" s="159"/>
      <c r="J713" s="159"/>
      <c r="K713" s="159"/>
      <c r="L713" s="159"/>
      <c r="N713" s="159"/>
      <c r="O713" s="159"/>
      <c r="P713" s="159"/>
      <c r="Q713" s="159"/>
      <c r="R713" s="159"/>
      <c r="S713" s="159"/>
      <c r="T713" s="159"/>
      <c r="U713" s="159"/>
      <c r="V713" s="159"/>
      <c r="W713" s="159"/>
      <c r="X713" s="159"/>
      <c r="Y713" s="159"/>
      <c r="Z713" s="159"/>
      <c r="AA713" s="159"/>
      <c r="AB713" s="159"/>
    </row>
    <row r="714">
      <c r="A714" s="159"/>
      <c r="B714" s="159"/>
      <c r="C714" s="159"/>
      <c r="D714" s="159"/>
      <c r="E714" s="159"/>
      <c r="F714" s="159"/>
      <c r="G714" s="159"/>
      <c r="H714" s="159"/>
      <c r="I714" s="159"/>
      <c r="J714" s="159"/>
      <c r="K714" s="159"/>
      <c r="L714" s="159"/>
      <c r="N714" s="159"/>
      <c r="O714" s="159"/>
      <c r="P714" s="159"/>
      <c r="Q714" s="159"/>
      <c r="R714" s="159"/>
      <c r="S714" s="159"/>
      <c r="T714" s="159"/>
      <c r="U714" s="159"/>
      <c r="V714" s="159"/>
      <c r="W714" s="159"/>
      <c r="X714" s="159"/>
      <c r="Y714" s="159"/>
      <c r="Z714" s="159"/>
      <c r="AA714" s="159"/>
      <c r="AB714" s="159"/>
    </row>
    <row r="715">
      <c r="A715" s="159"/>
      <c r="B715" s="159"/>
      <c r="C715" s="159"/>
      <c r="D715" s="159"/>
      <c r="E715" s="159"/>
      <c r="F715" s="159"/>
      <c r="G715" s="159"/>
      <c r="H715" s="159"/>
      <c r="I715" s="159"/>
      <c r="J715" s="159"/>
      <c r="K715" s="159"/>
      <c r="L715" s="159"/>
      <c r="N715" s="159"/>
      <c r="O715" s="159"/>
      <c r="P715" s="159"/>
      <c r="Q715" s="159"/>
      <c r="R715" s="159"/>
      <c r="S715" s="159"/>
      <c r="T715" s="159"/>
      <c r="U715" s="159"/>
      <c r="V715" s="159"/>
      <c r="W715" s="159"/>
      <c r="X715" s="159"/>
      <c r="Y715" s="159"/>
      <c r="Z715" s="159"/>
      <c r="AA715" s="159"/>
      <c r="AB715" s="159"/>
    </row>
    <row r="716">
      <c r="A716" s="159"/>
      <c r="B716" s="159"/>
      <c r="C716" s="159"/>
      <c r="D716" s="159"/>
      <c r="E716" s="159"/>
      <c r="F716" s="159"/>
      <c r="G716" s="159"/>
      <c r="H716" s="159"/>
      <c r="I716" s="159"/>
      <c r="J716" s="159"/>
      <c r="K716" s="159"/>
      <c r="L716" s="159"/>
      <c r="N716" s="159"/>
      <c r="O716" s="159"/>
      <c r="P716" s="159"/>
      <c r="Q716" s="159"/>
      <c r="R716" s="159"/>
      <c r="S716" s="159"/>
      <c r="T716" s="159"/>
      <c r="U716" s="159"/>
      <c r="V716" s="159"/>
      <c r="W716" s="159"/>
      <c r="X716" s="159"/>
      <c r="Y716" s="159"/>
      <c r="Z716" s="159"/>
      <c r="AA716" s="159"/>
      <c r="AB716" s="159"/>
    </row>
    <row r="717">
      <c r="A717" s="159"/>
      <c r="B717" s="159"/>
      <c r="C717" s="159"/>
      <c r="D717" s="159"/>
      <c r="E717" s="159"/>
      <c r="F717" s="159"/>
      <c r="G717" s="159"/>
      <c r="H717" s="159"/>
      <c r="I717" s="159"/>
      <c r="J717" s="159"/>
      <c r="K717" s="159"/>
      <c r="L717" s="159"/>
      <c r="N717" s="159"/>
      <c r="O717" s="159"/>
      <c r="P717" s="159"/>
      <c r="Q717" s="159"/>
      <c r="R717" s="159"/>
      <c r="S717" s="159"/>
      <c r="T717" s="159"/>
      <c r="U717" s="159"/>
      <c r="V717" s="159"/>
      <c r="W717" s="159"/>
      <c r="X717" s="159"/>
      <c r="Y717" s="159"/>
      <c r="Z717" s="159"/>
      <c r="AA717" s="159"/>
      <c r="AB717" s="159"/>
    </row>
    <row r="718">
      <c r="A718" s="159"/>
      <c r="B718" s="159"/>
      <c r="C718" s="159"/>
      <c r="D718" s="159"/>
      <c r="E718" s="159"/>
      <c r="F718" s="159"/>
      <c r="G718" s="159"/>
      <c r="H718" s="159"/>
      <c r="I718" s="159"/>
      <c r="J718" s="159"/>
      <c r="K718" s="159"/>
      <c r="L718" s="159"/>
      <c r="N718" s="159"/>
      <c r="O718" s="159"/>
      <c r="P718" s="159"/>
      <c r="Q718" s="159"/>
      <c r="R718" s="159"/>
      <c r="S718" s="159"/>
      <c r="T718" s="159"/>
      <c r="U718" s="159"/>
      <c r="V718" s="159"/>
      <c r="W718" s="159"/>
      <c r="X718" s="159"/>
      <c r="Y718" s="159"/>
      <c r="Z718" s="159"/>
      <c r="AA718" s="159"/>
      <c r="AB718" s="159"/>
    </row>
    <row r="719">
      <c r="A719" s="159"/>
      <c r="B719" s="159"/>
      <c r="C719" s="159"/>
      <c r="D719" s="159"/>
      <c r="E719" s="159"/>
      <c r="F719" s="159"/>
      <c r="G719" s="159"/>
      <c r="H719" s="159"/>
      <c r="I719" s="159"/>
      <c r="J719" s="159"/>
      <c r="K719" s="159"/>
      <c r="L719" s="159"/>
      <c r="N719" s="159"/>
      <c r="O719" s="159"/>
      <c r="P719" s="159"/>
      <c r="Q719" s="159"/>
      <c r="R719" s="159"/>
      <c r="S719" s="159"/>
      <c r="T719" s="159"/>
      <c r="U719" s="159"/>
      <c r="V719" s="159"/>
      <c r="W719" s="159"/>
      <c r="X719" s="159"/>
      <c r="Y719" s="159"/>
      <c r="Z719" s="159"/>
      <c r="AA719" s="159"/>
      <c r="AB719" s="159"/>
    </row>
    <row r="720">
      <c r="A720" s="159"/>
      <c r="B720" s="159"/>
      <c r="C720" s="159"/>
      <c r="D720" s="159"/>
      <c r="E720" s="159"/>
      <c r="F720" s="159"/>
      <c r="G720" s="159"/>
      <c r="H720" s="159"/>
      <c r="I720" s="159"/>
      <c r="J720" s="159"/>
      <c r="K720" s="159"/>
      <c r="L720" s="159"/>
      <c r="N720" s="159"/>
      <c r="O720" s="159"/>
      <c r="P720" s="159"/>
      <c r="Q720" s="159"/>
      <c r="R720" s="159"/>
      <c r="S720" s="159"/>
      <c r="T720" s="159"/>
      <c r="U720" s="159"/>
      <c r="V720" s="159"/>
      <c r="W720" s="159"/>
      <c r="X720" s="159"/>
      <c r="Y720" s="159"/>
      <c r="Z720" s="159"/>
      <c r="AA720" s="159"/>
      <c r="AB720" s="159"/>
    </row>
    <row r="721">
      <c r="A721" s="159"/>
      <c r="B721" s="159"/>
      <c r="C721" s="159"/>
      <c r="D721" s="159"/>
      <c r="E721" s="159"/>
      <c r="F721" s="159"/>
      <c r="G721" s="159"/>
      <c r="H721" s="159"/>
      <c r="I721" s="159"/>
      <c r="J721" s="159"/>
      <c r="K721" s="159"/>
      <c r="L721" s="159"/>
      <c r="N721" s="159"/>
      <c r="O721" s="159"/>
      <c r="P721" s="159"/>
      <c r="Q721" s="159"/>
      <c r="R721" s="159"/>
      <c r="S721" s="159"/>
      <c r="T721" s="159"/>
      <c r="U721" s="159"/>
      <c r="V721" s="159"/>
      <c r="W721" s="159"/>
      <c r="X721" s="159"/>
      <c r="Y721" s="159"/>
      <c r="Z721" s="159"/>
      <c r="AA721" s="159"/>
      <c r="AB721" s="159"/>
    </row>
    <row r="722">
      <c r="A722" s="159"/>
      <c r="B722" s="159"/>
      <c r="C722" s="159"/>
      <c r="D722" s="159"/>
      <c r="E722" s="159"/>
      <c r="F722" s="159"/>
      <c r="G722" s="159"/>
      <c r="H722" s="159"/>
      <c r="I722" s="159"/>
      <c r="J722" s="159"/>
      <c r="K722" s="159"/>
      <c r="L722" s="159"/>
      <c r="N722" s="159"/>
      <c r="O722" s="159"/>
      <c r="P722" s="159"/>
      <c r="Q722" s="159"/>
      <c r="R722" s="159"/>
      <c r="S722" s="159"/>
      <c r="T722" s="159"/>
      <c r="U722" s="159"/>
      <c r="V722" s="159"/>
      <c r="W722" s="159"/>
      <c r="X722" s="159"/>
      <c r="Y722" s="159"/>
      <c r="Z722" s="159"/>
      <c r="AA722" s="159"/>
      <c r="AB722" s="159"/>
    </row>
    <row r="723">
      <c r="A723" s="159"/>
      <c r="B723" s="159"/>
      <c r="C723" s="159"/>
      <c r="D723" s="159"/>
      <c r="E723" s="159"/>
      <c r="F723" s="159"/>
      <c r="G723" s="159"/>
      <c r="H723" s="159"/>
      <c r="I723" s="159"/>
      <c r="J723" s="159"/>
      <c r="K723" s="159"/>
      <c r="L723" s="159"/>
      <c r="N723" s="159"/>
      <c r="O723" s="159"/>
      <c r="P723" s="159"/>
      <c r="Q723" s="159"/>
      <c r="R723" s="159"/>
      <c r="S723" s="159"/>
      <c r="T723" s="159"/>
      <c r="U723" s="159"/>
      <c r="V723" s="159"/>
      <c r="W723" s="159"/>
      <c r="X723" s="159"/>
      <c r="Y723" s="159"/>
      <c r="Z723" s="159"/>
      <c r="AA723" s="159"/>
      <c r="AB723" s="159"/>
    </row>
    <row r="724">
      <c r="A724" s="159"/>
      <c r="B724" s="159"/>
      <c r="C724" s="159"/>
      <c r="D724" s="159"/>
      <c r="E724" s="159"/>
      <c r="F724" s="159"/>
      <c r="G724" s="159"/>
      <c r="H724" s="159"/>
      <c r="I724" s="159"/>
      <c r="J724" s="159"/>
      <c r="K724" s="159"/>
      <c r="L724" s="159"/>
      <c r="N724" s="159"/>
      <c r="O724" s="159"/>
      <c r="P724" s="159"/>
      <c r="Q724" s="159"/>
      <c r="R724" s="159"/>
      <c r="S724" s="159"/>
      <c r="T724" s="159"/>
      <c r="U724" s="159"/>
      <c r="V724" s="159"/>
      <c r="W724" s="159"/>
      <c r="X724" s="159"/>
      <c r="Y724" s="159"/>
      <c r="Z724" s="159"/>
      <c r="AA724" s="159"/>
      <c r="AB724" s="159"/>
    </row>
    <row r="725">
      <c r="A725" s="159"/>
      <c r="B725" s="159"/>
      <c r="C725" s="159"/>
      <c r="D725" s="159"/>
      <c r="E725" s="159"/>
      <c r="F725" s="159"/>
      <c r="G725" s="159"/>
      <c r="H725" s="159"/>
      <c r="I725" s="159"/>
      <c r="J725" s="159"/>
      <c r="K725" s="159"/>
      <c r="L725" s="159"/>
      <c r="N725" s="159"/>
      <c r="O725" s="159"/>
      <c r="P725" s="159"/>
      <c r="Q725" s="159"/>
      <c r="R725" s="159"/>
      <c r="S725" s="159"/>
      <c r="T725" s="159"/>
      <c r="U725" s="159"/>
      <c r="V725" s="159"/>
      <c r="W725" s="159"/>
      <c r="X725" s="159"/>
      <c r="Y725" s="159"/>
      <c r="Z725" s="159"/>
      <c r="AA725" s="159"/>
      <c r="AB725" s="159"/>
    </row>
    <row r="726">
      <c r="A726" s="159"/>
      <c r="B726" s="159"/>
      <c r="C726" s="159"/>
      <c r="D726" s="159"/>
      <c r="E726" s="159"/>
      <c r="F726" s="159"/>
      <c r="G726" s="159"/>
      <c r="H726" s="159"/>
      <c r="I726" s="159"/>
      <c r="J726" s="159"/>
      <c r="K726" s="159"/>
      <c r="L726" s="159"/>
      <c r="N726" s="159"/>
      <c r="O726" s="159"/>
      <c r="P726" s="159"/>
      <c r="Q726" s="159"/>
      <c r="R726" s="159"/>
      <c r="S726" s="159"/>
      <c r="T726" s="159"/>
      <c r="U726" s="159"/>
      <c r="V726" s="159"/>
      <c r="W726" s="159"/>
      <c r="X726" s="159"/>
      <c r="Y726" s="159"/>
      <c r="Z726" s="159"/>
      <c r="AA726" s="159"/>
      <c r="AB726" s="159"/>
    </row>
    <row r="727">
      <c r="A727" s="159"/>
      <c r="B727" s="159"/>
      <c r="C727" s="159"/>
      <c r="D727" s="159"/>
      <c r="E727" s="159"/>
      <c r="F727" s="159"/>
      <c r="G727" s="159"/>
      <c r="H727" s="159"/>
      <c r="I727" s="159"/>
      <c r="J727" s="159"/>
      <c r="K727" s="159"/>
      <c r="L727" s="159"/>
      <c r="N727" s="159"/>
      <c r="O727" s="159"/>
      <c r="P727" s="159"/>
      <c r="Q727" s="159"/>
      <c r="R727" s="159"/>
      <c r="S727" s="159"/>
      <c r="T727" s="159"/>
      <c r="U727" s="159"/>
      <c r="V727" s="159"/>
      <c r="W727" s="159"/>
      <c r="X727" s="159"/>
      <c r="Y727" s="159"/>
      <c r="Z727" s="159"/>
      <c r="AA727" s="159"/>
      <c r="AB727" s="159"/>
    </row>
    <row r="728">
      <c r="A728" s="159"/>
      <c r="B728" s="159"/>
      <c r="C728" s="159"/>
      <c r="D728" s="159"/>
      <c r="E728" s="159"/>
      <c r="F728" s="159"/>
      <c r="G728" s="159"/>
      <c r="H728" s="159"/>
      <c r="I728" s="159"/>
      <c r="J728" s="159"/>
      <c r="K728" s="159"/>
      <c r="L728" s="159"/>
      <c r="N728" s="159"/>
      <c r="O728" s="159"/>
      <c r="P728" s="159"/>
      <c r="Q728" s="159"/>
      <c r="R728" s="159"/>
      <c r="S728" s="159"/>
      <c r="T728" s="159"/>
      <c r="U728" s="159"/>
      <c r="V728" s="159"/>
      <c r="W728" s="159"/>
      <c r="X728" s="159"/>
      <c r="Y728" s="159"/>
      <c r="Z728" s="159"/>
      <c r="AA728" s="159"/>
      <c r="AB728" s="159"/>
    </row>
    <row r="729">
      <c r="A729" s="159"/>
      <c r="B729" s="159"/>
      <c r="C729" s="159"/>
      <c r="D729" s="159"/>
      <c r="E729" s="159"/>
      <c r="F729" s="159"/>
      <c r="G729" s="159"/>
      <c r="H729" s="159"/>
      <c r="I729" s="159"/>
      <c r="J729" s="159"/>
      <c r="K729" s="159"/>
      <c r="L729" s="159"/>
      <c r="N729" s="159"/>
      <c r="O729" s="159"/>
      <c r="P729" s="159"/>
      <c r="Q729" s="159"/>
      <c r="R729" s="159"/>
      <c r="S729" s="159"/>
      <c r="T729" s="159"/>
      <c r="U729" s="159"/>
      <c r="V729" s="159"/>
      <c r="W729" s="159"/>
      <c r="X729" s="159"/>
      <c r="Y729" s="159"/>
      <c r="Z729" s="159"/>
      <c r="AA729" s="159"/>
      <c r="AB729" s="159"/>
    </row>
    <row r="730">
      <c r="A730" s="159"/>
      <c r="B730" s="159"/>
      <c r="C730" s="159"/>
      <c r="D730" s="159"/>
      <c r="E730" s="159"/>
      <c r="F730" s="159"/>
      <c r="G730" s="159"/>
      <c r="H730" s="159"/>
      <c r="I730" s="159"/>
      <c r="J730" s="159"/>
      <c r="K730" s="159"/>
      <c r="L730" s="159"/>
      <c r="N730" s="159"/>
      <c r="O730" s="159"/>
      <c r="P730" s="159"/>
      <c r="Q730" s="159"/>
      <c r="R730" s="159"/>
      <c r="S730" s="159"/>
      <c r="T730" s="159"/>
      <c r="U730" s="159"/>
      <c r="V730" s="159"/>
      <c r="W730" s="159"/>
      <c r="X730" s="159"/>
      <c r="Y730" s="159"/>
      <c r="Z730" s="159"/>
      <c r="AA730" s="159"/>
      <c r="AB730" s="159"/>
    </row>
    <row r="731">
      <c r="A731" s="159"/>
      <c r="B731" s="159"/>
      <c r="C731" s="159"/>
      <c r="D731" s="159"/>
      <c r="E731" s="159"/>
      <c r="F731" s="159"/>
      <c r="G731" s="159"/>
      <c r="H731" s="159"/>
      <c r="I731" s="159"/>
      <c r="J731" s="159"/>
      <c r="K731" s="159"/>
      <c r="L731" s="159"/>
      <c r="N731" s="159"/>
      <c r="O731" s="159"/>
      <c r="P731" s="159"/>
      <c r="Q731" s="159"/>
      <c r="R731" s="159"/>
      <c r="S731" s="159"/>
      <c r="T731" s="159"/>
      <c r="U731" s="159"/>
      <c r="V731" s="159"/>
      <c r="W731" s="159"/>
      <c r="X731" s="159"/>
      <c r="Y731" s="159"/>
      <c r="Z731" s="159"/>
      <c r="AA731" s="159"/>
      <c r="AB731" s="159"/>
    </row>
    <row r="732">
      <c r="A732" s="159"/>
      <c r="B732" s="159"/>
      <c r="C732" s="159"/>
      <c r="D732" s="159"/>
      <c r="E732" s="159"/>
      <c r="F732" s="159"/>
      <c r="G732" s="159"/>
      <c r="H732" s="159"/>
      <c r="I732" s="159"/>
      <c r="J732" s="159"/>
      <c r="K732" s="159"/>
      <c r="L732" s="159"/>
      <c r="N732" s="159"/>
      <c r="O732" s="159"/>
      <c r="P732" s="159"/>
      <c r="Q732" s="159"/>
      <c r="R732" s="159"/>
      <c r="S732" s="159"/>
      <c r="T732" s="159"/>
      <c r="U732" s="159"/>
      <c r="V732" s="159"/>
      <c r="W732" s="159"/>
      <c r="X732" s="159"/>
      <c r="Y732" s="159"/>
      <c r="Z732" s="159"/>
      <c r="AA732" s="159"/>
      <c r="AB732" s="159"/>
    </row>
    <row r="733">
      <c r="A733" s="159"/>
      <c r="B733" s="159"/>
      <c r="C733" s="159"/>
      <c r="D733" s="159"/>
      <c r="E733" s="159"/>
      <c r="F733" s="159"/>
      <c r="G733" s="159"/>
      <c r="H733" s="159"/>
      <c r="I733" s="159"/>
      <c r="J733" s="159"/>
      <c r="K733" s="159"/>
      <c r="L733" s="159"/>
      <c r="N733" s="159"/>
      <c r="O733" s="159"/>
      <c r="P733" s="159"/>
      <c r="Q733" s="159"/>
      <c r="R733" s="159"/>
      <c r="S733" s="159"/>
      <c r="T733" s="159"/>
      <c r="U733" s="159"/>
      <c r="V733" s="159"/>
      <c r="W733" s="159"/>
      <c r="X733" s="159"/>
      <c r="Y733" s="159"/>
      <c r="Z733" s="159"/>
      <c r="AA733" s="159"/>
      <c r="AB733" s="159"/>
    </row>
    <row r="734">
      <c r="A734" s="159"/>
      <c r="B734" s="159"/>
      <c r="C734" s="159"/>
      <c r="D734" s="159"/>
      <c r="E734" s="159"/>
      <c r="F734" s="159"/>
      <c r="G734" s="159"/>
      <c r="H734" s="159"/>
      <c r="I734" s="159"/>
      <c r="J734" s="159"/>
      <c r="K734" s="159"/>
      <c r="L734" s="159"/>
      <c r="N734" s="159"/>
      <c r="O734" s="159"/>
      <c r="P734" s="159"/>
      <c r="Q734" s="159"/>
      <c r="R734" s="159"/>
      <c r="S734" s="159"/>
      <c r="T734" s="159"/>
      <c r="U734" s="159"/>
      <c r="V734" s="159"/>
      <c r="W734" s="159"/>
      <c r="X734" s="159"/>
      <c r="Y734" s="159"/>
      <c r="Z734" s="159"/>
      <c r="AA734" s="159"/>
      <c r="AB734" s="159"/>
    </row>
    <row r="735">
      <c r="A735" s="159"/>
      <c r="B735" s="159"/>
      <c r="C735" s="159"/>
      <c r="D735" s="159"/>
      <c r="E735" s="159"/>
      <c r="F735" s="159"/>
      <c r="G735" s="159"/>
      <c r="H735" s="159"/>
      <c r="I735" s="159"/>
      <c r="J735" s="159"/>
      <c r="K735" s="159"/>
      <c r="L735" s="159"/>
      <c r="N735" s="159"/>
      <c r="O735" s="159"/>
      <c r="P735" s="159"/>
      <c r="Q735" s="159"/>
      <c r="R735" s="159"/>
      <c r="S735" s="159"/>
      <c r="T735" s="159"/>
      <c r="U735" s="159"/>
      <c r="V735" s="159"/>
      <c r="W735" s="159"/>
      <c r="X735" s="159"/>
      <c r="Y735" s="159"/>
      <c r="Z735" s="159"/>
      <c r="AA735" s="159"/>
      <c r="AB735" s="159"/>
    </row>
    <row r="736">
      <c r="A736" s="159"/>
      <c r="B736" s="159"/>
      <c r="C736" s="159"/>
      <c r="D736" s="159"/>
      <c r="E736" s="159"/>
      <c r="F736" s="159"/>
      <c r="G736" s="159"/>
      <c r="H736" s="159"/>
      <c r="I736" s="159"/>
      <c r="J736" s="159"/>
      <c r="K736" s="159"/>
      <c r="L736" s="159"/>
      <c r="N736" s="159"/>
      <c r="O736" s="159"/>
      <c r="P736" s="159"/>
      <c r="Q736" s="159"/>
      <c r="R736" s="159"/>
      <c r="S736" s="159"/>
      <c r="T736" s="159"/>
      <c r="U736" s="159"/>
      <c r="V736" s="159"/>
      <c r="W736" s="159"/>
      <c r="X736" s="159"/>
      <c r="Y736" s="159"/>
      <c r="Z736" s="159"/>
      <c r="AA736" s="159"/>
      <c r="AB736" s="159"/>
    </row>
    <row r="737">
      <c r="A737" s="159"/>
      <c r="B737" s="159"/>
      <c r="C737" s="159"/>
      <c r="D737" s="159"/>
      <c r="E737" s="159"/>
      <c r="F737" s="159"/>
      <c r="G737" s="159"/>
      <c r="H737" s="159"/>
      <c r="I737" s="159"/>
      <c r="J737" s="159"/>
      <c r="K737" s="159"/>
      <c r="L737" s="159"/>
      <c r="N737" s="159"/>
      <c r="O737" s="159"/>
      <c r="P737" s="159"/>
      <c r="Q737" s="159"/>
      <c r="R737" s="159"/>
      <c r="S737" s="159"/>
      <c r="T737" s="159"/>
      <c r="U737" s="159"/>
      <c r="V737" s="159"/>
      <c r="W737" s="159"/>
      <c r="X737" s="159"/>
      <c r="Y737" s="159"/>
      <c r="Z737" s="159"/>
      <c r="AA737" s="159"/>
      <c r="AB737" s="159"/>
    </row>
    <row r="738">
      <c r="A738" s="159"/>
      <c r="B738" s="159"/>
      <c r="C738" s="159"/>
      <c r="D738" s="159"/>
      <c r="E738" s="159"/>
      <c r="F738" s="159"/>
      <c r="G738" s="159"/>
      <c r="H738" s="159"/>
      <c r="I738" s="159"/>
      <c r="J738" s="159"/>
      <c r="K738" s="159"/>
      <c r="L738" s="159"/>
      <c r="N738" s="159"/>
      <c r="O738" s="159"/>
      <c r="P738" s="159"/>
      <c r="Q738" s="159"/>
      <c r="R738" s="159"/>
      <c r="S738" s="159"/>
      <c r="T738" s="159"/>
      <c r="U738" s="159"/>
      <c r="V738" s="159"/>
      <c r="W738" s="159"/>
      <c r="X738" s="159"/>
      <c r="Y738" s="159"/>
      <c r="Z738" s="159"/>
      <c r="AA738" s="159"/>
      <c r="AB738" s="159"/>
    </row>
    <row r="739">
      <c r="A739" s="159"/>
      <c r="B739" s="159"/>
      <c r="C739" s="159"/>
      <c r="D739" s="159"/>
      <c r="E739" s="159"/>
      <c r="F739" s="159"/>
      <c r="G739" s="159"/>
      <c r="H739" s="159"/>
      <c r="I739" s="159"/>
      <c r="J739" s="159"/>
      <c r="K739" s="159"/>
      <c r="L739" s="159"/>
      <c r="N739" s="159"/>
      <c r="O739" s="159"/>
      <c r="P739" s="159"/>
      <c r="Q739" s="159"/>
      <c r="R739" s="159"/>
      <c r="S739" s="159"/>
      <c r="T739" s="159"/>
      <c r="U739" s="159"/>
      <c r="V739" s="159"/>
      <c r="W739" s="159"/>
      <c r="X739" s="159"/>
      <c r="Y739" s="159"/>
      <c r="Z739" s="159"/>
      <c r="AA739" s="159"/>
      <c r="AB739" s="159"/>
    </row>
    <row r="740">
      <c r="A740" s="159"/>
      <c r="B740" s="159"/>
      <c r="C740" s="159"/>
      <c r="D740" s="159"/>
      <c r="E740" s="159"/>
      <c r="F740" s="159"/>
      <c r="G740" s="159"/>
      <c r="H740" s="159"/>
      <c r="I740" s="159"/>
      <c r="J740" s="159"/>
      <c r="K740" s="159"/>
      <c r="L740" s="159"/>
      <c r="N740" s="159"/>
      <c r="O740" s="159"/>
      <c r="P740" s="159"/>
      <c r="Q740" s="159"/>
      <c r="R740" s="159"/>
      <c r="S740" s="159"/>
      <c r="T740" s="159"/>
      <c r="U740" s="159"/>
      <c r="V740" s="159"/>
      <c r="W740" s="159"/>
      <c r="X740" s="159"/>
      <c r="Y740" s="159"/>
      <c r="Z740" s="159"/>
      <c r="AA740" s="159"/>
      <c r="AB740" s="159"/>
    </row>
    <row r="741">
      <c r="A741" s="159"/>
      <c r="B741" s="159"/>
      <c r="C741" s="159"/>
      <c r="D741" s="159"/>
      <c r="E741" s="159"/>
      <c r="F741" s="159"/>
      <c r="G741" s="159"/>
      <c r="H741" s="159"/>
      <c r="I741" s="159"/>
      <c r="J741" s="159"/>
      <c r="K741" s="159"/>
      <c r="L741" s="159"/>
      <c r="N741" s="159"/>
      <c r="O741" s="159"/>
      <c r="P741" s="159"/>
      <c r="Q741" s="159"/>
      <c r="R741" s="159"/>
      <c r="S741" s="159"/>
      <c r="T741" s="159"/>
      <c r="U741" s="159"/>
      <c r="V741" s="159"/>
      <c r="W741" s="159"/>
      <c r="X741" s="159"/>
      <c r="Y741" s="159"/>
      <c r="Z741" s="159"/>
      <c r="AA741" s="159"/>
      <c r="AB741" s="159"/>
    </row>
    <row r="742">
      <c r="A742" s="159"/>
      <c r="B742" s="159"/>
      <c r="C742" s="159"/>
      <c r="D742" s="159"/>
      <c r="E742" s="159"/>
      <c r="F742" s="159"/>
      <c r="G742" s="159"/>
      <c r="H742" s="159"/>
      <c r="I742" s="159"/>
      <c r="J742" s="159"/>
      <c r="K742" s="159"/>
      <c r="L742" s="159"/>
      <c r="N742" s="159"/>
      <c r="O742" s="159"/>
      <c r="P742" s="159"/>
      <c r="Q742" s="159"/>
      <c r="R742" s="159"/>
      <c r="S742" s="159"/>
      <c r="T742" s="159"/>
      <c r="U742" s="159"/>
      <c r="V742" s="159"/>
      <c r="W742" s="159"/>
      <c r="X742" s="159"/>
      <c r="Y742" s="159"/>
      <c r="Z742" s="159"/>
      <c r="AA742" s="159"/>
      <c r="AB742" s="159"/>
    </row>
    <row r="743">
      <c r="A743" s="159"/>
      <c r="B743" s="159"/>
      <c r="C743" s="159"/>
      <c r="D743" s="159"/>
      <c r="E743" s="159"/>
      <c r="F743" s="159"/>
      <c r="G743" s="159"/>
      <c r="H743" s="159"/>
      <c r="I743" s="159"/>
      <c r="J743" s="159"/>
      <c r="K743" s="159"/>
      <c r="L743" s="159"/>
      <c r="N743" s="159"/>
      <c r="O743" s="159"/>
      <c r="P743" s="159"/>
      <c r="Q743" s="159"/>
      <c r="R743" s="159"/>
      <c r="S743" s="159"/>
      <c r="T743" s="159"/>
      <c r="U743" s="159"/>
      <c r="V743" s="159"/>
      <c r="W743" s="159"/>
      <c r="X743" s="159"/>
      <c r="Y743" s="159"/>
      <c r="Z743" s="159"/>
      <c r="AA743" s="159"/>
      <c r="AB743" s="159"/>
    </row>
    <row r="744">
      <c r="A744" s="159"/>
      <c r="B744" s="159"/>
      <c r="C744" s="159"/>
      <c r="D744" s="159"/>
      <c r="E744" s="159"/>
      <c r="F744" s="159"/>
      <c r="G744" s="159"/>
      <c r="H744" s="159"/>
      <c r="I744" s="159"/>
      <c r="J744" s="159"/>
      <c r="K744" s="159"/>
      <c r="L744" s="159"/>
      <c r="N744" s="159"/>
      <c r="O744" s="159"/>
      <c r="P744" s="159"/>
      <c r="Q744" s="159"/>
      <c r="R744" s="159"/>
      <c r="S744" s="159"/>
      <c r="T744" s="159"/>
      <c r="U744" s="159"/>
      <c r="V744" s="159"/>
      <c r="W744" s="159"/>
      <c r="X744" s="159"/>
      <c r="Y744" s="159"/>
      <c r="Z744" s="159"/>
      <c r="AA744" s="159"/>
      <c r="AB744" s="159"/>
    </row>
    <row r="745">
      <c r="A745" s="159"/>
      <c r="B745" s="159"/>
      <c r="C745" s="159"/>
      <c r="D745" s="159"/>
      <c r="E745" s="159"/>
      <c r="F745" s="159"/>
      <c r="G745" s="159"/>
      <c r="H745" s="159"/>
      <c r="I745" s="159"/>
      <c r="J745" s="159"/>
      <c r="K745" s="159"/>
      <c r="L745" s="159"/>
      <c r="N745" s="159"/>
      <c r="O745" s="159"/>
      <c r="P745" s="159"/>
      <c r="Q745" s="159"/>
      <c r="R745" s="159"/>
      <c r="S745" s="159"/>
      <c r="T745" s="159"/>
      <c r="U745" s="159"/>
      <c r="V745" s="159"/>
      <c r="W745" s="159"/>
      <c r="X745" s="159"/>
      <c r="Y745" s="159"/>
      <c r="Z745" s="159"/>
      <c r="AA745" s="159"/>
      <c r="AB745" s="159"/>
    </row>
    <row r="746">
      <c r="A746" s="159"/>
      <c r="B746" s="159"/>
      <c r="C746" s="159"/>
      <c r="D746" s="159"/>
      <c r="E746" s="159"/>
      <c r="F746" s="159"/>
      <c r="G746" s="159"/>
      <c r="H746" s="159"/>
      <c r="I746" s="159"/>
      <c r="J746" s="159"/>
      <c r="K746" s="159"/>
      <c r="L746" s="159"/>
      <c r="N746" s="159"/>
      <c r="O746" s="159"/>
      <c r="P746" s="159"/>
      <c r="Q746" s="159"/>
      <c r="R746" s="159"/>
      <c r="S746" s="159"/>
      <c r="T746" s="159"/>
      <c r="U746" s="159"/>
      <c r="V746" s="159"/>
      <c r="W746" s="159"/>
      <c r="X746" s="159"/>
      <c r="Y746" s="159"/>
      <c r="Z746" s="159"/>
      <c r="AA746" s="159"/>
      <c r="AB746" s="159"/>
    </row>
    <row r="747">
      <c r="A747" s="159"/>
      <c r="B747" s="159"/>
      <c r="C747" s="159"/>
      <c r="D747" s="159"/>
      <c r="E747" s="159"/>
      <c r="F747" s="159"/>
      <c r="G747" s="159"/>
      <c r="H747" s="159"/>
      <c r="I747" s="159"/>
      <c r="J747" s="159"/>
      <c r="K747" s="159"/>
      <c r="L747" s="159"/>
      <c r="N747" s="159"/>
      <c r="O747" s="159"/>
      <c r="P747" s="159"/>
      <c r="Q747" s="159"/>
      <c r="R747" s="159"/>
      <c r="S747" s="159"/>
      <c r="T747" s="159"/>
      <c r="U747" s="159"/>
      <c r="V747" s="159"/>
      <c r="W747" s="159"/>
      <c r="X747" s="159"/>
      <c r="Y747" s="159"/>
      <c r="Z747" s="159"/>
      <c r="AA747" s="159"/>
      <c r="AB747" s="159"/>
    </row>
    <row r="748">
      <c r="A748" s="159"/>
      <c r="B748" s="159"/>
      <c r="C748" s="159"/>
      <c r="D748" s="159"/>
      <c r="E748" s="159"/>
      <c r="F748" s="159"/>
      <c r="G748" s="159"/>
      <c r="H748" s="159"/>
      <c r="I748" s="159"/>
      <c r="J748" s="159"/>
      <c r="K748" s="159"/>
      <c r="L748" s="159"/>
      <c r="N748" s="159"/>
      <c r="O748" s="159"/>
      <c r="P748" s="159"/>
      <c r="Q748" s="159"/>
      <c r="R748" s="159"/>
      <c r="S748" s="159"/>
      <c r="T748" s="159"/>
      <c r="U748" s="159"/>
      <c r="V748" s="159"/>
      <c r="W748" s="159"/>
      <c r="X748" s="159"/>
      <c r="Y748" s="159"/>
      <c r="Z748" s="159"/>
      <c r="AA748" s="159"/>
      <c r="AB748" s="159"/>
    </row>
    <row r="749">
      <c r="A749" s="159"/>
      <c r="B749" s="159"/>
      <c r="C749" s="159"/>
      <c r="D749" s="159"/>
      <c r="E749" s="159"/>
      <c r="F749" s="159"/>
      <c r="G749" s="159"/>
      <c r="H749" s="159"/>
      <c r="I749" s="159"/>
      <c r="J749" s="159"/>
      <c r="K749" s="159"/>
      <c r="L749" s="159"/>
      <c r="N749" s="159"/>
      <c r="O749" s="159"/>
      <c r="P749" s="159"/>
      <c r="Q749" s="159"/>
      <c r="R749" s="159"/>
      <c r="S749" s="159"/>
      <c r="T749" s="159"/>
      <c r="U749" s="159"/>
      <c r="V749" s="159"/>
      <c r="W749" s="159"/>
      <c r="X749" s="159"/>
      <c r="Y749" s="159"/>
      <c r="Z749" s="159"/>
      <c r="AA749" s="159"/>
      <c r="AB749" s="159"/>
    </row>
    <row r="750">
      <c r="A750" s="159"/>
      <c r="B750" s="159"/>
      <c r="C750" s="159"/>
      <c r="D750" s="159"/>
      <c r="E750" s="159"/>
      <c r="F750" s="159"/>
      <c r="G750" s="159"/>
      <c r="H750" s="159"/>
      <c r="I750" s="159"/>
      <c r="J750" s="159"/>
      <c r="K750" s="159"/>
      <c r="L750" s="159"/>
      <c r="N750" s="159"/>
      <c r="O750" s="159"/>
      <c r="P750" s="159"/>
      <c r="Q750" s="159"/>
      <c r="R750" s="159"/>
      <c r="S750" s="159"/>
      <c r="T750" s="159"/>
      <c r="U750" s="159"/>
      <c r="V750" s="159"/>
      <c r="W750" s="159"/>
      <c r="X750" s="159"/>
      <c r="Y750" s="159"/>
      <c r="Z750" s="159"/>
      <c r="AA750" s="159"/>
      <c r="AB750" s="159"/>
    </row>
    <row r="751">
      <c r="A751" s="159"/>
      <c r="B751" s="159"/>
      <c r="C751" s="159"/>
      <c r="D751" s="159"/>
      <c r="E751" s="159"/>
      <c r="F751" s="159"/>
      <c r="G751" s="159"/>
      <c r="H751" s="159"/>
      <c r="I751" s="159"/>
      <c r="J751" s="159"/>
      <c r="K751" s="159"/>
      <c r="L751" s="159"/>
      <c r="N751" s="159"/>
      <c r="O751" s="159"/>
      <c r="P751" s="159"/>
      <c r="Q751" s="159"/>
      <c r="R751" s="159"/>
      <c r="S751" s="159"/>
      <c r="T751" s="159"/>
      <c r="U751" s="159"/>
      <c r="V751" s="159"/>
      <c r="W751" s="159"/>
      <c r="X751" s="159"/>
      <c r="Y751" s="159"/>
      <c r="Z751" s="159"/>
      <c r="AA751" s="159"/>
      <c r="AB751" s="159"/>
    </row>
    <row r="752">
      <c r="A752" s="159"/>
      <c r="B752" s="159"/>
      <c r="C752" s="159"/>
      <c r="D752" s="159"/>
      <c r="E752" s="159"/>
      <c r="F752" s="159"/>
      <c r="G752" s="159"/>
      <c r="H752" s="159"/>
      <c r="I752" s="159"/>
      <c r="J752" s="159"/>
      <c r="K752" s="159"/>
      <c r="L752" s="159"/>
      <c r="N752" s="159"/>
      <c r="O752" s="159"/>
      <c r="P752" s="159"/>
      <c r="Q752" s="159"/>
      <c r="R752" s="159"/>
      <c r="S752" s="159"/>
      <c r="T752" s="159"/>
      <c r="U752" s="159"/>
      <c r="V752" s="159"/>
      <c r="W752" s="159"/>
      <c r="X752" s="159"/>
      <c r="Y752" s="159"/>
      <c r="Z752" s="159"/>
      <c r="AA752" s="159"/>
      <c r="AB752" s="159"/>
    </row>
    <row r="753">
      <c r="A753" s="159"/>
      <c r="B753" s="159"/>
      <c r="C753" s="159"/>
      <c r="D753" s="159"/>
      <c r="E753" s="159"/>
      <c r="F753" s="159"/>
      <c r="G753" s="159"/>
      <c r="H753" s="159"/>
      <c r="I753" s="159"/>
      <c r="J753" s="159"/>
      <c r="K753" s="159"/>
      <c r="L753" s="159"/>
      <c r="N753" s="159"/>
      <c r="O753" s="159"/>
      <c r="P753" s="159"/>
      <c r="Q753" s="159"/>
      <c r="R753" s="159"/>
      <c r="S753" s="159"/>
      <c r="T753" s="159"/>
      <c r="U753" s="159"/>
      <c r="V753" s="159"/>
      <c r="W753" s="159"/>
      <c r="X753" s="159"/>
      <c r="Y753" s="159"/>
      <c r="Z753" s="159"/>
      <c r="AA753" s="159"/>
      <c r="AB753" s="159"/>
    </row>
    <row r="754">
      <c r="A754" s="159"/>
      <c r="B754" s="159"/>
      <c r="C754" s="159"/>
      <c r="D754" s="159"/>
      <c r="E754" s="159"/>
      <c r="F754" s="159"/>
      <c r="G754" s="159"/>
      <c r="H754" s="159"/>
      <c r="I754" s="159"/>
      <c r="J754" s="159"/>
      <c r="K754" s="159"/>
      <c r="L754" s="159"/>
      <c r="N754" s="159"/>
      <c r="O754" s="159"/>
      <c r="P754" s="159"/>
      <c r="Q754" s="159"/>
      <c r="R754" s="159"/>
      <c r="S754" s="159"/>
      <c r="T754" s="159"/>
      <c r="U754" s="159"/>
      <c r="V754" s="159"/>
      <c r="W754" s="159"/>
      <c r="X754" s="159"/>
      <c r="Y754" s="159"/>
      <c r="Z754" s="159"/>
      <c r="AA754" s="159"/>
      <c r="AB754" s="159"/>
    </row>
    <row r="755">
      <c r="A755" s="159"/>
      <c r="B755" s="159"/>
      <c r="C755" s="159"/>
      <c r="D755" s="159"/>
      <c r="E755" s="159"/>
      <c r="F755" s="159"/>
      <c r="G755" s="159"/>
      <c r="H755" s="159"/>
      <c r="I755" s="159"/>
      <c r="J755" s="159"/>
      <c r="K755" s="159"/>
      <c r="L755" s="159"/>
      <c r="N755" s="159"/>
      <c r="O755" s="159"/>
      <c r="P755" s="159"/>
      <c r="Q755" s="159"/>
      <c r="R755" s="159"/>
      <c r="S755" s="159"/>
      <c r="T755" s="159"/>
      <c r="U755" s="159"/>
      <c r="V755" s="159"/>
      <c r="W755" s="159"/>
      <c r="X755" s="159"/>
      <c r="Y755" s="159"/>
      <c r="Z755" s="159"/>
      <c r="AA755" s="159"/>
      <c r="AB755" s="159"/>
    </row>
    <row r="756">
      <c r="A756" s="159"/>
      <c r="B756" s="159"/>
      <c r="C756" s="159"/>
      <c r="D756" s="159"/>
      <c r="E756" s="159"/>
      <c r="F756" s="159"/>
      <c r="G756" s="159"/>
      <c r="H756" s="159"/>
      <c r="I756" s="159"/>
      <c r="J756" s="159"/>
      <c r="K756" s="159"/>
      <c r="L756" s="159"/>
      <c r="N756" s="159"/>
      <c r="O756" s="159"/>
      <c r="P756" s="159"/>
      <c r="Q756" s="159"/>
      <c r="R756" s="159"/>
      <c r="S756" s="159"/>
      <c r="T756" s="159"/>
      <c r="U756" s="159"/>
      <c r="V756" s="159"/>
      <c r="W756" s="159"/>
      <c r="X756" s="159"/>
      <c r="Y756" s="159"/>
      <c r="Z756" s="159"/>
      <c r="AA756" s="159"/>
      <c r="AB756" s="159"/>
    </row>
    <row r="757">
      <c r="A757" s="159"/>
      <c r="B757" s="159"/>
      <c r="C757" s="159"/>
      <c r="D757" s="159"/>
      <c r="E757" s="159"/>
      <c r="F757" s="159"/>
      <c r="G757" s="159"/>
      <c r="H757" s="159"/>
      <c r="I757" s="159"/>
      <c r="J757" s="159"/>
      <c r="K757" s="159"/>
      <c r="L757" s="159"/>
      <c r="N757" s="159"/>
      <c r="O757" s="159"/>
      <c r="P757" s="159"/>
      <c r="Q757" s="159"/>
      <c r="R757" s="159"/>
      <c r="S757" s="159"/>
      <c r="T757" s="159"/>
      <c r="U757" s="159"/>
      <c r="V757" s="159"/>
      <c r="W757" s="159"/>
      <c r="X757" s="159"/>
      <c r="Y757" s="159"/>
      <c r="Z757" s="159"/>
      <c r="AA757" s="159"/>
      <c r="AB757" s="159"/>
    </row>
    <row r="758">
      <c r="A758" s="159"/>
      <c r="B758" s="159"/>
      <c r="C758" s="159"/>
      <c r="D758" s="159"/>
      <c r="E758" s="159"/>
      <c r="F758" s="159"/>
      <c r="G758" s="159"/>
      <c r="H758" s="159"/>
      <c r="I758" s="159"/>
      <c r="J758" s="159"/>
      <c r="K758" s="159"/>
      <c r="L758" s="159"/>
      <c r="N758" s="159"/>
      <c r="O758" s="159"/>
      <c r="P758" s="159"/>
      <c r="Q758" s="159"/>
      <c r="R758" s="159"/>
      <c r="S758" s="159"/>
      <c r="T758" s="159"/>
      <c r="U758" s="159"/>
      <c r="V758" s="159"/>
      <c r="W758" s="159"/>
      <c r="X758" s="159"/>
      <c r="Y758" s="159"/>
      <c r="Z758" s="159"/>
      <c r="AA758" s="159"/>
      <c r="AB758" s="159"/>
    </row>
    <row r="759">
      <c r="A759" s="159"/>
      <c r="B759" s="159"/>
      <c r="C759" s="159"/>
      <c r="D759" s="159"/>
      <c r="E759" s="159"/>
      <c r="F759" s="159"/>
      <c r="G759" s="159"/>
      <c r="H759" s="159"/>
      <c r="I759" s="159"/>
      <c r="J759" s="159"/>
      <c r="K759" s="159"/>
      <c r="L759" s="159"/>
      <c r="N759" s="159"/>
      <c r="O759" s="159"/>
      <c r="P759" s="159"/>
      <c r="Q759" s="159"/>
      <c r="R759" s="159"/>
      <c r="S759" s="159"/>
      <c r="T759" s="159"/>
      <c r="U759" s="159"/>
      <c r="V759" s="159"/>
      <c r="W759" s="159"/>
      <c r="X759" s="159"/>
      <c r="Y759" s="159"/>
      <c r="Z759" s="159"/>
      <c r="AA759" s="159"/>
      <c r="AB759" s="159"/>
    </row>
    <row r="760">
      <c r="A760" s="159"/>
      <c r="B760" s="159"/>
      <c r="C760" s="159"/>
      <c r="D760" s="159"/>
      <c r="E760" s="159"/>
      <c r="F760" s="159"/>
      <c r="G760" s="159"/>
      <c r="H760" s="159"/>
      <c r="I760" s="159"/>
      <c r="J760" s="159"/>
      <c r="K760" s="159"/>
      <c r="L760" s="159"/>
      <c r="N760" s="159"/>
      <c r="O760" s="159"/>
      <c r="P760" s="159"/>
      <c r="Q760" s="159"/>
      <c r="R760" s="159"/>
      <c r="S760" s="159"/>
      <c r="T760" s="159"/>
      <c r="U760" s="159"/>
      <c r="V760" s="159"/>
      <c r="W760" s="159"/>
      <c r="X760" s="159"/>
      <c r="Y760" s="159"/>
      <c r="Z760" s="159"/>
      <c r="AA760" s="159"/>
      <c r="AB760" s="159"/>
    </row>
    <row r="761">
      <c r="A761" s="159"/>
      <c r="B761" s="159"/>
      <c r="C761" s="159"/>
      <c r="D761" s="159"/>
      <c r="E761" s="159"/>
      <c r="F761" s="159"/>
      <c r="G761" s="159"/>
      <c r="H761" s="159"/>
      <c r="I761" s="159"/>
      <c r="J761" s="159"/>
      <c r="K761" s="159"/>
      <c r="L761" s="159"/>
      <c r="N761" s="159"/>
      <c r="O761" s="159"/>
      <c r="P761" s="159"/>
      <c r="Q761" s="159"/>
      <c r="R761" s="159"/>
      <c r="S761" s="159"/>
      <c r="T761" s="159"/>
      <c r="U761" s="159"/>
      <c r="V761" s="159"/>
      <c r="W761" s="159"/>
      <c r="X761" s="159"/>
      <c r="Y761" s="159"/>
      <c r="Z761" s="159"/>
      <c r="AA761" s="159"/>
      <c r="AB761" s="159"/>
    </row>
    <row r="762">
      <c r="A762" s="159"/>
      <c r="B762" s="159"/>
      <c r="C762" s="159"/>
      <c r="D762" s="159"/>
      <c r="E762" s="159"/>
      <c r="F762" s="159"/>
      <c r="G762" s="159"/>
      <c r="H762" s="159"/>
      <c r="I762" s="159"/>
      <c r="J762" s="159"/>
      <c r="K762" s="159"/>
      <c r="L762" s="159"/>
      <c r="N762" s="159"/>
      <c r="O762" s="159"/>
      <c r="P762" s="159"/>
      <c r="Q762" s="159"/>
      <c r="R762" s="159"/>
      <c r="S762" s="159"/>
      <c r="T762" s="159"/>
      <c r="U762" s="159"/>
      <c r="V762" s="159"/>
      <c r="W762" s="159"/>
      <c r="X762" s="159"/>
      <c r="Y762" s="159"/>
      <c r="Z762" s="159"/>
      <c r="AA762" s="159"/>
      <c r="AB762" s="159"/>
    </row>
    <row r="763">
      <c r="A763" s="159"/>
      <c r="B763" s="159"/>
      <c r="C763" s="159"/>
      <c r="D763" s="159"/>
      <c r="E763" s="159"/>
      <c r="F763" s="159"/>
      <c r="G763" s="159"/>
      <c r="H763" s="159"/>
      <c r="I763" s="159"/>
      <c r="J763" s="159"/>
      <c r="K763" s="159"/>
      <c r="L763" s="159"/>
      <c r="N763" s="159"/>
      <c r="O763" s="159"/>
      <c r="P763" s="159"/>
      <c r="Q763" s="159"/>
      <c r="R763" s="159"/>
      <c r="S763" s="159"/>
      <c r="T763" s="159"/>
      <c r="U763" s="159"/>
      <c r="V763" s="159"/>
      <c r="W763" s="159"/>
      <c r="X763" s="159"/>
      <c r="Y763" s="159"/>
      <c r="Z763" s="159"/>
      <c r="AA763" s="159"/>
      <c r="AB763" s="159"/>
    </row>
    <row r="764">
      <c r="A764" s="159"/>
      <c r="B764" s="159"/>
      <c r="C764" s="159"/>
      <c r="D764" s="159"/>
      <c r="E764" s="159"/>
      <c r="F764" s="159"/>
      <c r="G764" s="159"/>
      <c r="H764" s="159"/>
      <c r="I764" s="159"/>
      <c r="J764" s="159"/>
      <c r="K764" s="159"/>
      <c r="L764" s="159"/>
      <c r="N764" s="159"/>
      <c r="O764" s="159"/>
      <c r="P764" s="159"/>
      <c r="Q764" s="159"/>
      <c r="R764" s="159"/>
      <c r="S764" s="159"/>
      <c r="T764" s="159"/>
      <c r="U764" s="159"/>
      <c r="V764" s="159"/>
      <c r="W764" s="159"/>
      <c r="X764" s="159"/>
      <c r="Y764" s="159"/>
      <c r="Z764" s="159"/>
      <c r="AA764" s="159"/>
      <c r="AB764" s="159"/>
    </row>
    <row r="765">
      <c r="A765" s="159"/>
      <c r="B765" s="159"/>
      <c r="C765" s="159"/>
      <c r="D765" s="159"/>
      <c r="E765" s="159"/>
      <c r="F765" s="159"/>
      <c r="G765" s="159"/>
      <c r="H765" s="159"/>
      <c r="I765" s="159"/>
      <c r="J765" s="159"/>
      <c r="K765" s="159"/>
      <c r="L765" s="159"/>
      <c r="N765" s="159"/>
      <c r="O765" s="159"/>
      <c r="P765" s="159"/>
      <c r="Q765" s="159"/>
      <c r="R765" s="159"/>
      <c r="S765" s="159"/>
      <c r="T765" s="159"/>
      <c r="U765" s="159"/>
      <c r="V765" s="159"/>
      <c r="W765" s="159"/>
      <c r="X765" s="159"/>
      <c r="Y765" s="159"/>
      <c r="Z765" s="159"/>
      <c r="AA765" s="159"/>
      <c r="AB765" s="159"/>
    </row>
    <row r="766">
      <c r="A766" s="159"/>
      <c r="B766" s="159"/>
      <c r="C766" s="159"/>
      <c r="D766" s="159"/>
      <c r="E766" s="159"/>
      <c r="F766" s="159"/>
      <c r="G766" s="159"/>
      <c r="H766" s="159"/>
      <c r="I766" s="159"/>
      <c r="J766" s="159"/>
      <c r="K766" s="159"/>
      <c r="L766" s="159"/>
      <c r="N766" s="159"/>
      <c r="O766" s="159"/>
      <c r="P766" s="159"/>
      <c r="Q766" s="159"/>
      <c r="R766" s="159"/>
      <c r="S766" s="159"/>
      <c r="T766" s="159"/>
      <c r="U766" s="159"/>
      <c r="V766" s="159"/>
      <c r="W766" s="159"/>
      <c r="X766" s="159"/>
      <c r="Y766" s="159"/>
      <c r="Z766" s="159"/>
      <c r="AA766" s="159"/>
      <c r="AB766" s="159"/>
    </row>
    <row r="767">
      <c r="A767" s="159"/>
      <c r="B767" s="159"/>
      <c r="C767" s="159"/>
      <c r="D767" s="159"/>
      <c r="E767" s="159"/>
      <c r="F767" s="159"/>
      <c r="G767" s="159"/>
      <c r="H767" s="159"/>
      <c r="I767" s="159"/>
      <c r="J767" s="159"/>
      <c r="K767" s="159"/>
      <c r="L767" s="159"/>
      <c r="N767" s="159"/>
      <c r="O767" s="159"/>
      <c r="P767" s="159"/>
      <c r="Q767" s="159"/>
      <c r="R767" s="159"/>
      <c r="S767" s="159"/>
      <c r="T767" s="159"/>
      <c r="U767" s="159"/>
      <c r="V767" s="159"/>
      <c r="W767" s="159"/>
      <c r="X767" s="159"/>
      <c r="Y767" s="159"/>
      <c r="Z767" s="159"/>
      <c r="AA767" s="159"/>
      <c r="AB767" s="159"/>
    </row>
    <row r="768">
      <c r="A768" s="159"/>
      <c r="B768" s="159"/>
      <c r="C768" s="159"/>
      <c r="D768" s="159"/>
      <c r="E768" s="159"/>
      <c r="F768" s="159"/>
      <c r="G768" s="159"/>
      <c r="H768" s="159"/>
      <c r="I768" s="159"/>
      <c r="J768" s="159"/>
      <c r="K768" s="159"/>
      <c r="L768" s="159"/>
      <c r="N768" s="159"/>
      <c r="O768" s="159"/>
      <c r="P768" s="159"/>
      <c r="Q768" s="159"/>
      <c r="R768" s="159"/>
      <c r="S768" s="159"/>
      <c r="T768" s="159"/>
      <c r="U768" s="159"/>
      <c r="V768" s="159"/>
      <c r="W768" s="159"/>
      <c r="X768" s="159"/>
      <c r="Y768" s="159"/>
      <c r="Z768" s="159"/>
      <c r="AA768" s="159"/>
      <c r="AB768" s="159"/>
    </row>
    <row r="769">
      <c r="A769" s="159"/>
      <c r="B769" s="159"/>
      <c r="C769" s="159"/>
      <c r="D769" s="159"/>
      <c r="E769" s="159"/>
      <c r="F769" s="159"/>
      <c r="G769" s="159"/>
      <c r="H769" s="159"/>
      <c r="I769" s="159"/>
      <c r="J769" s="159"/>
      <c r="K769" s="159"/>
      <c r="L769" s="159"/>
      <c r="N769" s="159"/>
      <c r="O769" s="159"/>
      <c r="P769" s="159"/>
      <c r="Q769" s="159"/>
      <c r="R769" s="159"/>
      <c r="S769" s="159"/>
      <c r="T769" s="159"/>
      <c r="U769" s="159"/>
      <c r="V769" s="159"/>
      <c r="W769" s="159"/>
      <c r="X769" s="159"/>
      <c r="Y769" s="159"/>
      <c r="Z769" s="159"/>
      <c r="AA769" s="159"/>
      <c r="AB769" s="159"/>
    </row>
    <row r="770">
      <c r="A770" s="159"/>
      <c r="B770" s="159"/>
      <c r="C770" s="159"/>
      <c r="D770" s="159"/>
      <c r="E770" s="159"/>
      <c r="F770" s="159"/>
      <c r="G770" s="159"/>
      <c r="H770" s="159"/>
      <c r="I770" s="159"/>
      <c r="J770" s="159"/>
      <c r="K770" s="159"/>
      <c r="L770" s="159"/>
      <c r="N770" s="159"/>
      <c r="O770" s="159"/>
      <c r="P770" s="159"/>
      <c r="Q770" s="159"/>
      <c r="R770" s="159"/>
      <c r="S770" s="159"/>
      <c r="T770" s="159"/>
      <c r="U770" s="159"/>
      <c r="V770" s="159"/>
      <c r="W770" s="159"/>
      <c r="X770" s="159"/>
      <c r="Y770" s="159"/>
      <c r="Z770" s="159"/>
      <c r="AA770" s="159"/>
      <c r="AB770" s="159"/>
    </row>
    <row r="771">
      <c r="A771" s="159"/>
      <c r="B771" s="159"/>
      <c r="C771" s="159"/>
      <c r="D771" s="159"/>
      <c r="E771" s="159"/>
      <c r="F771" s="159"/>
      <c r="G771" s="159"/>
      <c r="H771" s="159"/>
      <c r="I771" s="159"/>
      <c r="J771" s="159"/>
      <c r="K771" s="159"/>
      <c r="L771" s="159"/>
      <c r="N771" s="159"/>
      <c r="O771" s="159"/>
      <c r="P771" s="159"/>
      <c r="Q771" s="159"/>
      <c r="R771" s="159"/>
      <c r="S771" s="159"/>
      <c r="T771" s="159"/>
      <c r="U771" s="159"/>
      <c r="V771" s="159"/>
      <c r="W771" s="159"/>
      <c r="X771" s="159"/>
      <c r="Y771" s="159"/>
      <c r="Z771" s="159"/>
      <c r="AA771" s="159"/>
      <c r="AB771" s="159"/>
    </row>
    <row r="772">
      <c r="A772" s="159"/>
      <c r="B772" s="159"/>
      <c r="C772" s="159"/>
      <c r="D772" s="159"/>
      <c r="E772" s="159"/>
      <c r="F772" s="159"/>
      <c r="G772" s="159"/>
      <c r="H772" s="159"/>
      <c r="I772" s="159"/>
      <c r="J772" s="159"/>
      <c r="K772" s="159"/>
      <c r="L772" s="159"/>
      <c r="N772" s="159"/>
      <c r="O772" s="159"/>
      <c r="P772" s="159"/>
      <c r="Q772" s="159"/>
      <c r="R772" s="159"/>
      <c r="S772" s="159"/>
      <c r="T772" s="159"/>
      <c r="U772" s="159"/>
      <c r="V772" s="159"/>
      <c r="W772" s="159"/>
      <c r="X772" s="159"/>
      <c r="Y772" s="159"/>
      <c r="Z772" s="159"/>
      <c r="AA772" s="159"/>
      <c r="AB772" s="159"/>
    </row>
    <row r="773">
      <c r="A773" s="159"/>
      <c r="B773" s="159"/>
      <c r="C773" s="159"/>
      <c r="D773" s="159"/>
      <c r="E773" s="159"/>
      <c r="F773" s="159"/>
      <c r="G773" s="159"/>
      <c r="H773" s="159"/>
      <c r="I773" s="159"/>
      <c r="J773" s="159"/>
      <c r="K773" s="159"/>
      <c r="L773" s="159"/>
      <c r="N773" s="159"/>
      <c r="O773" s="159"/>
      <c r="P773" s="159"/>
      <c r="Q773" s="159"/>
      <c r="R773" s="159"/>
      <c r="S773" s="159"/>
      <c r="T773" s="159"/>
      <c r="U773" s="159"/>
      <c r="V773" s="159"/>
      <c r="W773" s="159"/>
      <c r="X773" s="159"/>
      <c r="Y773" s="159"/>
      <c r="Z773" s="159"/>
      <c r="AA773" s="159"/>
      <c r="AB773" s="159"/>
    </row>
    <row r="774">
      <c r="A774" s="159"/>
      <c r="B774" s="159"/>
      <c r="C774" s="159"/>
      <c r="D774" s="159"/>
      <c r="E774" s="159"/>
      <c r="F774" s="159"/>
      <c r="G774" s="159"/>
      <c r="H774" s="159"/>
      <c r="I774" s="159"/>
      <c r="J774" s="159"/>
      <c r="K774" s="159"/>
      <c r="L774" s="159"/>
      <c r="N774" s="159"/>
      <c r="O774" s="159"/>
      <c r="P774" s="159"/>
      <c r="Q774" s="159"/>
      <c r="R774" s="159"/>
      <c r="S774" s="159"/>
      <c r="T774" s="159"/>
      <c r="U774" s="159"/>
      <c r="V774" s="159"/>
      <c r="W774" s="159"/>
      <c r="X774" s="159"/>
      <c r="Y774" s="159"/>
      <c r="Z774" s="159"/>
      <c r="AA774" s="159"/>
      <c r="AB774" s="159"/>
    </row>
    <row r="775">
      <c r="A775" s="159"/>
      <c r="B775" s="159"/>
      <c r="C775" s="159"/>
      <c r="D775" s="159"/>
      <c r="E775" s="159"/>
      <c r="F775" s="159"/>
      <c r="G775" s="159"/>
      <c r="H775" s="159"/>
      <c r="I775" s="159"/>
      <c r="J775" s="159"/>
      <c r="K775" s="159"/>
      <c r="L775" s="159"/>
      <c r="N775" s="159"/>
      <c r="O775" s="159"/>
      <c r="P775" s="159"/>
      <c r="Q775" s="159"/>
      <c r="R775" s="159"/>
      <c r="S775" s="159"/>
      <c r="T775" s="159"/>
      <c r="U775" s="159"/>
      <c r="V775" s="159"/>
      <c r="W775" s="159"/>
      <c r="X775" s="159"/>
      <c r="Y775" s="159"/>
      <c r="Z775" s="159"/>
      <c r="AA775" s="159"/>
      <c r="AB775" s="159"/>
    </row>
    <row r="776">
      <c r="A776" s="159"/>
      <c r="B776" s="159"/>
      <c r="C776" s="159"/>
      <c r="D776" s="159"/>
      <c r="E776" s="159"/>
      <c r="F776" s="159"/>
      <c r="G776" s="159"/>
      <c r="H776" s="159"/>
      <c r="I776" s="159"/>
      <c r="J776" s="159"/>
      <c r="K776" s="159"/>
      <c r="L776" s="159"/>
      <c r="N776" s="159"/>
      <c r="O776" s="159"/>
      <c r="P776" s="159"/>
      <c r="Q776" s="159"/>
      <c r="R776" s="159"/>
      <c r="S776" s="159"/>
      <c r="T776" s="159"/>
      <c r="U776" s="159"/>
      <c r="V776" s="159"/>
      <c r="W776" s="159"/>
      <c r="X776" s="159"/>
      <c r="Y776" s="159"/>
      <c r="Z776" s="159"/>
      <c r="AA776" s="159"/>
      <c r="AB776" s="159"/>
    </row>
    <row r="777">
      <c r="A777" s="159"/>
      <c r="B777" s="159"/>
      <c r="C777" s="159"/>
      <c r="D777" s="159"/>
      <c r="E777" s="159"/>
      <c r="F777" s="159"/>
      <c r="G777" s="159"/>
      <c r="H777" s="159"/>
      <c r="I777" s="159"/>
      <c r="J777" s="159"/>
      <c r="K777" s="159"/>
      <c r="L777" s="159"/>
      <c r="N777" s="159"/>
      <c r="O777" s="159"/>
      <c r="P777" s="159"/>
      <c r="Q777" s="159"/>
      <c r="R777" s="159"/>
      <c r="S777" s="159"/>
      <c r="T777" s="159"/>
      <c r="U777" s="159"/>
      <c r="V777" s="159"/>
      <c r="W777" s="159"/>
      <c r="X777" s="159"/>
      <c r="Y777" s="159"/>
      <c r="Z777" s="159"/>
      <c r="AA777" s="159"/>
      <c r="AB777" s="159"/>
    </row>
    <row r="778">
      <c r="A778" s="159"/>
      <c r="B778" s="159"/>
      <c r="C778" s="159"/>
      <c r="D778" s="159"/>
      <c r="E778" s="159"/>
      <c r="F778" s="159"/>
      <c r="G778" s="159"/>
      <c r="H778" s="159"/>
      <c r="I778" s="159"/>
      <c r="J778" s="159"/>
      <c r="K778" s="159"/>
      <c r="L778" s="159"/>
      <c r="N778" s="159"/>
      <c r="O778" s="159"/>
      <c r="P778" s="159"/>
      <c r="Q778" s="159"/>
      <c r="R778" s="159"/>
      <c r="S778" s="159"/>
      <c r="T778" s="159"/>
      <c r="U778" s="159"/>
      <c r="V778" s="159"/>
      <c r="W778" s="159"/>
      <c r="X778" s="159"/>
      <c r="Y778" s="159"/>
      <c r="Z778" s="159"/>
      <c r="AA778" s="159"/>
      <c r="AB778" s="159"/>
    </row>
    <row r="779">
      <c r="A779" s="159"/>
      <c r="B779" s="159"/>
      <c r="C779" s="159"/>
      <c r="D779" s="159"/>
      <c r="E779" s="159"/>
      <c r="F779" s="159"/>
      <c r="G779" s="159"/>
      <c r="H779" s="159"/>
      <c r="I779" s="159"/>
      <c r="J779" s="159"/>
      <c r="K779" s="159"/>
      <c r="L779" s="159"/>
      <c r="N779" s="159"/>
      <c r="O779" s="159"/>
      <c r="P779" s="159"/>
      <c r="Q779" s="159"/>
      <c r="R779" s="159"/>
      <c r="S779" s="159"/>
      <c r="T779" s="159"/>
      <c r="U779" s="159"/>
      <c r="V779" s="159"/>
      <c r="W779" s="159"/>
      <c r="X779" s="159"/>
      <c r="Y779" s="159"/>
      <c r="Z779" s="159"/>
      <c r="AA779" s="159"/>
      <c r="AB779" s="159"/>
    </row>
    <row r="780">
      <c r="A780" s="159"/>
      <c r="B780" s="159"/>
      <c r="C780" s="159"/>
      <c r="D780" s="159"/>
      <c r="E780" s="159"/>
      <c r="F780" s="159"/>
      <c r="G780" s="159"/>
      <c r="H780" s="159"/>
      <c r="I780" s="159"/>
      <c r="J780" s="159"/>
      <c r="K780" s="159"/>
      <c r="L780" s="159"/>
      <c r="N780" s="159"/>
      <c r="O780" s="159"/>
      <c r="P780" s="159"/>
      <c r="Q780" s="159"/>
      <c r="R780" s="159"/>
      <c r="S780" s="159"/>
      <c r="T780" s="159"/>
      <c r="U780" s="159"/>
      <c r="V780" s="159"/>
      <c r="W780" s="159"/>
      <c r="X780" s="159"/>
      <c r="Y780" s="159"/>
      <c r="Z780" s="159"/>
      <c r="AA780" s="159"/>
      <c r="AB780" s="159"/>
    </row>
    <row r="781">
      <c r="A781" s="159"/>
      <c r="B781" s="159"/>
      <c r="C781" s="159"/>
      <c r="D781" s="159"/>
      <c r="E781" s="159"/>
      <c r="F781" s="159"/>
      <c r="G781" s="159"/>
      <c r="H781" s="159"/>
      <c r="I781" s="159"/>
      <c r="J781" s="159"/>
      <c r="K781" s="159"/>
      <c r="L781" s="159"/>
      <c r="N781" s="159"/>
      <c r="O781" s="159"/>
      <c r="P781" s="159"/>
      <c r="Q781" s="159"/>
      <c r="R781" s="159"/>
      <c r="S781" s="159"/>
      <c r="T781" s="159"/>
      <c r="U781" s="159"/>
      <c r="V781" s="159"/>
      <c r="W781" s="159"/>
      <c r="X781" s="159"/>
      <c r="Y781" s="159"/>
      <c r="Z781" s="159"/>
      <c r="AA781" s="159"/>
      <c r="AB781" s="159"/>
    </row>
    <row r="782">
      <c r="A782" s="159"/>
      <c r="B782" s="159"/>
      <c r="C782" s="159"/>
      <c r="D782" s="159"/>
      <c r="E782" s="159"/>
      <c r="F782" s="159"/>
      <c r="G782" s="159"/>
      <c r="H782" s="159"/>
      <c r="I782" s="159"/>
      <c r="J782" s="159"/>
      <c r="K782" s="159"/>
      <c r="L782" s="159"/>
      <c r="N782" s="159"/>
      <c r="O782" s="159"/>
      <c r="P782" s="159"/>
      <c r="Q782" s="159"/>
      <c r="R782" s="159"/>
      <c r="S782" s="159"/>
      <c r="T782" s="159"/>
      <c r="U782" s="159"/>
      <c r="V782" s="159"/>
      <c r="W782" s="159"/>
      <c r="X782" s="159"/>
      <c r="Y782" s="159"/>
      <c r="Z782" s="159"/>
      <c r="AA782" s="159"/>
      <c r="AB782" s="159"/>
    </row>
    <row r="783">
      <c r="A783" s="159"/>
      <c r="B783" s="159"/>
      <c r="C783" s="159"/>
      <c r="D783" s="159"/>
      <c r="E783" s="159"/>
      <c r="F783" s="159"/>
      <c r="G783" s="159"/>
      <c r="H783" s="159"/>
      <c r="I783" s="159"/>
      <c r="J783" s="159"/>
      <c r="K783" s="159"/>
      <c r="L783" s="159"/>
      <c r="N783" s="159"/>
      <c r="O783" s="159"/>
      <c r="P783" s="159"/>
      <c r="Q783" s="159"/>
      <c r="R783" s="159"/>
      <c r="S783" s="159"/>
      <c r="T783" s="159"/>
      <c r="U783" s="159"/>
      <c r="V783" s="159"/>
      <c r="W783" s="159"/>
      <c r="X783" s="159"/>
      <c r="Y783" s="159"/>
      <c r="Z783" s="159"/>
      <c r="AA783" s="159"/>
      <c r="AB783" s="159"/>
    </row>
    <row r="784">
      <c r="A784" s="159"/>
      <c r="B784" s="159"/>
      <c r="C784" s="159"/>
      <c r="D784" s="159"/>
      <c r="E784" s="159"/>
      <c r="F784" s="159"/>
      <c r="G784" s="159"/>
      <c r="H784" s="159"/>
      <c r="I784" s="159"/>
      <c r="J784" s="159"/>
      <c r="K784" s="159"/>
      <c r="L784" s="159"/>
      <c r="N784" s="159"/>
      <c r="O784" s="159"/>
      <c r="P784" s="159"/>
      <c r="Q784" s="159"/>
      <c r="R784" s="159"/>
      <c r="S784" s="159"/>
      <c r="T784" s="159"/>
      <c r="U784" s="159"/>
      <c r="V784" s="159"/>
      <c r="W784" s="159"/>
      <c r="X784" s="159"/>
      <c r="Y784" s="159"/>
      <c r="Z784" s="159"/>
      <c r="AA784" s="159"/>
      <c r="AB784" s="159"/>
    </row>
    <row r="785">
      <c r="A785" s="159"/>
      <c r="B785" s="159"/>
      <c r="C785" s="159"/>
      <c r="D785" s="159"/>
      <c r="E785" s="159"/>
      <c r="F785" s="159"/>
      <c r="G785" s="159"/>
      <c r="H785" s="159"/>
      <c r="I785" s="159"/>
      <c r="J785" s="159"/>
      <c r="K785" s="159"/>
      <c r="L785" s="159"/>
      <c r="N785" s="159"/>
      <c r="O785" s="159"/>
      <c r="P785" s="159"/>
      <c r="Q785" s="159"/>
      <c r="R785" s="159"/>
      <c r="S785" s="159"/>
      <c r="T785" s="159"/>
      <c r="U785" s="159"/>
      <c r="V785" s="159"/>
      <c r="W785" s="159"/>
      <c r="X785" s="159"/>
      <c r="Y785" s="159"/>
      <c r="Z785" s="159"/>
      <c r="AA785" s="159"/>
      <c r="AB785" s="159"/>
    </row>
    <row r="786">
      <c r="A786" s="159"/>
      <c r="B786" s="159"/>
      <c r="C786" s="159"/>
      <c r="D786" s="159"/>
      <c r="E786" s="159"/>
      <c r="F786" s="159"/>
      <c r="G786" s="159"/>
      <c r="H786" s="159"/>
      <c r="I786" s="159"/>
      <c r="J786" s="159"/>
      <c r="K786" s="159"/>
      <c r="L786" s="159"/>
      <c r="N786" s="159"/>
      <c r="O786" s="159"/>
      <c r="P786" s="159"/>
      <c r="Q786" s="159"/>
      <c r="R786" s="159"/>
      <c r="S786" s="159"/>
      <c r="T786" s="159"/>
      <c r="U786" s="159"/>
      <c r="V786" s="159"/>
      <c r="W786" s="159"/>
      <c r="X786" s="159"/>
      <c r="Y786" s="159"/>
      <c r="Z786" s="159"/>
      <c r="AA786" s="159"/>
      <c r="AB786" s="159"/>
    </row>
    <row r="787">
      <c r="A787" s="159"/>
      <c r="B787" s="159"/>
      <c r="C787" s="159"/>
      <c r="D787" s="159"/>
      <c r="E787" s="159"/>
      <c r="F787" s="159"/>
      <c r="G787" s="159"/>
      <c r="H787" s="159"/>
      <c r="I787" s="159"/>
      <c r="J787" s="159"/>
      <c r="K787" s="159"/>
      <c r="L787" s="159"/>
      <c r="N787" s="159"/>
      <c r="O787" s="159"/>
      <c r="P787" s="159"/>
      <c r="Q787" s="159"/>
      <c r="R787" s="159"/>
      <c r="S787" s="159"/>
      <c r="T787" s="159"/>
      <c r="U787" s="159"/>
      <c r="V787" s="159"/>
      <c r="W787" s="159"/>
      <c r="X787" s="159"/>
      <c r="Y787" s="159"/>
      <c r="Z787" s="159"/>
      <c r="AA787" s="159"/>
      <c r="AB787" s="159"/>
    </row>
    <row r="788">
      <c r="A788" s="159"/>
      <c r="B788" s="159"/>
      <c r="C788" s="159"/>
      <c r="D788" s="159"/>
      <c r="E788" s="159"/>
      <c r="F788" s="159"/>
      <c r="G788" s="159"/>
      <c r="H788" s="159"/>
      <c r="I788" s="159"/>
      <c r="J788" s="159"/>
      <c r="K788" s="159"/>
      <c r="L788" s="159"/>
      <c r="N788" s="159"/>
      <c r="O788" s="159"/>
      <c r="P788" s="159"/>
      <c r="Q788" s="159"/>
      <c r="R788" s="159"/>
      <c r="S788" s="159"/>
      <c r="T788" s="159"/>
      <c r="U788" s="159"/>
      <c r="V788" s="159"/>
      <c r="W788" s="159"/>
      <c r="X788" s="159"/>
      <c r="Y788" s="159"/>
      <c r="Z788" s="159"/>
      <c r="AA788" s="159"/>
      <c r="AB788" s="159"/>
    </row>
    <row r="789">
      <c r="A789" s="159"/>
      <c r="B789" s="159"/>
      <c r="C789" s="159"/>
      <c r="D789" s="159"/>
      <c r="E789" s="159"/>
      <c r="F789" s="159"/>
      <c r="G789" s="159"/>
      <c r="H789" s="159"/>
      <c r="I789" s="159"/>
      <c r="J789" s="159"/>
      <c r="K789" s="159"/>
      <c r="L789" s="159"/>
      <c r="N789" s="159"/>
      <c r="O789" s="159"/>
      <c r="P789" s="159"/>
      <c r="Q789" s="159"/>
      <c r="R789" s="159"/>
      <c r="S789" s="159"/>
      <c r="T789" s="159"/>
      <c r="U789" s="159"/>
      <c r="V789" s="159"/>
      <c r="W789" s="159"/>
      <c r="X789" s="159"/>
      <c r="Y789" s="159"/>
      <c r="Z789" s="159"/>
      <c r="AA789" s="159"/>
      <c r="AB789" s="159"/>
    </row>
    <row r="790">
      <c r="A790" s="159"/>
      <c r="B790" s="159"/>
      <c r="C790" s="159"/>
      <c r="D790" s="159"/>
      <c r="E790" s="159"/>
      <c r="F790" s="159"/>
      <c r="G790" s="159"/>
      <c r="H790" s="159"/>
      <c r="I790" s="159"/>
      <c r="J790" s="159"/>
      <c r="K790" s="159"/>
      <c r="L790" s="159"/>
      <c r="N790" s="159"/>
      <c r="O790" s="159"/>
      <c r="P790" s="159"/>
      <c r="Q790" s="159"/>
      <c r="R790" s="159"/>
      <c r="S790" s="159"/>
      <c r="T790" s="159"/>
      <c r="U790" s="159"/>
      <c r="V790" s="159"/>
      <c r="W790" s="159"/>
      <c r="X790" s="159"/>
      <c r="Y790" s="159"/>
      <c r="Z790" s="159"/>
      <c r="AA790" s="159"/>
      <c r="AB790" s="159"/>
    </row>
    <row r="791">
      <c r="A791" s="159"/>
      <c r="B791" s="159"/>
      <c r="C791" s="159"/>
      <c r="D791" s="159"/>
      <c r="E791" s="159"/>
      <c r="F791" s="159"/>
      <c r="G791" s="159"/>
      <c r="H791" s="159"/>
      <c r="I791" s="159"/>
      <c r="J791" s="159"/>
      <c r="K791" s="159"/>
      <c r="L791" s="159"/>
      <c r="N791" s="159"/>
      <c r="O791" s="159"/>
      <c r="P791" s="159"/>
      <c r="Q791" s="159"/>
      <c r="R791" s="159"/>
      <c r="S791" s="159"/>
      <c r="T791" s="159"/>
      <c r="U791" s="159"/>
      <c r="V791" s="159"/>
      <c r="W791" s="159"/>
      <c r="X791" s="159"/>
      <c r="Y791" s="159"/>
      <c r="Z791" s="159"/>
      <c r="AA791" s="159"/>
      <c r="AB791" s="159"/>
    </row>
    <row r="792">
      <c r="A792" s="159"/>
      <c r="B792" s="159"/>
      <c r="C792" s="159"/>
      <c r="D792" s="159"/>
      <c r="E792" s="159"/>
      <c r="F792" s="159"/>
      <c r="G792" s="159"/>
      <c r="H792" s="159"/>
      <c r="I792" s="159"/>
      <c r="J792" s="159"/>
      <c r="K792" s="159"/>
      <c r="L792" s="159"/>
      <c r="N792" s="159"/>
      <c r="O792" s="159"/>
      <c r="P792" s="159"/>
      <c r="Q792" s="159"/>
      <c r="R792" s="159"/>
      <c r="S792" s="159"/>
      <c r="T792" s="159"/>
      <c r="U792" s="159"/>
      <c r="V792" s="159"/>
      <c r="W792" s="159"/>
      <c r="X792" s="159"/>
      <c r="Y792" s="159"/>
      <c r="Z792" s="159"/>
      <c r="AA792" s="159"/>
      <c r="AB792" s="159"/>
    </row>
    <row r="793">
      <c r="A793" s="159"/>
      <c r="B793" s="159"/>
      <c r="C793" s="159"/>
      <c r="D793" s="159"/>
      <c r="E793" s="159"/>
      <c r="F793" s="159"/>
      <c r="G793" s="159"/>
      <c r="H793" s="159"/>
      <c r="I793" s="159"/>
      <c r="J793" s="159"/>
      <c r="K793" s="159"/>
      <c r="L793" s="159"/>
      <c r="N793" s="159"/>
      <c r="O793" s="159"/>
      <c r="P793" s="159"/>
      <c r="Q793" s="159"/>
      <c r="R793" s="159"/>
      <c r="S793" s="159"/>
      <c r="T793" s="159"/>
      <c r="U793" s="159"/>
      <c r="V793" s="159"/>
      <c r="W793" s="159"/>
      <c r="X793" s="159"/>
      <c r="Y793" s="159"/>
      <c r="Z793" s="159"/>
      <c r="AA793" s="159"/>
      <c r="AB793" s="159"/>
    </row>
    <row r="794">
      <c r="A794" s="159"/>
      <c r="B794" s="159"/>
      <c r="C794" s="159"/>
      <c r="D794" s="159"/>
      <c r="E794" s="159"/>
      <c r="F794" s="159"/>
      <c r="G794" s="159"/>
      <c r="H794" s="159"/>
      <c r="I794" s="159"/>
      <c r="J794" s="159"/>
      <c r="K794" s="159"/>
      <c r="L794" s="159"/>
      <c r="N794" s="159"/>
      <c r="O794" s="159"/>
      <c r="P794" s="159"/>
      <c r="Q794" s="159"/>
      <c r="R794" s="159"/>
      <c r="S794" s="159"/>
      <c r="T794" s="159"/>
      <c r="U794" s="159"/>
      <c r="V794" s="159"/>
      <c r="W794" s="159"/>
      <c r="X794" s="159"/>
      <c r="Y794" s="159"/>
      <c r="Z794" s="159"/>
      <c r="AA794" s="159"/>
      <c r="AB794" s="159"/>
    </row>
    <row r="795">
      <c r="A795" s="159"/>
      <c r="B795" s="159"/>
      <c r="C795" s="159"/>
      <c r="D795" s="159"/>
      <c r="E795" s="159"/>
      <c r="F795" s="159"/>
      <c r="G795" s="159"/>
      <c r="H795" s="159"/>
      <c r="I795" s="159"/>
      <c r="J795" s="159"/>
      <c r="K795" s="159"/>
      <c r="L795" s="159"/>
      <c r="N795" s="159"/>
      <c r="O795" s="159"/>
      <c r="P795" s="159"/>
      <c r="Q795" s="159"/>
      <c r="R795" s="159"/>
      <c r="S795" s="159"/>
      <c r="T795" s="159"/>
      <c r="U795" s="159"/>
      <c r="V795" s="159"/>
      <c r="W795" s="159"/>
      <c r="X795" s="159"/>
      <c r="Y795" s="159"/>
      <c r="Z795" s="159"/>
      <c r="AA795" s="159"/>
      <c r="AB795" s="159"/>
    </row>
    <row r="796">
      <c r="A796" s="159"/>
      <c r="B796" s="159"/>
      <c r="C796" s="159"/>
      <c r="D796" s="159"/>
      <c r="E796" s="159"/>
      <c r="F796" s="159"/>
      <c r="G796" s="159"/>
      <c r="H796" s="159"/>
      <c r="I796" s="159"/>
      <c r="J796" s="159"/>
      <c r="K796" s="159"/>
      <c r="L796" s="159"/>
      <c r="N796" s="159"/>
      <c r="O796" s="159"/>
      <c r="P796" s="159"/>
      <c r="Q796" s="159"/>
      <c r="R796" s="159"/>
      <c r="S796" s="159"/>
      <c r="T796" s="159"/>
      <c r="U796" s="159"/>
      <c r="V796" s="159"/>
      <c r="W796" s="159"/>
      <c r="X796" s="159"/>
      <c r="Y796" s="159"/>
      <c r="Z796" s="159"/>
      <c r="AA796" s="159"/>
      <c r="AB796" s="159"/>
    </row>
    <row r="797">
      <c r="A797" s="159"/>
      <c r="B797" s="159"/>
      <c r="C797" s="159"/>
      <c r="D797" s="159"/>
      <c r="E797" s="159"/>
      <c r="F797" s="159"/>
      <c r="G797" s="159"/>
      <c r="H797" s="159"/>
      <c r="I797" s="159"/>
      <c r="J797" s="159"/>
      <c r="K797" s="159"/>
      <c r="L797" s="159"/>
      <c r="N797" s="159"/>
      <c r="O797" s="159"/>
      <c r="P797" s="159"/>
      <c r="Q797" s="159"/>
      <c r="R797" s="159"/>
      <c r="S797" s="159"/>
      <c r="T797" s="159"/>
      <c r="U797" s="159"/>
      <c r="V797" s="159"/>
      <c r="W797" s="159"/>
      <c r="X797" s="159"/>
      <c r="Y797" s="159"/>
      <c r="Z797" s="159"/>
      <c r="AA797" s="159"/>
      <c r="AB797" s="159"/>
    </row>
    <row r="798">
      <c r="A798" s="159"/>
      <c r="B798" s="159"/>
      <c r="C798" s="159"/>
      <c r="D798" s="159"/>
      <c r="E798" s="159"/>
      <c r="F798" s="159"/>
      <c r="G798" s="159"/>
      <c r="H798" s="159"/>
      <c r="I798" s="159"/>
      <c r="J798" s="159"/>
      <c r="K798" s="159"/>
      <c r="L798" s="159"/>
      <c r="N798" s="159"/>
      <c r="O798" s="159"/>
      <c r="P798" s="159"/>
      <c r="Q798" s="159"/>
      <c r="R798" s="159"/>
      <c r="S798" s="159"/>
      <c r="T798" s="159"/>
      <c r="U798" s="159"/>
      <c r="V798" s="159"/>
      <c r="W798" s="159"/>
      <c r="X798" s="159"/>
      <c r="Y798" s="159"/>
      <c r="Z798" s="159"/>
      <c r="AA798" s="159"/>
      <c r="AB798" s="159"/>
    </row>
    <row r="799">
      <c r="A799" s="159"/>
      <c r="B799" s="159"/>
      <c r="C799" s="159"/>
      <c r="D799" s="159"/>
      <c r="E799" s="159"/>
      <c r="F799" s="159"/>
      <c r="G799" s="159"/>
      <c r="H799" s="159"/>
      <c r="I799" s="159"/>
      <c r="J799" s="159"/>
      <c r="K799" s="159"/>
      <c r="L799" s="159"/>
      <c r="N799" s="159"/>
      <c r="O799" s="159"/>
      <c r="P799" s="159"/>
      <c r="Q799" s="159"/>
      <c r="R799" s="159"/>
      <c r="S799" s="159"/>
      <c r="T799" s="159"/>
      <c r="U799" s="159"/>
      <c r="V799" s="159"/>
      <c r="W799" s="159"/>
      <c r="X799" s="159"/>
      <c r="Y799" s="159"/>
      <c r="Z799" s="159"/>
      <c r="AA799" s="159"/>
      <c r="AB799" s="159"/>
    </row>
    <row r="800">
      <c r="A800" s="159"/>
      <c r="B800" s="159"/>
      <c r="C800" s="159"/>
      <c r="D800" s="159"/>
      <c r="E800" s="159"/>
      <c r="F800" s="159"/>
      <c r="G800" s="159"/>
      <c r="H800" s="159"/>
      <c r="I800" s="159"/>
      <c r="J800" s="159"/>
      <c r="K800" s="159"/>
      <c r="L800" s="159"/>
      <c r="N800" s="159"/>
      <c r="O800" s="159"/>
      <c r="P800" s="159"/>
      <c r="Q800" s="159"/>
      <c r="R800" s="159"/>
      <c r="S800" s="159"/>
      <c r="T800" s="159"/>
      <c r="U800" s="159"/>
      <c r="V800" s="159"/>
      <c r="W800" s="159"/>
      <c r="X800" s="159"/>
      <c r="Y800" s="159"/>
      <c r="Z800" s="159"/>
      <c r="AA800" s="159"/>
      <c r="AB800" s="159"/>
    </row>
    <row r="801">
      <c r="A801" s="159"/>
      <c r="B801" s="159"/>
      <c r="C801" s="159"/>
      <c r="D801" s="159"/>
      <c r="E801" s="159"/>
      <c r="F801" s="159"/>
      <c r="G801" s="159"/>
      <c r="H801" s="159"/>
      <c r="I801" s="159"/>
      <c r="J801" s="159"/>
      <c r="K801" s="159"/>
      <c r="L801" s="159"/>
      <c r="N801" s="159"/>
      <c r="O801" s="159"/>
      <c r="P801" s="159"/>
      <c r="Q801" s="159"/>
      <c r="R801" s="159"/>
      <c r="S801" s="159"/>
      <c r="T801" s="159"/>
      <c r="U801" s="159"/>
      <c r="V801" s="159"/>
      <c r="W801" s="159"/>
      <c r="X801" s="159"/>
      <c r="Y801" s="159"/>
      <c r="Z801" s="159"/>
      <c r="AA801" s="159"/>
      <c r="AB801" s="159"/>
    </row>
    <row r="802">
      <c r="A802" s="159"/>
      <c r="B802" s="159"/>
      <c r="C802" s="159"/>
      <c r="D802" s="159"/>
      <c r="E802" s="159"/>
      <c r="F802" s="159"/>
      <c r="G802" s="159"/>
      <c r="H802" s="159"/>
      <c r="I802" s="159"/>
      <c r="J802" s="159"/>
      <c r="K802" s="159"/>
      <c r="L802" s="159"/>
      <c r="N802" s="159"/>
      <c r="O802" s="159"/>
      <c r="P802" s="159"/>
      <c r="Q802" s="159"/>
      <c r="R802" s="159"/>
      <c r="S802" s="159"/>
      <c r="T802" s="159"/>
      <c r="U802" s="159"/>
      <c r="V802" s="159"/>
      <c r="W802" s="159"/>
      <c r="X802" s="159"/>
      <c r="Y802" s="159"/>
      <c r="Z802" s="159"/>
      <c r="AA802" s="159"/>
      <c r="AB802" s="159"/>
    </row>
    <row r="803">
      <c r="A803" s="159"/>
      <c r="B803" s="159"/>
      <c r="C803" s="159"/>
      <c r="D803" s="159"/>
      <c r="E803" s="159"/>
      <c r="F803" s="159"/>
      <c r="G803" s="159"/>
      <c r="H803" s="159"/>
      <c r="I803" s="159"/>
      <c r="J803" s="159"/>
      <c r="K803" s="159"/>
      <c r="L803" s="159"/>
      <c r="N803" s="159"/>
      <c r="O803" s="159"/>
      <c r="P803" s="159"/>
      <c r="Q803" s="159"/>
      <c r="R803" s="159"/>
      <c r="S803" s="159"/>
      <c r="T803" s="159"/>
      <c r="U803" s="159"/>
      <c r="V803" s="159"/>
      <c r="W803" s="159"/>
      <c r="X803" s="159"/>
      <c r="Y803" s="159"/>
      <c r="Z803" s="159"/>
      <c r="AA803" s="159"/>
      <c r="AB803" s="159"/>
    </row>
    <row r="804">
      <c r="A804" s="159"/>
      <c r="B804" s="159"/>
      <c r="C804" s="159"/>
      <c r="D804" s="159"/>
      <c r="E804" s="159"/>
      <c r="F804" s="159"/>
      <c r="G804" s="159"/>
      <c r="H804" s="159"/>
      <c r="I804" s="159"/>
      <c r="J804" s="159"/>
      <c r="K804" s="159"/>
      <c r="L804" s="159"/>
      <c r="N804" s="159"/>
      <c r="O804" s="159"/>
      <c r="P804" s="159"/>
      <c r="Q804" s="159"/>
      <c r="R804" s="159"/>
      <c r="S804" s="159"/>
      <c r="T804" s="159"/>
      <c r="U804" s="159"/>
      <c r="V804" s="159"/>
      <c r="W804" s="159"/>
      <c r="X804" s="159"/>
      <c r="Y804" s="159"/>
      <c r="Z804" s="159"/>
      <c r="AA804" s="159"/>
      <c r="AB804" s="159"/>
    </row>
    <row r="805">
      <c r="A805" s="159"/>
      <c r="B805" s="159"/>
      <c r="C805" s="159"/>
      <c r="D805" s="159"/>
      <c r="E805" s="159"/>
      <c r="F805" s="159"/>
      <c r="G805" s="159"/>
      <c r="H805" s="159"/>
      <c r="I805" s="159"/>
      <c r="J805" s="159"/>
      <c r="K805" s="159"/>
      <c r="L805" s="159"/>
      <c r="N805" s="159"/>
      <c r="O805" s="159"/>
      <c r="P805" s="159"/>
      <c r="Q805" s="159"/>
      <c r="R805" s="159"/>
      <c r="S805" s="159"/>
      <c r="T805" s="159"/>
      <c r="U805" s="159"/>
      <c r="V805" s="159"/>
      <c r="W805" s="159"/>
      <c r="X805" s="159"/>
      <c r="Y805" s="159"/>
      <c r="Z805" s="159"/>
      <c r="AA805" s="159"/>
      <c r="AB805" s="159"/>
    </row>
    <row r="806">
      <c r="A806" s="159"/>
      <c r="B806" s="159"/>
      <c r="C806" s="159"/>
      <c r="D806" s="159"/>
      <c r="E806" s="159"/>
      <c r="F806" s="159"/>
      <c r="G806" s="159"/>
      <c r="H806" s="159"/>
      <c r="I806" s="159"/>
      <c r="J806" s="159"/>
      <c r="K806" s="159"/>
      <c r="L806" s="159"/>
      <c r="N806" s="159"/>
      <c r="O806" s="159"/>
      <c r="P806" s="159"/>
      <c r="Q806" s="159"/>
      <c r="R806" s="159"/>
      <c r="S806" s="159"/>
      <c r="T806" s="159"/>
      <c r="U806" s="159"/>
      <c r="V806" s="159"/>
      <c r="W806" s="159"/>
      <c r="X806" s="159"/>
      <c r="Y806" s="159"/>
      <c r="Z806" s="159"/>
      <c r="AA806" s="159"/>
      <c r="AB806" s="159"/>
    </row>
    <row r="807">
      <c r="A807" s="159"/>
      <c r="B807" s="159"/>
      <c r="C807" s="159"/>
      <c r="D807" s="159"/>
      <c r="E807" s="159"/>
      <c r="F807" s="159"/>
      <c r="G807" s="159"/>
      <c r="H807" s="159"/>
      <c r="I807" s="159"/>
      <c r="J807" s="159"/>
      <c r="K807" s="159"/>
      <c r="L807" s="159"/>
      <c r="N807" s="159"/>
      <c r="O807" s="159"/>
      <c r="P807" s="159"/>
      <c r="Q807" s="159"/>
      <c r="R807" s="159"/>
      <c r="S807" s="159"/>
      <c r="T807" s="159"/>
      <c r="U807" s="159"/>
      <c r="V807" s="159"/>
      <c r="W807" s="159"/>
      <c r="X807" s="159"/>
      <c r="Y807" s="159"/>
      <c r="Z807" s="159"/>
      <c r="AA807" s="159"/>
      <c r="AB807" s="159"/>
    </row>
    <row r="808">
      <c r="A808" s="159"/>
      <c r="B808" s="159"/>
      <c r="C808" s="159"/>
      <c r="D808" s="159"/>
      <c r="E808" s="159"/>
      <c r="F808" s="159"/>
      <c r="G808" s="159"/>
      <c r="H808" s="159"/>
      <c r="I808" s="159"/>
      <c r="J808" s="159"/>
      <c r="K808" s="159"/>
      <c r="L808" s="159"/>
      <c r="N808" s="159"/>
      <c r="O808" s="159"/>
      <c r="P808" s="159"/>
      <c r="Q808" s="159"/>
      <c r="R808" s="159"/>
      <c r="S808" s="159"/>
      <c r="T808" s="159"/>
      <c r="U808" s="159"/>
      <c r="V808" s="159"/>
      <c r="W808" s="159"/>
      <c r="X808" s="159"/>
      <c r="Y808" s="159"/>
      <c r="Z808" s="159"/>
      <c r="AA808" s="159"/>
      <c r="AB808" s="159"/>
    </row>
    <row r="809">
      <c r="A809" s="159"/>
      <c r="B809" s="159"/>
      <c r="C809" s="159"/>
      <c r="D809" s="159"/>
      <c r="E809" s="159"/>
      <c r="F809" s="159"/>
      <c r="G809" s="159"/>
      <c r="H809" s="159"/>
      <c r="I809" s="159"/>
      <c r="J809" s="159"/>
      <c r="K809" s="159"/>
      <c r="L809" s="159"/>
      <c r="N809" s="159"/>
      <c r="O809" s="159"/>
      <c r="P809" s="159"/>
      <c r="Q809" s="159"/>
      <c r="R809" s="159"/>
      <c r="S809" s="159"/>
      <c r="T809" s="159"/>
      <c r="U809" s="159"/>
      <c r="V809" s="159"/>
      <c r="W809" s="159"/>
      <c r="X809" s="159"/>
      <c r="Y809" s="159"/>
      <c r="Z809" s="159"/>
      <c r="AA809" s="159"/>
      <c r="AB809" s="159"/>
    </row>
    <row r="810">
      <c r="A810" s="159"/>
      <c r="B810" s="159"/>
      <c r="C810" s="159"/>
      <c r="D810" s="159"/>
      <c r="E810" s="159"/>
      <c r="F810" s="159"/>
      <c r="G810" s="159"/>
      <c r="H810" s="159"/>
      <c r="I810" s="159"/>
      <c r="J810" s="159"/>
      <c r="K810" s="159"/>
      <c r="L810" s="159"/>
      <c r="N810" s="159"/>
      <c r="O810" s="159"/>
      <c r="P810" s="159"/>
      <c r="Q810" s="159"/>
      <c r="R810" s="159"/>
      <c r="S810" s="159"/>
      <c r="T810" s="159"/>
      <c r="U810" s="159"/>
      <c r="V810" s="159"/>
      <c r="W810" s="159"/>
      <c r="X810" s="159"/>
      <c r="Y810" s="159"/>
      <c r="Z810" s="159"/>
      <c r="AA810" s="159"/>
      <c r="AB810" s="159"/>
    </row>
    <row r="811">
      <c r="A811" s="159"/>
      <c r="B811" s="159"/>
      <c r="C811" s="159"/>
      <c r="D811" s="159"/>
      <c r="E811" s="159"/>
      <c r="F811" s="159"/>
      <c r="G811" s="159"/>
      <c r="H811" s="159"/>
      <c r="I811" s="159"/>
      <c r="J811" s="159"/>
      <c r="K811" s="159"/>
      <c r="L811" s="159"/>
      <c r="N811" s="159"/>
      <c r="O811" s="159"/>
      <c r="P811" s="159"/>
      <c r="Q811" s="159"/>
      <c r="R811" s="159"/>
      <c r="S811" s="159"/>
      <c r="T811" s="159"/>
      <c r="U811" s="159"/>
      <c r="V811" s="159"/>
      <c r="W811" s="159"/>
      <c r="X811" s="159"/>
      <c r="Y811" s="159"/>
      <c r="Z811" s="159"/>
      <c r="AA811" s="159"/>
      <c r="AB811" s="159"/>
    </row>
    <row r="812">
      <c r="A812" s="159"/>
      <c r="B812" s="159"/>
      <c r="C812" s="159"/>
      <c r="D812" s="159"/>
      <c r="E812" s="159"/>
      <c r="F812" s="159"/>
      <c r="G812" s="159"/>
      <c r="H812" s="159"/>
      <c r="I812" s="159"/>
      <c r="J812" s="159"/>
      <c r="K812" s="159"/>
      <c r="L812" s="159"/>
      <c r="N812" s="159"/>
      <c r="O812" s="159"/>
      <c r="P812" s="159"/>
      <c r="Q812" s="159"/>
      <c r="R812" s="159"/>
      <c r="S812" s="159"/>
      <c r="T812" s="159"/>
      <c r="U812" s="159"/>
      <c r="V812" s="159"/>
      <c r="W812" s="159"/>
      <c r="X812" s="159"/>
      <c r="Y812" s="159"/>
      <c r="Z812" s="159"/>
      <c r="AA812" s="159"/>
      <c r="AB812" s="159"/>
    </row>
    <row r="813">
      <c r="A813" s="159"/>
      <c r="B813" s="159"/>
      <c r="C813" s="159"/>
      <c r="D813" s="159"/>
      <c r="E813" s="159"/>
      <c r="F813" s="159"/>
      <c r="G813" s="159"/>
      <c r="H813" s="159"/>
      <c r="I813" s="159"/>
      <c r="J813" s="159"/>
      <c r="K813" s="159"/>
      <c r="L813" s="159"/>
      <c r="N813" s="159"/>
      <c r="O813" s="159"/>
      <c r="P813" s="159"/>
      <c r="Q813" s="159"/>
      <c r="R813" s="159"/>
      <c r="S813" s="159"/>
      <c r="T813" s="159"/>
      <c r="U813" s="159"/>
      <c r="V813" s="159"/>
      <c r="W813" s="159"/>
      <c r="X813" s="159"/>
      <c r="Y813" s="159"/>
      <c r="Z813" s="159"/>
      <c r="AA813" s="159"/>
      <c r="AB813" s="159"/>
    </row>
    <row r="814">
      <c r="A814" s="159"/>
      <c r="B814" s="159"/>
      <c r="C814" s="159"/>
      <c r="D814" s="159"/>
      <c r="E814" s="159"/>
      <c r="F814" s="159"/>
      <c r="G814" s="159"/>
      <c r="H814" s="159"/>
      <c r="I814" s="159"/>
      <c r="J814" s="159"/>
      <c r="K814" s="159"/>
      <c r="L814" s="159"/>
      <c r="N814" s="159"/>
      <c r="O814" s="159"/>
      <c r="P814" s="159"/>
      <c r="Q814" s="159"/>
      <c r="R814" s="159"/>
      <c r="S814" s="159"/>
      <c r="T814" s="159"/>
      <c r="U814" s="159"/>
      <c r="V814" s="159"/>
      <c r="W814" s="159"/>
      <c r="X814" s="159"/>
      <c r="Y814" s="159"/>
      <c r="Z814" s="159"/>
      <c r="AA814" s="159"/>
      <c r="AB814" s="159"/>
    </row>
    <row r="815">
      <c r="A815" s="159"/>
      <c r="B815" s="159"/>
      <c r="C815" s="159"/>
      <c r="D815" s="159"/>
      <c r="E815" s="159"/>
      <c r="F815" s="159"/>
      <c r="G815" s="159"/>
      <c r="H815" s="159"/>
      <c r="I815" s="159"/>
      <c r="J815" s="159"/>
      <c r="K815" s="159"/>
      <c r="L815" s="159"/>
      <c r="N815" s="159"/>
      <c r="O815" s="159"/>
      <c r="P815" s="159"/>
      <c r="Q815" s="159"/>
      <c r="R815" s="159"/>
      <c r="S815" s="159"/>
      <c r="T815" s="159"/>
      <c r="U815" s="159"/>
      <c r="V815" s="159"/>
      <c r="W815" s="159"/>
      <c r="X815" s="159"/>
      <c r="Y815" s="159"/>
      <c r="Z815" s="159"/>
      <c r="AA815" s="159"/>
      <c r="AB815" s="159"/>
    </row>
    <row r="816">
      <c r="A816" s="159"/>
      <c r="B816" s="159"/>
      <c r="C816" s="159"/>
      <c r="D816" s="159"/>
      <c r="E816" s="159"/>
      <c r="F816" s="159"/>
      <c r="G816" s="159"/>
      <c r="H816" s="159"/>
      <c r="I816" s="159"/>
      <c r="J816" s="159"/>
      <c r="K816" s="159"/>
      <c r="L816" s="159"/>
      <c r="N816" s="159"/>
      <c r="O816" s="159"/>
      <c r="P816" s="159"/>
      <c r="Q816" s="159"/>
      <c r="R816" s="159"/>
      <c r="S816" s="159"/>
      <c r="T816" s="159"/>
      <c r="U816" s="159"/>
      <c r="V816" s="159"/>
      <c r="W816" s="159"/>
      <c r="X816" s="159"/>
      <c r="Y816" s="159"/>
      <c r="Z816" s="159"/>
      <c r="AA816" s="159"/>
      <c r="AB816" s="159"/>
    </row>
    <row r="817">
      <c r="A817" s="159"/>
      <c r="B817" s="159"/>
      <c r="C817" s="159"/>
      <c r="D817" s="159"/>
      <c r="E817" s="159"/>
      <c r="F817" s="159"/>
      <c r="G817" s="159"/>
      <c r="H817" s="159"/>
      <c r="I817" s="159"/>
      <c r="J817" s="159"/>
      <c r="K817" s="159"/>
      <c r="L817" s="159"/>
      <c r="N817" s="159"/>
      <c r="O817" s="159"/>
      <c r="P817" s="159"/>
      <c r="Q817" s="159"/>
      <c r="R817" s="159"/>
      <c r="S817" s="159"/>
      <c r="T817" s="159"/>
      <c r="U817" s="159"/>
      <c r="V817" s="159"/>
      <c r="W817" s="159"/>
      <c r="X817" s="159"/>
      <c r="Y817" s="159"/>
      <c r="Z817" s="159"/>
      <c r="AA817" s="159"/>
      <c r="AB817" s="159"/>
    </row>
    <row r="818">
      <c r="A818" s="159"/>
      <c r="B818" s="159"/>
      <c r="C818" s="159"/>
      <c r="D818" s="159"/>
      <c r="E818" s="159"/>
      <c r="F818" s="159"/>
      <c r="G818" s="159"/>
      <c r="H818" s="159"/>
      <c r="I818" s="159"/>
      <c r="J818" s="159"/>
      <c r="K818" s="159"/>
      <c r="L818" s="159"/>
      <c r="N818" s="159"/>
      <c r="O818" s="159"/>
      <c r="P818" s="159"/>
      <c r="Q818" s="159"/>
      <c r="R818" s="159"/>
      <c r="S818" s="159"/>
      <c r="T818" s="159"/>
      <c r="U818" s="159"/>
      <c r="V818" s="159"/>
      <c r="W818" s="159"/>
      <c r="X818" s="159"/>
      <c r="Y818" s="159"/>
      <c r="Z818" s="159"/>
      <c r="AA818" s="159"/>
      <c r="AB818" s="159"/>
    </row>
    <row r="819">
      <c r="A819" s="159"/>
      <c r="B819" s="159"/>
      <c r="C819" s="159"/>
      <c r="D819" s="159"/>
      <c r="E819" s="159"/>
      <c r="F819" s="159"/>
      <c r="G819" s="159"/>
      <c r="H819" s="159"/>
      <c r="I819" s="159"/>
      <c r="J819" s="159"/>
      <c r="K819" s="159"/>
      <c r="L819" s="159"/>
      <c r="N819" s="159"/>
      <c r="O819" s="159"/>
      <c r="P819" s="159"/>
      <c r="Q819" s="159"/>
      <c r="R819" s="159"/>
      <c r="S819" s="159"/>
      <c r="T819" s="159"/>
      <c r="U819" s="159"/>
      <c r="V819" s="159"/>
      <c r="W819" s="159"/>
      <c r="X819" s="159"/>
      <c r="Y819" s="159"/>
      <c r="Z819" s="159"/>
      <c r="AA819" s="159"/>
      <c r="AB819" s="159"/>
    </row>
    <row r="820">
      <c r="A820" s="159"/>
      <c r="B820" s="159"/>
      <c r="C820" s="159"/>
      <c r="D820" s="159"/>
      <c r="E820" s="159"/>
      <c r="F820" s="159"/>
      <c r="G820" s="159"/>
      <c r="H820" s="159"/>
      <c r="I820" s="159"/>
      <c r="J820" s="159"/>
      <c r="K820" s="159"/>
      <c r="L820" s="159"/>
      <c r="N820" s="159"/>
      <c r="O820" s="159"/>
      <c r="P820" s="159"/>
      <c r="Q820" s="159"/>
      <c r="R820" s="159"/>
      <c r="S820" s="159"/>
      <c r="T820" s="159"/>
      <c r="U820" s="159"/>
      <c r="V820" s="159"/>
      <c r="W820" s="159"/>
      <c r="X820" s="159"/>
      <c r="Y820" s="159"/>
      <c r="Z820" s="159"/>
      <c r="AA820" s="159"/>
      <c r="AB820" s="159"/>
    </row>
    <row r="821">
      <c r="A821" s="159"/>
      <c r="B821" s="159"/>
      <c r="C821" s="159"/>
      <c r="D821" s="159"/>
      <c r="E821" s="159"/>
      <c r="F821" s="159"/>
      <c r="G821" s="159"/>
      <c r="H821" s="159"/>
      <c r="I821" s="159"/>
      <c r="J821" s="159"/>
      <c r="K821" s="159"/>
      <c r="L821" s="159"/>
      <c r="N821" s="159"/>
      <c r="O821" s="159"/>
      <c r="P821" s="159"/>
      <c r="Q821" s="159"/>
      <c r="R821" s="159"/>
      <c r="S821" s="159"/>
      <c r="T821" s="159"/>
      <c r="U821" s="159"/>
      <c r="V821" s="159"/>
      <c r="W821" s="159"/>
      <c r="X821" s="159"/>
      <c r="Y821" s="159"/>
      <c r="Z821" s="159"/>
      <c r="AA821" s="159"/>
      <c r="AB821" s="159"/>
    </row>
    <row r="822">
      <c r="A822" s="159"/>
      <c r="B822" s="159"/>
      <c r="C822" s="159"/>
      <c r="D822" s="159"/>
      <c r="E822" s="159"/>
      <c r="F822" s="159"/>
      <c r="G822" s="159"/>
      <c r="H822" s="159"/>
      <c r="I822" s="159"/>
      <c r="J822" s="159"/>
      <c r="K822" s="159"/>
      <c r="L822" s="159"/>
      <c r="N822" s="159"/>
      <c r="O822" s="159"/>
      <c r="P822" s="159"/>
      <c r="Q822" s="159"/>
      <c r="R822" s="159"/>
      <c r="S822" s="159"/>
      <c r="T822" s="159"/>
      <c r="U822" s="159"/>
      <c r="V822" s="159"/>
      <c r="W822" s="159"/>
      <c r="X822" s="159"/>
      <c r="Y822" s="159"/>
      <c r="Z822" s="159"/>
      <c r="AA822" s="159"/>
      <c r="AB822" s="159"/>
    </row>
    <row r="823">
      <c r="A823" s="159"/>
      <c r="B823" s="159"/>
      <c r="C823" s="159"/>
      <c r="D823" s="159"/>
      <c r="E823" s="159"/>
      <c r="F823" s="159"/>
      <c r="G823" s="159"/>
      <c r="H823" s="159"/>
      <c r="I823" s="159"/>
      <c r="J823" s="159"/>
      <c r="K823" s="159"/>
      <c r="L823" s="159"/>
      <c r="N823" s="159"/>
      <c r="O823" s="159"/>
      <c r="P823" s="159"/>
      <c r="Q823" s="159"/>
      <c r="R823" s="159"/>
      <c r="S823" s="159"/>
      <c r="T823" s="159"/>
      <c r="U823" s="159"/>
      <c r="V823" s="159"/>
      <c r="W823" s="159"/>
      <c r="X823" s="159"/>
      <c r="Y823" s="159"/>
      <c r="Z823" s="159"/>
      <c r="AA823" s="159"/>
      <c r="AB823" s="159"/>
    </row>
    <row r="824">
      <c r="A824" s="159"/>
      <c r="B824" s="159"/>
      <c r="C824" s="159"/>
      <c r="D824" s="159"/>
      <c r="E824" s="159"/>
      <c r="F824" s="159"/>
      <c r="G824" s="159"/>
      <c r="H824" s="159"/>
      <c r="I824" s="159"/>
      <c r="J824" s="159"/>
      <c r="K824" s="159"/>
      <c r="L824" s="159"/>
      <c r="N824" s="159"/>
      <c r="O824" s="159"/>
      <c r="P824" s="159"/>
      <c r="Q824" s="159"/>
      <c r="R824" s="159"/>
      <c r="S824" s="159"/>
      <c r="T824" s="159"/>
      <c r="U824" s="159"/>
      <c r="V824" s="159"/>
      <c r="W824" s="159"/>
      <c r="X824" s="159"/>
      <c r="Y824" s="159"/>
      <c r="Z824" s="159"/>
      <c r="AA824" s="159"/>
      <c r="AB824" s="159"/>
    </row>
    <row r="825">
      <c r="A825" s="159"/>
      <c r="B825" s="159"/>
      <c r="C825" s="159"/>
      <c r="D825" s="159"/>
      <c r="E825" s="159"/>
      <c r="F825" s="159"/>
      <c r="G825" s="159"/>
      <c r="H825" s="159"/>
      <c r="I825" s="159"/>
      <c r="J825" s="159"/>
      <c r="K825" s="159"/>
      <c r="L825" s="159"/>
      <c r="N825" s="159"/>
      <c r="O825" s="159"/>
      <c r="P825" s="159"/>
      <c r="Q825" s="159"/>
      <c r="R825" s="159"/>
      <c r="S825" s="159"/>
      <c r="T825" s="159"/>
      <c r="U825" s="159"/>
      <c r="V825" s="159"/>
      <c r="W825" s="159"/>
      <c r="X825" s="159"/>
      <c r="Y825" s="159"/>
      <c r="Z825" s="159"/>
      <c r="AA825" s="159"/>
      <c r="AB825" s="159"/>
    </row>
    <row r="826">
      <c r="A826" s="159"/>
      <c r="B826" s="159"/>
      <c r="C826" s="159"/>
      <c r="D826" s="159"/>
      <c r="E826" s="159"/>
      <c r="F826" s="159"/>
      <c r="G826" s="159"/>
      <c r="H826" s="159"/>
      <c r="I826" s="159"/>
      <c r="J826" s="159"/>
      <c r="K826" s="159"/>
      <c r="L826" s="159"/>
      <c r="N826" s="159"/>
      <c r="O826" s="159"/>
      <c r="P826" s="159"/>
      <c r="Q826" s="159"/>
      <c r="R826" s="159"/>
      <c r="S826" s="159"/>
      <c r="T826" s="159"/>
      <c r="U826" s="159"/>
      <c r="V826" s="159"/>
      <c r="W826" s="159"/>
      <c r="X826" s="159"/>
      <c r="Y826" s="159"/>
      <c r="Z826" s="159"/>
      <c r="AA826" s="159"/>
      <c r="AB826" s="159"/>
    </row>
    <row r="827">
      <c r="A827" s="159"/>
      <c r="B827" s="159"/>
      <c r="C827" s="159"/>
      <c r="D827" s="159"/>
      <c r="E827" s="159"/>
      <c r="F827" s="159"/>
      <c r="G827" s="159"/>
      <c r="H827" s="159"/>
      <c r="I827" s="159"/>
      <c r="J827" s="159"/>
      <c r="K827" s="159"/>
      <c r="L827" s="159"/>
      <c r="N827" s="159"/>
      <c r="O827" s="159"/>
      <c r="P827" s="159"/>
      <c r="Q827" s="159"/>
      <c r="R827" s="159"/>
      <c r="S827" s="159"/>
      <c r="T827" s="159"/>
      <c r="U827" s="159"/>
      <c r="V827" s="159"/>
      <c r="W827" s="159"/>
      <c r="X827" s="159"/>
      <c r="Y827" s="159"/>
      <c r="Z827" s="159"/>
      <c r="AA827" s="159"/>
      <c r="AB827" s="159"/>
    </row>
    <row r="828">
      <c r="A828" s="159"/>
      <c r="B828" s="159"/>
      <c r="C828" s="159"/>
      <c r="D828" s="159"/>
      <c r="E828" s="159"/>
      <c r="F828" s="159"/>
      <c r="G828" s="159"/>
      <c r="H828" s="159"/>
      <c r="I828" s="159"/>
      <c r="J828" s="159"/>
      <c r="K828" s="159"/>
      <c r="L828" s="159"/>
      <c r="N828" s="159"/>
      <c r="O828" s="159"/>
      <c r="P828" s="159"/>
      <c r="Q828" s="159"/>
      <c r="R828" s="159"/>
      <c r="S828" s="159"/>
      <c r="T828" s="159"/>
      <c r="U828" s="159"/>
      <c r="V828" s="159"/>
      <c r="W828" s="159"/>
      <c r="X828" s="159"/>
      <c r="Y828" s="159"/>
      <c r="Z828" s="159"/>
      <c r="AA828" s="159"/>
      <c r="AB828" s="159"/>
    </row>
    <row r="829">
      <c r="A829" s="159"/>
      <c r="B829" s="159"/>
      <c r="C829" s="159"/>
      <c r="D829" s="159"/>
      <c r="E829" s="159"/>
      <c r="F829" s="159"/>
      <c r="G829" s="159"/>
      <c r="H829" s="159"/>
      <c r="I829" s="159"/>
      <c r="J829" s="159"/>
      <c r="K829" s="159"/>
      <c r="L829" s="159"/>
      <c r="N829" s="159"/>
      <c r="O829" s="159"/>
      <c r="P829" s="159"/>
      <c r="Q829" s="159"/>
      <c r="R829" s="159"/>
      <c r="S829" s="159"/>
      <c r="T829" s="159"/>
      <c r="U829" s="159"/>
      <c r="V829" s="159"/>
      <c r="W829" s="159"/>
      <c r="X829" s="159"/>
      <c r="Y829" s="159"/>
      <c r="Z829" s="159"/>
      <c r="AA829" s="159"/>
      <c r="AB829" s="159"/>
    </row>
    <row r="830">
      <c r="A830" s="159"/>
      <c r="B830" s="159"/>
      <c r="C830" s="159"/>
      <c r="D830" s="159"/>
      <c r="E830" s="159"/>
      <c r="F830" s="159"/>
      <c r="G830" s="159"/>
      <c r="H830" s="159"/>
      <c r="I830" s="159"/>
      <c r="J830" s="159"/>
      <c r="K830" s="159"/>
      <c r="L830" s="159"/>
      <c r="N830" s="159"/>
      <c r="O830" s="159"/>
      <c r="P830" s="159"/>
      <c r="Q830" s="159"/>
      <c r="R830" s="159"/>
      <c r="S830" s="159"/>
      <c r="T830" s="159"/>
      <c r="U830" s="159"/>
      <c r="V830" s="159"/>
      <c r="W830" s="159"/>
      <c r="X830" s="159"/>
      <c r="Y830" s="159"/>
      <c r="Z830" s="159"/>
      <c r="AA830" s="159"/>
      <c r="AB830" s="159"/>
    </row>
    <row r="831">
      <c r="A831" s="159"/>
      <c r="B831" s="159"/>
      <c r="C831" s="159"/>
      <c r="D831" s="159"/>
      <c r="E831" s="159"/>
      <c r="F831" s="159"/>
      <c r="G831" s="159"/>
      <c r="H831" s="159"/>
      <c r="I831" s="159"/>
      <c r="J831" s="159"/>
      <c r="K831" s="159"/>
      <c r="L831" s="159"/>
      <c r="N831" s="159"/>
      <c r="O831" s="159"/>
      <c r="P831" s="159"/>
      <c r="Q831" s="159"/>
      <c r="R831" s="159"/>
      <c r="S831" s="159"/>
      <c r="T831" s="159"/>
      <c r="U831" s="159"/>
      <c r="V831" s="159"/>
      <c r="W831" s="159"/>
      <c r="X831" s="159"/>
      <c r="Y831" s="159"/>
      <c r="Z831" s="159"/>
      <c r="AA831" s="159"/>
      <c r="AB831" s="159"/>
    </row>
    <row r="832">
      <c r="A832" s="159"/>
      <c r="B832" s="159"/>
      <c r="C832" s="159"/>
      <c r="D832" s="159"/>
      <c r="E832" s="159"/>
      <c r="F832" s="159"/>
      <c r="G832" s="159"/>
      <c r="H832" s="159"/>
      <c r="I832" s="159"/>
      <c r="J832" s="159"/>
      <c r="K832" s="159"/>
      <c r="L832" s="159"/>
      <c r="N832" s="159"/>
      <c r="O832" s="159"/>
      <c r="P832" s="159"/>
      <c r="Q832" s="159"/>
      <c r="R832" s="159"/>
      <c r="S832" s="159"/>
      <c r="T832" s="159"/>
      <c r="U832" s="159"/>
      <c r="V832" s="159"/>
      <c r="W832" s="159"/>
      <c r="X832" s="159"/>
      <c r="Y832" s="159"/>
      <c r="Z832" s="159"/>
      <c r="AA832" s="159"/>
      <c r="AB832" s="159"/>
    </row>
    <row r="833">
      <c r="A833" s="159"/>
      <c r="B833" s="159"/>
      <c r="C833" s="159"/>
      <c r="D833" s="159"/>
      <c r="E833" s="159"/>
      <c r="F833" s="159"/>
      <c r="G833" s="159"/>
      <c r="H833" s="159"/>
      <c r="I833" s="159"/>
      <c r="J833" s="159"/>
      <c r="K833" s="159"/>
      <c r="L833" s="159"/>
      <c r="N833" s="159"/>
      <c r="O833" s="159"/>
      <c r="P833" s="159"/>
      <c r="Q833" s="159"/>
      <c r="R833" s="159"/>
      <c r="S833" s="159"/>
      <c r="T833" s="159"/>
      <c r="U833" s="159"/>
      <c r="V833" s="159"/>
      <c r="W833" s="159"/>
      <c r="X833" s="159"/>
      <c r="Y833" s="159"/>
      <c r="Z833" s="159"/>
      <c r="AA833" s="159"/>
      <c r="AB833" s="159"/>
    </row>
    <row r="834">
      <c r="A834" s="159"/>
      <c r="B834" s="159"/>
      <c r="C834" s="159"/>
      <c r="D834" s="159"/>
      <c r="E834" s="159"/>
      <c r="F834" s="159"/>
      <c r="G834" s="159"/>
      <c r="H834" s="159"/>
      <c r="I834" s="159"/>
      <c r="J834" s="159"/>
      <c r="K834" s="159"/>
      <c r="L834" s="159"/>
      <c r="N834" s="159"/>
      <c r="O834" s="159"/>
      <c r="P834" s="159"/>
      <c r="Q834" s="159"/>
      <c r="R834" s="159"/>
      <c r="S834" s="159"/>
      <c r="T834" s="159"/>
      <c r="U834" s="159"/>
      <c r="V834" s="159"/>
      <c r="W834" s="159"/>
      <c r="X834" s="159"/>
      <c r="Y834" s="159"/>
      <c r="Z834" s="159"/>
      <c r="AA834" s="159"/>
      <c r="AB834" s="159"/>
    </row>
    <row r="835">
      <c r="A835" s="159"/>
      <c r="B835" s="159"/>
      <c r="C835" s="159"/>
      <c r="D835" s="159"/>
      <c r="E835" s="159"/>
      <c r="F835" s="159"/>
      <c r="G835" s="159"/>
      <c r="H835" s="159"/>
      <c r="I835" s="159"/>
      <c r="J835" s="159"/>
      <c r="K835" s="159"/>
      <c r="L835" s="159"/>
      <c r="N835" s="159"/>
      <c r="O835" s="159"/>
      <c r="P835" s="159"/>
      <c r="Q835" s="159"/>
      <c r="R835" s="159"/>
      <c r="S835" s="159"/>
      <c r="T835" s="159"/>
      <c r="U835" s="159"/>
      <c r="V835" s="159"/>
      <c r="W835" s="159"/>
      <c r="X835" s="159"/>
      <c r="Y835" s="159"/>
      <c r="Z835" s="159"/>
      <c r="AA835" s="159"/>
      <c r="AB835" s="159"/>
    </row>
    <row r="836">
      <c r="A836" s="159"/>
      <c r="B836" s="159"/>
      <c r="C836" s="159"/>
      <c r="D836" s="159"/>
      <c r="E836" s="159"/>
      <c r="F836" s="159"/>
      <c r="G836" s="159"/>
      <c r="H836" s="159"/>
      <c r="I836" s="159"/>
      <c r="J836" s="159"/>
      <c r="K836" s="159"/>
      <c r="L836" s="159"/>
      <c r="N836" s="159"/>
      <c r="O836" s="159"/>
      <c r="P836" s="159"/>
      <c r="Q836" s="159"/>
      <c r="R836" s="159"/>
      <c r="S836" s="159"/>
      <c r="T836" s="159"/>
      <c r="U836" s="159"/>
      <c r="V836" s="159"/>
      <c r="W836" s="159"/>
      <c r="X836" s="159"/>
      <c r="Y836" s="159"/>
      <c r="Z836" s="159"/>
      <c r="AA836" s="159"/>
      <c r="AB836" s="159"/>
    </row>
    <row r="837">
      <c r="A837" s="159"/>
      <c r="B837" s="159"/>
      <c r="C837" s="159"/>
      <c r="D837" s="159"/>
      <c r="E837" s="159"/>
      <c r="F837" s="159"/>
      <c r="G837" s="159"/>
      <c r="H837" s="159"/>
      <c r="I837" s="159"/>
      <c r="J837" s="159"/>
      <c r="K837" s="159"/>
      <c r="L837" s="159"/>
      <c r="N837" s="159"/>
      <c r="O837" s="159"/>
      <c r="P837" s="159"/>
      <c r="Q837" s="159"/>
      <c r="R837" s="159"/>
      <c r="S837" s="159"/>
      <c r="T837" s="159"/>
      <c r="U837" s="159"/>
      <c r="V837" s="159"/>
      <c r="W837" s="159"/>
      <c r="X837" s="159"/>
      <c r="Y837" s="159"/>
      <c r="Z837" s="159"/>
      <c r="AA837" s="159"/>
      <c r="AB837" s="159"/>
    </row>
    <row r="838">
      <c r="A838" s="159"/>
      <c r="B838" s="159"/>
      <c r="C838" s="159"/>
      <c r="D838" s="159"/>
      <c r="E838" s="159"/>
      <c r="F838" s="159"/>
      <c r="G838" s="159"/>
      <c r="H838" s="159"/>
      <c r="I838" s="159"/>
      <c r="J838" s="159"/>
      <c r="K838" s="159"/>
      <c r="L838" s="159"/>
      <c r="N838" s="159"/>
      <c r="O838" s="159"/>
      <c r="P838" s="159"/>
      <c r="Q838" s="159"/>
      <c r="R838" s="159"/>
      <c r="S838" s="159"/>
      <c r="T838" s="159"/>
      <c r="U838" s="159"/>
      <c r="V838" s="159"/>
      <c r="W838" s="159"/>
      <c r="X838" s="159"/>
      <c r="Y838" s="159"/>
      <c r="Z838" s="159"/>
      <c r="AA838" s="159"/>
      <c r="AB838" s="159"/>
    </row>
    <row r="839">
      <c r="A839" s="159"/>
      <c r="B839" s="159"/>
      <c r="C839" s="159"/>
      <c r="D839" s="159"/>
      <c r="E839" s="159"/>
      <c r="F839" s="159"/>
      <c r="G839" s="159"/>
      <c r="H839" s="159"/>
      <c r="I839" s="159"/>
      <c r="J839" s="159"/>
      <c r="K839" s="159"/>
      <c r="L839" s="159"/>
      <c r="N839" s="159"/>
      <c r="O839" s="159"/>
      <c r="P839" s="159"/>
      <c r="Q839" s="159"/>
      <c r="R839" s="159"/>
      <c r="S839" s="159"/>
      <c r="T839" s="159"/>
      <c r="U839" s="159"/>
      <c r="V839" s="159"/>
      <c r="W839" s="159"/>
      <c r="X839" s="159"/>
      <c r="Y839" s="159"/>
      <c r="Z839" s="159"/>
      <c r="AA839" s="159"/>
      <c r="AB839" s="159"/>
    </row>
    <row r="840">
      <c r="A840" s="159"/>
      <c r="B840" s="159"/>
      <c r="C840" s="159"/>
      <c r="D840" s="159"/>
      <c r="E840" s="159"/>
      <c r="F840" s="159"/>
      <c r="G840" s="159"/>
      <c r="H840" s="159"/>
      <c r="I840" s="159"/>
      <c r="J840" s="159"/>
      <c r="K840" s="159"/>
      <c r="L840" s="159"/>
      <c r="N840" s="159"/>
      <c r="O840" s="159"/>
      <c r="P840" s="159"/>
      <c r="Q840" s="159"/>
      <c r="R840" s="159"/>
      <c r="S840" s="159"/>
      <c r="T840" s="159"/>
      <c r="U840" s="159"/>
      <c r="V840" s="159"/>
      <c r="W840" s="159"/>
      <c r="X840" s="159"/>
      <c r="Y840" s="159"/>
      <c r="Z840" s="159"/>
      <c r="AA840" s="159"/>
      <c r="AB840" s="159"/>
    </row>
    <row r="841">
      <c r="A841" s="159"/>
      <c r="B841" s="159"/>
      <c r="C841" s="159"/>
      <c r="D841" s="159"/>
      <c r="E841" s="159"/>
      <c r="F841" s="159"/>
      <c r="G841" s="159"/>
      <c r="H841" s="159"/>
      <c r="I841" s="159"/>
      <c r="J841" s="159"/>
      <c r="K841" s="159"/>
      <c r="L841" s="159"/>
      <c r="N841" s="159"/>
      <c r="O841" s="159"/>
      <c r="P841" s="159"/>
      <c r="Q841" s="159"/>
      <c r="R841" s="159"/>
      <c r="S841" s="159"/>
      <c r="T841" s="159"/>
      <c r="U841" s="159"/>
      <c r="V841" s="159"/>
      <c r="W841" s="159"/>
      <c r="X841" s="159"/>
      <c r="Y841" s="159"/>
      <c r="Z841" s="159"/>
      <c r="AA841" s="159"/>
      <c r="AB841" s="159"/>
    </row>
    <row r="842">
      <c r="A842" s="159"/>
      <c r="B842" s="159"/>
      <c r="C842" s="159"/>
      <c r="D842" s="159"/>
      <c r="E842" s="159"/>
      <c r="F842" s="159"/>
      <c r="G842" s="159"/>
      <c r="H842" s="159"/>
      <c r="I842" s="159"/>
      <c r="J842" s="159"/>
      <c r="K842" s="159"/>
      <c r="L842" s="159"/>
      <c r="N842" s="159"/>
      <c r="O842" s="159"/>
      <c r="P842" s="159"/>
      <c r="Q842" s="159"/>
      <c r="R842" s="159"/>
      <c r="S842" s="159"/>
      <c r="T842" s="159"/>
      <c r="U842" s="159"/>
      <c r="V842" s="159"/>
      <c r="W842" s="159"/>
      <c r="X842" s="159"/>
      <c r="Y842" s="159"/>
      <c r="Z842" s="159"/>
      <c r="AA842" s="159"/>
      <c r="AB842" s="159"/>
    </row>
    <row r="843">
      <c r="A843" s="159"/>
      <c r="B843" s="159"/>
      <c r="C843" s="159"/>
      <c r="D843" s="159"/>
      <c r="E843" s="159"/>
      <c r="F843" s="159"/>
      <c r="G843" s="159"/>
      <c r="H843" s="159"/>
      <c r="I843" s="159"/>
      <c r="J843" s="159"/>
      <c r="K843" s="159"/>
      <c r="L843" s="159"/>
      <c r="N843" s="159"/>
      <c r="O843" s="159"/>
      <c r="P843" s="159"/>
      <c r="Q843" s="159"/>
      <c r="R843" s="159"/>
      <c r="S843" s="159"/>
      <c r="T843" s="159"/>
      <c r="U843" s="159"/>
      <c r="V843" s="159"/>
      <c r="W843" s="159"/>
      <c r="X843" s="159"/>
      <c r="Y843" s="159"/>
      <c r="Z843" s="159"/>
      <c r="AA843" s="159"/>
      <c r="AB843" s="159"/>
    </row>
    <row r="844">
      <c r="A844" s="159"/>
      <c r="B844" s="159"/>
      <c r="C844" s="159"/>
      <c r="D844" s="159"/>
      <c r="E844" s="159"/>
      <c r="F844" s="159"/>
      <c r="G844" s="159"/>
      <c r="H844" s="159"/>
      <c r="I844" s="159"/>
      <c r="J844" s="159"/>
      <c r="K844" s="159"/>
      <c r="L844" s="159"/>
      <c r="N844" s="159"/>
      <c r="O844" s="159"/>
      <c r="P844" s="159"/>
      <c r="Q844" s="159"/>
      <c r="R844" s="159"/>
      <c r="S844" s="159"/>
      <c r="T844" s="159"/>
      <c r="U844" s="159"/>
      <c r="V844" s="159"/>
      <c r="W844" s="159"/>
      <c r="X844" s="159"/>
      <c r="Y844" s="159"/>
      <c r="Z844" s="159"/>
      <c r="AA844" s="159"/>
      <c r="AB844" s="159"/>
    </row>
    <row r="845">
      <c r="A845" s="159"/>
      <c r="B845" s="159"/>
      <c r="C845" s="159"/>
      <c r="D845" s="159"/>
      <c r="E845" s="159"/>
      <c r="F845" s="159"/>
      <c r="G845" s="159"/>
      <c r="H845" s="159"/>
      <c r="I845" s="159"/>
      <c r="J845" s="159"/>
      <c r="K845" s="159"/>
      <c r="L845" s="159"/>
      <c r="N845" s="159"/>
      <c r="O845" s="159"/>
      <c r="P845" s="159"/>
      <c r="Q845" s="159"/>
      <c r="R845" s="159"/>
      <c r="S845" s="159"/>
      <c r="T845" s="159"/>
      <c r="U845" s="159"/>
      <c r="V845" s="159"/>
      <c r="W845" s="159"/>
      <c r="X845" s="159"/>
      <c r="Y845" s="159"/>
      <c r="Z845" s="159"/>
      <c r="AA845" s="159"/>
      <c r="AB845" s="159"/>
    </row>
    <row r="846">
      <c r="A846" s="159"/>
      <c r="B846" s="159"/>
      <c r="C846" s="159"/>
      <c r="D846" s="159"/>
      <c r="E846" s="159"/>
      <c r="F846" s="159"/>
      <c r="G846" s="159"/>
      <c r="H846" s="159"/>
      <c r="I846" s="159"/>
      <c r="J846" s="159"/>
      <c r="K846" s="159"/>
      <c r="L846" s="159"/>
      <c r="N846" s="159"/>
      <c r="O846" s="159"/>
      <c r="P846" s="159"/>
      <c r="Q846" s="159"/>
      <c r="R846" s="159"/>
      <c r="S846" s="159"/>
      <c r="T846" s="159"/>
      <c r="U846" s="159"/>
      <c r="V846" s="159"/>
      <c r="W846" s="159"/>
      <c r="X846" s="159"/>
      <c r="Y846" s="159"/>
      <c r="Z846" s="159"/>
      <c r="AA846" s="159"/>
      <c r="AB846" s="159"/>
    </row>
    <row r="847">
      <c r="A847" s="159"/>
      <c r="B847" s="159"/>
      <c r="C847" s="159"/>
      <c r="D847" s="159"/>
      <c r="E847" s="159"/>
      <c r="F847" s="159"/>
      <c r="G847" s="159"/>
      <c r="H847" s="159"/>
      <c r="I847" s="159"/>
      <c r="J847" s="159"/>
      <c r="K847" s="159"/>
      <c r="L847" s="159"/>
      <c r="N847" s="159"/>
      <c r="O847" s="159"/>
      <c r="P847" s="159"/>
      <c r="Q847" s="159"/>
      <c r="R847" s="159"/>
      <c r="S847" s="159"/>
      <c r="T847" s="159"/>
      <c r="U847" s="159"/>
      <c r="V847" s="159"/>
      <c r="W847" s="159"/>
      <c r="X847" s="159"/>
      <c r="Y847" s="159"/>
      <c r="Z847" s="159"/>
      <c r="AA847" s="159"/>
      <c r="AB847" s="159"/>
    </row>
    <row r="848">
      <c r="A848" s="159"/>
      <c r="B848" s="159"/>
      <c r="C848" s="159"/>
      <c r="D848" s="159"/>
      <c r="E848" s="159"/>
      <c r="F848" s="159"/>
      <c r="G848" s="159"/>
      <c r="H848" s="159"/>
      <c r="I848" s="159"/>
      <c r="J848" s="159"/>
      <c r="K848" s="159"/>
      <c r="L848" s="159"/>
      <c r="N848" s="159"/>
      <c r="O848" s="159"/>
      <c r="P848" s="159"/>
      <c r="Q848" s="159"/>
      <c r="R848" s="159"/>
      <c r="S848" s="159"/>
      <c r="T848" s="159"/>
      <c r="U848" s="159"/>
      <c r="V848" s="159"/>
      <c r="W848" s="159"/>
      <c r="X848" s="159"/>
      <c r="Y848" s="159"/>
      <c r="Z848" s="159"/>
      <c r="AA848" s="159"/>
      <c r="AB848" s="159"/>
    </row>
    <row r="849">
      <c r="A849" s="159"/>
      <c r="B849" s="159"/>
      <c r="C849" s="159"/>
      <c r="D849" s="159"/>
      <c r="E849" s="159"/>
      <c r="F849" s="159"/>
      <c r="G849" s="159"/>
      <c r="H849" s="159"/>
      <c r="I849" s="159"/>
      <c r="J849" s="159"/>
      <c r="K849" s="159"/>
      <c r="L849" s="159"/>
      <c r="N849" s="159"/>
      <c r="O849" s="159"/>
      <c r="P849" s="159"/>
      <c r="Q849" s="159"/>
      <c r="R849" s="159"/>
      <c r="S849" s="159"/>
      <c r="T849" s="159"/>
      <c r="U849" s="159"/>
      <c r="V849" s="159"/>
      <c r="W849" s="159"/>
      <c r="X849" s="159"/>
      <c r="Y849" s="159"/>
      <c r="Z849" s="159"/>
      <c r="AA849" s="159"/>
      <c r="AB849" s="159"/>
    </row>
    <row r="850">
      <c r="A850" s="159"/>
      <c r="B850" s="159"/>
      <c r="C850" s="159"/>
      <c r="D850" s="159"/>
      <c r="E850" s="159"/>
      <c r="F850" s="159"/>
      <c r="G850" s="159"/>
      <c r="H850" s="159"/>
      <c r="I850" s="159"/>
      <c r="J850" s="159"/>
      <c r="K850" s="159"/>
      <c r="L850" s="159"/>
      <c r="N850" s="159"/>
      <c r="O850" s="159"/>
      <c r="P850" s="159"/>
      <c r="Q850" s="159"/>
      <c r="R850" s="159"/>
      <c r="S850" s="159"/>
      <c r="T850" s="159"/>
      <c r="U850" s="159"/>
      <c r="V850" s="159"/>
      <c r="W850" s="159"/>
      <c r="X850" s="159"/>
      <c r="Y850" s="159"/>
      <c r="Z850" s="159"/>
      <c r="AA850" s="159"/>
      <c r="AB850" s="159"/>
    </row>
    <row r="851">
      <c r="A851" s="159"/>
      <c r="B851" s="159"/>
      <c r="C851" s="159"/>
      <c r="D851" s="159"/>
      <c r="E851" s="159"/>
      <c r="F851" s="159"/>
      <c r="G851" s="159"/>
      <c r="H851" s="159"/>
      <c r="I851" s="159"/>
      <c r="J851" s="159"/>
      <c r="K851" s="159"/>
      <c r="L851" s="159"/>
      <c r="N851" s="159"/>
      <c r="O851" s="159"/>
      <c r="P851" s="159"/>
      <c r="Q851" s="159"/>
      <c r="R851" s="159"/>
      <c r="S851" s="159"/>
      <c r="T851" s="159"/>
      <c r="U851" s="159"/>
      <c r="V851" s="159"/>
      <c r="W851" s="159"/>
      <c r="X851" s="159"/>
      <c r="Y851" s="159"/>
      <c r="Z851" s="159"/>
      <c r="AA851" s="159"/>
      <c r="AB851" s="159"/>
    </row>
    <row r="852">
      <c r="A852" s="159"/>
      <c r="B852" s="159"/>
      <c r="C852" s="159"/>
      <c r="D852" s="159"/>
      <c r="E852" s="159"/>
      <c r="F852" s="159"/>
      <c r="G852" s="159"/>
      <c r="H852" s="159"/>
      <c r="I852" s="159"/>
      <c r="J852" s="159"/>
      <c r="K852" s="159"/>
      <c r="L852" s="159"/>
      <c r="N852" s="159"/>
      <c r="O852" s="159"/>
      <c r="P852" s="159"/>
      <c r="Q852" s="159"/>
      <c r="R852" s="159"/>
      <c r="S852" s="159"/>
      <c r="T852" s="159"/>
      <c r="U852" s="159"/>
      <c r="V852" s="159"/>
      <c r="W852" s="159"/>
      <c r="X852" s="159"/>
      <c r="Y852" s="159"/>
      <c r="Z852" s="159"/>
      <c r="AA852" s="159"/>
      <c r="AB852" s="159"/>
    </row>
    <row r="853">
      <c r="A853" s="159"/>
      <c r="B853" s="159"/>
      <c r="C853" s="159"/>
      <c r="D853" s="159"/>
      <c r="E853" s="159"/>
      <c r="F853" s="159"/>
      <c r="G853" s="159"/>
      <c r="H853" s="159"/>
      <c r="I853" s="159"/>
      <c r="J853" s="159"/>
      <c r="K853" s="159"/>
      <c r="L853" s="159"/>
      <c r="N853" s="159"/>
      <c r="O853" s="159"/>
      <c r="P853" s="159"/>
      <c r="Q853" s="159"/>
      <c r="R853" s="159"/>
      <c r="S853" s="159"/>
      <c r="T853" s="159"/>
      <c r="U853" s="159"/>
      <c r="V853" s="159"/>
      <c r="W853" s="159"/>
      <c r="X853" s="159"/>
      <c r="Y853" s="159"/>
      <c r="Z853" s="159"/>
      <c r="AA853" s="159"/>
      <c r="AB853" s="159"/>
    </row>
    <row r="854">
      <c r="A854" s="159"/>
      <c r="B854" s="159"/>
      <c r="C854" s="159"/>
      <c r="D854" s="159"/>
      <c r="E854" s="159"/>
      <c r="F854" s="159"/>
      <c r="G854" s="159"/>
      <c r="H854" s="159"/>
      <c r="I854" s="159"/>
      <c r="J854" s="159"/>
      <c r="K854" s="159"/>
      <c r="L854" s="159"/>
      <c r="N854" s="159"/>
      <c r="O854" s="159"/>
      <c r="P854" s="159"/>
      <c r="Q854" s="159"/>
      <c r="R854" s="159"/>
      <c r="S854" s="159"/>
      <c r="T854" s="159"/>
      <c r="U854" s="159"/>
      <c r="V854" s="159"/>
      <c r="W854" s="159"/>
      <c r="X854" s="159"/>
      <c r="Y854" s="159"/>
      <c r="Z854" s="159"/>
      <c r="AA854" s="159"/>
      <c r="AB854" s="159"/>
    </row>
    <row r="855">
      <c r="A855" s="159"/>
      <c r="B855" s="159"/>
      <c r="C855" s="159"/>
      <c r="D855" s="159"/>
      <c r="E855" s="159"/>
      <c r="F855" s="159"/>
      <c r="G855" s="159"/>
      <c r="H855" s="159"/>
      <c r="I855" s="159"/>
      <c r="J855" s="159"/>
      <c r="K855" s="159"/>
      <c r="L855" s="159"/>
      <c r="N855" s="159"/>
      <c r="O855" s="159"/>
      <c r="P855" s="159"/>
      <c r="Q855" s="159"/>
      <c r="R855" s="159"/>
      <c r="S855" s="159"/>
      <c r="T855" s="159"/>
      <c r="U855" s="159"/>
      <c r="V855" s="159"/>
      <c r="W855" s="159"/>
      <c r="X855" s="159"/>
      <c r="Y855" s="159"/>
      <c r="Z855" s="159"/>
      <c r="AA855" s="159"/>
      <c r="AB855" s="159"/>
    </row>
    <row r="856">
      <c r="A856" s="159"/>
      <c r="B856" s="159"/>
      <c r="C856" s="159"/>
      <c r="D856" s="159"/>
      <c r="E856" s="159"/>
      <c r="F856" s="159"/>
      <c r="G856" s="159"/>
      <c r="H856" s="159"/>
      <c r="I856" s="159"/>
      <c r="J856" s="159"/>
      <c r="K856" s="159"/>
      <c r="L856" s="159"/>
      <c r="N856" s="159"/>
      <c r="O856" s="159"/>
      <c r="P856" s="159"/>
      <c r="Q856" s="159"/>
      <c r="R856" s="159"/>
      <c r="S856" s="159"/>
      <c r="T856" s="159"/>
      <c r="U856" s="159"/>
      <c r="V856" s="159"/>
      <c r="W856" s="159"/>
      <c r="X856" s="159"/>
      <c r="Y856" s="159"/>
      <c r="Z856" s="159"/>
      <c r="AA856" s="159"/>
      <c r="AB856" s="159"/>
    </row>
    <row r="857">
      <c r="A857" s="159"/>
      <c r="B857" s="159"/>
      <c r="C857" s="159"/>
      <c r="D857" s="159"/>
      <c r="E857" s="159"/>
      <c r="F857" s="159"/>
      <c r="G857" s="159"/>
      <c r="H857" s="159"/>
      <c r="I857" s="159"/>
      <c r="J857" s="159"/>
      <c r="K857" s="159"/>
      <c r="L857" s="159"/>
      <c r="N857" s="159"/>
      <c r="O857" s="159"/>
      <c r="P857" s="159"/>
      <c r="Q857" s="159"/>
      <c r="R857" s="159"/>
      <c r="S857" s="159"/>
      <c r="T857" s="159"/>
      <c r="U857" s="159"/>
      <c r="V857" s="159"/>
      <c r="W857" s="159"/>
      <c r="X857" s="159"/>
      <c r="Y857" s="159"/>
      <c r="Z857" s="159"/>
      <c r="AA857" s="159"/>
      <c r="AB857" s="159"/>
    </row>
    <row r="858">
      <c r="A858" s="159"/>
      <c r="B858" s="159"/>
      <c r="C858" s="159"/>
      <c r="D858" s="159"/>
      <c r="E858" s="159"/>
      <c r="F858" s="159"/>
      <c r="G858" s="159"/>
      <c r="H858" s="159"/>
      <c r="I858" s="159"/>
      <c r="J858" s="159"/>
      <c r="K858" s="159"/>
      <c r="L858" s="159"/>
      <c r="N858" s="159"/>
      <c r="O858" s="159"/>
      <c r="P858" s="159"/>
      <c r="Q858" s="159"/>
      <c r="R858" s="159"/>
      <c r="S858" s="159"/>
      <c r="T858" s="159"/>
      <c r="U858" s="159"/>
      <c r="V858" s="159"/>
      <c r="W858" s="159"/>
      <c r="X858" s="159"/>
      <c r="Y858" s="159"/>
      <c r="Z858" s="159"/>
      <c r="AA858" s="159"/>
      <c r="AB858" s="159"/>
    </row>
    <row r="859">
      <c r="A859" s="159"/>
      <c r="B859" s="159"/>
      <c r="C859" s="159"/>
      <c r="D859" s="159"/>
      <c r="E859" s="159"/>
      <c r="F859" s="159"/>
      <c r="G859" s="159"/>
      <c r="H859" s="159"/>
      <c r="I859" s="159"/>
      <c r="J859" s="159"/>
      <c r="K859" s="159"/>
      <c r="L859" s="159"/>
      <c r="N859" s="159"/>
      <c r="O859" s="159"/>
      <c r="P859" s="159"/>
      <c r="Q859" s="159"/>
      <c r="R859" s="159"/>
      <c r="S859" s="159"/>
      <c r="T859" s="159"/>
      <c r="U859" s="159"/>
      <c r="V859" s="159"/>
      <c r="W859" s="159"/>
      <c r="X859" s="159"/>
      <c r="Y859" s="159"/>
      <c r="Z859" s="159"/>
      <c r="AA859" s="159"/>
      <c r="AB859" s="159"/>
    </row>
    <row r="860">
      <c r="A860" s="159"/>
      <c r="B860" s="159"/>
      <c r="C860" s="159"/>
      <c r="D860" s="159"/>
      <c r="E860" s="159"/>
      <c r="F860" s="159"/>
      <c r="G860" s="159"/>
      <c r="H860" s="159"/>
      <c r="I860" s="159"/>
      <c r="J860" s="159"/>
      <c r="K860" s="159"/>
      <c r="L860" s="159"/>
      <c r="N860" s="159"/>
      <c r="O860" s="159"/>
      <c r="P860" s="159"/>
      <c r="Q860" s="159"/>
      <c r="R860" s="159"/>
      <c r="S860" s="159"/>
      <c r="T860" s="159"/>
      <c r="U860" s="159"/>
      <c r="V860" s="159"/>
      <c r="W860" s="159"/>
      <c r="X860" s="159"/>
      <c r="Y860" s="159"/>
      <c r="Z860" s="159"/>
      <c r="AA860" s="159"/>
      <c r="AB860" s="159"/>
    </row>
    <row r="861">
      <c r="A861" s="159"/>
      <c r="B861" s="159"/>
      <c r="C861" s="159"/>
      <c r="D861" s="159"/>
      <c r="E861" s="159"/>
      <c r="F861" s="159"/>
      <c r="G861" s="159"/>
      <c r="H861" s="159"/>
      <c r="I861" s="159"/>
      <c r="J861" s="159"/>
      <c r="K861" s="159"/>
      <c r="L861" s="159"/>
      <c r="N861" s="159"/>
      <c r="O861" s="159"/>
      <c r="P861" s="159"/>
      <c r="Q861" s="159"/>
      <c r="R861" s="159"/>
      <c r="S861" s="159"/>
      <c r="T861" s="159"/>
      <c r="U861" s="159"/>
      <c r="V861" s="159"/>
      <c r="W861" s="159"/>
      <c r="X861" s="159"/>
      <c r="Y861" s="159"/>
      <c r="Z861" s="159"/>
      <c r="AA861" s="159"/>
      <c r="AB861" s="159"/>
    </row>
    <row r="862">
      <c r="A862" s="159"/>
      <c r="B862" s="159"/>
      <c r="C862" s="159"/>
      <c r="D862" s="159"/>
      <c r="E862" s="159"/>
      <c r="F862" s="159"/>
      <c r="G862" s="159"/>
      <c r="H862" s="159"/>
      <c r="I862" s="159"/>
      <c r="J862" s="159"/>
      <c r="K862" s="159"/>
      <c r="L862" s="159"/>
      <c r="N862" s="159"/>
      <c r="O862" s="159"/>
      <c r="P862" s="159"/>
      <c r="Q862" s="159"/>
      <c r="R862" s="159"/>
      <c r="S862" s="159"/>
      <c r="T862" s="159"/>
      <c r="U862" s="159"/>
      <c r="V862" s="159"/>
      <c r="W862" s="159"/>
      <c r="X862" s="159"/>
      <c r="Y862" s="159"/>
      <c r="Z862" s="159"/>
      <c r="AA862" s="159"/>
      <c r="AB862" s="159"/>
    </row>
    <row r="863">
      <c r="A863" s="159"/>
      <c r="B863" s="159"/>
      <c r="C863" s="159"/>
      <c r="D863" s="159"/>
      <c r="E863" s="159"/>
      <c r="F863" s="159"/>
      <c r="G863" s="159"/>
      <c r="H863" s="159"/>
      <c r="I863" s="159"/>
      <c r="J863" s="159"/>
      <c r="K863" s="159"/>
      <c r="L863" s="159"/>
      <c r="N863" s="159"/>
      <c r="O863" s="159"/>
      <c r="P863" s="159"/>
      <c r="Q863" s="159"/>
      <c r="R863" s="159"/>
      <c r="S863" s="159"/>
      <c r="T863" s="159"/>
      <c r="U863" s="159"/>
      <c r="V863" s="159"/>
      <c r="W863" s="159"/>
      <c r="X863" s="159"/>
      <c r="Y863" s="159"/>
      <c r="Z863" s="159"/>
      <c r="AA863" s="159"/>
      <c r="AB863" s="159"/>
    </row>
    <row r="864">
      <c r="A864" s="159"/>
      <c r="B864" s="159"/>
      <c r="C864" s="159"/>
      <c r="D864" s="159"/>
      <c r="E864" s="159"/>
      <c r="F864" s="159"/>
      <c r="G864" s="159"/>
      <c r="H864" s="159"/>
      <c r="I864" s="159"/>
      <c r="J864" s="159"/>
      <c r="K864" s="159"/>
      <c r="L864" s="159"/>
      <c r="N864" s="159"/>
      <c r="O864" s="159"/>
      <c r="P864" s="159"/>
      <c r="Q864" s="159"/>
      <c r="R864" s="159"/>
      <c r="S864" s="159"/>
      <c r="T864" s="159"/>
      <c r="U864" s="159"/>
      <c r="V864" s="159"/>
      <c r="W864" s="159"/>
      <c r="X864" s="159"/>
      <c r="Y864" s="159"/>
      <c r="Z864" s="159"/>
      <c r="AA864" s="159"/>
      <c r="AB864" s="159"/>
    </row>
    <row r="865">
      <c r="A865" s="159"/>
      <c r="B865" s="159"/>
      <c r="C865" s="159"/>
      <c r="D865" s="159"/>
      <c r="E865" s="159"/>
      <c r="F865" s="159"/>
      <c r="G865" s="159"/>
      <c r="H865" s="159"/>
      <c r="I865" s="159"/>
      <c r="J865" s="159"/>
      <c r="K865" s="159"/>
      <c r="L865" s="159"/>
      <c r="N865" s="159"/>
      <c r="O865" s="159"/>
      <c r="P865" s="159"/>
      <c r="Q865" s="159"/>
      <c r="R865" s="159"/>
      <c r="S865" s="159"/>
      <c r="T865" s="159"/>
      <c r="U865" s="159"/>
      <c r="V865" s="159"/>
      <c r="W865" s="159"/>
      <c r="X865" s="159"/>
      <c r="Y865" s="159"/>
      <c r="Z865" s="159"/>
      <c r="AA865" s="159"/>
      <c r="AB865" s="159"/>
    </row>
    <row r="866">
      <c r="A866" s="159"/>
      <c r="B866" s="159"/>
      <c r="C866" s="159"/>
      <c r="D866" s="159"/>
      <c r="E866" s="159"/>
      <c r="F866" s="159"/>
      <c r="G866" s="159"/>
      <c r="H866" s="159"/>
      <c r="I866" s="159"/>
      <c r="J866" s="159"/>
      <c r="K866" s="159"/>
      <c r="L866" s="159"/>
      <c r="N866" s="159"/>
      <c r="O866" s="159"/>
      <c r="P866" s="159"/>
      <c r="Q866" s="159"/>
      <c r="R866" s="159"/>
      <c r="S866" s="159"/>
      <c r="T866" s="159"/>
      <c r="U866" s="159"/>
      <c r="V866" s="159"/>
      <c r="W866" s="159"/>
      <c r="X866" s="159"/>
      <c r="Y866" s="159"/>
      <c r="Z866" s="159"/>
      <c r="AA866" s="159"/>
      <c r="AB866" s="159"/>
    </row>
    <row r="867">
      <c r="A867" s="159"/>
      <c r="B867" s="159"/>
      <c r="C867" s="159"/>
      <c r="D867" s="159"/>
      <c r="E867" s="159"/>
      <c r="F867" s="159"/>
      <c r="G867" s="159"/>
      <c r="H867" s="159"/>
      <c r="I867" s="159"/>
      <c r="J867" s="159"/>
      <c r="K867" s="159"/>
      <c r="L867" s="159"/>
      <c r="N867" s="159"/>
      <c r="O867" s="159"/>
      <c r="P867" s="159"/>
      <c r="Q867" s="159"/>
      <c r="R867" s="159"/>
      <c r="S867" s="159"/>
      <c r="T867" s="159"/>
      <c r="U867" s="159"/>
      <c r="V867" s="159"/>
      <c r="W867" s="159"/>
      <c r="X867" s="159"/>
      <c r="Y867" s="159"/>
      <c r="Z867" s="159"/>
      <c r="AA867" s="159"/>
      <c r="AB867" s="159"/>
    </row>
    <row r="868">
      <c r="A868" s="159"/>
      <c r="B868" s="159"/>
      <c r="C868" s="159"/>
      <c r="D868" s="159"/>
      <c r="E868" s="159"/>
      <c r="F868" s="159"/>
      <c r="G868" s="159"/>
      <c r="H868" s="159"/>
      <c r="I868" s="159"/>
      <c r="J868" s="159"/>
      <c r="K868" s="159"/>
      <c r="L868" s="159"/>
      <c r="N868" s="159"/>
      <c r="O868" s="159"/>
      <c r="P868" s="159"/>
      <c r="Q868" s="159"/>
      <c r="R868" s="159"/>
      <c r="S868" s="159"/>
      <c r="T868" s="159"/>
      <c r="U868" s="159"/>
      <c r="V868" s="159"/>
      <c r="W868" s="159"/>
      <c r="X868" s="159"/>
      <c r="Y868" s="159"/>
      <c r="Z868" s="159"/>
      <c r="AA868" s="159"/>
      <c r="AB868" s="159"/>
    </row>
    <row r="869">
      <c r="A869" s="159"/>
      <c r="B869" s="159"/>
      <c r="C869" s="159"/>
      <c r="D869" s="159"/>
      <c r="E869" s="159"/>
      <c r="F869" s="159"/>
      <c r="G869" s="159"/>
      <c r="H869" s="159"/>
      <c r="I869" s="159"/>
      <c r="J869" s="159"/>
      <c r="K869" s="159"/>
      <c r="L869" s="159"/>
      <c r="N869" s="159"/>
      <c r="O869" s="159"/>
      <c r="P869" s="159"/>
      <c r="Q869" s="159"/>
      <c r="R869" s="159"/>
      <c r="S869" s="159"/>
      <c r="T869" s="159"/>
      <c r="U869" s="159"/>
      <c r="V869" s="159"/>
      <c r="W869" s="159"/>
      <c r="X869" s="159"/>
      <c r="Y869" s="159"/>
      <c r="Z869" s="159"/>
      <c r="AA869" s="159"/>
      <c r="AB869" s="159"/>
    </row>
    <row r="870">
      <c r="A870" s="159"/>
      <c r="B870" s="159"/>
      <c r="C870" s="159"/>
      <c r="D870" s="159"/>
      <c r="E870" s="159"/>
      <c r="F870" s="159"/>
      <c r="G870" s="159"/>
      <c r="H870" s="159"/>
      <c r="I870" s="159"/>
      <c r="J870" s="159"/>
      <c r="K870" s="159"/>
      <c r="L870" s="159"/>
      <c r="N870" s="159"/>
      <c r="O870" s="159"/>
      <c r="P870" s="159"/>
      <c r="Q870" s="159"/>
      <c r="R870" s="159"/>
      <c r="S870" s="159"/>
      <c r="T870" s="159"/>
      <c r="U870" s="159"/>
      <c r="V870" s="159"/>
      <c r="W870" s="159"/>
      <c r="X870" s="159"/>
      <c r="Y870" s="159"/>
      <c r="Z870" s="159"/>
      <c r="AA870" s="159"/>
      <c r="AB870" s="159"/>
    </row>
    <row r="871">
      <c r="A871" s="159"/>
      <c r="B871" s="159"/>
      <c r="C871" s="159"/>
      <c r="D871" s="159"/>
      <c r="E871" s="159"/>
      <c r="F871" s="159"/>
      <c r="G871" s="159"/>
      <c r="H871" s="159"/>
      <c r="I871" s="159"/>
      <c r="J871" s="159"/>
      <c r="K871" s="159"/>
      <c r="L871" s="159"/>
      <c r="N871" s="159"/>
      <c r="O871" s="159"/>
      <c r="P871" s="159"/>
      <c r="Q871" s="159"/>
      <c r="R871" s="159"/>
      <c r="S871" s="159"/>
      <c r="T871" s="159"/>
      <c r="U871" s="159"/>
      <c r="V871" s="159"/>
      <c r="W871" s="159"/>
      <c r="X871" s="159"/>
      <c r="Y871" s="159"/>
      <c r="Z871" s="159"/>
      <c r="AA871" s="159"/>
      <c r="AB871" s="159"/>
    </row>
    <row r="872">
      <c r="A872" s="159"/>
      <c r="B872" s="159"/>
      <c r="C872" s="159"/>
      <c r="D872" s="159"/>
      <c r="E872" s="159"/>
      <c r="F872" s="159"/>
      <c r="G872" s="159"/>
      <c r="H872" s="159"/>
      <c r="I872" s="159"/>
      <c r="J872" s="159"/>
      <c r="K872" s="159"/>
      <c r="L872" s="159"/>
      <c r="N872" s="159"/>
      <c r="O872" s="159"/>
      <c r="P872" s="159"/>
      <c r="Q872" s="159"/>
      <c r="R872" s="159"/>
      <c r="S872" s="159"/>
      <c r="T872" s="159"/>
      <c r="U872" s="159"/>
      <c r="V872" s="159"/>
      <c r="W872" s="159"/>
      <c r="X872" s="159"/>
      <c r="Y872" s="159"/>
      <c r="Z872" s="159"/>
      <c r="AA872" s="159"/>
      <c r="AB872" s="159"/>
    </row>
    <row r="873">
      <c r="A873" s="159"/>
      <c r="B873" s="159"/>
      <c r="C873" s="159"/>
      <c r="D873" s="159"/>
      <c r="E873" s="159"/>
      <c r="F873" s="159"/>
      <c r="G873" s="159"/>
      <c r="H873" s="159"/>
      <c r="I873" s="159"/>
      <c r="J873" s="159"/>
      <c r="K873" s="159"/>
      <c r="L873" s="159"/>
      <c r="N873" s="159"/>
      <c r="O873" s="159"/>
      <c r="P873" s="159"/>
      <c r="Q873" s="159"/>
      <c r="R873" s="159"/>
      <c r="S873" s="159"/>
      <c r="T873" s="159"/>
      <c r="U873" s="159"/>
      <c r="V873" s="159"/>
      <c r="W873" s="159"/>
      <c r="X873" s="159"/>
      <c r="Y873" s="159"/>
      <c r="Z873" s="159"/>
      <c r="AA873" s="159"/>
      <c r="AB873" s="159"/>
    </row>
    <row r="874">
      <c r="A874" s="159"/>
      <c r="B874" s="159"/>
      <c r="C874" s="159"/>
      <c r="D874" s="159"/>
      <c r="E874" s="159"/>
      <c r="F874" s="159"/>
      <c r="G874" s="159"/>
      <c r="H874" s="159"/>
      <c r="I874" s="159"/>
      <c r="J874" s="159"/>
      <c r="K874" s="159"/>
      <c r="L874" s="159"/>
      <c r="N874" s="159"/>
      <c r="O874" s="159"/>
      <c r="P874" s="159"/>
      <c r="Q874" s="159"/>
      <c r="R874" s="159"/>
      <c r="S874" s="159"/>
      <c r="T874" s="159"/>
      <c r="U874" s="159"/>
      <c r="V874" s="159"/>
      <c r="W874" s="159"/>
      <c r="X874" s="159"/>
      <c r="Y874" s="159"/>
      <c r="Z874" s="159"/>
      <c r="AA874" s="159"/>
      <c r="AB874" s="159"/>
    </row>
    <row r="875">
      <c r="A875" s="159"/>
      <c r="B875" s="159"/>
      <c r="C875" s="159"/>
      <c r="D875" s="159"/>
      <c r="E875" s="159"/>
      <c r="F875" s="159"/>
      <c r="G875" s="159"/>
      <c r="H875" s="159"/>
      <c r="I875" s="159"/>
      <c r="J875" s="159"/>
      <c r="K875" s="159"/>
      <c r="L875" s="159"/>
      <c r="N875" s="159"/>
      <c r="O875" s="159"/>
      <c r="P875" s="159"/>
      <c r="Q875" s="159"/>
      <c r="R875" s="159"/>
      <c r="S875" s="159"/>
      <c r="T875" s="159"/>
      <c r="U875" s="159"/>
      <c r="V875" s="159"/>
      <c r="W875" s="159"/>
      <c r="X875" s="159"/>
      <c r="Y875" s="159"/>
      <c r="Z875" s="159"/>
      <c r="AA875" s="159"/>
      <c r="AB875" s="159"/>
    </row>
    <row r="876">
      <c r="A876" s="159"/>
      <c r="B876" s="159"/>
      <c r="C876" s="159"/>
      <c r="D876" s="159"/>
      <c r="E876" s="159"/>
      <c r="F876" s="159"/>
      <c r="G876" s="159"/>
      <c r="H876" s="159"/>
      <c r="I876" s="159"/>
      <c r="J876" s="159"/>
      <c r="K876" s="159"/>
      <c r="L876" s="159"/>
      <c r="N876" s="159"/>
      <c r="O876" s="159"/>
      <c r="P876" s="159"/>
      <c r="Q876" s="159"/>
      <c r="R876" s="159"/>
      <c r="S876" s="159"/>
      <c r="T876" s="159"/>
      <c r="U876" s="159"/>
      <c r="V876" s="159"/>
      <c r="W876" s="159"/>
      <c r="X876" s="159"/>
      <c r="Y876" s="159"/>
      <c r="Z876" s="159"/>
      <c r="AA876" s="159"/>
      <c r="AB876" s="159"/>
    </row>
    <row r="877">
      <c r="A877" s="159"/>
      <c r="B877" s="159"/>
      <c r="C877" s="159"/>
      <c r="D877" s="159"/>
      <c r="E877" s="159"/>
      <c r="F877" s="159"/>
      <c r="G877" s="159"/>
      <c r="H877" s="159"/>
      <c r="I877" s="159"/>
      <c r="J877" s="159"/>
      <c r="K877" s="159"/>
      <c r="L877" s="159"/>
      <c r="N877" s="159"/>
      <c r="O877" s="159"/>
      <c r="P877" s="159"/>
      <c r="Q877" s="159"/>
      <c r="R877" s="159"/>
      <c r="S877" s="159"/>
      <c r="T877" s="159"/>
      <c r="U877" s="159"/>
      <c r="V877" s="159"/>
      <c r="W877" s="159"/>
      <c r="X877" s="159"/>
      <c r="Y877" s="159"/>
      <c r="Z877" s="159"/>
      <c r="AA877" s="159"/>
      <c r="AB877" s="159"/>
    </row>
    <row r="878">
      <c r="A878" s="159"/>
      <c r="B878" s="159"/>
      <c r="C878" s="159"/>
      <c r="D878" s="159"/>
      <c r="E878" s="159"/>
      <c r="F878" s="159"/>
      <c r="G878" s="159"/>
      <c r="H878" s="159"/>
      <c r="I878" s="159"/>
      <c r="J878" s="159"/>
      <c r="K878" s="159"/>
      <c r="L878" s="159"/>
      <c r="N878" s="159"/>
      <c r="O878" s="159"/>
      <c r="P878" s="159"/>
      <c r="Q878" s="159"/>
      <c r="R878" s="159"/>
      <c r="S878" s="159"/>
      <c r="T878" s="159"/>
      <c r="U878" s="159"/>
      <c r="V878" s="159"/>
      <c r="W878" s="159"/>
      <c r="X878" s="159"/>
      <c r="Y878" s="159"/>
      <c r="Z878" s="159"/>
      <c r="AA878" s="159"/>
      <c r="AB878" s="159"/>
    </row>
    <row r="879">
      <c r="A879" s="159"/>
      <c r="B879" s="159"/>
      <c r="C879" s="159"/>
      <c r="D879" s="159"/>
      <c r="E879" s="159"/>
      <c r="F879" s="159"/>
      <c r="G879" s="159"/>
      <c r="H879" s="159"/>
      <c r="I879" s="159"/>
      <c r="J879" s="159"/>
      <c r="K879" s="159"/>
      <c r="L879" s="159"/>
      <c r="N879" s="159"/>
      <c r="O879" s="159"/>
      <c r="P879" s="159"/>
      <c r="Q879" s="159"/>
      <c r="R879" s="159"/>
      <c r="S879" s="159"/>
      <c r="T879" s="159"/>
      <c r="U879" s="159"/>
      <c r="V879" s="159"/>
      <c r="W879" s="159"/>
      <c r="X879" s="159"/>
      <c r="Y879" s="159"/>
      <c r="Z879" s="159"/>
      <c r="AA879" s="159"/>
      <c r="AB879" s="159"/>
    </row>
    <row r="880">
      <c r="A880" s="159"/>
      <c r="B880" s="159"/>
      <c r="C880" s="159"/>
      <c r="D880" s="159"/>
      <c r="E880" s="159"/>
      <c r="F880" s="159"/>
      <c r="G880" s="159"/>
      <c r="H880" s="159"/>
      <c r="I880" s="159"/>
      <c r="J880" s="159"/>
      <c r="K880" s="159"/>
      <c r="L880" s="159"/>
      <c r="N880" s="159"/>
      <c r="O880" s="159"/>
      <c r="P880" s="159"/>
      <c r="Q880" s="159"/>
      <c r="R880" s="159"/>
      <c r="S880" s="159"/>
      <c r="T880" s="159"/>
      <c r="U880" s="159"/>
      <c r="V880" s="159"/>
      <c r="W880" s="159"/>
      <c r="X880" s="159"/>
      <c r="Y880" s="159"/>
      <c r="Z880" s="159"/>
      <c r="AA880" s="159"/>
      <c r="AB880" s="159"/>
    </row>
    <row r="881">
      <c r="A881" s="159"/>
      <c r="B881" s="159"/>
      <c r="C881" s="159"/>
      <c r="D881" s="159"/>
      <c r="E881" s="159"/>
      <c r="F881" s="159"/>
      <c r="G881" s="159"/>
      <c r="H881" s="159"/>
      <c r="I881" s="159"/>
      <c r="J881" s="159"/>
      <c r="K881" s="159"/>
      <c r="L881" s="159"/>
      <c r="N881" s="159"/>
      <c r="O881" s="159"/>
      <c r="P881" s="159"/>
      <c r="Q881" s="159"/>
      <c r="R881" s="159"/>
      <c r="S881" s="159"/>
      <c r="T881" s="159"/>
      <c r="U881" s="159"/>
      <c r="V881" s="159"/>
      <c r="W881" s="159"/>
      <c r="X881" s="159"/>
      <c r="Y881" s="159"/>
      <c r="Z881" s="159"/>
      <c r="AA881" s="159"/>
      <c r="AB881" s="159"/>
    </row>
    <row r="882">
      <c r="A882" s="159"/>
      <c r="B882" s="159"/>
      <c r="C882" s="159"/>
      <c r="D882" s="159"/>
      <c r="E882" s="159"/>
      <c r="F882" s="159"/>
      <c r="G882" s="159"/>
      <c r="H882" s="159"/>
      <c r="I882" s="159"/>
      <c r="J882" s="159"/>
      <c r="K882" s="159"/>
      <c r="L882" s="159"/>
      <c r="N882" s="159"/>
      <c r="O882" s="159"/>
      <c r="P882" s="159"/>
      <c r="Q882" s="159"/>
      <c r="R882" s="159"/>
      <c r="S882" s="159"/>
      <c r="T882" s="159"/>
      <c r="U882" s="159"/>
      <c r="V882" s="159"/>
      <c r="W882" s="159"/>
      <c r="X882" s="159"/>
      <c r="Y882" s="159"/>
      <c r="Z882" s="159"/>
      <c r="AA882" s="159"/>
      <c r="AB882" s="159"/>
    </row>
    <row r="883">
      <c r="A883" s="159"/>
      <c r="B883" s="159"/>
      <c r="C883" s="159"/>
      <c r="D883" s="159"/>
      <c r="E883" s="159"/>
      <c r="F883" s="159"/>
      <c r="G883" s="159"/>
      <c r="H883" s="159"/>
      <c r="I883" s="159"/>
      <c r="J883" s="159"/>
      <c r="K883" s="159"/>
      <c r="L883" s="159"/>
      <c r="N883" s="159"/>
      <c r="O883" s="159"/>
      <c r="P883" s="159"/>
      <c r="Q883" s="159"/>
      <c r="R883" s="159"/>
      <c r="S883" s="159"/>
      <c r="T883" s="159"/>
      <c r="U883" s="159"/>
      <c r="V883" s="159"/>
      <c r="W883" s="159"/>
      <c r="X883" s="159"/>
      <c r="Y883" s="159"/>
      <c r="Z883" s="159"/>
      <c r="AA883" s="159"/>
      <c r="AB883" s="159"/>
    </row>
    <row r="884">
      <c r="A884" s="159"/>
      <c r="B884" s="159"/>
      <c r="C884" s="159"/>
      <c r="D884" s="159"/>
      <c r="E884" s="159"/>
      <c r="F884" s="159"/>
      <c r="G884" s="159"/>
      <c r="H884" s="159"/>
      <c r="I884" s="159"/>
      <c r="J884" s="159"/>
      <c r="K884" s="159"/>
      <c r="L884" s="159"/>
      <c r="N884" s="159"/>
      <c r="O884" s="159"/>
      <c r="P884" s="159"/>
      <c r="Q884" s="159"/>
      <c r="R884" s="159"/>
      <c r="S884" s="159"/>
      <c r="T884" s="159"/>
      <c r="U884" s="159"/>
      <c r="V884" s="159"/>
      <c r="W884" s="159"/>
      <c r="X884" s="159"/>
      <c r="Y884" s="159"/>
      <c r="Z884" s="159"/>
      <c r="AA884" s="159"/>
      <c r="AB884" s="159"/>
    </row>
    <row r="885">
      <c r="A885" s="159"/>
      <c r="B885" s="159"/>
      <c r="C885" s="159"/>
      <c r="D885" s="159"/>
      <c r="E885" s="159"/>
      <c r="F885" s="159"/>
      <c r="G885" s="159"/>
      <c r="H885" s="159"/>
      <c r="I885" s="159"/>
      <c r="J885" s="159"/>
      <c r="K885" s="159"/>
      <c r="L885" s="159"/>
      <c r="N885" s="159"/>
      <c r="O885" s="159"/>
      <c r="P885" s="159"/>
      <c r="Q885" s="159"/>
      <c r="R885" s="159"/>
      <c r="S885" s="159"/>
      <c r="T885" s="159"/>
      <c r="U885" s="159"/>
      <c r="V885" s="159"/>
      <c r="W885" s="159"/>
      <c r="X885" s="159"/>
      <c r="Y885" s="159"/>
      <c r="Z885" s="159"/>
      <c r="AA885" s="159"/>
      <c r="AB885" s="159"/>
    </row>
    <row r="886">
      <c r="A886" s="159"/>
      <c r="B886" s="159"/>
      <c r="C886" s="159"/>
      <c r="D886" s="159"/>
      <c r="E886" s="159"/>
      <c r="F886" s="159"/>
      <c r="G886" s="159"/>
      <c r="H886" s="159"/>
      <c r="I886" s="159"/>
      <c r="J886" s="159"/>
      <c r="K886" s="159"/>
      <c r="L886" s="159"/>
      <c r="N886" s="159"/>
      <c r="O886" s="159"/>
      <c r="P886" s="159"/>
      <c r="Q886" s="159"/>
      <c r="R886" s="159"/>
      <c r="S886" s="159"/>
      <c r="T886" s="159"/>
      <c r="U886" s="159"/>
      <c r="V886" s="159"/>
      <c r="W886" s="159"/>
      <c r="X886" s="159"/>
      <c r="Y886" s="159"/>
      <c r="Z886" s="159"/>
      <c r="AA886" s="159"/>
      <c r="AB886" s="159"/>
    </row>
    <row r="887">
      <c r="A887" s="159"/>
      <c r="B887" s="159"/>
      <c r="C887" s="159"/>
      <c r="D887" s="159"/>
      <c r="E887" s="159"/>
      <c r="F887" s="159"/>
      <c r="G887" s="159"/>
      <c r="H887" s="159"/>
      <c r="I887" s="159"/>
      <c r="J887" s="159"/>
      <c r="K887" s="159"/>
      <c r="L887" s="159"/>
      <c r="N887" s="159"/>
      <c r="O887" s="159"/>
      <c r="P887" s="159"/>
      <c r="Q887" s="159"/>
      <c r="R887" s="159"/>
      <c r="S887" s="159"/>
      <c r="T887" s="159"/>
      <c r="U887" s="159"/>
      <c r="V887" s="159"/>
      <c r="W887" s="159"/>
      <c r="X887" s="159"/>
      <c r="Y887" s="159"/>
      <c r="Z887" s="159"/>
      <c r="AA887" s="159"/>
      <c r="AB887" s="159"/>
    </row>
    <row r="888">
      <c r="A888" s="159"/>
      <c r="B888" s="159"/>
      <c r="C888" s="159"/>
      <c r="D888" s="159"/>
      <c r="E888" s="159"/>
      <c r="F888" s="159"/>
      <c r="G888" s="159"/>
      <c r="H888" s="159"/>
      <c r="I888" s="159"/>
      <c r="J888" s="159"/>
      <c r="K888" s="159"/>
      <c r="L888" s="159"/>
      <c r="N888" s="159"/>
      <c r="O888" s="159"/>
      <c r="P888" s="159"/>
      <c r="Q888" s="159"/>
      <c r="R888" s="159"/>
      <c r="S888" s="159"/>
      <c r="T888" s="159"/>
      <c r="U888" s="159"/>
      <c r="V888" s="159"/>
      <c r="W888" s="159"/>
      <c r="X888" s="159"/>
      <c r="Y888" s="159"/>
      <c r="Z888" s="159"/>
      <c r="AA888" s="159"/>
      <c r="AB888" s="159"/>
    </row>
    <row r="889">
      <c r="A889" s="159"/>
      <c r="B889" s="159"/>
      <c r="C889" s="159"/>
      <c r="D889" s="159"/>
      <c r="E889" s="159"/>
      <c r="F889" s="159"/>
      <c r="G889" s="159"/>
      <c r="H889" s="159"/>
      <c r="I889" s="159"/>
      <c r="J889" s="159"/>
      <c r="K889" s="159"/>
      <c r="L889" s="159"/>
      <c r="N889" s="159"/>
      <c r="O889" s="159"/>
      <c r="P889" s="159"/>
      <c r="Q889" s="159"/>
      <c r="R889" s="159"/>
      <c r="S889" s="159"/>
      <c r="T889" s="159"/>
      <c r="U889" s="159"/>
      <c r="V889" s="159"/>
      <c r="W889" s="159"/>
      <c r="X889" s="159"/>
      <c r="Y889" s="159"/>
      <c r="Z889" s="159"/>
      <c r="AA889" s="159"/>
      <c r="AB889" s="159"/>
    </row>
    <row r="890">
      <c r="A890" s="159"/>
      <c r="B890" s="159"/>
      <c r="C890" s="159"/>
      <c r="D890" s="159"/>
      <c r="E890" s="159"/>
      <c r="F890" s="159"/>
      <c r="G890" s="159"/>
      <c r="H890" s="159"/>
      <c r="I890" s="159"/>
      <c r="J890" s="159"/>
      <c r="K890" s="159"/>
      <c r="L890" s="159"/>
      <c r="N890" s="159"/>
      <c r="O890" s="159"/>
      <c r="P890" s="159"/>
      <c r="Q890" s="159"/>
      <c r="R890" s="159"/>
      <c r="S890" s="159"/>
      <c r="T890" s="159"/>
      <c r="U890" s="159"/>
      <c r="V890" s="159"/>
      <c r="W890" s="159"/>
      <c r="X890" s="159"/>
      <c r="Y890" s="159"/>
      <c r="Z890" s="159"/>
      <c r="AA890" s="159"/>
      <c r="AB890" s="159"/>
    </row>
    <row r="891">
      <c r="A891" s="159"/>
      <c r="B891" s="159"/>
      <c r="C891" s="159"/>
      <c r="D891" s="159"/>
      <c r="E891" s="159"/>
      <c r="F891" s="159"/>
      <c r="G891" s="159"/>
      <c r="H891" s="159"/>
      <c r="I891" s="159"/>
      <c r="J891" s="159"/>
      <c r="K891" s="159"/>
      <c r="L891" s="159"/>
      <c r="N891" s="159"/>
      <c r="O891" s="159"/>
      <c r="P891" s="159"/>
      <c r="Q891" s="159"/>
      <c r="R891" s="159"/>
      <c r="S891" s="159"/>
      <c r="T891" s="159"/>
      <c r="U891" s="159"/>
      <c r="V891" s="159"/>
      <c r="W891" s="159"/>
      <c r="X891" s="159"/>
      <c r="Y891" s="159"/>
      <c r="Z891" s="159"/>
      <c r="AA891" s="159"/>
      <c r="AB891" s="159"/>
    </row>
    <row r="892">
      <c r="A892" s="159"/>
      <c r="B892" s="159"/>
      <c r="C892" s="159"/>
      <c r="D892" s="159"/>
      <c r="E892" s="159"/>
      <c r="F892" s="159"/>
      <c r="G892" s="159"/>
      <c r="H892" s="159"/>
      <c r="I892" s="159"/>
      <c r="J892" s="159"/>
      <c r="K892" s="159"/>
      <c r="L892" s="159"/>
      <c r="N892" s="159"/>
      <c r="O892" s="159"/>
      <c r="P892" s="159"/>
      <c r="Q892" s="159"/>
      <c r="R892" s="159"/>
      <c r="S892" s="159"/>
      <c r="T892" s="159"/>
      <c r="U892" s="159"/>
      <c r="V892" s="159"/>
      <c r="W892" s="159"/>
      <c r="X892" s="159"/>
      <c r="Y892" s="159"/>
      <c r="Z892" s="159"/>
      <c r="AA892" s="159"/>
      <c r="AB892" s="159"/>
    </row>
    <row r="893">
      <c r="A893" s="159"/>
      <c r="B893" s="159"/>
      <c r="C893" s="159"/>
      <c r="D893" s="159"/>
      <c r="E893" s="159"/>
      <c r="F893" s="159"/>
      <c r="G893" s="159"/>
      <c r="H893" s="159"/>
      <c r="I893" s="159"/>
      <c r="J893" s="159"/>
      <c r="K893" s="159"/>
      <c r="L893" s="159"/>
      <c r="N893" s="159"/>
      <c r="O893" s="159"/>
      <c r="P893" s="159"/>
      <c r="Q893" s="159"/>
      <c r="R893" s="159"/>
      <c r="S893" s="159"/>
      <c r="T893" s="159"/>
      <c r="U893" s="159"/>
      <c r="V893" s="159"/>
      <c r="W893" s="159"/>
      <c r="X893" s="159"/>
      <c r="Y893" s="159"/>
      <c r="Z893" s="159"/>
      <c r="AA893" s="159"/>
      <c r="AB893" s="159"/>
    </row>
    <row r="894">
      <c r="A894" s="159"/>
      <c r="B894" s="159"/>
      <c r="C894" s="159"/>
      <c r="D894" s="159"/>
      <c r="E894" s="159"/>
      <c r="F894" s="159"/>
      <c r="G894" s="159"/>
      <c r="H894" s="159"/>
      <c r="I894" s="159"/>
      <c r="J894" s="159"/>
      <c r="K894" s="159"/>
      <c r="L894" s="159"/>
      <c r="N894" s="159"/>
      <c r="O894" s="159"/>
      <c r="P894" s="159"/>
      <c r="Q894" s="159"/>
      <c r="R894" s="159"/>
      <c r="S894" s="159"/>
      <c r="T894" s="159"/>
      <c r="U894" s="159"/>
      <c r="V894" s="159"/>
      <c r="W894" s="159"/>
      <c r="X894" s="159"/>
      <c r="Y894" s="159"/>
      <c r="Z894" s="159"/>
      <c r="AA894" s="159"/>
      <c r="AB894" s="159"/>
    </row>
    <row r="895">
      <c r="A895" s="159"/>
      <c r="B895" s="159"/>
      <c r="C895" s="159"/>
      <c r="D895" s="159"/>
      <c r="E895" s="159"/>
      <c r="F895" s="159"/>
      <c r="G895" s="159"/>
      <c r="H895" s="159"/>
      <c r="I895" s="159"/>
      <c r="J895" s="159"/>
      <c r="K895" s="159"/>
      <c r="L895" s="159"/>
      <c r="N895" s="159"/>
      <c r="O895" s="159"/>
      <c r="P895" s="159"/>
      <c r="Q895" s="159"/>
      <c r="R895" s="159"/>
      <c r="S895" s="159"/>
      <c r="T895" s="159"/>
      <c r="U895" s="159"/>
      <c r="V895" s="159"/>
      <c r="W895" s="159"/>
      <c r="X895" s="159"/>
      <c r="Y895" s="159"/>
      <c r="Z895" s="159"/>
      <c r="AA895" s="159"/>
      <c r="AB895" s="159"/>
    </row>
    <row r="896">
      <c r="A896" s="159"/>
      <c r="B896" s="159"/>
      <c r="C896" s="159"/>
      <c r="D896" s="159"/>
      <c r="E896" s="159"/>
      <c r="F896" s="159"/>
      <c r="G896" s="159"/>
      <c r="H896" s="159"/>
      <c r="I896" s="159"/>
      <c r="J896" s="159"/>
      <c r="K896" s="159"/>
      <c r="L896" s="159"/>
      <c r="N896" s="159"/>
      <c r="O896" s="159"/>
      <c r="P896" s="159"/>
      <c r="Q896" s="159"/>
      <c r="R896" s="159"/>
      <c r="S896" s="159"/>
      <c r="T896" s="159"/>
      <c r="U896" s="159"/>
      <c r="V896" s="159"/>
      <c r="W896" s="159"/>
      <c r="X896" s="159"/>
      <c r="Y896" s="159"/>
      <c r="Z896" s="159"/>
      <c r="AA896" s="159"/>
      <c r="AB896" s="159"/>
    </row>
    <row r="897">
      <c r="A897" s="159"/>
      <c r="B897" s="159"/>
      <c r="C897" s="159"/>
      <c r="D897" s="159"/>
      <c r="E897" s="159"/>
      <c r="F897" s="159"/>
      <c r="G897" s="159"/>
      <c r="H897" s="159"/>
      <c r="I897" s="159"/>
      <c r="J897" s="159"/>
      <c r="K897" s="159"/>
      <c r="L897" s="159"/>
      <c r="N897" s="159"/>
      <c r="O897" s="159"/>
      <c r="P897" s="159"/>
      <c r="Q897" s="159"/>
      <c r="R897" s="159"/>
      <c r="S897" s="159"/>
      <c r="T897" s="159"/>
      <c r="U897" s="159"/>
      <c r="V897" s="159"/>
      <c r="W897" s="159"/>
      <c r="X897" s="159"/>
      <c r="Y897" s="159"/>
      <c r="Z897" s="159"/>
      <c r="AA897" s="159"/>
      <c r="AB897" s="159"/>
    </row>
    <row r="898">
      <c r="A898" s="159"/>
      <c r="B898" s="159"/>
      <c r="C898" s="159"/>
      <c r="D898" s="159"/>
      <c r="E898" s="159"/>
      <c r="F898" s="159"/>
      <c r="G898" s="159"/>
      <c r="H898" s="159"/>
      <c r="I898" s="159"/>
      <c r="J898" s="159"/>
      <c r="K898" s="159"/>
      <c r="L898" s="159"/>
      <c r="N898" s="159"/>
      <c r="O898" s="159"/>
      <c r="P898" s="159"/>
      <c r="Q898" s="159"/>
      <c r="R898" s="159"/>
      <c r="S898" s="159"/>
      <c r="T898" s="159"/>
      <c r="U898" s="159"/>
      <c r="V898" s="159"/>
      <c r="W898" s="159"/>
      <c r="X898" s="159"/>
      <c r="Y898" s="159"/>
      <c r="Z898" s="159"/>
      <c r="AA898" s="159"/>
      <c r="AB898" s="159"/>
    </row>
    <row r="899">
      <c r="A899" s="159"/>
      <c r="B899" s="159"/>
      <c r="C899" s="159"/>
      <c r="D899" s="159"/>
      <c r="E899" s="159"/>
      <c r="F899" s="159"/>
      <c r="G899" s="159"/>
      <c r="H899" s="159"/>
      <c r="I899" s="159"/>
      <c r="J899" s="159"/>
      <c r="K899" s="159"/>
      <c r="L899" s="159"/>
      <c r="N899" s="159"/>
      <c r="O899" s="159"/>
      <c r="P899" s="159"/>
      <c r="Q899" s="159"/>
      <c r="R899" s="159"/>
      <c r="S899" s="159"/>
      <c r="T899" s="159"/>
      <c r="U899" s="159"/>
      <c r="V899" s="159"/>
      <c r="W899" s="159"/>
      <c r="X899" s="159"/>
      <c r="Y899" s="159"/>
      <c r="Z899" s="159"/>
      <c r="AA899" s="159"/>
      <c r="AB899" s="159"/>
    </row>
    <row r="900">
      <c r="A900" s="159"/>
      <c r="B900" s="159"/>
      <c r="C900" s="159"/>
      <c r="D900" s="159"/>
      <c r="E900" s="159"/>
      <c r="F900" s="159"/>
      <c r="G900" s="159"/>
      <c r="H900" s="159"/>
      <c r="I900" s="159"/>
      <c r="J900" s="159"/>
      <c r="K900" s="159"/>
      <c r="L900" s="159"/>
      <c r="N900" s="159"/>
      <c r="O900" s="159"/>
      <c r="P900" s="159"/>
      <c r="Q900" s="159"/>
      <c r="R900" s="159"/>
      <c r="S900" s="159"/>
      <c r="T900" s="159"/>
      <c r="U900" s="159"/>
      <c r="V900" s="159"/>
      <c r="W900" s="159"/>
      <c r="X900" s="159"/>
      <c r="Y900" s="159"/>
      <c r="Z900" s="159"/>
      <c r="AA900" s="159"/>
      <c r="AB900" s="159"/>
    </row>
    <row r="901">
      <c r="A901" s="159"/>
      <c r="B901" s="159"/>
      <c r="C901" s="159"/>
      <c r="D901" s="159"/>
      <c r="E901" s="159"/>
      <c r="F901" s="159"/>
      <c r="G901" s="159"/>
      <c r="H901" s="159"/>
      <c r="I901" s="159"/>
      <c r="J901" s="159"/>
      <c r="K901" s="159"/>
      <c r="L901" s="159"/>
      <c r="N901" s="159"/>
      <c r="O901" s="159"/>
      <c r="P901" s="159"/>
      <c r="Q901" s="159"/>
      <c r="R901" s="159"/>
      <c r="S901" s="159"/>
      <c r="T901" s="159"/>
      <c r="U901" s="159"/>
      <c r="V901" s="159"/>
      <c r="W901" s="159"/>
      <c r="X901" s="159"/>
      <c r="Y901" s="159"/>
      <c r="Z901" s="159"/>
      <c r="AA901" s="159"/>
      <c r="AB901" s="159"/>
    </row>
    <row r="902">
      <c r="A902" s="159"/>
      <c r="B902" s="159"/>
      <c r="C902" s="159"/>
      <c r="D902" s="159"/>
      <c r="E902" s="159"/>
      <c r="F902" s="159"/>
      <c r="G902" s="159"/>
      <c r="H902" s="159"/>
      <c r="I902" s="159"/>
      <c r="J902" s="159"/>
      <c r="K902" s="159"/>
      <c r="L902" s="159"/>
      <c r="N902" s="159"/>
      <c r="O902" s="159"/>
      <c r="P902" s="159"/>
      <c r="Q902" s="159"/>
      <c r="R902" s="159"/>
      <c r="S902" s="159"/>
      <c r="T902" s="159"/>
      <c r="U902" s="159"/>
      <c r="V902" s="159"/>
      <c r="W902" s="159"/>
      <c r="X902" s="159"/>
      <c r="Y902" s="159"/>
      <c r="Z902" s="159"/>
      <c r="AA902" s="159"/>
      <c r="AB902" s="159"/>
    </row>
    <row r="903">
      <c r="A903" s="159"/>
      <c r="B903" s="159"/>
      <c r="C903" s="159"/>
      <c r="D903" s="159"/>
      <c r="E903" s="159"/>
      <c r="F903" s="159"/>
      <c r="G903" s="159"/>
      <c r="H903" s="159"/>
      <c r="I903" s="159"/>
      <c r="J903" s="159"/>
      <c r="K903" s="159"/>
      <c r="L903" s="159"/>
      <c r="N903" s="159"/>
      <c r="O903" s="159"/>
      <c r="P903" s="159"/>
      <c r="Q903" s="159"/>
      <c r="R903" s="159"/>
      <c r="S903" s="159"/>
      <c r="T903" s="159"/>
      <c r="U903" s="159"/>
      <c r="V903" s="159"/>
      <c r="W903" s="159"/>
      <c r="X903" s="159"/>
      <c r="Y903" s="159"/>
      <c r="Z903" s="159"/>
      <c r="AA903" s="159"/>
      <c r="AB903" s="159"/>
    </row>
    <row r="904">
      <c r="A904" s="159"/>
      <c r="B904" s="159"/>
      <c r="C904" s="159"/>
      <c r="D904" s="159"/>
      <c r="E904" s="159"/>
      <c r="F904" s="159"/>
      <c r="G904" s="159"/>
      <c r="H904" s="159"/>
      <c r="I904" s="159"/>
      <c r="J904" s="159"/>
      <c r="K904" s="159"/>
      <c r="L904" s="159"/>
      <c r="N904" s="159"/>
      <c r="O904" s="159"/>
      <c r="P904" s="159"/>
      <c r="Q904" s="159"/>
      <c r="R904" s="159"/>
      <c r="S904" s="159"/>
      <c r="T904" s="159"/>
      <c r="U904" s="159"/>
      <c r="V904" s="159"/>
      <c r="W904" s="159"/>
      <c r="X904" s="159"/>
      <c r="Y904" s="159"/>
      <c r="Z904" s="159"/>
      <c r="AA904" s="159"/>
      <c r="AB904" s="159"/>
    </row>
    <row r="905">
      <c r="A905" s="159"/>
      <c r="B905" s="159"/>
      <c r="C905" s="159"/>
      <c r="D905" s="159"/>
      <c r="E905" s="159"/>
      <c r="F905" s="159"/>
      <c r="G905" s="159"/>
      <c r="H905" s="159"/>
      <c r="I905" s="159"/>
      <c r="J905" s="159"/>
      <c r="K905" s="159"/>
      <c r="L905" s="159"/>
      <c r="N905" s="159"/>
      <c r="O905" s="159"/>
      <c r="P905" s="159"/>
      <c r="Q905" s="159"/>
      <c r="R905" s="159"/>
      <c r="S905" s="159"/>
      <c r="T905" s="159"/>
      <c r="U905" s="159"/>
      <c r="V905" s="159"/>
      <c r="W905" s="159"/>
      <c r="X905" s="159"/>
      <c r="Y905" s="159"/>
      <c r="Z905" s="159"/>
      <c r="AA905" s="159"/>
      <c r="AB905" s="159"/>
    </row>
    <row r="906">
      <c r="A906" s="159"/>
      <c r="B906" s="159"/>
      <c r="C906" s="159"/>
      <c r="D906" s="159"/>
      <c r="E906" s="159"/>
      <c r="F906" s="159"/>
      <c r="G906" s="159"/>
      <c r="H906" s="159"/>
      <c r="I906" s="159"/>
      <c r="J906" s="159"/>
      <c r="K906" s="159"/>
      <c r="L906" s="159"/>
      <c r="N906" s="159"/>
      <c r="O906" s="159"/>
      <c r="P906" s="159"/>
      <c r="Q906" s="159"/>
      <c r="R906" s="159"/>
      <c r="S906" s="159"/>
      <c r="T906" s="159"/>
      <c r="U906" s="159"/>
      <c r="V906" s="159"/>
      <c r="W906" s="159"/>
      <c r="X906" s="159"/>
      <c r="Y906" s="159"/>
      <c r="Z906" s="159"/>
      <c r="AA906" s="159"/>
      <c r="AB906" s="159"/>
    </row>
    <row r="907">
      <c r="A907" s="159"/>
      <c r="B907" s="159"/>
      <c r="C907" s="159"/>
      <c r="D907" s="159"/>
      <c r="E907" s="159"/>
      <c r="F907" s="159"/>
      <c r="G907" s="159"/>
      <c r="H907" s="159"/>
      <c r="I907" s="159"/>
      <c r="J907" s="159"/>
      <c r="K907" s="159"/>
      <c r="L907" s="159"/>
      <c r="N907" s="159"/>
      <c r="O907" s="159"/>
      <c r="P907" s="159"/>
      <c r="Q907" s="159"/>
      <c r="R907" s="159"/>
      <c r="S907" s="159"/>
      <c r="T907" s="159"/>
      <c r="U907" s="159"/>
      <c r="V907" s="159"/>
      <c r="W907" s="159"/>
      <c r="X907" s="159"/>
      <c r="Y907" s="159"/>
      <c r="Z907" s="159"/>
      <c r="AA907" s="159"/>
      <c r="AB907" s="159"/>
    </row>
    <row r="908">
      <c r="A908" s="159"/>
      <c r="B908" s="159"/>
      <c r="C908" s="159"/>
      <c r="D908" s="159"/>
      <c r="E908" s="159"/>
      <c r="F908" s="159"/>
      <c r="G908" s="159"/>
      <c r="H908" s="159"/>
      <c r="I908" s="159"/>
      <c r="J908" s="159"/>
      <c r="K908" s="159"/>
      <c r="L908" s="159"/>
      <c r="N908" s="159"/>
      <c r="O908" s="159"/>
      <c r="P908" s="159"/>
      <c r="Q908" s="159"/>
      <c r="R908" s="159"/>
      <c r="S908" s="159"/>
      <c r="T908" s="159"/>
      <c r="U908" s="159"/>
      <c r="V908" s="159"/>
      <c r="W908" s="159"/>
      <c r="X908" s="159"/>
      <c r="Y908" s="159"/>
      <c r="Z908" s="159"/>
      <c r="AA908" s="159"/>
      <c r="AB908" s="159"/>
    </row>
    <row r="909">
      <c r="A909" s="159"/>
      <c r="B909" s="159"/>
      <c r="C909" s="159"/>
      <c r="D909" s="159"/>
      <c r="E909" s="159"/>
      <c r="F909" s="159"/>
      <c r="G909" s="159"/>
      <c r="H909" s="159"/>
      <c r="I909" s="159"/>
      <c r="J909" s="159"/>
      <c r="K909" s="159"/>
      <c r="L909" s="159"/>
      <c r="N909" s="159"/>
      <c r="O909" s="159"/>
      <c r="P909" s="159"/>
      <c r="Q909" s="159"/>
      <c r="R909" s="159"/>
      <c r="S909" s="159"/>
      <c r="T909" s="159"/>
      <c r="U909" s="159"/>
      <c r="V909" s="159"/>
      <c r="W909" s="159"/>
      <c r="X909" s="159"/>
      <c r="Y909" s="159"/>
      <c r="Z909" s="159"/>
      <c r="AA909" s="159"/>
      <c r="AB909" s="159"/>
    </row>
    <row r="910">
      <c r="A910" s="159"/>
      <c r="B910" s="159"/>
      <c r="C910" s="159"/>
      <c r="D910" s="159"/>
      <c r="E910" s="159"/>
      <c r="F910" s="159"/>
      <c r="G910" s="159"/>
      <c r="H910" s="159"/>
      <c r="I910" s="159"/>
      <c r="J910" s="159"/>
      <c r="K910" s="159"/>
      <c r="L910" s="159"/>
      <c r="N910" s="159"/>
      <c r="O910" s="159"/>
      <c r="P910" s="159"/>
      <c r="Q910" s="159"/>
      <c r="R910" s="159"/>
      <c r="S910" s="159"/>
      <c r="T910" s="159"/>
      <c r="U910" s="159"/>
      <c r="V910" s="159"/>
      <c r="W910" s="159"/>
      <c r="X910" s="159"/>
      <c r="Y910" s="159"/>
      <c r="Z910" s="159"/>
      <c r="AA910" s="159"/>
      <c r="AB910" s="159"/>
    </row>
    <row r="911">
      <c r="A911" s="159"/>
      <c r="B911" s="159"/>
      <c r="C911" s="159"/>
      <c r="D911" s="159"/>
      <c r="E911" s="159"/>
      <c r="F911" s="159"/>
      <c r="G911" s="159"/>
      <c r="H911" s="159"/>
      <c r="I911" s="159"/>
      <c r="J911" s="159"/>
      <c r="K911" s="159"/>
      <c r="L911" s="159"/>
      <c r="N911" s="159"/>
      <c r="O911" s="159"/>
      <c r="P911" s="159"/>
      <c r="Q911" s="159"/>
      <c r="R911" s="159"/>
      <c r="S911" s="159"/>
      <c r="T911" s="159"/>
      <c r="U911" s="159"/>
      <c r="V911" s="159"/>
      <c r="W911" s="159"/>
      <c r="X911" s="159"/>
      <c r="Y911" s="159"/>
      <c r="Z911" s="159"/>
      <c r="AA911" s="159"/>
      <c r="AB911" s="159"/>
    </row>
    <row r="912">
      <c r="A912" s="159"/>
      <c r="B912" s="159"/>
      <c r="C912" s="159"/>
      <c r="D912" s="159"/>
      <c r="E912" s="159"/>
      <c r="F912" s="159"/>
      <c r="G912" s="159"/>
      <c r="H912" s="159"/>
      <c r="I912" s="159"/>
      <c r="J912" s="159"/>
      <c r="K912" s="159"/>
      <c r="L912" s="159"/>
      <c r="N912" s="159"/>
      <c r="O912" s="159"/>
      <c r="P912" s="159"/>
      <c r="Q912" s="159"/>
      <c r="R912" s="159"/>
      <c r="S912" s="159"/>
      <c r="T912" s="159"/>
      <c r="U912" s="159"/>
      <c r="V912" s="159"/>
      <c r="W912" s="159"/>
      <c r="X912" s="159"/>
      <c r="Y912" s="159"/>
      <c r="Z912" s="159"/>
      <c r="AA912" s="159"/>
      <c r="AB912" s="159"/>
    </row>
    <row r="913">
      <c r="A913" s="159"/>
      <c r="B913" s="159"/>
      <c r="C913" s="159"/>
      <c r="D913" s="159"/>
      <c r="E913" s="159"/>
      <c r="F913" s="159"/>
      <c r="G913" s="159"/>
      <c r="H913" s="159"/>
      <c r="I913" s="159"/>
      <c r="J913" s="159"/>
      <c r="K913" s="159"/>
      <c r="L913" s="159"/>
      <c r="N913" s="159"/>
      <c r="O913" s="159"/>
      <c r="P913" s="159"/>
      <c r="Q913" s="159"/>
      <c r="R913" s="159"/>
      <c r="S913" s="159"/>
      <c r="T913" s="159"/>
      <c r="U913" s="159"/>
      <c r="V913" s="159"/>
      <c r="W913" s="159"/>
      <c r="X913" s="159"/>
      <c r="Y913" s="159"/>
      <c r="Z913" s="159"/>
      <c r="AA913" s="159"/>
      <c r="AB913" s="159"/>
    </row>
    <row r="914">
      <c r="A914" s="159"/>
      <c r="B914" s="159"/>
      <c r="C914" s="159"/>
      <c r="D914" s="159"/>
      <c r="E914" s="159"/>
      <c r="F914" s="159"/>
      <c r="G914" s="159"/>
      <c r="H914" s="159"/>
      <c r="I914" s="159"/>
      <c r="J914" s="159"/>
      <c r="K914" s="159"/>
      <c r="L914" s="159"/>
      <c r="N914" s="159"/>
      <c r="O914" s="159"/>
      <c r="P914" s="159"/>
      <c r="Q914" s="159"/>
      <c r="R914" s="159"/>
      <c r="S914" s="159"/>
      <c r="T914" s="159"/>
      <c r="U914" s="159"/>
      <c r="V914" s="159"/>
      <c r="W914" s="159"/>
      <c r="X914" s="159"/>
      <c r="Y914" s="159"/>
      <c r="Z914" s="159"/>
      <c r="AA914" s="159"/>
      <c r="AB914" s="159"/>
    </row>
    <row r="915">
      <c r="A915" s="159"/>
      <c r="B915" s="159"/>
      <c r="C915" s="159"/>
      <c r="D915" s="159"/>
      <c r="E915" s="159"/>
      <c r="F915" s="159"/>
      <c r="G915" s="159"/>
      <c r="H915" s="159"/>
      <c r="I915" s="159"/>
      <c r="J915" s="159"/>
      <c r="K915" s="159"/>
      <c r="L915" s="159"/>
      <c r="N915" s="159"/>
      <c r="O915" s="159"/>
      <c r="P915" s="159"/>
      <c r="Q915" s="159"/>
      <c r="R915" s="159"/>
      <c r="S915" s="159"/>
      <c r="T915" s="159"/>
      <c r="U915" s="159"/>
      <c r="V915" s="159"/>
      <c r="W915" s="159"/>
      <c r="X915" s="159"/>
      <c r="Y915" s="159"/>
      <c r="Z915" s="159"/>
      <c r="AA915" s="159"/>
      <c r="AB915" s="159"/>
    </row>
    <row r="916">
      <c r="A916" s="159"/>
      <c r="B916" s="159"/>
      <c r="C916" s="159"/>
      <c r="D916" s="159"/>
      <c r="E916" s="159"/>
      <c r="F916" s="159"/>
      <c r="G916" s="159"/>
      <c r="H916" s="159"/>
      <c r="I916" s="159"/>
      <c r="J916" s="159"/>
      <c r="K916" s="159"/>
      <c r="L916" s="159"/>
      <c r="N916" s="159"/>
      <c r="O916" s="159"/>
      <c r="P916" s="159"/>
      <c r="Q916" s="159"/>
      <c r="R916" s="159"/>
      <c r="S916" s="159"/>
      <c r="T916" s="159"/>
      <c r="U916" s="159"/>
      <c r="V916" s="159"/>
      <c r="W916" s="159"/>
      <c r="X916" s="159"/>
      <c r="Y916" s="159"/>
      <c r="Z916" s="159"/>
      <c r="AA916" s="159"/>
      <c r="AB916" s="159"/>
    </row>
    <row r="917">
      <c r="A917" s="159"/>
      <c r="B917" s="159"/>
      <c r="C917" s="159"/>
      <c r="D917" s="159"/>
      <c r="E917" s="159"/>
      <c r="F917" s="159"/>
      <c r="G917" s="159"/>
      <c r="H917" s="159"/>
      <c r="I917" s="159"/>
      <c r="J917" s="159"/>
      <c r="K917" s="159"/>
      <c r="L917" s="159"/>
      <c r="N917" s="159"/>
      <c r="O917" s="159"/>
      <c r="P917" s="159"/>
      <c r="Q917" s="159"/>
      <c r="R917" s="159"/>
      <c r="S917" s="159"/>
      <c r="T917" s="159"/>
      <c r="U917" s="159"/>
      <c r="V917" s="159"/>
      <c r="W917" s="159"/>
      <c r="X917" s="159"/>
      <c r="Y917" s="159"/>
      <c r="Z917" s="159"/>
      <c r="AA917" s="159"/>
      <c r="AB917" s="159"/>
    </row>
    <row r="918">
      <c r="A918" s="159"/>
      <c r="B918" s="159"/>
      <c r="C918" s="159"/>
      <c r="D918" s="159"/>
      <c r="E918" s="159"/>
      <c r="F918" s="159"/>
      <c r="G918" s="159"/>
      <c r="H918" s="159"/>
      <c r="I918" s="159"/>
      <c r="J918" s="159"/>
      <c r="K918" s="159"/>
      <c r="L918" s="159"/>
      <c r="N918" s="159"/>
      <c r="O918" s="159"/>
      <c r="P918" s="159"/>
      <c r="Q918" s="159"/>
      <c r="R918" s="159"/>
      <c r="S918" s="159"/>
      <c r="T918" s="159"/>
      <c r="U918" s="159"/>
      <c r="V918" s="159"/>
      <c r="W918" s="159"/>
      <c r="X918" s="159"/>
      <c r="Y918" s="159"/>
      <c r="Z918" s="159"/>
      <c r="AA918" s="159"/>
      <c r="AB918" s="159"/>
    </row>
    <row r="919">
      <c r="A919" s="159"/>
      <c r="B919" s="159"/>
      <c r="C919" s="159"/>
      <c r="D919" s="159"/>
      <c r="E919" s="159"/>
      <c r="F919" s="159"/>
      <c r="G919" s="159"/>
      <c r="H919" s="159"/>
      <c r="I919" s="159"/>
      <c r="J919" s="159"/>
      <c r="K919" s="159"/>
      <c r="L919" s="159"/>
      <c r="N919" s="159"/>
      <c r="O919" s="159"/>
      <c r="P919" s="159"/>
      <c r="Q919" s="159"/>
      <c r="R919" s="159"/>
      <c r="S919" s="159"/>
      <c r="T919" s="159"/>
      <c r="U919" s="159"/>
      <c r="V919" s="159"/>
      <c r="W919" s="159"/>
      <c r="X919" s="159"/>
      <c r="Y919" s="159"/>
      <c r="Z919" s="159"/>
      <c r="AA919" s="159"/>
      <c r="AB919" s="159"/>
    </row>
    <row r="920">
      <c r="A920" s="159"/>
      <c r="B920" s="159"/>
      <c r="C920" s="159"/>
      <c r="D920" s="159"/>
      <c r="E920" s="159"/>
      <c r="F920" s="159"/>
      <c r="G920" s="159"/>
      <c r="H920" s="159"/>
      <c r="I920" s="159"/>
      <c r="J920" s="159"/>
      <c r="K920" s="159"/>
      <c r="L920" s="159"/>
      <c r="N920" s="159"/>
      <c r="O920" s="159"/>
      <c r="P920" s="159"/>
      <c r="Q920" s="159"/>
      <c r="R920" s="159"/>
      <c r="S920" s="159"/>
      <c r="T920" s="159"/>
      <c r="U920" s="159"/>
      <c r="V920" s="159"/>
      <c r="W920" s="159"/>
      <c r="X920" s="159"/>
      <c r="Y920" s="159"/>
      <c r="Z920" s="159"/>
      <c r="AA920" s="159"/>
      <c r="AB920" s="159"/>
    </row>
    <row r="921">
      <c r="A921" s="159"/>
      <c r="B921" s="159"/>
      <c r="C921" s="159"/>
      <c r="D921" s="159"/>
      <c r="E921" s="159"/>
      <c r="F921" s="159"/>
      <c r="G921" s="159"/>
      <c r="H921" s="159"/>
      <c r="I921" s="159"/>
      <c r="J921" s="159"/>
      <c r="K921" s="159"/>
      <c r="L921" s="159"/>
      <c r="N921" s="159"/>
      <c r="O921" s="159"/>
      <c r="P921" s="159"/>
      <c r="Q921" s="159"/>
      <c r="R921" s="159"/>
      <c r="S921" s="159"/>
      <c r="T921" s="159"/>
      <c r="U921" s="159"/>
      <c r="V921" s="159"/>
      <c r="W921" s="159"/>
      <c r="X921" s="159"/>
      <c r="Y921" s="159"/>
      <c r="Z921" s="159"/>
      <c r="AA921" s="159"/>
      <c r="AB921" s="159"/>
    </row>
    <row r="922">
      <c r="A922" s="159"/>
      <c r="B922" s="159"/>
      <c r="C922" s="159"/>
      <c r="D922" s="159"/>
      <c r="E922" s="159"/>
      <c r="F922" s="159"/>
      <c r="G922" s="159"/>
      <c r="H922" s="159"/>
      <c r="I922" s="159"/>
      <c r="J922" s="159"/>
      <c r="K922" s="159"/>
      <c r="L922" s="159"/>
      <c r="N922" s="159"/>
      <c r="O922" s="159"/>
      <c r="P922" s="159"/>
      <c r="Q922" s="159"/>
      <c r="R922" s="159"/>
      <c r="S922" s="159"/>
      <c r="T922" s="159"/>
      <c r="U922" s="159"/>
      <c r="V922" s="159"/>
      <c r="W922" s="159"/>
      <c r="X922" s="159"/>
      <c r="Y922" s="159"/>
      <c r="Z922" s="159"/>
      <c r="AA922" s="159"/>
      <c r="AB922" s="159"/>
    </row>
    <row r="923">
      <c r="A923" s="159"/>
      <c r="B923" s="159"/>
      <c r="C923" s="159"/>
      <c r="D923" s="159"/>
      <c r="E923" s="159"/>
      <c r="F923" s="159"/>
      <c r="G923" s="159"/>
      <c r="H923" s="159"/>
      <c r="I923" s="159"/>
      <c r="J923" s="159"/>
      <c r="K923" s="159"/>
      <c r="L923" s="159"/>
      <c r="N923" s="159"/>
      <c r="O923" s="159"/>
      <c r="P923" s="159"/>
      <c r="Q923" s="159"/>
      <c r="R923" s="159"/>
      <c r="S923" s="159"/>
      <c r="T923" s="159"/>
      <c r="U923" s="159"/>
      <c r="V923" s="159"/>
      <c r="W923" s="159"/>
      <c r="X923" s="159"/>
      <c r="Y923" s="159"/>
      <c r="Z923" s="159"/>
      <c r="AA923" s="159"/>
      <c r="AB923" s="159"/>
    </row>
    <row r="924">
      <c r="A924" s="159"/>
      <c r="B924" s="159"/>
      <c r="C924" s="159"/>
      <c r="D924" s="159"/>
      <c r="E924" s="159"/>
      <c r="F924" s="159"/>
      <c r="G924" s="159"/>
      <c r="H924" s="159"/>
      <c r="I924" s="159"/>
      <c r="J924" s="159"/>
      <c r="K924" s="159"/>
      <c r="L924" s="159"/>
      <c r="N924" s="159"/>
      <c r="O924" s="159"/>
      <c r="P924" s="159"/>
      <c r="Q924" s="159"/>
      <c r="R924" s="159"/>
      <c r="S924" s="159"/>
      <c r="T924" s="159"/>
      <c r="U924" s="159"/>
      <c r="V924" s="159"/>
      <c r="W924" s="159"/>
      <c r="X924" s="159"/>
      <c r="Y924" s="159"/>
      <c r="Z924" s="159"/>
      <c r="AA924" s="159"/>
      <c r="AB924" s="159"/>
    </row>
    <row r="925">
      <c r="A925" s="159"/>
      <c r="B925" s="159"/>
      <c r="C925" s="159"/>
      <c r="D925" s="159"/>
      <c r="E925" s="159"/>
      <c r="F925" s="159"/>
      <c r="G925" s="159"/>
      <c r="H925" s="159"/>
      <c r="I925" s="159"/>
      <c r="J925" s="159"/>
      <c r="K925" s="159"/>
      <c r="L925" s="159"/>
      <c r="N925" s="159"/>
      <c r="O925" s="159"/>
      <c r="P925" s="159"/>
      <c r="Q925" s="159"/>
      <c r="R925" s="159"/>
      <c r="S925" s="159"/>
      <c r="T925" s="159"/>
      <c r="U925" s="159"/>
      <c r="V925" s="159"/>
      <c r="W925" s="159"/>
      <c r="X925" s="159"/>
      <c r="Y925" s="159"/>
      <c r="Z925" s="159"/>
      <c r="AA925" s="159"/>
      <c r="AB925" s="159"/>
    </row>
    <row r="926">
      <c r="A926" s="159"/>
      <c r="B926" s="159"/>
      <c r="C926" s="159"/>
      <c r="D926" s="159"/>
      <c r="E926" s="159"/>
      <c r="F926" s="159"/>
      <c r="G926" s="159"/>
      <c r="H926" s="159"/>
      <c r="I926" s="159"/>
      <c r="J926" s="159"/>
      <c r="K926" s="159"/>
      <c r="L926" s="159"/>
      <c r="N926" s="159"/>
      <c r="O926" s="159"/>
      <c r="P926" s="159"/>
      <c r="Q926" s="159"/>
      <c r="R926" s="159"/>
      <c r="S926" s="159"/>
      <c r="T926" s="159"/>
      <c r="U926" s="159"/>
      <c r="V926" s="159"/>
      <c r="W926" s="159"/>
      <c r="X926" s="159"/>
      <c r="Y926" s="159"/>
      <c r="Z926" s="159"/>
      <c r="AA926" s="159"/>
      <c r="AB926" s="159"/>
    </row>
    <row r="927">
      <c r="A927" s="159"/>
      <c r="B927" s="159"/>
      <c r="C927" s="159"/>
      <c r="D927" s="159"/>
      <c r="E927" s="159"/>
      <c r="F927" s="159"/>
      <c r="G927" s="159"/>
      <c r="H927" s="159"/>
      <c r="I927" s="159"/>
      <c r="J927" s="159"/>
      <c r="K927" s="159"/>
      <c r="L927" s="159"/>
      <c r="N927" s="159"/>
      <c r="O927" s="159"/>
      <c r="P927" s="159"/>
      <c r="Q927" s="159"/>
      <c r="R927" s="159"/>
      <c r="S927" s="159"/>
      <c r="T927" s="159"/>
      <c r="U927" s="159"/>
      <c r="V927" s="159"/>
      <c r="W927" s="159"/>
      <c r="X927" s="159"/>
      <c r="Y927" s="159"/>
      <c r="Z927" s="159"/>
      <c r="AA927" s="159"/>
      <c r="AB927" s="159"/>
    </row>
    <row r="928">
      <c r="A928" s="159"/>
      <c r="B928" s="159"/>
      <c r="C928" s="159"/>
      <c r="D928" s="159"/>
      <c r="E928" s="159"/>
      <c r="F928" s="159"/>
      <c r="G928" s="159"/>
      <c r="H928" s="159"/>
      <c r="I928" s="159"/>
      <c r="J928" s="159"/>
      <c r="K928" s="159"/>
      <c r="L928" s="159"/>
      <c r="N928" s="159"/>
      <c r="O928" s="159"/>
      <c r="P928" s="159"/>
      <c r="Q928" s="159"/>
      <c r="R928" s="159"/>
      <c r="S928" s="159"/>
      <c r="T928" s="159"/>
      <c r="U928" s="159"/>
      <c r="V928" s="159"/>
      <c r="W928" s="159"/>
      <c r="X928" s="159"/>
      <c r="Y928" s="159"/>
      <c r="Z928" s="159"/>
      <c r="AA928" s="159"/>
      <c r="AB928" s="159"/>
    </row>
    <row r="929">
      <c r="A929" s="159"/>
      <c r="B929" s="159"/>
      <c r="C929" s="159"/>
      <c r="D929" s="159"/>
      <c r="E929" s="159"/>
      <c r="F929" s="159"/>
      <c r="G929" s="159"/>
      <c r="H929" s="159"/>
      <c r="I929" s="159"/>
      <c r="J929" s="159"/>
      <c r="K929" s="159"/>
      <c r="L929" s="159"/>
      <c r="N929" s="159"/>
      <c r="O929" s="159"/>
      <c r="P929" s="159"/>
      <c r="Q929" s="159"/>
      <c r="R929" s="159"/>
      <c r="S929" s="159"/>
      <c r="T929" s="159"/>
      <c r="U929" s="159"/>
      <c r="V929" s="159"/>
      <c r="W929" s="159"/>
      <c r="X929" s="159"/>
      <c r="Y929" s="159"/>
      <c r="Z929" s="159"/>
      <c r="AA929" s="159"/>
      <c r="AB929" s="159"/>
    </row>
    <row r="930">
      <c r="A930" s="159"/>
      <c r="B930" s="159"/>
      <c r="C930" s="159"/>
      <c r="D930" s="159"/>
      <c r="E930" s="159"/>
      <c r="F930" s="159"/>
      <c r="G930" s="159"/>
      <c r="H930" s="159"/>
      <c r="I930" s="159"/>
      <c r="J930" s="159"/>
      <c r="K930" s="159"/>
      <c r="L930" s="159"/>
      <c r="N930" s="159"/>
      <c r="O930" s="159"/>
      <c r="P930" s="159"/>
      <c r="Q930" s="159"/>
      <c r="R930" s="159"/>
      <c r="S930" s="159"/>
      <c r="T930" s="159"/>
      <c r="U930" s="159"/>
      <c r="V930" s="159"/>
      <c r="W930" s="159"/>
      <c r="X930" s="159"/>
      <c r="Y930" s="159"/>
      <c r="Z930" s="159"/>
      <c r="AA930" s="159"/>
      <c r="AB930" s="159"/>
    </row>
    <row r="931">
      <c r="A931" s="159"/>
      <c r="B931" s="159"/>
      <c r="C931" s="159"/>
      <c r="D931" s="159"/>
      <c r="E931" s="159"/>
      <c r="F931" s="159"/>
      <c r="G931" s="159"/>
      <c r="H931" s="159"/>
      <c r="I931" s="159"/>
      <c r="J931" s="159"/>
      <c r="K931" s="159"/>
      <c r="L931" s="159"/>
      <c r="N931" s="159"/>
      <c r="O931" s="159"/>
      <c r="P931" s="159"/>
      <c r="Q931" s="159"/>
      <c r="R931" s="159"/>
      <c r="S931" s="159"/>
      <c r="T931" s="159"/>
      <c r="U931" s="159"/>
      <c r="V931" s="159"/>
      <c r="W931" s="159"/>
      <c r="X931" s="159"/>
      <c r="Y931" s="159"/>
      <c r="Z931" s="159"/>
      <c r="AA931" s="159"/>
      <c r="AB931" s="159"/>
    </row>
    <row r="932">
      <c r="A932" s="159"/>
      <c r="B932" s="159"/>
      <c r="C932" s="159"/>
      <c r="D932" s="159"/>
      <c r="E932" s="159"/>
      <c r="F932" s="159"/>
      <c r="G932" s="159"/>
      <c r="H932" s="159"/>
      <c r="I932" s="159"/>
      <c r="J932" s="159"/>
      <c r="K932" s="159"/>
      <c r="L932" s="159"/>
      <c r="N932" s="159"/>
      <c r="O932" s="159"/>
      <c r="P932" s="159"/>
      <c r="Q932" s="159"/>
      <c r="R932" s="159"/>
      <c r="S932" s="159"/>
      <c r="T932" s="159"/>
      <c r="U932" s="159"/>
      <c r="V932" s="159"/>
      <c r="W932" s="159"/>
      <c r="X932" s="159"/>
      <c r="Y932" s="159"/>
      <c r="Z932" s="159"/>
      <c r="AA932" s="159"/>
      <c r="AB932" s="159"/>
    </row>
    <row r="933">
      <c r="A933" s="159"/>
      <c r="B933" s="159"/>
      <c r="C933" s="159"/>
      <c r="D933" s="159"/>
      <c r="E933" s="159"/>
      <c r="F933" s="159"/>
      <c r="G933" s="159"/>
      <c r="H933" s="159"/>
      <c r="I933" s="159"/>
      <c r="J933" s="159"/>
      <c r="K933" s="159"/>
      <c r="L933" s="159"/>
      <c r="N933" s="159"/>
      <c r="O933" s="159"/>
      <c r="P933" s="159"/>
      <c r="Q933" s="159"/>
      <c r="R933" s="159"/>
      <c r="S933" s="159"/>
      <c r="T933" s="159"/>
      <c r="U933" s="159"/>
      <c r="V933" s="159"/>
      <c r="W933" s="159"/>
      <c r="X933" s="159"/>
      <c r="Y933" s="159"/>
      <c r="Z933" s="159"/>
      <c r="AA933" s="159"/>
      <c r="AB933" s="159"/>
    </row>
    <row r="934">
      <c r="A934" s="159"/>
      <c r="B934" s="159"/>
      <c r="C934" s="159"/>
      <c r="D934" s="159"/>
      <c r="E934" s="159"/>
      <c r="F934" s="159"/>
      <c r="G934" s="159"/>
      <c r="H934" s="159"/>
      <c r="I934" s="159"/>
      <c r="J934" s="159"/>
      <c r="K934" s="159"/>
      <c r="L934" s="159"/>
      <c r="N934" s="159"/>
      <c r="O934" s="159"/>
      <c r="P934" s="159"/>
      <c r="Q934" s="159"/>
      <c r="R934" s="159"/>
      <c r="S934" s="159"/>
      <c r="T934" s="159"/>
      <c r="U934" s="159"/>
      <c r="V934" s="159"/>
      <c r="W934" s="159"/>
      <c r="X934" s="159"/>
      <c r="Y934" s="159"/>
      <c r="Z934" s="159"/>
      <c r="AA934" s="159"/>
      <c r="AB934" s="159"/>
    </row>
    <row r="935">
      <c r="A935" s="159"/>
      <c r="B935" s="159"/>
      <c r="C935" s="159"/>
      <c r="D935" s="159"/>
      <c r="E935" s="159"/>
      <c r="F935" s="159"/>
      <c r="G935" s="159"/>
      <c r="H935" s="159"/>
      <c r="I935" s="159"/>
      <c r="J935" s="159"/>
      <c r="K935" s="159"/>
      <c r="L935" s="159"/>
      <c r="N935" s="159"/>
      <c r="O935" s="159"/>
      <c r="P935" s="159"/>
      <c r="Q935" s="159"/>
      <c r="R935" s="159"/>
      <c r="S935" s="159"/>
      <c r="T935" s="159"/>
      <c r="U935" s="159"/>
      <c r="V935" s="159"/>
      <c r="W935" s="159"/>
      <c r="X935" s="159"/>
      <c r="Y935" s="159"/>
      <c r="Z935" s="159"/>
      <c r="AA935" s="159"/>
      <c r="AB935" s="159"/>
    </row>
    <row r="936">
      <c r="A936" s="159"/>
      <c r="B936" s="159"/>
      <c r="C936" s="159"/>
      <c r="D936" s="159"/>
      <c r="E936" s="159"/>
      <c r="F936" s="159"/>
      <c r="G936" s="159"/>
      <c r="H936" s="159"/>
      <c r="I936" s="159"/>
      <c r="J936" s="159"/>
      <c r="K936" s="159"/>
      <c r="L936" s="159"/>
      <c r="N936" s="159"/>
      <c r="O936" s="159"/>
      <c r="P936" s="159"/>
      <c r="Q936" s="159"/>
      <c r="R936" s="159"/>
      <c r="S936" s="159"/>
      <c r="T936" s="159"/>
      <c r="U936" s="159"/>
      <c r="V936" s="159"/>
      <c r="W936" s="159"/>
      <c r="X936" s="159"/>
      <c r="Y936" s="159"/>
      <c r="Z936" s="159"/>
      <c r="AA936" s="159"/>
      <c r="AB936" s="159"/>
    </row>
    <row r="937">
      <c r="A937" s="159"/>
      <c r="B937" s="159"/>
      <c r="C937" s="159"/>
      <c r="D937" s="159"/>
      <c r="E937" s="159"/>
      <c r="F937" s="159"/>
      <c r="G937" s="159"/>
      <c r="H937" s="159"/>
      <c r="I937" s="159"/>
      <c r="J937" s="159"/>
      <c r="K937" s="159"/>
      <c r="L937" s="159"/>
      <c r="N937" s="159"/>
      <c r="O937" s="159"/>
      <c r="P937" s="159"/>
      <c r="Q937" s="159"/>
      <c r="R937" s="159"/>
      <c r="S937" s="159"/>
      <c r="T937" s="159"/>
      <c r="U937" s="159"/>
      <c r="V937" s="159"/>
      <c r="W937" s="159"/>
      <c r="X937" s="159"/>
      <c r="Y937" s="159"/>
      <c r="Z937" s="159"/>
      <c r="AA937" s="159"/>
      <c r="AB937" s="159"/>
    </row>
    <row r="938">
      <c r="A938" s="159"/>
      <c r="B938" s="159"/>
      <c r="C938" s="159"/>
      <c r="D938" s="159"/>
      <c r="E938" s="159"/>
      <c r="F938" s="159"/>
      <c r="G938" s="159"/>
      <c r="H938" s="159"/>
      <c r="I938" s="159"/>
      <c r="J938" s="159"/>
      <c r="K938" s="159"/>
      <c r="L938" s="159"/>
      <c r="N938" s="159"/>
      <c r="O938" s="159"/>
      <c r="P938" s="159"/>
      <c r="Q938" s="159"/>
      <c r="R938" s="159"/>
      <c r="S938" s="159"/>
      <c r="T938" s="159"/>
      <c r="U938" s="159"/>
      <c r="V938" s="159"/>
      <c r="W938" s="159"/>
      <c r="X938" s="159"/>
      <c r="Y938" s="159"/>
      <c r="Z938" s="159"/>
      <c r="AA938" s="159"/>
      <c r="AB938" s="159"/>
    </row>
    <row r="939">
      <c r="A939" s="159"/>
      <c r="B939" s="159"/>
      <c r="C939" s="159"/>
      <c r="D939" s="159"/>
      <c r="E939" s="159"/>
      <c r="F939" s="159"/>
      <c r="G939" s="159"/>
      <c r="H939" s="159"/>
      <c r="I939" s="159"/>
      <c r="J939" s="159"/>
      <c r="K939" s="159"/>
      <c r="L939" s="159"/>
      <c r="N939" s="159"/>
      <c r="O939" s="159"/>
      <c r="P939" s="159"/>
      <c r="Q939" s="159"/>
      <c r="R939" s="159"/>
      <c r="S939" s="159"/>
      <c r="T939" s="159"/>
      <c r="U939" s="159"/>
      <c r="V939" s="159"/>
      <c r="W939" s="159"/>
      <c r="X939" s="159"/>
      <c r="Y939" s="159"/>
      <c r="Z939" s="159"/>
      <c r="AA939" s="159"/>
      <c r="AB939" s="159"/>
    </row>
    <row r="940">
      <c r="A940" s="159"/>
      <c r="B940" s="159"/>
      <c r="C940" s="159"/>
      <c r="D940" s="159"/>
      <c r="E940" s="159"/>
      <c r="F940" s="159"/>
      <c r="G940" s="159"/>
      <c r="H940" s="159"/>
      <c r="I940" s="159"/>
      <c r="J940" s="159"/>
      <c r="K940" s="159"/>
      <c r="L940" s="159"/>
      <c r="N940" s="159"/>
      <c r="O940" s="159"/>
      <c r="P940" s="159"/>
      <c r="Q940" s="159"/>
      <c r="R940" s="159"/>
      <c r="S940" s="159"/>
      <c r="T940" s="159"/>
      <c r="U940" s="159"/>
      <c r="V940" s="159"/>
      <c r="W940" s="159"/>
      <c r="X940" s="159"/>
      <c r="Y940" s="159"/>
      <c r="Z940" s="159"/>
      <c r="AA940" s="159"/>
      <c r="AB940" s="159"/>
    </row>
    <row r="941">
      <c r="A941" s="159"/>
      <c r="B941" s="159"/>
      <c r="C941" s="159"/>
      <c r="D941" s="159"/>
      <c r="E941" s="159"/>
      <c r="F941" s="159"/>
      <c r="G941" s="159"/>
      <c r="H941" s="159"/>
      <c r="I941" s="159"/>
      <c r="J941" s="159"/>
      <c r="K941" s="159"/>
      <c r="L941" s="159"/>
      <c r="N941" s="159"/>
      <c r="O941" s="159"/>
      <c r="P941" s="159"/>
      <c r="Q941" s="159"/>
      <c r="R941" s="159"/>
      <c r="S941" s="159"/>
      <c r="T941" s="159"/>
      <c r="U941" s="159"/>
      <c r="V941" s="159"/>
      <c r="W941" s="159"/>
      <c r="X941" s="159"/>
      <c r="Y941" s="159"/>
      <c r="Z941" s="159"/>
      <c r="AA941" s="159"/>
      <c r="AB941" s="159"/>
    </row>
    <row r="942">
      <c r="A942" s="159"/>
      <c r="B942" s="159"/>
      <c r="C942" s="159"/>
      <c r="D942" s="159"/>
      <c r="E942" s="159"/>
      <c r="F942" s="159"/>
      <c r="G942" s="159"/>
      <c r="H942" s="159"/>
      <c r="I942" s="159"/>
      <c r="J942" s="159"/>
      <c r="K942" s="159"/>
      <c r="L942" s="159"/>
      <c r="N942" s="159"/>
      <c r="O942" s="159"/>
      <c r="P942" s="159"/>
      <c r="Q942" s="159"/>
      <c r="R942" s="159"/>
      <c r="S942" s="159"/>
      <c r="T942" s="159"/>
      <c r="U942" s="159"/>
      <c r="V942" s="159"/>
      <c r="W942" s="159"/>
      <c r="X942" s="159"/>
      <c r="Y942" s="159"/>
      <c r="Z942" s="159"/>
      <c r="AA942" s="159"/>
      <c r="AB942" s="159"/>
    </row>
    <row r="943">
      <c r="A943" s="159"/>
      <c r="B943" s="159"/>
      <c r="C943" s="159"/>
      <c r="D943" s="159"/>
      <c r="E943" s="159"/>
      <c r="F943" s="159"/>
      <c r="G943" s="159"/>
      <c r="H943" s="159"/>
      <c r="I943" s="159"/>
      <c r="J943" s="159"/>
      <c r="K943" s="159"/>
      <c r="L943" s="159"/>
      <c r="N943" s="159"/>
      <c r="O943" s="159"/>
      <c r="P943" s="159"/>
      <c r="Q943" s="159"/>
      <c r="R943" s="159"/>
      <c r="S943" s="159"/>
      <c r="T943" s="159"/>
      <c r="U943" s="159"/>
      <c r="V943" s="159"/>
      <c r="W943" s="159"/>
      <c r="X943" s="159"/>
      <c r="Y943" s="159"/>
      <c r="Z943" s="159"/>
      <c r="AA943" s="159"/>
      <c r="AB943" s="159"/>
    </row>
    <row r="944">
      <c r="A944" s="159"/>
      <c r="B944" s="159"/>
      <c r="C944" s="159"/>
      <c r="D944" s="159"/>
      <c r="E944" s="159"/>
      <c r="F944" s="159"/>
      <c r="G944" s="159"/>
      <c r="H944" s="159"/>
      <c r="I944" s="159"/>
      <c r="J944" s="159"/>
      <c r="K944" s="159"/>
      <c r="L944" s="159"/>
      <c r="N944" s="159"/>
      <c r="O944" s="159"/>
      <c r="P944" s="159"/>
      <c r="Q944" s="159"/>
      <c r="R944" s="159"/>
      <c r="S944" s="159"/>
      <c r="T944" s="159"/>
      <c r="U944" s="159"/>
      <c r="V944" s="159"/>
      <c r="W944" s="159"/>
      <c r="X944" s="159"/>
      <c r="Y944" s="159"/>
      <c r="Z944" s="159"/>
      <c r="AA944" s="159"/>
      <c r="AB944" s="159"/>
    </row>
    <row r="945">
      <c r="A945" s="159"/>
      <c r="B945" s="159"/>
      <c r="C945" s="159"/>
      <c r="D945" s="159"/>
      <c r="E945" s="159"/>
      <c r="F945" s="159"/>
      <c r="G945" s="159"/>
      <c r="H945" s="159"/>
      <c r="I945" s="159"/>
      <c r="J945" s="159"/>
      <c r="K945" s="159"/>
      <c r="L945" s="159"/>
      <c r="N945" s="159"/>
      <c r="O945" s="159"/>
      <c r="P945" s="159"/>
      <c r="Q945" s="159"/>
      <c r="R945" s="159"/>
      <c r="S945" s="159"/>
      <c r="T945" s="159"/>
      <c r="U945" s="159"/>
      <c r="V945" s="159"/>
      <c r="W945" s="159"/>
      <c r="X945" s="159"/>
      <c r="Y945" s="159"/>
      <c r="Z945" s="159"/>
      <c r="AA945" s="159"/>
      <c r="AB945" s="159"/>
    </row>
    <row r="946">
      <c r="A946" s="159"/>
      <c r="B946" s="159"/>
      <c r="C946" s="159"/>
      <c r="D946" s="159"/>
      <c r="E946" s="159"/>
      <c r="F946" s="159"/>
      <c r="G946" s="159"/>
      <c r="H946" s="159"/>
      <c r="I946" s="159"/>
      <c r="J946" s="159"/>
      <c r="K946" s="159"/>
      <c r="L946" s="159"/>
      <c r="N946" s="159"/>
      <c r="O946" s="159"/>
      <c r="P946" s="159"/>
      <c r="Q946" s="159"/>
      <c r="R946" s="159"/>
      <c r="S946" s="159"/>
      <c r="T946" s="159"/>
      <c r="U946" s="159"/>
      <c r="V946" s="159"/>
      <c r="W946" s="159"/>
      <c r="X946" s="159"/>
      <c r="Y946" s="159"/>
      <c r="Z946" s="159"/>
      <c r="AA946" s="159"/>
      <c r="AB946" s="159"/>
    </row>
    <row r="947">
      <c r="A947" s="159"/>
      <c r="B947" s="159"/>
      <c r="C947" s="159"/>
      <c r="D947" s="159"/>
      <c r="E947" s="159"/>
      <c r="F947" s="159"/>
      <c r="G947" s="159"/>
      <c r="H947" s="159"/>
      <c r="I947" s="159"/>
      <c r="J947" s="159"/>
      <c r="K947" s="159"/>
      <c r="L947" s="159"/>
      <c r="N947" s="159"/>
      <c r="O947" s="159"/>
      <c r="P947" s="159"/>
      <c r="Q947" s="159"/>
      <c r="R947" s="159"/>
      <c r="S947" s="159"/>
      <c r="T947" s="159"/>
      <c r="U947" s="159"/>
      <c r="V947" s="159"/>
      <c r="W947" s="159"/>
      <c r="X947" s="159"/>
      <c r="Y947" s="159"/>
      <c r="Z947" s="159"/>
      <c r="AA947" s="159"/>
      <c r="AB947" s="159"/>
    </row>
    <row r="948">
      <c r="A948" s="159"/>
      <c r="B948" s="159"/>
      <c r="C948" s="159"/>
      <c r="D948" s="159"/>
      <c r="E948" s="159"/>
      <c r="F948" s="159"/>
      <c r="G948" s="159"/>
      <c r="H948" s="159"/>
      <c r="I948" s="159"/>
      <c r="J948" s="159"/>
      <c r="K948" s="159"/>
      <c r="L948" s="159"/>
      <c r="N948" s="159"/>
      <c r="O948" s="159"/>
      <c r="P948" s="159"/>
      <c r="Q948" s="159"/>
      <c r="R948" s="159"/>
      <c r="S948" s="159"/>
      <c r="T948" s="159"/>
      <c r="U948" s="159"/>
      <c r="V948" s="159"/>
      <c r="W948" s="159"/>
      <c r="X948" s="159"/>
      <c r="Y948" s="159"/>
      <c r="Z948" s="159"/>
      <c r="AA948" s="159"/>
      <c r="AB948" s="159"/>
    </row>
    <row r="949">
      <c r="A949" s="159"/>
      <c r="B949" s="159"/>
      <c r="C949" s="159"/>
      <c r="D949" s="159"/>
      <c r="E949" s="159"/>
      <c r="F949" s="159"/>
      <c r="G949" s="159"/>
      <c r="H949" s="159"/>
      <c r="I949" s="159"/>
      <c r="J949" s="159"/>
      <c r="K949" s="159"/>
      <c r="L949" s="159"/>
      <c r="N949" s="159"/>
      <c r="O949" s="159"/>
      <c r="P949" s="159"/>
      <c r="Q949" s="159"/>
      <c r="R949" s="159"/>
      <c r="S949" s="159"/>
      <c r="T949" s="159"/>
      <c r="U949" s="159"/>
      <c r="V949" s="159"/>
      <c r="W949" s="159"/>
      <c r="X949" s="159"/>
      <c r="Y949" s="159"/>
      <c r="Z949" s="159"/>
      <c r="AA949" s="159"/>
      <c r="AB949" s="159"/>
    </row>
    <row r="950">
      <c r="A950" s="159"/>
      <c r="B950" s="159"/>
      <c r="C950" s="159"/>
      <c r="D950" s="159"/>
      <c r="E950" s="159"/>
      <c r="F950" s="159"/>
      <c r="G950" s="159"/>
      <c r="H950" s="159"/>
      <c r="I950" s="159"/>
      <c r="J950" s="159"/>
      <c r="K950" s="159"/>
      <c r="L950" s="159"/>
      <c r="N950" s="159"/>
      <c r="O950" s="159"/>
      <c r="P950" s="159"/>
      <c r="Q950" s="159"/>
      <c r="R950" s="159"/>
      <c r="S950" s="159"/>
      <c r="T950" s="159"/>
      <c r="U950" s="159"/>
      <c r="V950" s="159"/>
      <c r="W950" s="159"/>
      <c r="X950" s="159"/>
      <c r="Y950" s="159"/>
      <c r="Z950" s="159"/>
      <c r="AA950" s="159"/>
      <c r="AB950" s="159"/>
    </row>
    <row r="951">
      <c r="A951" s="159"/>
      <c r="B951" s="159"/>
      <c r="C951" s="159"/>
      <c r="D951" s="159"/>
      <c r="E951" s="159"/>
      <c r="F951" s="159"/>
      <c r="G951" s="159"/>
      <c r="H951" s="159"/>
      <c r="I951" s="159"/>
      <c r="J951" s="159"/>
      <c r="K951" s="159"/>
      <c r="L951" s="159"/>
      <c r="N951" s="159"/>
      <c r="O951" s="159"/>
      <c r="P951" s="159"/>
      <c r="Q951" s="159"/>
      <c r="R951" s="159"/>
      <c r="S951" s="159"/>
      <c r="T951" s="159"/>
      <c r="U951" s="159"/>
      <c r="V951" s="159"/>
      <c r="W951" s="159"/>
      <c r="X951" s="159"/>
      <c r="Y951" s="159"/>
      <c r="Z951" s="159"/>
      <c r="AA951" s="159"/>
      <c r="AB951" s="159"/>
    </row>
    <row r="952">
      <c r="A952" s="159"/>
      <c r="B952" s="159"/>
      <c r="C952" s="159"/>
      <c r="D952" s="159"/>
      <c r="E952" s="159"/>
      <c r="F952" s="159"/>
      <c r="G952" s="159"/>
      <c r="H952" s="159"/>
      <c r="I952" s="159"/>
      <c r="J952" s="159"/>
      <c r="K952" s="159"/>
      <c r="L952" s="159"/>
      <c r="N952" s="159"/>
      <c r="O952" s="159"/>
      <c r="P952" s="159"/>
      <c r="Q952" s="159"/>
      <c r="R952" s="159"/>
      <c r="S952" s="159"/>
      <c r="T952" s="159"/>
      <c r="U952" s="159"/>
      <c r="V952" s="159"/>
      <c r="W952" s="159"/>
      <c r="X952" s="159"/>
      <c r="Y952" s="159"/>
      <c r="Z952" s="159"/>
      <c r="AA952" s="159"/>
      <c r="AB952" s="159"/>
    </row>
    <row r="953">
      <c r="A953" s="159"/>
      <c r="B953" s="159"/>
      <c r="C953" s="159"/>
      <c r="D953" s="159"/>
      <c r="E953" s="159"/>
      <c r="F953" s="159"/>
      <c r="G953" s="159"/>
      <c r="H953" s="159"/>
      <c r="I953" s="159"/>
      <c r="J953" s="159"/>
      <c r="K953" s="159"/>
      <c r="L953" s="159"/>
      <c r="N953" s="159"/>
      <c r="O953" s="159"/>
      <c r="P953" s="159"/>
      <c r="Q953" s="159"/>
      <c r="R953" s="159"/>
      <c r="S953" s="159"/>
      <c r="T953" s="159"/>
      <c r="U953" s="159"/>
      <c r="V953" s="159"/>
      <c r="W953" s="159"/>
      <c r="X953" s="159"/>
      <c r="Y953" s="159"/>
      <c r="Z953" s="159"/>
      <c r="AA953" s="159"/>
      <c r="AB953" s="159"/>
    </row>
    <row r="954">
      <c r="A954" s="159"/>
      <c r="B954" s="159"/>
      <c r="C954" s="159"/>
      <c r="D954" s="159"/>
      <c r="E954" s="159"/>
      <c r="F954" s="159"/>
      <c r="G954" s="159"/>
      <c r="H954" s="159"/>
      <c r="I954" s="159"/>
      <c r="J954" s="159"/>
      <c r="K954" s="159"/>
      <c r="L954" s="159"/>
      <c r="N954" s="159"/>
      <c r="O954" s="159"/>
      <c r="P954" s="159"/>
      <c r="Q954" s="159"/>
      <c r="R954" s="159"/>
      <c r="S954" s="159"/>
      <c r="T954" s="159"/>
      <c r="U954" s="159"/>
      <c r="V954" s="159"/>
      <c r="W954" s="159"/>
      <c r="X954" s="159"/>
      <c r="Y954" s="159"/>
      <c r="Z954" s="159"/>
      <c r="AA954" s="159"/>
      <c r="AB954" s="159"/>
    </row>
    <row r="955">
      <c r="A955" s="159"/>
      <c r="B955" s="159"/>
      <c r="C955" s="159"/>
      <c r="D955" s="159"/>
      <c r="E955" s="159"/>
      <c r="F955" s="159"/>
      <c r="G955" s="159"/>
      <c r="H955" s="159"/>
      <c r="I955" s="159"/>
      <c r="J955" s="159"/>
      <c r="K955" s="159"/>
      <c r="L955" s="159"/>
      <c r="N955" s="159"/>
      <c r="O955" s="159"/>
      <c r="P955" s="159"/>
      <c r="Q955" s="159"/>
      <c r="R955" s="159"/>
      <c r="S955" s="159"/>
      <c r="T955" s="159"/>
      <c r="U955" s="159"/>
      <c r="V955" s="159"/>
      <c r="W955" s="159"/>
      <c r="X955" s="159"/>
      <c r="Y955" s="159"/>
      <c r="Z955" s="159"/>
      <c r="AA955" s="159"/>
      <c r="AB955" s="159"/>
    </row>
    <row r="956">
      <c r="A956" s="159"/>
      <c r="B956" s="159"/>
      <c r="C956" s="159"/>
      <c r="D956" s="159"/>
      <c r="E956" s="159"/>
      <c r="F956" s="159"/>
      <c r="G956" s="159"/>
      <c r="H956" s="159"/>
      <c r="I956" s="159"/>
      <c r="J956" s="159"/>
      <c r="K956" s="159"/>
      <c r="L956" s="159"/>
      <c r="N956" s="159"/>
      <c r="O956" s="159"/>
      <c r="P956" s="159"/>
      <c r="Q956" s="159"/>
      <c r="R956" s="159"/>
      <c r="S956" s="159"/>
      <c r="T956" s="159"/>
      <c r="U956" s="159"/>
      <c r="V956" s="159"/>
      <c r="W956" s="159"/>
      <c r="X956" s="159"/>
      <c r="Y956" s="159"/>
      <c r="Z956" s="159"/>
      <c r="AA956" s="159"/>
      <c r="AB956" s="159"/>
    </row>
    <row r="957">
      <c r="A957" s="159"/>
      <c r="B957" s="159"/>
      <c r="C957" s="159"/>
      <c r="D957" s="159"/>
      <c r="E957" s="159"/>
      <c r="F957" s="159"/>
      <c r="G957" s="159"/>
      <c r="H957" s="159"/>
      <c r="I957" s="159"/>
      <c r="J957" s="159"/>
      <c r="K957" s="159"/>
      <c r="L957" s="159"/>
      <c r="N957" s="159"/>
      <c r="O957" s="159"/>
      <c r="P957" s="159"/>
      <c r="Q957" s="159"/>
      <c r="R957" s="159"/>
      <c r="S957" s="159"/>
      <c r="T957" s="159"/>
      <c r="U957" s="159"/>
      <c r="V957" s="159"/>
      <c r="W957" s="159"/>
      <c r="X957" s="159"/>
      <c r="Y957" s="159"/>
      <c r="Z957" s="159"/>
      <c r="AA957" s="159"/>
      <c r="AB957" s="159"/>
    </row>
    <row r="958">
      <c r="A958" s="159"/>
      <c r="B958" s="159"/>
      <c r="C958" s="159"/>
      <c r="D958" s="159"/>
      <c r="E958" s="159"/>
      <c r="F958" s="159"/>
      <c r="G958" s="159"/>
      <c r="H958" s="159"/>
      <c r="I958" s="159"/>
      <c r="J958" s="159"/>
      <c r="K958" s="159"/>
      <c r="L958" s="159"/>
      <c r="N958" s="159"/>
      <c r="O958" s="159"/>
      <c r="P958" s="159"/>
      <c r="Q958" s="159"/>
      <c r="R958" s="159"/>
      <c r="S958" s="159"/>
      <c r="T958" s="159"/>
      <c r="U958" s="159"/>
      <c r="V958" s="159"/>
      <c r="W958" s="159"/>
      <c r="X958" s="159"/>
      <c r="Y958" s="159"/>
      <c r="Z958" s="159"/>
      <c r="AA958" s="159"/>
      <c r="AB958" s="159"/>
    </row>
    <row r="959">
      <c r="A959" s="159"/>
      <c r="B959" s="159"/>
      <c r="C959" s="159"/>
      <c r="D959" s="159"/>
      <c r="E959" s="159"/>
      <c r="F959" s="159"/>
      <c r="G959" s="159"/>
      <c r="H959" s="159"/>
      <c r="I959" s="159"/>
      <c r="J959" s="159"/>
      <c r="K959" s="159"/>
      <c r="L959" s="159"/>
      <c r="N959" s="159"/>
      <c r="O959" s="159"/>
      <c r="P959" s="159"/>
      <c r="Q959" s="159"/>
      <c r="R959" s="159"/>
      <c r="S959" s="159"/>
      <c r="T959" s="159"/>
      <c r="U959" s="159"/>
      <c r="V959" s="159"/>
      <c r="W959" s="159"/>
      <c r="X959" s="159"/>
      <c r="Y959" s="159"/>
      <c r="Z959" s="159"/>
      <c r="AA959" s="159"/>
      <c r="AB959" s="159"/>
    </row>
    <row r="960">
      <c r="A960" s="159"/>
      <c r="B960" s="159"/>
      <c r="C960" s="159"/>
      <c r="D960" s="159"/>
      <c r="E960" s="159"/>
      <c r="F960" s="159"/>
      <c r="G960" s="159"/>
      <c r="H960" s="159"/>
      <c r="I960" s="159"/>
      <c r="J960" s="159"/>
      <c r="K960" s="159"/>
      <c r="L960" s="159"/>
      <c r="N960" s="159"/>
      <c r="O960" s="159"/>
      <c r="P960" s="159"/>
      <c r="Q960" s="159"/>
      <c r="R960" s="159"/>
      <c r="S960" s="159"/>
      <c r="T960" s="159"/>
      <c r="U960" s="159"/>
      <c r="V960" s="159"/>
      <c r="W960" s="159"/>
      <c r="X960" s="159"/>
      <c r="Y960" s="159"/>
      <c r="Z960" s="159"/>
      <c r="AA960" s="159"/>
      <c r="AB960" s="159"/>
    </row>
    <row r="961">
      <c r="A961" s="159"/>
      <c r="B961" s="159"/>
      <c r="C961" s="159"/>
      <c r="D961" s="159"/>
      <c r="E961" s="159"/>
      <c r="F961" s="159"/>
      <c r="G961" s="159"/>
      <c r="H961" s="159"/>
      <c r="I961" s="159"/>
      <c r="J961" s="159"/>
      <c r="K961" s="159"/>
      <c r="L961" s="159"/>
      <c r="N961" s="159"/>
      <c r="O961" s="159"/>
      <c r="P961" s="159"/>
      <c r="Q961" s="159"/>
      <c r="R961" s="159"/>
      <c r="S961" s="159"/>
      <c r="T961" s="159"/>
      <c r="U961" s="159"/>
      <c r="V961" s="159"/>
      <c r="W961" s="159"/>
      <c r="X961" s="159"/>
      <c r="Y961" s="159"/>
      <c r="Z961" s="159"/>
      <c r="AA961" s="159"/>
      <c r="AB961" s="159"/>
    </row>
    <row r="962">
      <c r="A962" s="159"/>
      <c r="B962" s="159"/>
      <c r="C962" s="159"/>
      <c r="D962" s="159"/>
      <c r="E962" s="159"/>
      <c r="F962" s="159"/>
      <c r="G962" s="159"/>
      <c r="H962" s="159"/>
      <c r="I962" s="159"/>
      <c r="J962" s="159"/>
      <c r="K962" s="159"/>
      <c r="L962" s="159"/>
      <c r="N962" s="159"/>
      <c r="O962" s="159"/>
      <c r="P962" s="159"/>
      <c r="Q962" s="159"/>
      <c r="R962" s="159"/>
      <c r="S962" s="159"/>
      <c r="T962" s="159"/>
      <c r="U962" s="159"/>
      <c r="V962" s="159"/>
      <c r="W962" s="159"/>
      <c r="X962" s="159"/>
      <c r="Y962" s="159"/>
      <c r="Z962" s="159"/>
      <c r="AA962" s="159"/>
      <c r="AB962" s="159"/>
    </row>
    <row r="963">
      <c r="A963" s="159"/>
      <c r="B963" s="159"/>
      <c r="C963" s="159"/>
      <c r="D963" s="159"/>
      <c r="E963" s="159"/>
      <c r="F963" s="159"/>
      <c r="G963" s="159"/>
      <c r="H963" s="159"/>
      <c r="I963" s="159"/>
      <c r="J963" s="159"/>
      <c r="K963" s="159"/>
      <c r="L963" s="159"/>
      <c r="N963" s="159"/>
      <c r="O963" s="159"/>
      <c r="P963" s="159"/>
      <c r="Q963" s="159"/>
      <c r="R963" s="159"/>
      <c r="S963" s="159"/>
      <c r="T963" s="159"/>
      <c r="U963" s="159"/>
      <c r="V963" s="159"/>
      <c r="W963" s="159"/>
      <c r="X963" s="159"/>
      <c r="Y963" s="159"/>
      <c r="Z963" s="159"/>
      <c r="AA963" s="159"/>
      <c r="AB963" s="159"/>
    </row>
    <row r="964">
      <c r="A964" s="159"/>
      <c r="B964" s="159"/>
      <c r="C964" s="159"/>
      <c r="D964" s="159"/>
      <c r="E964" s="159"/>
      <c r="F964" s="159"/>
      <c r="G964" s="159"/>
      <c r="H964" s="159"/>
      <c r="I964" s="159"/>
      <c r="J964" s="159"/>
      <c r="K964" s="159"/>
      <c r="L964" s="159"/>
      <c r="N964" s="159"/>
      <c r="O964" s="159"/>
      <c r="P964" s="159"/>
      <c r="Q964" s="159"/>
      <c r="R964" s="159"/>
      <c r="S964" s="159"/>
      <c r="T964" s="159"/>
      <c r="U964" s="159"/>
      <c r="V964" s="159"/>
      <c r="W964" s="159"/>
      <c r="X964" s="159"/>
      <c r="Y964" s="159"/>
      <c r="Z964" s="159"/>
      <c r="AA964" s="159"/>
      <c r="AB964" s="159"/>
    </row>
    <row r="965">
      <c r="A965" s="159"/>
      <c r="B965" s="159"/>
      <c r="C965" s="159"/>
      <c r="D965" s="159"/>
      <c r="E965" s="159"/>
      <c r="F965" s="159"/>
      <c r="G965" s="159"/>
      <c r="H965" s="159"/>
      <c r="I965" s="159"/>
      <c r="J965" s="159"/>
      <c r="K965" s="159"/>
      <c r="L965" s="159"/>
      <c r="N965" s="159"/>
      <c r="O965" s="159"/>
      <c r="P965" s="159"/>
      <c r="Q965" s="159"/>
      <c r="R965" s="159"/>
      <c r="S965" s="159"/>
      <c r="T965" s="159"/>
      <c r="U965" s="159"/>
      <c r="V965" s="159"/>
      <c r="W965" s="159"/>
      <c r="X965" s="159"/>
      <c r="Y965" s="159"/>
      <c r="Z965" s="159"/>
      <c r="AA965" s="159"/>
      <c r="AB965" s="159"/>
    </row>
    <row r="966">
      <c r="A966" s="159"/>
      <c r="B966" s="159"/>
      <c r="C966" s="159"/>
      <c r="D966" s="159"/>
      <c r="E966" s="159"/>
      <c r="F966" s="159"/>
      <c r="G966" s="159"/>
      <c r="H966" s="159"/>
      <c r="I966" s="159"/>
      <c r="J966" s="159"/>
      <c r="K966" s="159"/>
      <c r="L966" s="159"/>
      <c r="N966" s="159"/>
      <c r="O966" s="159"/>
      <c r="P966" s="159"/>
      <c r="Q966" s="159"/>
      <c r="R966" s="159"/>
      <c r="S966" s="159"/>
      <c r="T966" s="159"/>
      <c r="U966" s="159"/>
      <c r="V966" s="159"/>
      <c r="W966" s="159"/>
      <c r="X966" s="159"/>
      <c r="Y966" s="159"/>
      <c r="Z966" s="159"/>
      <c r="AA966" s="159"/>
      <c r="AB966" s="159"/>
    </row>
    <row r="967">
      <c r="A967" s="159"/>
      <c r="B967" s="159"/>
      <c r="C967" s="159"/>
      <c r="D967" s="159"/>
      <c r="E967" s="159"/>
      <c r="F967" s="159"/>
      <c r="G967" s="159"/>
      <c r="H967" s="159"/>
      <c r="I967" s="159"/>
      <c r="J967" s="159"/>
      <c r="K967" s="159"/>
      <c r="L967" s="159"/>
      <c r="N967" s="159"/>
      <c r="O967" s="159"/>
      <c r="P967" s="159"/>
      <c r="Q967" s="159"/>
      <c r="R967" s="159"/>
      <c r="S967" s="159"/>
      <c r="T967" s="159"/>
      <c r="U967" s="159"/>
      <c r="V967" s="159"/>
      <c r="W967" s="159"/>
      <c r="X967" s="159"/>
      <c r="Y967" s="159"/>
      <c r="Z967" s="159"/>
      <c r="AA967" s="159"/>
      <c r="AB967" s="159"/>
    </row>
    <row r="968">
      <c r="A968" s="159"/>
      <c r="B968" s="159"/>
      <c r="C968" s="159"/>
      <c r="D968" s="159"/>
      <c r="E968" s="159"/>
      <c r="F968" s="159"/>
      <c r="G968" s="159"/>
      <c r="H968" s="159"/>
      <c r="I968" s="159"/>
      <c r="J968" s="159"/>
      <c r="K968" s="159"/>
      <c r="L968" s="159"/>
      <c r="N968" s="159"/>
      <c r="O968" s="159"/>
      <c r="P968" s="159"/>
      <c r="Q968" s="159"/>
      <c r="R968" s="159"/>
      <c r="S968" s="159"/>
      <c r="T968" s="159"/>
      <c r="U968" s="159"/>
      <c r="V968" s="159"/>
      <c r="W968" s="159"/>
      <c r="X968" s="159"/>
      <c r="Y968" s="159"/>
      <c r="Z968" s="159"/>
      <c r="AA968" s="159"/>
      <c r="AB968" s="159"/>
    </row>
    <row r="969">
      <c r="A969" s="159"/>
      <c r="B969" s="159"/>
      <c r="C969" s="159"/>
      <c r="D969" s="159"/>
      <c r="E969" s="159"/>
      <c r="F969" s="159"/>
      <c r="G969" s="159"/>
      <c r="H969" s="159"/>
      <c r="I969" s="159"/>
      <c r="J969" s="159"/>
      <c r="K969" s="159"/>
      <c r="L969" s="159"/>
      <c r="N969" s="159"/>
      <c r="O969" s="159"/>
      <c r="P969" s="159"/>
      <c r="Q969" s="159"/>
      <c r="R969" s="159"/>
      <c r="S969" s="159"/>
      <c r="T969" s="159"/>
      <c r="U969" s="159"/>
      <c r="V969" s="159"/>
      <c r="W969" s="159"/>
      <c r="X969" s="159"/>
      <c r="Y969" s="159"/>
      <c r="Z969" s="159"/>
      <c r="AA969" s="159"/>
      <c r="AB969" s="159"/>
    </row>
    <row r="970">
      <c r="A970" s="159"/>
      <c r="B970" s="159"/>
      <c r="C970" s="159"/>
      <c r="D970" s="159"/>
      <c r="E970" s="159"/>
      <c r="F970" s="159"/>
      <c r="G970" s="159"/>
      <c r="H970" s="159"/>
      <c r="I970" s="159"/>
      <c r="J970" s="159"/>
      <c r="K970" s="159"/>
      <c r="L970" s="159"/>
      <c r="N970" s="159"/>
      <c r="O970" s="159"/>
      <c r="P970" s="159"/>
      <c r="Q970" s="159"/>
      <c r="R970" s="159"/>
      <c r="S970" s="159"/>
      <c r="T970" s="159"/>
      <c r="U970" s="159"/>
      <c r="V970" s="159"/>
      <c r="W970" s="159"/>
      <c r="X970" s="159"/>
      <c r="Y970" s="159"/>
      <c r="Z970" s="159"/>
      <c r="AA970" s="159"/>
      <c r="AB970" s="159"/>
    </row>
    <row r="971">
      <c r="A971" s="159"/>
      <c r="B971" s="159"/>
      <c r="C971" s="159"/>
      <c r="D971" s="159"/>
      <c r="E971" s="159"/>
      <c r="F971" s="159"/>
      <c r="G971" s="159"/>
      <c r="H971" s="159"/>
      <c r="I971" s="159"/>
      <c r="J971" s="159"/>
      <c r="K971" s="159"/>
      <c r="L971" s="159"/>
      <c r="N971" s="159"/>
      <c r="O971" s="159"/>
      <c r="P971" s="159"/>
      <c r="Q971" s="159"/>
      <c r="R971" s="159"/>
      <c r="S971" s="159"/>
      <c r="T971" s="159"/>
      <c r="U971" s="159"/>
      <c r="V971" s="159"/>
      <c r="W971" s="159"/>
      <c r="X971" s="159"/>
      <c r="Y971" s="159"/>
      <c r="Z971" s="159"/>
      <c r="AA971" s="159"/>
      <c r="AB971" s="159"/>
    </row>
    <row r="972">
      <c r="A972" s="159"/>
      <c r="B972" s="159"/>
      <c r="C972" s="159"/>
      <c r="D972" s="159"/>
      <c r="E972" s="159"/>
      <c r="F972" s="159"/>
      <c r="G972" s="159"/>
      <c r="H972" s="159"/>
      <c r="I972" s="159"/>
      <c r="J972" s="159"/>
      <c r="K972" s="159"/>
      <c r="L972" s="159"/>
      <c r="N972" s="159"/>
      <c r="O972" s="159"/>
      <c r="P972" s="159"/>
      <c r="Q972" s="159"/>
      <c r="R972" s="159"/>
      <c r="S972" s="159"/>
      <c r="T972" s="159"/>
      <c r="U972" s="159"/>
      <c r="V972" s="159"/>
      <c r="W972" s="159"/>
      <c r="X972" s="159"/>
      <c r="Y972" s="159"/>
      <c r="Z972" s="159"/>
      <c r="AA972" s="159"/>
      <c r="AB972" s="159"/>
    </row>
    <row r="973">
      <c r="A973" s="159"/>
      <c r="B973" s="159"/>
      <c r="C973" s="159"/>
      <c r="D973" s="159"/>
      <c r="E973" s="159"/>
      <c r="F973" s="159"/>
      <c r="G973" s="159"/>
      <c r="H973" s="159"/>
      <c r="I973" s="159"/>
      <c r="J973" s="159"/>
      <c r="K973" s="159"/>
      <c r="L973" s="159"/>
      <c r="N973" s="159"/>
      <c r="O973" s="159"/>
      <c r="P973" s="159"/>
      <c r="Q973" s="159"/>
      <c r="R973" s="159"/>
      <c r="S973" s="159"/>
      <c r="T973" s="159"/>
      <c r="U973" s="159"/>
      <c r="V973" s="159"/>
      <c r="W973" s="159"/>
      <c r="X973" s="159"/>
      <c r="Y973" s="159"/>
      <c r="Z973" s="159"/>
      <c r="AA973" s="159"/>
      <c r="AB973" s="159"/>
    </row>
    <row r="974">
      <c r="A974" s="159"/>
      <c r="B974" s="159"/>
      <c r="C974" s="159"/>
      <c r="D974" s="159"/>
      <c r="E974" s="159"/>
      <c r="F974" s="159"/>
      <c r="G974" s="159"/>
      <c r="H974" s="159"/>
      <c r="I974" s="159"/>
      <c r="J974" s="159"/>
      <c r="K974" s="159"/>
      <c r="L974" s="159"/>
      <c r="N974" s="159"/>
      <c r="O974" s="159"/>
      <c r="P974" s="159"/>
      <c r="Q974" s="159"/>
      <c r="R974" s="159"/>
      <c r="S974" s="159"/>
      <c r="T974" s="159"/>
      <c r="U974" s="159"/>
      <c r="V974" s="159"/>
      <c r="W974" s="159"/>
      <c r="X974" s="159"/>
      <c r="Y974" s="159"/>
      <c r="Z974" s="159"/>
      <c r="AA974" s="159"/>
      <c r="AB974" s="159"/>
    </row>
    <row r="975">
      <c r="A975" s="159"/>
      <c r="B975" s="159"/>
      <c r="C975" s="159"/>
      <c r="D975" s="159"/>
      <c r="E975" s="159"/>
      <c r="F975" s="159"/>
      <c r="G975" s="159"/>
      <c r="H975" s="159"/>
      <c r="I975" s="159"/>
      <c r="J975" s="159"/>
      <c r="K975" s="159"/>
      <c r="L975" s="159"/>
      <c r="N975" s="159"/>
      <c r="O975" s="159"/>
      <c r="P975" s="159"/>
      <c r="Q975" s="159"/>
      <c r="R975" s="159"/>
      <c r="S975" s="159"/>
      <c r="T975" s="159"/>
      <c r="U975" s="159"/>
      <c r="V975" s="159"/>
      <c r="W975" s="159"/>
      <c r="X975" s="159"/>
      <c r="Y975" s="159"/>
      <c r="Z975" s="159"/>
      <c r="AA975" s="159"/>
      <c r="AB975" s="159"/>
    </row>
    <row r="976">
      <c r="A976" s="159"/>
      <c r="B976" s="159"/>
      <c r="C976" s="159"/>
      <c r="D976" s="159"/>
      <c r="E976" s="159"/>
      <c r="F976" s="159"/>
      <c r="G976" s="159"/>
      <c r="H976" s="159"/>
      <c r="I976" s="159"/>
      <c r="J976" s="159"/>
      <c r="K976" s="159"/>
      <c r="L976" s="159"/>
      <c r="N976" s="159"/>
      <c r="O976" s="159"/>
      <c r="P976" s="159"/>
      <c r="Q976" s="159"/>
      <c r="R976" s="159"/>
      <c r="S976" s="159"/>
      <c r="T976" s="159"/>
      <c r="U976" s="159"/>
      <c r="V976" s="159"/>
      <c r="W976" s="159"/>
      <c r="X976" s="159"/>
      <c r="Y976" s="159"/>
      <c r="Z976" s="159"/>
      <c r="AA976" s="159"/>
      <c r="AB976" s="159"/>
    </row>
    <row r="977">
      <c r="A977" s="159"/>
      <c r="B977" s="159"/>
      <c r="C977" s="159"/>
      <c r="D977" s="159"/>
      <c r="E977" s="159"/>
      <c r="F977" s="159"/>
      <c r="G977" s="159"/>
      <c r="H977" s="159"/>
      <c r="I977" s="159"/>
      <c r="J977" s="159"/>
      <c r="K977" s="159"/>
      <c r="L977" s="159"/>
      <c r="N977" s="159"/>
      <c r="O977" s="159"/>
      <c r="P977" s="159"/>
      <c r="Q977" s="159"/>
      <c r="R977" s="159"/>
      <c r="S977" s="159"/>
      <c r="T977" s="159"/>
      <c r="U977" s="159"/>
      <c r="V977" s="159"/>
      <c r="W977" s="159"/>
      <c r="X977" s="159"/>
      <c r="Y977" s="159"/>
      <c r="Z977" s="159"/>
      <c r="AA977" s="159"/>
      <c r="AB977" s="159"/>
    </row>
    <row r="978">
      <c r="A978" s="159"/>
      <c r="B978" s="159"/>
      <c r="C978" s="159"/>
      <c r="D978" s="159"/>
      <c r="E978" s="159"/>
      <c r="F978" s="159"/>
      <c r="G978" s="159"/>
      <c r="H978" s="159"/>
      <c r="I978" s="159"/>
      <c r="J978" s="159"/>
      <c r="K978" s="159"/>
      <c r="L978" s="159"/>
      <c r="N978" s="159"/>
      <c r="O978" s="159"/>
      <c r="P978" s="159"/>
      <c r="Q978" s="159"/>
      <c r="R978" s="159"/>
      <c r="S978" s="159"/>
      <c r="T978" s="159"/>
      <c r="U978" s="159"/>
      <c r="V978" s="159"/>
      <c r="W978" s="159"/>
      <c r="X978" s="159"/>
      <c r="Y978" s="159"/>
      <c r="Z978" s="159"/>
      <c r="AA978" s="159"/>
      <c r="AB978" s="159"/>
    </row>
    <row r="979">
      <c r="A979" s="159"/>
      <c r="B979" s="159"/>
      <c r="C979" s="159"/>
      <c r="D979" s="159"/>
      <c r="E979" s="159"/>
      <c r="F979" s="159"/>
      <c r="G979" s="159"/>
      <c r="H979" s="159"/>
      <c r="I979" s="159"/>
      <c r="J979" s="159"/>
      <c r="K979" s="159"/>
      <c r="L979" s="159"/>
      <c r="N979" s="159"/>
      <c r="O979" s="159"/>
      <c r="P979" s="159"/>
      <c r="Q979" s="159"/>
      <c r="R979" s="159"/>
      <c r="S979" s="159"/>
      <c r="T979" s="159"/>
      <c r="U979" s="159"/>
      <c r="V979" s="159"/>
      <c r="W979" s="159"/>
      <c r="X979" s="159"/>
      <c r="Y979" s="159"/>
      <c r="Z979" s="159"/>
      <c r="AA979" s="159"/>
      <c r="AB979" s="159"/>
    </row>
    <row r="980">
      <c r="A980" s="159"/>
      <c r="B980" s="159"/>
      <c r="C980" s="159"/>
      <c r="D980" s="159"/>
      <c r="E980" s="159"/>
      <c r="F980" s="159"/>
      <c r="G980" s="159"/>
      <c r="H980" s="159"/>
      <c r="I980" s="159"/>
      <c r="J980" s="159"/>
      <c r="K980" s="159"/>
      <c r="L980" s="159"/>
      <c r="N980" s="159"/>
      <c r="O980" s="159"/>
      <c r="P980" s="159"/>
      <c r="Q980" s="159"/>
      <c r="R980" s="159"/>
      <c r="S980" s="159"/>
      <c r="T980" s="159"/>
      <c r="U980" s="159"/>
      <c r="V980" s="159"/>
      <c r="W980" s="159"/>
      <c r="X980" s="159"/>
      <c r="Y980" s="159"/>
      <c r="Z980" s="159"/>
      <c r="AA980" s="159"/>
      <c r="AB980" s="159"/>
    </row>
    <row r="981">
      <c r="A981" s="159"/>
      <c r="B981" s="159"/>
      <c r="C981" s="159"/>
      <c r="D981" s="159"/>
      <c r="E981" s="159"/>
      <c r="F981" s="159"/>
      <c r="G981" s="159"/>
      <c r="H981" s="159"/>
      <c r="I981" s="159"/>
      <c r="J981" s="159"/>
      <c r="K981" s="159"/>
      <c r="L981" s="159"/>
      <c r="N981" s="159"/>
      <c r="O981" s="159"/>
      <c r="P981" s="159"/>
      <c r="Q981" s="159"/>
      <c r="R981" s="159"/>
      <c r="S981" s="159"/>
      <c r="T981" s="159"/>
      <c r="U981" s="159"/>
      <c r="V981" s="159"/>
      <c r="W981" s="159"/>
      <c r="X981" s="159"/>
      <c r="Y981" s="159"/>
      <c r="Z981" s="159"/>
      <c r="AA981" s="159"/>
      <c r="AB981" s="159"/>
    </row>
    <row r="982">
      <c r="A982" s="159"/>
      <c r="B982" s="159"/>
      <c r="C982" s="159"/>
      <c r="D982" s="159"/>
      <c r="E982" s="159"/>
      <c r="F982" s="159"/>
      <c r="G982" s="159"/>
      <c r="H982" s="159"/>
      <c r="I982" s="159"/>
      <c r="J982" s="159"/>
      <c r="K982" s="159"/>
      <c r="L982" s="159"/>
      <c r="N982" s="159"/>
      <c r="O982" s="159"/>
      <c r="P982" s="159"/>
      <c r="Q982" s="159"/>
      <c r="R982" s="159"/>
      <c r="S982" s="159"/>
      <c r="T982" s="159"/>
      <c r="U982" s="159"/>
      <c r="V982" s="159"/>
      <c r="W982" s="159"/>
      <c r="X982" s="159"/>
      <c r="Y982" s="159"/>
      <c r="Z982" s="159"/>
      <c r="AA982" s="159"/>
      <c r="AB982" s="159"/>
    </row>
    <row r="983">
      <c r="A983" s="159"/>
      <c r="B983" s="159"/>
      <c r="C983" s="159"/>
      <c r="D983" s="159"/>
      <c r="E983" s="159"/>
      <c r="F983" s="159"/>
      <c r="G983" s="159"/>
      <c r="H983" s="159"/>
      <c r="I983" s="159"/>
      <c r="J983" s="159"/>
      <c r="K983" s="159"/>
      <c r="L983" s="159"/>
      <c r="N983" s="159"/>
      <c r="O983" s="159"/>
      <c r="P983" s="159"/>
      <c r="Q983" s="159"/>
      <c r="R983" s="159"/>
      <c r="S983" s="159"/>
      <c r="T983" s="159"/>
      <c r="U983" s="159"/>
      <c r="V983" s="159"/>
      <c r="W983" s="159"/>
      <c r="X983" s="159"/>
      <c r="Y983" s="159"/>
      <c r="Z983" s="159"/>
      <c r="AA983" s="159"/>
      <c r="AB983" s="159"/>
    </row>
    <row r="984">
      <c r="A984" s="159"/>
      <c r="B984" s="159"/>
      <c r="C984" s="159"/>
      <c r="D984" s="159"/>
      <c r="E984" s="159"/>
      <c r="F984" s="159"/>
      <c r="G984" s="159"/>
      <c r="H984" s="159"/>
      <c r="I984" s="159"/>
      <c r="J984" s="159"/>
      <c r="K984" s="159"/>
      <c r="L984" s="159"/>
      <c r="N984" s="159"/>
      <c r="O984" s="159"/>
      <c r="P984" s="159"/>
      <c r="Q984" s="159"/>
      <c r="R984" s="159"/>
      <c r="S984" s="159"/>
      <c r="T984" s="159"/>
      <c r="U984" s="159"/>
      <c r="V984" s="159"/>
      <c r="W984" s="159"/>
      <c r="X984" s="159"/>
      <c r="Y984" s="159"/>
      <c r="Z984" s="159"/>
      <c r="AA984" s="159"/>
      <c r="AB984" s="159"/>
    </row>
    <row r="985">
      <c r="A985" s="159"/>
      <c r="B985" s="159"/>
      <c r="C985" s="159"/>
      <c r="D985" s="159"/>
      <c r="E985" s="159"/>
      <c r="F985" s="159"/>
      <c r="G985" s="159"/>
      <c r="H985" s="159"/>
      <c r="I985" s="159"/>
      <c r="J985" s="159"/>
      <c r="K985" s="159"/>
      <c r="L985" s="159"/>
      <c r="N985" s="159"/>
      <c r="O985" s="159"/>
      <c r="P985" s="159"/>
      <c r="Q985" s="159"/>
      <c r="R985" s="159"/>
      <c r="S985" s="159"/>
      <c r="T985" s="159"/>
      <c r="U985" s="159"/>
      <c r="V985" s="159"/>
      <c r="W985" s="159"/>
      <c r="X985" s="159"/>
      <c r="Y985" s="159"/>
      <c r="Z985" s="159"/>
      <c r="AA985" s="159"/>
      <c r="AB985" s="159"/>
    </row>
    <row r="986">
      <c r="A986" s="159"/>
      <c r="B986" s="159"/>
      <c r="C986" s="159"/>
      <c r="D986" s="159"/>
      <c r="E986" s="159"/>
      <c r="F986" s="159"/>
      <c r="G986" s="159"/>
      <c r="H986" s="159"/>
      <c r="I986" s="159"/>
      <c r="J986" s="159"/>
      <c r="K986" s="159"/>
      <c r="L986" s="159"/>
      <c r="N986" s="159"/>
      <c r="O986" s="159"/>
      <c r="P986" s="159"/>
      <c r="Q986" s="159"/>
      <c r="R986" s="159"/>
      <c r="S986" s="159"/>
      <c r="T986" s="159"/>
      <c r="U986" s="159"/>
      <c r="V986" s="159"/>
      <c r="W986" s="159"/>
      <c r="X986" s="159"/>
      <c r="Y986" s="159"/>
      <c r="Z986" s="159"/>
      <c r="AA986" s="159"/>
      <c r="AB986" s="159"/>
    </row>
    <row r="987">
      <c r="A987" s="159"/>
      <c r="B987" s="159"/>
      <c r="C987" s="159"/>
      <c r="D987" s="159"/>
      <c r="E987" s="159"/>
      <c r="F987" s="159"/>
      <c r="G987" s="159"/>
      <c r="H987" s="159"/>
      <c r="I987" s="159"/>
      <c r="J987" s="159"/>
      <c r="K987" s="159"/>
      <c r="L987" s="159"/>
      <c r="N987" s="159"/>
      <c r="O987" s="159"/>
      <c r="P987" s="159"/>
      <c r="Q987" s="159"/>
      <c r="R987" s="159"/>
      <c r="S987" s="159"/>
      <c r="T987" s="159"/>
      <c r="U987" s="159"/>
      <c r="V987" s="159"/>
      <c r="W987" s="159"/>
      <c r="X987" s="159"/>
      <c r="Y987" s="159"/>
      <c r="Z987" s="159"/>
      <c r="AA987" s="159"/>
      <c r="AB987" s="159"/>
    </row>
    <row r="988">
      <c r="A988" s="159"/>
      <c r="B988" s="159"/>
      <c r="C988" s="159"/>
      <c r="D988" s="159"/>
      <c r="E988" s="159"/>
      <c r="F988" s="159"/>
      <c r="G988" s="159"/>
      <c r="H988" s="159"/>
      <c r="I988" s="159"/>
      <c r="J988" s="159"/>
      <c r="K988" s="159"/>
      <c r="L988" s="159"/>
      <c r="N988" s="159"/>
      <c r="O988" s="159"/>
      <c r="P988" s="159"/>
      <c r="Q988" s="159"/>
      <c r="R988" s="159"/>
      <c r="S988" s="159"/>
      <c r="T988" s="159"/>
      <c r="U988" s="159"/>
      <c r="V988" s="159"/>
      <c r="W988" s="159"/>
      <c r="X988" s="159"/>
      <c r="Y988" s="159"/>
      <c r="Z988" s="159"/>
      <c r="AA988" s="159"/>
      <c r="AB988" s="159"/>
    </row>
    <row r="989">
      <c r="A989" s="159"/>
      <c r="B989" s="159"/>
      <c r="C989" s="159"/>
      <c r="D989" s="159"/>
      <c r="E989" s="159"/>
      <c r="F989" s="159"/>
      <c r="G989" s="159"/>
      <c r="H989" s="159"/>
      <c r="I989" s="159"/>
      <c r="J989" s="159"/>
      <c r="K989" s="159"/>
      <c r="L989" s="159"/>
      <c r="N989" s="159"/>
      <c r="O989" s="159"/>
      <c r="P989" s="159"/>
      <c r="Q989" s="159"/>
      <c r="R989" s="159"/>
      <c r="S989" s="159"/>
      <c r="T989" s="159"/>
      <c r="U989" s="159"/>
      <c r="V989" s="159"/>
      <c r="W989" s="159"/>
      <c r="X989" s="159"/>
      <c r="Y989" s="159"/>
      <c r="Z989" s="159"/>
      <c r="AA989" s="159"/>
      <c r="AB989" s="159"/>
    </row>
    <row r="990">
      <c r="A990" s="159"/>
      <c r="B990" s="159"/>
      <c r="C990" s="159"/>
      <c r="D990" s="159"/>
      <c r="E990" s="159"/>
      <c r="F990" s="159"/>
      <c r="G990" s="159"/>
      <c r="H990" s="159"/>
      <c r="I990" s="159"/>
      <c r="J990" s="159"/>
      <c r="K990" s="159"/>
      <c r="L990" s="159"/>
      <c r="N990" s="159"/>
      <c r="O990" s="159"/>
      <c r="P990" s="159"/>
      <c r="Q990" s="159"/>
      <c r="R990" s="159"/>
      <c r="S990" s="159"/>
      <c r="T990" s="159"/>
      <c r="U990" s="159"/>
      <c r="V990" s="159"/>
      <c r="W990" s="159"/>
      <c r="X990" s="159"/>
      <c r="Y990" s="159"/>
      <c r="Z990" s="159"/>
      <c r="AA990" s="159"/>
      <c r="AB990" s="159"/>
    </row>
    <row r="991">
      <c r="A991" s="159"/>
      <c r="B991" s="159"/>
      <c r="C991" s="159"/>
      <c r="D991" s="159"/>
      <c r="E991" s="159"/>
      <c r="F991" s="159"/>
      <c r="G991" s="159"/>
      <c r="H991" s="159"/>
      <c r="I991" s="159"/>
      <c r="J991" s="159"/>
      <c r="K991" s="159"/>
      <c r="L991" s="159"/>
      <c r="N991" s="159"/>
      <c r="O991" s="159"/>
      <c r="P991" s="159"/>
      <c r="Q991" s="159"/>
      <c r="R991" s="159"/>
      <c r="S991" s="159"/>
      <c r="T991" s="159"/>
      <c r="U991" s="159"/>
      <c r="V991" s="159"/>
      <c r="W991" s="159"/>
      <c r="X991" s="159"/>
      <c r="Y991" s="159"/>
      <c r="Z991" s="159"/>
      <c r="AA991" s="159"/>
      <c r="AB991" s="159"/>
    </row>
    <row r="992">
      <c r="A992" s="159"/>
      <c r="B992" s="159"/>
      <c r="C992" s="159"/>
      <c r="D992" s="159"/>
      <c r="E992" s="159"/>
      <c r="F992" s="159"/>
      <c r="G992" s="159"/>
      <c r="H992" s="159"/>
      <c r="I992" s="159"/>
      <c r="J992" s="159"/>
      <c r="K992" s="159"/>
      <c r="L992" s="159"/>
      <c r="N992" s="159"/>
      <c r="O992" s="159"/>
      <c r="P992" s="159"/>
      <c r="Q992" s="159"/>
      <c r="R992" s="159"/>
      <c r="S992" s="159"/>
      <c r="T992" s="159"/>
      <c r="U992" s="159"/>
      <c r="V992" s="159"/>
      <c r="W992" s="159"/>
      <c r="X992" s="159"/>
      <c r="Y992" s="159"/>
      <c r="Z992" s="159"/>
      <c r="AA992" s="159"/>
      <c r="AB992" s="159"/>
    </row>
    <row r="993">
      <c r="A993" s="159"/>
      <c r="B993" s="159"/>
      <c r="C993" s="159"/>
      <c r="D993" s="159"/>
      <c r="E993" s="159"/>
      <c r="F993" s="159"/>
      <c r="G993" s="159"/>
      <c r="H993" s="159"/>
      <c r="I993" s="159"/>
      <c r="J993" s="159"/>
      <c r="K993" s="159"/>
      <c r="L993" s="159"/>
      <c r="N993" s="159"/>
      <c r="O993" s="159"/>
      <c r="P993" s="159"/>
      <c r="Q993" s="159"/>
      <c r="R993" s="159"/>
      <c r="S993" s="159"/>
      <c r="T993" s="159"/>
      <c r="U993" s="159"/>
      <c r="V993" s="159"/>
      <c r="W993" s="159"/>
      <c r="X993" s="159"/>
      <c r="Y993" s="159"/>
      <c r="Z993" s="159"/>
      <c r="AA993" s="159"/>
      <c r="AB993" s="159"/>
    </row>
    <row r="994">
      <c r="A994" s="159"/>
      <c r="B994" s="159"/>
      <c r="C994" s="159"/>
      <c r="D994" s="159"/>
      <c r="E994" s="159"/>
      <c r="F994" s="159"/>
      <c r="G994" s="159"/>
      <c r="H994" s="159"/>
      <c r="I994" s="159"/>
      <c r="J994" s="159"/>
      <c r="K994" s="159"/>
      <c r="L994" s="159"/>
      <c r="N994" s="159"/>
      <c r="O994" s="159"/>
      <c r="P994" s="159"/>
      <c r="Q994" s="159"/>
      <c r="R994" s="159"/>
      <c r="S994" s="159"/>
      <c r="T994" s="159"/>
      <c r="U994" s="159"/>
      <c r="V994" s="159"/>
      <c r="W994" s="159"/>
      <c r="X994" s="159"/>
      <c r="Y994" s="159"/>
      <c r="Z994" s="159"/>
      <c r="AA994" s="159"/>
      <c r="AB994" s="159"/>
    </row>
    <row r="995">
      <c r="A995" s="159"/>
      <c r="B995" s="159"/>
      <c r="C995" s="159"/>
      <c r="D995" s="159"/>
      <c r="E995" s="159"/>
      <c r="F995" s="159"/>
      <c r="G995" s="159"/>
      <c r="H995" s="159"/>
      <c r="I995" s="159"/>
      <c r="J995" s="159"/>
      <c r="K995" s="159"/>
      <c r="L995" s="159"/>
      <c r="N995" s="159"/>
      <c r="O995" s="159"/>
      <c r="P995" s="159"/>
      <c r="Q995" s="159"/>
      <c r="R995" s="159"/>
      <c r="S995" s="159"/>
      <c r="T995" s="159"/>
      <c r="U995" s="159"/>
      <c r="V995" s="159"/>
      <c r="W995" s="159"/>
      <c r="X995" s="159"/>
      <c r="Y995" s="159"/>
      <c r="Z995" s="159"/>
      <c r="AA995" s="159"/>
      <c r="AB995" s="159"/>
    </row>
    <row r="996">
      <c r="A996" s="159"/>
      <c r="B996" s="159"/>
      <c r="C996" s="159"/>
      <c r="D996" s="159"/>
      <c r="E996" s="159"/>
      <c r="F996" s="159"/>
      <c r="G996" s="159"/>
      <c r="H996" s="159"/>
      <c r="I996" s="159"/>
      <c r="J996" s="159"/>
      <c r="K996" s="159"/>
      <c r="L996" s="159"/>
      <c r="N996" s="159"/>
      <c r="O996" s="159"/>
      <c r="P996" s="159"/>
      <c r="Q996" s="159"/>
      <c r="R996" s="159"/>
      <c r="S996" s="159"/>
      <c r="T996" s="159"/>
      <c r="U996" s="159"/>
      <c r="V996" s="159"/>
      <c r="W996" s="159"/>
      <c r="X996" s="159"/>
      <c r="Y996" s="159"/>
      <c r="Z996" s="159"/>
      <c r="AA996" s="159"/>
      <c r="AB996" s="159"/>
    </row>
    <row r="997">
      <c r="A997" s="159"/>
      <c r="B997" s="159"/>
      <c r="C997" s="159"/>
      <c r="D997" s="159"/>
      <c r="E997" s="159"/>
      <c r="F997" s="159"/>
      <c r="G997" s="159"/>
      <c r="H997" s="159"/>
      <c r="I997" s="159"/>
      <c r="J997" s="159"/>
      <c r="K997" s="159"/>
      <c r="L997" s="159"/>
      <c r="N997" s="159"/>
      <c r="O997" s="159"/>
      <c r="P997" s="159"/>
      <c r="Q997" s="159"/>
      <c r="R997" s="159"/>
      <c r="S997" s="159"/>
      <c r="T997" s="159"/>
      <c r="U997" s="159"/>
      <c r="V997" s="159"/>
      <c r="W997" s="159"/>
      <c r="X997" s="159"/>
      <c r="Y997" s="159"/>
      <c r="Z997" s="159"/>
      <c r="AA997" s="159"/>
      <c r="AB997" s="159"/>
    </row>
    <row r="998">
      <c r="A998" s="159"/>
      <c r="B998" s="159"/>
      <c r="C998" s="159"/>
      <c r="D998" s="159"/>
      <c r="E998" s="159"/>
      <c r="F998" s="159"/>
      <c r="G998" s="159"/>
      <c r="H998" s="159"/>
      <c r="I998" s="159"/>
      <c r="J998" s="159"/>
      <c r="K998" s="159"/>
      <c r="L998" s="159"/>
      <c r="N998" s="159"/>
      <c r="O998" s="159"/>
      <c r="P998" s="159"/>
      <c r="Q998" s="159"/>
      <c r="R998" s="159"/>
      <c r="S998" s="159"/>
      <c r="T998" s="159"/>
      <c r="U998" s="159"/>
      <c r="V998" s="159"/>
      <c r="W998" s="159"/>
      <c r="X998" s="159"/>
      <c r="Y998" s="159"/>
      <c r="Z998" s="159"/>
      <c r="AA998" s="159"/>
      <c r="AB998" s="159"/>
    </row>
    <row r="999">
      <c r="A999" s="159"/>
      <c r="B999" s="159"/>
      <c r="C999" s="159"/>
      <c r="D999" s="159"/>
      <c r="E999" s="159"/>
      <c r="F999" s="159"/>
      <c r="G999" s="159"/>
      <c r="H999" s="159"/>
      <c r="I999" s="159"/>
      <c r="J999" s="159"/>
      <c r="K999" s="159"/>
      <c r="L999" s="159"/>
      <c r="N999" s="159"/>
      <c r="O999" s="159"/>
      <c r="P999" s="159"/>
      <c r="Q999" s="159"/>
      <c r="R999" s="159"/>
      <c r="S999" s="159"/>
      <c r="T999" s="159"/>
      <c r="U999" s="159"/>
      <c r="V999" s="159"/>
      <c r="W999" s="159"/>
      <c r="X999" s="159"/>
      <c r="Y999" s="159"/>
      <c r="Z999" s="159"/>
      <c r="AA999" s="159"/>
      <c r="AB999" s="159"/>
    </row>
    <row r="1000">
      <c r="A1000" s="159"/>
      <c r="B1000" s="159"/>
      <c r="C1000" s="159"/>
      <c r="D1000" s="159"/>
      <c r="E1000" s="159"/>
      <c r="F1000" s="159"/>
      <c r="G1000" s="159"/>
      <c r="H1000" s="159"/>
      <c r="I1000" s="159"/>
      <c r="J1000" s="159"/>
      <c r="K1000" s="159"/>
      <c r="L1000" s="159"/>
      <c r="N1000" s="159"/>
      <c r="O1000" s="159"/>
      <c r="P1000" s="159"/>
      <c r="Q1000" s="159"/>
      <c r="R1000" s="159"/>
      <c r="S1000" s="159"/>
      <c r="T1000" s="159"/>
      <c r="U1000" s="159"/>
      <c r="V1000" s="159"/>
      <c r="W1000" s="159"/>
      <c r="X1000" s="159"/>
      <c r="Y1000" s="159"/>
      <c r="Z1000" s="159"/>
      <c r="AA1000" s="159"/>
      <c r="AB1000" s="159"/>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5" t="s">
        <v>517</v>
      </c>
    </row>
    <row r="2">
      <c r="A2" s="76" t="s">
        <v>327</v>
      </c>
      <c r="B2" s="177">
        <v>0.7409722222222223</v>
      </c>
      <c r="C2" s="178">
        <v>46307.0</v>
      </c>
      <c r="D2" s="179" t="s">
        <v>518</v>
      </c>
    </row>
  </sheetData>
  <drawing r:id="rId1"/>
</worksheet>
</file>