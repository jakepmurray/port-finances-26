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<sst xmlns="http://schemas.openxmlformats.org/spreadsheetml/2006/main" count="437" uniqueCount="253">
  <si>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</si>
  <si>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</si>
  <si>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</si>
  <si>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</si>
  <si>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</si>
  <si>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</si>
  <si>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</si>
  <si>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</si>
  <si>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>EVENTS MASTER - All Team Events &amp; Costs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</si>
  <si>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</si>
  <si>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</si>
  <si>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</si>
  <si>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</si>
  <si>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</si>
  <si>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</si>
  <si>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</si>
  <si>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</si>
  <si>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</si>
  <si>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</si>
  <si>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</si>
  <si>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</si>
  <si>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</si>
  <si>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</si>
  <si>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</si>
  <si>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</si>
  <si>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03/18/2025</t>
  </si>
  <si>
    <t>Tournament</t>
  </si>
  <si>
    <t>Browns Summit</t>
  </si>
  <si>
    <t>SFI</t>
  </si>
  <si>
    <t>03/14/2025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</si>
  <si>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</si>
  <si>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</si>
  <si>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</si>
  <si>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</si>
  <si>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</si>
  <si>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</si>
  <si>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</si>
  <si>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</si>
  <si>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</si>
  <si>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</si>
  <si>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</si>
  <si>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</si>
  <si>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</si>
  <si>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</si>
  <si>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</si>
  <si>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</si>
  <si>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</si>
  <si>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</si>
  <si>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</si>
  <si>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</si>
  <si>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</si>
  <si>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</si>
  <si>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</si>
  <si>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</si>
  <si>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</si>
  <si>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</si>
  <si>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</si>
  <si>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</si>
  <si>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</si>
  <si>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</si>
  <si>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</si>
  <si>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</si>
  <si>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</si>
  <si>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</si>
  <si>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</si>
  <si>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</si>
  <si>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</si>
  <si>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</si>
  <si>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</si>
  <si>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</si>
  <si>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</si>
  <si>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</si>
  <si>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</si>
  <si>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</si>
  <si>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divided evenly b/w everyone except Dick!</t>
  </si>
  <si>
    <t>pec minivan</t>
  </si>
  <si>
    <t>Travel</t>
  </si>
  <si>
    <t>jake murray</t>
  </si>
  <si>
    <t>jake, viv, at, shani, dudley, db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</si>
  <si>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</si>
  <si>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</si>
  <si>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</si>
  <si>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</si>
  <si>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</si>
  <si>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</si>
  <si>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</si>
  <si>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</si>
  <si>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</si>
  <si>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</si>
  <si>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</si>
  <si>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</si>
  <si>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</si>
  <si>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</si>
  <si>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Yes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</si>
  <si>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</si>
  <si>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</si>
  <si>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</si>
  <si>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</si>
  <si>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</si>
  <si>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</si>
  <si>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</si>
  <si>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</si>
  <si>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</si>
  <si>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</si>
  <si>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</si>
  <si>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</si>
  <si>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</si>
  <si>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</si>
  <si>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</si>
  <si>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</si>
  <si>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</si>
  <si>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</si>
  <si>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</si>
  <si>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</si>
  <si>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</si>
  <si>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</si>
  <si>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</si>
  <si>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</si>
  <si>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</si>
  <si>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</si>
  <si>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</si>
  <si>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</si>
  <si>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</si>
  <si>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</si>
  <si>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</si>
  <si>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</si>
  <si>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</si>
  <si>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</si>
  <si>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</si>
  <si>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</si>
  <si>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</si>
  <si>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</si>
  <si>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</si>
  <si>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</si>
  <si>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</si>
  <si>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</si>
  <si>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</si>
  <si>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</si>
  <si>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</si>
  <si>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</si>
  <si>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</si>
  <si>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</si>
  <si>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</si>
  <si>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</si>
  <si>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</si>
  <si>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</si>
  <si>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</si>
  <si>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</si>
  <si>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</si>
  <si>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</si>
  <si>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</si>
  <si>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</si>
  <si>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</si>
  <si>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</si>
  <si>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</si>
  <si>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</si>
  <si>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</si>
  <si>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</si>
  <si>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</si>
  <si>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</si>
  <si>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</si>
  <si>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</si>
  <si>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</si>
  <si>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</si>
  <si>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</si>
  <si>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</si>
  <si>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</si>
  <si>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</si>
  <si>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</si>
  <si>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</si>
  <si>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</si>
  <si>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</si>
  <si>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</si>
  <si>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</si>
  <si>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</si>
  <si>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</si>
  <si>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</si>
  <si>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</si>
  <si>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</si>
  <si>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</si>
  <si>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</si>
  <si>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</si>
  <si>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</si>
  <si>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</si>
  <si>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</si>
  <si>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</si>
  <si>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</si>
  <si>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</si>
  <si>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</si>
  <si>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</si>
  <si>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</si>
  <si>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</si>
  <si>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JM</t>
  </si>
  <si>
    <t>Treasurer</t>
  </si>
  <si>
    <t>Jenna Nold</t>
  </si>
  <si>
    <t>JN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</si>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</sst>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6" t="s">
        <v>25</v>
      </c>
      <c r="C6" s="6"/>
      <c r="D6" s="6" t="s">
        <v>26</v>
      </c>
      <c r="E6" s="6" t="s">
        <v>27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28</v>
      </c>
      <c r="B7" s="16" t="s">
        <v>29</v>
      </c>
      <c r="C7" s="6"/>
      <c r="D7" s="6" t="s">
        <v>26</v>
      </c>
      <c r="E7" s="6" t="s">
        <v>30</v>
      </c>
      <c r="F7" s="7">
        <v>1050.0</v>
      </c>
      <c r="G7" s="17">
        <v>1050.0</v>
      </c>
      <c r="H7" s="6"/>
      <c r="I7" s="6" t="s">
        <v>22</v>
      </c>
      <c r="J7" s="19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31</v>
      </c>
      <c r="B8" s="16"/>
      <c r="C8" s="6"/>
      <c r="D8" s="6" t="s">
        <v>32</v>
      </c>
      <c r="E8" s="6" t="s">
        <v>33</v>
      </c>
      <c r="F8" s="7">
        <v>0.0</v>
      </c>
      <c r="G8" s="17">
        <v>-123.0</v>
      </c>
      <c r="H8" s="6"/>
      <c r="I8" s="6"/>
      <c r="J8" s="18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35</v>
      </c>
      <c r="B9" s="16">
        <v>45706.0</v>
      </c>
      <c r="C9" s="6"/>
      <c r="D9" s="6" t="s">
        <v>32</v>
      </c>
      <c r="E9" s="6" t="s">
        <v>33</v>
      </c>
      <c r="F9" s="7">
        <v>0.0</v>
      </c>
      <c r="G9" s="17">
        <v>-956.0</v>
      </c>
      <c r="H9" s="6"/>
      <c r="I9" s="6"/>
      <c r="J9" s="19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36</v>
      </c>
      <c r="B10" s="16">
        <v>45706.0</v>
      </c>
      <c r="C10" s="6"/>
      <c r="D10" s="6" t="s">
        <v>32</v>
      </c>
      <c r="E10" s="6" t="s">
        <v>37</v>
      </c>
      <c r="F10" s="7">
        <v>0.0</v>
      </c>
      <c r="G10" s="17">
        <v>1030.0</v>
      </c>
      <c r="H10" s="6"/>
      <c r="I10" s="6"/>
      <c r="J10" s="18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38</v>
      </c>
      <c r="B11" s="16"/>
      <c r="C11" s="6"/>
      <c r="D11" s="6" t="s">
        <v>39</v>
      </c>
      <c r="E11" s="6" t="s">
        <v>40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19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0"/>
      <c r="C12" s="10"/>
      <c r="D12" s="10"/>
      <c r="E12" s="10"/>
      <c r="F12" s="11"/>
      <c r="G12" s="21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0"/>
      <c r="C13" s="10"/>
      <c r="D13" s="10"/>
      <c r="E13" s="10"/>
      <c r="F13" s="11"/>
      <c r="G13" s="21">
        <f>IFERROR(SUMIFS(Transactions!$F$7:$F$996,Transactions!$G$7:$G$996,A13,Transactions!$D$7:$D$996,"Expense"),0)</f>
        <v>0</v>
      </c>
      <c r="H13" s="10"/>
      <c r="I13" s="10"/>
      <c r="J13" s="1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0"/>
      <c r="C14" s="10"/>
      <c r="D14" s="10"/>
      <c r="E14" s="10"/>
      <c r="F14" s="11"/>
      <c r="G14" s="21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0"/>
      <c r="C15" s="10"/>
      <c r="D15" s="10"/>
      <c r="E15" s="10"/>
      <c r="F15" s="11"/>
      <c r="G15" s="21">
        <f>IFERROR(SUMIFS(Transactions!$F$7:$F$996,Transactions!$G$7:$G$996,A15,Transactions!$D$7:$D$996,"Expense"),0)</f>
        <v>0</v>
      </c>
      <c r="H15" s="10"/>
      <c r="I15" s="10"/>
      <c r="J15" s="19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0"/>
      <c r="C16" s="10"/>
      <c r="D16" s="10"/>
      <c r="E16" s="10"/>
      <c r="F16" s="11"/>
      <c r="G16" s="21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0"/>
      <c r="C17" s="10"/>
      <c r="D17" s="10"/>
      <c r="E17" s="10"/>
      <c r="F17" s="11"/>
      <c r="G17" s="21">
        <f>IFERROR(SUMIFS(Transactions!$F$7:$F$996,Transactions!$G$7:$G$996,A17,Transactions!$D$7:$D$996,"Expense"),0)</f>
        <v>0</v>
      </c>
      <c r="H17" s="10"/>
      <c r="I17" s="10"/>
      <c r="J17" s="19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0"/>
      <c r="C18" s="10"/>
      <c r="D18" s="10"/>
      <c r="E18" s="10"/>
      <c r="F18" s="11"/>
      <c r="G18" s="21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0"/>
      <c r="C19" s="10"/>
      <c r="D19" s="10"/>
      <c r="E19" s="10"/>
      <c r="F19" s="11"/>
      <c r="G19" s="21">
        <f>IFERROR(SUMIFS(Transactions!$F$7:$F$996,Transactions!$G$7:$G$996,A19,Transactions!$D$7:$D$996,"Expense"),0)</f>
        <v>0</v>
      </c>
      <c r="H19" s="10"/>
      <c r="I19" s="10"/>
      <c r="J19" s="19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0"/>
      <c r="C20" s="10"/>
      <c r="D20" s="10"/>
      <c r="E20" s="10"/>
      <c r="F20" s="11"/>
      <c r="G20" s="21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0"/>
      <c r="C21" s="10"/>
      <c r="D21" s="10"/>
      <c r="E21" s="10"/>
      <c r="F21" s="11"/>
      <c r="G21" s="21">
        <f>IFERROR(SUMIFS(Transactions!$F$7:$F$996,Transactions!$G$7:$G$996,A21,Transactions!$D$7:$D$996,"Expense"),0)</f>
        <v>0</v>
      </c>
      <c r="H21" s="10"/>
      <c r="I21" s="10"/>
      <c r="J21" s="19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0"/>
      <c r="C22" s="10"/>
      <c r="D22" s="10"/>
      <c r="E22" s="10"/>
      <c r="F22" s="11"/>
      <c r="G22" s="21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0"/>
      <c r="C23" s="10"/>
      <c r="D23" s="10"/>
      <c r="E23" s="10"/>
      <c r="F23" s="11"/>
      <c r="G23" s="21">
        <f>IFERROR(SUMIFS(Transactions!$F$7:$F$996,Transactions!$G$7:$G$996,A23,Transactions!$D$7:$D$996,"Expense"),0)</f>
        <v>0</v>
      </c>
      <c r="H23" s="10"/>
      <c r="I23" s="10"/>
      <c r="J23" s="19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0"/>
      <c r="C24" s="10"/>
      <c r="D24" s="10"/>
      <c r="E24" s="10"/>
      <c r="F24" s="11"/>
      <c r="G24" s="21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0"/>
      <c r="C25" s="10"/>
      <c r="D25" s="10"/>
      <c r="E25" s="10"/>
      <c r="F25" s="11"/>
      <c r="G25" s="21">
        <f>IFERROR(SUMIFS(Transactions!$F$7:$F$996,Transactions!$G$7:$G$996,A25,Transactions!$D$7:$D$996,"Expense"),0)</f>
        <v>0</v>
      </c>
      <c r="H25" s="10"/>
      <c r="I25" s="10"/>
      <c r="J25" s="19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0"/>
      <c r="C26" s="10"/>
      <c r="D26" s="10"/>
      <c r="E26" s="10"/>
      <c r="F26" s="11"/>
      <c r="G26" s="21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0"/>
      <c r="C27" s="10"/>
      <c r="D27" s="10"/>
      <c r="E27" s="10"/>
      <c r="F27" s="11"/>
      <c r="G27" s="21">
        <f>IFERROR(SUMIFS(Transactions!$F$7:$F$996,Transactions!$G$7:$G$996,A27,Transactions!$D$7:$D$996,"Expense"),0)</f>
        <v>0</v>
      </c>
      <c r="H27" s="10"/>
      <c r="I27" s="10"/>
      <c r="J27" s="19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0"/>
      <c r="C28" s="10"/>
      <c r="D28" s="10"/>
      <c r="E28" s="10"/>
      <c r="F28" s="11"/>
      <c r="G28" s="21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0"/>
      <c r="C29" s="10"/>
      <c r="D29" s="10"/>
      <c r="E29" s="10"/>
      <c r="F29" s="11"/>
      <c r="G29" s="21">
        <f>IFERROR(SUMIFS(Transactions!$F$7:$F$996,Transactions!$G$7:$G$996,A29,Transactions!$D$7:$D$996,"Expense"),0)</f>
        <v>0</v>
      </c>
      <c r="H29" s="10"/>
      <c r="I29" s="10"/>
      <c r="J29" s="19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0"/>
      <c r="C30" s="10"/>
      <c r="D30" s="10"/>
      <c r="E30" s="10"/>
      <c r="F30" s="11"/>
      <c r="G30" s="21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0"/>
      <c r="C31" s="10"/>
      <c r="D31" s="10"/>
      <c r="E31" s="10"/>
      <c r="F31" s="11"/>
      <c r="G31" s="21">
        <f>IFERROR(SUMIFS(Transactions!$F$7:$F$996,Transactions!$G$7:$G$996,A31,Transactions!$D$7:$D$996,"Expense"),0)</f>
        <v>0</v>
      </c>
      <c r="H31" s="10"/>
      <c r="I31" s="10"/>
      <c r="J31" s="19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0"/>
      <c r="C32" s="10"/>
      <c r="D32" s="10"/>
      <c r="E32" s="10"/>
      <c r="F32" s="11"/>
      <c r="G32" s="21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0"/>
      <c r="C33" s="10"/>
      <c r="D33" s="10"/>
      <c r="E33" s="10"/>
      <c r="F33" s="11"/>
      <c r="G33" s="21">
        <f>IFERROR(SUMIFS(Transactions!$F$7:$F$996,Transactions!$G$7:$G$996,A33,Transactions!$D$7:$D$996,"Expense"),0)</f>
        <v>0</v>
      </c>
      <c r="H33" s="10"/>
      <c r="I33" s="10"/>
      <c r="J33" s="19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0"/>
      <c r="C34" s="10"/>
      <c r="D34" s="10"/>
      <c r="E34" s="10"/>
      <c r="F34" s="11"/>
      <c r="G34" s="21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0"/>
      <c r="C35" s="10"/>
      <c r="D35" s="10"/>
      <c r="E35" s="10"/>
      <c r="F35" s="11"/>
      <c r="G35" s="21">
        <f>IFERROR(SUMIFS(Transactions!$F$7:$F$996,Transactions!$G$7:$G$996,A35,Transactions!$D$7:$D$996,"Expense"),0)</f>
        <v>0</v>
      </c>
      <c r="H35" s="10"/>
      <c r="I35" s="10"/>
      <c r="J35" s="19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0"/>
      <c r="C36" s="10"/>
      <c r="D36" s="10"/>
      <c r="E36" s="10"/>
      <c r="F36" s="11"/>
      <c r="G36" s="21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0"/>
      <c r="C37" s="10"/>
      <c r="D37" s="10"/>
      <c r="E37" s="10"/>
      <c r="F37" s="11"/>
      <c r="G37" s="21">
        <f>IFERROR(SUMIFS(Transactions!$F$7:$F$996,Transactions!$G$7:$G$996,A37,Transactions!$D$7:$D$996,"Expense"),0)</f>
        <v>0</v>
      </c>
      <c r="H37" s="10"/>
      <c r="I37" s="10"/>
      <c r="J37" s="19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0"/>
      <c r="C38" s="10"/>
      <c r="D38" s="10"/>
      <c r="E38" s="10"/>
      <c r="F38" s="11"/>
      <c r="G38" s="21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0"/>
      <c r="C39" s="10"/>
      <c r="D39" s="10"/>
      <c r="E39" s="10"/>
      <c r="F39" s="11"/>
      <c r="G39" s="21">
        <f>IFERROR(SUMIFS(Transactions!$F$7:$F$996,Transactions!$G$7:$G$996,A39,Transactions!$D$7:$D$996,"Expense"),0)</f>
        <v>0</v>
      </c>
      <c r="H39" s="10"/>
      <c r="I39" s="10"/>
      <c r="J39" s="19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0"/>
      <c r="C40" s="10"/>
      <c r="D40" s="10"/>
      <c r="E40" s="10"/>
      <c r="F40" s="11"/>
      <c r="G40" s="21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0"/>
      <c r="C41" s="10"/>
      <c r="D41" s="10"/>
      <c r="E41" s="10"/>
      <c r="F41" s="11"/>
      <c r="G41" s="21">
        <f>IFERROR(SUMIFS(Transactions!$F$7:$F$996,Transactions!$G$7:$G$996,A41,Transactions!$D$7:$D$996,"Expense"),0)</f>
        <v>0</v>
      </c>
      <c r="H41" s="10"/>
      <c r="I41" s="10"/>
      <c r="J41" s="19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0"/>
      <c r="C42" s="10"/>
      <c r="D42" s="10"/>
      <c r="E42" s="10"/>
      <c r="F42" s="11"/>
      <c r="G42" s="21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0"/>
      <c r="C43" s="10"/>
      <c r="D43" s="10"/>
      <c r="E43" s="10"/>
      <c r="F43" s="11"/>
      <c r="G43" s="21">
        <f>IFERROR(SUMIFS(Transactions!$F$7:$F$996,Transactions!$G$7:$G$996,A43,Transactions!$D$7:$D$996,"Expense"),0)</f>
        <v>0</v>
      </c>
      <c r="H43" s="10"/>
      <c r="I43" s="10"/>
      <c r="J43" s="19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0"/>
      <c r="C44" s="10"/>
      <c r="D44" s="10"/>
      <c r="E44" s="10"/>
      <c r="F44" s="11"/>
      <c r="G44" s="21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0"/>
      <c r="C45" s="10"/>
      <c r="D45" s="10"/>
      <c r="E45" s="10"/>
      <c r="F45" s="11"/>
      <c r="G45" s="21">
        <f>IFERROR(SUMIFS(Transactions!$F$7:$F$996,Transactions!$G$7:$G$996,A45,Transactions!$D$7:$D$996,"Expense"),0)</f>
        <v>0</v>
      </c>
      <c r="H45" s="10"/>
      <c r="I45" s="10"/>
      <c r="J45" s="19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0"/>
      <c r="C46" s="10"/>
      <c r="D46" s="10"/>
      <c r="E46" s="10"/>
      <c r="F46" s="11"/>
      <c r="G46" s="21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0"/>
      <c r="C47" s="10"/>
      <c r="D47" s="10"/>
      <c r="E47" s="10"/>
      <c r="F47" s="11"/>
      <c r="G47" s="21">
        <f>IFERROR(SUMIFS(Transactions!$F$7:$F$996,Transactions!$G$7:$G$996,A47,Transactions!$D$7:$D$996,"Expense"),0)</f>
        <v>0</v>
      </c>
      <c r="H47" s="10"/>
      <c r="I47" s="10"/>
      <c r="J47" s="19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0"/>
      <c r="C48" s="10"/>
      <c r="D48" s="10"/>
      <c r="E48" s="10"/>
      <c r="F48" s="11"/>
      <c r="G48" s="21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0"/>
      <c r="C49" s="10"/>
      <c r="D49" s="10"/>
      <c r="E49" s="10"/>
      <c r="F49" s="11"/>
      <c r="G49" s="21">
        <f>IFERROR(SUMIFS(Transactions!$F$7:$F$996,Transactions!$G$7:$G$996,A49,Transactions!$D$7:$D$996,"Expense"),0)</f>
        <v>0</v>
      </c>
      <c r="H49" s="10"/>
      <c r="I49" s="10"/>
      <c r="J49" s="19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0"/>
      <c r="C50" s="10"/>
      <c r="D50" s="10"/>
      <c r="E50" s="10"/>
      <c r="F50" s="11"/>
      <c r="G50" s="21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0"/>
      <c r="C51" s="10"/>
      <c r="D51" s="10"/>
      <c r="E51" s="10"/>
      <c r="F51" s="11"/>
      <c r="G51" s="21">
        <f>IFERROR(SUMIFS(Transactions!$F$7:$F$996,Transactions!$G$7:$G$996,A51,Transactions!$D$7:$D$996,"Expense"),0)</f>
        <v>0</v>
      </c>
      <c r="H51" s="10"/>
      <c r="I51" s="10"/>
      <c r="J51" s="19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0"/>
      <c r="C52" s="10"/>
      <c r="D52" s="10"/>
      <c r="E52" s="10"/>
      <c r="F52" s="11"/>
      <c r="G52" s="21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0"/>
      <c r="C53" s="10"/>
      <c r="D53" s="10"/>
      <c r="E53" s="10"/>
      <c r="F53" s="11"/>
      <c r="G53" s="21">
        <f>IFERROR(SUMIFS(Transactions!$F$7:$F$996,Transactions!$G$7:$G$996,A53,Transactions!$D$7:$D$996,"Expense"),0)</f>
        <v>0</v>
      </c>
      <c r="H53" s="10"/>
      <c r="I53" s="10"/>
      <c r="J53" s="19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0"/>
      <c r="C54" s="10"/>
      <c r="D54" s="10"/>
      <c r="E54" s="10"/>
      <c r="F54" s="11"/>
      <c r="G54" s="21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0"/>
      <c r="C55" s="10"/>
      <c r="D55" s="10"/>
      <c r="E55" s="10"/>
      <c r="F55" s="11"/>
      <c r="G55" s="21">
        <f>IFERROR(SUMIFS(Transactions!$F$7:$F$996,Transactions!$G$7:$G$996,A55,Transactions!$D$7:$D$996,"Expense"),0)</f>
        <v>0</v>
      </c>
      <c r="H55" s="10"/>
      <c r="I55" s="10"/>
      <c r="J55" s="19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0"/>
      <c r="C56" s="10"/>
      <c r="D56" s="10"/>
      <c r="E56" s="10"/>
      <c r="F56" s="11"/>
      <c r="G56" s="21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0"/>
      <c r="C57" s="10"/>
      <c r="D57" s="10"/>
      <c r="E57" s="10"/>
      <c r="F57" s="11"/>
      <c r="G57" s="21">
        <f>IFERROR(SUMIFS(Transactions!$F$7:$F$996,Transactions!$G$7:$G$996,A57,Transactions!$D$7:$D$996,"Expense"),0)</f>
        <v>0</v>
      </c>
      <c r="H57" s="10"/>
      <c r="I57" s="10"/>
      <c r="J57" s="19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0"/>
      <c r="C58" s="10"/>
      <c r="D58" s="10"/>
      <c r="E58" s="10"/>
      <c r="F58" s="11"/>
      <c r="G58" s="21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0"/>
      <c r="C59" s="10"/>
      <c r="D59" s="10"/>
      <c r="E59" s="10"/>
      <c r="F59" s="11"/>
      <c r="G59" s="21">
        <f>IFERROR(SUMIFS(Transactions!$F$7:$F$996,Transactions!$G$7:$G$996,A59,Transactions!$D$7:$D$996,"Expense"),0)</f>
        <v>0</v>
      </c>
      <c r="H59" s="10"/>
      <c r="I59" s="10"/>
      <c r="J59" s="19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0"/>
      <c r="C60" s="10"/>
      <c r="D60" s="10"/>
      <c r="E60" s="10"/>
      <c r="F60" s="11"/>
      <c r="G60" s="21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0"/>
      <c r="C61" s="10"/>
      <c r="D61" s="10"/>
      <c r="E61" s="10"/>
      <c r="F61" s="11"/>
      <c r="G61" s="21">
        <f>IFERROR(SUMIFS(Transactions!$F$7:$F$996,Transactions!$G$7:$G$996,A61,Transactions!$D$7:$D$996,"Expense"),0)</f>
        <v>0</v>
      </c>
      <c r="H61" s="10"/>
      <c r="I61" s="10"/>
      <c r="J61" s="19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0"/>
      <c r="C62" s="10"/>
      <c r="D62" s="10"/>
      <c r="E62" s="10"/>
      <c r="F62" s="11"/>
      <c r="G62" s="21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0"/>
      <c r="C63" s="10"/>
      <c r="D63" s="10"/>
      <c r="E63" s="10"/>
      <c r="F63" s="11"/>
      <c r="G63" s="21">
        <f>IFERROR(SUMIFS(Transactions!$F$7:$F$996,Transactions!$G$7:$G$996,A63,Transactions!$D$7:$D$996,"Expense"),0)</f>
        <v>0</v>
      </c>
      <c r="H63" s="10"/>
      <c r="I63" s="10"/>
      <c r="J63" s="19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0"/>
      <c r="C64" s="10"/>
      <c r="D64" s="10"/>
      <c r="E64" s="10"/>
      <c r="F64" s="11"/>
      <c r="G64" s="21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0"/>
      <c r="C65" s="10"/>
      <c r="D65" s="10"/>
      <c r="E65" s="10"/>
      <c r="F65" s="11"/>
      <c r="G65" s="21">
        <f>IFERROR(SUMIFS(Transactions!$F$7:$F$996,Transactions!$G$7:$G$996,A65,Transactions!$D$7:$D$996,"Expense"),0)</f>
        <v>0</v>
      </c>
      <c r="H65" s="10"/>
      <c r="I65" s="10"/>
      <c r="J65" s="19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0"/>
      <c r="C66" s="10"/>
      <c r="D66" s="10"/>
      <c r="E66" s="10"/>
      <c r="F66" s="11"/>
      <c r="G66" s="21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0"/>
      <c r="C67" s="10"/>
      <c r="D67" s="10"/>
      <c r="E67" s="10"/>
      <c r="F67" s="11"/>
      <c r="G67" s="21">
        <f>IFERROR(SUMIFS(Transactions!$F$7:$F$996,Transactions!$G$7:$G$996,A67,Transactions!$D$7:$D$996,"Expense"),0)</f>
        <v>0</v>
      </c>
      <c r="H67" s="10"/>
      <c r="I67" s="10"/>
      <c r="J67" s="19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0"/>
      <c r="C68" s="10"/>
      <c r="D68" s="10"/>
      <c r="E68" s="10"/>
      <c r="F68" s="11"/>
      <c r="G68" s="21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0"/>
      <c r="C69" s="10"/>
      <c r="D69" s="10"/>
      <c r="E69" s="10"/>
      <c r="F69" s="11"/>
      <c r="G69" s="21">
        <f>IFERROR(SUMIFS(Transactions!$F$7:$F$996,Transactions!$G$7:$G$996,A69,Transactions!$D$7:$D$996,"Expense"),0)</f>
        <v>0</v>
      </c>
      <c r="H69" s="10"/>
      <c r="I69" s="10"/>
      <c r="J69" s="19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0"/>
      <c r="C70" s="10"/>
      <c r="D70" s="10"/>
      <c r="E70" s="10"/>
      <c r="F70" s="11"/>
      <c r="G70" s="21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0"/>
      <c r="C71" s="10"/>
      <c r="D71" s="10"/>
      <c r="E71" s="10"/>
      <c r="F71" s="11"/>
      <c r="G71" s="21">
        <f>IFERROR(SUMIFS(Transactions!$F$7:$F$996,Transactions!$G$7:$G$996,A71,Transactions!$D$7:$D$996,"Expense"),0)</f>
        <v>0</v>
      </c>
      <c r="H71" s="10"/>
      <c r="I71" s="10"/>
      <c r="J71" s="19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0"/>
      <c r="C72" s="10"/>
      <c r="D72" s="10"/>
      <c r="E72" s="10"/>
      <c r="F72" s="11"/>
      <c r="G72" s="21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0"/>
      <c r="C73" s="10"/>
      <c r="D73" s="10"/>
      <c r="E73" s="10"/>
      <c r="F73" s="11"/>
      <c r="G73" s="21">
        <f>IFERROR(SUMIFS(Transactions!$F$7:$F$996,Transactions!$G$7:$G$996,A73,Transactions!$D$7:$D$996,"Expense"),0)</f>
        <v>0</v>
      </c>
      <c r="H73" s="10"/>
      <c r="I73" s="10"/>
      <c r="J73" s="19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0"/>
      <c r="C74" s="10"/>
      <c r="D74" s="10"/>
      <c r="E74" s="10"/>
      <c r="F74" s="11"/>
      <c r="G74" s="21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0"/>
      <c r="C75" s="10"/>
      <c r="D75" s="10"/>
      <c r="E75" s="10"/>
      <c r="F75" s="11"/>
      <c r="G75" s="21">
        <f>IFERROR(SUMIFS(Transactions!$F$7:$F$996,Transactions!$G$7:$G$996,A75,Transactions!$D$7:$D$996,"Expense"),0)</f>
        <v>0</v>
      </c>
      <c r="H75" s="10"/>
      <c r="I75" s="10"/>
      <c r="J75" s="19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0"/>
      <c r="C76" s="10"/>
      <c r="D76" s="10"/>
      <c r="E76" s="10"/>
      <c r="F76" s="11"/>
      <c r="G76" s="21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0"/>
      <c r="C77" s="10"/>
      <c r="D77" s="10"/>
      <c r="E77" s="10"/>
      <c r="F77" s="11"/>
      <c r="G77" s="21">
        <f>IFERROR(SUMIFS(Transactions!$F$7:$F$996,Transactions!$G$7:$G$996,A77,Transactions!$D$7:$D$996,"Expense"),0)</f>
        <v>0</v>
      </c>
      <c r="H77" s="10"/>
      <c r="I77" s="10"/>
      <c r="J77" s="19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0"/>
      <c r="C78" s="10"/>
      <c r="D78" s="10"/>
      <c r="E78" s="10"/>
      <c r="F78" s="11"/>
      <c r="G78" s="21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0"/>
      <c r="C79" s="10"/>
      <c r="D79" s="10"/>
      <c r="E79" s="10"/>
      <c r="F79" s="11"/>
      <c r="G79" s="21">
        <f>IFERROR(SUMIFS(Transactions!$F$7:$F$996,Transactions!$G$7:$G$996,A79,Transactions!$D$7:$D$996,"Expense"),0)</f>
        <v>0</v>
      </c>
      <c r="H79" s="10"/>
      <c r="I79" s="10"/>
      <c r="J79" s="19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0"/>
      <c r="C80" s="10"/>
      <c r="D80" s="10"/>
      <c r="E80" s="10"/>
      <c r="F80" s="11"/>
      <c r="G80" s="21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0"/>
      <c r="C81" s="10"/>
      <c r="D81" s="10"/>
      <c r="E81" s="10"/>
      <c r="F81" s="11"/>
      <c r="G81" s="21">
        <f>IFERROR(SUMIFS(Transactions!$F$7:$F$996,Transactions!$G$7:$G$996,A81,Transactions!$D$7:$D$996,"Expense"),0)</f>
        <v>0</v>
      </c>
      <c r="H81" s="10"/>
      <c r="I81" s="10"/>
      <c r="J81" s="19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0"/>
      <c r="C82" s="10"/>
      <c r="D82" s="10"/>
      <c r="E82" s="10"/>
      <c r="F82" s="11"/>
      <c r="G82" s="21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0"/>
      <c r="C83" s="10"/>
      <c r="D83" s="10"/>
      <c r="E83" s="10"/>
      <c r="F83" s="11"/>
      <c r="G83" s="21">
        <f>IFERROR(SUMIFS(Transactions!$F$7:$F$996,Transactions!$G$7:$G$996,A83,Transactions!$D$7:$D$996,"Expense"),0)</f>
        <v>0</v>
      </c>
      <c r="H83" s="10"/>
      <c r="I83" s="10"/>
      <c r="J83" s="19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0"/>
      <c r="C84" s="10"/>
      <c r="D84" s="10"/>
      <c r="E84" s="10"/>
      <c r="F84" s="11"/>
      <c r="G84" s="21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0"/>
      <c r="C85" s="10"/>
      <c r="D85" s="10"/>
      <c r="E85" s="10"/>
      <c r="F85" s="11"/>
      <c r="G85" s="21">
        <f>IFERROR(SUMIFS(Transactions!$F$7:$F$996,Transactions!$G$7:$G$996,A85,Transactions!$D$7:$D$996,"Expense"),0)</f>
        <v>0</v>
      </c>
      <c r="H85" s="10"/>
      <c r="I85" s="10"/>
      <c r="J85" s="19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0"/>
      <c r="C86" s="10"/>
      <c r="D86" s="10"/>
      <c r="E86" s="10"/>
      <c r="F86" s="11"/>
      <c r="G86" s="21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0"/>
      <c r="C87" s="10"/>
      <c r="D87" s="10"/>
      <c r="E87" s="10"/>
      <c r="F87" s="11"/>
      <c r="G87" s="21">
        <f>IFERROR(SUMIFS(Transactions!$F$7:$F$996,Transactions!$G$7:$G$996,A87,Transactions!$D$7:$D$996,"Expense"),0)</f>
        <v>0</v>
      </c>
      <c r="H87" s="10"/>
      <c r="I87" s="10"/>
      <c r="J87" s="19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0"/>
      <c r="C88" s="10"/>
      <c r="D88" s="10"/>
      <c r="E88" s="10"/>
      <c r="F88" s="11"/>
      <c r="G88" s="21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0"/>
      <c r="C89" s="10"/>
      <c r="D89" s="10"/>
      <c r="E89" s="10"/>
      <c r="F89" s="11"/>
      <c r="G89" s="21">
        <f>IFERROR(SUMIFS(Transactions!$F$7:$F$996,Transactions!$G$7:$G$996,A89,Transactions!$D$7:$D$996,"Expense"),0)</f>
        <v>0</v>
      </c>
      <c r="H89" s="10"/>
      <c r="I89" s="10"/>
      <c r="J89" s="19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0"/>
      <c r="C90" s="10"/>
      <c r="D90" s="10"/>
      <c r="E90" s="10"/>
      <c r="F90" s="11"/>
      <c r="G90" s="21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0"/>
      <c r="C91" s="10"/>
      <c r="D91" s="10"/>
      <c r="E91" s="10"/>
      <c r="F91" s="11"/>
      <c r="G91" s="21">
        <f>IFERROR(SUMIFS(Transactions!$F$7:$F$996,Transactions!$G$7:$G$996,A91,Transactions!$D$7:$D$996,"Expense"),0)</f>
        <v>0</v>
      </c>
      <c r="H91" s="10"/>
      <c r="I91" s="10"/>
      <c r="J91" s="19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0"/>
      <c r="C92" s="10"/>
      <c r="D92" s="10"/>
      <c r="E92" s="10"/>
      <c r="F92" s="11"/>
      <c r="G92" s="21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0"/>
      <c r="C93" s="10"/>
      <c r="D93" s="10"/>
      <c r="E93" s="10"/>
      <c r="F93" s="11"/>
      <c r="G93" s="21">
        <f>IFERROR(SUMIFS(Transactions!$F$7:$F$996,Transactions!$G$7:$G$996,A93,Transactions!$D$7:$D$996,"Expense"),0)</f>
        <v>0</v>
      </c>
      <c r="H93" s="10"/>
      <c r="I93" s="10"/>
      <c r="J93" s="19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0"/>
      <c r="C94" s="10"/>
      <c r="D94" s="10"/>
      <c r="E94" s="10"/>
      <c r="F94" s="11"/>
      <c r="G94" s="21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0"/>
      <c r="C95" s="10"/>
      <c r="D95" s="10"/>
      <c r="E95" s="10"/>
      <c r="F95" s="11"/>
      <c r="G95" s="21">
        <f>IFERROR(SUMIFS(Transactions!$F$7:$F$996,Transactions!$G$7:$G$996,A95,Transactions!$D$7:$D$996,"Expense"),0)</f>
        <v>0</v>
      </c>
      <c r="H95" s="10"/>
      <c r="I95" s="10"/>
      <c r="J95" s="19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0"/>
      <c r="C96" s="10"/>
      <c r="D96" s="10"/>
      <c r="E96" s="10"/>
      <c r="F96" s="11"/>
      <c r="G96" s="21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0"/>
      <c r="C97" s="10"/>
      <c r="D97" s="10"/>
      <c r="E97" s="10"/>
      <c r="F97" s="11"/>
      <c r="G97" s="21">
        <f>IFERROR(SUMIFS(Transactions!$F$7:$F$996,Transactions!$G$7:$G$996,A97,Transactions!$D$7:$D$996,"Expense"),0)</f>
        <v>0</v>
      </c>
      <c r="H97" s="10"/>
      <c r="I97" s="10"/>
      <c r="J97" s="19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0"/>
      <c r="C98" s="10"/>
      <c r="D98" s="10"/>
      <c r="E98" s="10"/>
      <c r="F98" s="11"/>
      <c r="G98" s="21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0"/>
      <c r="C99" s="10"/>
      <c r="D99" s="10"/>
      <c r="E99" s="10"/>
      <c r="F99" s="11"/>
      <c r="G99" s="21">
        <f>IFERROR(SUMIFS(Transactions!$F$7:$F$996,Transactions!$G$7:$G$996,A99,Transactions!$D$7:$D$996,"Expense"),0)</f>
        <v>0</v>
      </c>
      <c r="H99" s="10"/>
      <c r="I99" s="10"/>
      <c r="J99" s="19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0"/>
      <c r="C100" s="10"/>
      <c r="D100" s="10"/>
      <c r="E100" s="10"/>
      <c r="F100" s="11"/>
      <c r="G100" s="21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0"/>
      <c r="C101" s="10"/>
      <c r="D101" s="10"/>
      <c r="E101" s="10"/>
      <c r="F101" s="11"/>
      <c r="G101" s="21">
        <f>IFERROR(SUMIFS(Transactions!$F$7:$F$996,Transactions!$G$7:$G$996,A101,Transactions!$D$7:$D$996,"Expense"),0)</f>
        <v>0</v>
      </c>
      <c r="H101" s="10"/>
      <c r="I101" s="10"/>
      <c r="J101" s="19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0"/>
      <c r="C102" s="10"/>
      <c r="D102" s="10"/>
      <c r="E102" s="10"/>
      <c r="F102" s="11"/>
      <c r="G102" s="21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0"/>
      <c r="C103" s="10"/>
      <c r="D103" s="10"/>
      <c r="E103" s="10"/>
      <c r="F103" s="11"/>
      <c r="G103" s="21">
        <f>IFERROR(SUMIFS(Transactions!$F$7:$F$996,Transactions!$G$7:$G$996,A103,Transactions!$D$7:$D$996,"Expense"),0)</f>
        <v>0</v>
      </c>
      <c r="H103" s="10"/>
      <c r="I103" s="10"/>
      <c r="J103" s="19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0"/>
      <c r="C104" s="10"/>
      <c r="D104" s="10"/>
      <c r="E104" s="10"/>
      <c r="F104" s="11"/>
      <c r="G104" s="21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0"/>
      <c r="C105" s="10"/>
      <c r="D105" s="10"/>
      <c r="E105" s="10"/>
      <c r="F105" s="11"/>
      <c r="G105" s="21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0"/>
      <c r="C106" s="10"/>
      <c r="D106" s="10"/>
      <c r="E106" s="10"/>
      <c r="F106" s="11"/>
      <c r="G106" s="21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0"/>
      <c r="C107" s="10"/>
      <c r="D107" s="10"/>
      <c r="E107" s="10"/>
      <c r="F107" s="11"/>
      <c r="G107" s="21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0"/>
      <c r="C108" s="10"/>
      <c r="D108" s="10"/>
      <c r="E108" s="10"/>
      <c r="F108" s="11"/>
      <c r="G108" s="21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0"/>
      <c r="C109" s="10"/>
      <c r="D109" s="10"/>
      <c r="E109" s="10"/>
      <c r="F109" s="11"/>
      <c r="G109" s="21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0"/>
      <c r="C110" s="10"/>
      <c r="D110" s="10"/>
      <c r="E110" s="10"/>
      <c r="F110" s="11"/>
      <c r="G110" s="21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0"/>
      <c r="C111" s="10"/>
      <c r="D111" s="10"/>
      <c r="E111" s="10"/>
      <c r="F111" s="11"/>
      <c r="G111" s="21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0"/>
      <c r="C112" s="10"/>
      <c r="D112" s="10"/>
      <c r="E112" s="10"/>
      <c r="F112" s="11"/>
      <c r="G112" s="21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0"/>
      <c r="C113" s="10"/>
      <c r="D113" s="10"/>
      <c r="E113" s="10"/>
      <c r="F113" s="11"/>
      <c r="G113" s="21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0"/>
      <c r="C114" s="10"/>
      <c r="D114" s="10"/>
      <c r="E114" s="10"/>
      <c r="F114" s="11"/>
      <c r="G114" s="21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0"/>
      <c r="C115" s="10"/>
      <c r="D115" s="10"/>
      <c r="E115" s="10"/>
      <c r="F115" s="11"/>
      <c r="G115" s="21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0"/>
      <c r="C116" s="10"/>
      <c r="D116" s="10"/>
      <c r="E116" s="10"/>
      <c r="F116" s="11"/>
      <c r="G116" s="21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0"/>
      <c r="C117" s="10"/>
      <c r="D117" s="10"/>
      <c r="E117" s="10"/>
      <c r="F117" s="11"/>
      <c r="G117" s="21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0"/>
      <c r="C118" s="10"/>
      <c r="D118" s="10"/>
      <c r="E118" s="10"/>
      <c r="F118" s="11"/>
      <c r="G118" s="21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0"/>
      <c r="C119" s="10"/>
      <c r="D119" s="10"/>
      <c r="E119" s="10"/>
      <c r="F119" s="11"/>
      <c r="G119" s="21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0"/>
      <c r="C120" s="10"/>
      <c r="D120" s="10"/>
      <c r="E120" s="10"/>
      <c r="F120" s="11"/>
      <c r="G120" s="21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0"/>
      <c r="C121" s="10"/>
      <c r="D121" s="10"/>
      <c r="E121" s="10"/>
      <c r="F121" s="11"/>
      <c r="G121" s="21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0"/>
      <c r="C122" s="10"/>
      <c r="D122" s="10"/>
      <c r="E122" s="10"/>
      <c r="F122" s="11"/>
      <c r="G122" s="21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0"/>
      <c r="C123" s="10"/>
      <c r="D123" s="10"/>
      <c r="E123" s="10"/>
      <c r="F123" s="11"/>
      <c r="G123" s="21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0"/>
      <c r="C124" s="10"/>
      <c r="D124" s="10"/>
      <c r="E124" s="10"/>
      <c r="F124" s="11"/>
      <c r="G124" s="21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0"/>
      <c r="C125" s="10"/>
      <c r="D125" s="10"/>
      <c r="E125" s="10"/>
      <c r="F125" s="11"/>
      <c r="G125" s="21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0"/>
      <c r="C126" s="10"/>
      <c r="D126" s="10"/>
      <c r="E126" s="10"/>
      <c r="F126" s="11"/>
      <c r="G126" s="21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0"/>
      <c r="C127" s="10"/>
      <c r="D127" s="10"/>
      <c r="E127" s="10"/>
      <c r="F127" s="11"/>
      <c r="G127" s="21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0"/>
      <c r="C128" s="10"/>
      <c r="D128" s="10"/>
      <c r="E128" s="10"/>
      <c r="F128" s="11"/>
      <c r="G128" s="21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0"/>
      <c r="C129" s="10"/>
      <c r="D129" s="10"/>
      <c r="E129" s="10"/>
      <c r="F129" s="11"/>
      <c r="G129" s="21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0"/>
      <c r="C130" s="10"/>
      <c r="D130" s="10"/>
      <c r="E130" s="10"/>
      <c r="F130" s="11"/>
      <c r="G130" s="21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0"/>
      <c r="C131" s="10"/>
      <c r="D131" s="10"/>
      <c r="E131" s="10"/>
      <c r="F131" s="11"/>
      <c r="G131" s="21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0"/>
      <c r="C132" s="10"/>
      <c r="D132" s="10"/>
      <c r="E132" s="10"/>
      <c r="F132" s="11"/>
      <c r="G132" s="21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0"/>
      <c r="C133" s="10"/>
      <c r="D133" s="10"/>
      <c r="E133" s="10"/>
      <c r="F133" s="11"/>
      <c r="G133" s="21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0"/>
      <c r="C134" s="10"/>
      <c r="D134" s="10"/>
      <c r="E134" s="10"/>
      <c r="F134" s="11"/>
      <c r="G134" s="21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0"/>
      <c r="C135" s="10"/>
      <c r="D135" s="10"/>
      <c r="E135" s="10"/>
      <c r="F135" s="11"/>
      <c r="G135" s="21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0"/>
      <c r="C136" s="10"/>
      <c r="D136" s="10"/>
      <c r="E136" s="10"/>
      <c r="F136" s="11"/>
      <c r="G136" s="21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0"/>
      <c r="C137" s="10"/>
      <c r="D137" s="10"/>
      <c r="E137" s="10"/>
      <c r="F137" s="11"/>
      <c r="G137" s="21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0"/>
      <c r="C138" s="10"/>
      <c r="D138" s="10"/>
      <c r="E138" s="10"/>
      <c r="F138" s="11"/>
      <c r="G138" s="21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0"/>
      <c r="C139" s="10"/>
      <c r="D139" s="10"/>
      <c r="E139" s="10"/>
      <c r="F139" s="11"/>
      <c r="G139" s="21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0"/>
      <c r="C140" s="10"/>
      <c r="D140" s="10"/>
      <c r="E140" s="10"/>
      <c r="F140" s="11"/>
      <c r="G140" s="21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0"/>
      <c r="C141" s="10"/>
      <c r="D141" s="10"/>
      <c r="E141" s="10"/>
      <c r="F141" s="11"/>
      <c r="G141" s="21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0"/>
      <c r="C142" s="10"/>
      <c r="D142" s="10"/>
      <c r="E142" s="10"/>
      <c r="F142" s="11"/>
      <c r="G142" s="21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0"/>
      <c r="C143" s="10"/>
      <c r="D143" s="10"/>
      <c r="E143" s="10"/>
      <c r="F143" s="11"/>
      <c r="G143" s="21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0"/>
      <c r="C144" s="10"/>
      <c r="D144" s="10"/>
      <c r="E144" s="10"/>
      <c r="F144" s="11"/>
      <c r="G144" s="21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0"/>
      <c r="C145" s="10"/>
      <c r="D145" s="10"/>
      <c r="E145" s="10"/>
      <c r="F145" s="11"/>
      <c r="G145" s="21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0"/>
      <c r="C146" s="10"/>
      <c r="D146" s="10"/>
      <c r="E146" s="10"/>
      <c r="F146" s="11"/>
      <c r="G146" s="21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0"/>
      <c r="C147" s="10"/>
      <c r="D147" s="10"/>
      <c r="E147" s="10"/>
      <c r="F147" s="11"/>
      <c r="G147" s="21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0"/>
      <c r="C148" s="10"/>
      <c r="D148" s="10"/>
      <c r="E148" s="10"/>
      <c r="F148" s="11"/>
      <c r="G148" s="21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0"/>
      <c r="C149" s="10"/>
      <c r="D149" s="10"/>
      <c r="E149" s="10"/>
      <c r="F149" s="11"/>
      <c r="G149" s="21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0"/>
      <c r="C150" s="10"/>
      <c r="D150" s="10"/>
      <c r="E150" s="10"/>
      <c r="F150" s="11"/>
      <c r="G150" s="21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0"/>
      <c r="C151" s="10"/>
      <c r="D151" s="10"/>
      <c r="E151" s="10"/>
      <c r="F151" s="11"/>
      <c r="G151" s="21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0"/>
      <c r="C152" s="10"/>
      <c r="D152" s="10"/>
      <c r="E152" s="10"/>
      <c r="F152" s="11"/>
      <c r="G152" s="21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0"/>
      <c r="C153" s="10"/>
      <c r="D153" s="10"/>
      <c r="E153" s="10"/>
      <c r="F153" s="11"/>
      <c r="G153" s="21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0"/>
      <c r="C154" s="10"/>
      <c r="D154" s="10"/>
      <c r="E154" s="10"/>
      <c r="F154" s="11"/>
      <c r="G154" s="21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0"/>
      <c r="C155" s="10"/>
      <c r="D155" s="10"/>
      <c r="E155" s="10"/>
      <c r="F155" s="11"/>
      <c r="G155" s="21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0"/>
      <c r="C156" s="10"/>
      <c r="D156" s="10"/>
      <c r="E156" s="10"/>
      <c r="F156" s="11"/>
      <c r="G156" s="21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0"/>
      <c r="C157" s="10"/>
      <c r="D157" s="10"/>
      <c r="E157" s="10"/>
      <c r="F157" s="11"/>
      <c r="G157" s="21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0"/>
      <c r="C158" s="10"/>
      <c r="D158" s="10"/>
      <c r="E158" s="10"/>
      <c r="F158" s="11"/>
      <c r="G158" s="21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0"/>
      <c r="C159" s="10"/>
      <c r="D159" s="10"/>
      <c r="E159" s="10"/>
      <c r="F159" s="11"/>
      <c r="G159" s="21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0"/>
      <c r="C160" s="10"/>
      <c r="D160" s="10"/>
      <c r="E160" s="10"/>
      <c r="F160" s="11"/>
      <c r="G160" s="21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0"/>
      <c r="C161" s="10"/>
      <c r="D161" s="10"/>
      <c r="E161" s="10"/>
      <c r="F161" s="11"/>
      <c r="G161" s="21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0"/>
      <c r="C162" s="10"/>
      <c r="D162" s="10"/>
      <c r="E162" s="10"/>
      <c r="F162" s="11"/>
      <c r="G162" s="21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0"/>
      <c r="C163" s="10"/>
      <c r="D163" s="10"/>
      <c r="E163" s="10"/>
      <c r="F163" s="11"/>
      <c r="G163" s="21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0"/>
      <c r="C164" s="10"/>
      <c r="D164" s="10"/>
      <c r="E164" s="10"/>
      <c r="F164" s="11"/>
      <c r="G164" s="21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0"/>
      <c r="C165" s="10"/>
      <c r="D165" s="10"/>
      <c r="E165" s="10"/>
      <c r="F165" s="11"/>
      <c r="G165" s="21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0"/>
      <c r="C166" s="10"/>
      <c r="D166" s="10"/>
      <c r="E166" s="10"/>
      <c r="F166" s="11"/>
      <c r="G166" s="21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0"/>
      <c r="C167" s="10"/>
      <c r="D167" s="10"/>
      <c r="E167" s="10"/>
      <c r="F167" s="11"/>
      <c r="G167" s="21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0"/>
      <c r="C168" s="10"/>
      <c r="D168" s="10"/>
      <c r="E168" s="10"/>
      <c r="F168" s="11"/>
      <c r="G168" s="21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0"/>
      <c r="C169" s="10"/>
      <c r="D169" s="10"/>
      <c r="E169" s="10"/>
      <c r="F169" s="11"/>
      <c r="G169" s="21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0"/>
      <c r="C170" s="10"/>
      <c r="D170" s="10"/>
      <c r="E170" s="10"/>
      <c r="F170" s="11"/>
      <c r="G170" s="21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0"/>
      <c r="C171" s="10"/>
      <c r="D171" s="10"/>
      <c r="E171" s="10"/>
      <c r="F171" s="11"/>
      <c r="G171" s="21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0"/>
      <c r="C172" s="10"/>
      <c r="D172" s="10"/>
      <c r="E172" s="10"/>
      <c r="F172" s="11"/>
      <c r="G172" s="21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0"/>
      <c r="C173" s="10"/>
      <c r="D173" s="10"/>
      <c r="E173" s="10"/>
      <c r="F173" s="11"/>
      <c r="G173" s="21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0"/>
      <c r="C174" s="10"/>
      <c r="D174" s="10"/>
      <c r="E174" s="10"/>
      <c r="F174" s="11"/>
      <c r="G174" s="21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0"/>
      <c r="C175" s="10"/>
      <c r="D175" s="10"/>
      <c r="E175" s="10"/>
      <c r="F175" s="11"/>
      <c r="G175" s="21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0"/>
      <c r="C176" s="10"/>
      <c r="D176" s="10"/>
      <c r="E176" s="10"/>
      <c r="F176" s="11"/>
      <c r="G176" s="21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0"/>
      <c r="C177" s="10"/>
      <c r="D177" s="10"/>
      <c r="E177" s="10"/>
      <c r="F177" s="11"/>
      <c r="G177" s="21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0"/>
      <c r="C178" s="10"/>
      <c r="D178" s="10"/>
      <c r="E178" s="10"/>
      <c r="F178" s="11"/>
      <c r="G178" s="21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0"/>
      <c r="C179" s="10"/>
      <c r="D179" s="10"/>
      <c r="E179" s="10"/>
      <c r="F179" s="11"/>
      <c r="G179" s="21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0"/>
      <c r="C180" s="10"/>
      <c r="D180" s="10"/>
      <c r="E180" s="10"/>
      <c r="F180" s="11"/>
      <c r="G180" s="21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0"/>
      <c r="C181" s="10"/>
      <c r="D181" s="10"/>
      <c r="E181" s="10"/>
      <c r="F181" s="11"/>
      <c r="G181" s="21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0"/>
      <c r="C182" s="10"/>
      <c r="D182" s="10"/>
      <c r="E182" s="10"/>
      <c r="F182" s="11"/>
      <c r="G182" s="21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0"/>
      <c r="C183" s="10"/>
      <c r="D183" s="10"/>
      <c r="E183" s="10"/>
      <c r="F183" s="11"/>
      <c r="G183" s="21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0"/>
      <c r="C184" s="10"/>
      <c r="D184" s="10"/>
      <c r="E184" s="10"/>
      <c r="F184" s="11"/>
      <c r="G184" s="21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0"/>
      <c r="C185" s="10"/>
      <c r="D185" s="10"/>
      <c r="E185" s="10"/>
      <c r="F185" s="11"/>
      <c r="G185" s="21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0"/>
      <c r="C186" s="10"/>
      <c r="D186" s="10"/>
      <c r="E186" s="10"/>
      <c r="F186" s="11"/>
      <c r="G186" s="21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0"/>
      <c r="C187" s="10"/>
      <c r="D187" s="10"/>
      <c r="E187" s="10"/>
      <c r="F187" s="11"/>
      <c r="G187" s="21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0"/>
      <c r="C188" s="10"/>
      <c r="D188" s="10"/>
      <c r="E188" s="10"/>
      <c r="F188" s="11"/>
      <c r="G188" s="21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0"/>
      <c r="C189" s="10"/>
      <c r="D189" s="10"/>
      <c r="E189" s="10"/>
      <c r="F189" s="11"/>
      <c r="G189" s="21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0"/>
      <c r="C190" s="10"/>
      <c r="D190" s="10"/>
      <c r="E190" s="10"/>
      <c r="F190" s="11"/>
      <c r="G190" s="21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0"/>
      <c r="C191" s="10"/>
      <c r="D191" s="10"/>
      <c r="E191" s="10"/>
      <c r="F191" s="11"/>
      <c r="G191" s="21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0"/>
      <c r="C192" s="10"/>
      <c r="D192" s="10"/>
      <c r="E192" s="10"/>
      <c r="F192" s="11"/>
      <c r="G192" s="21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0"/>
      <c r="C193" s="10"/>
      <c r="D193" s="10"/>
      <c r="E193" s="10"/>
      <c r="F193" s="11"/>
      <c r="G193" s="21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0"/>
      <c r="C194" s="10"/>
      <c r="D194" s="10"/>
      <c r="E194" s="10"/>
      <c r="F194" s="11"/>
      <c r="G194" s="21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0"/>
      <c r="C195" s="10"/>
      <c r="D195" s="10"/>
      <c r="E195" s="10"/>
      <c r="F195" s="11"/>
      <c r="G195" s="21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0"/>
      <c r="C196" s="10"/>
      <c r="D196" s="10"/>
      <c r="E196" s="10"/>
      <c r="F196" s="11"/>
      <c r="G196" s="21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0"/>
      <c r="C197" s="10"/>
      <c r="D197" s="10"/>
      <c r="E197" s="10"/>
      <c r="F197" s="11"/>
      <c r="G197" s="21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0"/>
      <c r="C198" s="10"/>
      <c r="D198" s="10"/>
      <c r="E198" s="10"/>
      <c r="F198" s="11"/>
      <c r="G198" s="21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0"/>
      <c r="C199" s="10"/>
      <c r="D199" s="10"/>
      <c r="E199" s="10"/>
      <c r="F199" s="11"/>
      <c r="G199" s="21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0"/>
      <c r="C200" s="10"/>
      <c r="D200" s="10"/>
      <c r="E200" s="10"/>
      <c r="F200" s="11"/>
      <c r="G200" s="21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0"/>
      <c r="C201" s="10"/>
      <c r="D201" s="10"/>
      <c r="E201" s="10"/>
      <c r="F201" s="11"/>
      <c r="G201" s="21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0"/>
      <c r="C202" s="10"/>
      <c r="D202" s="10"/>
      <c r="E202" s="10"/>
      <c r="F202" s="11"/>
      <c r="G202" s="21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0"/>
      <c r="C203" s="10"/>
      <c r="D203" s="10"/>
      <c r="E203" s="10"/>
      <c r="F203" s="11"/>
      <c r="G203" s="21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0"/>
      <c r="C204" s="10"/>
      <c r="D204" s="10"/>
      <c r="E204" s="10"/>
      <c r="F204" s="11"/>
      <c r="G204" s="21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0"/>
      <c r="C205" s="10"/>
      <c r="D205" s="10"/>
      <c r="E205" s="10"/>
      <c r="F205" s="11"/>
      <c r="G205" s="21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0"/>
      <c r="C206" s="10"/>
      <c r="D206" s="10"/>
      <c r="E206" s="10"/>
      <c r="F206" s="11"/>
      <c r="G206" s="21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0"/>
      <c r="C207" s="10"/>
      <c r="D207" s="10"/>
      <c r="E207" s="10"/>
      <c r="F207" s="11"/>
      <c r="G207" s="21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0"/>
      <c r="C208" s="10"/>
      <c r="D208" s="10"/>
      <c r="E208" s="10"/>
      <c r="F208" s="11"/>
      <c r="G208" s="21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0"/>
      <c r="C209" s="10"/>
      <c r="D209" s="10"/>
      <c r="E209" s="10"/>
      <c r="F209" s="11"/>
      <c r="G209" s="21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0"/>
      <c r="C210" s="10"/>
      <c r="D210" s="10"/>
      <c r="E210" s="10"/>
      <c r="F210" s="11"/>
      <c r="G210" s="21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0"/>
      <c r="C211" s="10"/>
      <c r="D211" s="10"/>
      <c r="E211" s="10"/>
      <c r="F211" s="11"/>
      <c r="G211" s="21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0"/>
      <c r="C212" s="10"/>
      <c r="D212" s="10"/>
      <c r="E212" s="10"/>
      <c r="F212" s="11"/>
      <c r="G212" s="21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0"/>
      <c r="C213" s="10"/>
      <c r="D213" s="10"/>
      <c r="E213" s="10"/>
      <c r="F213" s="11"/>
      <c r="G213" s="21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0"/>
      <c r="C214" s="10"/>
      <c r="D214" s="10"/>
      <c r="E214" s="10"/>
      <c r="F214" s="11"/>
      <c r="G214" s="21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0"/>
      <c r="C215" s="10"/>
      <c r="D215" s="10"/>
      <c r="E215" s="10"/>
      <c r="F215" s="11"/>
      <c r="G215" s="21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0"/>
      <c r="C216" s="10"/>
      <c r="D216" s="10"/>
      <c r="E216" s="10"/>
      <c r="F216" s="11"/>
      <c r="G216" s="21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0"/>
      <c r="C217" s="10"/>
      <c r="D217" s="10"/>
      <c r="E217" s="10"/>
      <c r="F217" s="11"/>
      <c r="G217" s="21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0"/>
      <c r="C218" s="10"/>
      <c r="D218" s="10"/>
      <c r="E218" s="10"/>
      <c r="F218" s="11"/>
      <c r="G218" s="21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0"/>
      <c r="C219" s="10"/>
      <c r="D219" s="10"/>
      <c r="E219" s="10"/>
      <c r="F219" s="11"/>
      <c r="G219" s="21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0"/>
      <c r="C220" s="10"/>
      <c r="D220" s="10"/>
      <c r="E220" s="10"/>
      <c r="F220" s="11"/>
      <c r="G220" s="21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0"/>
      <c r="C221" s="10"/>
      <c r="D221" s="10"/>
      <c r="E221" s="10"/>
      <c r="F221" s="11"/>
      <c r="G221" s="21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0"/>
      <c r="C222" s="10"/>
      <c r="D222" s="10"/>
      <c r="E222" s="10"/>
      <c r="F222" s="11"/>
      <c r="G222" s="21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0"/>
      <c r="C223" s="10"/>
      <c r="D223" s="10"/>
      <c r="E223" s="10"/>
      <c r="F223" s="11"/>
      <c r="G223" s="21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0"/>
      <c r="C224" s="10"/>
      <c r="D224" s="10"/>
      <c r="E224" s="10"/>
      <c r="F224" s="11"/>
      <c r="G224" s="21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0"/>
      <c r="C225" s="10"/>
      <c r="D225" s="10"/>
      <c r="E225" s="10"/>
      <c r="F225" s="11"/>
      <c r="G225" s="21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0"/>
      <c r="C226" s="10"/>
      <c r="D226" s="10"/>
      <c r="E226" s="10"/>
      <c r="F226" s="11"/>
      <c r="G226" s="21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0"/>
      <c r="C227" s="10"/>
      <c r="D227" s="10"/>
      <c r="E227" s="10"/>
      <c r="F227" s="11"/>
      <c r="G227" s="21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0"/>
      <c r="C228" s="10"/>
      <c r="D228" s="10"/>
      <c r="E228" s="10"/>
      <c r="F228" s="11"/>
      <c r="G228" s="21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0"/>
      <c r="C229" s="10"/>
      <c r="D229" s="10"/>
      <c r="E229" s="10"/>
      <c r="F229" s="11"/>
      <c r="G229" s="21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0"/>
      <c r="C230" s="10"/>
      <c r="D230" s="10"/>
      <c r="E230" s="10"/>
      <c r="F230" s="11"/>
      <c r="G230" s="21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0"/>
      <c r="C231" s="10"/>
      <c r="D231" s="10"/>
      <c r="E231" s="10"/>
      <c r="F231" s="11"/>
      <c r="G231" s="21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0"/>
      <c r="C232" s="10"/>
      <c r="D232" s="10"/>
      <c r="E232" s="10"/>
      <c r="F232" s="11"/>
      <c r="G232" s="21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0"/>
      <c r="C233" s="10"/>
      <c r="D233" s="10"/>
      <c r="E233" s="10"/>
      <c r="F233" s="11"/>
      <c r="G233" s="21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0"/>
      <c r="C234" s="10"/>
      <c r="D234" s="10"/>
      <c r="E234" s="10"/>
      <c r="F234" s="11"/>
      <c r="G234" s="21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0"/>
      <c r="C235" s="10"/>
      <c r="D235" s="10"/>
      <c r="E235" s="10"/>
      <c r="F235" s="11"/>
      <c r="G235" s="21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0"/>
      <c r="C236" s="10"/>
      <c r="D236" s="10"/>
      <c r="E236" s="10"/>
      <c r="F236" s="11"/>
      <c r="G236" s="21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0"/>
      <c r="C237" s="10"/>
      <c r="D237" s="10"/>
      <c r="E237" s="10"/>
      <c r="F237" s="11"/>
      <c r="G237" s="21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0"/>
      <c r="C238" s="10"/>
      <c r="D238" s="10"/>
      <c r="E238" s="10"/>
      <c r="F238" s="11"/>
      <c r="G238" s="21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0"/>
      <c r="C239" s="10"/>
      <c r="D239" s="10"/>
      <c r="E239" s="10"/>
      <c r="F239" s="11"/>
      <c r="G239" s="21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0"/>
      <c r="C240" s="10"/>
      <c r="D240" s="10"/>
      <c r="E240" s="10"/>
      <c r="F240" s="11"/>
      <c r="G240" s="21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0"/>
      <c r="C241" s="10"/>
      <c r="D241" s="10"/>
      <c r="E241" s="10"/>
      <c r="F241" s="11"/>
      <c r="G241" s="21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0"/>
      <c r="C242" s="10"/>
      <c r="D242" s="10"/>
      <c r="E242" s="10"/>
      <c r="F242" s="11"/>
      <c r="G242" s="21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0"/>
      <c r="C243" s="10"/>
      <c r="D243" s="10"/>
      <c r="E243" s="10"/>
      <c r="F243" s="11"/>
      <c r="G243" s="21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0"/>
      <c r="C244" s="10"/>
      <c r="D244" s="10"/>
      <c r="E244" s="10"/>
      <c r="F244" s="11"/>
      <c r="G244" s="21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0"/>
      <c r="C245" s="10"/>
      <c r="D245" s="10"/>
      <c r="E245" s="10"/>
      <c r="F245" s="11"/>
      <c r="G245" s="21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0"/>
      <c r="C246" s="10"/>
      <c r="D246" s="10"/>
      <c r="E246" s="10"/>
      <c r="F246" s="11"/>
      <c r="G246" s="21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0"/>
      <c r="C247" s="10"/>
      <c r="D247" s="10"/>
      <c r="E247" s="10"/>
      <c r="F247" s="11"/>
      <c r="G247" s="21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0"/>
      <c r="C248" s="10"/>
      <c r="D248" s="10"/>
      <c r="E248" s="10"/>
      <c r="F248" s="11"/>
      <c r="G248" s="21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0"/>
      <c r="C249" s="10"/>
      <c r="D249" s="10"/>
      <c r="E249" s="10"/>
      <c r="F249" s="11"/>
      <c r="G249" s="21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0"/>
      <c r="C250" s="10"/>
      <c r="D250" s="10"/>
      <c r="E250" s="10"/>
      <c r="F250" s="11"/>
      <c r="G250" s="21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0"/>
      <c r="C251" s="10"/>
      <c r="D251" s="10"/>
      <c r="E251" s="10"/>
      <c r="F251" s="11"/>
      <c r="G251" s="21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0"/>
      <c r="C252" s="10"/>
      <c r="D252" s="10"/>
      <c r="E252" s="10"/>
      <c r="F252" s="11"/>
      <c r="G252" s="21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0"/>
      <c r="C253" s="10"/>
      <c r="D253" s="10"/>
      <c r="E253" s="10"/>
      <c r="F253" s="11"/>
      <c r="G253" s="21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0"/>
      <c r="C254" s="10"/>
      <c r="D254" s="10"/>
      <c r="E254" s="10"/>
      <c r="F254" s="11"/>
      <c r="G254" s="21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0"/>
      <c r="C255" s="10"/>
      <c r="D255" s="10"/>
      <c r="E255" s="10"/>
      <c r="F255" s="11"/>
      <c r="G255" s="21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0"/>
      <c r="C256" s="10"/>
      <c r="D256" s="10"/>
      <c r="E256" s="10"/>
      <c r="F256" s="11"/>
      <c r="G256" s="21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0"/>
      <c r="C257" s="10"/>
      <c r="D257" s="10"/>
      <c r="E257" s="10"/>
      <c r="F257" s="11"/>
      <c r="G257" s="21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0"/>
      <c r="C258" s="10"/>
      <c r="D258" s="10"/>
      <c r="E258" s="10"/>
      <c r="F258" s="11"/>
      <c r="G258" s="21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0"/>
      <c r="C259" s="10"/>
      <c r="D259" s="10"/>
      <c r="E259" s="10"/>
      <c r="F259" s="11"/>
      <c r="G259" s="21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0"/>
      <c r="C260" s="10"/>
      <c r="D260" s="10"/>
      <c r="E260" s="10"/>
      <c r="F260" s="11"/>
      <c r="G260" s="21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0"/>
      <c r="C261" s="10"/>
      <c r="D261" s="10"/>
      <c r="E261" s="10"/>
      <c r="F261" s="11"/>
      <c r="G261" s="21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0"/>
      <c r="C262" s="10"/>
      <c r="D262" s="10"/>
      <c r="E262" s="10"/>
      <c r="F262" s="11"/>
      <c r="G262" s="21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0"/>
      <c r="C263" s="10"/>
      <c r="D263" s="10"/>
      <c r="E263" s="10"/>
      <c r="F263" s="11"/>
      <c r="G263" s="21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0"/>
      <c r="C264" s="10"/>
      <c r="D264" s="10"/>
      <c r="E264" s="10"/>
      <c r="F264" s="11"/>
      <c r="G264" s="21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0"/>
      <c r="C265" s="10"/>
      <c r="D265" s="10"/>
      <c r="E265" s="10"/>
      <c r="F265" s="11"/>
      <c r="G265" s="21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0"/>
      <c r="C266" s="10"/>
      <c r="D266" s="10"/>
      <c r="E266" s="10"/>
      <c r="F266" s="11"/>
      <c r="G266" s="21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0"/>
      <c r="C267" s="10"/>
      <c r="D267" s="10"/>
      <c r="E267" s="10"/>
      <c r="F267" s="11"/>
      <c r="G267" s="21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0"/>
      <c r="C268" s="10"/>
      <c r="D268" s="10"/>
      <c r="E268" s="10"/>
      <c r="F268" s="11"/>
      <c r="G268" s="21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0"/>
      <c r="C269" s="10"/>
      <c r="D269" s="10"/>
      <c r="E269" s="10"/>
      <c r="F269" s="11"/>
      <c r="G269" s="21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0"/>
      <c r="C270" s="10"/>
      <c r="D270" s="10"/>
      <c r="E270" s="10"/>
      <c r="F270" s="11"/>
      <c r="G270" s="21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0"/>
      <c r="C271" s="10"/>
      <c r="D271" s="10"/>
      <c r="E271" s="10"/>
      <c r="F271" s="11"/>
      <c r="G271" s="21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0"/>
      <c r="C272" s="10"/>
      <c r="D272" s="10"/>
      <c r="E272" s="10"/>
      <c r="F272" s="11"/>
      <c r="G272" s="21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0"/>
      <c r="C273" s="10"/>
      <c r="D273" s="10"/>
      <c r="E273" s="10"/>
      <c r="F273" s="11"/>
      <c r="G273" s="21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0"/>
      <c r="C274" s="10"/>
      <c r="D274" s="10"/>
      <c r="E274" s="10"/>
      <c r="F274" s="11"/>
      <c r="G274" s="21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0"/>
      <c r="C275" s="10"/>
      <c r="D275" s="10"/>
      <c r="E275" s="10"/>
      <c r="F275" s="11"/>
      <c r="G275" s="21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0"/>
      <c r="C276" s="10"/>
      <c r="D276" s="10"/>
      <c r="E276" s="10"/>
      <c r="F276" s="11"/>
      <c r="G276" s="21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0"/>
      <c r="C277" s="10"/>
      <c r="D277" s="10"/>
      <c r="E277" s="10"/>
      <c r="F277" s="11"/>
      <c r="G277" s="21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0"/>
      <c r="C278" s="10"/>
      <c r="D278" s="10"/>
      <c r="E278" s="10"/>
      <c r="F278" s="11"/>
      <c r="G278" s="21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0"/>
      <c r="C279" s="10"/>
      <c r="D279" s="10"/>
      <c r="E279" s="10"/>
      <c r="F279" s="11"/>
      <c r="G279" s="21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0"/>
      <c r="C280" s="10"/>
      <c r="D280" s="10"/>
      <c r="E280" s="10"/>
      <c r="F280" s="11"/>
      <c r="G280" s="21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0"/>
      <c r="C281" s="10"/>
      <c r="D281" s="10"/>
      <c r="E281" s="10"/>
      <c r="F281" s="11"/>
      <c r="G281" s="21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0"/>
      <c r="C282" s="10"/>
      <c r="D282" s="10"/>
      <c r="E282" s="10"/>
      <c r="F282" s="11"/>
      <c r="G282" s="21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0"/>
      <c r="C283" s="10"/>
      <c r="D283" s="10"/>
      <c r="E283" s="10"/>
      <c r="F283" s="11"/>
      <c r="G283" s="21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0"/>
      <c r="C284" s="10"/>
      <c r="D284" s="10"/>
      <c r="E284" s="10"/>
      <c r="F284" s="11"/>
      <c r="G284" s="21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0"/>
      <c r="C285" s="10"/>
      <c r="D285" s="10"/>
      <c r="E285" s="10"/>
      <c r="F285" s="11"/>
      <c r="G285" s="21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0"/>
      <c r="C286" s="10"/>
      <c r="D286" s="10"/>
      <c r="E286" s="10"/>
      <c r="F286" s="11"/>
      <c r="G286" s="21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0"/>
      <c r="C287" s="10"/>
      <c r="D287" s="10"/>
      <c r="E287" s="10"/>
      <c r="F287" s="11"/>
      <c r="G287" s="21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0"/>
      <c r="C288" s="10"/>
      <c r="D288" s="10"/>
      <c r="E288" s="10"/>
      <c r="F288" s="11"/>
      <c r="G288" s="21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0"/>
      <c r="C289" s="10"/>
      <c r="D289" s="10"/>
      <c r="E289" s="10"/>
      <c r="F289" s="11"/>
      <c r="G289" s="21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0"/>
      <c r="C290" s="10"/>
      <c r="D290" s="10"/>
      <c r="E290" s="10"/>
      <c r="F290" s="11"/>
      <c r="G290" s="21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0"/>
      <c r="C291" s="10"/>
      <c r="D291" s="10"/>
      <c r="E291" s="10"/>
      <c r="F291" s="11"/>
      <c r="G291" s="21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0"/>
      <c r="C292" s="10"/>
      <c r="D292" s="10"/>
      <c r="E292" s="10"/>
      <c r="F292" s="11"/>
      <c r="G292" s="21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0"/>
      <c r="C293" s="10"/>
      <c r="D293" s="10"/>
      <c r="E293" s="10"/>
      <c r="F293" s="11"/>
      <c r="G293" s="21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0"/>
      <c r="C294" s="10"/>
      <c r="D294" s="10"/>
      <c r="E294" s="10"/>
      <c r="F294" s="11"/>
      <c r="G294" s="21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0"/>
      <c r="C295" s="10"/>
      <c r="D295" s="10"/>
      <c r="E295" s="10"/>
      <c r="F295" s="11"/>
      <c r="G295" s="21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0"/>
      <c r="C296" s="10"/>
      <c r="D296" s="10"/>
      <c r="E296" s="10"/>
      <c r="F296" s="11"/>
      <c r="G296" s="21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0"/>
      <c r="C297" s="10"/>
      <c r="D297" s="10"/>
      <c r="E297" s="10"/>
      <c r="F297" s="11"/>
      <c r="G297" s="21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0"/>
      <c r="C298" s="10"/>
      <c r="D298" s="10"/>
      <c r="E298" s="10"/>
      <c r="F298" s="11"/>
      <c r="G298" s="21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0"/>
      <c r="C299" s="10"/>
      <c r="D299" s="10"/>
      <c r="E299" s="10"/>
      <c r="F299" s="11"/>
      <c r="G299" s="21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0"/>
      <c r="C300" s="10"/>
      <c r="D300" s="10"/>
      <c r="E300" s="10"/>
      <c r="F300" s="11"/>
      <c r="G300" s="21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0"/>
      <c r="C301" s="10"/>
      <c r="D301" s="10"/>
      <c r="E301" s="10"/>
      <c r="F301" s="11"/>
      <c r="G301" s="21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0"/>
      <c r="C302" s="10"/>
      <c r="D302" s="10"/>
      <c r="E302" s="10"/>
      <c r="F302" s="11"/>
      <c r="G302" s="21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0"/>
      <c r="C303" s="10"/>
      <c r="D303" s="10"/>
      <c r="E303" s="10"/>
      <c r="F303" s="11"/>
      <c r="G303" s="21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0"/>
      <c r="C304" s="10"/>
      <c r="D304" s="10"/>
      <c r="E304" s="10"/>
      <c r="F304" s="11"/>
      <c r="G304" s="21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0"/>
      <c r="C305" s="10"/>
      <c r="D305" s="10"/>
      <c r="E305" s="10"/>
      <c r="F305" s="11"/>
      <c r="G305" s="21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0"/>
      <c r="C306" s="10"/>
      <c r="D306" s="10"/>
      <c r="E306" s="10"/>
      <c r="F306" s="11"/>
      <c r="G306" s="21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0"/>
      <c r="C307" s="10"/>
      <c r="D307" s="10"/>
      <c r="E307" s="10"/>
      <c r="F307" s="11"/>
      <c r="G307" s="21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0"/>
      <c r="C308" s="10"/>
      <c r="D308" s="10"/>
      <c r="E308" s="10"/>
      <c r="F308" s="11"/>
      <c r="G308" s="21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0"/>
      <c r="C309" s="10"/>
      <c r="D309" s="10"/>
      <c r="E309" s="10"/>
      <c r="F309" s="11"/>
      <c r="G309" s="21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0"/>
      <c r="C310" s="10"/>
      <c r="D310" s="10"/>
      <c r="E310" s="10"/>
      <c r="F310" s="11"/>
      <c r="G310" s="21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0"/>
      <c r="C311" s="10"/>
      <c r="D311" s="10"/>
      <c r="E311" s="10"/>
      <c r="F311" s="11"/>
      <c r="G311" s="21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0"/>
      <c r="C312" s="10"/>
      <c r="D312" s="10"/>
      <c r="E312" s="10"/>
      <c r="F312" s="11"/>
      <c r="G312" s="21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0"/>
      <c r="C313" s="10"/>
      <c r="D313" s="10"/>
      <c r="E313" s="10"/>
      <c r="F313" s="11"/>
      <c r="G313" s="21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0"/>
      <c r="C314" s="10"/>
      <c r="D314" s="10"/>
      <c r="E314" s="10"/>
      <c r="F314" s="11"/>
      <c r="G314" s="21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0"/>
      <c r="C315" s="10"/>
      <c r="D315" s="10"/>
      <c r="E315" s="10"/>
      <c r="F315" s="11"/>
      <c r="G315" s="21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0"/>
      <c r="C316" s="10"/>
      <c r="D316" s="10"/>
      <c r="E316" s="10"/>
      <c r="F316" s="11"/>
      <c r="G316" s="21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0"/>
      <c r="C317" s="10"/>
      <c r="D317" s="10"/>
      <c r="E317" s="10"/>
      <c r="F317" s="11"/>
      <c r="G317" s="21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0"/>
      <c r="C318" s="10"/>
      <c r="D318" s="10"/>
      <c r="E318" s="10"/>
      <c r="F318" s="11"/>
      <c r="G318" s="21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0"/>
      <c r="C319" s="10"/>
      <c r="D319" s="10"/>
      <c r="E319" s="10"/>
      <c r="F319" s="11"/>
      <c r="G319" s="21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0"/>
      <c r="C320" s="10"/>
      <c r="D320" s="10"/>
      <c r="E320" s="10"/>
      <c r="F320" s="11"/>
      <c r="G320" s="21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0"/>
      <c r="C321" s="10"/>
      <c r="D321" s="10"/>
      <c r="E321" s="10"/>
      <c r="F321" s="11"/>
      <c r="G321" s="21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0"/>
      <c r="C322" s="10"/>
      <c r="D322" s="10"/>
      <c r="E322" s="10"/>
      <c r="F322" s="11"/>
      <c r="G322" s="21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0"/>
      <c r="C323" s="10"/>
      <c r="D323" s="10"/>
      <c r="E323" s="10"/>
      <c r="F323" s="11"/>
      <c r="G323" s="21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0"/>
      <c r="C324" s="10"/>
      <c r="D324" s="10"/>
      <c r="E324" s="10"/>
      <c r="F324" s="11"/>
      <c r="G324" s="21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0"/>
      <c r="C325" s="10"/>
      <c r="D325" s="10"/>
      <c r="E325" s="10"/>
      <c r="F325" s="11"/>
      <c r="G325" s="21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0"/>
      <c r="C326" s="10"/>
      <c r="D326" s="10"/>
      <c r="E326" s="10"/>
      <c r="F326" s="11"/>
      <c r="G326" s="21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0"/>
      <c r="C327" s="10"/>
      <c r="D327" s="10"/>
      <c r="E327" s="10"/>
      <c r="F327" s="11"/>
      <c r="G327" s="21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0"/>
      <c r="C328" s="10"/>
      <c r="D328" s="10"/>
      <c r="E328" s="10"/>
      <c r="F328" s="11"/>
      <c r="G328" s="21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0"/>
      <c r="C329" s="10"/>
      <c r="D329" s="10"/>
      <c r="E329" s="10"/>
      <c r="F329" s="11"/>
      <c r="G329" s="21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0"/>
      <c r="C330" s="10"/>
      <c r="D330" s="10"/>
      <c r="E330" s="10"/>
      <c r="F330" s="11"/>
      <c r="G330" s="21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0"/>
      <c r="C331" s="10"/>
      <c r="D331" s="10"/>
      <c r="E331" s="10"/>
      <c r="F331" s="11"/>
      <c r="G331" s="21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0"/>
      <c r="C332" s="10"/>
      <c r="D332" s="10"/>
      <c r="E332" s="10"/>
      <c r="F332" s="11"/>
      <c r="G332" s="21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0"/>
      <c r="C333" s="10"/>
      <c r="D333" s="10"/>
      <c r="E333" s="10"/>
      <c r="F333" s="11"/>
      <c r="G333" s="21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0"/>
      <c r="C334" s="10"/>
      <c r="D334" s="10"/>
      <c r="E334" s="10"/>
      <c r="F334" s="11"/>
      <c r="G334" s="21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0"/>
      <c r="C335" s="10"/>
      <c r="D335" s="10"/>
      <c r="E335" s="10"/>
      <c r="F335" s="11"/>
      <c r="G335" s="21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0"/>
      <c r="C336" s="10"/>
      <c r="D336" s="10"/>
      <c r="E336" s="10"/>
      <c r="F336" s="11"/>
      <c r="G336" s="21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0"/>
      <c r="C337" s="10"/>
      <c r="D337" s="10"/>
      <c r="E337" s="10"/>
      <c r="F337" s="11"/>
      <c r="G337" s="21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0"/>
      <c r="C338" s="10"/>
      <c r="D338" s="10"/>
      <c r="E338" s="10"/>
      <c r="F338" s="11"/>
      <c r="G338" s="21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0"/>
      <c r="C339" s="10"/>
      <c r="D339" s="10"/>
      <c r="E339" s="10"/>
      <c r="F339" s="11"/>
      <c r="G339" s="21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0"/>
      <c r="C340" s="10"/>
      <c r="D340" s="10"/>
      <c r="E340" s="10"/>
      <c r="F340" s="11"/>
      <c r="G340" s="21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0"/>
      <c r="C341" s="10"/>
      <c r="D341" s="10"/>
      <c r="E341" s="10"/>
      <c r="F341" s="11"/>
      <c r="G341" s="21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0"/>
      <c r="C342" s="10"/>
      <c r="D342" s="10"/>
      <c r="E342" s="10"/>
      <c r="F342" s="11"/>
      <c r="G342" s="21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0"/>
      <c r="C343" s="10"/>
      <c r="D343" s="10"/>
      <c r="E343" s="10"/>
      <c r="F343" s="11"/>
      <c r="G343" s="21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0"/>
      <c r="C344" s="10"/>
      <c r="D344" s="10"/>
      <c r="E344" s="10"/>
      <c r="F344" s="11"/>
      <c r="G344" s="21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0"/>
      <c r="C345" s="10"/>
      <c r="D345" s="10"/>
      <c r="E345" s="10"/>
      <c r="F345" s="11"/>
      <c r="G345" s="21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0"/>
      <c r="C346" s="10"/>
      <c r="D346" s="10"/>
      <c r="E346" s="10"/>
      <c r="F346" s="11"/>
      <c r="G346" s="21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0"/>
      <c r="C347" s="10"/>
      <c r="D347" s="10"/>
      <c r="E347" s="10"/>
      <c r="F347" s="11"/>
      <c r="G347" s="21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0"/>
      <c r="C348" s="10"/>
      <c r="D348" s="10"/>
      <c r="E348" s="10"/>
      <c r="F348" s="11"/>
      <c r="G348" s="21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0"/>
      <c r="C349" s="10"/>
      <c r="D349" s="10"/>
      <c r="E349" s="10"/>
      <c r="F349" s="11"/>
      <c r="G349" s="21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0"/>
      <c r="C350" s="10"/>
      <c r="D350" s="10"/>
      <c r="E350" s="10"/>
      <c r="F350" s="11"/>
      <c r="G350" s="21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0"/>
      <c r="C351" s="10"/>
      <c r="D351" s="10"/>
      <c r="E351" s="10"/>
      <c r="F351" s="11"/>
      <c r="G351" s="21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0"/>
      <c r="C352" s="10"/>
      <c r="D352" s="10"/>
      <c r="E352" s="10"/>
      <c r="F352" s="11"/>
      <c r="G352" s="21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0"/>
      <c r="C353" s="10"/>
      <c r="D353" s="10"/>
      <c r="E353" s="10"/>
      <c r="F353" s="11"/>
      <c r="G353" s="21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0"/>
      <c r="C354" s="10"/>
      <c r="D354" s="10"/>
      <c r="E354" s="10"/>
      <c r="F354" s="11"/>
      <c r="G354" s="21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0"/>
      <c r="C355" s="10"/>
      <c r="D355" s="10"/>
      <c r="E355" s="10"/>
      <c r="F355" s="11"/>
      <c r="G355" s="21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0"/>
      <c r="C356" s="10"/>
      <c r="D356" s="10"/>
      <c r="E356" s="10"/>
      <c r="F356" s="11"/>
      <c r="G356" s="21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0"/>
      <c r="C357" s="10"/>
      <c r="D357" s="10"/>
      <c r="E357" s="10"/>
      <c r="F357" s="11"/>
      <c r="G357" s="21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0"/>
      <c r="C358" s="10"/>
      <c r="D358" s="10"/>
      <c r="E358" s="10"/>
      <c r="F358" s="11"/>
      <c r="G358" s="21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0"/>
      <c r="C359" s="10"/>
      <c r="D359" s="10"/>
      <c r="E359" s="10"/>
      <c r="F359" s="11"/>
      <c r="G359" s="21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0"/>
      <c r="C360" s="10"/>
      <c r="D360" s="10"/>
      <c r="E360" s="10"/>
      <c r="F360" s="11"/>
      <c r="G360" s="21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0"/>
      <c r="C361" s="10"/>
      <c r="D361" s="10"/>
      <c r="E361" s="10"/>
      <c r="F361" s="11"/>
      <c r="G361" s="21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0"/>
      <c r="C362" s="10"/>
      <c r="D362" s="10"/>
      <c r="E362" s="10"/>
      <c r="F362" s="11"/>
      <c r="G362" s="21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0"/>
      <c r="C363" s="10"/>
      <c r="D363" s="10"/>
      <c r="E363" s="10"/>
      <c r="F363" s="11"/>
      <c r="G363" s="21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0"/>
      <c r="C364" s="10"/>
      <c r="D364" s="10"/>
      <c r="E364" s="10"/>
      <c r="F364" s="11"/>
      <c r="G364" s="21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0"/>
      <c r="C365" s="10"/>
      <c r="D365" s="10"/>
      <c r="E365" s="10"/>
      <c r="F365" s="11"/>
      <c r="G365" s="21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0"/>
      <c r="C366" s="10"/>
      <c r="D366" s="10"/>
      <c r="E366" s="10"/>
      <c r="F366" s="11"/>
      <c r="G366" s="21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0"/>
      <c r="C367" s="10"/>
      <c r="D367" s="10"/>
      <c r="E367" s="10"/>
      <c r="F367" s="11"/>
      <c r="G367" s="21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0"/>
      <c r="C368" s="10"/>
      <c r="D368" s="10"/>
      <c r="E368" s="10"/>
      <c r="F368" s="11"/>
      <c r="G368" s="21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0"/>
      <c r="C369" s="10"/>
      <c r="D369" s="10"/>
      <c r="E369" s="10"/>
      <c r="F369" s="11"/>
      <c r="G369" s="21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0"/>
      <c r="C370" s="10"/>
      <c r="D370" s="10"/>
      <c r="E370" s="10"/>
      <c r="F370" s="11"/>
      <c r="G370" s="21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0"/>
      <c r="C371" s="10"/>
      <c r="D371" s="10"/>
      <c r="E371" s="10"/>
      <c r="F371" s="11"/>
      <c r="G371" s="21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0"/>
      <c r="C372" s="10"/>
      <c r="D372" s="10"/>
      <c r="E372" s="10"/>
      <c r="F372" s="11"/>
      <c r="G372" s="21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0"/>
      <c r="C373" s="10"/>
      <c r="D373" s="10"/>
      <c r="E373" s="10"/>
      <c r="F373" s="11"/>
      <c r="G373" s="21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0"/>
      <c r="C374" s="10"/>
      <c r="D374" s="10"/>
      <c r="E374" s="10"/>
      <c r="F374" s="11"/>
      <c r="G374" s="21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0"/>
      <c r="C375" s="10"/>
      <c r="D375" s="10"/>
      <c r="E375" s="10"/>
      <c r="F375" s="11"/>
      <c r="G375" s="21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0"/>
      <c r="C376" s="10"/>
      <c r="D376" s="10"/>
      <c r="E376" s="10"/>
      <c r="F376" s="11"/>
      <c r="G376" s="21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0"/>
      <c r="C377" s="10"/>
      <c r="D377" s="10"/>
      <c r="E377" s="10"/>
      <c r="F377" s="11"/>
      <c r="G377" s="21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0"/>
      <c r="C378" s="10"/>
      <c r="D378" s="10"/>
      <c r="E378" s="10"/>
      <c r="F378" s="11"/>
      <c r="G378" s="21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0"/>
      <c r="C379" s="10"/>
      <c r="D379" s="10"/>
      <c r="E379" s="10"/>
      <c r="F379" s="11"/>
      <c r="G379" s="21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0"/>
      <c r="C380" s="10"/>
      <c r="D380" s="10"/>
      <c r="E380" s="10"/>
      <c r="F380" s="11"/>
      <c r="G380" s="21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0"/>
      <c r="C381" s="10"/>
      <c r="D381" s="10"/>
      <c r="E381" s="10"/>
      <c r="F381" s="11"/>
      <c r="G381" s="21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0"/>
      <c r="C382" s="10"/>
      <c r="D382" s="10"/>
      <c r="E382" s="10"/>
      <c r="F382" s="11"/>
      <c r="G382" s="21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0"/>
      <c r="C383" s="10"/>
      <c r="D383" s="10"/>
      <c r="E383" s="10"/>
      <c r="F383" s="11"/>
      <c r="G383" s="21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0"/>
      <c r="C384" s="10"/>
      <c r="D384" s="10"/>
      <c r="E384" s="10"/>
      <c r="F384" s="11"/>
      <c r="G384" s="21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0"/>
      <c r="C385" s="10"/>
      <c r="D385" s="10"/>
      <c r="E385" s="10"/>
      <c r="F385" s="11"/>
      <c r="G385" s="21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0"/>
      <c r="C386" s="10"/>
      <c r="D386" s="10"/>
      <c r="E386" s="10"/>
      <c r="F386" s="11"/>
      <c r="G386" s="21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0"/>
      <c r="C387" s="10"/>
      <c r="D387" s="10"/>
      <c r="E387" s="10"/>
      <c r="F387" s="11"/>
      <c r="G387" s="21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0"/>
      <c r="C388" s="10"/>
      <c r="D388" s="10"/>
      <c r="E388" s="10"/>
      <c r="F388" s="11"/>
      <c r="G388" s="21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0"/>
      <c r="C389" s="10"/>
      <c r="D389" s="10"/>
      <c r="E389" s="10"/>
      <c r="F389" s="11"/>
      <c r="G389" s="21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0"/>
      <c r="C390" s="10"/>
      <c r="D390" s="10"/>
      <c r="E390" s="10"/>
      <c r="F390" s="11"/>
      <c r="G390" s="21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0"/>
      <c r="C391" s="10"/>
      <c r="D391" s="10"/>
      <c r="E391" s="10"/>
      <c r="F391" s="11"/>
      <c r="G391" s="21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0"/>
      <c r="C392" s="10"/>
      <c r="D392" s="10"/>
      <c r="E392" s="10"/>
      <c r="F392" s="11"/>
      <c r="G392" s="21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0"/>
      <c r="C393" s="10"/>
      <c r="D393" s="10"/>
      <c r="E393" s="10"/>
      <c r="F393" s="11"/>
      <c r="G393" s="21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0"/>
      <c r="C394" s="10"/>
      <c r="D394" s="10"/>
      <c r="E394" s="10"/>
      <c r="F394" s="11"/>
      <c r="G394" s="21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0"/>
      <c r="C395" s="10"/>
      <c r="D395" s="10"/>
      <c r="E395" s="10"/>
      <c r="F395" s="11"/>
      <c r="G395" s="21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0"/>
      <c r="C396" s="10"/>
      <c r="D396" s="10"/>
      <c r="E396" s="10"/>
      <c r="F396" s="11"/>
      <c r="G396" s="21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0"/>
      <c r="C397" s="10"/>
      <c r="D397" s="10"/>
      <c r="E397" s="10"/>
      <c r="F397" s="11"/>
      <c r="G397" s="21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0"/>
      <c r="C398" s="10"/>
      <c r="D398" s="10"/>
      <c r="E398" s="10"/>
      <c r="F398" s="11"/>
      <c r="G398" s="21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0"/>
      <c r="C399" s="10"/>
      <c r="D399" s="10"/>
      <c r="E399" s="10"/>
      <c r="F399" s="11"/>
      <c r="G399" s="21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0"/>
      <c r="C400" s="10"/>
      <c r="D400" s="10"/>
      <c r="E400" s="10"/>
      <c r="F400" s="11"/>
      <c r="G400" s="21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0"/>
      <c r="C401" s="10"/>
      <c r="D401" s="10"/>
      <c r="E401" s="10"/>
      <c r="F401" s="11"/>
      <c r="G401" s="21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0"/>
      <c r="C402" s="10"/>
      <c r="D402" s="10"/>
      <c r="E402" s="10"/>
      <c r="F402" s="11"/>
      <c r="G402" s="21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0"/>
      <c r="C403" s="10"/>
      <c r="D403" s="10"/>
      <c r="E403" s="10"/>
      <c r="F403" s="11"/>
      <c r="G403" s="21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0"/>
      <c r="C404" s="10"/>
      <c r="D404" s="10"/>
      <c r="E404" s="10"/>
      <c r="F404" s="11"/>
      <c r="G404" s="21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0"/>
      <c r="C405" s="10"/>
      <c r="D405" s="10"/>
      <c r="E405" s="10"/>
      <c r="F405" s="11"/>
      <c r="G405" s="21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0"/>
      <c r="C406" s="10"/>
      <c r="D406" s="10"/>
      <c r="E406" s="10"/>
      <c r="F406" s="11"/>
      <c r="G406" s="21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0"/>
      <c r="C407" s="10"/>
      <c r="D407" s="10"/>
      <c r="E407" s="10"/>
      <c r="F407" s="11"/>
      <c r="G407" s="21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0"/>
      <c r="C408" s="10"/>
      <c r="D408" s="10"/>
      <c r="E408" s="10"/>
      <c r="F408" s="11"/>
      <c r="G408" s="21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0"/>
      <c r="C409" s="10"/>
      <c r="D409" s="10"/>
      <c r="E409" s="10"/>
      <c r="F409" s="11"/>
      <c r="G409" s="21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0"/>
      <c r="C410" s="10"/>
      <c r="D410" s="10"/>
      <c r="E410" s="10"/>
      <c r="F410" s="11"/>
      <c r="G410" s="21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0"/>
      <c r="C411" s="10"/>
      <c r="D411" s="10"/>
      <c r="E411" s="10"/>
      <c r="F411" s="11"/>
      <c r="G411" s="21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0"/>
      <c r="C412" s="10"/>
      <c r="D412" s="10"/>
      <c r="E412" s="10"/>
      <c r="F412" s="11"/>
      <c r="G412" s="21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0"/>
      <c r="C413" s="10"/>
      <c r="D413" s="10"/>
      <c r="E413" s="10"/>
      <c r="F413" s="11"/>
      <c r="G413" s="21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0"/>
      <c r="C414" s="10"/>
      <c r="D414" s="10"/>
      <c r="E414" s="10"/>
      <c r="F414" s="11"/>
      <c r="G414" s="21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0"/>
      <c r="C415" s="10"/>
      <c r="D415" s="10"/>
      <c r="E415" s="10"/>
      <c r="F415" s="11"/>
      <c r="G415" s="21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0"/>
      <c r="C416" s="10"/>
      <c r="D416" s="10"/>
      <c r="E416" s="10"/>
      <c r="F416" s="11"/>
      <c r="G416" s="21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0"/>
      <c r="C417" s="10"/>
      <c r="D417" s="10"/>
      <c r="E417" s="10"/>
      <c r="F417" s="11"/>
      <c r="G417" s="21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0"/>
      <c r="C418" s="10"/>
      <c r="D418" s="10"/>
      <c r="E418" s="10"/>
      <c r="F418" s="11"/>
      <c r="G418" s="21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0"/>
      <c r="C419" s="10"/>
      <c r="D419" s="10"/>
      <c r="E419" s="10"/>
      <c r="F419" s="11"/>
      <c r="G419" s="21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0"/>
      <c r="C420" s="10"/>
      <c r="D420" s="10"/>
      <c r="E420" s="10"/>
      <c r="F420" s="11"/>
      <c r="G420" s="21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0"/>
      <c r="C421" s="10"/>
      <c r="D421" s="10"/>
      <c r="E421" s="10"/>
      <c r="F421" s="11"/>
      <c r="G421" s="21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0"/>
      <c r="C422" s="10"/>
      <c r="D422" s="10"/>
      <c r="E422" s="10"/>
      <c r="F422" s="11"/>
      <c r="G422" s="21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0"/>
      <c r="C423" s="10"/>
      <c r="D423" s="10"/>
      <c r="E423" s="10"/>
      <c r="F423" s="11"/>
      <c r="G423" s="21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0"/>
      <c r="C424" s="10"/>
      <c r="D424" s="10"/>
      <c r="E424" s="10"/>
      <c r="F424" s="11"/>
      <c r="G424" s="21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0"/>
      <c r="C425" s="10"/>
      <c r="D425" s="10"/>
      <c r="E425" s="10"/>
      <c r="F425" s="11"/>
      <c r="G425" s="21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0"/>
      <c r="C426" s="10"/>
      <c r="D426" s="10"/>
      <c r="E426" s="10"/>
      <c r="F426" s="11"/>
      <c r="G426" s="21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0"/>
      <c r="C427" s="10"/>
      <c r="D427" s="10"/>
      <c r="E427" s="10"/>
      <c r="F427" s="11"/>
      <c r="G427" s="21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0"/>
      <c r="C428" s="10"/>
      <c r="D428" s="10"/>
      <c r="E428" s="10"/>
      <c r="F428" s="11"/>
      <c r="G428" s="21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0"/>
      <c r="C429" s="10"/>
      <c r="D429" s="10"/>
      <c r="E429" s="10"/>
      <c r="F429" s="11"/>
      <c r="G429" s="21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0"/>
      <c r="C430" s="10"/>
      <c r="D430" s="10"/>
      <c r="E430" s="10"/>
      <c r="F430" s="11"/>
      <c r="G430" s="21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0"/>
      <c r="C431" s="10"/>
      <c r="D431" s="10"/>
      <c r="E431" s="10"/>
      <c r="F431" s="11"/>
      <c r="G431" s="21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0"/>
      <c r="C432" s="10"/>
      <c r="D432" s="10"/>
      <c r="E432" s="10"/>
      <c r="F432" s="11"/>
      <c r="G432" s="21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0"/>
      <c r="C433" s="10"/>
      <c r="D433" s="10"/>
      <c r="E433" s="10"/>
      <c r="F433" s="11"/>
      <c r="G433" s="21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0"/>
      <c r="C434" s="10"/>
      <c r="D434" s="10"/>
      <c r="E434" s="10"/>
      <c r="F434" s="11"/>
      <c r="G434" s="21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0"/>
      <c r="C435" s="10"/>
      <c r="D435" s="10"/>
      <c r="E435" s="10"/>
      <c r="F435" s="11"/>
      <c r="G435" s="21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0"/>
      <c r="C436" s="10"/>
      <c r="D436" s="10"/>
      <c r="E436" s="10"/>
      <c r="F436" s="11"/>
      <c r="G436" s="21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0"/>
      <c r="C437" s="10"/>
      <c r="D437" s="10"/>
      <c r="E437" s="10"/>
      <c r="F437" s="11"/>
      <c r="G437" s="21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0"/>
      <c r="C438" s="10"/>
      <c r="D438" s="10"/>
      <c r="E438" s="10"/>
      <c r="F438" s="11"/>
      <c r="G438" s="21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0"/>
      <c r="C439" s="10"/>
      <c r="D439" s="10"/>
      <c r="E439" s="10"/>
      <c r="F439" s="11"/>
      <c r="G439" s="21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0"/>
      <c r="C440" s="10"/>
      <c r="D440" s="10"/>
      <c r="E440" s="10"/>
      <c r="F440" s="11"/>
      <c r="G440" s="21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0"/>
      <c r="C441" s="10"/>
      <c r="D441" s="10"/>
      <c r="E441" s="10"/>
      <c r="F441" s="11"/>
      <c r="G441" s="21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0"/>
      <c r="C442" s="10"/>
      <c r="D442" s="10"/>
      <c r="E442" s="10"/>
      <c r="F442" s="11"/>
      <c r="G442" s="21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0"/>
      <c r="C443" s="10"/>
      <c r="D443" s="10"/>
      <c r="E443" s="10"/>
      <c r="F443" s="11"/>
      <c r="G443" s="21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0"/>
      <c r="C444" s="10"/>
      <c r="D444" s="10"/>
      <c r="E444" s="10"/>
      <c r="F444" s="11"/>
      <c r="G444" s="21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0"/>
      <c r="C445" s="10"/>
      <c r="D445" s="10"/>
      <c r="E445" s="10"/>
      <c r="F445" s="11"/>
      <c r="G445" s="21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0"/>
      <c r="C446" s="10"/>
      <c r="D446" s="10"/>
      <c r="E446" s="10"/>
      <c r="F446" s="11"/>
      <c r="G446" s="21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0"/>
      <c r="C447" s="10"/>
      <c r="D447" s="10"/>
      <c r="E447" s="10"/>
      <c r="F447" s="11"/>
      <c r="G447" s="21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0"/>
      <c r="C448" s="10"/>
      <c r="D448" s="10"/>
      <c r="E448" s="10"/>
      <c r="F448" s="11"/>
      <c r="G448" s="21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0"/>
      <c r="C449" s="10"/>
      <c r="D449" s="10"/>
      <c r="E449" s="10"/>
      <c r="F449" s="11"/>
      <c r="G449" s="21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0"/>
      <c r="C450" s="10"/>
      <c r="D450" s="10"/>
      <c r="E450" s="10"/>
      <c r="F450" s="11"/>
      <c r="G450" s="21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0"/>
      <c r="C451" s="10"/>
      <c r="D451" s="10"/>
      <c r="E451" s="10"/>
      <c r="F451" s="11"/>
      <c r="G451" s="21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0"/>
      <c r="C452" s="10"/>
      <c r="D452" s="10"/>
      <c r="E452" s="10"/>
      <c r="F452" s="11"/>
      <c r="G452" s="21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0"/>
      <c r="C453" s="10"/>
      <c r="D453" s="10"/>
      <c r="E453" s="10"/>
      <c r="F453" s="11"/>
      <c r="G453" s="21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0"/>
      <c r="C454" s="10"/>
      <c r="D454" s="10"/>
      <c r="E454" s="10"/>
      <c r="F454" s="11"/>
      <c r="G454" s="21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0"/>
      <c r="C455" s="10"/>
      <c r="D455" s="10"/>
      <c r="E455" s="10"/>
      <c r="F455" s="11"/>
      <c r="G455" s="21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0"/>
      <c r="C456" s="10"/>
      <c r="D456" s="10"/>
      <c r="E456" s="10"/>
      <c r="F456" s="11"/>
      <c r="G456" s="21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0"/>
      <c r="C457" s="10"/>
      <c r="D457" s="10"/>
      <c r="E457" s="10"/>
      <c r="F457" s="11"/>
      <c r="G457" s="21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0"/>
      <c r="C458" s="10"/>
      <c r="D458" s="10"/>
      <c r="E458" s="10"/>
      <c r="F458" s="11"/>
      <c r="G458" s="21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0"/>
      <c r="C459" s="10"/>
      <c r="D459" s="10"/>
      <c r="E459" s="10"/>
      <c r="F459" s="11"/>
      <c r="G459" s="21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0"/>
      <c r="C460" s="10"/>
      <c r="D460" s="10"/>
      <c r="E460" s="10"/>
      <c r="F460" s="11"/>
      <c r="G460" s="21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0"/>
      <c r="C461" s="10"/>
      <c r="D461" s="10"/>
      <c r="E461" s="10"/>
      <c r="F461" s="11"/>
      <c r="G461" s="21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0"/>
      <c r="C462" s="10"/>
      <c r="D462" s="10"/>
      <c r="E462" s="10"/>
      <c r="F462" s="11"/>
      <c r="G462" s="21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0"/>
      <c r="C463" s="10"/>
      <c r="D463" s="10"/>
      <c r="E463" s="10"/>
      <c r="F463" s="11"/>
      <c r="G463" s="21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0"/>
      <c r="C464" s="10"/>
      <c r="D464" s="10"/>
      <c r="E464" s="10"/>
      <c r="F464" s="11"/>
      <c r="G464" s="21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0"/>
      <c r="C465" s="10"/>
      <c r="D465" s="10"/>
      <c r="E465" s="10"/>
      <c r="F465" s="11"/>
      <c r="G465" s="21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0"/>
      <c r="C466" s="10"/>
      <c r="D466" s="10"/>
      <c r="E466" s="10"/>
      <c r="F466" s="11"/>
      <c r="G466" s="21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0"/>
      <c r="C467" s="10"/>
      <c r="D467" s="10"/>
      <c r="E467" s="10"/>
      <c r="F467" s="11"/>
      <c r="G467" s="21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0"/>
      <c r="C468" s="10"/>
      <c r="D468" s="10"/>
      <c r="E468" s="10"/>
      <c r="F468" s="11"/>
      <c r="G468" s="21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0"/>
      <c r="C469" s="10"/>
      <c r="D469" s="10"/>
      <c r="E469" s="10"/>
      <c r="F469" s="11"/>
      <c r="G469" s="21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0"/>
      <c r="C470" s="10"/>
      <c r="D470" s="10"/>
      <c r="E470" s="10"/>
      <c r="F470" s="11"/>
      <c r="G470" s="21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0"/>
      <c r="C471" s="10"/>
      <c r="D471" s="10"/>
      <c r="E471" s="10"/>
      <c r="F471" s="11"/>
      <c r="G471" s="21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0"/>
      <c r="C472" s="10"/>
      <c r="D472" s="10"/>
      <c r="E472" s="10"/>
      <c r="F472" s="11"/>
      <c r="G472" s="21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0"/>
      <c r="C473" s="10"/>
      <c r="D473" s="10"/>
      <c r="E473" s="10"/>
      <c r="F473" s="11"/>
      <c r="G473" s="21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0"/>
      <c r="C474" s="10"/>
      <c r="D474" s="10"/>
      <c r="E474" s="10"/>
      <c r="F474" s="11"/>
      <c r="G474" s="21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0"/>
      <c r="C475" s="10"/>
      <c r="D475" s="10"/>
      <c r="E475" s="10"/>
      <c r="F475" s="11"/>
      <c r="G475" s="21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0"/>
      <c r="C476" s="10"/>
      <c r="D476" s="10"/>
      <c r="E476" s="10"/>
      <c r="F476" s="11"/>
      <c r="G476" s="21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0"/>
      <c r="C477" s="10"/>
      <c r="D477" s="10"/>
      <c r="E477" s="10"/>
      <c r="F477" s="11"/>
      <c r="G477" s="21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0"/>
      <c r="C478" s="10"/>
      <c r="D478" s="10"/>
      <c r="E478" s="10"/>
      <c r="F478" s="11"/>
      <c r="G478" s="21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0"/>
      <c r="C479" s="10"/>
      <c r="D479" s="10"/>
      <c r="E479" s="10"/>
      <c r="F479" s="11"/>
      <c r="G479" s="21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0"/>
      <c r="C480" s="10"/>
      <c r="D480" s="10"/>
      <c r="E480" s="10"/>
      <c r="F480" s="11"/>
      <c r="G480" s="21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0"/>
      <c r="C481" s="10"/>
      <c r="D481" s="10"/>
      <c r="E481" s="10"/>
      <c r="F481" s="11"/>
      <c r="G481" s="21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0"/>
      <c r="C482" s="10"/>
      <c r="D482" s="10"/>
      <c r="E482" s="10"/>
      <c r="F482" s="11"/>
      <c r="G482" s="21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0"/>
      <c r="C483" s="10"/>
      <c r="D483" s="10"/>
      <c r="E483" s="10"/>
      <c r="F483" s="11"/>
      <c r="G483" s="21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0"/>
      <c r="C484" s="10"/>
      <c r="D484" s="10"/>
      <c r="E484" s="10"/>
      <c r="F484" s="11"/>
      <c r="G484" s="21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0"/>
      <c r="C485" s="10"/>
      <c r="D485" s="10"/>
      <c r="E485" s="10"/>
      <c r="F485" s="11"/>
      <c r="G485" s="21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0"/>
      <c r="C486" s="10"/>
      <c r="D486" s="10"/>
      <c r="E486" s="10"/>
      <c r="F486" s="11"/>
      <c r="G486" s="21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0"/>
      <c r="C487" s="10"/>
      <c r="D487" s="10"/>
      <c r="E487" s="10"/>
      <c r="F487" s="11"/>
      <c r="G487" s="21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0"/>
      <c r="C488" s="10"/>
      <c r="D488" s="10"/>
      <c r="E488" s="10"/>
      <c r="F488" s="11"/>
      <c r="G488" s="21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0"/>
      <c r="C489" s="10"/>
      <c r="D489" s="10"/>
      <c r="E489" s="10"/>
      <c r="F489" s="11"/>
      <c r="G489" s="21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0"/>
      <c r="C490" s="10"/>
      <c r="D490" s="10"/>
      <c r="E490" s="10"/>
      <c r="F490" s="11"/>
      <c r="G490" s="21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0"/>
      <c r="C491" s="10"/>
      <c r="D491" s="10"/>
      <c r="E491" s="10"/>
      <c r="F491" s="11"/>
      <c r="G491" s="21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0"/>
      <c r="C492" s="10"/>
      <c r="D492" s="10"/>
      <c r="E492" s="10"/>
      <c r="F492" s="11"/>
      <c r="G492" s="21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0"/>
      <c r="C493" s="10"/>
      <c r="D493" s="10"/>
      <c r="E493" s="10"/>
      <c r="F493" s="11"/>
      <c r="G493" s="21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0"/>
      <c r="C494" s="10"/>
      <c r="D494" s="10"/>
      <c r="E494" s="10"/>
      <c r="F494" s="11"/>
      <c r="G494" s="21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0"/>
      <c r="C495" s="10"/>
      <c r="D495" s="10"/>
      <c r="E495" s="10"/>
      <c r="F495" s="11"/>
      <c r="G495" s="21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0"/>
      <c r="C496" s="10"/>
      <c r="D496" s="10"/>
      <c r="E496" s="10"/>
      <c r="F496" s="11"/>
      <c r="G496" s="21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0"/>
      <c r="C497" s="10"/>
      <c r="D497" s="10"/>
      <c r="E497" s="10"/>
      <c r="F497" s="11"/>
      <c r="G497" s="21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0"/>
      <c r="C498" s="10"/>
      <c r="D498" s="10"/>
      <c r="E498" s="10"/>
      <c r="F498" s="11"/>
      <c r="G498" s="21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0"/>
      <c r="C499" s="10"/>
      <c r="D499" s="10"/>
      <c r="E499" s="10"/>
      <c r="F499" s="11"/>
      <c r="G499" s="21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0"/>
      <c r="C500" s="10"/>
      <c r="D500" s="10"/>
      <c r="E500" s="10"/>
      <c r="F500" s="11"/>
      <c r="G500" s="21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0"/>
      <c r="C501" s="10"/>
      <c r="D501" s="10"/>
      <c r="E501" s="10"/>
      <c r="F501" s="11"/>
      <c r="G501" s="21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0"/>
      <c r="C502" s="10"/>
      <c r="D502" s="10"/>
      <c r="E502" s="10"/>
      <c r="F502" s="11"/>
      <c r="G502" s="21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0"/>
      <c r="C503" s="10"/>
      <c r="D503" s="10"/>
      <c r="E503" s="10"/>
      <c r="F503" s="11"/>
      <c r="G503" s="21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0"/>
      <c r="C504" s="10"/>
      <c r="D504" s="10"/>
      <c r="E504" s="10"/>
      <c r="F504" s="11"/>
      <c r="G504" s="21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2"/>
      <c r="B1" s="12" t="s">
        <v>41</v>
      </c>
      <c r="C1" s="13"/>
      <c r="D1" s="13"/>
      <c r="E1" s="13"/>
      <c r="F1" s="13"/>
      <c r="G1" s="14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3" t="str">
        <f>IF(AND(Transactions!$D7="Expense",Transactions!$G7&lt;&gt;""),"-&gt; "&amp;Transactions!$G7,"")</f>
        <v>-&gt; PEC</v>
      </c>
      <c r="C2" s="23" t="str">
        <f>IF(AND(Transactions!$D8="Expense",Transactions!$G8&lt;&gt;""),"-&gt; "&amp;Transactions!$G8,"")</f>
        <v>-&gt; SFI</v>
      </c>
      <c r="D2" s="23" t="str">
        <f>IF(AND(Transactions!$D9="Expense",Transactions!$G9&lt;&gt;""),"-&gt; "&amp;Transactions!$G9,"")</f>
        <v/>
      </c>
      <c r="E2" s="23" t="str">
        <f>IF(AND(Transactions!$D10="Expense",Transactions!$G10&lt;&gt;""),"-&gt; "&amp;Transactions!$G10,"")</f>
        <v/>
      </c>
      <c r="F2" s="23" t="str">
        <f>IF(AND(Transactions!$D11="Expense",Transactions!$G11&lt;&gt;""),"-&gt; "&amp;Transactions!$G11,"")</f>
        <v/>
      </c>
      <c r="G2" s="23" t="str">
        <f>IF(AND(Transactions!$D12="Expense",Transactions!$G12&lt;&gt;""),"-&gt; "&amp;Transactions!$G12,"")</f>
        <v>-&gt; May-July Fields</v>
      </c>
      <c r="H2" s="23" t="str">
        <f>IF(AND(Transactions!$D13="Expense",Transactions!$G13&lt;&gt;""),"-&gt; "&amp;Transactions!$G13,"")</f>
        <v>-&gt; PEC</v>
      </c>
      <c r="I2" s="23" t="str">
        <f>IF(AND(Transactions!$D14="Expense",Transactions!$G14&lt;&gt;""),"-&gt; "&amp;Transactions!$G14,"")</f>
        <v>-&gt; PEC</v>
      </c>
      <c r="J2" s="23" t="str">
        <f>IF(AND(Transactions!$D15="Expense",Transactions!$G15&lt;&gt;""),"-&gt; "&amp;Transactions!$G15,"")</f>
        <v/>
      </c>
      <c r="K2" s="23" t="str">
        <f>IF(AND(Transactions!$D16="Expense",Transactions!$G16&lt;&gt;""),"-&gt; "&amp;Transactions!$G16,"")</f>
        <v/>
      </c>
      <c r="L2" s="23" t="str">
        <f>IF(AND(Transactions!$D17="Expense",Transactions!$G17&lt;&gt;""),"-&gt; "&amp;Transactions!$G17,"")</f>
        <v/>
      </c>
      <c r="M2" s="23" t="str">
        <f>IF(AND(Transactions!$D18="Expense",Transactions!$G18&lt;&gt;""),"-&gt; "&amp;Transactions!$G18,"")</f>
        <v/>
      </c>
      <c r="N2" s="23" t="str">
        <f>IF(AND(Transactions!$D19="Expense",Transactions!$G19&lt;&gt;""),"-&gt; "&amp;Transactions!$G19,"")</f>
        <v/>
      </c>
      <c r="O2" s="23" t="str">
        <f>IF(AND(Transactions!$D20="Expense",Transactions!$G20&lt;&gt;""),"-&gt; "&amp;Transactions!$G20,"")</f>
        <v/>
      </c>
      <c r="P2" s="23" t="str">
        <f>IF(AND(Transactions!$D21="Expense",Transactions!$G21&lt;&gt;""),"-&gt; "&amp;Transactions!$G21,"")</f>
        <v/>
      </c>
      <c r="Q2" s="23" t="str">
        <f>IF(AND(Transactions!$D22="Expense",Transactions!$G22&lt;&gt;""),"-&gt; "&amp;Transactions!$G22,"")</f>
        <v/>
      </c>
      <c r="R2" s="23" t="str">
        <f>IF(AND(Transactions!$D23="Expense",Transactions!$G23&lt;&gt;""),"-&gt; "&amp;Transactions!$G23,"")</f>
        <v/>
      </c>
      <c r="S2" s="23" t="str">
        <f>IF(AND(Transactions!$D24="Expense",Transactions!$G24&lt;&gt;""),"-&gt; "&amp;Transactions!$G24,"")</f>
        <v/>
      </c>
      <c r="T2" s="23" t="str">
        <f>IF(AND(Transactions!$D25="Expense",Transactions!$G25&lt;&gt;""),"-&gt; "&amp;Transactions!$G25,"")</f>
        <v/>
      </c>
      <c r="U2" s="23" t="str">
        <f>IF(AND(Transactions!$D26="Expense",Transactions!$G26&lt;&gt;""),"-&gt; "&amp;Transactions!$G26,"")</f>
        <v/>
      </c>
      <c r="V2" s="23" t="str">
        <f>IF(AND(Transactions!$D27="Expense",Transactions!$G27&lt;&gt;""),"-&gt; "&amp;Transactions!$G27,"")</f>
        <v/>
      </c>
      <c r="W2" s="23" t="str">
        <f>IF(AND(Transactions!$D28="Expense",Transactions!$G28&lt;&gt;""),"-&gt; "&amp;Transactions!$G28,"")</f>
        <v/>
      </c>
      <c r="X2" s="23" t="str">
        <f>IF(AND(Transactions!$D29="Expense",Transactions!$G29&lt;&gt;""),"-&gt; "&amp;Transactions!$G29,"")</f>
        <v/>
      </c>
      <c r="Y2" s="23" t="str">
        <f>IF(AND(Transactions!$D30="Expense",Transactions!$G30&lt;&gt;""),"-&gt; "&amp;Transactions!$G30,"")</f>
        <v/>
      </c>
      <c r="Z2" s="23" t="str">
        <f>IF(AND(Transactions!$D31="Expense",Transactions!$G31&lt;&gt;""),"-&gt; "&amp;Transactions!$G31,"")</f>
        <v/>
      </c>
      <c r="AA2" s="23" t="str">
        <f>IF(AND(Transactions!$D32="Expense",Transactions!$G32&lt;&gt;""),"-&gt; "&amp;Transactions!$G32,"")</f>
        <v/>
      </c>
      <c r="AB2" s="23" t="str">
        <f>IF(AND(Transactions!$D33="Expense",Transactions!$G33&lt;&gt;""),"-&gt; "&amp;Transactions!$G33,"")</f>
        <v/>
      </c>
      <c r="AC2" s="23" t="str">
        <f>IF(AND(Transactions!$D34="Expense",Transactions!$G34&lt;&gt;""),"-&gt; "&amp;Transactions!$G34,"")</f>
        <v/>
      </c>
      <c r="AD2" s="23" t="str">
        <f>IF(AND(Transactions!$D35="Expense",Transactions!$G35&lt;&gt;""),"-&gt; "&amp;Transactions!$G35,"")</f>
        <v/>
      </c>
      <c r="AE2" s="23" t="str">
        <f>IF(AND(Transactions!$D36="Expense",Transactions!$G36&lt;&gt;""),"-&gt; "&amp;Transactions!$G36,"")</f>
        <v/>
      </c>
      <c r="AF2" s="23" t="str">
        <f>IF(AND(Transactions!$D37="Expense",Transactions!$G37&lt;&gt;""),"-&gt; "&amp;Transactions!$G37,"")</f>
        <v/>
      </c>
      <c r="AG2" s="23" t="str">
        <f>IF(AND(Transactions!$D38="Expense",Transactions!$G38&lt;&gt;""),"-&gt; "&amp;Transactions!$G38,"")</f>
        <v/>
      </c>
      <c r="AH2" s="23" t="str">
        <f>IF(AND(Transactions!$D39="Expense",Transactions!$G39&lt;&gt;""),"-&gt; "&amp;Transactions!$G39,"")</f>
        <v/>
      </c>
      <c r="AI2" s="23" t="str">
        <f>IF(AND(Transactions!$D40="Expense",Transactions!$G40&lt;&gt;""),"-&gt; "&amp;Transactions!$G40,"")</f>
        <v/>
      </c>
      <c r="AJ2" s="23" t="str">
        <f>IF(AND(Transactions!$D41="Expense",Transactions!$G41&lt;&gt;""),"-&gt; "&amp;Transactions!$G41,"")</f>
        <v/>
      </c>
      <c r="AK2" s="23" t="str">
        <f>IF(AND(Transactions!$D42="Expense",Transactions!$G42&lt;&gt;""),"-&gt; "&amp;Transactions!$G42,"")</f>
        <v/>
      </c>
      <c r="AL2" s="23" t="str">
        <f>IF(AND(Transactions!$D43="Expense",Transactions!$G43&lt;&gt;""),"-&gt; "&amp;Transactions!$G43,"")</f>
        <v/>
      </c>
      <c r="AM2" s="23" t="str">
        <f>IF(AND(Transactions!$D44="Expense",Transactions!$G44&lt;&gt;""),"-&gt; "&amp;Transactions!$G44,"")</f>
        <v/>
      </c>
      <c r="AN2" s="23" t="str">
        <f>IF(AND(Transactions!$D45="Expense",Transactions!$G45&lt;&gt;""),"-&gt; "&amp;Transactions!$G45,"")</f>
        <v/>
      </c>
      <c r="AO2" s="23" t="str">
        <f>IF(AND(Transactions!$D46="Expense",Transactions!$G46&lt;&gt;""),"-&gt; "&amp;Transactions!$G46,"")</f>
        <v/>
      </c>
      <c r="AP2" s="23" t="str">
        <f>IF(AND(Transactions!$D47="Expense",Transactions!$G47&lt;&gt;""),"-&gt; "&amp;Transactions!$G47,"")</f>
        <v/>
      </c>
      <c r="AQ2" s="23" t="str">
        <f>IF(AND(Transactions!$D48="Expense",Transactions!$G48&lt;&gt;""),"-&gt; "&amp;Transactions!$G48,"")</f>
        <v/>
      </c>
      <c r="AR2" s="23" t="str">
        <f>IF(AND(Transactions!$D49="Expense",Transactions!$G49&lt;&gt;""),"-&gt; "&amp;Transactions!$G49,"")</f>
        <v/>
      </c>
      <c r="AS2" s="23" t="str">
        <f>IF(AND(Transactions!$D50="Expense",Transactions!$G50&lt;&gt;""),"-&gt; "&amp;Transactions!$G50,"")</f>
        <v/>
      </c>
      <c r="AT2" s="23" t="str">
        <f>IF(AND(Transactions!$D51="Expense",Transactions!$G51&lt;&gt;""),"-&gt; "&amp;Transactions!$G51,"")</f>
        <v/>
      </c>
      <c r="AU2" s="23" t="str">
        <f>IF(AND(Transactions!$D52="Expense",Transactions!$G52&lt;&gt;""),"-&gt; "&amp;Transactions!$G52,"")</f>
        <v/>
      </c>
      <c r="AV2" s="23" t="str">
        <f>IF(AND(Transactions!$D53="Expense",Transactions!$G53&lt;&gt;""),"-&gt; "&amp;Transactions!$G53,"")</f>
        <v/>
      </c>
      <c r="AW2" s="23" t="str">
        <f>IF(AND(Transactions!$D54="Expense",Transactions!$G54&lt;&gt;""),"-&gt; "&amp;Transactions!$G54,"")</f>
        <v/>
      </c>
      <c r="AX2" s="23" t="str">
        <f>IF(AND(Transactions!$D55="Expense",Transactions!$G55&lt;&gt;""),"-&gt; "&amp;Transactions!$G55,"")</f>
        <v/>
      </c>
      <c r="AY2" s="23" t="str">
        <f>IF(AND(Transactions!$D56="Expense",Transactions!$G56&lt;&gt;""),"-&gt; "&amp;Transactions!$G56,"")</f>
        <v/>
      </c>
      <c r="AZ2" s="23" t="str">
        <f>IF(AND(Transactions!$D57="Expense",Transactions!$G57&lt;&gt;""),"-&gt; "&amp;Transactions!$G57,"")</f>
        <v/>
      </c>
      <c r="BA2" s="23" t="str">
        <f>IF(AND(Transactions!$D58="Expense",Transactions!$G58&lt;&gt;""),"-&gt; "&amp;Transactions!$G58,"")</f>
        <v/>
      </c>
      <c r="BB2" s="23" t="str">
        <f>IF(AND(Transactions!$D59="Expense",Transactions!$G59&lt;&gt;""),"-&gt; "&amp;Transactions!$G59,"")</f>
        <v/>
      </c>
      <c r="BC2" s="23" t="str">
        <f>IF(AND(Transactions!$D60="Expense",Transactions!$G60&lt;&gt;""),"-&gt; "&amp;Transactions!$G60,"")</f>
        <v/>
      </c>
      <c r="BD2" s="23" t="str">
        <f>IF(AND(Transactions!$D61="Expense",Transactions!$G61&lt;&gt;""),"-&gt; "&amp;Transactions!$G61,"")</f>
        <v/>
      </c>
      <c r="BE2" s="23" t="str">
        <f>IF(AND(Transactions!$D62="Expense",Transactions!$G62&lt;&gt;""),"-&gt; "&amp;Transactions!$G62,"")</f>
        <v/>
      </c>
      <c r="BF2" s="23" t="str">
        <f>IF(AND(Transactions!$D63="Expense",Transactions!$G63&lt;&gt;""),"-&gt; "&amp;Transactions!$G63,"")</f>
        <v/>
      </c>
      <c r="BG2" s="23" t="str">
        <f>IF(AND(Transactions!$D64="Expense",Transactions!$G64&lt;&gt;""),"-&gt; "&amp;Transactions!$G64,"")</f>
        <v/>
      </c>
      <c r="BH2" s="23" t="str">
        <f>IF(AND(Transactions!$D65="Expense",Transactions!$G65&lt;&gt;""),"-&gt; "&amp;Transactions!$G65,"")</f>
        <v/>
      </c>
      <c r="BI2" s="23" t="str">
        <f>IF(AND(Transactions!$D66="Expense",Transactions!$G66&lt;&gt;""),"-&gt; "&amp;Transactions!$G66,"")</f>
        <v/>
      </c>
      <c r="BJ2" s="23" t="str">
        <f>IF(AND(Transactions!$D67="Expense",Transactions!$G67&lt;&gt;""),"-&gt; "&amp;Transactions!$G67,"")</f>
        <v/>
      </c>
      <c r="BK2" s="23" t="str">
        <f>IF(AND(Transactions!$D68="Expense",Transactions!$G68&lt;&gt;""),"-&gt; "&amp;Transactions!$G68,"")</f>
        <v/>
      </c>
      <c r="BL2" s="23" t="str">
        <f>IF(AND(Transactions!$D69="Expense",Transactions!$G69&lt;&gt;""),"-&gt; "&amp;Transactions!$G69,"")</f>
        <v/>
      </c>
      <c r="BM2" s="23" t="str">
        <f>IF(AND(Transactions!$D70="Expense",Transactions!$G70&lt;&gt;""),"-&gt; "&amp;Transactions!$G70,"")</f>
        <v/>
      </c>
      <c r="BN2" s="23" t="str">
        <f>IF(AND(Transactions!$D71="Expense",Transactions!$G71&lt;&gt;""),"-&gt; "&amp;Transactions!$G71,"")</f>
        <v/>
      </c>
      <c r="BO2" s="23" t="str">
        <f>IF(AND(Transactions!$D72="Expense",Transactions!$G72&lt;&gt;""),"-&gt; "&amp;Transactions!$G72,"")</f>
        <v/>
      </c>
      <c r="BP2" s="23" t="str">
        <f>IF(AND(Transactions!$D73="Expense",Transactions!$G73&lt;&gt;""),"-&gt; "&amp;Transactions!$G73,"")</f>
        <v/>
      </c>
      <c r="BQ2" s="23" t="str">
        <f>IF(AND(Transactions!$D74="Expense",Transactions!$G74&lt;&gt;""),"-&gt; "&amp;Transactions!$G74,"")</f>
        <v/>
      </c>
      <c r="BR2" s="23" t="str">
        <f>IF(AND(Transactions!$D75="Expense",Transactions!$G75&lt;&gt;""),"-&gt; "&amp;Transactions!$G75,"")</f>
        <v/>
      </c>
      <c r="BS2" s="23" t="str">
        <f>IF(AND(Transactions!$D76="Expense",Transactions!$G76&lt;&gt;""),"-&gt; "&amp;Transactions!$G76,"")</f>
        <v/>
      </c>
      <c r="BT2" s="23" t="str">
        <f>IF(AND(Transactions!$D77="Expense",Transactions!$G77&lt;&gt;""),"-&gt; "&amp;Transactions!$G77,"")</f>
        <v/>
      </c>
      <c r="BU2" s="23" t="str">
        <f>IF(AND(Transactions!$D78="Expense",Transactions!$G78&lt;&gt;""),"-&gt; "&amp;Transactions!$G78,"")</f>
        <v/>
      </c>
      <c r="BV2" s="23" t="str">
        <f>IF(AND(Transactions!$D79="Expense",Transactions!$G79&lt;&gt;""),"-&gt; "&amp;Transactions!$G79,"")</f>
        <v/>
      </c>
      <c r="BW2" s="23" t="str">
        <f>IF(AND(Transactions!$D80="Expense",Transactions!$G80&lt;&gt;""),"-&gt; "&amp;Transactions!$G80,"")</f>
        <v/>
      </c>
      <c r="BX2" s="23" t="str">
        <f>IF(AND(Transactions!$D81="Expense",Transactions!$G81&lt;&gt;""),"-&gt; "&amp;Transactions!$G81,"")</f>
        <v/>
      </c>
      <c r="BY2" s="23" t="str">
        <f>IF(AND(Transactions!$D82="Expense",Transactions!$G82&lt;&gt;""),"-&gt; "&amp;Transactions!$G82,"")</f>
        <v/>
      </c>
      <c r="BZ2" s="23" t="str">
        <f>IF(AND(Transactions!$D83="Expense",Transactions!$G83&lt;&gt;""),"-&gt; "&amp;Transactions!$G83,"")</f>
        <v/>
      </c>
      <c r="CA2" s="23" t="str">
        <f>IF(AND(Transactions!$D84="Expense",Transactions!$G84&lt;&gt;""),"-&gt; "&amp;Transactions!$G84,"")</f>
        <v/>
      </c>
      <c r="CB2" s="23" t="str">
        <f>IF(AND(Transactions!$D85="Expense",Transactions!$G85&lt;&gt;""),"-&gt; "&amp;Transactions!$G85,"")</f>
        <v/>
      </c>
      <c r="CC2" s="23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4" t="str">
        <f>IF(AND(Transactions!$D7="Expense",Transactions!$G7&lt;&gt;""),Transactions!$B7,"")</f>
        <v>PEC Bid Fee</v>
      </c>
      <c r="C3" s="24" t="str">
        <f>IF(AND(Transactions!$D8="Expense",Transactions!$G8&lt;&gt;""),Transactions!$B8,"")</f>
        <v>SFI Bid Fee</v>
      </c>
      <c r="D3" s="24" t="str">
        <f>IF(AND(Transactions!$D9="Expense",Transactions!$G9&lt;&gt;""),Transactions!$B9,"")</f>
        <v/>
      </c>
      <c r="E3" s="24" t="str">
        <f>IF(AND(Transactions!$D10="Expense",Transactions!$G10&lt;&gt;""),Transactions!$B10,"")</f>
        <v/>
      </c>
      <c r="F3" s="24" t="str">
        <f>IF(AND(Transactions!$D11="Expense",Transactions!$G11&lt;&gt;""),Transactions!$B11,"")</f>
        <v/>
      </c>
      <c r="G3" s="24" t="str">
        <f>IF(AND(Transactions!$D12="Expense",Transactions!$G12&lt;&gt;""),Transactions!$B12,"")</f>
        <v>Wednesday Tryout Field</v>
      </c>
      <c r="H3" s="24" t="str">
        <f>IF(AND(Transactions!$D13="Expense",Transactions!$G13&lt;&gt;""),Transactions!$B13,"")</f>
        <v>tshirts and spray paint</v>
      </c>
      <c r="I3" s="24" t="str">
        <f>IF(AND(Transactions!$D14="Expense",Transactions!$G14&lt;&gt;""),Transactions!$B14,"")</f>
        <v>pec minivan</v>
      </c>
      <c r="J3" s="24" t="str">
        <f>IF(AND(Transactions!$D15="Expense",Transactions!$G15&lt;&gt;""),Transactions!$B15,"")</f>
        <v/>
      </c>
      <c r="K3" s="24" t="str">
        <f>IF(AND(Transactions!$D16="Expense",Transactions!$G16&lt;&gt;""),Transactions!$B16,"")</f>
        <v/>
      </c>
      <c r="L3" s="24" t="str">
        <f>IF(AND(Transactions!$D17="Expense",Transactions!$G17&lt;&gt;""),Transactions!$B17,"")</f>
        <v/>
      </c>
      <c r="M3" s="24" t="str">
        <f>IF(AND(Transactions!$D18="Expense",Transactions!$G18&lt;&gt;""),Transactions!$B18,"")</f>
        <v/>
      </c>
      <c r="N3" s="24" t="str">
        <f>IF(AND(Transactions!$D19="Expense",Transactions!$G19&lt;&gt;""),Transactions!$B19,"")</f>
        <v/>
      </c>
      <c r="O3" s="24" t="str">
        <f>IF(AND(Transactions!$D20="Expense",Transactions!$G20&lt;&gt;""),Transactions!$B20,"")</f>
        <v/>
      </c>
      <c r="P3" s="24" t="str">
        <f>IF(AND(Transactions!$D21="Expense",Transactions!$G21&lt;&gt;""),Transactions!$B21,"")</f>
        <v/>
      </c>
      <c r="Q3" s="24" t="str">
        <f>IF(AND(Transactions!$D22="Expense",Transactions!$G22&lt;&gt;""),Transactions!$B22,"")</f>
        <v/>
      </c>
      <c r="R3" s="24" t="str">
        <f>IF(AND(Transactions!$D23="Expense",Transactions!$G23&lt;&gt;""),Transactions!$B23,"")</f>
        <v/>
      </c>
      <c r="S3" s="24" t="str">
        <f>IF(AND(Transactions!$D24="Expense",Transactions!$G24&lt;&gt;""),Transactions!$B24,"")</f>
        <v/>
      </c>
      <c r="T3" s="24" t="str">
        <f>IF(AND(Transactions!$D25="Expense",Transactions!$G25&lt;&gt;""),Transactions!$B25,"")</f>
        <v/>
      </c>
      <c r="U3" s="24" t="str">
        <f>IF(AND(Transactions!$D26="Expense",Transactions!$G26&lt;&gt;""),Transactions!$B26,"")</f>
        <v/>
      </c>
      <c r="V3" s="24" t="str">
        <f>IF(AND(Transactions!$D27="Expense",Transactions!$G27&lt;&gt;""),Transactions!$B27,"")</f>
        <v/>
      </c>
      <c r="W3" s="24" t="str">
        <f>IF(AND(Transactions!$D28="Expense",Transactions!$G28&lt;&gt;""),Transactions!$B28,"")</f>
        <v/>
      </c>
      <c r="X3" s="24" t="str">
        <f>IF(AND(Transactions!$D29="Expense",Transactions!$G29&lt;&gt;""),Transactions!$B29,"")</f>
        <v/>
      </c>
      <c r="Y3" s="24" t="str">
        <f>IF(AND(Transactions!$D30="Expense",Transactions!$G30&lt;&gt;""),Transactions!$B30,"")</f>
        <v/>
      </c>
      <c r="Z3" s="24" t="str">
        <f>IF(AND(Transactions!$D31="Expense",Transactions!$G31&lt;&gt;""),Transactions!$B31,"")</f>
        <v/>
      </c>
      <c r="AA3" s="24" t="str">
        <f>IF(AND(Transactions!$D32="Expense",Transactions!$G32&lt;&gt;""),Transactions!$B32,"")</f>
        <v/>
      </c>
      <c r="AB3" s="24" t="str">
        <f>IF(AND(Transactions!$D33="Expense",Transactions!$G33&lt;&gt;""),Transactions!$B33,"")</f>
        <v/>
      </c>
      <c r="AC3" s="24" t="str">
        <f>IF(AND(Transactions!$D34="Expense",Transactions!$G34&lt;&gt;""),Transactions!$B34,"")</f>
        <v/>
      </c>
      <c r="AD3" s="24" t="str">
        <f>IF(AND(Transactions!$D35="Expense",Transactions!$G35&lt;&gt;""),Transactions!$B35,"")</f>
        <v/>
      </c>
      <c r="AE3" s="24" t="str">
        <f>IF(AND(Transactions!$D36="Expense",Transactions!$G36&lt;&gt;""),Transactions!$B36,"")</f>
        <v/>
      </c>
      <c r="AF3" s="24" t="str">
        <f>IF(AND(Transactions!$D37="Expense",Transactions!$G37&lt;&gt;""),Transactions!$B37,"")</f>
        <v/>
      </c>
      <c r="AG3" s="24" t="str">
        <f>IF(AND(Transactions!$D38="Expense",Transactions!$G38&lt;&gt;""),Transactions!$B38,"")</f>
        <v/>
      </c>
      <c r="AH3" s="24" t="str">
        <f>IF(AND(Transactions!$D39="Expense",Transactions!$G39&lt;&gt;""),Transactions!$B39,"")</f>
        <v/>
      </c>
      <c r="AI3" s="24" t="str">
        <f>IF(AND(Transactions!$D40="Expense",Transactions!$G40&lt;&gt;""),Transactions!$B40,"")</f>
        <v/>
      </c>
      <c r="AJ3" s="24" t="str">
        <f>IF(AND(Transactions!$D41="Expense",Transactions!$G41&lt;&gt;""),Transactions!$B41,"")</f>
        <v/>
      </c>
      <c r="AK3" s="24" t="str">
        <f>IF(AND(Transactions!$D42="Expense",Transactions!$G42&lt;&gt;""),Transactions!$B42,"")</f>
        <v/>
      </c>
      <c r="AL3" s="24" t="str">
        <f>IF(AND(Transactions!$D43="Expense",Transactions!$G43&lt;&gt;""),Transactions!$B43,"")</f>
        <v/>
      </c>
      <c r="AM3" s="24" t="str">
        <f>IF(AND(Transactions!$D44="Expense",Transactions!$G44&lt;&gt;""),Transactions!$B44,"")</f>
        <v/>
      </c>
      <c r="AN3" s="24" t="str">
        <f>IF(AND(Transactions!$D45="Expense",Transactions!$G45&lt;&gt;""),Transactions!$B45,"")</f>
        <v/>
      </c>
      <c r="AO3" s="24" t="str">
        <f>IF(AND(Transactions!$D46="Expense",Transactions!$G46&lt;&gt;""),Transactions!$B46,"")</f>
        <v/>
      </c>
      <c r="AP3" s="24" t="str">
        <f>IF(AND(Transactions!$D47="Expense",Transactions!$G47&lt;&gt;""),Transactions!$B47,"")</f>
        <v/>
      </c>
      <c r="AQ3" s="24" t="str">
        <f>IF(AND(Transactions!$D48="Expense",Transactions!$G48&lt;&gt;""),Transactions!$B48,"")</f>
        <v/>
      </c>
      <c r="AR3" s="24" t="str">
        <f>IF(AND(Transactions!$D49="Expense",Transactions!$G49&lt;&gt;""),Transactions!$B49,"")</f>
        <v/>
      </c>
      <c r="AS3" s="24" t="str">
        <f>IF(AND(Transactions!$D50="Expense",Transactions!$G50&lt;&gt;""),Transactions!$B50,"")</f>
        <v/>
      </c>
      <c r="AT3" s="24" t="str">
        <f>IF(AND(Transactions!$D51="Expense",Transactions!$G51&lt;&gt;""),Transactions!$B51,"")</f>
        <v/>
      </c>
      <c r="AU3" s="24" t="str">
        <f>IF(AND(Transactions!$D52="Expense",Transactions!$G52&lt;&gt;""),Transactions!$B52,"")</f>
        <v/>
      </c>
      <c r="AV3" s="24" t="str">
        <f>IF(AND(Transactions!$D53="Expense",Transactions!$G53&lt;&gt;""),Transactions!$B53,"")</f>
        <v/>
      </c>
      <c r="AW3" s="24" t="str">
        <f>IF(AND(Transactions!$D54="Expense",Transactions!$G54&lt;&gt;""),Transactions!$B54,"")</f>
        <v/>
      </c>
      <c r="AX3" s="24" t="str">
        <f>IF(AND(Transactions!$D55="Expense",Transactions!$G55&lt;&gt;""),Transactions!$B55,"")</f>
        <v/>
      </c>
      <c r="AY3" s="24" t="str">
        <f>IF(AND(Transactions!$D56="Expense",Transactions!$G56&lt;&gt;""),Transactions!$B56,"")</f>
        <v/>
      </c>
      <c r="AZ3" s="24" t="str">
        <f>IF(AND(Transactions!$D57="Expense",Transactions!$G57&lt;&gt;""),Transactions!$B57,"")</f>
        <v/>
      </c>
      <c r="BA3" s="25" t="str">
        <f>IF(AND(Transactions!$D58="Expense",Transactions!$G58&lt;&gt;""),Transactions!$B58,"")</f>
        <v/>
      </c>
      <c r="BB3" s="25" t="str">
        <f>IF(AND(Transactions!$D59="Expense",Transactions!$G59&lt;&gt;""),Transactions!$B59,"")</f>
        <v/>
      </c>
      <c r="BC3" s="25" t="str">
        <f>IF(AND(Transactions!$D60="Expense",Transactions!$G60&lt;&gt;""),Transactions!$B60,"")</f>
        <v/>
      </c>
      <c r="BD3" s="25" t="str">
        <f>IF(AND(Transactions!$D61="Expense",Transactions!$G61&lt;&gt;""),Transactions!$B61,"")</f>
        <v/>
      </c>
      <c r="BE3" s="25" t="str">
        <f>IF(AND(Transactions!$D62="Expense",Transactions!$G62&lt;&gt;""),Transactions!$B62,"")</f>
        <v/>
      </c>
      <c r="BF3" s="25" t="str">
        <f>IF(AND(Transactions!$D63="Expense",Transactions!$G63&lt;&gt;""),Transactions!$B63,"")</f>
        <v/>
      </c>
      <c r="BG3" s="25" t="str">
        <f>IF(AND(Transactions!$D64="Expense",Transactions!$G64&lt;&gt;""),Transactions!$B64,"")</f>
        <v/>
      </c>
      <c r="BH3" s="25" t="str">
        <f>IF(AND(Transactions!$D65="Expense",Transactions!$G65&lt;&gt;""),Transactions!$B65,"")</f>
        <v/>
      </c>
      <c r="BI3" s="25" t="str">
        <f>IF(AND(Transactions!$D66="Expense",Transactions!$G66&lt;&gt;""),Transactions!$B66,"")</f>
        <v/>
      </c>
      <c r="BJ3" s="25" t="str">
        <f>IF(AND(Transactions!$D67="Expense",Transactions!$G67&lt;&gt;""),Transactions!$B67,"")</f>
        <v/>
      </c>
      <c r="BK3" s="25" t="str">
        <f>IF(AND(Transactions!$D68="Expense",Transactions!$G68&lt;&gt;""),Transactions!$B68,"")</f>
        <v/>
      </c>
      <c r="BL3" s="25" t="str">
        <f>IF(AND(Transactions!$D69="Expense",Transactions!$G69&lt;&gt;""),Transactions!$B69,"")</f>
        <v/>
      </c>
      <c r="BM3" s="25" t="str">
        <f>IF(AND(Transactions!$D70="Expense",Transactions!$G70&lt;&gt;""),Transactions!$B70,"")</f>
        <v/>
      </c>
      <c r="BN3" s="25" t="str">
        <f>IF(AND(Transactions!$D71="Expense",Transactions!$G71&lt;&gt;""),Transactions!$B71,"")</f>
        <v/>
      </c>
      <c r="BO3" s="25" t="str">
        <f>IF(AND(Transactions!$D72="Expense",Transactions!$G72&lt;&gt;""),Transactions!$B72,"")</f>
        <v/>
      </c>
      <c r="BP3" s="25" t="str">
        <f>IF(AND(Transactions!$D73="Expense",Transactions!$G73&lt;&gt;""),Transactions!$B73,"")</f>
        <v/>
      </c>
      <c r="BQ3" s="25" t="str">
        <f>IF(AND(Transactions!$D74="Expense",Transactions!$G74&lt;&gt;""),Transactions!$B74,"")</f>
        <v/>
      </c>
      <c r="BR3" s="25" t="str">
        <f>IF(AND(Transactions!$D75="Expense",Transactions!$G75&lt;&gt;""),Transactions!$B75,"")</f>
        <v/>
      </c>
      <c r="BS3" s="25" t="str">
        <f>IF(AND(Transactions!$D76="Expense",Transactions!$G76&lt;&gt;""),Transactions!$B76,"")</f>
        <v/>
      </c>
      <c r="BT3" s="25" t="str">
        <f>IF(AND(Transactions!$D77="Expense",Transactions!$G77&lt;&gt;""),Transactions!$B77,"")</f>
        <v/>
      </c>
      <c r="BU3" s="25" t="str">
        <f>IF(AND(Transactions!$D78="Expense",Transactions!$G78&lt;&gt;""),Transactions!$B78,"")</f>
        <v/>
      </c>
      <c r="BV3" s="25" t="str">
        <f>IF(AND(Transactions!$D79="Expense",Transactions!$G79&lt;&gt;""),Transactions!$B79,"")</f>
        <v/>
      </c>
      <c r="BW3" s="25" t="str">
        <f>IF(AND(Transactions!$D80="Expense",Transactions!$G80&lt;&gt;""),Transactions!$B80,"")</f>
        <v/>
      </c>
      <c r="BX3" s="25" t="str">
        <f>IF(AND(Transactions!$D81="Expense",Transactions!$G81&lt;&gt;""),Transactions!$B81,"")</f>
        <v/>
      </c>
      <c r="BY3" s="25" t="str">
        <f>IF(AND(Transactions!$D82="Expense",Transactions!$G82&lt;&gt;""),Transactions!$B82,"")</f>
        <v/>
      </c>
      <c r="BZ3" s="25" t="str">
        <f>IF(AND(Transactions!$D83="Expense",Transactions!$G83&lt;&gt;""),Transactions!$B83,"")</f>
        <v/>
      </c>
      <c r="CA3" s="25" t="str">
        <f>IF(AND(Transactions!$D84="Expense",Transactions!$G84&lt;&gt;""),Transactions!$B84,"")</f>
        <v/>
      </c>
      <c r="CB3" s="25" t="str">
        <f>IF(AND(Transactions!$D85="Expense",Transactions!$G85&lt;&gt;""),Transactions!$B85,"")</f>
        <v/>
      </c>
      <c r="CC3" s="25" t="str">
        <f>IF(AND(Transactions!$D86="Expense",Transactions!$G86&lt;&gt;""),Transactions!$B86,"")</f>
        <v/>
      </c>
    </row>
    <row r="4" ht="18.0" customHeight="1">
      <c r="A4" s="26" t="s">
        <v>43</v>
      </c>
      <c r="B4" s="27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7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7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7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7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7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7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7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7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7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7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7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7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7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7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7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7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7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7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7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7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7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7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7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7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7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7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7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7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7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7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7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7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7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7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7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7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7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7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7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7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7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7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7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7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7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7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7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7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7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7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28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28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28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28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28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28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28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28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28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28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28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28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28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28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28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28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28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28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28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28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28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28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28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28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28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28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28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28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28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6" t="s">
        <v>44</v>
      </c>
      <c r="B5" s="29">
        <f t="shared" ref="B5:AZ5" si="1">COUNTIF(B7:B206,"1")</f>
        <v>26</v>
      </c>
      <c r="C5" s="29">
        <f t="shared" si="1"/>
        <v>0</v>
      </c>
      <c r="D5" s="29">
        <f t="shared" si="1"/>
        <v>0</v>
      </c>
      <c r="E5" s="29">
        <f t="shared" si="1"/>
        <v>0</v>
      </c>
      <c r="F5" s="29">
        <f t="shared" si="1"/>
        <v>0</v>
      </c>
      <c r="G5" s="29">
        <f t="shared" si="1"/>
        <v>31</v>
      </c>
      <c r="H5" s="29">
        <f t="shared" si="1"/>
        <v>26</v>
      </c>
      <c r="I5" s="29">
        <f t="shared" si="1"/>
        <v>6</v>
      </c>
      <c r="J5" s="29">
        <f t="shared" si="1"/>
        <v>0</v>
      </c>
      <c r="K5" s="29">
        <f t="shared" si="1"/>
        <v>0</v>
      </c>
      <c r="L5" s="29">
        <f t="shared" si="1"/>
        <v>0</v>
      </c>
      <c r="M5" s="29">
        <f t="shared" si="1"/>
        <v>0</v>
      </c>
      <c r="N5" s="29">
        <f t="shared" si="1"/>
        <v>0</v>
      </c>
      <c r="O5" s="29">
        <f t="shared" si="1"/>
        <v>0</v>
      </c>
      <c r="P5" s="29">
        <f t="shared" si="1"/>
        <v>0</v>
      </c>
      <c r="Q5" s="29">
        <f t="shared" si="1"/>
        <v>0</v>
      </c>
      <c r="R5" s="29">
        <f t="shared" si="1"/>
        <v>0</v>
      </c>
      <c r="S5" s="29">
        <f t="shared" si="1"/>
        <v>0</v>
      </c>
      <c r="T5" s="29">
        <f t="shared" si="1"/>
        <v>0</v>
      </c>
      <c r="U5" s="29">
        <f t="shared" si="1"/>
        <v>0</v>
      </c>
      <c r="V5" s="29">
        <f t="shared" si="1"/>
        <v>0</v>
      </c>
      <c r="W5" s="29">
        <f t="shared" si="1"/>
        <v>0</v>
      </c>
      <c r="X5" s="29">
        <f t="shared" si="1"/>
        <v>0</v>
      </c>
      <c r="Y5" s="29">
        <f t="shared" si="1"/>
        <v>0</v>
      </c>
      <c r="Z5" s="29">
        <f t="shared" si="1"/>
        <v>0</v>
      </c>
      <c r="AA5" s="29">
        <f t="shared" si="1"/>
        <v>0</v>
      </c>
      <c r="AB5" s="29">
        <f t="shared" si="1"/>
        <v>0</v>
      </c>
      <c r="AC5" s="29">
        <f t="shared" si="1"/>
        <v>0</v>
      </c>
      <c r="AD5" s="29">
        <f t="shared" si="1"/>
        <v>0</v>
      </c>
      <c r="AE5" s="29">
        <f t="shared" si="1"/>
        <v>0</v>
      </c>
      <c r="AF5" s="29">
        <f t="shared" si="1"/>
        <v>0</v>
      </c>
      <c r="AG5" s="29">
        <f t="shared" si="1"/>
        <v>0</v>
      </c>
      <c r="AH5" s="29">
        <f t="shared" si="1"/>
        <v>0</v>
      </c>
      <c r="AI5" s="29">
        <f t="shared" si="1"/>
        <v>0</v>
      </c>
      <c r="AJ5" s="29">
        <f t="shared" si="1"/>
        <v>0</v>
      </c>
      <c r="AK5" s="29">
        <f t="shared" si="1"/>
        <v>0</v>
      </c>
      <c r="AL5" s="29">
        <f t="shared" si="1"/>
        <v>0</v>
      </c>
      <c r="AM5" s="29">
        <f t="shared" si="1"/>
        <v>0</v>
      </c>
      <c r="AN5" s="29">
        <f t="shared" si="1"/>
        <v>0</v>
      </c>
      <c r="AO5" s="29">
        <f t="shared" si="1"/>
        <v>0</v>
      </c>
      <c r="AP5" s="29">
        <f t="shared" si="1"/>
        <v>0</v>
      </c>
      <c r="AQ5" s="29">
        <f t="shared" si="1"/>
        <v>0</v>
      </c>
      <c r="AR5" s="29">
        <f t="shared" si="1"/>
        <v>0</v>
      </c>
      <c r="AS5" s="29">
        <f t="shared" si="1"/>
        <v>0</v>
      </c>
      <c r="AT5" s="29">
        <f t="shared" si="1"/>
        <v>0</v>
      </c>
      <c r="AU5" s="29">
        <f t="shared" si="1"/>
        <v>0</v>
      </c>
      <c r="AV5" s="29">
        <f t="shared" si="1"/>
        <v>0</v>
      </c>
      <c r="AW5" s="29">
        <f t="shared" si="1"/>
        <v>0</v>
      </c>
      <c r="AX5" s="29">
        <f t="shared" si="1"/>
        <v>0</v>
      </c>
      <c r="AY5" s="29">
        <f t="shared" si="1"/>
        <v>0</v>
      </c>
      <c r="AZ5" s="29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6" t="s">
        <v>45</v>
      </c>
      <c r="B6" s="29">
        <f t="shared" ref="B6:AZ6" si="2">B4*B5</f>
        <v>920</v>
      </c>
      <c r="C6" s="29">
        <f t="shared" si="2"/>
        <v>0</v>
      </c>
      <c r="D6" s="29">
        <f t="shared" si="2"/>
        <v>0</v>
      </c>
      <c r="E6" s="29">
        <f t="shared" si="2"/>
        <v>0</v>
      </c>
      <c r="F6" s="29">
        <f t="shared" si="2"/>
        <v>0</v>
      </c>
      <c r="G6" s="29">
        <f t="shared" si="2"/>
        <v>69</v>
      </c>
      <c r="H6" s="29">
        <f t="shared" si="2"/>
        <v>143</v>
      </c>
      <c r="I6" s="29">
        <f t="shared" si="2"/>
        <v>228.44</v>
      </c>
      <c r="J6" s="29">
        <f t="shared" si="2"/>
        <v>0</v>
      </c>
      <c r="K6" s="29">
        <f t="shared" si="2"/>
        <v>0</v>
      </c>
      <c r="L6" s="29">
        <f t="shared" si="2"/>
        <v>0</v>
      </c>
      <c r="M6" s="29">
        <f t="shared" si="2"/>
        <v>0</v>
      </c>
      <c r="N6" s="29">
        <f t="shared" si="2"/>
        <v>0</v>
      </c>
      <c r="O6" s="29">
        <f t="shared" si="2"/>
        <v>0</v>
      </c>
      <c r="P6" s="29">
        <f t="shared" si="2"/>
        <v>0</v>
      </c>
      <c r="Q6" s="29">
        <f t="shared" si="2"/>
        <v>0</v>
      </c>
      <c r="R6" s="29">
        <f t="shared" si="2"/>
        <v>0</v>
      </c>
      <c r="S6" s="29">
        <f t="shared" si="2"/>
        <v>0</v>
      </c>
      <c r="T6" s="29">
        <f t="shared" si="2"/>
        <v>0</v>
      </c>
      <c r="U6" s="29">
        <f t="shared" si="2"/>
        <v>0</v>
      </c>
      <c r="V6" s="29">
        <f t="shared" si="2"/>
        <v>0</v>
      </c>
      <c r="W6" s="29">
        <f t="shared" si="2"/>
        <v>0</v>
      </c>
      <c r="X6" s="29">
        <f t="shared" si="2"/>
        <v>0</v>
      </c>
      <c r="Y6" s="29">
        <f t="shared" si="2"/>
        <v>0</v>
      </c>
      <c r="Z6" s="29">
        <f t="shared" si="2"/>
        <v>0</v>
      </c>
      <c r="AA6" s="29">
        <f t="shared" si="2"/>
        <v>0</v>
      </c>
      <c r="AB6" s="29">
        <f t="shared" si="2"/>
        <v>0</v>
      </c>
      <c r="AC6" s="29">
        <f t="shared" si="2"/>
        <v>0</v>
      </c>
      <c r="AD6" s="29">
        <f t="shared" si="2"/>
        <v>0</v>
      </c>
      <c r="AE6" s="29">
        <f t="shared" si="2"/>
        <v>0</v>
      </c>
      <c r="AF6" s="29">
        <f t="shared" si="2"/>
        <v>0</v>
      </c>
      <c r="AG6" s="29">
        <f t="shared" si="2"/>
        <v>0</v>
      </c>
      <c r="AH6" s="29">
        <f t="shared" si="2"/>
        <v>0</v>
      </c>
      <c r="AI6" s="29">
        <f t="shared" si="2"/>
        <v>0</v>
      </c>
      <c r="AJ6" s="29">
        <f t="shared" si="2"/>
        <v>0</v>
      </c>
      <c r="AK6" s="29">
        <f t="shared" si="2"/>
        <v>0</v>
      </c>
      <c r="AL6" s="29">
        <f t="shared" si="2"/>
        <v>0</v>
      </c>
      <c r="AM6" s="29">
        <f t="shared" si="2"/>
        <v>0</v>
      </c>
      <c r="AN6" s="29">
        <f t="shared" si="2"/>
        <v>0</v>
      </c>
      <c r="AO6" s="29">
        <f t="shared" si="2"/>
        <v>0</v>
      </c>
      <c r="AP6" s="29">
        <f t="shared" si="2"/>
        <v>0</v>
      </c>
      <c r="AQ6" s="29">
        <f t="shared" si="2"/>
        <v>0</v>
      </c>
      <c r="AR6" s="29">
        <f t="shared" si="2"/>
        <v>0</v>
      </c>
      <c r="AS6" s="29">
        <f t="shared" si="2"/>
        <v>0</v>
      </c>
      <c r="AT6" s="29">
        <f t="shared" si="2"/>
        <v>0</v>
      </c>
      <c r="AU6" s="29">
        <f t="shared" si="2"/>
        <v>0</v>
      </c>
      <c r="AV6" s="29">
        <f t="shared" si="2"/>
        <v>0</v>
      </c>
      <c r="AW6" s="29">
        <f t="shared" si="2"/>
        <v>0</v>
      </c>
      <c r="AX6" s="29">
        <f t="shared" si="2"/>
        <v>0</v>
      </c>
      <c r="AY6" s="29">
        <f t="shared" si="2"/>
        <v>0</v>
      </c>
      <c r="AZ6" s="29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0" t="str">
        <f>IF(Roster!$A$5&lt;&gt;"",Roster!$A$5,"")</f>
        <v>At</v>
      </c>
      <c r="B7" s="31">
        <v>1.0</v>
      </c>
      <c r="C7" s="32" t="s">
        <v>46</v>
      </c>
      <c r="D7" s="31"/>
      <c r="E7" s="31"/>
      <c r="F7" s="31"/>
      <c r="G7" s="32">
        <v>1.0</v>
      </c>
      <c r="H7" s="31">
        <v>1.0</v>
      </c>
      <c r="I7" s="32">
        <v>1.0</v>
      </c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t="18.0" customHeight="1">
      <c r="A8" s="30" t="str">
        <f>IF(Roster!$A$6&lt;&gt;"",Roster!$A$6,"")</f>
        <v>Alex Warrington</v>
      </c>
      <c r="B8" s="31">
        <v>1.0</v>
      </c>
      <c r="C8" s="32" t="s">
        <v>46</v>
      </c>
      <c r="D8" s="31"/>
      <c r="E8" s="31"/>
      <c r="F8" s="31"/>
      <c r="G8" s="32">
        <v>1.0</v>
      </c>
      <c r="H8" s="31">
        <v>1.0</v>
      </c>
      <c r="I8" s="32">
        <v>0.0</v>
      </c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t="21.75" customHeight="1">
      <c r="A9" s="30" t="str">
        <f>IF(Roster!$A$7&lt;&gt;"",Roster!$A$7,"")</f>
        <v>Chris Wohl</v>
      </c>
      <c r="B9" s="31">
        <v>1.0</v>
      </c>
      <c r="C9" s="32" t="s">
        <v>46</v>
      </c>
      <c r="D9" s="31"/>
      <c r="E9" s="31"/>
      <c r="F9" s="31"/>
      <c r="G9" s="32">
        <v>1.0</v>
      </c>
      <c r="H9" s="31">
        <v>1.0</v>
      </c>
      <c r="I9" s="32">
        <v>0.0</v>
      </c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 ht="19.5" customHeight="1">
      <c r="A10" s="30" t="str">
        <f>IF(Roster!$A$8&lt;&gt;"",Roster!$A$8,"")</f>
        <v>Darra Reppermund</v>
      </c>
      <c r="B10" s="31">
        <v>1.0</v>
      </c>
      <c r="C10" s="32" t="s">
        <v>46</v>
      </c>
      <c r="D10" s="31"/>
      <c r="E10" s="31"/>
      <c r="F10" s="31"/>
      <c r="G10" s="32">
        <v>1.0</v>
      </c>
      <c r="H10" s="31">
        <v>1.0</v>
      </c>
      <c r="I10" s="32">
        <v>0.0</v>
      </c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t="19.5" customHeight="1">
      <c r="A11" s="30" t="str">
        <f>IF(Roster!$A$9&lt;&gt;"",Roster!$A$9,"")</f>
        <v>Dylan Best</v>
      </c>
      <c r="B11" s="31">
        <v>1.0</v>
      </c>
      <c r="C11" s="32" t="s">
        <v>46</v>
      </c>
      <c r="D11" s="31"/>
      <c r="E11" s="31"/>
      <c r="F11" s="31"/>
      <c r="G11" s="32">
        <v>1.0</v>
      </c>
      <c r="H11" s="31">
        <v>1.0</v>
      </c>
      <c r="I11" s="32">
        <v>1.0</v>
      </c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 ht="19.5" customHeight="1">
      <c r="A12" s="30" t="str">
        <f>IF(Roster!$A$10&lt;&gt;"",Roster!$A$10,"")</f>
        <v>Griffin O'Neal-Freeman</v>
      </c>
      <c r="B12" s="31">
        <v>1.0</v>
      </c>
      <c r="C12" s="32" t="s">
        <v>46</v>
      </c>
      <c r="D12" s="31"/>
      <c r="E12" s="31"/>
      <c r="F12" s="31"/>
      <c r="G12" s="32">
        <v>1.0</v>
      </c>
      <c r="H12" s="31">
        <v>1.0</v>
      </c>
      <c r="I12" s="32">
        <v>0.0</v>
      </c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 ht="19.5" customHeight="1">
      <c r="A13" s="30" t="str">
        <f>IF(Roster!$A$11&lt;&gt;"",Roster!$A$11,"")</f>
        <v>Haley Young</v>
      </c>
      <c r="B13" s="31">
        <v>1.0</v>
      </c>
      <c r="C13" s="32" t="s">
        <v>46</v>
      </c>
      <c r="D13" s="31"/>
      <c r="E13" s="31"/>
      <c r="F13" s="31"/>
      <c r="G13" s="32">
        <v>1.0</v>
      </c>
      <c r="H13" s="31">
        <v>1.0</v>
      </c>
      <c r="I13" s="32">
        <v>0.0</v>
      </c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 ht="19.5" customHeight="1">
      <c r="A14" s="30" t="str">
        <f>IF(Roster!$A$12&lt;&gt;"",Roster!$A$12,"")</f>
        <v>Harry Park</v>
      </c>
      <c r="B14" s="31">
        <v>1.0</v>
      </c>
      <c r="C14" s="32" t="s">
        <v>46</v>
      </c>
      <c r="D14" s="31"/>
      <c r="E14" s="31"/>
      <c r="F14" s="31"/>
      <c r="G14" s="32">
        <v>1.0</v>
      </c>
      <c r="H14" s="31">
        <v>1.0</v>
      </c>
      <c r="I14" s="32">
        <v>0.0</v>
      </c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 ht="19.5" customHeight="1">
      <c r="A15" s="30" t="str">
        <f>IF(Roster!$A$13&lt;&gt;"",Roster!$A$13,"")</f>
        <v>Ian Piper</v>
      </c>
      <c r="B15" s="31">
        <v>1.0</v>
      </c>
      <c r="C15" s="32" t="s">
        <v>46</v>
      </c>
      <c r="D15" s="31"/>
      <c r="E15" s="31"/>
      <c r="F15" s="31"/>
      <c r="G15" s="32">
        <v>1.0</v>
      </c>
      <c r="H15" s="31">
        <v>1.0</v>
      </c>
      <c r="I15" s="32">
        <v>0.0</v>
      </c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t="19.5" customHeight="1">
      <c r="A16" s="30" t="str">
        <f>IF(Roster!$A$14&lt;&gt;"",Roster!$A$14,"")</f>
        <v>Jake Murray</v>
      </c>
      <c r="B16" s="31">
        <v>1.0</v>
      </c>
      <c r="C16" s="32" t="s">
        <v>46</v>
      </c>
      <c r="D16" s="31"/>
      <c r="E16" s="31"/>
      <c r="F16" s="31"/>
      <c r="G16" s="32">
        <v>1.0</v>
      </c>
      <c r="H16" s="31">
        <v>1.0</v>
      </c>
      <c r="I16" s="32">
        <v>1.0</v>
      </c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 ht="19.5" customHeight="1">
      <c r="A17" s="30" t="str">
        <f>IF(Roster!$A$15&lt;&gt;"",Roster!$A$15,"")</f>
        <v>Jenna Nold</v>
      </c>
      <c r="B17" s="31">
        <v>1.0</v>
      </c>
      <c r="C17" s="32" t="s">
        <v>46</v>
      </c>
      <c r="D17" s="31"/>
      <c r="E17" s="31"/>
      <c r="F17" s="31"/>
      <c r="G17" s="32">
        <v>1.0</v>
      </c>
      <c r="H17" s="31">
        <v>1.0</v>
      </c>
      <c r="I17" s="32">
        <v>0.0</v>
      </c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t="19.5" customHeight="1">
      <c r="A18" s="30" t="str">
        <f>IF(Roster!$A$16&lt;&gt;"",Roster!$A$16,"")</f>
        <v>Jimmy Towle</v>
      </c>
      <c r="B18" s="32">
        <v>0.0</v>
      </c>
      <c r="C18" s="32" t="s">
        <v>46</v>
      </c>
      <c r="D18" s="31"/>
      <c r="E18" s="31"/>
      <c r="F18" s="31"/>
      <c r="G18" s="32">
        <v>1.0</v>
      </c>
      <c r="H18" s="32">
        <v>0.0</v>
      </c>
      <c r="I18" s="32">
        <v>0.0</v>
      </c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 ht="19.5" customHeight="1">
      <c r="A19" s="30" t="str">
        <f>IF(Roster!$A$17&lt;&gt;"",Roster!$A$17,"")</f>
        <v>Kailey Rugani</v>
      </c>
      <c r="B19" s="31">
        <v>1.0</v>
      </c>
      <c r="C19" s="32" t="s">
        <v>46</v>
      </c>
      <c r="D19" s="31"/>
      <c r="E19" s="31"/>
      <c r="F19" s="31"/>
      <c r="G19" s="32">
        <v>1.0</v>
      </c>
      <c r="H19" s="31">
        <v>1.0</v>
      </c>
      <c r="I19" s="32">
        <v>0.0</v>
      </c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ht="19.5" customHeight="1">
      <c r="A20" s="30" t="str">
        <f>IF(Roster!$A$18&lt;&gt;"",Roster!$A$18,"")</f>
        <v>Kasey Schock</v>
      </c>
      <c r="B20" s="31">
        <v>1.0</v>
      </c>
      <c r="C20" s="32" t="s">
        <v>46</v>
      </c>
      <c r="D20" s="31"/>
      <c r="E20" s="31"/>
      <c r="F20" s="31"/>
      <c r="G20" s="32">
        <v>1.0</v>
      </c>
      <c r="H20" s="31">
        <v>1.0</v>
      </c>
      <c r="I20" s="32">
        <v>0.0</v>
      </c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t="19.5" customHeight="1">
      <c r="A21" s="30" t="str">
        <f>IF(Roster!$A$19&lt;&gt;"",Roster!$A$19,"")</f>
        <v>Kevin Nicholl</v>
      </c>
      <c r="B21" s="31">
        <v>1.0</v>
      </c>
      <c r="C21" s="32" t="s">
        <v>46</v>
      </c>
      <c r="D21" s="31"/>
      <c r="E21" s="31"/>
      <c r="F21" s="31"/>
      <c r="G21" s="32">
        <v>1.0</v>
      </c>
      <c r="H21" s="31">
        <v>1.0</v>
      </c>
      <c r="I21" s="32">
        <v>0.0</v>
      </c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ht="19.5" customHeight="1">
      <c r="A22" s="30" t="str">
        <f>IF(Roster!$A$20&lt;&gt;"",Roster!$A$20,"")</f>
        <v>Kit Asterin</v>
      </c>
      <c r="B22" s="31">
        <v>1.0</v>
      </c>
      <c r="C22" s="32" t="s">
        <v>46</v>
      </c>
      <c r="D22" s="31"/>
      <c r="E22" s="31"/>
      <c r="F22" s="31"/>
      <c r="G22" s="32">
        <v>1.0</v>
      </c>
      <c r="H22" s="31">
        <v>1.0</v>
      </c>
      <c r="I22" s="32">
        <v>0.0</v>
      </c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 ht="19.5" customHeight="1">
      <c r="A23" s="30" t="str">
        <f>IF(Roster!$A$21&lt;&gt;"",Roster!$A$21,"")</f>
        <v>Kristin Dudley</v>
      </c>
      <c r="B23" s="31">
        <v>1.0</v>
      </c>
      <c r="C23" s="32" t="s">
        <v>46</v>
      </c>
      <c r="D23" s="31"/>
      <c r="E23" s="31"/>
      <c r="F23" s="31"/>
      <c r="G23" s="32">
        <v>1.0</v>
      </c>
      <c r="H23" s="31">
        <v>1.0</v>
      </c>
      <c r="I23" s="32">
        <v>1.0</v>
      </c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t="19.5" customHeight="1">
      <c r="A24" s="30" t="str">
        <f>IF(Roster!$A$22&lt;&gt;"",Roster!$A$22,"")</f>
        <v>Lexie Thomas</v>
      </c>
      <c r="B24" s="31">
        <v>1.0</v>
      </c>
      <c r="C24" s="32" t="s">
        <v>46</v>
      </c>
      <c r="D24" s="31"/>
      <c r="E24" s="31"/>
      <c r="F24" s="31"/>
      <c r="G24" s="32">
        <v>1.0</v>
      </c>
      <c r="H24" s="31">
        <v>1.0</v>
      </c>
      <c r="I24" s="32">
        <v>0.0</v>
      </c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t="19.5" customHeight="1">
      <c r="A25" s="30" t="str">
        <f>IF(Roster!$A$23&lt;&gt;"",Roster!$A$23,"")</f>
        <v>Lucas Jones</v>
      </c>
      <c r="B25" s="32">
        <v>0.0</v>
      </c>
      <c r="C25" s="32" t="s">
        <v>46</v>
      </c>
      <c r="D25" s="31"/>
      <c r="E25" s="31"/>
      <c r="F25" s="31"/>
      <c r="G25" s="32">
        <v>1.0</v>
      </c>
      <c r="H25" s="32">
        <v>0.0</v>
      </c>
      <c r="I25" s="32">
        <v>0.0</v>
      </c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ht="19.5" customHeight="1">
      <c r="A26" s="30" t="str">
        <f>IF(Roster!$A$24&lt;&gt;"",Roster!$A$24,"")</f>
        <v>Max Sheppard</v>
      </c>
      <c r="B26" s="31">
        <v>1.0</v>
      </c>
      <c r="C26" s="32" t="s">
        <v>46</v>
      </c>
      <c r="D26" s="31"/>
      <c r="E26" s="31"/>
      <c r="F26" s="31"/>
      <c r="G26" s="32">
        <v>1.0</v>
      </c>
      <c r="H26" s="31">
        <v>1.0</v>
      </c>
      <c r="I26" s="32">
        <v>0.0</v>
      </c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t="19.5" customHeight="1">
      <c r="A27" s="30" t="str">
        <f>IF(Roster!$A$25&lt;&gt;"",Roster!$A$25,"")</f>
        <v>Lucius Christie</v>
      </c>
      <c r="B27" s="31">
        <v>1.0</v>
      </c>
      <c r="C27" s="32" t="s">
        <v>46</v>
      </c>
      <c r="D27" s="31"/>
      <c r="E27" s="31"/>
      <c r="F27" s="31"/>
      <c r="G27" s="32">
        <v>1.0</v>
      </c>
      <c r="H27" s="31">
        <v>1.0</v>
      </c>
      <c r="I27" s="32">
        <v>0.0</v>
      </c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t="19.5" customHeight="1">
      <c r="A28" s="30" t="str">
        <f>IF(Roster!$A$26&lt;&gt;"",Roster!$A$26,"")</f>
        <v>Patrick McMullen</v>
      </c>
      <c r="B28" s="31">
        <v>1.0</v>
      </c>
      <c r="C28" s="32" t="s">
        <v>46</v>
      </c>
      <c r="D28" s="31"/>
      <c r="E28" s="31"/>
      <c r="F28" s="31"/>
      <c r="G28" s="32">
        <v>1.0</v>
      </c>
      <c r="H28" s="31">
        <v>1.0</v>
      </c>
      <c r="I28" s="32">
        <v>0.0</v>
      </c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t="19.5" customHeight="1">
      <c r="A29" s="30" t="str">
        <f>IF(Roster!$A$27&lt;&gt;"",Roster!$A$27,"")</f>
        <v>Rachel Graber</v>
      </c>
      <c r="B29" s="31">
        <v>1.0</v>
      </c>
      <c r="C29" s="32" t="s">
        <v>46</v>
      </c>
      <c r="D29" s="31"/>
      <c r="E29" s="31"/>
      <c r="F29" s="31"/>
      <c r="G29" s="32">
        <v>1.0</v>
      </c>
      <c r="H29" s="31">
        <v>1.0</v>
      </c>
      <c r="I29" s="32">
        <v>0.0</v>
      </c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 ht="19.5" customHeight="1">
      <c r="A30" s="30" t="str">
        <f>IF(Roster!$A$28&lt;&gt;"",Roster!$A$28,"")</f>
        <v>Ryan Kindell</v>
      </c>
      <c r="B30" s="31">
        <v>1.0</v>
      </c>
      <c r="C30" s="32" t="s">
        <v>46</v>
      </c>
      <c r="D30" s="31"/>
      <c r="E30" s="31"/>
      <c r="F30" s="31"/>
      <c r="G30" s="32">
        <v>1.0</v>
      </c>
      <c r="H30" s="31">
        <v>1.0</v>
      </c>
      <c r="I30" s="32">
        <v>0.0</v>
      </c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 ht="19.5" customHeight="1">
      <c r="A31" s="30" t="str">
        <f>IF(Roster!$A$29&lt;&gt;"",Roster!$A$29,"")</f>
        <v>Ryan Ward</v>
      </c>
      <c r="B31" s="31">
        <v>1.0</v>
      </c>
      <c r="C31" s="32" t="s">
        <v>46</v>
      </c>
      <c r="D31" s="31"/>
      <c r="E31" s="31"/>
      <c r="F31" s="31"/>
      <c r="G31" s="32">
        <v>1.0</v>
      </c>
      <c r="H31" s="31">
        <v>1.0</v>
      </c>
      <c r="I31" s="32">
        <v>0.0</v>
      </c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t="19.5" customHeight="1">
      <c r="A32" s="30" t="str">
        <f>IF(Roster!$A$30&lt;&gt;"",Roster!$A$30,"")</f>
        <v>Sam Gombiner</v>
      </c>
      <c r="B32" s="32">
        <v>0.0</v>
      </c>
      <c r="C32" s="32" t="s">
        <v>46</v>
      </c>
      <c r="D32" s="31"/>
      <c r="E32" s="31"/>
      <c r="F32" s="31"/>
      <c r="G32" s="32">
        <v>1.0</v>
      </c>
      <c r="H32" s="32">
        <v>0.0</v>
      </c>
      <c r="I32" s="32">
        <v>0.0</v>
      </c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 ht="19.5" customHeight="1">
      <c r="A33" s="30" t="str">
        <f>IF(Roster!$A$31&lt;&gt;"",Roster!$A$31,"")</f>
        <v>Sarah Kingsley-Hart</v>
      </c>
      <c r="B33" s="31">
        <v>1.0</v>
      </c>
      <c r="C33" s="32" t="s">
        <v>46</v>
      </c>
      <c r="D33" s="31"/>
      <c r="E33" s="31"/>
      <c r="F33" s="31"/>
      <c r="G33" s="32">
        <v>1.0</v>
      </c>
      <c r="H33" s="31">
        <v>1.0</v>
      </c>
      <c r="I33" s="32">
        <v>0.0</v>
      </c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t="19.5" customHeight="1">
      <c r="A34" s="30" t="str">
        <f>IF(Roster!$A$32&lt;&gt;"",Roster!$A$32,"")</f>
        <v>Sarah Lynch</v>
      </c>
      <c r="B34" s="32">
        <v>0.0</v>
      </c>
      <c r="C34" s="32" t="s">
        <v>46</v>
      </c>
      <c r="D34" s="31"/>
      <c r="E34" s="31"/>
      <c r="F34" s="31"/>
      <c r="G34" s="32">
        <v>1.0</v>
      </c>
      <c r="H34" s="32">
        <v>0.0</v>
      </c>
      <c r="I34" s="32">
        <v>0.0</v>
      </c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 ht="19.5" customHeight="1">
      <c r="A35" s="30" t="str">
        <f>IF(Roster!$A$33&lt;&gt;"",Roster!$A$33,"")</f>
        <v>Shani Rosenthal</v>
      </c>
      <c r="B35" s="31">
        <v>1.0</v>
      </c>
      <c r="C35" s="32" t="s">
        <v>46</v>
      </c>
      <c r="D35" s="31"/>
      <c r="E35" s="31"/>
      <c r="F35" s="31"/>
      <c r="G35" s="32">
        <v>1.0</v>
      </c>
      <c r="H35" s="31">
        <v>1.0</v>
      </c>
      <c r="I35" s="32">
        <v>1.0</v>
      </c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t="19.5" customHeight="1">
      <c r="A36" s="30" t="str">
        <f>IF(Roster!$A$34&lt;&gt;"",Roster!$A$34,"")</f>
        <v>Vivian Shen</v>
      </c>
      <c r="B36" s="31">
        <v>1.0</v>
      </c>
      <c r="C36" s="32" t="s">
        <v>46</v>
      </c>
      <c r="D36" s="31"/>
      <c r="E36" s="31"/>
      <c r="F36" s="31"/>
      <c r="G36" s="32">
        <v>1.0</v>
      </c>
      <c r="H36" s="31">
        <v>1.0</v>
      </c>
      <c r="I36" s="32">
        <v>1.0</v>
      </c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 ht="19.5" customHeight="1">
      <c r="A37" s="30" t="str">
        <f>IF(Roster!$A$35&lt;&gt;"",Roster!$A$35,"")</f>
        <v>Zach Esakof</v>
      </c>
      <c r="B37" s="32">
        <v>0.0</v>
      </c>
      <c r="C37" s="32" t="s">
        <v>46</v>
      </c>
      <c r="D37" s="31"/>
      <c r="E37" s="31"/>
      <c r="F37" s="31"/>
      <c r="G37" s="32">
        <v>1.0</v>
      </c>
      <c r="H37" s="32">
        <v>0.0</v>
      </c>
      <c r="I37" s="32">
        <v>0.0</v>
      </c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 ht="19.5" customHeight="1">
      <c r="A38" s="30" t="str">
        <f>IF(Roster!$A$36&lt;&gt;"",Roster!$A$36,"")</f>
        <v>Annette Kukunas-Piper</v>
      </c>
      <c r="B38" s="31" t="s">
        <v>46</v>
      </c>
      <c r="C38" s="31" t="s">
        <v>46</v>
      </c>
      <c r="D38" s="31"/>
      <c r="E38" s="31"/>
      <c r="F38" s="31"/>
      <c r="G38" s="32" t="s">
        <v>46</v>
      </c>
      <c r="H38" s="31"/>
      <c r="I38" s="32">
        <v>0.0</v>
      </c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 ht="19.5" customHeight="1">
      <c r="A39" s="30" t="str">
        <f>IF(Roster!$A$37&lt;&gt;"",Roster!$A$37,"")</f>
        <v>Matt Duffy</v>
      </c>
      <c r="B39" s="31" t="s">
        <v>46</v>
      </c>
      <c r="C39" s="31" t="s">
        <v>46</v>
      </c>
      <c r="D39" s="31"/>
      <c r="E39" s="31"/>
      <c r="F39" s="31"/>
      <c r="G39" s="32" t="s">
        <v>46</v>
      </c>
      <c r="H39" s="31"/>
      <c r="I39" s="32">
        <v>0.0</v>
      </c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 ht="19.5" customHeight="1">
      <c r="A40" s="30" t="str">
        <f>IF(Roster!$A$38&lt;&gt;"",Roster!$A$38,"")</f>
        <v>Ryan Birchard</v>
      </c>
      <c r="B40" s="31" t="s">
        <v>46</v>
      </c>
      <c r="C40" s="31" t="s">
        <v>46</v>
      </c>
      <c r="D40" s="31"/>
      <c r="E40" s="31"/>
      <c r="F40" s="31"/>
      <c r="G40" s="32" t="s">
        <v>46</v>
      </c>
      <c r="H40" s="31"/>
      <c r="I40" s="32">
        <v>0.0</v>
      </c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/>
      <c r="BM40" s="34"/>
      <c r="BN40" s="34"/>
      <c r="BO40" s="34"/>
      <c r="BP40" s="3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</row>
    <row r="41" ht="19.5" customHeight="1">
      <c r="A41" s="30" t="str">
        <f>IF(Roster!$A$39&lt;&gt;"",Roster!$A$39,"")</f>
        <v>Nick Blair</v>
      </c>
      <c r="B41" s="31" t="s">
        <v>46</v>
      </c>
      <c r="C41" s="31" t="s">
        <v>46</v>
      </c>
      <c r="D41" s="31"/>
      <c r="E41" s="31"/>
      <c r="F41" s="31"/>
      <c r="G41" s="32" t="s">
        <v>46</v>
      </c>
      <c r="H41" s="31"/>
      <c r="I41" s="32">
        <v>0.0</v>
      </c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</row>
    <row r="42" ht="19.5" customHeight="1">
      <c r="A42" s="30" t="str">
        <f>IF(Roster!$A$40&lt;&gt;"",Roster!$A$40,"")</f>
        <v/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/>
      <c r="BL42" s="34"/>
      <c r="BM42" s="34"/>
      <c r="BN42" s="34"/>
      <c r="BO42" s="34"/>
      <c r="BP42" s="3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</row>
    <row r="43" ht="19.5" customHeight="1">
      <c r="A43" s="30" t="str">
        <f>IF(Roster!$A$41&lt;&gt;"",Roster!$A$41,"")</f>
        <v/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</row>
    <row r="44" ht="19.5" customHeight="1">
      <c r="A44" s="30" t="str">
        <f>IF(Roster!$A$42&lt;&gt;"",Roster!$A$42,"")</f>
        <v/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</row>
    <row r="45" ht="19.5" customHeight="1">
      <c r="A45" s="30" t="str">
        <f>IF(Roster!$A$43&lt;&gt;"",Roster!$A$43,"")</f>
        <v/>
      </c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</row>
    <row r="46" ht="19.5" customHeight="1">
      <c r="A46" s="30" t="str">
        <f>IF(Roster!$A$44&lt;&gt;"",Roster!$A$44,"")</f>
        <v/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4"/>
      <c r="BA46" s="34"/>
      <c r="BB46" s="34"/>
      <c r="BC46" s="34"/>
      <c r="BD46" s="34"/>
      <c r="BE46" s="34"/>
      <c r="BF46" s="34"/>
      <c r="BG46" s="34"/>
      <c r="BH46" s="34"/>
      <c r="BI46" s="34"/>
      <c r="BJ46" s="34"/>
      <c r="BK46" s="34"/>
      <c r="BL46" s="34"/>
      <c r="BM46" s="34"/>
      <c r="BN46" s="34"/>
      <c r="BO46" s="34"/>
      <c r="BP46" s="3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</row>
    <row r="47" ht="19.5" customHeight="1">
      <c r="A47" s="30" t="str">
        <f>IF(Roster!$A$45&lt;&gt;"",Roster!$A$45,"")</f>
        <v/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</row>
    <row r="48" ht="19.5" customHeight="1">
      <c r="A48" s="30" t="str">
        <f>IF(Roster!$A$46&lt;&gt;"",Roster!$A$46,"")</f>
        <v/>
      </c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</row>
    <row r="49" ht="19.5" customHeight="1">
      <c r="A49" s="30" t="str">
        <f>IF(Roster!$A$47&lt;&gt;"",Roster!$A$47,"")</f>
        <v/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</row>
    <row r="50" ht="19.5" customHeight="1">
      <c r="A50" s="30" t="str">
        <f>IF(Roster!$A$48&lt;&gt;"",Roster!$A$48,"")</f>
        <v/>
      </c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</row>
    <row r="51" ht="19.5" customHeight="1">
      <c r="A51" s="30" t="str">
        <f>IF(Roster!$A$49&lt;&gt;"",Roster!$A$49,"")</f>
        <v/>
      </c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</row>
    <row r="52" ht="19.5" customHeight="1">
      <c r="A52" s="30" t="str">
        <f>IF(Roster!$A$50&lt;&gt;"",Roster!$A$50,"")</f>
        <v/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</row>
    <row r="53" ht="19.5" customHeight="1">
      <c r="A53" s="30" t="str">
        <f>IF(Roster!$A$51&lt;&gt;"",Roster!$A$51,"")</f>
        <v/>
      </c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</row>
    <row r="54" ht="19.5" customHeight="1">
      <c r="A54" s="30" t="str">
        <f>IF(Roster!$A$52&lt;&gt;"",Roster!$A$52,"")</f>
        <v/>
      </c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</row>
    <row r="55" ht="19.5" customHeight="1">
      <c r="A55" s="30" t="str">
        <f>IF(Roster!$A$53&lt;&gt;"",Roster!$A$53,"")</f>
        <v/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</row>
    <row r="56" ht="19.5" customHeight="1">
      <c r="A56" s="30" t="str">
        <f>IF(Roster!$A$54&lt;&gt;"",Roster!$A$54,"")</f>
        <v/>
      </c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</row>
    <row r="57" ht="19.5" customHeight="1">
      <c r="A57" s="30" t="str">
        <f>IF(Roster!$A$55&lt;&gt;"",Roster!$A$55,"")</f>
        <v/>
      </c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</row>
    <row r="58" ht="19.5" customHeight="1">
      <c r="A58" s="30" t="str">
        <f>IF(Roster!$A$56&lt;&gt;"",Roster!$A$56,"")</f>
        <v/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</row>
    <row r="59" ht="19.5" customHeight="1">
      <c r="A59" s="30" t="str">
        <f>IF(Roster!$A$57&lt;&gt;"",Roster!$A$57,"")</f>
        <v/>
      </c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</row>
    <row r="60" ht="19.5" customHeight="1">
      <c r="A60" s="30" t="str">
        <f>IF(Roster!$A$58&lt;&gt;"",Roster!$A$58,"")</f>
        <v/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</row>
    <row r="61" ht="19.5" customHeight="1">
      <c r="A61" s="30" t="str">
        <f>IF(Roster!$A$59&lt;&gt;"",Roster!$A$59,"")</f>
        <v/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</row>
    <row r="62" ht="19.5" customHeight="1">
      <c r="A62" s="30" t="str">
        <f>IF(Roster!$A$60&lt;&gt;"",Roster!$A$60,"")</f>
        <v/>
      </c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</row>
    <row r="63" ht="19.5" customHeight="1">
      <c r="A63" s="30" t="str">
        <f>IF(Roster!$A$61&lt;&gt;"",Roster!$A$61,"")</f>
        <v/>
      </c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</row>
    <row r="64" ht="19.5" customHeight="1">
      <c r="A64" s="30" t="str">
        <f>IF(Roster!$A$62&lt;&gt;"",Roster!$A$62,"")</f>
        <v/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</row>
    <row r="65" ht="19.5" customHeight="1">
      <c r="A65" s="30" t="str">
        <f>IF(Roster!$A$63&lt;&gt;"",Roster!$A$63,"")</f>
        <v/>
      </c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</row>
    <row r="66" ht="19.5" customHeight="1">
      <c r="A66" s="30" t="str">
        <f>IF(Roster!$A$64&lt;&gt;"",Roster!$A$64,"")</f>
        <v/>
      </c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</row>
    <row r="67" ht="19.5" customHeight="1">
      <c r="A67" s="30" t="str">
        <f>IF(Roster!$A$65&lt;&gt;"",Roster!$A$65,"")</f>
        <v/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</row>
    <row r="68" ht="19.5" customHeight="1">
      <c r="A68" s="30" t="str">
        <f>IF(Roster!$A$66&lt;&gt;"",Roster!$A$66,"")</f>
        <v/>
      </c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</row>
    <row r="69" ht="19.5" customHeight="1">
      <c r="A69" s="30" t="str">
        <f>IF(Roster!$A$67&lt;&gt;"",Roster!$A$67,"")</f>
        <v/>
      </c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</row>
    <row r="70" ht="19.5" customHeight="1">
      <c r="A70" s="30" t="str">
        <f>IF(Roster!$A$68&lt;&gt;"",Roster!$A$68,"")</f>
        <v/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</row>
    <row r="71" ht="19.5" customHeight="1">
      <c r="A71" s="30" t="str">
        <f>IF(Roster!$A$69&lt;&gt;"",Roster!$A$69,"")</f>
        <v/>
      </c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</row>
    <row r="72" ht="19.5" customHeight="1">
      <c r="A72" s="30" t="str">
        <f>IF(Roster!$A$70&lt;&gt;"",Roster!$A$70,"")</f>
        <v/>
      </c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</row>
    <row r="73" ht="19.5" customHeight="1">
      <c r="A73" s="30" t="str">
        <f>IF(Roster!$A$71&lt;&gt;"",Roster!$A$71,"")</f>
        <v/>
      </c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</row>
    <row r="74" ht="19.5" customHeight="1">
      <c r="A74" s="30" t="str">
        <f>IF(Roster!$A$72&lt;&gt;"",Roster!$A$72,"")</f>
        <v/>
      </c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</row>
    <row r="75" ht="19.5" customHeight="1">
      <c r="A75" s="30" t="str">
        <f>IF(Roster!$A$73&lt;&gt;"",Roster!$A$73,"")</f>
        <v/>
      </c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</row>
    <row r="76" ht="19.5" customHeight="1">
      <c r="A76" s="30" t="str">
        <f>IF(Roster!$A$74&lt;&gt;"",Roster!$A$74,"")</f>
        <v/>
      </c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</row>
    <row r="77" ht="19.5" customHeight="1">
      <c r="A77" s="30" t="str">
        <f>IF(Roster!$A$75&lt;&gt;"",Roster!$A$75,"")</f>
        <v/>
      </c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</row>
    <row r="78" ht="19.5" customHeight="1">
      <c r="A78" s="30" t="str">
        <f>IF(Roster!$A$76&lt;&gt;"",Roster!$A$76,"")</f>
        <v/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</row>
    <row r="79" ht="19.5" customHeight="1">
      <c r="A79" s="30" t="str">
        <f>IF(Roster!$A$77&lt;&gt;"",Roster!$A$77,"")</f>
        <v/>
      </c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</row>
    <row r="80" ht="19.5" customHeight="1">
      <c r="A80" s="30" t="str">
        <f>IF(Roster!$A$78&lt;&gt;"",Roster!$A$78,"")</f>
        <v/>
      </c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</row>
    <row r="81" ht="19.5" customHeight="1">
      <c r="A81" s="30" t="str">
        <f>IF(Roster!$A$79&lt;&gt;"",Roster!$A$79,"")</f>
        <v/>
      </c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</row>
    <row r="82" ht="19.5" customHeight="1">
      <c r="A82" s="30" t="str">
        <f>IF(Roster!$A$80&lt;&gt;"",Roster!$A$80,"")</f>
        <v/>
      </c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</row>
    <row r="83" ht="19.5" customHeight="1">
      <c r="A83" s="30" t="str">
        <f>IF(Roster!$A$81&lt;&gt;"",Roster!$A$81,"")</f>
        <v/>
      </c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</row>
    <row r="84" ht="19.5" customHeight="1">
      <c r="A84" s="30" t="str">
        <f>IF(Roster!$A$82&lt;&gt;"",Roster!$A$82,"")</f>
        <v/>
      </c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</row>
    <row r="85" ht="19.5" customHeight="1">
      <c r="A85" s="30" t="str">
        <f>IF(Roster!$A$83&lt;&gt;"",Roster!$A$83,"")</f>
        <v/>
      </c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</row>
    <row r="86" ht="19.5" customHeight="1">
      <c r="A86" s="30" t="str">
        <f>IF(Roster!$A$84&lt;&gt;"",Roster!$A$84,"")</f>
        <v/>
      </c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</row>
    <row r="87" ht="19.5" customHeight="1">
      <c r="A87" s="30" t="str">
        <f>IF(Roster!$A$85&lt;&gt;"",Roster!$A$85,"")</f>
        <v/>
      </c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</row>
    <row r="88" ht="19.5" customHeight="1">
      <c r="A88" s="30" t="str">
        <f>IF(Roster!$A$86&lt;&gt;"",Roster!$A$86,"")</f>
        <v/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</row>
    <row r="89" ht="19.5" customHeight="1">
      <c r="A89" s="30" t="str">
        <f>IF(Roster!$A$87&lt;&gt;"",Roster!$A$87,"")</f>
        <v/>
      </c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</row>
    <row r="90" ht="19.5" customHeight="1">
      <c r="A90" s="30" t="str">
        <f>IF(Roster!$A$88&lt;&gt;"",Roster!$A$88,"")</f>
        <v/>
      </c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</row>
    <row r="91" ht="19.5" customHeight="1">
      <c r="A91" s="30" t="str">
        <f>IF(Roster!$A$89&lt;&gt;"",Roster!$A$89,"")</f>
        <v/>
      </c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</row>
    <row r="92" ht="19.5" customHeight="1">
      <c r="A92" s="30" t="str">
        <f>IF(Roster!$A$90&lt;&gt;"",Roster!$A$90,"")</f>
        <v/>
      </c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</row>
    <row r="93" ht="19.5" customHeight="1">
      <c r="A93" s="30" t="str">
        <f>IF(Roster!$A$91&lt;&gt;"",Roster!$A$91,"")</f>
        <v/>
      </c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</row>
    <row r="94" ht="19.5" customHeight="1">
      <c r="A94" s="30" t="str">
        <f>IF(Roster!$A$92&lt;&gt;"",Roster!$A$92,"")</f>
        <v/>
      </c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</row>
    <row r="95" ht="19.5" customHeight="1">
      <c r="A95" s="30" t="str">
        <f>IF(Roster!$A$93&lt;&gt;"",Roster!$A$93,"")</f>
        <v/>
      </c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</row>
    <row r="96" ht="19.5" customHeight="1">
      <c r="A96" s="30" t="str">
        <f>IF(Roster!$A$94&lt;&gt;"",Roster!$A$94,"")</f>
        <v/>
      </c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</row>
    <row r="97" ht="19.5" customHeight="1">
      <c r="A97" s="30" t="str">
        <f>IF(Roster!$A$95&lt;&gt;"",Roster!$A$95,"")</f>
        <v/>
      </c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</row>
    <row r="98" ht="19.5" customHeight="1">
      <c r="A98" s="30" t="str">
        <f>IF(Roster!$A$96&lt;&gt;"",Roster!$A$96,"")</f>
        <v/>
      </c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</row>
    <row r="99" ht="19.5" customHeight="1">
      <c r="A99" s="30" t="str">
        <f>IF(Roster!$A$97&lt;&gt;"",Roster!$A$97,"")</f>
        <v/>
      </c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</row>
    <row r="100" ht="19.5" customHeight="1">
      <c r="A100" s="30" t="str">
        <f>IF(Roster!$A$98&lt;&gt;"",Roster!$A$98,"")</f>
        <v/>
      </c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</row>
    <row r="101" ht="19.5" customHeight="1">
      <c r="A101" s="30" t="str">
        <f>IF(Roster!$A$99&lt;&gt;"",Roster!$A$99,"")</f>
        <v/>
      </c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</row>
    <row r="102" ht="19.5" customHeight="1">
      <c r="A102" s="30" t="str">
        <f>IF(Roster!$A$100&lt;&gt;"",Roster!$A$100,"")</f>
        <v/>
      </c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</row>
    <row r="103" ht="19.5" customHeight="1">
      <c r="A103" s="30" t="str">
        <f>IF(Roster!$A$101&lt;&gt;"",Roster!$A$101,"")</f>
        <v/>
      </c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</row>
    <row r="104" ht="19.5" customHeight="1">
      <c r="A104" s="30" t="str">
        <f>IF(Roster!$A$102&lt;&gt;"",Roster!$A$102,"")</f>
        <v/>
      </c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</row>
    <row r="105" ht="19.5" customHeight="1">
      <c r="A105" s="30" t="str">
        <f>IF(Roster!$A$103&lt;&gt;"",Roster!$A$103,"")</f>
        <v/>
      </c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</row>
    <row r="106" ht="19.5" customHeight="1">
      <c r="A106" s="30" t="str">
        <f>IF(Roster!$A$104&lt;&gt;"",Roster!$A$104,"")</f>
        <v/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</row>
    <row r="107" ht="19.5" customHeight="1">
      <c r="A107" s="30" t="str">
        <f>IF(Roster!$A$105&lt;&gt;"",Roster!$A$105,"")</f>
        <v/>
      </c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</row>
    <row r="108" ht="19.5" customHeight="1">
      <c r="A108" s="30" t="str">
        <f>IF(Roster!$A$106&lt;&gt;"",Roster!$A$106,"")</f>
        <v/>
      </c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</row>
    <row r="109" ht="19.5" customHeight="1">
      <c r="A109" s="30" t="str">
        <f>IF(Roster!$A$107&lt;&gt;"",Roster!$A$107,"")</f>
        <v/>
      </c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</row>
    <row r="110" ht="19.5" customHeight="1">
      <c r="A110" s="30" t="str">
        <f>IF(Roster!$A$108&lt;&gt;"",Roster!$A$108,"")</f>
        <v/>
      </c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</row>
    <row r="111" ht="19.5" customHeight="1">
      <c r="A111" s="30" t="str">
        <f>IF(Roster!$A$109&lt;&gt;"",Roster!$A$109,"")</f>
        <v/>
      </c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</row>
    <row r="112" ht="19.5" customHeight="1">
      <c r="A112" s="30" t="str">
        <f>IF(Roster!$A$110&lt;&gt;"",Roster!$A$110,"")</f>
        <v/>
      </c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</row>
    <row r="113" ht="19.5" customHeight="1">
      <c r="A113" s="30" t="str">
        <f>IF(Roster!$A$111&lt;&gt;"",Roster!$A$111,"")</f>
        <v/>
      </c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</row>
    <row r="114" ht="19.5" customHeight="1">
      <c r="A114" s="30" t="str">
        <f>IF(Roster!$A$112&lt;&gt;"",Roster!$A$112,"")</f>
        <v/>
      </c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</row>
    <row r="115" ht="19.5" customHeight="1">
      <c r="A115" s="30" t="str">
        <f>IF(Roster!$A$113&lt;&gt;"",Roster!$A$113,"")</f>
        <v/>
      </c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</row>
    <row r="116" ht="19.5" customHeight="1">
      <c r="A116" s="30" t="str">
        <f>IF(Roster!$A$114&lt;&gt;"",Roster!$A$114,"")</f>
        <v/>
      </c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</row>
    <row r="117" ht="19.5" customHeight="1">
      <c r="A117" s="30" t="str">
        <f>IF(Roster!$A$115&lt;&gt;"",Roster!$A$115,"")</f>
        <v/>
      </c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</row>
    <row r="118" ht="19.5" customHeight="1">
      <c r="A118" s="30" t="str">
        <f>IF(Roster!$A$116&lt;&gt;"",Roster!$A$116,"")</f>
        <v/>
      </c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</row>
    <row r="119" ht="19.5" customHeight="1">
      <c r="A119" s="30" t="str">
        <f>IF(Roster!$A$117&lt;&gt;"",Roster!$A$117,"")</f>
        <v/>
      </c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</row>
    <row r="120" ht="19.5" customHeight="1">
      <c r="A120" s="30" t="str">
        <f>IF(Roster!$A$118&lt;&gt;"",Roster!$A$118,"")</f>
        <v/>
      </c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</row>
    <row r="121" ht="19.5" customHeight="1">
      <c r="A121" s="30" t="str">
        <f>IF(Roster!$A$119&lt;&gt;"",Roster!$A$119,"")</f>
        <v/>
      </c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</row>
    <row r="122" ht="19.5" customHeight="1">
      <c r="A122" s="30" t="str">
        <f>IF(Roster!$A$120&lt;&gt;"",Roster!$A$120,"")</f>
        <v/>
      </c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</row>
    <row r="123" ht="19.5" customHeight="1">
      <c r="A123" s="30" t="str">
        <f>IF(Roster!$A$121&lt;&gt;"",Roster!$A$121,"")</f>
        <v/>
      </c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</row>
    <row r="124" ht="19.5" customHeight="1">
      <c r="A124" s="30" t="str">
        <f>IF(Roster!$A$122&lt;&gt;"",Roster!$A$122,"")</f>
        <v/>
      </c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</row>
    <row r="125" ht="19.5" customHeight="1">
      <c r="A125" s="30" t="str">
        <f>IF(Roster!$A$123&lt;&gt;"",Roster!$A$123,"")</f>
        <v/>
      </c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</row>
    <row r="126" ht="19.5" customHeight="1">
      <c r="A126" s="30" t="str">
        <f>IF(Roster!$A$124&lt;&gt;"",Roster!$A$124,"")</f>
        <v/>
      </c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</row>
    <row r="127" ht="19.5" customHeight="1">
      <c r="A127" s="30" t="str">
        <f>IF(Roster!$A$125&lt;&gt;"",Roster!$A$125,"")</f>
        <v/>
      </c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</row>
    <row r="128" ht="19.5" customHeight="1">
      <c r="A128" s="30" t="str">
        <f>IF(Roster!$A$126&lt;&gt;"",Roster!$A$126,"")</f>
        <v/>
      </c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</row>
    <row r="129" ht="19.5" customHeight="1">
      <c r="A129" s="30" t="str">
        <f>IF(Roster!$A$127&lt;&gt;"",Roster!$A$127,"")</f>
        <v/>
      </c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</row>
    <row r="130" ht="19.5" customHeight="1">
      <c r="A130" s="30" t="str">
        <f>IF(Roster!$A$128&lt;&gt;"",Roster!$A$128,"")</f>
        <v/>
      </c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</row>
    <row r="131" ht="19.5" customHeight="1">
      <c r="A131" s="30" t="str">
        <f>IF(Roster!$A$129&lt;&gt;"",Roster!$A$129,"")</f>
        <v/>
      </c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</row>
    <row r="132" ht="19.5" customHeight="1">
      <c r="A132" s="30" t="str">
        <f>IF(Roster!$A$130&lt;&gt;"",Roster!$A$130,"")</f>
        <v/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</row>
    <row r="133" ht="19.5" customHeight="1">
      <c r="A133" s="30" t="str">
        <f>IF(Roster!$A$131&lt;&gt;"",Roster!$A$131,"")</f>
        <v/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</row>
    <row r="134" ht="19.5" customHeight="1">
      <c r="A134" s="30" t="str">
        <f>IF(Roster!$A$132&lt;&gt;"",Roster!$A$132,"")</f>
        <v/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</row>
    <row r="135" ht="19.5" customHeight="1">
      <c r="A135" s="30" t="str">
        <f>IF(Roster!$A$133&lt;&gt;"",Roster!$A$133,"")</f>
        <v/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</row>
    <row r="136" ht="19.5" customHeight="1">
      <c r="A136" s="30" t="str">
        <f>IF(Roster!$A$134&lt;&gt;"",Roster!$A$134,"")</f>
        <v/>
      </c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</row>
    <row r="137" ht="19.5" customHeight="1">
      <c r="A137" s="30" t="str">
        <f>IF(Roster!$A$135&lt;&gt;"",Roster!$A$135,"")</f>
        <v/>
      </c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</row>
    <row r="138" ht="19.5" customHeight="1">
      <c r="A138" s="30" t="str">
        <f>IF(Roster!$A$136&lt;&gt;"",Roster!$A$136,"")</f>
        <v/>
      </c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</row>
    <row r="139" ht="19.5" customHeight="1">
      <c r="A139" s="30" t="str">
        <f>IF(Roster!$A$137&lt;&gt;"",Roster!$A$137,"")</f>
        <v/>
      </c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</row>
    <row r="140" ht="19.5" customHeight="1">
      <c r="A140" s="30" t="str">
        <f>IF(Roster!$A$138&lt;&gt;"",Roster!$A$138,"")</f>
        <v/>
      </c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</row>
    <row r="141" ht="19.5" customHeight="1">
      <c r="A141" s="30" t="str">
        <f>IF(Roster!$A$139&lt;&gt;"",Roster!$A$139,"")</f>
        <v/>
      </c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</row>
    <row r="142" ht="19.5" customHeight="1">
      <c r="A142" s="30" t="str">
        <f>IF(Roster!$A$140&lt;&gt;"",Roster!$A$140,"")</f>
        <v/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</row>
    <row r="143" ht="19.5" customHeight="1">
      <c r="A143" s="30" t="str">
        <f>IF(Roster!$A$141&lt;&gt;"",Roster!$A$141,"")</f>
        <v/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</row>
    <row r="144" ht="19.5" customHeight="1">
      <c r="A144" s="30" t="str">
        <f>IF(Roster!$A$142&lt;&gt;"",Roster!$A$142,"")</f>
        <v/>
      </c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</row>
    <row r="145" ht="19.5" customHeight="1">
      <c r="A145" s="30" t="str">
        <f>IF(Roster!$A$143&lt;&gt;"",Roster!$A$143,"")</f>
        <v/>
      </c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</row>
    <row r="146" ht="19.5" customHeight="1">
      <c r="A146" s="30" t="str">
        <f>IF(Roster!$A$144&lt;&gt;"",Roster!$A$144,"")</f>
        <v/>
      </c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</row>
    <row r="147" ht="19.5" customHeight="1">
      <c r="A147" s="30" t="str">
        <f>IF(Roster!$A$145&lt;&gt;"",Roster!$A$145,"")</f>
        <v/>
      </c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</row>
    <row r="148" ht="19.5" customHeight="1">
      <c r="A148" s="30" t="str">
        <f>IF(Roster!$A$146&lt;&gt;"",Roster!$A$146,"")</f>
        <v/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</row>
    <row r="149" ht="19.5" customHeight="1">
      <c r="A149" s="30" t="str">
        <f>IF(Roster!$A$147&lt;&gt;"",Roster!$A$147,"")</f>
        <v/>
      </c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</row>
    <row r="150" ht="19.5" customHeight="1">
      <c r="A150" s="30" t="str">
        <f>IF(Roster!$A$148&lt;&gt;"",Roster!$A$148,"")</f>
        <v/>
      </c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</row>
    <row r="151" ht="19.5" customHeight="1">
      <c r="A151" s="30" t="str">
        <f>IF(Roster!$A$149&lt;&gt;"",Roster!$A$149,"")</f>
        <v/>
      </c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</row>
    <row r="152" ht="19.5" customHeight="1">
      <c r="A152" s="30" t="str">
        <f>IF(Roster!$A$150&lt;&gt;"",Roster!$A$150,"")</f>
        <v/>
      </c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</row>
    <row r="153" ht="19.5" customHeight="1">
      <c r="A153" s="30" t="str">
        <f>IF(Roster!$A$151&lt;&gt;"",Roster!$A$151,"")</f>
        <v/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</row>
    <row r="154" ht="19.5" customHeight="1">
      <c r="A154" s="30" t="str">
        <f>IF(Roster!$A$152&lt;&gt;"",Roster!$A$152,"")</f>
        <v/>
      </c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</row>
    <row r="155" ht="19.5" customHeight="1">
      <c r="A155" s="30" t="str">
        <f>IF(Roster!$A$153&lt;&gt;"",Roster!$A$153,"")</f>
        <v/>
      </c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</row>
    <row r="156" ht="19.5" customHeight="1">
      <c r="A156" s="30" t="str">
        <f>IF(Roster!$A$154&lt;&gt;"",Roster!$A$154,"")</f>
        <v/>
      </c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</row>
    <row r="157" ht="19.5" customHeight="1">
      <c r="A157" s="30" t="str">
        <f>IF(Roster!$A$155&lt;&gt;"",Roster!$A$155,"")</f>
        <v/>
      </c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</row>
    <row r="158" ht="19.5" customHeight="1">
      <c r="A158" s="30" t="str">
        <f>IF(Roster!$A$156&lt;&gt;"",Roster!$A$156,"")</f>
        <v/>
      </c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</row>
    <row r="159" ht="19.5" customHeight="1">
      <c r="A159" s="30" t="str">
        <f>IF(Roster!$A$157&lt;&gt;"",Roster!$A$157,"")</f>
        <v/>
      </c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</row>
    <row r="160" ht="19.5" customHeight="1">
      <c r="A160" s="30" t="str">
        <f>IF(Roster!$A$158&lt;&gt;"",Roster!$A$158,"")</f>
        <v/>
      </c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</row>
    <row r="161" ht="19.5" customHeight="1">
      <c r="A161" s="30" t="str">
        <f>IF(Roster!$A$159&lt;&gt;"",Roster!$A$159,"")</f>
        <v/>
      </c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</row>
    <row r="162" ht="19.5" customHeight="1">
      <c r="A162" s="30" t="str">
        <f>IF(Roster!$A$160&lt;&gt;"",Roster!$A$160,"")</f>
        <v/>
      </c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</row>
    <row r="163" ht="19.5" customHeight="1">
      <c r="A163" s="30" t="str">
        <f>IF(Roster!$A$161&lt;&gt;"",Roster!$A$161,"")</f>
        <v/>
      </c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</row>
    <row r="164" ht="19.5" customHeight="1">
      <c r="A164" s="30" t="str">
        <f>IF(Roster!$A$162&lt;&gt;"",Roster!$A$162,"")</f>
        <v/>
      </c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</row>
    <row r="165" ht="19.5" customHeight="1">
      <c r="A165" s="30" t="str">
        <f>IF(Roster!$A$163&lt;&gt;"",Roster!$A$163,"")</f>
        <v/>
      </c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</row>
    <row r="166" ht="19.5" customHeight="1">
      <c r="A166" s="30" t="str">
        <f>IF(Roster!$A$164&lt;&gt;"",Roster!$A$164,"")</f>
        <v/>
      </c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</row>
    <row r="167" ht="19.5" customHeight="1">
      <c r="A167" s="30" t="str">
        <f>IF(Roster!$A$165&lt;&gt;"",Roster!$A$165,"")</f>
        <v/>
      </c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</row>
    <row r="168" ht="19.5" customHeight="1">
      <c r="A168" s="30" t="str">
        <f>IF(Roster!$A$166&lt;&gt;"",Roster!$A$166,"")</f>
        <v/>
      </c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</row>
    <row r="169" ht="19.5" customHeight="1">
      <c r="A169" s="30" t="str">
        <f>IF(Roster!$A$167&lt;&gt;"",Roster!$A$167,"")</f>
        <v/>
      </c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</row>
    <row r="170" ht="19.5" customHeight="1">
      <c r="A170" s="30" t="str">
        <f>IF(Roster!$A$168&lt;&gt;"",Roster!$A$168,"")</f>
        <v/>
      </c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</row>
    <row r="171" ht="19.5" customHeight="1">
      <c r="A171" s="30" t="str">
        <f>IF(Roster!$A$169&lt;&gt;"",Roster!$A$169,"")</f>
        <v/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</row>
    <row r="172" ht="19.5" customHeight="1">
      <c r="A172" s="30" t="str">
        <f>IF(Roster!$A$170&lt;&gt;"",Roster!$A$170,"")</f>
        <v/>
      </c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</row>
    <row r="173" ht="19.5" customHeight="1">
      <c r="A173" s="30" t="str">
        <f>IF(Roster!$A$171&lt;&gt;"",Roster!$A$171,"")</f>
        <v/>
      </c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</row>
    <row r="174" ht="19.5" customHeight="1">
      <c r="A174" s="30" t="str">
        <f>IF(Roster!$A$172&lt;&gt;"",Roster!$A$172,"")</f>
        <v/>
      </c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</row>
    <row r="175" ht="19.5" customHeight="1">
      <c r="A175" s="30" t="str">
        <f>IF(Roster!$A$173&lt;&gt;"",Roster!$A$173,"")</f>
        <v/>
      </c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</row>
    <row r="176" ht="19.5" customHeight="1">
      <c r="A176" s="30" t="str">
        <f>IF(Roster!$A$174&lt;&gt;"",Roster!$A$174,"")</f>
        <v/>
      </c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</row>
    <row r="177" ht="19.5" customHeight="1">
      <c r="A177" s="30" t="str">
        <f>IF(Roster!$A$175&lt;&gt;"",Roster!$A$175,"")</f>
        <v/>
      </c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</row>
    <row r="178" ht="19.5" customHeight="1">
      <c r="A178" s="30" t="str">
        <f>IF(Roster!$A$176&lt;&gt;"",Roster!$A$176,"")</f>
        <v/>
      </c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</row>
    <row r="179" ht="19.5" customHeight="1">
      <c r="A179" s="30" t="str">
        <f>IF(Roster!$A$177&lt;&gt;"",Roster!$A$177,"")</f>
        <v/>
      </c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</row>
    <row r="180" ht="19.5" customHeight="1">
      <c r="A180" s="30" t="str">
        <f>IF(Roster!$A$178&lt;&gt;"",Roster!$A$178,"")</f>
        <v/>
      </c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</row>
    <row r="181" ht="19.5" customHeight="1">
      <c r="A181" s="30" t="str">
        <f>IF(Roster!$A$179&lt;&gt;"",Roster!$A$179,"")</f>
        <v/>
      </c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</row>
    <row r="182" ht="19.5" customHeight="1">
      <c r="A182" s="30" t="str">
        <f>IF(Roster!$A$180&lt;&gt;"",Roster!$A$180,"")</f>
        <v/>
      </c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</row>
    <row r="183" ht="19.5" customHeight="1">
      <c r="A183" s="30" t="str">
        <f>IF(Roster!$A$181&lt;&gt;"",Roster!$A$181,"")</f>
        <v/>
      </c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</row>
    <row r="184" ht="19.5" customHeight="1">
      <c r="A184" s="30" t="str">
        <f>IF(Roster!$A$182&lt;&gt;"",Roster!$A$182,"")</f>
        <v/>
      </c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</row>
    <row r="185" ht="19.5" customHeight="1">
      <c r="A185" s="30" t="str">
        <f>IF(Roster!$A$183&lt;&gt;"",Roster!$A$183,"")</f>
        <v/>
      </c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</row>
    <row r="186" ht="19.5" customHeight="1">
      <c r="A186" s="30" t="str">
        <f>IF(Roster!$A$184&lt;&gt;"",Roster!$A$184,"")</f>
        <v/>
      </c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</row>
    <row r="187" ht="19.5" customHeight="1">
      <c r="A187" s="30" t="str">
        <f>IF(Roster!$A$185&lt;&gt;"",Roster!$A$185,"")</f>
        <v/>
      </c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</row>
    <row r="188" ht="19.5" customHeight="1">
      <c r="A188" s="30" t="str">
        <f>IF(Roster!$A$186&lt;&gt;"",Roster!$A$186,"")</f>
        <v/>
      </c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</row>
    <row r="189" ht="19.5" customHeight="1">
      <c r="A189" s="30" t="str">
        <f>IF(Roster!$A$187&lt;&gt;"",Roster!$A$187,"")</f>
        <v/>
      </c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</row>
    <row r="190" ht="19.5" customHeight="1">
      <c r="A190" s="30" t="str">
        <f>IF(Roster!$A$188&lt;&gt;"",Roster!$A$188,"")</f>
        <v/>
      </c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</row>
    <row r="191" ht="19.5" customHeight="1">
      <c r="A191" s="30" t="str">
        <f>IF(Roster!$A$189&lt;&gt;"",Roster!$A$189,"")</f>
        <v/>
      </c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</row>
    <row r="192" ht="19.5" customHeight="1">
      <c r="A192" s="30" t="str">
        <f>IF(Roster!$A$190&lt;&gt;"",Roster!$A$190,"")</f>
        <v/>
      </c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</row>
    <row r="193" ht="19.5" customHeight="1">
      <c r="A193" s="30" t="str">
        <f>IF(Roster!$A$191&lt;&gt;"",Roster!$A$191,"")</f>
        <v/>
      </c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</row>
    <row r="194" ht="19.5" customHeight="1">
      <c r="A194" s="30" t="str">
        <f>IF(Roster!$A$192&lt;&gt;"",Roster!$A$192,"")</f>
        <v/>
      </c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</row>
    <row r="195" ht="19.5" customHeight="1">
      <c r="A195" s="30" t="str">
        <f>IF(Roster!$A$193&lt;&gt;"",Roster!$A$193,"")</f>
        <v/>
      </c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</row>
    <row r="196" ht="19.5" customHeight="1">
      <c r="A196" s="30" t="str">
        <f>IF(Roster!$A$194&lt;&gt;"",Roster!$A$194,"")</f>
        <v/>
      </c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</row>
    <row r="197" ht="19.5" customHeight="1">
      <c r="A197" s="30" t="str">
        <f>IF(Roster!$A$195&lt;&gt;"",Roster!$A$195,"")</f>
        <v/>
      </c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</row>
    <row r="198" ht="19.5" customHeight="1">
      <c r="A198" s="30" t="str">
        <f>IF(Roster!$A$196&lt;&gt;"",Roster!$A$196,"")</f>
        <v/>
      </c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</row>
    <row r="199" ht="19.5" customHeight="1">
      <c r="A199" s="30" t="str">
        <f>IF(Roster!$A$197&lt;&gt;"",Roster!$A$197,"")</f>
        <v/>
      </c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</row>
    <row r="200" ht="19.5" customHeight="1">
      <c r="A200" s="30" t="str">
        <f>IF(Roster!$A$198&lt;&gt;"",Roster!$A$198,"")</f>
        <v/>
      </c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</row>
    <row r="201" ht="19.5" customHeight="1">
      <c r="A201" s="30" t="str">
        <f>IF(Roster!$A$199&lt;&gt;"",Roster!$A$199,"")</f>
        <v/>
      </c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</row>
    <row r="202" ht="19.5" customHeight="1">
      <c r="A202" s="30" t="str">
        <f>IF(Roster!$A$200&lt;&gt;"",Roster!$A$200,"")</f>
        <v/>
      </c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</row>
    <row r="203" ht="19.5" customHeight="1">
      <c r="A203" s="30" t="str">
        <f>IF(Roster!$A$201&lt;&gt;"",Roster!$A$201,"")</f>
        <v/>
      </c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</row>
    <row r="204" ht="19.5" customHeight="1">
      <c r="A204" s="30" t="str">
        <f>IF(Roster!$A$202&lt;&gt;"",Roster!$A$202,"")</f>
        <v/>
      </c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</row>
    <row r="205" ht="19.5" customHeight="1">
      <c r="A205" s="30" t="str">
        <f>IF(Roster!$A$203&lt;&gt;"",Roster!$A$203,"")</f>
        <v/>
      </c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</row>
    <row r="206" ht="19.5" customHeight="1">
      <c r="A206" s="30" t="str">
        <f>IF(Roster!$A$204&lt;&gt;"",Roster!$A$204,"")</f>
        <v/>
      </c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5" t="s">
        <v>47</v>
      </c>
      <c r="B1" s="36"/>
      <c r="C1" s="36"/>
      <c r="D1" s="36"/>
      <c r="E1" s="36"/>
      <c r="F1" s="36"/>
      <c r="G1" s="36"/>
      <c r="H1" s="36"/>
      <c r="I1" s="37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38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39" t="s">
        <v>48</v>
      </c>
      <c r="B3" s="39" t="s">
        <v>49</v>
      </c>
      <c r="C3" s="39" t="s">
        <v>50</v>
      </c>
      <c r="D3" s="39" t="s">
        <v>51</v>
      </c>
      <c r="E3" s="39" t="s">
        <v>52</v>
      </c>
      <c r="F3" s="40"/>
      <c r="G3" s="39"/>
      <c r="H3" s="39"/>
      <c r="I3" s="39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1">
        <f>SUMIF(D7:D996,"Income",F7:F996)+SUMIF(D7:D996,"Fundraiser",F7:F996)</f>
        <v>2109</v>
      </c>
      <c r="B4" s="42">
        <f>SUMIF(D7:D996,"Expense",F7:F996)</f>
        <v>2510.44</v>
      </c>
      <c r="C4" s="43">
        <f>A4-B4</f>
        <v>-401.44</v>
      </c>
      <c r="D4" s="44">
        <f>IFERROR(AVERAGE(F7:F996),0)</f>
        <v>577.43</v>
      </c>
      <c r="E4" s="45">
        <f>COUNTIF(I7:I996,"Pending")</f>
        <v>0</v>
      </c>
      <c r="F4" s="38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38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6" t="s">
        <v>53</v>
      </c>
      <c r="B6" s="46" t="s">
        <v>54</v>
      </c>
      <c r="C6" s="46" t="s">
        <v>12</v>
      </c>
      <c r="D6" s="46" t="s">
        <v>55</v>
      </c>
      <c r="E6" s="46" t="s">
        <v>56</v>
      </c>
      <c r="F6" s="47" t="s">
        <v>57</v>
      </c>
      <c r="G6" s="46" t="s">
        <v>58</v>
      </c>
      <c r="H6" s="46" t="s">
        <v>59</v>
      </c>
      <c r="I6" s="46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48"/>
      <c r="B7" s="49" t="s">
        <v>61</v>
      </c>
      <c r="C7" s="49" t="s">
        <v>62</v>
      </c>
      <c r="D7" s="49" t="s">
        <v>63</v>
      </c>
      <c r="E7" s="49" t="s">
        <v>64</v>
      </c>
      <c r="F7" s="50">
        <v>920.0</v>
      </c>
      <c r="G7" s="49" t="s">
        <v>24</v>
      </c>
      <c r="H7" s="49"/>
      <c r="I7" s="49" t="s">
        <v>65</v>
      </c>
      <c r="J7" s="51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48"/>
      <c r="B8" s="49" t="s">
        <v>66</v>
      </c>
      <c r="C8" s="49" t="s">
        <v>62</v>
      </c>
      <c r="D8" s="49" t="s">
        <v>63</v>
      </c>
      <c r="E8" s="49" t="s">
        <v>64</v>
      </c>
      <c r="F8" s="50">
        <v>1150.0</v>
      </c>
      <c r="G8" s="49" t="s">
        <v>28</v>
      </c>
      <c r="H8" s="49"/>
      <c r="I8" s="49" t="s">
        <v>65</v>
      </c>
      <c r="J8" s="51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48"/>
      <c r="B9" s="49" t="s">
        <v>35</v>
      </c>
      <c r="C9" s="49" t="s">
        <v>67</v>
      </c>
      <c r="D9" s="49" t="s">
        <v>32</v>
      </c>
      <c r="E9" s="49" t="s">
        <v>64</v>
      </c>
      <c r="F9" s="50">
        <v>956.0</v>
      </c>
      <c r="G9" s="49" t="s">
        <v>35</v>
      </c>
      <c r="H9" s="49"/>
      <c r="I9" s="49" t="s">
        <v>65</v>
      </c>
      <c r="J9" s="51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2"/>
      <c r="B10" s="53" t="s">
        <v>31</v>
      </c>
      <c r="C10" s="53" t="s">
        <v>67</v>
      </c>
      <c r="D10" s="53" t="s">
        <v>32</v>
      </c>
      <c r="E10" s="53" t="s">
        <v>64</v>
      </c>
      <c r="F10" s="54">
        <v>123.0</v>
      </c>
      <c r="G10" s="53" t="s">
        <v>31</v>
      </c>
      <c r="H10" s="53"/>
      <c r="I10" s="53" t="s">
        <v>65</v>
      </c>
      <c r="J10" s="51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5"/>
      <c r="B11" s="56" t="s">
        <v>68</v>
      </c>
      <c r="C11" s="56" t="s">
        <v>67</v>
      </c>
      <c r="D11" s="56" t="s">
        <v>32</v>
      </c>
      <c r="E11" s="56" t="s">
        <v>64</v>
      </c>
      <c r="F11" s="54">
        <v>1030.0</v>
      </c>
      <c r="G11" s="56" t="s">
        <v>36</v>
      </c>
      <c r="H11" s="56"/>
      <c r="I11" s="56" t="s">
        <v>65</v>
      </c>
      <c r="J11" s="51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2"/>
      <c r="B12" s="53" t="s">
        <v>69</v>
      </c>
      <c r="C12" s="53" t="s">
        <v>70</v>
      </c>
      <c r="D12" s="53" t="s">
        <v>63</v>
      </c>
      <c r="E12" s="53" t="s">
        <v>64</v>
      </c>
      <c r="F12" s="54">
        <v>69.0</v>
      </c>
      <c r="G12" s="57" t="s">
        <v>18</v>
      </c>
      <c r="H12" s="53"/>
      <c r="I12" s="53" t="s">
        <v>65</v>
      </c>
      <c r="J12" s="51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8">
        <v>46192.0</v>
      </c>
      <c r="B13" s="56" t="s">
        <v>71</v>
      </c>
      <c r="C13" s="59" t="s">
        <v>72</v>
      </c>
      <c r="D13" s="56" t="s">
        <v>63</v>
      </c>
      <c r="E13" s="56" t="s">
        <v>73</v>
      </c>
      <c r="F13" s="60">
        <v>143.0</v>
      </c>
      <c r="G13" s="56" t="s">
        <v>24</v>
      </c>
      <c r="H13" s="56"/>
      <c r="I13" s="56" t="s">
        <v>74</v>
      </c>
      <c r="J13" s="51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3" t="s">
        <v>75</v>
      </c>
      <c r="C14" s="53" t="s">
        <v>76</v>
      </c>
      <c r="D14" s="53" t="s">
        <v>63</v>
      </c>
      <c r="E14" s="53" t="s">
        <v>77</v>
      </c>
      <c r="F14" s="62">
        <v>228.44</v>
      </c>
      <c r="G14" s="53" t="s">
        <v>24</v>
      </c>
      <c r="H14" s="53"/>
      <c r="I14" s="53" t="s">
        <v>78</v>
      </c>
      <c r="J14" s="51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55"/>
      <c r="B15" s="56"/>
      <c r="C15" s="56"/>
      <c r="D15" s="56"/>
      <c r="E15" s="56"/>
      <c r="F15" s="63"/>
      <c r="G15" s="56"/>
      <c r="H15" s="56"/>
      <c r="I15" s="56"/>
      <c r="J15" s="51" t="str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2"/>
      <c r="B16" s="53"/>
      <c r="C16" s="53"/>
      <c r="D16" s="53"/>
      <c r="E16" s="53"/>
      <c r="F16" s="54"/>
      <c r="G16" s="53"/>
      <c r="H16" s="53"/>
      <c r="I16" s="53"/>
      <c r="J16" s="51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5"/>
      <c r="B17" s="56"/>
      <c r="C17" s="56"/>
      <c r="D17" s="56"/>
      <c r="E17" s="56"/>
      <c r="F17" s="63"/>
      <c r="G17" s="56"/>
      <c r="H17" s="56"/>
      <c r="I17" s="56"/>
      <c r="J17" s="51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2"/>
      <c r="B18" s="53"/>
      <c r="C18" s="53"/>
      <c r="D18" s="53"/>
      <c r="E18" s="53"/>
      <c r="F18" s="54"/>
      <c r="G18" s="53"/>
      <c r="H18" s="53"/>
      <c r="I18" s="53"/>
      <c r="J18" s="51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5"/>
      <c r="B19" s="56"/>
      <c r="C19" s="56"/>
      <c r="D19" s="56"/>
      <c r="E19" s="56"/>
      <c r="F19" s="63"/>
      <c r="G19" s="56"/>
      <c r="H19" s="56"/>
      <c r="I19" s="56"/>
      <c r="J19" s="51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2"/>
      <c r="B20" s="53"/>
      <c r="C20" s="53"/>
      <c r="D20" s="53"/>
      <c r="E20" s="53"/>
      <c r="F20" s="54"/>
      <c r="G20" s="53"/>
      <c r="H20" s="53"/>
      <c r="I20" s="53"/>
      <c r="J20" s="51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5"/>
      <c r="B21" s="56"/>
      <c r="C21" s="56"/>
      <c r="D21" s="56"/>
      <c r="E21" s="56"/>
      <c r="F21" s="63"/>
      <c r="G21" s="56"/>
      <c r="H21" s="56"/>
      <c r="I21" s="56"/>
      <c r="J21" s="51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2"/>
      <c r="B22" s="53"/>
      <c r="C22" s="53"/>
      <c r="D22" s="53"/>
      <c r="E22" s="53"/>
      <c r="F22" s="54"/>
      <c r="G22" s="53"/>
      <c r="H22" s="53"/>
      <c r="I22" s="53"/>
      <c r="J22" s="51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5"/>
      <c r="B23" s="56"/>
      <c r="C23" s="56"/>
      <c r="D23" s="56"/>
      <c r="E23" s="56"/>
      <c r="F23" s="63"/>
      <c r="G23" s="56"/>
      <c r="H23" s="56"/>
      <c r="I23" s="56"/>
      <c r="J23" s="51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2"/>
      <c r="B24" s="53"/>
      <c r="C24" s="53"/>
      <c r="D24" s="53"/>
      <c r="E24" s="53"/>
      <c r="F24" s="54"/>
      <c r="G24" s="53"/>
      <c r="H24" s="53"/>
      <c r="I24" s="53"/>
      <c r="J24" s="51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5"/>
      <c r="B25" s="56"/>
      <c r="C25" s="56"/>
      <c r="D25" s="56"/>
      <c r="E25" s="56"/>
      <c r="F25" s="63"/>
      <c r="G25" s="56"/>
      <c r="H25" s="56"/>
      <c r="I25" s="56"/>
      <c r="J25" s="51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2"/>
      <c r="B26" s="53"/>
      <c r="C26" s="53"/>
      <c r="D26" s="53"/>
      <c r="E26" s="53"/>
      <c r="F26" s="54"/>
      <c r="G26" s="53"/>
      <c r="H26" s="53"/>
      <c r="I26" s="53"/>
      <c r="J26" s="51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5"/>
      <c r="B27" s="56"/>
      <c r="C27" s="56"/>
      <c r="D27" s="56"/>
      <c r="E27" s="56"/>
      <c r="F27" s="63"/>
      <c r="G27" s="56"/>
      <c r="H27" s="56"/>
      <c r="I27" s="56"/>
      <c r="J27" s="51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2"/>
      <c r="B28" s="53"/>
      <c r="C28" s="53"/>
      <c r="D28" s="53"/>
      <c r="E28" s="53"/>
      <c r="F28" s="54"/>
      <c r="G28" s="53"/>
      <c r="H28" s="53"/>
      <c r="I28" s="53"/>
      <c r="J28" s="51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5"/>
      <c r="B29" s="56"/>
      <c r="C29" s="56"/>
      <c r="D29" s="56"/>
      <c r="E29" s="56"/>
      <c r="F29" s="63"/>
      <c r="G29" s="56"/>
      <c r="H29" s="56"/>
      <c r="I29" s="56"/>
      <c r="J29" s="51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2"/>
      <c r="B30" s="53"/>
      <c r="C30" s="53"/>
      <c r="D30" s="53"/>
      <c r="E30" s="53"/>
      <c r="F30" s="54"/>
      <c r="G30" s="53"/>
      <c r="H30" s="53"/>
      <c r="I30" s="53"/>
      <c r="J30" s="51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5"/>
      <c r="B31" s="56"/>
      <c r="C31" s="56"/>
      <c r="D31" s="56"/>
      <c r="E31" s="56"/>
      <c r="F31" s="63"/>
      <c r="G31" s="56"/>
      <c r="H31" s="56"/>
      <c r="I31" s="56"/>
      <c r="J31" s="51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2"/>
      <c r="B32" s="53"/>
      <c r="C32" s="53"/>
      <c r="D32" s="53"/>
      <c r="E32" s="53"/>
      <c r="F32" s="54"/>
      <c r="G32" s="53"/>
      <c r="H32" s="53"/>
      <c r="I32" s="53"/>
      <c r="J32" s="51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5"/>
      <c r="B33" s="56"/>
      <c r="C33" s="56"/>
      <c r="D33" s="56"/>
      <c r="E33" s="56"/>
      <c r="F33" s="63"/>
      <c r="G33" s="56"/>
      <c r="H33" s="56"/>
      <c r="I33" s="56"/>
      <c r="J33" s="51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2"/>
      <c r="B34" s="53"/>
      <c r="C34" s="53"/>
      <c r="D34" s="53"/>
      <c r="E34" s="53"/>
      <c r="F34" s="54"/>
      <c r="G34" s="53"/>
      <c r="H34" s="53"/>
      <c r="I34" s="53"/>
      <c r="J34" s="51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5"/>
      <c r="B35" s="56"/>
      <c r="C35" s="56"/>
      <c r="D35" s="56"/>
      <c r="E35" s="56"/>
      <c r="F35" s="63"/>
      <c r="G35" s="56"/>
      <c r="H35" s="56"/>
      <c r="I35" s="56"/>
      <c r="J35" s="51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2"/>
      <c r="B36" s="53"/>
      <c r="C36" s="53"/>
      <c r="D36" s="53"/>
      <c r="E36" s="53"/>
      <c r="F36" s="54"/>
      <c r="G36" s="53"/>
      <c r="H36" s="53"/>
      <c r="I36" s="53"/>
      <c r="J36" s="51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5"/>
      <c r="B37" s="56"/>
      <c r="C37" s="56"/>
      <c r="D37" s="56"/>
      <c r="E37" s="56"/>
      <c r="F37" s="63"/>
      <c r="G37" s="56"/>
      <c r="H37" s="56"/>
      <c r="I37" s="56"/>
      <c r="J37" s="51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2"/>
      <c r="B38" s="53"/>
      <c r="C38" s="53"/>
      <c r="D38" s="53"/>
      <c r="E38" s="53"/>
      <c r="F38" s="54"/>
      <c r="G38" s="53"/>
      <c r="H38" s="53"/>
      <c r="I38" s="53"/>
      <c r="J38" s="51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5"/>
      <c r="B39" s="56"/>
      <c r="C39" s="56"/>
      <c r="D39" s="56"/>
      <c r="E39" s="56"/>
      <c r="F39" s="63"/>
      <c r="G39" s="56"/>
      <c r="H39" s="56"/>
      <c r="I39" s="56"/>
      <c r="J39" s="51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2"/>
      <c r="B40" s="53"/>
      <c r="C40" s="53"/>
      <c r="D40" s="53"/>
      <c r="E40" s="53"/>
      <c r="F40" s="54"/>
      <c r="G40" s="53"/>
      <c r="H40" s="53"/>
      <c r="I40" s="53"/>
      <c r="J40" s="51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5"/>
      <c r="B41" s="56"/>
      <c r="C41" s="56"/>
      <c r="D41" s="56"/>
      <c r="E41" s="56"/>
      <c r="F41" s="63"/>
      <c r="G41" s="56"/>
      <c r="H41" s="56"/>
      <c r="I41" s="56"/>
      <c r="J41" s="51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2"/>
      <c r="B42" s="53"/>
      <c r="C42" s="53"/>
      <c r="D42" s="53"/>
      <c r="E42" s="53"/>
      <c r="F42" s="54"/>
      <c r="G42" s="53"/>
      <c r="H42" s="53"/>
      <c r="I42" s="53"/>
      <c r="J42" s="51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5"/>
      <c r="B43" s="56"/>
      <c r="C43" s="56"/>
      <c r="D43" s="56"/>
      <c r="E43" s="56"/>
      <c r="F43" s="63"/>
      <c r="G43" s="56"/>
      <c r="H43" s="56"/>
      <c r="I43" s="56"/>
      <c r="J43" s="51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2"/>
      <c r="B44" s="53"/>
      <c r="C44" s="53"/>
      <c r="D44" s="53"/>
      <c r="E44" s="53"/>
      <c r="F44" s="54"/>
      <c r="G44" s="53"/>
      <c r="H44" s="53"/>
      <c r="I44" s="53"/>
      <c r="J44" s="51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5"/>
      <c r="B45" s="56"/>
      <c r="C45" s="56"/>
      <c r="D45" s="56"/>
      <c r="E45" s="56"/>
      <c r="F45" s="63"/>
      <c r="G45" s="56"/>
      <c r="H45" s="56"/>
      <c r="I45" s="56"/>
      <c r="J45" s="51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2"/>
      <c r="B46" s="53"/>
      <c r="C46" s="53"/>
      <c r="D46" s="53"/>
      <c r="E46" s="53"/>
      <c r="F46" s="54"/>
      <c r="G46" s="53"/>
      <c r="H46" s="53"/>
      <c r="I46" s="53"/>
      <c r="J46" s="51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5"/>
      <c r="B47" s="56"/>
      <c r="C47" s="56"/>
      <c r="D47" s="56"/>
      <c r="E47" s="56"/>
      <c r="F47" s="63"/>
      <c r="G47" s="56"/>
      <c r="H47" s="56"/>
      <c r="I47" s="56"/>
      <c r="J47" s="51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2"/>
      <c r="B48" s="53"/>
      <c r="C48" s="53"/>
      <c r="D48" s="53"/>
      <c r="E48" s="53"/>
      <c r="F48" s="54"/>
      <c r="G48" s="53"/>
      <c r="H48" s="53"/>
      <c r="I48" s="53"/>
      <c r="J48" s="51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5"/>
      <c r="B49" s="56"/>
      <c r="C49" s="56"/>
      <c r="D49" s="56"/>
      <c r="E49" s="56"/>
      <c r="F49" s="63"/>
      <c r="G49" s="56"/>
      <c r="H49" s="56"/>
      <c r="I49" s="56"/>
      <c r="J49" s="51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2"/>
      <c r="B50" s="53"/>
      <c r="C50" s="53"/>
      <c r="D50" s="53"/>
      <c r="E50" s="53"/>
      <c r="F50" s="54"/>
      <c r="G50" s="53"/>
      <c r="H50" s="53"/>
      <c r="I50" s="53"/>
      <c r="J50" s="51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5"/>
      <c r="B51" s="56"/>
      <c r="C51" s="56"/>
      <c r="D51" s="56"/>
      <c r="E51" s="56"/>
      <c r="F51" s="63"/>
      <c r="G51" s="56"/>
      <c r="H51" s="56"/>
      <c r="I51" s="56"/>
      <c r="J51" s="51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2"/>
      <c r="B52" s="53"/>
      <c r="C52" s="53"/>
      <c r="D52" s="53"/>
      <c r="E52" s="53"/>
      <c r="F52" s="54"/>
      <c r="G52" s="53"/>
      <c r="H52" s="53"/>
      <c r="I52" s="53"/>
      <c r="J52" s="51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5"/>
      <c r="B53" s="56"/>
      <c r="C53" s="56"/>
      <c r="D53" s="56"/>
      <c r="E53" s="56"/>
      <c r="F53" s="63"/>
      <c r="G53" s="56"/>
      <c r="H53" s="56"/>
      <c r="I53" s="56"/>
      <c r="J53" s="51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2"/>
      <c r="B54" s="53"/>
      <c r="C54" s="53"/>
      <c r="D54" s="53"/>
      <c r="E54" s="53"/>
      <c r="F54" s="54"/>
      <c r="G54" s="53"/>
      <c r="H54" s="53"/>
      <c r="I54" s="53"/>
      <c r="J54" s="51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5"/>
      <c r="B55" s="56"/>
      <c r="C55" s="56"/>
      <c r="D55" s="56"/>
      <c r="E55" s="56"/>
      <c r="F55" s="63"/>
      <c r="G55" s="56"/>
      <c r="H55" s="56"/>
      <c r="I55" s="56"/>
      <c r="J55" s="51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2"/>
      <c r="B56" s="53"/>
      <c r="C56" s="53"/>
      <c r="D56" s="53"/>
      <c r="E56" s="53"/>
      <c r="F56" s="54"/>
      <c r="G56" s="53"/>
      <c r="H56" s="53"/>
      <c r="I56" s="53"/>
      <c r="J56" s="51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5"/>
      <c r="B57" s="56"/>
      <c r="C57" s="56"/>
      <c r="D57" s="56"/>
      <c r="E57" s="56"/>
      <c r="F57" s="63"/>
      <c r="G57" s="56"/>
      <c r="H57" s="56"/>
      <c r="I57" s="56"/>
      <c r="J57" s="51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2"/>
      <c r="B58" s="53"/>
      <c r="C58" s="53"/>
      <c r="D58" s="53"/>
      <c r="E58" s="53"/>
      <c r="F58" s="54"/>
      <c r="G58" s="53"/>
      <c r="H58" s="53"/>
      <c r="I58" s="53"/>
      <c r="J58" s="51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5"/>
      <c r="B59" s="56"/>
      <c r="C59" s="56"/>
      <c r="D59" s="56"/>
      <c r="E59" s="56"/>
      <c r="F59" s="63"/>
      <c r="G59" s="56"/>
      <c r="H59" s="56"/>
      <c r="I59" s="56"/>
      <c r="J59" s="51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2"/>
      <c r="B60" s="53"/>
      <c r="C60" s="53"/>
      <c r="D60" s="53"/>
      <c r="E60" s="53"/>
      <c r="F60" s="54"/>
      <c r="G60" s="53"/>
      <c r="H60" s="53"/>
      <c r="I60" s="53"/>
      <c r="J60" s="51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5"/>
      <c r="B61" s="56"/>
      <c r="C61" s="56"/>
      <c r="D61" s="56"/>
      <c r="E61" s="56"/>
      <c r="F61" s="63"/>
      <c r="G61" s="56"/>
      <c r="H61" s="56"/>
      <c r="I61" s="56"/>
      <c r="J61" s="51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2"/>
      <c r="B62" s="53"/>
      <c r="C62" s="53"/>
      <c r="D62" s="53"/>
      <c r="E62" s="53"/>
      <c r="F62" s="54"/>
      <c r="G62" s="53"/>
      <c r="H62" s="53"/>
      <c r="I62" s="53"/>
      <c r="J62" s="51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5"/>
      <c r="B63" s="56"/>
      <c r="C63" s="56"/>
      <c r="D63" s="56"/>
      <c r="E63" s="56"/>
      <c r="F63" s="63"/>
      <c r="G63" s="56"/>
      <c r="H63" s="56"/>
      <c r="I63" s="56"/>
      <c r="J63" s="51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2"/>
      <c r="B64" s="53"/>
      <c r="C64" s="53"/>
      <c r="D64" s="53"/>
      <c r="E64" s="53"/>
      <c r="F64" s="54"/>
      <c r="G64" s="53"/>
      <c r="H64" s="53"/>
      <c r="I64" s="53"/>
      <c r="J64" s="51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5"/>
      <c r="B65" s="56"/>
      <c r="C65" s="56"/>
      <c r="D65" s="56"/>
      <c r="E65" s="56"/>
      <c r="F65" s="63"/>
      <c r="G65" s="56"/>
      <c r="H65" s="56"/>
      <c r="I65" s="56"/>
      <c r="J65" s="51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2"/>
      <c r="B66" s="53"/>
      <c r="C66" s="53"/>
      <c r="D66" s="53"/>
      <c r="E66" s="53"/>
      <c r="F66" s="54"/>
      <c r="G66" s="53"/>
      <c r="H66" s="53"/>
      <c r="I66" s="53"/>
      <c r="J66" s="51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5"/>
      <c r="B67" s="56"/>
      <c r="C67" s="56"/>
      <c r="D67" s="56"/>
      <c r="E67" s="56"/>
      <c r="F67" s="63"/>
      <c r="G67" s="56"/>
      <c r="H67" s="56"/>
      <c r="I67" s="56"/>
      <c r="J67" s="51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2"/>
      <c r="B68" s="53"/>
      <c r="C68" s="53"/>
      <c r="D68" s="53"/>
      <c r="E68" s="53"/>
      <c r="F68" s="54"/>
      <c r="G68" s="53"/>
      <c r="H68" s="53"/>
      <c r="I68" s="53"/>
      <c r="J68" s="51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5"/>
      <c r="B69" s="56"/>
      <c r="C69" s="56"/>
      <c r="D69" s="56"/>
      <c r="E69" s="56"/>
      <c r="F69" s="63"/>
      <c r="G69" s="56"/>
      <c r="H69" s="56"/>
      <c r="I69" s="56"/>
      <c r="J69" s="51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2"/>
      <c r="B70" s="53"/>
      <c r="C70" s="53"/>
      <c r="D70" s="53"/>
      <c r="E70" s="53"/>
      <c r="F70" s="54"/>
      <c r="G70" s="53"/>
      <c r="H70" s="53"/>
      <c r="I70" s="53"/>
      <c r="J70" s="51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5"/>
      <c r="B71" s="56"/>
      <c r="C71" s="56"/>
      <c r="D71" s="56"/>
      <c r="E71" s="56"/>
      <c r="F71" s="63"/>
      <c r="G71" s="56"/>
      <c r="H71" s="56"/>
      <c r="I71" s="56"/>
      <c r="J71" s="51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2"/>
      <c r="B72" s="53"/>
      <c r="C72" s="53"/>
      <c r="D72" s="53"/>
      <c r="E72" s="53"/>
      <c r="F72" s="54"/>
      <c r="G72" s="53"/>
      <c r="H72" s="53"/>
      <c r="I72" s="53"/>
      <c r="J72" s="51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5"/>
      <c r="B73" s="56"/>
      <c r="C73" s="56"/>
      <c r="D73" s="56"/>
      <c r="E73" s="56"/>
      <c r="F73" s="63"/>
      <c r="G73" s="56"/>
      <c r="H73" s="56"/>
      <c r="I73" s="56"/>
      <c r="J73" s="51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2"/>
      <c r="B74" s="53"/>
      <c r="C74" s="53"/>
      <c r="D74" s="53"/>
      <c r="E74" s="53"/>
      <c r="F74" s="54"/>
      <c r="G74" s="53"/>
      <c r="H74" s="53"/>
      <c r="I74" s="53"/>
      <c r="J74" s="51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5"/>
      <c r="B75" s="56"/>
      <c r="C75" s="56"/>
      <c r="D75" s="56"/>
      <c r="E75" s="56"/>
      <c r="F75" s="63"/>
      <c r="G75" s="56"/>
      <c r="H75" s="56"/>
      <c r="I75" s="56"/>
      <c r="J75" s="51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2"/>
      <c r="B76" s="53"/>
      <c r="C76" s="53"/>
      <c r="D76" s="53"/>
      <c r="E76" s="53"/>
      <c r="F76" s="54"/>
      <c r="G76" s="53"/>
      <c r="H76" s="53"/>
      <c r="I76" s="53"/>
      <c r="J76" s="51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5"/>
      <c r="B77" s="56"/>
      <c r="C77" s="56"/>
      <c r="D77" s="56"/>
      <c r="E77" s="56"/>
      <c r="F77" s="63"/>
      <c r="G77" s="56"/>
      <c r="H77" s="56"/>
      <c r="I77" s="56"/>
      <c r="J77" s="51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2"/>
      <c r="B78" s="53"/>
      <c r="C78" s="53"/>
      <c r="D78" s="53"/>
      <c r="E78" s="53"/>
      <c r="F78" s="54"/>
      <c r="G78" s="53"/>
      <c r="H78" s="53"/>
      <c r="I78" s="53"/>
      <c r="J78" s="51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5"/>
      <c r="B79" s="56"/>
      <c r="C79" s="56"/>
      <c r="D79" s="56"/>
      <c r="E79" s="56"/>
      <c r="F79" s="63"/>
      <c r="G79" s="56"/>
      <c r="H79" s="56"/>
      <c r="I79" s="56"/>
      <c r="J79" s="51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2"/>
      <c r="B80" s="53"/>
      <c r="C80" s="53"/>
      <c r="D80" s="53"/>
      <c r="E80" s="53"/>
      <c r="F80" s="54"/>
      <c r="G80" s="53"/>
      <c r="H80" s="53"/>
      <c r="I80" s="53"/>
      <c r="J80" s="51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5"/>
      <c r="B81" s="56"/>
      <c r="C81" s="56"/>
      <c r="D81" s="56"/>
      <c r="E81" s="56"/>
      <c r="F81" s="63"/>
      <c r="G81" s="56"/>
      <c r="H81" s="56"/>
      <c r="I81" s="56"/>
      <c r="J81" s="51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2"/>
      <c r="B82" s="53"/>
      <c r="C82" s="53"/>
      <c r="D82" s="53"/>
      <c r="E82" s="53"/>
      <c r="F82" s="54"/>
      <c r="G82" s="53"/>
      <c r="H82" s="53"/>
      <c r="I82" s="53"/>
      <c r="J82" s="51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5"/>
      <c r="B83" s="56"/>
      <c r="C83" s="56"/>
      <c r="D83" s="56"/>
      <c r="E83" s="56"/>
      <c r="F83" s="63"/>
      <c r="G83" s="56"/>
      <c r="H83" s="56"/>
      <c r="I83" s="56"/>
      <c r="J83" s="51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2"/>
      <c r="B84" s="53"/>
      <c r="C84" s="53"/>
      <c r="D84" s="53"/>
      <c r="E84" s="53"/>
      <c r="F84" s="54"/>
      <c r="G84" s="53"/>
      <c r="H84" s="53"/>
      <c r="I84" s="53"/>
      <c r="J84" s="51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5"/>
      <c r="B85" s="56"/>
      <c r="C85" s="56"/>
      <c r="D85" s="56"/>
      <c r="E85" s="56"/>
      <c r="F85" s="63"/>
      <c r="G85" s="56"/>
      <c r="H85" s="56"/>
      <c r="I85" s="56"/>
      <c r="J85" s="51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2"/>
      <c r="B86" s="53"/>
      <c r="C86" s="53"/>
      <c r="D86" s="53"/>
      <c r="E86" s="53"/>
      <c r="F86" s="54"/>
      <c r="G86" s="53"/>
      <c r="H86" s="53"/>
      <c r="I86" s="53"/>
      <c r="J86" s="51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5"/>
      <c r="B87" s="56"/>
      <c r="C87" s="56"/>
      <c r="D87" s="56"/>
      <c r="E87" s="56"/>
      <c r="F87" s="63"/>
      <c r="G87" s="56"/>
      <c r="H87" s="56"/>
      <c r="I87" s="56"/>
      <c r="J87" s="51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2"/>
      <c r="B88" s="53"/>
      <c r="C88" s="53"/>
      <c r="D88" s="53"/>
      <c r="E88" s="53"/>
      <c r="F88" s="54"/>
      <c r="G88" s="53"/>
      <c r="H88" s="53"/>
      <c r="I88" s="53"/>
      <c r="J88" s="51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5"/>
      <c r="B89" s="56"/>
      <c r="C89" s="56"/>
      <c r="D89" s="56"/>
      <c r="E89" s="56"/>
      <c r="F89" s="63"/>
      <c r="G89" s="56"/>
      <c r="H89" s="56"/>
      <c r="I89" s="56"/>
      <c r="J89" s="51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2"/>
      <c r="B90" s="53"/>
      <c r="C90" s="53"/>
      <c r="D90" s="53"/>
      <c r="E90" s="53"/>
      <c r="F90" s="54"/>
      <c r="G90" s="53"/>
      <c r="H90" s="53"/>
      <c r="I90" s="53"/>
      <c r="J90" s="51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5"/>
      <c r="B91" s="56"/>
      <c r="C91" s="56"/>
      <c r="D91" s="56"/>
      <c r="E91" s="56"/>
      <c r="F91" s="63"/>
      <c r="G91" s="56"/>
      <c r="H91" s="56"/>
      <c r="I91" s="56"/>
      <c r="J91" s="51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2"/>
      <c r="B92" s="53"/>
      <c r="C92" s="53"/>
      <c r="D92" s="53"/>
      <c r="E92" s="53"/>
      <c r="F92" s="54"/>
      <c r="G92" s="53"/>
      <c r="H92" s="53"/>
      <c r="I92" s="53"/>
      <c r="J92" s="51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5"/>
      <c r="B93" s="56"/>
      <c r="C93" s="56"/>
      <c r="D93" s="56"/>
      <c r="E93" s="56"/>
      <c r="F93" s="63"/>
      <c r="G93" s="56"/>
      <c r="H93" s="56"/>
      <c r="I93" s="56"/>
      <c r="J93" s="51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2"/>
      <c r="B94" s="53"/>
      <c r="C94" s="53"/>
      <c r="D94" s="53"/>
      <c r="E94" s="53"/>
      <c r="F94" s="54"/>
      <c r="G94" s="53"/>
      <c r="H94" s="53"/>
      <c r="I94" s="53"/>
      <c r="J94" s="51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5"/>
      <c r="B95" s="56"/>
      <c r="C95" s="56"/>
      <c r="D95" s="56"/>
      <c r="E95" s="56"/>
      <c r="F95" s="63"/>
      <c r="G95" s="56"/>
      <c r="H95" s="56"/>
      <c r="I95" s="56"/>
      <c r="J95" s="51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2"/>
      <c r="B96" s="53"/>
      <c r="C96" s="53"/>
      <c r="D96" s="53"/>
      <c r="E96" s="53"/>
      <c r="F96" s="54"/>
      <c r="G96" s="53"/>
      <c r="H96" s="53"/>
      <c r="I96" s="53"/>
      <c r="J96" s="51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5"/>
      <c r="B97" s="56"/>
      <c r="C97" s="56"/>
      <c r="D97" s="56"/>
      <c r="E97" s="56"/>
      <c r="F97" s="63"/>
      <c r="G97" s="56"/>
      <c r="H97" s="56"/>
      <c r="I97" s="56"/>
      <c r="J97" s="51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2"/>
      <c r="B98" s="53"/>
      <c r="C98" s="53"/>
      <c r="D98" s="53"/>
      <c r="E98" s="53"/>
      <c r="F98" s="54"/>
      <c r="G98" s="53"/>
      <c r="H98" s="53"/>
      <c r="I98" s="53"/>
      <c r="J98" s="51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5"/>
      <c r="B99" s="56"/>
      <c r="C99" s="56"/>
      <c r="D99" s="56"/>
      <c r="E99" s="56"/>
      <c r="F99" s="63"/>
      <c r="G99" s="56"/>
      <c r="H99" s="56"/>
      <c r="I99" s="56"/>
      <c r="J99" s="51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2"/>
      <c r="B100" s="53"/>
      <c r="C100" s="53"/>
      <c r="D100" s="53"/>
      <c r="E100" s="53"/>
      <c r="F100" s="54"/>
      <c r="G100" s="53"/>
      <c r="H100" s="53"/>
      <c r="I100" s="53"/>
      <c r="J100" s="51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5"/>
      <c r="B101" s="56"/>
      <c r="C101" s="56"/>
      <c r="D101" s="56"/>
      <c r="E101" s="56"/>
      <c r="F101" s="63"/>
      <c r="G101" s="56"/>
      <c r="H101" s="56"/>
      <c r="I101" s="56"/>
      <c r="J101" s="51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2"/>
      <c r="B102" s="53"/>
      <c r="C102" s="53"/>
      <c r="D102" s="53"/>
      <c r="E102" s="53"/>
      <c r="F102" s="54"/>
      <c r="G102" s="53"/>
      <c r="H102" s="53"/>
      <c r="I102" s="53"/>
      <c r="J102" s="51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5"/>
      <c r="B103" s="56"/>
      <c r="C103" s="56"/>
      <c r="D103" s="56"/>
      <c r="E103" s="56"/>
      <c r="F103" s="63"/>
      <c r="G103" s="56"/>
      <c r="H103" s="56"/>
      <c r="I103" s="56"/>
      <c r="J103" s="51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2"/>
      <c r="B104" s="53"/>
      <c r="C104" s="53"/>
      <c r="D104" s="53"/>
      <c r="E104" s="53"/>
      <c r="F104" s="54"/>
      <c r="G104" s="53"/>
      <c r="H104" s="53"/>
      <c r="I104" s="53"/>
      <c r="J104" s="51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5"/>
      <c r="B105" s="56"/>
      <c r="C105" s="56"/>
      <c r="D105" s="56"/>
      <c r="E105" s="56"/>
      <c r="F105" s="63"/>
      <c r="G105" s="56"/>
      <c r="H105" s="56"/>
      <c r="I105" s="56"/>
      <c r="J105" s="51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2"/>
      <c r="B106" s="53"/>
      <c r="C106" s="53"/>
      <c r="D106" s="53"/>
      <c r="E106" s="53"/>
      <c r="F106" s="54"/>
      <c r="G106" s="53"/>
      <c r="H106" s="53"/>
      <c r="I106" s="53"/>
      <c r="J106" s="51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5"/>
      <c r="B107" s="56"/>
      <c r="C107" s="56"/>
      <c r="D107" s="56"/>
      <c r="E107" s="56"/>
      <c r="F107" s="63"/>
      <c r="G107" s="56"/>
      <c r="H107" s="56"/>
      <c r="I107" s="56"/>
      <c r="J107" s="51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2"/>
      <c r="B108" s="53"/>
      <c r="C108" s="53"/>
      <c r="D108" s="53"/>
      <c r="E108" s="53"/>
      <c r="F108" s="54"/>
      <c r="G108" s="53"/>
      <c r="H108" s="53"/>
      <c r="I108" s="53"/>
      <c r="J108" s="51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5"/>
      <c r="B109" s="56"/>
      <c r="C109" s="56"/>
      <c r="D109" s="56"/>
      <c r="E109" s="56"/>
      <c r="F109" s="63"/>
      <c r="G109" s="56"/>
      <c r="H109" s="56"/>
      <c r="I109" s="56"/>
      <c r="J109" s="51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2"/>
      <c r="B110" s="53"/>
      <c r="C110" s="53"/>
      <c r="D110" s="53"/>
      <c r="E110" s="53"/>
      <c r="F110" s="54"/>
      <c r="G110" s="53"/>
      <c r="H110" s="53"/>
      <c r="I110" s="53"/>
      <c r="J110" s="51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5"/>
      <c r="B111" s="56"/>
      <c r="C111" s="56"/>
      <c r="D111" s="56"/>
      <c r="E111" s="56"/>
      <c r="F111" s="63"/>
      <c r="G111" s="56"/>
      <c r="H111" s="56"/>
      <c r="I111" s="56"/>
      <c r="J111" s="51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2"/>
      <c r="B112" s="53"/>
      <c r="C112" s="53"/>
      <c r="D112" s="53"/>
      <c r="E112" s="53"/>
      <c r="F112" s="54"/>
      <c r="G112" s="53"/>
      <c r="H112" s="53"/>
      <c r="I112" s="53"/>
      <c r="J112" s="51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5"/>
      <c r="B113" s="56"/>
      <c r="C113" s="56"/>
      <c r="D113" s="56"/>
      <c r="E113" s="56"/>
      <c r="F113" s="63"/>
      <c r="G113" s="56"/>
      <c r="H113" s="56"/>
      <c r="I113" s="56"/>
      <c r="J113" s="51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2"/>
      <c r="B114" s="53"/>
      <c r="C114" s="53"/>
      <c r="D114" s="53"/>
      <c r="E114" s="53"/>
      <c r="F114" s="54"/>
      <c r="G114" s="53"/>
      <c r="H114" s="53"/>
      <c r="I114" s="53"/>
      <c r="J114" s="51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5"/>
      <c r="B115" s="56"/>
      <c r="C115" s="56"/>
      <c r="D115" s="56"/>
      <c r="E115" s="56"/>
      <c r="F115" s="63"/>
      <c r="G115" s="56"/>
      <c r="H115" s="56"/>
      <c r="I115" s="56"/>
      <c r="J115" s="51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2"/>
      <c r="B116" s="53"/>
      <c r="C116" s="53"/>
      <c r="D116" s="53"/>
      <c r="E116" s="53"/>
      <c r="F116" s="54"/>
      <c r="G116" s="53"/>
      <c r="H116" s="53"/>
      <c r="I116" s="53"/>
      <c r="J116" s="51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5"/>
      <c r="B117" s="56"/>
      <c r="C117" s="56"/>
      <c r="D117" s="56"/>
      <c r="E117" s="56"/>
      <c r="F117" s="63"/>
      <c r="G117" s="56"/>
      <c r="H117" s="56"/>
      <c r="I117" s="56"/>
      <c r="J117" s="51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2"/>
      <c r="B118" s="53"/>
      <c r="C118" s="53"/>
      <c r="D118" s="53"/>
      <c r="E118" s="53"/>
      <c r="F118" s="54"/>
      <c r="G118" s="53"/>
      <c r="H118" s="53"/>
      <c r="I118" s="53"/>
      <c r="J118" s="51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5"/>
      <c r="B119" s="56"/>
      <c r="C119" s="56"/>
      <c r="D119" s="56"/>
      <c r="E119" s="56"/>
      <c r="F119" s="63"/>
      <c r="G119" s="56"/>
      <c r="H119" s="56"/>
      <c r="I119" s="56"/>
      <c r="J119" s="51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2"/>
      <c r="B120" s="53"/>
      <c r="C120" s="53"/>
      <c r="D120" s="53"/>
      <c r="E120" s="53"/>
      <c r="F120" s="54"/>
      <c r="G120" s="53"/>
      <c r="H120" s="53"/>
      <c r="I120" s="53"/>
      <c r="J120" s="51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5"/>
      <c r="B121" s="56"/>
      <c r="C121" s="56"/>
      <c r="D121" s="56"/>
      <c r="E121" s="56"/>
      <c r="F121" s="63"/>
      <c r="G121" s="56"/>
      <c r="H121" s="56"/>
      <c r="I121" s="56"/>
      <c r="J121" s="51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2"/>
      <c r="B122" s="53"/>
      <c r="C122" s="53"/>
      <c r="D122" s="53"/>
      <c r="E122" s="53"/>
      <c r="F122" s="54"/>
      <c r="G122" s="53"/>
      <c r="H122" s="53"/>
      <c r="I122" s="53"/>
      <c r="J122" s="51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5"/>
      <c r="B123" s="56"/>
      <c r="C123" s="56"/>
      <c r="D123" s="56"/>
      <c r="E123" s="56"/>
      <c r="F123" s="63"/>
      <c r="G123" s="56"/>
      <c r="H123" s="56"/>
      <c r="I123" s="56"/>
      <c r="J123" s="51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2"/>
      <c r="B124" s="53"/>
      <c r="C124" s="53"/>
      <c r="D124" s="53"/>
      <c r="E124" s="53"/>
      <c r="F124" s="54"/>
      <c r="G124" s="53"/>
      <c r="H124" s="53"/>
      <c r="I124" s="53"/>
      <c r="J124" s="51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5"/>
      <c r="B125" s="56"/>
      <c r="C125" s="56"/>
      <c r="D125" s="56"/>
      <c r="E125" s="56"/>
      <c r="F125" s="63"/>
      <c r="G125" s="56"/>
      <c r="H125" s="56"/>
      <c r="I125" s="56"/>
      <c r="J125" s="51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2"/>
      <c r="B126" s="53"/>
      <c r="C126" s="53"/>
      <c r="D126" s="53"/>
      <c r="E126" s="53"/>
      <c r="F126" s="54"/>
      <c r="G126" s="53"/>
      <c r="H126" s="53"/>
      <c r="I126" s="53"/>
      <c r="J126" s="51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5"/>
      <c r="B127" s="56"/>
      <c r="C127" s="56"/>
      <c r="D127" s="56"/>
      <c r="E127" s="56"/>
      <c r="F127" s="63"/>
      <c r="G127" s="56"/>
      <c r="H127" s="56"/>
      <c r="I127" s="56"/>
      <c r="J127" s="51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2"/>
      <c r="B128" s="53"/>
      <c r="C128" s="53"/>
      <c r="D128" s="53"/>
      <c r="E128" s="53"/>
      <c r="F128" s="54"/>
      <c r="G128" s="53"/>
      <c r="H128" s="53"/>
      <c r="I128" s="53"/>
      <c r="J128" s="51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5"/>
      <c r="B129" s="56"/>
      <c r="C129" s="56"/>
      <c r="D129" s="56"/>
      <c r="E129" s="56"/>
      <c r="F129" s="63"/>
      <c r="G129" s="56"/>
      <c r="H129" s="56"/>
      <c r="I129" s="56"/>
      <c r="J129" s="51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2"/>
      <c r="B130" s="53"/>
      <c r="C130" s="53"/>
      <c r="D130" s="53"/>
      <c r="E130" s="53"/>
      <c r="F130" s="54"/>
      <c r="G130" s="53"/>
      <c r="H130" s="53"/>
      <c r="I130" s="53"/>
      <c r="J130" s="51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5"/>
      <c r="B131" s="56"/>
      <c r="C131" s="56"/>
      <c r="D131" s="56"/>
      <c r="E131" s="56"/>
      <c r="F131" s="63"/>
      <c r="G131" s="56"/>
      <c r="H131" s="56"/>
      <c r="I131" s="56"/>
      <c r="J131" s="51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2"/>
      <c r="B132" s="53"/>
      <c r="C132" s="53"/>
      <c r="D132" s="53"/>
      <c r="E132" s="53"/>
      <c r="F132" s="54"/>
      <c r="G132" s="53"/>
      <c r="H132" s="53"/>
      <c r="I132" s="53"/>
      <c r="J132" s="51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5"/>
      <c r="B133" s="56"/>
      <c r="C133" s="56"/>
      <c r="D133" s="56"/>
      <c r="E133" s="56"/>
      <c r="F133" s="63"/>
      <c r="G133" s="56"/>
      <c r="H133" s="56"/>
      <c r="I133" s="56"/>
      <c r="J133" s="51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2"/>
      <c r="B134" s="53"/>
      <c r="C134" s="53"/>
      <c r="D134" s="53"/>
      <c r="E134" s="53"/>
      <c r="F134" s="54"/>
      <c r="G134" s="53"/>
      <c r="H134" s="53"/>
      <c r="I134" s="53"/>
      <c r="J134" s="51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5"/>
      <c r="B135" s="56"/>
      <c r="C135" s="56"/>
      <c r="D135" s="56"/>
      <c r="E135" s="56"/>
      <c r="F135" s="63"/>
      <c r="G135" s="56"/>
      <c r="H135" s="56"/>
      <c r="I135" s="56"/>
      <c r="J135" s="51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2"/>
      <c r="B136" s="53"/>
      <c r="C136" s="53"/>
      <c r="D136" s="53"/>
      <c r="E136" s="53"/>
      <c r="F136" s="54"/>
      <c r="G136" s="53"/>
      <c r="H136" s="53"/>
      <c r="I136" s="53"/>
      <c r="J136" s="51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5"/>
      <c r="B137" s="56"/>
      <c r="C137" s="56"/>
      <c r="D137" s="56"/>
      <c r="E137" s="56"/>
      <c r="F137" s="63"/>
      <c r="G137" s="56"/>
      <c r="H137" s="56"/>
      <c r="I137" s="56"/>
      <c r="J137" s="51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2"/>
      <c r="B138" s="53"/>
      <c r="C138" s="53"/>
      <c r="D138" s="53"/>
      <c r="E138" s="53"/>
      <c r="F138" s="54"/>
      <c r="G138" s="53"/>
      <c r="H138" s="53"/>
      <c r="I138" s="53"/>
      <c r="J138" s="51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5"/>
      <c r="B139" s="56"/>
      <c r="C139" s="56"/>
      <c r="D139" s="56"/>
      <c r="E139" s="56"/>
      <c r="F139" s="63"/>
      <c r="G139" s="56"/>
      <c r="H139" s="56"/>
      <c r="I139" s="56"/>
      <c r="J139" s="51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2"/>
      <c r="B140" s="53"/>
      <c r="C140" s="53"/>
      <c r="D140" s="53"/>
      <c r="E140" s="53"/>
      <c r="F140" s="54"/>
      <c r="G140" s="53"/>
      <c r="H140" s="53"/>
      <c r="I140" s="53"/>
      <c r="J140" s="51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5"/>
      <c r="B141" s="56"/>
      <c r="C141" s="56"/>
      <c r="D141" s="56"/>
      <c r="E141" s="56"/>
      <c r="F141" s="63"/>
      <c r="G141" s="56"/>
      <c r="H141" s="56"/>
      <c r="I141" s="56"/>
      <c r="J141" s="51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2"/>
      <c r="B142" s="53"/>
      <c r="C142" s="53"/>
      <c r="D142" s="53"/>
      <c r="E142" s="53"/>
      <c r="F142" s="54"/>
      <c r="G142" s="53"/>
      <c r="H142" s="53"/>
      <c r="I142" s="53"/>
      <c r="J142" s="51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5"/>
      <c r="B143" s="56"/>
      <c r="C143" s="56"/>
      <c r="D143" s="56"/>
      <c r="E143" s="56"/>
      <c r="F143" s="63"/>
      <c r="G143" s="56"/>
      <c r="H143" s="56"/>
      <c r="I143" s="56"/>
      <c r="J143" s="51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2"/>
      <c r="B144" s="53"/>
      <c r="C144" s="53"/>
      <c r="D144" s="53"/>
      <c r="E144" s="53"/>
      <c r="F144" s="54"/>
      <c r="G144" s="53"/>
      <c r="H144" s="53"/>
      <c r="I144" s="53"/>
      <c r="J144" s="51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5"/>
      <c r="B145" s="56"/>
      <c r="C145" s="56"/>
      <c r="D145" s="56"/>
      <c r="E145" s="56"/>
      <c r="F145" s="63"/>
      <c r="G145" s="56"/>
      <c r="H145" s="56"/>
      <c r="I145" s="56"/>
      <c r="J145" s="51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2"/>
      <c r="B146" s="53"/>
      <c r="C146" s="53"/>
      <c r="D146" s="53"/>
      <c r="E146" s="53"/>
      <c r="F146" s="54"/>
      <c r="G146" s="53"/>
      <c r="H146" s="53"/>
      <c r="I146" s="53"/>
      <c r="J146" s="51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5"/>
      <c r="B147" s="56"/>
      <c r="C147" s="56"/>
      <c r="D147" s="56"/>
      <c r="E147" s="56"/>
      <c r="F147" s="63"/>
      <c r="G147" s="56"/>
      <c r="H147" s="56"/>
      <c r="I147" s="56"/>
      <c r="J147" s="51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2"/>
      <c r="B148" s="53"/>
      <c r="C148" s="53"/>
      <c r="D148" s="53"/>
      <c r="E148" s="53"/>
      <c r="F148" s="54"/>
      <c r="G148" s="53"/>
      <c r="H148" s="53"/>
      <c r="I148" s="53"/>
      <c r="J148" s="51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5"/>
      <c r="B149" s="56"/>
      <c r="C149" s="56"/>
      <c r="D149" s="56"/>
      <c r="E149" s="56"/>
      <c r="F149" s="63"/>
      <c r="G149" s="56"/>
      <c r="H149" s="56"/>
      <c r="I149" s="56"/>
      <c r="J149" s="51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2"/>
      <c r="B150" s="53"/>
      <c r="C150" s="53"/>
      <c r="D150" s="53"/>
      <c r="E150" s="53"/>
      <c r="F150" s="54"/>
      <c r="G150" s="53"/>
      <c r="H150" s="53"/>
      <c r="I150" s="53"/>
      <c r="J150" s="51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5"/>
      <c r="B151" s="56"/>
      <c r="C151" s="56"/>
      <c r="D151" s="56"/>
      <c r="E151" s="56"/>
      <c r="F151" s="63"/>
      <c r="G151" s="56"/>
      <c r="H151" s="56"/>
      <c r="I151" s="56"/>
      <c r="J151" s="51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2"/>
      <c r="B152" s="53"/>
      <c r="C152" s="53"/>
      <c r="D152" s="53"/>
      <c r="E152" s="53"/>
      <c r="F152" s="54"/>
      <c r="G152" s="53"/>
      <c r="H152" s="53"/>
      <c r="I152" s="53"/>
      <c r="J152" s="51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5"/>
      <c r="B153" s="56"/>
      <c r="C153" s="56"/>
      <c r="D153" s="56"/>
      <c r="E153" s="56"/>
      <c r="F153" s="63"/>
      <c r="G153" s="56"/>
      <c r="H153" s="56"/>
      <c r="I153" s="56"/>
      <c r="J153" s="51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2"/>
      <c r="B154" s="53"/>
      <c r="C154" s="53"/>
      <c r="D154" s="53"/>
      <c r="E154" s="53"/>
      <c r="F154" s="54"/>
      <c r="G154" s="53"/>
      <c r="H154" s="53"/>
      <c r="I154" s="53"/>
      <c r="J154" s="51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5"/>
      <c r="B155" s="56"/>
      <c r="C155" s="56"/>
      <c r="D155" s="56"/>
      <c r="E155" s="56"/>
      <c r="F155" s="63"/>
      <c r="G155" s="56"/>
      <c r="H155" s="56"/>
      <c r="I155" s="56"/>
      <c r="J155" s="51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2"/>
      <c r="B156" s="53"/>
      <c r="C156" s="53"/>
      <c r="D156" s="53"/>
      <c r="E156" s="53"/>
      <c r="F156" s="54"/>
      <c r="G156" s="53"/>
      <c r="H156" s="53"/>
      <c r="I156" s="53"/>
      <c r="J156" s="51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5"/>
      <c r="B157" s="56"/>
      <c r="C157" s="56"/>
      <c r="D157" s="56"/>
      <c r="E157" s="56"/>
      <c r="F157" s="63"/>
      <c r="G157" s="56"/>
      <c r="H157" s="56"/>
      <c r="I157" s="56"/>
      <c r="J157" s="51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2"/>
      <c r="B158" s="53"/>
      <c r="C158" s="53"/>
      <c r="D158" s="53"/>
      <c r="E158" s="53"/>
      <c r="F158" s="54"/>
      <c r="G158" s="53"/>
      <c r="H158" s="53"/>
      <c r="I158" s="53"/>
      <c r="J158" s="51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5"/>
      <c r="B159" s="56"/>
      <c r="C159" s="56"/>
      <c r="D159" s="56"/>
      <c r="E159" s="56"/>
      <c r="F159" s="63"/>
      <c r="G159" s="56"/>
      <c r="H159" s="56"/>
      <c r="I159" s="56"/>
      <c r="J159" s="51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2"/>
      <c r="B160" s="53"/>
      <c r="C160" s="53"/>
      <c r="D160" s="53"/>
      <c r="E160" s="53"/>
      <c r="F160" s="54"/>
      <c r="G160" s="53"/>
      <c r="H160" s="53"/>
      <c r="I160" s="53"/>
      <c r="J160" s="51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5"/>
      <c r="B161" s="56"/>
      <c r="C161" s="56"/>
      <c r="D161" s="56"/>
      <c r="E161" s="56"/>
      <c r="F161" s="63"/>
      <c r="G161" s="56"/>
      <c r="H161" s="56"/>
      <c r="I161" s="56"/>
      <c r="J161" s="51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2"/>
      <c r="B162" s="53"/>
      <c r="C162" s="53"/>
      <c r="D162" s="53"/>
      <c r="E162" s="53"/>
      <c r="F162" s="54"/>
      <c r="G162" s="53"/>
      <c r="H162" s="53"/>
      <c r="I162" s="53"/>
      <c r="J162" s="51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5"/>
      <c r="B163" s="56"/>
      <c r="C163" s="56"/>
      <c r="D163" s="56"/>
      <c r="E163" s="56"/>
      <c r="F163" s="63"/>
      <c r="G163" s="56"/>
      <c r="H163" s="56"/>
      <c r="I163" s="56"/>
      <c r="J163" s="51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2"/>
      <c r="B164" s="53"/>
      <c r="C164" s="53"/>
      <c r="D164" s="53"/>
      <c r="E164" s="53"/>
      <c r="F164" s="54"/>
      <c r="G164" s="53"/>
      <c r="H164" s="53"/>
      <c r="I164" s="53"/>
      <c r="J164" s="51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5"/>
      <c r="B165" s="56"/>
      <c r="C165" s="56"/>
      <c r="D165" s="56"/>
      <c r="E165" s="56"/>
      <c r="F165" s="63"/>
      <c r="G165" s="56"/>
      <c r="H165" s="56"/>
      <c r="I165" s="56"/>
      <c r="J165" s="51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2"/>
      <c r="B166" s="53"/>
      <c r="C166" s="53"/>
      <c r="D166" s="53"/>
      <c r="E166" s="53"/>
      <c r="F166" s="54"/>
      <c r="G166" s="53"/>
      <c r="H166" s="53"/>
      <c r="I166" s="53"/>
      <c r="J166" s="51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5"/>
      <c r="B167" s="56"/>
      <c r="C167" s="56"/>
      <c r="D167" s="56"/>
      <c r="E167" s="56"/>
      <c r="F167" s="63"/>
      <c r="G167" s="56"/>
      <c r="H167" s="56"/>
      <c r="I167" s="56"/>
      <c r="J167" s="51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2"/>
      <c r="B168" s="53"/>
      <c r="C168" s="53"/>
      <c r="D168" s="53"/>
      <c r="E168" s="53"/>
      <c r="F168" s="54"/>
      <c r="G168" s="53"/>
      <c r="H168" s="53"/>
      <c r="I168" s="53"/>
      <c r="J168" s="51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5"/>
      <c r="B169" s="56"/>
      <c r="C169" s="56"/>
      <c r="D169" s="56"/>
      <c r="E169" s="56"/>
      <c r="F169" s="63"/>
      <c r="G169" s="56"/>
      <c r="H169" s="56"/>
      <c r="I169" s="56"/>
      <c r="J169" s="51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2"/>
      <c r="B170" s="53"/>
      <c r="C170" s="53"/>
      <c r="D170" s="53"/>
      <c r="E170" s="53"/>
      <c r="F170" s="54"/>
      <c r="G170" s="53"/>
      <c r="H170" s="53"/>
      <c r="I170" s="53"/>
      <c r="J170" s="51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5"/>
      <c r="B171" s="56"/>
      <c r="C171" s="56"/>
      <c r="D171" s="56"/>
      <c r="E171" s="56"/>
      <c r="F171" s="63"/>
      <c r="G171" s="56"/>
      <c r="H171" s="56"/>
      <c r="I171" s="56"/>
      <c r="J171" s="51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2"/>
      <c r="B172" s="53"/>
      <c r="C172" s="53"/>
      <c r="D172" s="53"/>
      <c r="E172" s="53"/>
      <c r="F172" s="54"/>
      <c r="G172" s="53"/>
      <c r="H172" s="53"/>
      <c r="I172" s="53"/>
      <c r="J172" s="51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5"/>
      <c r="B173" s="56"/>
      <c r="C173" s="56"/>
      <c r="D173" s="56"/>
      <c r="E173" s="56"/>
      <c r="F173" s="63"/>
      <c r="G173" s="56"/>
      <c r="H173" s="56"/>
      <c r="I173" s="56"/>
      <c r="J173" s="51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2"/>
      <c r="B174" s="53"/>
      <c r="C174" s="53"/>
      <c r="D174" s="53"/>
      <c r="E174" s="53"/>
      <c r="F174" s="54"/>
      <c r="G174" s="53"/>
      <c r="H174" s="53"/>
      <c r="I174" s="53"/>
      <c r="J174" s="51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5"/>
      <c r="B175" s="56"/>
      <c r="C175" s="56"/>
      <c r="D175" s="56"/>
      <c r="E175" s="56"/>
      <c r="F175" s="63"/>
      <c r="G175" s="56"/>
      <c r="H175" s="56"/>
      <c r="I175" s="56"/>
      <c r="J175" s="51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2"/>
      <c r="B176" s="53"/>
      <c r="C176" s="53"/>
      <c r="D176" s="53"/>
      <c r="E176" s="53"/>
      <c r="F176" s="54"/>
      <c r="G176" s="53"/>
      <c r="H176" s="53"/>
      <c r="I176" s="53"/>
      <c r="J176" s="51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5"/>
      <c r="B177" s="56"/>
      <c r="C177" s="56"/>
      <c r="D177" s="56"/>
      <c r="E177" s="56"/>
      <c r="F177" s="63"/>
      <c r="G177" s="56"/>
      <c r="H177" s="56"/>
      <c r="I177" s="56"/>
      <c r="J177" s="51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2"/>
      <c r="B178" s="53"/>
      <c r="C178" s="53"/>
      <c r="D178" s="53"/>
      <c r="E178" s="53"/>
      <c r="F178" s="54"/>
      <c r="G178" s="53"/>
      <c r="H178" s="53"/>
      <c r="I178" s="53"/>
      <c r="J178" s="51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5"/>
      <c r="B179" s="56"/>
      <c r="C179" s="56"/>
      <c r="D179" s="56"/>
      <c r="E179" s="56"/>
      <c r="F179" s="63"/>
      <c r="G179" s="56"/>
      <c r="H179" s="56"/>
      <c r="I179" s="56"/>
      <c r="J179" s="51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2"/>
      <c r="B180" s="53"/>
      <c r="C180" s="53"/>
      <c r="D180" s="53"/>
      <c r="E180" s="53"/>
      <c r="F180" s="54"/>
      <c r="G180" s="53"/>
      <c r="H180" s="53"/>
      <c r="I180" s="53"/>
      <c r="J180" s="51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5"/>
      <c r="B181" s="56"/>
      <c r="C181" s="56"/>
      <c r="D181" s="56"/>
      <c r="E181" s="56"/>
      <c r="F181" s="63"/>
      <c r="G181" s="56"/>
      <c r="H181" s="56"/>
      <c r="I181" s="56"/>
      <c r="J181" s="51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2"/>
      <c r="B182" s="53"/>
      <c r="C182" s="53"/>
      <c r="D182" s="53"/>
      <c r="E182" s="53"/>
      <c r="F182" s="54"/>
      <c r="G182" s="53"/>
      <c r="H182" s="53"/>
      <c r="I182" s="53"/>
      <c r="J182" s="51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5"/>
      <c r="B183" s="56"/>
      <c r="C183" s="56"/>
      <c r="D183" s="56"/>
      <c r="E183" s="56"/>
      <c r="F183" s="63"/>
      <c r="G183" s="56"/>
      <c r="H183" s="56"/>
      <c r="I183" s="56"/>
      <c r="J183" s="51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2"/>
      <c r="B184" s="53"/>
      <c r="C184" s="53"/>
      <c r="D184" s="53"/>
      <c r="E184" s="53"/>
      <c r="F184" s="54"/>
      <c r="G184" s="53"/>
      <c r="H184" s="53"/>
      <c r="I184" s="53"/>
      <c r="J184" s="51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5"/>
      <c r="B185" s="56"/>
      <c r="C185" s="56"/>
      <c r="D185" s="56"/>
      <c r="E185" s="56"/>
      <c r="F185" s="63"/>
      <c r="G185" s="56"/>
      <c r="H185" s="56"/>
      <c r="I185" s="56"/>
      <c r="J185" s="51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2"/>
      <c r="B186" s="53"/>
      <c r="C186" s="53"/>
      <c r="D186" s="53"/>
      <c r="E186" s="53"/>
      <c r="F186" s="54"/>
      <c r="G186" s="53"/>
      <c r="H186" s="53"/>
      <c r="I186" s="53"/>
      <c r="J186" s="51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5"/>
      <c r="B187" s="56"/>
      <c r="C187" s="56"/>
      <c r="D187" s="56"/>
      <c r="E187" s="56"/>
      <c r="F187" s="63"/>
      <c r="G187" s="56"/>
      <c r="H187" s="56"/>
      <c r="I187" s="56"/>
      <c r="J187" s="51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2"/>
      <c r="B188" s="53"/>
      <c r="C188" s="53"/>
      <c r="D188" s="53"/>
      <c r="E188" s="53"/>
      <c r="F188" s="54"/>
      <c r="G188" s="53"/>
      <c r="H188" s="53"/>
      <c r="I188" s="53"/>
      <c r="J188" s="51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5"/>
      <c r="B189" s="56"/>
      <c r="C189" s="56"/>
      <c r="D189" s="56"/>
      <c r="E189" s="56"/>
      <c r="F189" s="63"/>
      <c r="G189" s="56"/>
      <c r="H189" s="56"/>
      <c r="I189" s="56"/>
      <c r="J189" s="51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2"/>
      <c r="B190" s="53"/>
      <c r="C190" s="53"/>
      <c r="D190" s="53"/>
      <c r="E190" s="53"/>
      <c r="F190" s="54"/>
      <c r="G190" s="53"/>
      <c r="H190" s="53"/>
      <c r="I190" s="53"/>
      <c r="J190" s="51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5"/>
      <c r="B191" s="56"/>
      <c r="C191" s="56"/>
      <c r="D191" s="56"/>
      <c r="E191" s="56"/>
      <c r="F191" s="63"/>
      <c r="G191" s="56"/>
      <c r="H191" s="56"/>
      <c r="I191" s="56"/>
      <c r="J191" s="51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2"/>
      <c r="B192" s="53"/>
      <c r="C192" s="53"/>
      <c r="D192" s="53"/>
      <c r="E192" s="53"/>
      <c r="F192" s="54"/>
      <c r="G192" s="53"/>
      <c r="H192" s="53"/>
      <c r="I192" s="53"/>
      <c r="J192" s="51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5"/>
      <c r="B193" s="56"/>
      <c r="C193" s="56"/>
      <c r="D193" s="56"/>
      <c r="E193" s="56"/>
      <c r="F193" s="63"/>
      <c r="G193" s="56"/>
      <c r="H193" s="56"/>
      <c r="I193" s="56"/>
      <c r="J193" s="51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2"/>
      <c r="B194" s="53"/>
      <c r="C194" s="53"/>
      <c r="D194" s="53"/>
      <c r="E194" s="53"/>
      <c r="F194" s="54"/>
      <c r="G194" s="53"/>
      <c r="H194" s="53"/>
      <c r="I194" s="53"/>
      <c r="J194" s="51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5"/>
      <c r="B195" s="56"/>
      <c r="C195" s="56"/>
      <c r="D195" s="56"/>
      <c r="E195" s="56"/>
      <c r="F195" s="63"/>
      <c r="G195" s="56"/>
      <c r="H195" s="56"/>
      <c r="I195" s="56"/>
      <c r="J195" s="51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2"/>
      <c r="B196" s="53"/>
      <c r="C196" s="53"/>
      <c r="D196" s="53"/>
      <c r="E196" s="53"/>
      <c r="F196" s="54"/>
      <c r="G196" s="53"/>
      <c r="H196" s="53"/>
      <c r="I196" s="53"/>
      <c r="J196" s="51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5"/>
      <c r="B197" s="56"/>
      <c r="C197" s="56"/>
      <c r="D197" s="56"/>
      <c r="E197" s="56"/>
      <c r="F197" s="63"/>
      <c r="G197" s="56"/>
      <c r="H197" s="56"/>
      <c r="I197" s="56"/>
      <c r="J197" s="51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2"/>
      <c r="B198" s="53"/>
      <c r="C198" s="53"/>
      <c r="D198" s="53"/>
      <c r="E198" s="53"/>
      <c r="F198" s="54"/>
      <c r="G198" s="53"/>
      <c r="H198" s="53"/>
      <c r="I198" s="53"/>
      <c r="J198" s="51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5"/>
      <c r="B199" s="56"/>
      <c r="C199" s="56"/>
      <c r="D199" s="56"/>
      <c r="E199" s="56"/>
      <c r="F199" s="63"/>
      <c r="G199" s="56"/>
      <c r="H199" s="56"/>
      <c r="I199" s="56"/>
      <c r="J199" s="51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2"/>
      <c r="B200" s="53"/>
      <c r="C200" s="53"/>
      <c r="D200" s="53"/>
      <c r="E200" s="53"/>
      <c r="F200" s="54"/>
      <c r="G200" s="53"/>
      <c r="H200" s="53"/>
      <c r="I200" s="53"/>
      <c r="J200" s="51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5"/>
      <c r="B201" s="56"/>
      <c r="C201" s="56"/>
      <c r="D201" s="56"/>
      <c r="E201" s="56"/>
      <c r="F201" s="63"/>
      <c r="G201" s="56"/>
      <c r="H201" s="56"/>
      <c r="I201" s="56"/>
      <c r="J201" s="51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2"/>
      <c r="B202" s="53"/>
      <c r="C202" s="53"/>
      <c r="D202" s="53"/>
      <c r="E202" s="53"/>
      <c r="F202" s="54"/>
      <c r="G202" s="53"/>
      <c r="H202" s="53"/>
      <c r="I202" s="53"/>
      <c r="J202" s="51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5"/>
      <c r="B203" s="56"/>
      <c r="C203" s="56"/>
      <c r="D203" s="56"/>
      <c r="E203" s="56"/>
      <c r="F203" s="63"/>
      <c r="G203" s="56"/>
      <c r="H203" s="56"/>
      <c r="I203" s="56"/>
      <c r="J203" s="51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2"/>
      <c r="B204" s="53"/>
      <c r="C204" s="53"/>
      <c r="D204" s="53"/>
      <c r="E204" s="53"/>
      <c r="F204" s="54"/>
      <c r="G204" s="53"/>
      <c r="H204" s="53"/>
      <c r="I204" s="53"/>
      <c r="J204" s="51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5"/>
      <c r="B205" s="56"/>
      <c r="C205" s="56"/>
      <c r="D205" s="56"/>
      <c r="E205" s="56"/>
      <c r="F205" s="63"/>
      <c r="G205" s="56"/>
      <c r="H205" s="56"/>
      <c r="I205" s="56"/>
      <c r="J205" s="51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2"/>
      <c r="B206" s="53"/>
      <c r="C206" s="53"/>
      <c r="D206" s="53"/>
      <c r="E206" s="53"/>
      <c r="F206" s="54"/>
      <c r="G206" s="53"/>
      <c r="H206" s="53"/>
      <c r="I206" s="53"/>
      <c r="J206" s="51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5"/>
      <c r="B207" s="56"/>
      <c r="C207" s="56"/>
      <c r="D207" s="56"/>
      <c r="E207" s="56"/>
      <c r="F207" s="63"/>
      <c r="G207" s="56"/>
      <c r="H207" s="56"/>
      <c r="I207" s="56"/>
      <c r="J207" s="51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2"/>
      <c r="B208" s="53"/>
      <c r="C208" s="53"/>
      <c r="D208" s="53"/>
      <c r="E208" s="53"/>
      <c r="F208" s="54"/>
      <c r="G208" s="53"/>
      <c r="H208" s="53"/>
      <c r="I208" s="53"/>
      <c r="J208" s="51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5"/>
      <c r="B209" s="56"/>
      <c r="C209" s="56"/>
      <c r="D209" s="56"/>
      <c r="E209" s="56"/>
      <c r="F209" s="63"/>
      <c r="G209" s="56"/>
      <c r="H209" s="56"/>
      <c r="I209" s="56"/>
      <c r="J209" s="51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2"/>
      <c r="B210" s="53"/>
      <c r="C210" s="53"/>
      <c r="D210" s="53"/>
      <c r="E210" s="53"/>
      <c r="F210" s="54"/>
      <c r="G210" s="53"/>
      <c r="H210" s="53"/>
      <c r="I210" s="53"/>
      <c r="J210" s="51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5"/>
      <c r="B211" s="56"/>
      <c r="C211" s="56"/>
      <c r="D211" s="56"/>
      <c r="E211" s="56"/>
      <c r="F211" s="63"/>
      <c r="G211" s="56"/>
      <c r="H211" s="56"/>
      <c r="I211" s="56"/>
      <c r="J211" s="51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2"/>
      <c r="B212" s="53"/>
      <c r="C212" s="53"/>
      <c r="D212" s="53"/>
      <c r="E212" s="53"/>
      <c r="F212" s="54"/>
      <c r="G212" s="53"/>
      <c r="H212" s="53"/>
      <c r="I212" s="53"/>
      <c r="J212" s="51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5"/>
      <c r="B213" s="56"/>
      <c r="C213" s="56"/>
      <c r="D213" s="56"/>
      <c r="E213" s="56"/>
      <c r="F213" s="63"/>
      <c r="G213" s="56"/>
      <c r="H213" s="56"/>
      <c r="I213" s="56"/>
      <c r="J213" s="51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2"/>
      <c r="B214" s="53"/>
      <c r="C214" s="53"/>
      <c r="D214" s="53"/>
      <c r="E214" s="53"/>
      <c r="F214" s="54"/>
      <c r="G214" s="53"/>
      <c r="H214" s="53"/>
      <c r="I214" s="53"/>
      <c r="J214" s="51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5"/>
      <c r="B215" s="56"/>
      <c r="C215" s="56"/>
      <c r="D215" s="56"/>
      <c r="E215" s="56"/>
      <c r="F215" s="63"/>
      <c r="G215" s="56"/>
      <c r="H215" s="56"/>
      <c r="I215" s="56"/>
      <c r="J215" s="51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2"/>
      <c r="B216" s="53"/>
      <c r="C216" s="53"/>
      <c r="D216" s="53"/>
      <c r="E216" s="53"/>
      <c r="F216" s="54"/>
      <c r="G216" s="53"/>
      <c r="H216" s="53"/>
      <c r="I216" s="53"/>
      <c r="J216" s="51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5"/>
      <c r="B217" s="56"/>
      <c r="C217" s="56"/>
      <c r="D217" s="56"/>
      <c r="E217" s="56"/>
      <c r="F217" s="63"/>
      <c r="G217" s="56"/>
      <c r="H217" s="56"/>
      <c r="I217" s="56"/>
      <c r="J217" s="51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2"/>
      <c r="B218" s="53"/>
      <c r="C218" s="53"/>
      <c r="D218" s="53"/>
      <c r="E218" s="53"/>
      <c r="F218" s="54"/>
      <c r="G218" s="53"/>
      <c r="H218" s="53"/>
      <c r="I218" s="53"/>
      <c r="J218" s="51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5"/>
      <c r="B219" s="56"/>
      <c r="C219" s="56"/>
      <c r="D219" s="56"/>
      <c r="E219" s="56"/>
      <c r="F219" s="63"/>
      <c r="G219" s="56"/>
      <c r="H219" s="56"/>
      <c r="I219" s="56"/>
      <c r="J219" s="51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2"/>
      <c r="B220" s="53"/>
      <c r="C220" s="53"/>
      <c r="D220" s="53"/>
      <c r="E220" s="53"/>
      <c r="F220" s="54"/>
      <c r="G220" s="53"/>
      <c r="H220" s="53"/>
      <c r="I220" s="53"/>
      <c r="J220" s="51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5"/>
      <c r="B221" s="56"/>
      <c r="C221" s="56"/>
      <c r="D221" s="56"/>
      <c r="E221" s="56"/>
      <c r="F221" s="63"/>
      <c r="G221" s="56"/>
      <c r="H221" s="56"/>
      <c r="I221" s="56"/>
      <c r="J221" s="51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2"/>
      <c r="B222" s="53"/>
      <c r="C222" s="53"/>
      <c r="D222" s="53"/>
      <c r="E222" s="53"/>
      <c r="F222" s="54"/>
      <c r="G222" s="53"/>
      <c r="H222" s="53"/>
      <c r="I222" s="53"/>
      <c r="J222" s="51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5"/>
      <c r="B223" s="56"/>
      <c r="C223" s="56"/>
      <c r="D223" s="56"/>
      <c r="E223" s="56"/>
      <c r="F223" s="63"/>
      <c r="G223" s="56"/>
      <c r="H223" s="56"/>
      <c r="I223" s="56"/>
      <c r="J223" s="51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2"/>
      <c r="B224" s="53"/>
      <c r="C224" s="53"/>
      <c r="D224" s="53"/>
      <c r="E224" s="53"/>
      <c r="F224" s="54"/>
      <c r="G224" s="53"/>
      <c r="H224" s="53"/>
      <c r="I224" s="53"/>
      <c r="J224" s="51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5"/>
      <c r="B225" s="56"/>
      <c r="C225" s="56"/>
      <c r="D225" s="56"/>
      <c r="E225" s="56"/>
      <c r="F225" s="63"/>
      <c r="G225" s="56"/>
      <c r="H225" s="56"/>
      <c r="I225" s="56"/>
      <c r="J225" s="51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2"/>
      <c r="B226" s="53"/>
      <c r="C226" s="53"/>
      <c r="D226" s="53"/>
      <c r="E226" s="53"/>
      <c r="F226" s="54"/>
      <c r="G226" s="53"/>
      <c r="H226" s="53"/>
      <c r="I226" s="53"/>
      <c r="J226" s="51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5"/>
      <c r="B227" s="56"/>
      <c r="C227" s="56"/>
      <c r="D227" s="56"/>
      <c r="E227" s="56"/>
      <c r="F227" s="63"/>
      <c r="G227" s="56"/>
      <c r="H227" s="56"/>
      <c r="I227" s="56"/>
      <c r="J227" s="51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2"/>
      <c r="B228" s="53"/>
      <c r="C228" s="53"/>
      <c r="D228" s="53"/>
      <c r="E228" s="53"/>
      <c r="F228" s="54"/>
      <c r="G228" s="53"/>
      <c r="H228" s="53"/>
      <c r="I228" s="53"/>
      <c r="J228" s="51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5"/>
      <c r="B229" s="56"/>
      <c r="C229" s="56"/>
      <c r="D229" s="56"/>
      <c r="E229" s="56"/>
      <c r="F229" s="63"/>
      <c r="G229" s="56"/>
      <c r="H229" s="56"/>
      <c r="I229" s="56"/>
      <c r="J229" s="51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2"/>
      <c r="B230" s="53"/>
      <c r="C230" s="53"/>
      <c r="D230" s="53"/>
      <c r="E230" s="53"/>
      <c r="F230" s="54"/>
      <c r="G230" s="53"/>
      <c r="H230" s="53"/>
      <c r="I230" s="53"/>
      <c r="J230" s="51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5"/>
      <c r="B231" s="56"/>
      <c r="C231" s="56"/>
      <c r="D231" s="56"/>
      <c r="E231" s="56"/>
      <c r="F231" s="63"/>
      <c r="G231" s="56"/>
      <c r="H231" s="56"/>
      <c r="I231" s="56"/>
      <c r="J231" s="51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2"/>
      <c r="B232" s="53"/>
      <c r="C232" s="53"/>
      <c r="D232" s="53"/>
      <c r="E232" s="53"/>
      <c r="F232" s="54"/>
      <c r="G232" s="53"/>
      <c r="H232" s="53"/>
      <c r="I232" s="53"/>
      <c r="J232" s="51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5"/>
      <c r="B233" s="56"/>
      <c r="C233" s="56"/>
      <c r="D233" s="56"/>
      <c r="E233" s="56"/>
      <c r="F233" s="63"/>
      <c r="G233" s="56"/>
      <c r="H233" s="56"/>
      <c r="I233" s="56"/>
      <c r="J233" s="51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2"/>
      <c r="B234" s="53"/>
      <c r="C234" s="53"/>
      <c r="D234" s="53"/>
      <c r="E234" s="53"/>
      <c r="F234" s="54"/>
      <c r="G234" s="53"/>
      <c r="H234" s="53"/>
      <c r="I234" s="53"/>
      <c r="J234" s="51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5"/>
      <c r="B235" s="56"/>
      <c r="C235" s="56"/>
      <c r="D235" s="56"/>
      <c r="E235" s="56"/>
      <c r="F235" s="63"/>
      <c r="G235" s="56"/>
      <c r="H235" s="56"/>
      <c r="I235" s="56"/>
      <c r="J235" s="51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2"/>
      <c r="B236" s="53"/>
      <c r="C236" s="53"/>
      <c r="D236" s="53"/>
      <c r="E236" s="53"/>
      <c r="F236" s="54"/>
      <c r="G236" s="53"/>
      <c r="H236" s="53"/>
      <c r="I236" s="53"/>
      <c r="J236" s="51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5"/>
      <c r="B237" s="56"/>
      <c r="C237" s="56"/>
      <c r="D237" s="56"/>
      <c r="E237" s="56"/>
      <c r="F237" s="63"/>
      <c r="G237" s="56"/>
      <c r="H237" s="56"/>
      <c r="I237" s="56"/>
      <c r="J237" s="51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2"/>
      <c r="B238" s="53"/>
      <c r="C238" s="53"/>
      <c r="D238" s="53"/>
      <c r="E238" s="53"/>
      <c r="F238" s="54"/>
      <c r="G238" s="53"/>
      <c r="H238" s="53"/>
      <c r="I238" s="53"/>
      <c r="J238" s="51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5"/>
      <c r="B239" s="56"/>
      <c r="C239" s="56"/>
      <c r="D239" s="56"/>
      <c r="E239" s="56"/>
      <c r="F239" s="63"/>
      <c r="G239" s="56"/>
      <c r="H239" s="56"/>
      <c r="I239" s="56"/>
      <c r="J239" s="51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2"/>
      <c r="B240" s="53"/>
      <c r="C240" s="53"/>
      <c r="D240" s="53"/>
      <c r="E240" s="53"/>
      <c r="F240" s="54"/>
      <c r="G240" s="53"/>
      <c r="H240" s="53"/>
      <c r="I240" s="53"/>
      <c r="J240" s="51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5"/>
      <c r="B241" s="56"/>
      <c r="C241" s="56"/>
      <c r="D241" s="56"/>
      <c r="E241" s="56"/>
      <c r="F241" s="63"/>
      <c r="G241" s="56"/>
      <c r="H241" s="56"/>
      <c r="I241" s="56"/>
      <c r="J241" s="51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2"/>
      <c r="B242" s="53"/>
      <c r="C242" s="53"/>
      <c r="D242" s="53"/>
      <c r="E242" s="53"/>
      <c r="F242" s="54"/>
      <c r="G242" s="53"/>
      <c r="H242" s="53"/>
      <c r="I242" s="53"/>
      <c r="J242" s="51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5"/>
      <c r="B243" s="56"/>
      <c r="C243" s="56"/>
      <c r="D243" s="56"/>
      <c r="E243" s="56"/>
      <c r="F243" s="63"/>
      <c r="G243" s="56"/>
      <c r="H243" s="56"/>
      <c r="I243" s="56"/>
      <c r="J243" s="51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2"/>
      <c r="B244" s="53"/>
      <c r="C244" s="53"/>
      <c r="D244" s="53"/>
      <c r="E244" s="53"/>
      <c r="F244" s="54"/>
      <c r="G244" s="53"/>
      <c r="H244" s="53"/>
      <c r="I244" s="53"/>
      <c r="J244" s="51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5"/>
      <c r="B245" s="56"/>
      <c r="C245" s="56"/>
      <c r="D245" s="56"/>
      <c r="E245" s="56"/>
      <c r="F245" s="63"/>
      <c r="G245" s="56"/>
      <c r="H245" s="56"/>
      <c r="I245" s="56"/>
      <c r="J245" s="51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2"/>
      <c r="B246" s="53"/>
      <c r="C246" s="53"/>
      <c r="D246" s="53"/>
      <c r="E246" s="53"/>
      <c r="F246" s="54"/>
      <c r="G246" s="53"/>
      <c r="H246" s="53"/>
      <c r="I246" s="53"/>
      <c r="J246" s="51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5"/>
      <c r="B247" s="56"/>
      <c r="C247" s="56"/>
      <c r="D247" s="56"/>
      <c r="E247" s="56"/>
      <c r="F247" s="63"/>
      <c r="G247" s="56"/>
      <c r="H247" s="56"/>
      <c r="I247" s="56"/>
      <c r="J247" s="51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2"/>
      <c r="B248" s="53"/>
      <c r="C248" s="53"/>
      <c r="D248" s="53"/>
      <c r="E248" s="53"/>
      <c r="F248" s="54"/>
      <c r="G248" s="53"/>
      <c r="H248" s="53"/>
      <c r="I248" s="53"/>
      <c r="J248" s="51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5"/>
      <c r="B249" s="56"/>
      <c r="C249" s="56"/>
      <c r="D249" s="56"/>
      <c r="E249" s="56"/>
      <c r="F249" s="63"/>
      <c r="G249" s="56"/>
      <c r="H249" s="56"/>
      <c r="I249" s="56"/>
      <c r="J249" s="51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2"/>
      <c r="B250" s="53"/>
      <c r="C250" s="53"/>
      <c r="D250" s="53"/>
      <c r="E250" s="53"/>
      <c r="F250" s="54"/>
      <c r="G250" s="53"/>
      <c r="H250" s="53"/>
      <c r="I250" s="53"/>
      <c r="J250" s="51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5"/>
      <c r="B251" s="56"/>
      <c r="C251" s="56"/>
      <c r="D251" s="56"/>
      <c r="E251" s="56"/>
      <c r="F251" s="63"/>
      <c r="G251" s="56"/>
      <c r="H251" s="56"/>
      <c r="I251" s="56"/>
      <c r="J251" s="51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2"/>
      <c r="B252" s="53"/>
      <c r="C252" s="53"/>
      <c r="D252" s="53"/>
      <c r="E252" s="53"/>
      <c r="F252" s="54"/>
      <c r="G252" s="53"/>
      <c r="H252" s="53"/>
      <c r="I252" s="53"/>
      <c r="J252" s="51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5"/>
      <c r="B253" s="56"/>
      <c r="C253" s="56"/>
      <c r="D253" s="56"/>
      <c r="E253" s="56"/>
      <c r="F253" s="63"/>
      <c r="G253" s="56"/>
      <c r="H253" s="56"/>
      <c r="I253" s="56"/>
      <c r="J253" s="51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2"/>
      <c r="B254" s="53"/>
      <c r="C254" s="53"/>
      <c r="D254" s="53"/>
      <c r="E254" s="53"/>
      <c r="F254" s="54"/>
      <c r="G254" s="53"/>
      <c r="H254" s="53"/>
      <c r="I254" s="53"/>
      <c r="J254" s="51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5"/>
      <c r="B255" s="56"/>
      <c r="C255" s="56"/>
      <c r="D255" s="56"/>
      <c r="E255" s="56"/>
      <c r="F255" s="63"/>
      <c r="G255" s="56"/>
      <c r="H255" s="56"/>
      <c r="I255" s="56"/>
      <c r="J255" s="51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2"/>
      <c r="B256" s="53"/>
      <c r="C256" s="53"/>
      <c r="D256" s="53"/>
      <c r="E256" s="53"/>
      <c r="F256" s="54"/>
      <c r="G256" s="53"/>
      <c r="H256" s="53"/>
      <c r="I256" s="53"/>
      <c r="J256" s="51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5"/>
      <c r="B257" s="56"/>
      <c r="C257" s="56"/>
      <c r="D257" s="56"/>
      <c r="E257" s="56"/>
      <c r="F257" s="63"/>
      <c r="G257" s="56"/>
      <c r="H257" s="56"/>
      <c r="I257" s="56"/>
      <c r="J257" s="51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2"/>
      <c r="B258" s="53"/>
      <c r="C258" s="53"/>
      <c r="D258" s="53"/>
      <c r="E258" s="53"/>
      <c r="F258" s="54"/>
      <c r="G258" s="53"/>
      <c r="H258" s="53"/>
      <c r="I258" s="53"/>
      <c r="J258" s="51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5"/>
      <c r="B259" s="56"/>
      <c r="C259" s="56"/>
      <c r="D259" s="56"/>
      <c r="E259" s="56"/>
      <c r="F259" s="63"/>
      <c r="G259" s="56"/>
      <c r="H259" s="56"/>
      <c r="I259" s="56"/>
      <c r="J259" s="51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2"/>
      <c r="B260" s="53"/>
      <c r="C260" s="53"/>
      <c r="D260" s="53"/>
      <c r="E260" s="53"/>
      <c r="F260" s="54"/>
      <c r="G260" s="53"/>
      <c r="H260" s="53"/>
      <c r="I260" s="53"/>
      <c r="J260" s="51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5"/>
      <c r="B261" s="56"/>
      <c r="C261" s="56"/>
      <c r="D261" s="56"/>
      <c r="E261" s="56"/>
      <c r="F261" s="63"/>
      <c r="G261" s="56"/>
      <c r="H261" s="56"/>
      <c r="I261" s="56"/>
      <c r="J261" s="51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2"/>
      <c r="B262" s="53"/>
      <c r="C262" s="53"/>
      <c r="D262" s="53"/>
      <c r="E262" s="53"/>
      <c r="F262" s="54"/>
      <c r="G262" s="53"/>
      <c r="H262" s="53"/>
      <c r="I262" s="53"/>
      <c r="J262" s="51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5"/>
      <c r="B263" s="56"/>
      <c r="C263" s="56"/>
      <c r="D263" s="56"/>
      <c r="E263" s="56"/>
      <c r="F263" s="63"/>
      <c r="G263" s="56"/>
      <c r="H263" s="56"/>
      <c r="I263" s="56"/>
      <c r="J263" s="51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2"/>
      <c r="B264" s="53"/>
      <c r="C264" s="53"/>
      <c r="D264" s="53"/>
      <c r="E264" s="53"/>
      <c r="F264" s="54"/>
      <c r="G264" s="53"/>
      <c r="H264" s="53"/>
      <c r="I264" s="53"/>
      <c r="J264" s="51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5"/>
      <c r="B265" s="56"/>
      <c r="C265" s="56"/>
      <c r="D265" s="56"/>
      <c r="E265" s="56"/>
      <c r="F265" s="63"/>
      <c r="G265" s="56"/>
      <c r="H265" s="56"/>
      <c r="I265" s="56"/>
      <c r="J265" s="51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2"/>
      <c r="B266" s="53"/>
      <c r="C266" s="53"/>
      <c r="D266" s="53"/>
      <c r="E266" s="53"/>
      <c r="F266" s="54"/>
      <c r="G266" s="53"/>
      <c r="H266" s="53"/>
      <c r="I266" s="53"/>
      <c r="J266" s="51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5"/>
      <c r="B267" s="56"/>
      <c r="C267" s="56"/>
      <c r="D267" s="56"/>
      <c r="E267" s="56"/>
      <c r="F267" s="63"/>
      <c r="G267" s="56"/>
      <c r="H267" s="56"/>
      <c r="I267" s="56"/>
      <c r="J267" s="51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2"/>
      <c r="B268" s="53"/>
      <c r="C268" s="53"/>
      <c r="D268" s="53"/>
      <c r="E268" s="53"/>
      <c r="F268" s="54"/>
      <c r="G268" s="53"/>
      <c r="H268" s="53"/>
      <c r="I268" s="53"/>
      <c r="J268" s="51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5"/>
      <c r="B269" s="56"/>
      <c r="C269" s="56"/>
      <c r="D269" s="56"/>
      <c r="E269" s="56"/>
      <c r="F269" s="63"/>
      <c r="G269" s="56"/>
      <c r="H269" s="56"/>
      <c r="I269" s="56"/>
      <c r="J269" s="51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2"/>
      <c r="B270" s="53"/>
      <c r="C270" s="53"/>
      <c r="D270" s="53"/>
      <c r="E270" s="53"/>
      <c r="F270" s="54"/>
      <c r="G270" s="53"/>
      <c r="H270" s="53"/>
      <c r="I270" s="53"/>
      <c r="J270" s="51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5"/>
      <c r="B271" s="56"/>
      <c r="C271" s="56"/>
      <c r="D271" s="56"/>
      <c r="E271" s="56"/>
      <c r="F271" s="63"/>
      <c r="G271" s="56"/>
      <c r="H271" s="56"/>
      <c r="I271" s="56"/>
      <c r="J271" s="51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2"/>
      <c r="B272" s="53"/>
      <c r="C272" s="53"/>
      <c r="D272" s="53"/>
      <c r="E272" s="53"/>
      <c r="F272" s="54"/>
      <c r="G272" s="53"/>
      <c r="H272" s="53"/>
      <c r="I272" s="53"/>
      <c r="J272" s="51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5"/>
      <c r="B273" s="56"/>
      <c r="C273" s="56"/>
      <c r="D273" s="56"/>
      <c r="E273" s="56"/>
      <c r="F273" s="63"/>
      <c r="G273" s="56"/>
      <c r="H273" s="56"/>
      <c r="I273" s="56"/>
      <c r="J273" s="51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2"/>
      <c r="B274" s="53"/>
      <c r="C274" s="53"/>
      <c r="D274" s="53"/>
      <c r="E274" s="53"/>
      <c r="F274" s="54"/>
      <c r="G274" s="53"/>
      <c r="H274" s="53"/>
      <c r="I274" s="53"/>
      <c r="J274" s="51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5"/>
      <c r="B275" s="56"/>
      <c r="C275" s="56"/>
      <c r="D275" s="56"/>
      <c r="E275" s="56"/>
      <c r="F275" s="63"/>
      <c r="G275" s="56"/>
      <c r="H275" s="56"/>
      <c r="I275" s="56"/>
      <c r="J275" s="51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2"/>
      <c r="B276" s="53"/>
      <c r="C276" s="53"/>
      <c r="D276" s="53"/>
      <c r="E276" s="53"/>
      <c r="F276" s="54"/>
      <c r="G276" s="53"/>
      <c r="H276" s="53"/>
      <c r="I276" s="53"/>
      <c r="J276" s="51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5"/>
      <c r="B277" s="56"/>
      <c r="C277" s="56"/>
      <c r="D277" s="56"/>
      <c r="E277" s="56"/>
      <c r="F277" s="63"/>
      <c r="G277" s="56"/>
      <c r="H277" s="56"/>
      <c r="I277" s="56"/>
      <c r="J277" s="51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2"/>
      <c r="B278" s="53"/>
      <c r="C278" s="53"/>
      <c r="D278" s="53"/>
      <c r="E278" s="53"/>
      <c r="F278" s="54"/>
      <c r="G278" s="53"/>
      <c r="H278" s="53"/>
      <c r="I278" s="53"/>
      <c r="J278" s="51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5"/>
      <c r="B279" s="56"/>
      <c r="C279" s="56"/>
      <c r="D279" s="56"/>
      <c r="E279" s="56"/>
      <c r="F279" s="63"/>
      <c r="G279" s="56"/>
      <c r="H279" s="56"/>
      <c r="I279" s="56"/>
      <c r="J279" s="51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2"/>
      <c r="B280" s="53"/>
      <c r="C280" s="53"/>
      <c r="D280" s="53"/>
      <c r="E280" s="53"/>
      <c r="F280" s="54"/>
      <c r="G280" s="53"/>
      <c r="H280" s="53"/>
      <c r="I280" s="53"/>
      <c r="J280" s="51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5"/>
      <c r="B281" s="56"/>
      <c r="C281" s="56"/>
      <c r="D281" s="56"/>
      <c r="E281" s="56"/>
      <c r="F281" s="63"/>
      <c r="G281" s="56"/>
      <c r="H281" s="56"/>
      <c r="I281" s="56"/>
      <c r="J281" s="51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2"/>
      <c r="B282" s="53"/>
      <c r="C282" s="53"/>
      <c r="D282" s="53"/>
      <c r="E282" s="53"/>
      <c r="F282" s="54"/>
      <c r="G282" s="53"/>
      <c r="H282" s="53"/>
      <c r="I282" s="53"/>
      <c r="J282" s="51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5"/>
      <c r="B283" s="56"/>
      <c r="C283" s="56"/>
      <c r="D283" s="56"/>
      <c r="E283" s="56"/>
      <c r="F283" s="63"/>
      <c r="G283" s="56"/>
      <c r="H283" s="56"/>
      <c r="I283" s="56"/>
      <c r="J283" s="51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2"/>
      <c r="B284" s="53"/>
      <c r="C284" s="53"/>
      <c r="D284" s="53"/>
      <c r="E284" s="53"/>
      <c r="F284" s="54"/>
      <c r="G284" s="53"/>
      <c r="H284" s="53"/>
      <c r="I284" s="53"/>
      <c r="J284" s="51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5"/>
      <c r="B285" s="56"/>
      <c r="C285" s="56"/>
      <c r="D285" s="56"/>
      <c r="E285" s="56"/>
      <c r="F285" s="63"/>
      <c r="G285" s="56"/>
      <c r="H285" s="56"/>
      <c r="I285" s="56"/>
      <c r="J285" s="51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2"/>
      <c r="B286" s="53"/>
      <c r="C286" s="53"/>
      <c r="D286" s="53"/>
      <c r="E286" s="53"/>
      <c r="F286" s="54"/>
      <c r="G286" s="53"/>
      <c r="H286" s="53"/>
      <c r="I286" s="53"/>
      <c r="J286" s="51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5"/>
      <c r="B287" s="56"/>
      <c r="C287" s="56"/>
      <c r="D287" s="56"/>
      <c r="E287" s="56"/>
      <c r="F287" s="63"/>
      <c r="G287" s="56"/>
      <c r="H287" s="56"/>
      <c r="I287" s="56"/>
      <c r="J287" s="51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2"/>
      <c r="B288" s="53"/>
      <c r="C288" s="53"/>
      <c r="D288" s="53"/>
      <c r="E288" s="53"/>
      <c r="F288" s="54"/>
      <c r="G288" s="53"/>
      <c r="H288" s="53"/>
      <c r="I288" s="53"/>
      <c r="J288" s="51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5"/>
      <c r="B289" s="56"/>
      <c r="C289" s="56"/>
      <c r="D289" s="56"/>
      <c r="E289" s="56"/>
      <c r="F289" s="63"/>
      <c r="G289" s="56"/>
      <c r="H289" s="56"/>
      <c r="I289" s="56"/>
      <c r="J289" s="51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2"/>
      <c r="B290" s="53"/>
      <c r="C290" s="53"/>
      <c r="D290" s="53"/>
      <c r="E290" s="53"/>
      <c r="F290" s="54"/>
      <c r="G290" s="53"/>
      <c r="H290" s="53"/>
      <c r="I290" s="53"/>
      <c r="J290" s="51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5"/>
      <c r="B291" s="56"/>
      <c r="C291" s="56"/>
      <c r="D291" s="56"/>
      <c r="E291" s="56"/>
      <c r="F291" s="63"/>
      <c r="G291" s="56"/>
      <c r="H291" s="56"/>
      <c r="I291" s="56"/>
      <c r="J291" s="51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2"/>
      <c r="B292" s="53"/>
      <c r="C292" s="53"/>
      <c r="D292" s="53"/>
      <c r="E292" s="53"/>
      <c r="F292" s="54"/>
      <c r="G292" s="53"/>
      <c r="H292" s="53"/>
      <c r="I292" s="53"/>
      <c r="J292" s="51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5"/>
      <c r="B293" s="56"/>
      <c r="C293" s="56"/>
      <c r="D293" s="56"/>
      <c r="E293" s="56"/>
      <c r="F293" s="63"/>
      <c r="G293" s="56"/>
      <c r="H293" s="56"/>
      <c r="I293" s="56"/>
      <c r="J293" s="51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2"/>
      <c r="B294" s="53"/>
      <c r="C294" s="53"/>
      <c r="D294" s="53"/>
      <c r="E294" s="53"/>
      <c r="F294" s="54"/>
      <c r="G294" s="53"/>
      <c r="H294" s="53"/>
      <c r="I294" s="53"/>
      <c r="J294" s="51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5"/>
      <c r="B295" s="56"/>
      <c r="C295" s="56"/>
      <c r="D295" s="56"/>
      <c r="E295" s="56"/>
      <c r="F295" s="63"/>
      <c r="G295" s="56"/>
      <c r="H295" s="56"/>
      <c r="I295" s="56"/>
      <c r="J295" s="51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2"/>
      <c r="B296" s="53"/>
      <c r="C296" s="53"/>
      <c r="D296" s="53"/>
      <c r="E296" s="53"/>
      <c r="F296" s="54"/>
      <c r="G296" s="53"/>
      <c r="H296" s="53"/>
      <c r="I296" s="53"/>
      <c r="J296" s="51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5"/>
      <c r="B297" s="56"/>
      <c r="C297" s="56"/>
      <c r="D297" s="56"/>
      <c r="E297" s="56"/>
      <c r="F297" s="63"/>
      <c r="G297" s="56"/>
      <c r="H297" s="56"/>
      <c r="I297" s="56"/>
      <c r="J297" s="51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2"/>
      <c r="B298" s="53"/>
      <c r="C298" s="53"/>
      <c r="D298" s="53"/>
      <c r="E298" s="53"/>
      <c r="F298" s="54"/>
      <c r="G298" s="53"/>
      <c r="H298" s="53"/>
      <c r="I298" s="53"/>
      <c r="J298" s="51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5"/>
      <c r="B299" s="56"/>
      <c r="C299" s="56"/>
      <c r="D299" s="56"/>
      <c r="E299" s="56"/>
      <c r="F299" s="63"/>
      <c r="G299" s="56"/>
      <c r="H299" s="56"/>
      <c r="I299" s="56"/>
      <c r="J299" s="51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2"/>
      <c r="B300" s="53"/>
      <c r="C300" s="53"/>
      <c r="D300" s="53"/>
      <c r="E300" s="53"/>
      <c r="F300" s="54"/>
      <c r="G300" s="53"/>
      <c r="H300" s="53"/>
      <c r="I300" s="53"/>
      <c r="J300" s="51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5"/>
      <c r="B301" s="56"/>
      <c r="C301" s="56"/>
      <c r="D301" s="56"/>
      <c r="E301" s="56"/>
      <c r="F301" s="63"/>
      <c r="G301" s="56"/>
      <c r="H301" s="56"/>
      <c r="I301" s="56"/>
      <c r="J301" s="51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2"/>
      <c r="B302" s="53"/>
      <c r="C302" s="53"/>
      <c r="D302" s="53"/>
      <c r="E302" s="53"/>
      <c r="F302" s="54"/>
      <c r="G302" s="53"/>
      <c r="H302" s="53"/>
      <c r="I302" s="53"/>
      <c r="J302" s="51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5"/>
      <c r="B303" s="56"/>
      <c r="C303" s="56"/>
      <c r="D303" s="56"/>
      <c r="E303" s="56"/>
      <c r="F303" s="63"/>
      <c r="G303" s="56"/>
      <c r="H303" s="56"/>
      <c r="I303" s="56"/>
      <c r="J303" s="51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2"/>
      <c r="B304" s="53"/>
      <c r="C304" s="53"/>
      <c r="D304" s="53"/>
      <c r="E304" s="53"/>
      <c r="F304" s="54"/>
      <c r="G304" s="53"/>
      <c r="H304" s="53"/>
      <c r="I304" s="53"/>
      <c r="J304" s="51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5"/>
      <c r="B305" s="56"/>
      <c r="C305" s="56"/>
      <c r="D305" s="56"/>
      <c r="E305" s="56"/>
      <c r="F305" s="63"/>
      <c r="G305" s="56"/>
      <c r="H305" s="56"/>
      <c r="I305" s="56"/>
      <c r="J305" s="51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2"/>
      <c r="B306" s="53"/>
      <c r="C306" s="53"/>
      <c r="D306" s="53"/>
      <c r="E306" s="53"/>
      <c r="F306" s="54"/>
      <c r="G306" s="53"/>
      <c r="H306" s="53"/>
      <c r="I306" s="53"/>
      <c r="J306" s="51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5"/>
      <c r="B307" s="56"/>
      <c r="C307" s="56"/>
      <c r="D307" s="56"/>
      <c r="E307" s="56"/>
      <c r="F307" s="63"/>
      <c r="G307" s="56"/>
      <c r="H307" s="56"/>
      <c r="I307" s="56"/>
      <c r="J307" s="51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2"/>
      <c r="B308" s="53"/>
      <c r="C308" s="53"/>
      <c r="D308" s="53"/>
      <c r="E308" s="53"/>
      <c r="F308" s="54"/>
      <c r="G308" s="53"/>
      <c r="H308" s="53"/>
      <c r="I308" s="53"/>
      <c r="J308" s="51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5"/>
      <c r="B309" s="56"/>
      <c r="C309" s="56"/>
      <c r="D309" s="56"/>
      <c r="E309" s="56"/>
      <c r="F309" s="63"/>
      <c r="G309" s="56"/>
      <c r="H309" s="56"/>
      <c r="I309" s="56"/>
      <c r="J309" s="51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2"/>
      <c r="B310" s="53"/>
      <c r="C310" s="53"/>
      <c r="D310" s="53"/>
      <c r="E310" s="53"/>
      <c r="F310" s="54"/>
      <c r="G310" s="53"/>
      <c r="H310" s="53"/>
      <c r="I310" s="53"/>
      <c r="J310" s="51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5"/>
      <c r="B311" s="56"/>
      <c r="C311" s="56"/>
      <c r="D311" s="56"/>
      <c r="E311" s="56"/>
      <c r="F311" s="63"/>
      <c r="G311" s="56"/>
      <c r="H311" s="56"/>
      <c r="I311" s="56"/>
      <c r="J311" s="51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2"/>
      <c r="B312" s="53"/>
      <c r="C312" s="53"/>
      <c r="D312" s="53"/>
      <c r="E312" s="53"/>
      <c r="F312" s="54"/>
      <c r="G312" s="53"/>
      <c r="H312" s="53"/>
      <c r="I312" s="53"/>
      <c r="J312" s="51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5"/>
      <c r="B313" s="56"/>
      <c r="C313" s="56"/>
      <c r="D313" s="56"/>
      <c r="E313" s="56"/>
      <c r="F313" s="63"/>
      <c r="G313" s="56"/>
      <c r="H313" s="56"/>
      <c r="I313" s="56"/>
      <c r="J313" s="51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2"/>
      <c r="B314" s="53"/>
      <c r="C314" s="53"/>
      <c r="D314" s="53"/>
      <c r="E314" s="53"/>
      <c r="F314" s="54"/>
      <c r="G314" s="53"/>
      <c r="H314" s="53"/>
      <c r="I314" s="53"/>
      <c r="J314" s="51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5"/>
      <c r="B315" s="56"/>
      <c r="C315" s="56"/>
      <c r="D315" s="56"/>
      <c r="E315" s="56"/>
      <c r="F315" s="63"/>
      <c r="G315" s="56"/>
      <c r="H315" s="56"/>
      <c r="I315" s="56"/>
      <c r="J315" s="51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2"/>
      <c r="B316" s="53"/>
      <c r="C316" s="53"/>
      <c r="D316" s="53"/>
      <c r="E316" s="53"/>
      <c r="F316" s="54"/>
      <c r="G316" s="53"/>
      <c r="H316" s="53"/>
      <c r="I316" s="53"/>
      <c r="J316" s="51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5"/>
      <c r="B317" s="56"/>
      <c r="C317" s="56"/>
      <c r="D317" s="56"/>
      <c r="E317" s="56"/>
      <c r="F317" s="63"/>
      <c r="G317" s="56"/>
      <c r="H317" s="56"/>
      <c r="I317" s="56"/>
      <c r="J317" s="51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2"/>
      <c r="B318" s="53"/>
      <c r="C318" s="53"/>
      <c r="D318" s="53"/>
      <c r="E318" s="53"/>
      <c r="F318" s="54"/>
      <c r="G318" s="53"/>
      <c r="H318" s="53"/>
      <c r="I318" s="53"/>
      <c r="J318" s="51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5"/>
      <c r="B319" s="56"/>
      <c r="C319" s="56"/>
      <c r="D319" s="56"/>
      <c r="E319" s="56"/>
      <c r="F319" s="63"/>
      <c r="G319" s="56"/>
      <c r="H319" s="56"/>
      <c r="I319" s="56"/>
      <c r="J319" s="51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2"/>
      <c r="B320" s="53"/>
      <c r="C320" s="53"/>
      <c r="D320" s="53"/>
      <c r="E320" s="53"/>
      <c r="F320" s="54"/>
      <c r="G320" s="53"/>
      <c r="H320" s="53"/>
      <c r="I320" s="53"/>
      <c r="J320" s="51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5"/>
      <c r="B321" s="56"/>
      <c r="C321" s="56"/>
      <c r="D321" s="56"/>
      <c r="E321" s="56"/>
      <c r="F321" s="63"/>
      <c r="G321" s="56"/>
      <c r="H321" s="56"/>
      <c r="I321" s="56"/>
      <c r="J321" s="51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2"/>
      <c r="B322" s="53"/>
      <c r="C322" s="53"/>
      <c r="D322" s="53"/>
      <c r="E322" s="53"/>
      <c r="F322" s="54"/>
      <c r="G322" s="53"/>
      <c r="H322" s="53"/>
      <c r="I322" s="53"/>
      <c r="J322" s="51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5"/>
      <c r="B323" s="56"/>
      <c r="C323" s="56"/>
      <c r="D323" s="56"/>
      <c r="E323" s="56"/>
      <c r="F323" s="63"/>
      <c r="G323" s="56"/>
      <c r="H323" s="56"/>
      <c r="I323" s="56"/>
      <c r="J323" s="51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2"/>
      <c r="B324" s="53"/>
      <c r="C324" s="53"/>
      <c r="D324" s="53"/>
      <c r="E324" s="53"/>
      <c r="F324" s="54"/>
      <c r="G324" s="53"/>
      <c r="H324" s="53"/>
      <c r="I324" s="53"/>
      <c r="J324" s="51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5"/>
      <c r="B325" s="56"/>
      <c r="C325" s="56"/>
      <c r="D325" s="56"/>
      <c r="E325" s="56"/>
      <c r="F325" s="63"/>
      <c r="G325" s="56"/>
      <c r="H325" s="56"/>
      <c r="I325" s="56"/>
      <c r="J325" s="51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2"/>
      <c r="B326" s="53"/>
      <c r="C326" s="53"/>
      <c r="D326" s="53"/>
      <c r="E326" s="53"/>
      <c r="F326" s="54"/>
      <c r="G326" s="53"/>
      <c r="H326" s="53"/>
      <c r="I326" s="53"/>
      <c r="J326" s="51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5"/>
      <c r="B327" s="56"/>
      <c r="C327" s="56"/>
      <c r="D327" s="56"/>
      <c r="E327" s="56"/>
      <c r="F327" s="63"/>
      <c r="G327" s="56"/>
      <c r="H327" s="56"/>
      <c r="I327" s="56"/>
      <c r="J327" s="51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2"/>
      <c r="B328" s="53"/>
      <c r="C328" s="53"/>
      <c r="D328" s="53"/>
      <c r="E328" s="53"/>
      <c r="F328" s="54"/>
      <c r="G328" s="53"/>
      <c r="H328" s="53"/>
      <c r="I328" s="53"/>
      <c r="J328" s="51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5"/>
      <c r="B329" s="56"/>
      <c r="C329" s="56"/>
      <c r="D329" s="56"/>
      <c r="E329" s="56"/>
      <c r="F329" s="63"/>
      <c r="G329" s="56"/>
      <c r="H329" s="56"/>
      <c r="I329" s="56"/>
      <c r="J329" s="51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2"/>
      <c r="B330" s="53"/>
      <c r="C330" s="53"/>
      <c r="D330" s="53"/>
      <c r="E330" s="53"/>
      <c r="F330" s="54"/>
      <c r="G330" s="53"/>
      <c r="H330" s="53"/>
      <c r="I330" s="53"/>
      <c r="J330" s="51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5"/>
      <c r="B331" s="56"/>
      <c r="C331" s="56"/>
      <c r="D331" s="56"/>
      <c r="E331" s="56"/>
      <c r="F331" s="63"/>
      <c r="G331" s="56"/>
      <c r="H331" s="56"/>
      <c r="I331" s="56"/>
      <c r="J331" s="51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2"/>
      <c r="B332" s="53"/>
      <c r="C332" s="53"/>
      <c r="D332" s="53"/>
      <c r="E332" s="53"/>
      <c r="F332" s="54"/>
      <c r="G332" s="53"/>
      <c r="H332" s="53"/>
      <c r="I332" s="53"/>
      <c r="J332" s="51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5"/>
      <c r="B333" s="56"/>
      <c r="C333" s="56"/>
      <c r="D333" s="56"/>
      <c r="E333" s="56"/>
      <c r="F333" s="63"/>
      <c r="G333" s="56"/>
      <c r="H333" s="56"/>
      <c r="I333" s="56"/>
      <c r="J333" s="51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2"/>
      <c r="B334" s="53"/>
      <c r="C334" s="53"/>
      <c r="D334" s="53"/>
      <c r="E334" s="53"/>
      <c r="F334" s="54"/>
      <c r="G334" s="53"/>
      <c r="H334" s="53"/>
      <c r="I334" s="53"/>
      <c r="J334" s="51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5"/>
      <c r="B335" s="56"/>
      <c r="C335" s="56"/>
      <c r="D335" s="56"/>
      <c r="E335" s="56"/>
      <c r="F335" s="63"/>
      <c r="G335" s="56"/>
      <c r="H335" s="56"/>
      <c r="I335" s="56"/>
      <c r="J335" s="51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2"/>
      <c r="B336" s="53"/>
      <c r="C336" s="53"/>
      <c r="D336" s="53"/>
      <c r="E336" s="53"/>
      <c r="F336" s="54"/>
      <c r="G336" s="53"/>
      <c r="H336" s="53"/>
      <c r="I336" s="53"/>
      <c r="J336" s="51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5"/>
      <c r="B337" s="56"/>
      <c r="C337" s="56"/>
      <c r="D337" s="56"/>
      <c r="E337" s="56"/>
      <c r="F337" s="63"/>
      <c r="G337" s="56"/>
      <c r="H337" s="56"/>
      <c r="I337" s="56"/>
      <c r="J337" s="51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2"/>
      <c r="B338" s="53"/>
      <c r="C338" s="53"/>
      <c r="D338" s="53"/>
      <c r="E338" s="53"/>
      <c r="F338" s="54"/>
      <c r="G338" s="53"/>
      <c r="H338" s="53"/>
      <c r="I338" s="53"/>
      <c r="J338" s="51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5"/>
      <c r="B339" s="56"/>
      <c r="C339" s="56"/>
      <c r="D339" s="56"/>
      <c r="E339" s="56"/>
      <c r="F339" s="63"/>
      <c r="G339" s="56"/>
      <c r="H339" s="56"/>
      <c r="I339" s="56"/>
      <c r="J339" s="51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2"/>
      <c r="B340" s="53"/>
      <c r="C340" s="53"/>
      <c r="D340" s="53"/>
      <c r="E340" s="53"/>
      <c r="F340" s="54"/>
      <c r="G340" s="53"/>
      <c r="H340" s="53"/>
      <c r="I340" s="53"/>
      <c r="J340" s="51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5"/>
      <c r="B341" s="56"/>
      <c r="C341" s="56"/>
      <c r="D341" s="56"/>
      <c r="E341" s="56"/>
      <c r="F341" s="63"/>
      <c r="G341" s="56"/>
      <c r="H341" s="56"/>
      <c r="I341" s="56"/>
      <c r="J341" s="51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2"/>
      <c r="B342" s="53"/>
      <c r="C342" s="53"/>
      <c r="D342" s="53"/>
      <c r="E342" s="53"/>
      <c r="F342" s="54"/>
      <c r="G342" s="53"/>
      <c r="H342" s="53"/>
      <c r="I342" s="53"/>
      <c r="J342" s="51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5"/>
      <c r="B343" s="56"/>
      <c r="C343" s="56"/>
      <c r="D343" s="56"/>
      <c r="E343" s="56"/>
      <c r="F343" s="63"/>
      <c r="G343" s="56"/>
      <c r="H343" s="56"/>
      <c r="I343" s="56"/>
      <c r="J343" s="51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2"/>
      <c r="B344" s="53"/>
      <c r="C344" s="53"/>
      <c r="D344" s="53"/>
      <c r="E344" s="53"/>
      <c r="F344" s="54"/>
      <c r="G344" s="53"/>
      <c r="H344" s="53"/>
      <c r="I344" s="53"/>
      <c r="J344" s="51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5"/>
      <c r="B345" s="56"/>
      <c r="C345" s="56"/>
      <c r="D345" s="56"/>
      <c r="E345" s="56"/>
      <c r="F345" s="63"/>
      <c r="G345" s="56"/>
      <c r="H345" s="56"/>
      <c r="I345" s="56"/>
      <c r="J345" s="51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2"/>
      <c r="B346" s="53"/>
      <c r="C346" s="53"/>
      <c r="D346" s="53"/>
      <c r="E346" s="53"/>
      <c r="F346" s="54"/>
      <c r="G346" s="53"/>
      <c r="H346" s="53"/>
      <c r="I346" s="53"/>
      <c r="J346" s="51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5"/>
      <c r="B347" s="56"/>
      <c r="C347" s="56"/>
      <c r="D347" s="56"/>
      <c r="E347" s="56"/>
      <c r="F347" s="63"/>
      <c r="G347" s="56"/>
      <c r="H347" s="56"/>
      <c r="I347" s="56"/>
      <c r="J347" s="51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2"/>
      <c r="B348" s="53"/>
      <c r="C348" s="53"/>
      <c r="D348" s="53"/>
      <c r="E348" s="53"/>
      <c r="F348" s="54"/>
      <c r="G348" s="53"/>
      <c r="H348" s="53"/>
      <c r="I348" s="53"/>
      <c r="J348" s="51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5"/>
      <c r="B349" s="56"/>
      <c r="C349" s="56"/>
      <c r="D349" s="56"/>
      <c r="E349" s="56"/>
      <c r="F349" s="63"/>
      <c r="G349" s="56"/>
      <c r="H349" s="56"/>
      <c r="I349" s="56"/>
      <c r="J349" s="51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2"/>
      <c r="B350" s="53"/>
      <c r="C350" s="53"/>
      <c r="D350" s="53"/>
      <c r="E350" s="53"/>
      <c r="F350" s="54"/>
      <c r="G350" s="53"/>
      <c r="H350" s="53"/>
      <c r="I350" s="53"/>
      <c r="J350" s="51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5"/>
      <c r="B351" s="56"/>
      <c r="C351" s="56"/>
      <c r="D351" s="56"/>
      <c r="E351" s="56"/>
      <c r="F351" s="63"/>
      <c r="G351" s="56"/>
      <c r="H351" s="56"/>
      <c r="I351" s="56"/>
      <c r="J351" s="51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2"/>
      <c r="B352" s="53"/>
      <c r="C352" s="53"/>
      <c r="D352" s="53"/>
      <c r="E352" s="53"/>
      <c r="F352" s="54"/>
      <c r="G352" s="53"/>
      <c r="H352" s="53"/>
      <c r="I352" s="53"/>
      <c r="J352" s="51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5"/>
      <c r="B353" s="56"/>
      <c r="C353" s="56"/>
      <c r="D353" s="56"/>
      <c r="E353" s="56"/>
      <c r="F353" s="63"/>
      <c r="G353" s="56"/>
      <c r="H353" s="56"/>
      <c r="I353" s="56"/>
      <c r="J353" s="51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2"/>
      <c r="B354" s="53"/>
      <c r="C354" s="53"/>
      <c r="D354" s="53"/>
      <c r="E354" s="53"/>
      <c r="F354" s="54"/>
      <c r="G354" s="53"/>
      <c r="H354" s="53"/>
      <c r="I354" s="53"/>
      <c r="J354" s="51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5"/>
      <c r="B355" s="56"/>
      <c r="C355" s="56"/>
      <c r="D355" s="56"/>
      <c r="E355" s="56"/>
      <c r="F355" s="63"/>
      <c r="G355" s="56"/>
      <c r="H355" s="56"/>
      <c r="I355" s="56"/>
      <c r="J355" s="51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2"/>
      <c r="B356" s="53"/>
      <c r="C356" s="53"/>
      <c r="D356" s="53"/>
      <c r="E356" s="53"/>
      <c r="F356" s="54"/>
      <c r="G356" s="53"/>
      <c r="H356" s="53"/>
      <c r="I356" s="53"/>
      <c r="J356" s="51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5"/>
      <c r="B357" s="56"/>
      <c r="C357" s="56"/>
      <c r="D357" s="56"/>
      <c r="E357" s="56"/>
      <c r="F357" s="63"/>
      <c r="G357" s="56"/>
      <c r="H357" s="56"/>
      <c r="I357" s="56"/>
      <c r="J357" s="51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2"/>
      <c r="B358" s="53"/>
      <c r="C358" s="53"/>
      <c r="D358" s="53"/>
      <c r="E358" s="53"/>
      <c r="F358" s="54"/>
      <c r="G358" s="53"/>
      <c r="H358" s="53"/>
      <c r="I358" s="53"/>
      <c r="J358" s="51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5"/>
      <c r="B359" s="56"/>
      <c r="C359" s="56"/>
      <c r="D359" s="56"/>
      <c r="E359" s="56"/>
      <c r="F359" s="63"/>
      <c r="G359" s="56"/>
      <c r="H359" s="56"/>
      <c r="I359" s="56"/>
      <c r="J359" s="51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2"/>
      <c r="B360" s="53"/>
      <c r="C360" s="53"/>
      <c r="D360" s="53"/>
      <c r="E360" s="53"/>
      <c r="F360" s="54"/>
      <c r="G360" s="53"/>
      <c r="H360" s="53"/>
      <c r="I360" s="53"/>
      <c r="J360" s="51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5"/>
      <c r="B361" s="56"/>
      <c r="C361" s="56"/>
      <c r="D361" s="56"/>
      <c r="E361" s="56"/>
      <c r="F361" s="63"/>
      <c r="G361" s="56"/>
      <c r="H361" s="56"/>
      <c r="I361" s="56"/>
      <c r="J361" s="51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2"/>
      <c r="B362" s="53"/>
      <c r="C362" s="53"/>
      <c r="D362" s="53"/>
      <c r="E362" s="53"/>
      <c r="F362" s="54"/>
      <c r="G362" s="53"/>
      <c r="H362" s="53"/>
      <c r="I362" s="53"/>
      <c r="J362" s="51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5"/>
      <c r="B363" s="56"/>
      <c r="C363" s="56"/>
      <c r="D363" s="56"/>
      <c r="E363" s="56"/>
      <c r="F363" s="63"/>
      <c r="G363" s="56"/>
      <c r="H363" s="56"/>
      <c r="I363" s="56"/>
      <c r="J363" s="51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2"/>
      <c r="B364" s="53"/>
      <c r="C364" s="53"/>
      <c r="D364" s="53"/>
      <c r="E364" s="53"/>
      <c r="F364" s="54"/>
      <c r="G364" s="53"/>
      <c r="H364" s="53"/>
      <c r="I364" s="53"/>
      <c r="J364" s="51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5"/>
      <c r="B365" s="56"/>
      <c r="C365" s="56"/>
      <c r="D365" s="56"/>
      <c r="E365" s="56"/>
      <c r="F365" s="63"/>
      <c r="G365" s="56"/>
      <c r="H365" s="56"/>
      <c r="I365" s="56"/>
      <c r="J365" s="51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2"/>
      <c r="B366" s="53"/>
      <c r="C366" s="53"/>
      <c r="D366" s="53"/>
      <c r="E366" s="53"/>
      <c r="F366" s="54"/>
      <c r="G366" s="53"/>
      <c r="H366" s="53"/>
      <c r="I366" s="53"/>
      <c r="J366" s="51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5"/>
      <c r="B367" s="56"/>
      <c r="C367" s="56"/>
      <c r="D367" s="56"/>
      <c r="E367" s="56"/>
      <c r="F367" s="63"/>
      <c r="G367" s="56"/>
      <c r="H367" s="56"/>
      <c r="I367" s="56"/>
      <c r="J367" s="51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2"/>
      <c r="B368" s="53"/>
      <c r="C368" s="53"/>
      <c r="D368" s="53"/>
      <c r="E368" s="53"/>
      <c r="F368" s="54"/>
      <c r="G368" s="53"/>
      <c r="H368" s="53"/>
      <c r="I368" s="53"/>
      <c r="J368" s="51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5"/>
      <c r="B369" s="56"/>
      <c r="C369" s="56"/>
      <c r="D369" s="56"/>
      <c r="E369" s="56"/>
      <c r="F369" s="63"/>
      <c r="G369" s="56"/>
      <c r="H369" s="56"/>
      <c r="I369" s="56"/>
      <c r="J369" s="51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2"/>
      <c r="B370" s="53"/>
      <c r="C370" s="53"/>
      <c r="D370" s="53"/>
      <c r="E370" s="53"/>
      <c r="F370" s="54"/>
      <c r="G370" s="53"/>
      <c r="H370" s="53"/>
      <c r="I370" s="53"/>
      <c r="J370" s="51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5"/>
      <c r="B371" s="56"/>
      <c r="C371" s="56"/>
      <c r="D371" s="56"/>
      <c r="E371" s="56"/>
      <c r="F371" s="63"/>
      <c r="G371" s="56"/>
      <c r="H371" s="56"/>
      <c r="I371" s="56"/>
      <c r="J371" s="51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2"/>
      <c r="B372" s="53"/>
      <c r="C372" s="53"/>
      <c r="D372" s="53"/>
      <c r="E372" s="53"/>
      <c r="F372" s="54"/>
      <c r="G372" s="53"/>
      <c r="H372" s="53"/>
      <c r="I372" s="53"/>
      <c r="J372" s="51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5"/>
      <c r="B373" s="56"/>
      <c r="C373" s="56"/>
      <c r="D373" s="56"/>
      <c r="E373" s="56"/>
      <c r="F373" s="63"/>
      <c r="G373" s="56"/>
      <c r="H373" s="56"/>
      <c r="I373" s="56"/>
      <c r="J373" s="51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2"/>
      <c r="B374" s="53"/>
      <c r="C374" s="53"/>
      <c r="D374" s="53"/>
      <c r="E374" s="53"/>
      <c r="F374" s="54"/>
      <c r="G374" s="53"/>
      <c r="H374" s="53"/>
      <c r="I374" s="53"/>
      <c r="J374" s="51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5"/>
      <c r="B375" s="56"/>
      <c r="C375" s="56"/>
      <c r="D375" s="56"/>
      <c r="E375" s="56"/>
      <c r="F375" s="63"/>
      <c r="G375" s="56"/>
      <c r="H375" s="56"/>
      <c r="I375" s="56"/>
      <c r="J375" s="51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2"/>
      <c r="B376" s="53"/>
      <c r="C376" s="53"/>
      <c r="D376" s="53"/>
      <c r="E376" s="53"/>
      <c r="F376" s="54"/>
      <c r="G376" s="53"/>
      <c r="H376" s="53"/>
      <c r="I376" s="53"/>
      <c r="J376" s="51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5"/>
      <c r="B377" s="56"/>
      <c r="C377" s="56"/>
      <c r="D377" s="56"/>
      <c r="E377" s="56"/>
      <c r="F377" s="63"/>
      <c r="G377" s="56"/>
      <c r="H377" s="56"/>
      <c r="I377" s="56"/>
      <c r="J377" s="51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2"/>
      <c r="B378" s="53"/>
      <c r="C378" s="53"/>
      <c r="D378" s="53"/>
      <c r="E378" s="53"/>
      <c r="F378" s="54"/>
      <c r="G378" s="53"/>
      <c r="H378" s="53"/>
      <c r="I378" s="53"/>
      <c r="J378" s="51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5"/>
      <c r="B379" s="56"/>
      <c r="C379" s="56"/>
      <c r="D379" s="56"/>
      <c r="E379" s="56"/>
      <c r="F379" s="63"/>
      <c r="G379" s="56"/>
      <c r="H379" s="56"/>
      <c r="I379" s="56"/>
      <c r="J379" s="51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2"/>
      <c r="B380" s="53"/>
      <c r="C380" s="53"/>
      <c r="D380" s="53"/>
      <c r="E380" s="53"/>
      <c r="F380" s="54"/>
      <c r="G380" s="53"/>
      <c r="H380" s="53"/>
      <c r="I380" s="53"/>
      <c r="J380" s="51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5"/>
      <c r="B381" s="56"/>
      <c r="C381" s="56"/>
      <c r="D381" s="56"/>
      <c r="E381" s="56"/>
      <c r="F381" s="63"/>
      <c r="G381" s="56"/>
      <c r="H381" s="56"/>
      <c r="I381" s="56"/>
      <c r="J381" s="51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2"/>
      <c r="B382" s="53"/>
      <c r="C382" s="53"/>
      <c r="D382" s="53"/>
      <c r="E382" s="53"/>
      <c r="F382" s="54"/>
      <c r="G382" s="53"/>
      <c r="H382" s="53"/>
      <c r="I382" s="53"/>
      <c r="J382" s="51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5"/>
      <c r="B383" s="56"/>
      <c r="C383" s="56"/>
      <c r="D383" s="56"/>
      <c r="E383" s="56"/>
      <c r="F383" s="63"/>
      <c r="G383" s="56"/>
      <c r="H383" s="56"/>
      <c r="I383" s="56"/>
      <c r="J383" s="51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2"/>
      <c r="B384" s="53"/>
      <c r="C384" s="53"/>
      <c r="D384" s="53"/>
      <c r="E384" s="53"/>
      <c r="F384" s="54"/>
      <c r="G384" s="53"/>
      <c r="H384" s="53"/>
      <c r="I384" s="53"/>
      <c r="J384" s="51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5"/>
      <c r="B385" s="56"/>
      <c r="C385" s="56"/>
      <c r="D385" s="56"/>
      <c r="E385" s="56"/>
      <c r="F385" s="63"/>
      <c r="G385" s="56"/>
      <c r="H385" s="56"/>
      <c r="I385" s="56"/>
      <c r="J385" s="51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2"/>
      <c r="B386" s="53"/>
      <c r="C386" s="53"/>
      <c r="D386" s="53"/>
      <c r="E386" s="53"/>
      <c r="F386" s="54"/>
      <c r="G386" s="53"/>
      <c r="H386" s="53"/>
      <c r="I386" s="53"/>
      <c r="J386" s="51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5"/>
      <c r="B387" s="56"/>
      <c r="C387" s="56"/>
      <c r="D387" s="56"/>
      <c r="E387" s="56"/>
      <c r="F387" s="63"/>
      <c r="G387" s="56"/>
      <c r="H387" s="56"/>
      <c r="I387" s="56"/>
      <c r="J387" s="51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2"/>
      <c r="B388" s="53"/>
      <c r="C388" s="53"/>
      <c r="D388" s="53"/>
      <c r="E388" s="53"/>
      <c r="F388" s="54"/>
      <c r="G388" s="53"/>
      <c r="H388" s="53"/>
      <c r="I388" s="53"/>
      <c r="J388" s="51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5"/>
      <c r="B389" s="56"/>
      <c r="C389" s="56"/>
      <c r="D389" s="56"/>
      <c r="E389" s="56"/>
      <c r="F389" s="63"/>
      <c r="G389" s="56"/>
      <c r="H389" s="56"/>
      <c r="I389" s="56"/>
      <c r="J389" s="51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2"/>
      <c r="B390" s="53"/>
      <c r="C390" s="53"/>
      <c r="D390" s="53"/>
      <c r="E390" s="53"/>
      <c r="F390" s="54"/>
      <c r="G390" s="53"/>
      <c r="H390" s="53"/>
      <c r="I390" s="53"/>
      <c r="J390" s="51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5"/>
      <c r="B391" s="56"/>
      <c r="C391" s="56"/>
      <c r="D391" s="56"/>
      <c r="E391" s="56"/>
      <c r="F391" s="63"/>
      <c r="G391" s="56"/>
      <c r="H391" s="56"/>
      <c r="I391" s="56"/>
      <c r="J391" s="51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2"/>
      <c r="B392" s="53"/>
      <c r="C392" s="53"/>
      <c r="D392" s="53"/>
      <c r="E392" s="53"/>
      <c r="F392" s="54"/>
      <c r="G392" s="53"/>
      <c r="H392" s="53"/>
      <c r="I392" s="53"/>
      <c r="J392" s="51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5"/>
      <c r="B393" s="56"/>
      <c r="C393" s="56"/>
      <c r="D393" s="56"/>
      <c r="E393" s="56"/>
      <c r="F393" s="63"/>
      <c r="G393" s="56"/>
      <c r="H393" s="56"/>
      <c r="I393" s="56"/>
      <c r="J393" s="51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2"/>
      <c r="B394" s="53"/>
      <c r="C394" s="53"/>
      <c r="D394" s="53"/>
      <c r="E394" s="53"/>
      <c r="F394" s="54"/>
      <c r="G394" s="53"/>
      <c r="H394" s="53"/>
      <c r="I394" s="53"/>
      <c r="J394" s="51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5"/>
      <c r="B395" s="56"/>
      <c r="C395" s="56"/>
      <c r="D395" s="56"/>
      <c r="E395" s="56"/>
      <c r="F395" s="63"/>
      <c r="G395" s="56"/>
      <c r="H395" s="56"/>
      <c r="I395" s="56"/>
      <c r="J395" s="51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2"/>
      <c r="B396" s="53"/>
      <c r="C396" s="53"/>
      <c r="D396" s="53"/>
      <c r="E396" s="53"/>
      <c r="F396" s="54"/>
      <c r="G396" s="53"/>
      <c r="H396" s="53"/>
      <c r="I396" s="53"/>
      <c r="J396" s="51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5"/>
      <c r="B397" s="56"/>
      <c r="C397" s="56"/>
      <c r="D397" s="56"/>
      <c r="E397" s="56"/>
      <c r="F397" s="63"/>
      <c r="G397" s="56"/>
      <c r="H397" s="56"/>
      <c r="I397" s="56"/>
      <c r="J397" s="51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2"/>
      <c r="B398" s="53"/>
      <c r="C398" s="53"/>
      <c r="D398" s="53"/>
      <c r="E398" s="53"/>
      <c r="F398" s="54"/>
      <c r="G398" s="53"/>
      <c r="H398" s="53"/>
      <c r="I398" s="53"/>
      <c r="J398" s="51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5"/>
      <c r="B399" s="56"/>
      <c r="C399" s="56"/>
      <c r="D399" s="56"/>
      <c r="E399" s="56"/>
      <c r="F399" s="63"/>
      <c r="G399" s="56"/>
      <c r="H399" s="56"/>
      <c r="I399" s="56"/>
      <c r="J399" s="51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2"/>
      <c r="B400" s="53"/>
      <c r="C400" s="53"/>
      <c r="D400" s="53"/>
      <c r="E400" s="53"/>
      <c r="F400" s="54"/>
      <c r="G400" s="53"/>
      <c r="H400" s="53"/>
      <c r="I400" s="53"/>
      <c r="J400" s="51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5"/>
      <c r="B401" s="56"/>
      <c r="C401" s="56"/>
      <c r="D401" s="56"/>
      <c r="E401" s="56"/>
      <c r="F401" s="63"/>
      <c r="G401" s="56"/>
      <c r="H401" s="56"/>
      <c r="I401" s="56"/>
      <c r="J401" s="51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2"/>
      <c r="B402" s="53"/>
      <c r="C402" s="53"/>
      <c r="D402" s="53"/>
      <c r="E402" s="53"/>
      <c r="F402" s="54"/>
      <c r="G402" s="53"/>
      <c r="H402" s="53"/>
      <c r="I402" s="53"/>
      <c r="J402" s="51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5"/>
      <c r="B403" s="56"/>
      <c r="C403" s="56"/>
      <c r="D403" s="56"/>
      <c r="E403" s="56"/>
      <c r="F403" s="63"/>
      <c r="G403" s="56"/>
      <c r="H403" s="56"/>
      <c r="I403" s="56"/>
      <c r="J403" s="51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2"/>
      <c r="B404" s="53"/>
      <c r="C404" s="53"/>
      <c r="D404" s="53"/>
      <c r="E404" s="53"/>
      <c r="F404" s="54"/>
      <c r="G404" s="53"/>
      <c r="H404" s="53"/>
      <c r="I404" s="53"/>
      <c r="J404" s="51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5"/>
      <c r="B405" s="56"/>
      <c r="C405" s="56"/>
      <c r="D405" s="56"/>
      <c r="E405" s="56"/>
      <c r="F405" s="63"/>
      <c r="G405" s="56"/>
      <c r="H405" s="56"/>
      <c r="I405" s="56"/>
      <c r="J405" s="51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2"/>
      <c r="B406" s="53"/>
      <c r="C406" s="53"/>
      <c r="D406" s="53"/>
      <c r="E406" s="53"/>
      <c r="F406" s="54"/>
      <c r="G406" s="53"/>
      <c r="H406" s="53"/>
      <c r="I406" s="53"/>
      <c r="J406" s="51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5"/>
      <c r="B407" s="56"/>
      <c r="C407" s="56"/>
      <c r="D407" s="56"/>
      <c r="E407" s="56"/>
      <c r="F407" s="63"/>
      <c r="G407" s="56"/>
      <c r="H407" s="56"/>
      <c r="I407" s="56"/>
      <c r="J407" s="51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2"/>
      <c r="B408" s="53"/>
      <c r="C408" s="53"/>
      <c r="D408" s="53"/>
      <c r="E408" s="53"/>
      <c r="F408" s="54"/>
      <c r="G408" s="53"/>
      <c r="H408" s="53"/>
      <c r="I408" s="53"/>
      <c r="J408" s="51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5"/>
      <c r="B409" s="56"/>
      <c r="C409" s="56"/>
      <c r="D409" s="56"/>
      <c r="E409" s="56"/>
      <c r="F409" s="63"/>
      <c r="G409" s="56"/>
      <c r="H409" s="56"/>
      <c r="I409" s="56"/>
      <c r="J409" s="51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2"/>
      <c r="B410" s="53"/>
      <c r="C410" s="53"/>
      <c r="D410" s="53"/>
      <c r="E410" s="53"/>
      <c r="F410" s="54"/>
      <c r="G410" s="53"/>
      <c r="H410" s="53"/>
      <c r="I410" s="53"/>
      <c r="J410" s="51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5"/>
      <c r="B411" s="56"/>
      <c r="C411" s="56"/>
      <c r="D411" s="56"/>
      <c r="E411" s="56"/>
      <c r="F411" s="63"/>
      <c r="G411" s="56"/>
      <c r="H411" s="56"/>
      <c r="I411" s="56"/>
      <c r="J411" s="51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2"/>
      <c r="B412" s="53"/>
      <c r="C412" s="53"/>
      <c r="D412" s="53"/>
      <c r="E412" s="53"/>
      <c r="F412" s="54"/>
      <c r="G412" s="53"/>
      <c r="H412" s="53"/>
      <c r="I412" s="53"/>
      <c r="J412" s="51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5"/>
      <c r="B413" s="56"/>
      <c r="C413" s="56"/>
      <c r="D413" s="56"/>
      <c r="E413" s="56"/>
      <c r="F413" s="63"/>
      <c r="G413" s="56"/>
      <c r="H413" s="56"/>
      <c r="I413" s="56"/>
      <c r="J413" s="51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2"/>
      <c r="B414" s="53"/>
      <c r="C414" s="53"/>
      <c r="D414" s="53"/>
      <c r="E414" s="53"/>
      <c r="F414" s="54"/>
      <c r="G414" s="53"/>
      <c r="H414" s="53"/>
      <c r="I414" s="53"/>
      <c r="J414" s="51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5"/>
      <c r="B415" s="56"/>
      <c r="C415" s="56"/>
      <c r="D415" s="56"/>
      <c r="E415" s="56"/>
      <c r="F415" s="63"/>
      <c r="G415" s="56"/>
      <c r="H415" s="56"/>
      <c r="I415" s="56"/>
      <c r="J415" s="51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2"/>
      <c r="B416" s="53"/>
      <c r="C416" s="53"/>
      <c r="D416" s="53"/>
      <c r="E416" s="53"/>
      <c r="F416" s="54"/>
      <c r="G416" s="53"/>
      <c r="H416" s="53"/>
      <c r="I416" s="53"/>
      <c r="J416" s="51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5"/>
      <c r="B417" s="56"/>
      <c r="C417" s="56"/>
      <c r="D417" s="56"/>
      <c r="E417" s="56"/>
      <c r="F417" s="63"/>
      <c r="G417" s="56"/>
      <c r="H417" s="56"/>
      <c r="I417" s="56"/>
      <c r="J417" s="51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2"/>
      <c r="B418" s="53"/>
      <c r="C418" s="53"/>
      <c r="D418" s="53"/>
      <c r="E418" s="53"/>
      <c r="F418" s="54"/>
      <c r="G418" s="53"/>
      <c r="H418" s="53"/>
      <c r="I418" s="53"/>
      <c r="J418" s="51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5"/>
      <c r="B419" s="56"/>
      <c r="C419" s="56"/>
      <c r="D419" s="56"/>
      <c r="E419" s="56"/>
      <c r="F419" s="63"/>
      <c r="G419" s="56"/>
      <c r="H419" s="56"/>
      <c r="I419" s="56"/>
      <c r="J419" s="51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2"/>
      <c r="B420" s="53"/>
      <c r="C420" s="53"/>
      <c r="D420" s="53"/>
      <c r="E420" s="53"/>
      <c r="F420" s="54"/>
      <c r="G420" s="53"/>
      <c r="H420" s="53"/>
      <c r="I420" s="53"/>
      <c r="J420" s="51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5"/>
      <c r="B421" s="56"/>
      <c r="C421" s="56"/>
      <c r="D421" s="56"/>
      <c r="E421" s="56"/>
      <c r="F421" s="63"/>
      <c r="G421" s="56"/>
      <c r="H421" s="56"/>
      <c r="I421" s="56"/>
      <c r="J421" s="51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2"/>
      <c r="B422" s="53"/>
      <c r="C422" s="53"/>
      <c r="D422" s="53"/>
      <c r="E422" s="53"/>
      <c r="F422" s="54"/>
      <c r="G422" s="53"/>
      <c r="H422" s="53"/>
      <c r="I422" s="53"/>
      <c r="J422" s="51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5"/>
      <c r="B423" s="56"/>
      <c r="C423" s="56"/>
      <c r="D423" s="56"/>
      <c r="E423" s="56"/>
      <c r="F423" s="63"/>
      <c r="G423" s="56"/>
      <c r="H423" s="56"/>
      <c r="I423" s="56"/>
      <c r="J423" s="51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2"/>
      <c r="B424" s="53"/>
      <c r="C424" s="53"/>
      <c r="D424" s="53"/>
      <c r="E424" s="53"/>
      <c r="F424" s="54"/>
      <c r="G424" s="53"/>
      <c r="H424" s="53"/>
      <c r="I424" s="53"/>
      <c r="J424" s="51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5"/>
      <c r="B425" s="56"/>
      <c r="C425" s="56"/>
      <c r="D425" s="56"/>
      <c r="E425" s="56"/>
      <c r="F425" s="63"/>
      <c r="G425" s="56"/>
      <c r="H425" s="56"/>
      <c r="I425" s="56"/>
      <c r="J425" s="51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2"/>
      <c r="B426" s="53"/>
      <c r="C426" s="53"/>
      <c r="D426" s="53"/>
      <c r="E426" s="53"/>
      <c r="F426" s="54"/>
      <c r="G426" s="53"/>
      <c r="H426" s="53"/>
      <c r="I426" s="53"/>
      <c r="J426" s="51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5"/>
      <c r="B427" s="56"/>
      <c r="C427" s="56"/>
      <c r="D427" s="56"/>
      <c r="E427" s="56"/>
      <c r="F427" s="63"/>
      <c r="G427" s="56"/>
      <c r="H427" s="56"/>
      <c r="I427" s="56"/>
      <c r="J427" s="51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2"/>
      <c r="B428" s="53"/>
      <c r="C428" s="53"/>
      <c r="D428" s="53"/>
      <c r="E428" s="53"/>
      <c r="F428" s="54"/>
      <c r="G428" s="53"/>
      <c r="H428" s="53"/>
      <c r="I428" s="53"/>
      <c r="J428" s="51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5"/>
      <c r="B429" s="56"/>
      <c r="C429" s="56"/>
      <c r="D429" s="56"/>
      <c r="E429" s="56"/>
      <c r="F429" s="63"/>
      <c r="G429" s="56"/>
      <c r="H429" s="56"/>
      <c r="I429" s="56"/>
      <c r="J429" s="51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2"/>
      <c r="B430" s="53"/>
      <c r="C430" s="53"/>
      <c r="D430" s="53"/>
      <c r="E430" s="53"/>
      <c r="F430" s="54"/>
      <c r="G430" s="53"/>
      <c r="H430" s="53"/>
      <c r="I430" s="53"/>
      <c r="J430" s="51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5"/>
      <c r="B431" s="56"/>
      <c r="C431" s="56"/>
      <c r="D431" s="56"/>
      <c r="E431" s="56"/>
      <c r="F431" s="63"/>
      <c r="G431" s="56"/>
      <c r="H431" s="56"/>
      <c r="I431" s="56"/>
      <c r="J431" s="51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2"/>
      <c r="B432" s="53"/>
      <c r="C432" s="53"/>
      <c r="D432" s="53"/>
      <c r="E432" s="53"/>
      <c r="F432" s="54"/>
      <c r="G432" s="53"/>
      <c r="H432" s="53"/>
      <c r="I432" s="53"/>
      <c r="J432" s="51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5"/>
      <c r="B433" s="56"/>
      <c r="C433" s="56"/>
      <c r="D433" s="56"/>
      <c r="E433" s="56"/>
      <c r="F433" s="63"/>
      <c r="G433" s="56"/>
      <c r="H433" s="56"/>
      <c r="I433" s="56"/>
      <c r="J433" s="51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2"/>
      <c r="B434" s="53"/>
      <c r="C434" s="53"/>
      <c r="D434" s="53"/>
      <c r="E434" s="53"/>
      <c r="F434" s="54"/>
      <c r="G434" s="53"/>
      <c r="H434" s="53"/>
      <c r="I434" s="53"/>
      <c r="J434" s="51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5"/>
      <c r="B435" s="56"/>
      <c r="C435" s="56"/>
      <c r="D435" s="56"/>
      <c r="E435" s="56"/>
      <c r="F435" s="63"/>
      <c r="G435" s="56"/>
      <c r="H435" s="56"/>
      <c r="I435" s="56"/>
      <c r="J435" s="51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2"/>
      <c r="B436" s="53"/>
      <c r="C436" s="53"/>
      <c r="D436" s="53"/>
      <c r="E436" s="53"/>
      <c r="F436" s="54"/>
      <c r="G436" s="53"/>
      <c r="H436" s="53"/>
      <c r="I436" s="53"/>
      <c r="J436" s="51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5"/>
      <c r="B437" s="56"/>
      <c r="C437" s="56"/>
      <c r="D437" s="56"/>
      <c r="E437" s="56"/>
      <c r="F437" s="63"/>
      <c r="G437" s="56"/>
      <c r="H437" s="56"/>
      <c r="I437" s="56"/>
      <c r="J437" s="51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2"/>
      <c r="B438" s="53"/>
      <c r="C438" s="53"/>
      <c r="D438" s="53"/>
      <c r="E438" s="53"/>
      <c r="F438" s="54"/>
      <c r="G438" s="53"/>
      <c r="H438" s="53"/>
      <c r="I438" s="53"/>
      <c r="J438" s="51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5"/>
      <c r="B439" s="56"/>
      <c r="C439" s="56"/>
      <c r="D439" s="56"/>
      <c r="E439" s="56"/>
      <c r="F439" s="63"/>
      <c r="G439" s="56"/>
      <c r="H439" s="56"/>
      <c r="I439" s="56"/>
      <c r="J439" s="51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2"/>
      <c r="B440" s="53"/>
      <c r="C440" s="53"/>
      <c r="D440" s="53"/>
      <c r="E440" s="53"/>
      <c r="F440" s="54"/>
      <c r="G440" s="53"/>
      <c r="H440" s="53"/>
      <c r="I440" s="53"/>
      <c r="J440" s="51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5"/>
      <c r="B441" s="56"/>
      <c r="C441" s="56"/>
      <c r="D441" s="56"/>
      <c r="E441" s="56"/>
      <c r="F441" s="63"/>
      <c r="G441" s="56"/>
      <c r="H441" s="56"/>
      <c r="I441" s="56"/>
      <c r="J441" s="51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2"/>
      <c r="B442" s="53"/>
      <c r="C442" s="53"/>
      <c r="D442" s="53"/>
      <c r="E442" s="53"/>
      <c r="F442" s="54"/>
      <c r="G442" s="53"/>
      <c r="H442" s="53"/>
      <c r="I442" s="53"/>
      <c r="J442" s="51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5"/>
      <c r="B443" s="56"/>
      <c r="C443" s="56"/>
      <c r="D443" s="56"/>
      <c r="E443" s="56"/>
      <c r="F443" s="63"/>
      <c r="G443" s="56"/>
      <c r="H443" s="56"/>
      <c r="I443" s="56"/>
      <c r="J443" s="51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2"/>
      <c r="B444" s="53"/>
      <c r="C444" s="53"/>
      <c r="D444" s="53"/>
      <c r="E444" s="53"/>
      <c r="F444" s="54"/>
      <c r="G444" s="53"/>
      <c r="H444" s="53"/>
      <c r="I444" s="53"/>
      <c r="J444" s="51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5"/>
      <c r="B445" s="56"/>
      <c r="C445" s="56"/>
      <c r="D445" s="56"/>
      <c r="E445" s="56"/>
      <c r="F445" s="63"/>
      <c r="G445" s="56"/>
      <c r="H445" s="56"/>
      <c r="I445" s="56"/>
      <c r="J445" s="51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2"/>
      <c r="B446" s="53"/>
      <c r="C446" s="53"/>
      <c r="D446" s="53"/>
      <c r="E446" s="53"/>
      <c r="F446" s="54"/>
      <c r="G446" s="53"/>
      <c r="H446" s="53"/>
      <c r="I446" s="53"/>
      <c r="J446" s="51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5"/>
      <c r="B447" s="56"/>
      <c r="C447" s="56"/>
      <c r="D447" s="56"/>
      <c r="E447" s="56"/>
      <c r="F447" s="63"/>
      <c r="G447" s="56"/>
      <c r="H447" s="56"/>
      <c r="I447" s="56"/>
      <c r="J447" s="51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2"/>
      <c r="B448" s="53"/>
      <c r="C448" s="53"/>
      <c r="D448" s="53"/>
      <c r="E448" s="53"/>
      <c r="F448" s="54"/>
      <c r="G448" s="53"/>
      <c r="H448" s="53"/>
      <c r="I448" s="53"/>
      <c r="J448" s="51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5"/>
      <c r="B449" s="56"/>
      <c r="C449" s="56"/>
      <c r="D449" s="56"/>
      <c r="E449" s="56"/>
      <c r="F449" s="63"/>
      <c r="G449" s="56"/>
      <c r="H449" s="56"/>
      <c r="I449" s="56"/>
      <c r="J449" s="51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2"/>
      <c r="B450" s="53"/>
      <c r="C450" s="53"/>
      <c r="D450" s="53"/>
      <c r="E450" s="53"/>
      <c r="F450" s="54"/>
      <c r="G450" s="53"/>
      <c r="H450" s="53"/>
      <c r="I450" s="53"/>
      <c r="J450" s="51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5"/>
      <c r="B451" s="56"/>
      <c r="C451" s="56"/>
      <c r="D451" s="56"/>
      <c r="E451" s="56"/>
      <c r="F451" s="63"/>
      <c r="G451" s="56"/>
      <c r="H451" s="56"/>
      <c r="I451" s="56"/>
      <c r="J451" s="51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2"/>
      <c r="B452" s="53"/>
      <c r="C452" s="53"/>
      <c r="D452" s="53"/>
      <c r="E452" s="53"/>
      <c r="F452" s="54"/>
      <c r="G452" s="53"/>
      <c r="H452" s="53"/>
      <c r="I452" s="53"/>
      <c r="J452" s="51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5"/>
      <c r="B453" s="56"/>
      <c r="C453" s="56"/>
      <c r="D453" s="56"/>
      <c r="E453" s="56"/>
      <c r="F453" s="63"/>
      <c r="G453" s="56"/>
      <c r="H453" s="56"/>
      <c r="I453" s="56"/>
      <c r="J453" s="51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2"/>
      <c r="B454" s="53"/>
      <c r="C454" s="53"/>
      <c r="D454" s="53"/>
      <c r="E454" s="53"/>
      <c r="F454" s="54"/>
      <c r="G454" s="53"/>
      <c r="H454" s="53"/>
      <c r="I454" s="53"/>
      <c r="J454" s="51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5"/>
      <c r="B455" s="56"/>
      <c r="C455" s="56"/>
      <c r="D455" s="56"/>
      <c r="E455" s="56"/>
      <c r="F455" s="63"/>
      <c r="G455" s="56"/>
      <c r="H455" s="56"/>
      <c r="I455" s="56"/>
      <c r="J455" s="51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2"/>
      <c r="B456" s="53"/>
      <c r="C456" s="53"/>
      <c r="D456" s="53"/>
      <c r="E456" s="53"/>
      <c r="F456" s="54"/>
      <c r="G456" s="53"/>
      <c r="H456" s="53"/>
      <c r="I456" s="53"/>
      <c r="J456" s="51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5"/>
      <c r="B457" s="56"/>
      <c r="C457" s="56"/>
      <c r="D457" s="56"/>
      <c r="E457" s="56"/>
      <c r="F457" s="63"/>
      <c r="G457" s="56"/>
      <c r="H457" s="56"/>
      <c r="I457" s="56"/>
      <c r="J457" s="51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2"/>
      <c r="B458" s="53"/>
      <c r="C458" s="53"/>
      <c r="D458" s="53"/>
      <c r="E458" s="53"/>
      <c r="F458" s="54"/>
      <c r="G458" s="53"/>
      <c r="H458" s="53"/>
      <c r="I458" s="53"/>
      <c r="J458" s="51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5"/>
      <c r="B459" s="56"/>
      <c r="C459" s="56"/>
      <c r="D459" s="56"/>
      <c r="E459" s="56"/>
      <c r="F459" s="63"/>
      <c r="G459" s="56"/>
      <c r="H459" s="56"/>
      <c r="I459" s="56"/>
      <c r="J459" s="51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2"/>
      <c r="B460" s="53"/>
      <c r="C460" s="53"/>
      <c r="D460" s="53"/>
      <c r="E460" s="53"/>
      <c r="F460" s="54"/>
      <c r="G460" s="53"/>
      <c r="H460" s="53"/>
      <c r="I460" s="53"/>
      <c r="J460" s="51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5"/>
      <c r="B461" s="56"/>
      <c r="C461" s="56"/>
      <c r="D461" s="56"/>
      <c r="E461" s="56"/>
      <c r="F461" s="63"/>
      <c r="G461" s="56"/>
      <c r="H461" s="56"/>
      <c r="I461" s="56"/>
      <c r="J461" s="51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2"/>
      <c r="B462" s="53"/>
      <c r="C462" s="53"/>
      <c r="D462" s="53"/>
      <c r="E462" s="53"/>
      <c r="F462" s="54"/>
      <c r="G462" s="53"/>
      <c r="H462" s="53"/>
      <c r="I462" s="53"/>
      <c r="J462" s="51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5"/>
      <c r="B463" s="56"/>
      <c r="C463" s="56"/>
      <c r="D463" s="56"/>
      <c r="E463" s="56"/>
      <c r="F463" s="63"/>
      <c r="G463" s="56"/>
      <c r="H463" s="56"/>
      <c r="I463" s="56"/>
      <c r="J463" s="51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2"/>
      <c r="B464" s="53"/>
      <c r="C464" s="53"/>
      <c r="D464" s="53"/>
      <c r="E464" s="53"/>
      <c r="F464" s="54"/>
      <c r="G464" s="53"/>
      <c r="H464" s="53"/>
      <c r="I464" s="53"/>
      <c r="J464" s="51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5"/>
      <c r="B465" s="56"/>
      <c r="C465" s="56"/>
      <c r="D465" s="56"/>
      <c r="E465" s="56"/>
      <c r="F465" s="63"/>
      <c r="G465" s="56"/>
      <c r="H465" s="56"/>
      <c r="I465" s="56"/>
      <c r="J465" s="51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2"/>
      <c r="B466" s="53"/>
      <c r="C466" s="53"/>
      <c r="D466" s="53"/>
      <c r="E466" s="53"/>
      <c r="F466" s="54"/>
      <c r="G466" s="53"/>
      <c r="H466" s="53"/>
      <c r="I466" s="53"/>
      <c r="J466" s="51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5"/>
      <c r="B467" s="56"/>
      <c r="C467" s="56"/>
      <c r="D467" s="56"/>
      <c r="E467" s="56"/>
      <c r="F467" s="63"/>
      <c r="G467" s="56"/>
      <c r="H467" s="56"/>
      <c r="I467" s="56"/>
      <c r="J467" s="51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2"/>
      <c r="B468" s="53"/>
      <c r="C468" s="53"/>
      <c r="D468" s="53"/>
      <c r="E468" s="53"/>
      <c r="F468" s="54"/>
      <c r="G468" s="53"/>
      <c r="H468" s="53"/>
      <c r="I468" s="53"/>
      <c r="J468" s="51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5"/>
      <c r="B469" s="56"/>
      <c r="C469" s="56"/>
      <c r="D469" s="56"/>
      <c r="E469" s="56"/>
      <c r="F469" s="63"/>
      <c r="G469" s="56"/>
      <c r="H469" s="56"/>
      <c r="I469" s="56"/>
      <c r="J469" s="51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2"/>
      <c r="B470" s="53"/>
      <c r="C470" s="53"/>
      <c r="D470" s="53"/>
      <c r="E470" s="53"/>
      <c r="F470" s="54"/>
      <c r="G470" s="53"/>
      <c r="H470" s="53"/>
      <c r="I470" s="53"/>
      <c r="J470" s="51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5"/>
      <c r="B471" s="56"/>
      <c r="C471" s="56"/>
      <c r="D471" s="56"/>
      <c r="E471" s="56"/>
      <c r="F471" s="63"/>
      <c r="G471" s="56"/>
      <c r="H471" s="56"/>
      <c r="I471" s="56"/>
      <c r="J471" s="51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2"/>
      <c r="B472" s="53"/>
      <c r="C472" s="53"/>
      <c r="D472" s="53"/>
      <c r="E472" s="53"/>
      <c r="F472" s="54"/>
      <c r="G472" s="53"/>
      <c r="H472" s="53"/>
      <c r="I472" s="53"/>
      <c r="J472" s="51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5"/>
      <c r="B473" s="56"/>
      <c r="C473" s="56"/>
      <c r="D473" s="56"/>
      <c r="E473" s="56"/>
      <c r="F473" s="63"/>
      <c r="G473" s="56"/>
      <c r="H473" s="56"/>
      <c r="I473" s="56"/>
      <c r="J473" s="51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2"/>
      <c r="B474" s="53"/>
      <c r="C474" s="53"/>
      <c r="D474" s="53"/>
      <c r="E474" s="53"/>
      <c r="F474" s="54"/>
      <c r="G474" s="53"/>
      <c r="H474" s="53"/>
      <c r="I474" s="53"/>
      <c r="J474" s="51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5"/>
      <c r="B475" s="56"/>
      <c r="C475" s="56"/>
      <c r="D475" s="56"/>
      <c r="E475" s="56"/>
      <c r="F475" s="63"/>
      <c r="G475" s="56"/>
      <c r="H475" s="56"/>
      <c r="I475" s="56"/>
      <c r="J475" s="51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2"/>
      <c r="B476" s="53"/>
      <c r="C476" s="53"/>
      <c r="D476" s="53"/>
      <c r="E476" s="53"/>
      <c r="F476" s="54"/>
      <c r="G476" s="53"/>
      <c r="H476" s="53"/>
      <c r="I476" s="53"/>
      <c r="J476" s="51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5"/>
      <c r="B477" s="56"/>
      <c r="C477" s="56"/>
      <c r="D477" s="56"/>
      <c r="E477" s="56"/>
      <c r="F477" s="63"/>
      <c r="G477" s="56"/>
      <c r="H477" s="56"/>
      <c r="I477" s="56"/>
      <c r="J477" s="51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2"/>
      <c r="B478" s="53"/>
      <c r="C478" s="53"/>
      <c r="D478" s="53"/>
      <c r="E478" s="53"/>
      <c r="F478" s="54"/>
      <c r="G478" s="53"/>
      <c r="H478" s="53"/>
      <c r="I478" s="53"/>
      <c r="J478" s="51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5"/>
      <c r="B479" s="56"/>
      <c r="C479" s="56"/>
      <c r="D479" s="56"/>
      <c r="E479" s="56"/>
      <c r="F479" s="63"/>
      <c r="G479" s="56"/>
      <c r="H479" s="56"/>
      <c r="I479" s="56"/>
      <c r="J479" s="51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2"/>
      <c r="B480" s="53"/>
      <c r="C480" s="53"/>
      <c r="D480" s="53"/>
      <c r="E480" s="53"/>
      <c r="F480" s="54"/>
      <c r="G480" s="53"/>
      <c r="H480" s="53"/>
      <c r="I480" s="53"/>
      <c r="J480" s="51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5"/>
      <c r="B481" s="56"/>
      <c r="C481" s="56"/>
      <c r="D481" s="56"/>
      <c r="E481" s="56"/>
      <c r="F481" s="63"/>
      <c r="G481" s="56"/>
      <c r="H481" s="56"/>
      <c r="I481" s="56"/>
      <c r="J481" s="51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2"/>
      <c r="B482" s="53"/>
      <c r="C482" s="53"/>
      <c r="D482" s="53"/>
      <c r="E482" s="53"/>
      <c r="F482" s="54"/>
      <c r="G482" s="53"/>
      <c r="H482" s="53"/>
      <c r="I482" s="53"/>
      <c r="J482" s="51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5"/>
      <c r="B483" s="56"/>
      <c r="C483" s="56"/>
      <c r="D483" s="56"/>
      <c r="E483" s="56"/>
      <c r="F483" s="63"/>
      <c r="G483" s="56"/>
      <c r="H483" s="56"/>
      <c r="I483" s="56"/>
      <c r="J483" s="51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2"/>
      <c r="B484" s="53"/>
      <c r="C484" s="53"/>
      <c r="D484" s="53"/>
      <c r="E484" s="53"/>
      <c r="F484" s="54"/>
      <c r="G484" s="53"/>
      <c r="H484" s="53"/>
      <c r="I484" s="53"/>
      <c r="J484" s="51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5"/>
      <c r="B485" s="56"/>
      <c r="C485" s="56"/>
      <c r="D485" s="56"/>
      <c r="E485" s="56"/>
      <c r="F485" s="63"/>
      <c r="G485" s="56"/>
      <c r="H485" s="56"/>
      <c r="I485" s="56"/>
      <c r="J485" s="51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2"/>
      <c r="B486" s="53"/>
      <c r="C486" s="53"/>
      <c r="D486" s="53"/>
      <c r="E486" s="53"/>
      <c r="F486" s="54"/>
      <c r="G486" s="53"/>
      <c r="H486" s="53"/>
      <c r="I486" s="53"/>
      <c r="J486" s="51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5"/>
      <c r="B487" s="56"/>
      <c r="C487" s="56"/>
      <c r="D487" s="56"/>
      <c r="E487" s="56"/>
      <c r="F487" s="63"/>
      <c r="G487" s="56"/>
      <c r="H487" s="56"/>
      <c r="I487" s="56"/>
      <c r="J487" s="51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2"/>
      <c r="B488" s="53"/>
      <c r="C488" s="53"/>
      <c r="D488" s="53"/>
      <c r="E488" s="53"/>
      <c r="F488" s="54"/>
      <c r="G488" s="53"/>
      <c r="H488" s="53"/>
      <c r="I488" s="53"/>
      <c r="J488" s="51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5"/>
      <c r="B489" s="56"/>
      <c r="C489" s="56"/>
      <c r="D489" s="56"/>
      <c r="E489" s="56"/>
      <c r="F489" s="63"/>
      <c r="G489" s="56"/>
      <c r="H489" s="56"/>
      <c r="I489" s="56"/>
      <c r="J489" s="51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2"/>
      <c r="B490" s="53"/>
      <c r="C490" s="53"/>
      <c r="D490" s="53"/>
      <c r="E490" s="53"/>
      <c r="F490" s="54"/>
      <c r="G490" s="53"/>
      <c r="H490" s="53"/>
      <c r="I490" s="53"/>
      <c r="J490" s="51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5"/>
      <c r="B491" s="56"/>
      <c r="C491" s="56"/>
      <c r="D491" s="56"/>
      <c r="E491" s="56"/>
      <c r="F491" s="63"/>
      <c r="G491" s="56"/>
      <c r="H491" s="56"/>
      <c r="I491" s="56"/>
      <c r="J491" s="51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2"/>
      <c r="B492" s="53"/>
      <c r="C492" s="53"/>
      <c r="D492" s="53"/>
      <c r="E492" s="53"/>
      <c r="F492" s="54"/>
      <c r="G492" s="53"/>
      <c r="H492" s="53"/>
      <c r="I492" s="53"/>
      <c r="J492" s="51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5"/>
      <c r="B493" s="56"/>
      <c r="C493" s="56"/>
      <c r="D493" s="56"/>
      <c r="E493" s="56"/>
      <c r="F493" s="63"/>
      <c r="G493" s="56"/>
      <c r="H493" s="56"/>
      <c r="I493" s="56"/>
      <c r="J493" s="51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2"/>
      <c r="B494" s="53"/>
      <c r="C494" s="53"/>
      <c r="D494" s="53"/>
      <c r="E494" s="53"/>
      <c r="F494" s="54"/>
      <c r="G494" s="53"/>
      <c r="H494" s="53"/>
      <c r="I494" s="53"/>
      <c r="J494" s="51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5"/>
      <c r="B495" s="56"/>
      <c r="C495" s="56"/>
      <c r="D495" s="56"/>
      <c r="E495" s="56"/>
      <c r="F495" s="63"/>
      <c r="G495" s="56"/>
      <c r="H495" s="56"/>
      <c r="I495" s="56"/>
      <c r="J495" s="51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2"/>
      <c r="B496" s="53"/>
      <c r="C496" s="53"/>
      <c r="D496" s="53"/>
      <c r="E496" s="53"/>
      <c r="F496" s="54"/>
      <c r="G496" s="53"/>
      <c r="H496" s="53"/>
      <c r="I496" s="53"/>
      <c r="J496" s="51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5"/>
      <c r="B497" s="56"/>
      <c r="C497" s="56"/>
      <c r="D497" s="56"/>
      <c r="E497" s="56"/>
      <c r="F497" s="63"/>
      <c r="G497" s="56"/>
      <c r="H497" s="56"/>
      <c r="I497" s="56"/>
      <c r="J497" s="51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2"/>
      <c r="B498" s="53"/>
      <c r="C498" s="53"/>
      <c r="D498" s="53"/>
      <c r="E498" s="53"/>
      <c r="F498" s="54"/>
      <c r="G498" s="53"/>
      <c r="H498" s="53"/>
      <c r="I498" s="53"/>
      <c r="J498" s="51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5"/>
      <c r="B499" s="56"/>
      <c r="C499" s="56"/>
      <c r="D499" s="56"/>
      <c r="E499" s="56"/>
      <c r="F499" s="63"/>
      <c r="G499" s="56"/>
      <c r="H499" s="56"/>
      <c r="I499" s="56"/>
      <c r="J499" s="51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2"/>
      <c r="B500" s="53"/>
      <c r="C500" s="53"/>
      <c r="D500" s="53"/>
      <c r="E500" s="53"/>
      <c r="F500" s="54"/>
      <c r="G500" s="53"/>
      <c r="H500" s="53"/>
      <c r="I500" s="53"/>
      <c r="J500" s="51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5"/>
      <c r="B501" s="56"/>
      <c r="C501" s="56"/>
      <c r="D501" s="56"/>
      <c r="E501" s="56"/>
      <c r="F501" s="63"/>
      <c r="G501" s="56"/>
      <c r="H501" s="56"/>
      <c r="I501" s="56"/>
      <c r="J501" s="51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2"/>
      <c r="B502" s="53"/>
      <c r="C502" s="53"/>
      <c r="D502" s="53"/>
      <c r="E502" s="53"/>
      <c r="F502" s="54"/>
      <c r="G502" s="53"/>
      <c r="H502" s="53"/>
      <c r="I502" s="53"/>
      <c r="J502" s="51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5"/>
      <c r="B503" s="56"/>
      <c r="C503" s="56"/>
      <c r="D503" s="56"/>
      <c r="E503" s="56"/>
      <c r="F503" s="63"/>
      <c r="G503" s="56"/>
      <c r="H503" s="56"/>
      <c r="I503" s="56"/>
      <c r="J503" s="51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2"/>
      <c r="B504" s="53"/>
      <c r="C504" s="53"/>
      <c r="D504" s="53"/>
      <c r="E504" s="53"/>
      <c r="F504" s="54"/>
      <c r="G504" s="53"/>
      <c r="H504" s="53"/>
      <c r="I504" s="53"/>
      <c r="J504" s="51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5"/>
      <c r="B505" s="56"/>
      <c r="C505" s="56"/>
      <c r="D505" s="56"/>
      <c r="E505" s="56"/>
      <c r="F505" s="63"/>
      <c r="G505" s="56"/>
      <c r="H505" s="56"/>
      <c r="I505" s="56"/>
      <c r="J505" s="51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2"/>
      <c r="B506" s="53"/>
      <c r="C506" s="53"/>
      <c r="D506" s="53"/>
      <c r="E506" s="53"/>
      <c r="F506" s="54"/>
      <c r="G506" s="53"/>
      <c r="H506" s="53"/>
      <c r="I506" s="53"/>
      <c r="J506" s="51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5"/>
      <c r="B507" s="56"/>
      <c r="C507" s="56"/>
      <c r="D507" s="56"/>
      <c r="E507" s="56"/>
      <c r="F507" s="63"/>
      <c r="G507" s="56"/>
      <c r="H507" s="56"/>
      <c r="I507" s="56"/>
      <c r="J507" s="51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2"/>
      <c r="B508" s="53"/>
      <c r="C508" s="53"/>
      <c r="D508" s="53"/>
      <c r="E508" s="53"/>
      <c r="F508" s="54"/>
      <c r="G508" s="53"/>
      <c r="H508" s="53"/>
      <c r="I508" s="53"/>
      <c r="J508" s="51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5"/>
      <c r="B509" s="56"/>
      <c r="C509" s="56"/>
      <c r="D509" s="56"/>
      <c r="E509" s="56"/>
      <c r="F509" s="63"/>
      <c r="G509" s="56"/>
      <c r="H509" s="56"/>
      <c r="I509" s="56"/>
      <c r="J509" s="51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2"/>
      <c r="B510" s="53"/>
      <c r="C510" s="53"/>
      <c r="D510" s="53"/>
      <c r="E510" s="53"/>
      <c r="F510" s="54"/>
      <c r="G510" s="53"/>
      <c r="H510" s="53"/>
      <c r="I510" s="53"/>
      <c r="J510" s="51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5"/>
      <c r="B511" s="56"/>
      <c r="C511" s="56"/>
      <c r="D511" s="56"/>
      <c r="E511" s="56"/>
      <c r="F511" s="63"/>
      <c r="G511" s="56"/>
      <c r="H511" s="56"/>
      <c r="I511" s="56"/>
      <c r="J511" s="51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2"/>
      <c r="B512" s="53"/>
      <c r="C512" s="53"/>
      <c r="D512" s="53"/>
      <c r="E512" s="53"/>
      <c r="F512" s="54"/>
      <c r="G512" s="53"/>
      <c r="H512" s="53"/>
      <c r="I512" s="53"/>
      <c r="J512" s="51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5"/>
      <c r="B513" s="56"/>
      <c r="C513" s="56"/>
      <c r="D513" s="56"/>
      <c r="E513" s="56"/>
      <c r="F513" s="63"/>
      <c r="G513" s="56"/>
      <c r="H513" s="56"/>
      <c r="I513" s="56"/>
      <c r="J513" s="51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2"/>
      <c r="B514" s="53"/>
      <c r="C514" s="53"/>
      <c r="D514" s="53"/>
      <c r="E514" s="53"/>
      <c r="F514" s="54"/>
      <c r="G514" s="53"/>
      <c r="H514" s="53"/>
      <c r="I514" s="53"/>
      <c r="J514" s="51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5"/>
      <c r="B515" s="56"/>
      <c r="C515" s="56"/>
      <c r="D515" s="56"/>
      <c r="E515" s="56"/>
      <c r="F515" s="63"/>
      <c r="G515" s="56"/>
      <c r="H515" s="56"/>
      <c r="I515" s="56"/>
      <c r="J515" s="51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2"/>
      <c r="B516" s="53"/>
      <c r="C516" s="53"/>
      <c r="D516" s="53"/>
      <c r="E516" s="53"/>
      <c r="F516" s="54"/>
      <c r="G516" s="53"/>
      <c r="H516" s="53"/>
      <c r="I516" s="53"/>
      <c r="J516" s="51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5"/>
      <c r="B517" s="56"/>
      <c r="C517" s="56"/>
      <c r="D517" s="56"/>
      <c r="E517" s="56"/>
      <c r="F517" s="63"/>
      <c r="G517" s="56"/>
      <c r="H517" s="56"/>
      <c r="I517" s="56"/>
      <c r="J517" s="51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2"/>
      <c r="B518" s="53"/>
      <c r="C518" s="53"/>
      <c r="D518" s="53"/>
      <c r="E518" s="53"/>
      <c r="F518" s="54"/>
      <c r="G518" s="53"/>
      <c r="H518" s="53"/>
      <c r="I518" s="53"/>
      <c r="J518" s="51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5"/>
      <c r="B519" s="56"/>
      <c r="C519" s="56"/>
      <c r="D519" s="56"/>
      <c r="E519" s="56"/>
      <c r="F519" s="63"/>
      <c r="G519" s="56"/>
      <c r="H519" s="56"/>
      <c r="I519" s="56"/>
      <c r="J519" s="51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2"/>
      <c r="B520" s="53"/>
      <c r="C520" s="53"/>
      <c r="D520" s="53"/>
      <c r="E520" s="53"/>
      <c r="F520" s="54"/>
      <c r="G520" s="53"/>
      <c r="H520" s="53"/>
      <c r="I520" s="53"/>
      <c r="J520" s="51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5"/>
      <c r="B521" s="56"/>
      <c r="C521" s="56"/>
      <c r="D521" s="56"/>
      <c r="E521" s="56"/>
      <c r="F521" s="63"/>
      <c r="G521" s="56"/>
      <c r="H521" s="56"/>
      <c r="I521" s="56"/>
      <c r="J521" s="51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2"/>
      <c r="B522" s="53"/>
      <c r="C522" s="53"/>
      <c r="D522" s="53"/>
      <c r="E522" s="53"/>
      <c r="F522" s="54"/>
      <c r="G522" s="53"/>
      <c r="H522" s="53"/>
      <c r="I522" s="53"/>
      <c r="J522" s="51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5"/>
      <c r="B523" s="56"/>
      <c r="C523" s="56"/>
      <c r="D523" s="56"/>
      <c r="E523" s="56"/>
      <c r="F523" s="63"/>
      <c r="G523" s="56"/>
      <c r="H523" s="56"/>
      <c r="I523" s="56"/>
      <c r="J523" s="51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2"/>
      <c r="B524" s="53"/>
      <c r="C524" s="53"/>
      <c r="D524" s="53"/>
      <c r="E524" s="53"/>
      <c r="F524" s="54"/>
      <c r="G524" s="53"/>
      <c r="H524" s="53"/>
      <c r="I524" s="53"/>
      <c r="J524" s="51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5"/>
      <c r="B525" s="56"/>
      <c r="C525" s="56"/>
      <c r="D525" s="56"/>
      <c r="E525" s="56"/>
      <c r="F525" s="63"/>
      <c r="G525" s="56"/>
      <c r="H525" s="56"/>
      <c r="I525" s="56"/>
      <c r="J525" s="51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2"/>
      <c r="B526" s="53"/>
      <c r="C526" s="53"/>
      <c r="D526" s="53"/>
      <c r="E526" s="53"/>
      <c r="F526" s="54"/>
      <c r="G526" s="53"/>
      <c r="H526" s="53"/>
      <c r="I526" s="53"/>
      <c r="J526" s="51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5"/>
      <c r="B527" s="56"/>
      <c r="C527" s="56"/>
      <c r="D527" s="56"/>
      <c r="E527" s="56"/>
      <c r="F527" s="63"/>
      <c r="G527" s="56"/>
      <c r="H527" s="56"/>
      <c r="I527" s="56"/>
      <c r="J527" s="51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2"/>
      <c r="B528" s="53"/>
      <c r="C528" s="53"/>
      <c r="D528" s="53"/>
      <c r="E528" s="53"/>
      <c r="F528" s="54"/>
      <c r="G528" s="53"/>
      <c r="H528" s="53"/>
      <c r="I528" s="53"/>
      <c r="J528" s="51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5"/>
      <c r="B529" s="56"/>
      <c r="C529" s="56"/>
      <c r="D529" s="56"/>
      <c r="E529" s="56"/>
      <c r="F529" s="63"/>
      <c r="G529" s="56"/>
      <c r="H529" s="56"/>
      <c r="I529" s="56"/>
      <c r="J529" s="51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2"/>
      <c r="B530" s="53"/>
      <c r="C530" s="53"/>
      <c r="D530" s="53"/>
      <c r="E530" s="53"/>
      <c r="F530" s="54"/>
      <c r="G530" s="53"/>
      <c r="H530" s="53"/>
      <c r="I530" s="53"/>
      <c r="J530" s="51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5"/>
      <c r="B531" s="56"/>
      <c r="C531" s="56"/>
      <c r="D531" s="56"/>
      <c r="E531" s="56"/>
      <c r="F531" s="63"/>
      <c r="G531" s="56"/>
      <c r="H531" s="56"/>
      <c r="I531" s="56"/>
      <c r="J531" s="51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2"/>
      <c r="B532" s="53"/>
      <c r="C532" s="53"/>
      <c r="D532" s="53"/>
      <c r="E532" s="53"/>
      <c r="F532" s="54"/>
      <c r="G532" s="53"/>
      <c r="H532" s="53"/>
      <c r="I532" s="53"/>
      <c r="J532" s="51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5"/>
      <c r="B533" s="56"/>
      <c r="C533" s="56"/>
      <c r="D533" s="56"/>
      <c r="E533" s="56"/>
      <c r="F533" s="63"/>
      <c r="G533" s="56"/>
      <c r="H533" s="56"/>
      <c r="I533" s="56"/>
      <c r="J533" s="51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2"/>
      <c r="B534" s="53"/>
      <c r="C534" s="53"/>
      <c r="D534" s="53"/>
      <c r="E534" s="53"/>
      <c r="F534" s="54"/>
      <c r="G534" s="53"/>
      <c r="H534" s="53"/>
      <c r="I534" s="53"/>
      <c r="J534" s="51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5"/>
      <c r="B535" s="56"/>
      <c r="C535" s="56"/>
      <c r="D535" s="56"/>
      <c r="E535" s="56"/>
      <c r="F535" s="63"/>
      <c r="G535" s="56"/>
      <c r="H535" s="56"/>
      <c r="I535" s="56"/>
      <c r="J535" s="51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2"/>
      <c r="B536" s="53"/>
      <c r="C536" s="53"/>
      <c r="D536" s="53"/>
      <c r="E536" s="53"/>
      <c r="F536" s="54"/>
      <c r="G536" s="53"/>
      <c r="H536" s="53"/>
      <c r="I536" s="53"/>
      <c r="J536" s="51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5"/>
      <c r="B537" s="56"/>
      <c r="C537" s="56"/>
      <c r="D537" s="56"/>
      <c r="E537" s="56"/>
      <c r="F537" s="63"/>
      <c r="G537" s="56"/>
      <c r="H537" s="56"/>
      <c r="I537" s="56"/>
      <c r="J537" s="51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2"/>
      <c r="B538" s="53"/>
      <c r="C538" s="53"/>
      <c r="D538" s="53"/>
      <c r="E538" s="53"/>
      <c r="F538" s="54"/>
      <c r="G538" s="53"/>
      <c r="H538" s="53"/>
      <c r="I538" s="53"/>
      <c r="J538" s="51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5"/>
      <c r="B539" s="56"/>
      <c r="C539" s="56"/>
      <c r="D539" s="56"/>
      <c r="E539" s="56"/>
      <c r="F539" s="63"/>
      <c r="G539" s="56"/>
      <c r="H539" s="56"/>
      <c r="I539" s="56"/>
      <c r="J539" s="51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2"/>
      <c r="B540" s="53"/>
      <c r="C540" s="53"/>
      <c r="D540" s="53"/>
      <c r="E540" s="53"/>
      <c r="F540" s="54"/>
      <c r="G540" s="53"/>
      <c r="H540" s="53"/>
      <c r="I540" s="53"/>
      <c r="J540" s="51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5"/>
      <c r="B541" s="56"/>
      <c r="C541" s="56"/>
      <c r="D541" s="56"/>
      <c r="E541" s="56"/>
      <c r="F541" s="63"/>
      <c r="G541" s="56"/>
      <c r="H541" s="56"/>
      <c r="I541" s="56"/>
      <c r="J541" s="51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2"/>
      <c r="B542" s="53"/>
      <c r="C542" s="53"/>
      <c r="D542" s="53"/>
      <c r="E542" s="53"/>
      <c r="F542" s="54"/>
      <c r="G542" s="53"/>
      <c r="H542" s="53"/>
      <c r="I542" s="53"/>
      <c r="J542" s="51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5"/>
      <c r="B543" s="56"/>
      <c r="C543" s="56"/>
      <c r="D543" s="56"/>
      <c r="E543" s="56"/>
      <c r="F543" s="63"/>
      <c r="G543" s="56"/>
      <c r="H543" s="56"/>
      <c r="I543" s="56"/>
      <c r="J543" s="51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2"/>
      <c r="B544" s="53"/>
      <c r="C544" s="53"/>
      <c r="D544" s="53"/>
      <c r="E544" s="53"/>
      <c r="F544" s="54"/>
      <c r="G544" s="53"/>
      <c r="H544" s="53"/>
      <c r="I544" s="53"/>
      <c r="J544" s="51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5"/>
      <c r="B545" s="56"/>
      <c r="C545" s="56"/>
      <c r="D545" s="56"/>
      <c r="E545" s="56"/>
      <c r="F545" s="63"/>
      <c r="G545" s="56"/>
      <c r="H545" s="56"/>
      <c r="I545" s="56"/>
      <c r="J545" s="51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2"/>
      <c r="B546" s="53"/>
      <c r="C546" s="53"/>
      <c r="D546" s="53"/>
      <c r="E546" s="53"/>
      <c r="F546" s="54"/>
      <c r="G546" s="53"/>
      <c r="H546" s="53"/>
      <c r="I546" s="53"/>
      <c r="J546" s="51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5"/>
      <c r="B547" s="56"/>
      <c r="C547" s="56"/>
      <c r="D547" s="56"/>
      <c r="E547" s="56"/>
      <c r="F547" s="63"/>
      <c r="G547" s="56"/>
      <c r="H547" s="56"/>
      <c r="I547" s="56"/>
      <c r="J547" s="51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2"/>
      <c r="B548" s="53"/>
      <c r="C548" s="53"/>
      <c r="D548" s="53"/>
      <c r="E548" s="53"/>
      <c r="F548" s="54"/>
      <c r="G548" s="53"/>
      <c r="H548" s="53"/>
      <c r="I548" s="53"/>
      <c r="J548" s="51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5"/>
      <c r="B549" s="56"/>
      <c r="C549" s="56"/>
      <c r="D549" s="56"/>
      <c r="E549" s="56"/>
      <c r="F549" s="63"/>
      <c r="G549" s="56"/>
      <c r="H549" s="56"/>
      <c r="I549" s="56"/>
      <c r="J549" s="51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2"/>
      <c r="B550" s="53"/>
      <c r="C550" s="53"/>
      <c r="D550" s="53"/>
      <c r="E550" s="53"/>
      <c r="F550" s="54"/>
      <c r="G550" s="53"/>
      <c r="H550" s="53"/>
      <c r="I550" s="53"/>
      <c r="J550" s="51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5"/>
      <c r="B551" s="56"/>
      <c r="C551" s="56"/>
      <c r="D551" s="56"/>
      <c r="E551" s="56"/>
      <c r="F551" s="63"/>
      <c r="G551" s="56"/>
      <c r="H551" s="56"/>
      <c r="I551" s="56"/>
      <c r="J551" s="51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2"/>
      <c r="B552" s="53"/>
      <c r="C552" s="53"/>
      <c r="D552" s="53"/>
      <c r="E552" s="53"/>
      <c r="F552" s="54"/>
      <c r="G552" s="53"/>
      <c r="H552" s="53"/>
      <c r="I552" s="53"/>
      <c r="J552" s="51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5"/>
      <c r="B553" s="56"/>
      <c r="C553" s="56"/>
      <c r="D553" s="56"/>
      <c r="E553" s="56"/>
      <c r="F553" s="63"/>
      <c r="G553" s="56"/>
      <c r="H553" s="56"/>
      <c r="I553" s="56"/>
      <c r="J553" s="51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2"/>
      <c r="B554" s="53"/>
      <c r="C554" s="53"/>
      <c r="D554" s="53"/>
      <c r="E554" s="53"/>
      <c r="F554" s="54"/>
      <c r="G554" s="53"/>
      <c r="H554" s="53"/>
      <c r="I554" s="53"/>
      <c r="J554" s="51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5"/>
      <c r="B555" s="56"/>
      <c r="C555" s="56"/>
      <c r="D555" s="56"/>
      <c r="E555" s="56"/>
      <c r="F555" s="63"/>
      <c r="G555" s="56"/>
      <c r="H555" s="56"/>
      <c r="I555" s="56"/>
      <c r="J555" s="51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2"/>
      <c r="B556" s="53"/>
      <c r="C556" s="53"/>
      <c r="D556" s="53"/>
      <c r="E556" s="53"/>
      <c r="F556" s="54"/>
      <c r="G556" s="53"/>
      <c r="H556" s="53"/>
      <c r="I556" s="53"/>
      <c r="J556" s="51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5"/>
      <c r="B557" s="56"/>
      <c r="C557" s="56"/>
      <c r="D557" s="56"/>
      <c r="E557" s="56"/>
      <c r="F557" s="63"/>
      <c r="G557" s="56"/>
      <c r="H557" s="56"/>
      <c r="I557" s="56"/>
      <c r="J557" s="51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2"/>
      <c r="B558" s="53"/>
      <c r="C558" s="53"/>
      <c r="D558" s="53"/>
      <c r="E558" s="53"/>
      <c r="F558" s="54"/>
      <c r="G558" s="53"/>
      <c r="H558" s="53"/>
      <c r="I558" s="53"/>
      <c r="J558" s="51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5"/>
      <c r="B559" s="56"/>
      <c r="C559" s="56"/>
      <c r="D559" s="56"/>
      <c r="E559" s="56"/>
      <c r="F559" s="63"/>
      <c r="G559" s="56"/>
      <c r="H559" s="56"/>
      <c r="I559" s="56"/>
      <c r="J559" s="51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2"/>
      <c r="B560" s="53"/>
      <c r="C560" s="53"/>
      <c r="D560" s="53"/>
      <c r="E560" s="53"/>
      <c r="F560" s="54"/>
      <c r="G560" s="53"/>
      <c r="H560" s="53"/>
      <c r="I560" s="53"/>
      <c r="J560" s="51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5"/>
      <c r="B561" s="56"/>
      <c r="C561" s="56"/>
      <c r="D561" s="56"/>
      <c r="E561" s="56"/>
      <c r="F561" s="63"/>
      <c r="G561" s="56"/>
      <c r="H561" s="56"/>
      <c r="I561" s="56"/>
      <c r="J561" s="51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2"/>
      <c r="B562" s="53"/>
      <c r="C562" s="53"/>
      <c r="D562" s="53"/>
      <c r="E562" s="53"/>
      <c r="F562" s="54"/>
      <c r="G562" s="53"/>
      <c r="H562" s="53"/>
      <c r="I562" s="53"/>
      <c r="J562" s="51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5"/>
      <c r="B563" s="56"/>
      <c r="C563" s="56"/>
      <c r="D563" s="56"/>
      <c r="E563" s="56"/>
      <c r="F563" s="63"/>
      <c r="G563" s="56"/>
      <c r="H563" s="56"/>
      <c r="I563" s="56"/>
      <c r="J563" s="51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2"/>
      <c r="B564" s="53"/>
      <c r="C564" s="53"/>
      <c r="D564" s="53"/>
      <c r="E564" s="53"/>
      <c r="F564" s="54"/>
      <c r="G564" s="53"/>
      <c r="H564" s="53"/>
      <c r="I564" s="53"/>
      <c r="J564" s="51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5"/>
      <c r="B565" s="56"/>
      <c r="C565" s="56"/>
      <c r="D565" s="56"/>
      <c r="E565" s="56"/>
      <c r="F565" s="63"/>
      <c r="G565" s="56"/>
      <c r="H565" s="56"/>
      <c r="I565" s="56"/>
      <c r="J565" s="51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2"/>
      <c r="B566" s="53"/>
      <c r="C566" s="53"/>
      <c r="D566" s="53"/>
      <c r="E566" s="53"/>
      <c r="F566" s="54"/>
      <c r="G566" s="53"/>
      <c r="H566" s="53"/>
      <c r="I566" s="53"/>
      <c r="J566" s="51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5"/>
      <c r="B567" s="56"/>
      <c r="C567" s="56"/>
      <c r="D567" s="56"/>
      <c r="E567" s="56"/>
      <c r="F567" s="63"/>
      <c r="G567" s="56"/>
      <c r="H567" s="56"/>
      <c r="I567" s="56"/>
      <c r="J567" s="51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2"/>
      <c r="B568" s="53"/>
      <c r="C568" s="53"/>
      <c r="D568" s="53"/>
      <c r="E568" s="53"/>
      <c r="F568" s="54"/>
      <c r="G568" s="53"/>
      <c r="H568" s="53"/>
      <c r="I568" s="53"/>
      <c r="J568" s="51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5"/>
      <c r="B569" s="56"/>
      <c r="C569" s="56"/>
      <c r="D569" s="56"/>
      <c r="E569" s="56"/>
      <c r="F569" s="63"/>
      <c r="G569" s="56"/>
      <c r="H569" s="56"/>
      <c r="I569" s="56"/>
      <c r="J569" s="51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2"/>
      <c r="B570" s="53"/>
      <c r="C570" s="53"/>
      <c r="D570" s="53"/>
      <c r="E570" s="53"/>
      <c r="F570" s="54"/>
      <c r="G570" s="53"/>
      <c r="H570" s="53"/>
      <c r="I570" s="53"/>
      <c r="J570" s="51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5"/>
      <c r="B571" s="56"/>
      <c r="C571" s="56"/>
      <c r="D571" s="56"/>
      <c r="E571" s="56"/>
      <c r="F571" s="63"/>
      <c r="G571" s="56"/>
      <c r="H571" s="56"/>
      <c r="I571" s="56"/>
      <c r="J571" s="51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2"/>
      <c r="B572" s="53"/>
      <c r="C572" s="53"/>
      <c r="D572" s="53"/>
      <c r="E572" s="53"/>
      <c r="F572" s="54"/>
      <c r="G572" s="53"/>
      <c r="H572" s="53"/>
      <c r="I572" s="53"/>
      <c r="J572" s="51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5"/>
      <c r="B573" s="56"/>
      <c r="C573" s="56"/>
      <c r="D573" s="56"/>
      <c r="E573" s="56"/>
      <c r="F573" s="63"/>
      <c r="G573" s="56"/>
      <c r="H573" s="56"/>
      <c r="I573" s="56"/>
      <c r="J573" s="51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2"/>
      <c r="B574" s="53"/>
      <c r="C574" s="53"/>
      <c r="D574" s="53"/>
      <c r="E574" s="53"/>
      <c r="F574" s="54"/>
      <c r="G574" s="53"/>
      <c r="H574" s="53"/>
      <c r="I574" s="53"/>
      <c r="J574" s="51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5"/>
      <c r="B575" s="56"/>
      <c r="C575" s="56"/>
      <c r="D575" s="56"/>
      <c r="E575" s="56"/>
      <c r="F575" s="63"/>
      <c r="G575" s="56"/>
      <c r="H575" s="56"/>
      <c r="I575" s="56"/>
      <c r="J575" s="51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2"/>
      <c r="B576" s="53"/>
      <c r="C576" s="53"/>
      <c r="D576" s="53"/>
      <c r="E576" s="53"/>
      <c r="F576" s="54"/>
      <c r="G576" s="53"/>
      <c r="H576" s="53"/>
      <c r="I576" s="53"/>
      <c r="J576" s="51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5"/>
      <c r="B577" s="56"/>
      <c r="C577" s="56"/>
      <c r="D577" s="56"/>
      <c r="E577" s="56"/>
      <c r="F577" s="63"/>
      <c r="G577" s="56"/>
      <c r="H577" s="56"/>
      <c r="I577" s="56"/>
      <c r="J577" s="51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2"/>
      <c r="B578" s="53"/>
      <c r="C578" s="53"/>
      <c r="D578" s="53"/>
      <c r="E578" s="53"/>
      <c r="F578" s="54"/>
      <c r="G578" s="53"/>
      <c r="H578" s="53"/>
      <c r="I578" s="53"/>
      <c r="J578" s="51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5"/>
      <c r="B579" s="56"/>
      <c r="C579" s="56"/>
      <c r="D579" s="56"/>
      <c r="E579" s="56"/>
      <c r="F579" s="63"/>
      <c r="G579" s="56"/>
      <c r="H579" s="56"/>
      <c r="I579" s="56"/>
      <c r="J579" s="51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2"/>
      <c r="B580" s="53"/>
      <c r="C580" s="53"/>
      <c r="D580" s="53"/>
      <c r="E580" s="53"/>
      <c r="F580" s="54"/>
      <c r="G580" s="53"/>
      <c r="H580" s="53"/>
      <c r="I580" s="53"/>
      <c r="J580" s="51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5"/>
      <c r="B581" s="56"/>
      <c r="C581" s="56"/>
      <c r="D581" s="56"/>
      <c r="E581" s="56"/>
      <c r="F581" s="63"/>
      <c r="G581" s="56"/>
      <c r="H581" s="56"/>
      <c r="I581" s="56"/>
      <c r="J581" s="51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2"/>
      <c r="B582" s="53"/>
      <c r="C582" s="53"/>
      <c r="D582" s="53"/>
      <c r="E582" s="53"/>
      <c r="F582" s="54"/>
      <c r="G582" s="53"/>
      <c r="H582" s="53"/>
      <c r="I582" s="53"/>
      <c r="J582" s="51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5"/>
      <c r="B583" s="56"/>
      <c r="C583" s="56"/>
      <c r="D583" s="56"/>
      <c r="E583" s="56"/>
      <c r="F583" s="63"/>
      <c r="G583" s="56"/>
      <c r="H583" s="56"/>
      <c r="I583" s="56"/>
      <c r="J583" s="51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2"/>
      <c r="B584" s="53"/>
      <c r="C584" s="53"/>
      <c r="D584" s="53"/>
      <c r="E584" s="53"/>
      <c r="F584" s="54"/>
      <c r="G584" s="53"/>
      <c r="H584" s="53"/>
      <c r="I584" s="53"/>
      <c r="J584" s="51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5"/>
      <c r="B585" s="56"/>
      <c r="C585" s="56"/>
      <c r="D585" s="56"/>
      <c r="E585" s="56"/>
      <c r="F585" s="63"/>
      <c r="G585" s="56"/>
      <c r="H585" s="56"/>
      <c r="I585" s="56"/>
      <c r="J585" s="51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2"/>
      <c r="B586" s="53"/>
      <c r="C586" s="53"/>
      <c r="D586" s="53"/>
      <c r="E586" s="53"/>
      <c r="F586" s="54"/>
      <c r="G586" s="53"/>
      <c r="H586" s="53"/>
      <c r="I586" s="53"/>
      <c r="J586" s="51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5"/>
      <c r="B587" s="56"/>
      <c r="C587" s="56"/>
      <c r="D587" s="56"/>
      <c r="E587" s="56"/>
      <c r="F587" s="63"/>
      <c r="G587" s="56"/>
      <c r="H587" s="56"/>
      <c r="I587" s="56"/>
      <c r="J587" s="51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2"/>
      <c r="B588" s="53"/>
      <c r="C588" s="53"/>
      <c r="D588" s="53"/>
      <c r="E588" s="53"/>
      <c r="F588" s="54"/>
      <c r="G588" s="53"/>
      <c r="H588" s="53"/>
      <c r="I588" s="53"/>
      <c r="J588" s="51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5"/>
      <c r="B589" s="56"/>
      <c r="C589" s="56"/>
      <c r="D589" s="56"/>
      <c r="E589" s="56"/>
      <c r="F589" s="63"/>
      <c r="G589" s="56"/>
      <c r="H589" s="56"/>
      <c r="I589" s="56"/>
      <c r="J589" s="51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2"/>
      <c r="B590" s="53"/>
      <c r="C590" s="53"/>
      <c r="D590" s="53"/>
      <c r="E590" s="53"/>
      <c r="F590" s="54"/>
      <c r="G590" s="53"/>
      <c r="H590" s="53"/>
      <c r="I590" s="53"/>
      <c r="J590" s="51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5"/>
      <c r="B591" s="56"/>
      <c r="C591" s="56"/>
      <c r="D591" s="56"/>
      <c r="E591" s="56"/>
      <c r="F591" s="63"/>
      <c r="G591" s="56"/>
      <c r="H591" s="56"/>
      <c r="I591" s="56"/>
      <c r="J591" s="51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2"/>
      <c r="B592" s="53"/>
      <c r="C592" s="53"/>
      <c r="D592" s="53"/>
      <c r="E592" s="53"/>
      <c r="F592" s="54"/>
      <c r="G592" s="53"/>
      <c r="H592" s="53"/>
      <c r="I592" s="53"/>
      <c r="J592" s="51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5"/>
      <c r="B593" s="56"/>
      <c r="C593" s="56"/>
      <c r="D593" s="56"/>
      <c r="E593" s="56"/>
      <c r="F593" s="63"/>
      <c r="G593" s="56"/>
      <c r="H593" s="56"/>
      <c r="I593" s="56"/>
      <c r="J593" s="51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2"/>
      <c r="B594" s="53"/>
      <c r="C594" s="53"/>
      <c r="D594" s="53"/>
      <c r="E594" s="53"/>
      <c r="F594" s="54"/>
      <c r="G594" s="53"/>
      <c r="H594" s="53"/>
      <c r="I594" s="53"/>
      <c r="J594" s="51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5"/>
      <c r="B595" s="56"/>
      <c r="C595" s="56"/>
      <c r="D595" s="56"/>
      <c r="E595" s="56"/>
      <c r="F595" s="63"/>
      <c r="G595" s="56"/>
      <c r="H595" s="56"/>
      <c r="I595" s="56"/>
      <c r="J595" s="51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2"/>
      <c r="B596" s="53"/>
      <c r="C596" s="53"/>
      <c r="D596" s="53"/>
      <c r="E596" s="53"/>
      <c r="F596" s="54"/>
      <c r="G596" s="53"/>
      <c r="H596" s="53"/>
      <c r="I596" s="53"/>
      <c r="J596" s="51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5"/>
      <c r="B597" s="56"/>
      <c r="C597" s="56"/>
      <c r="D597" s="56"/>
      <c r="E597" s="56"/>
      <c r="F597" s="63"/>
      <c r="G597" s="56"/>
      <c r="H597" s="56"/>
      <c r="I597" s="56"/>
      <c r="J597" s="51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2"/>
      <c r="B598" s="53"/>
      <c r="C598" s="53"/>
      <c r="D598" s="53"/>
      <c r="E598" s="53"/>
      <c r="F598" s="54"/>
      <c r="G598" s="53"/>
      <c r="H598" s="53"/>
      <c r="I598" s="53"/>
      <c r="J598" s="51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5"/>
      <c r="B599" s="56"/>
      <c r="C599" s="56"/>
      <c r="D599" s="56"/>
      <c r="E599" s="56"/>
      <c r="F599" s="63"/>
      <c r="G599" s="56"/>
      <c r="H599" s="56"/>
      <c r="I599" s="56"/>
      <c r="J599" s="51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2"/>
      <c r="B600" s="53"/>
      <c r="C600" s="53"/>
      <c r="D600" s="53"/>
      <c r="E600" s="53"/>
      <c r="F600" s="54"/>
      <c r="G600" s="53"/>
      <c r="H600" s="53"/>
      <c r="I600" s="53"/>
      <c r="J600" s="51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5"/>
      <c r="B601" s="56"/>
      <c r="C601" s="56"/>
      <c r="D601" s="56"/>
      <c r="E601" s="56"/>
      <c r="F601" s="63"/>
      <c r="G601" s="56"/>
      <c r="H601" s="56"/>
      <c r="I601" s="56"/>
      <c r="J601" s="51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2"/>
      <c r="B602" s="53"/>
      <c r="C602" s="53"/>
      <c r="D602" s="53"/>
      <c r="E602" s="53"/>
      <c r="F602" s="54"/>
      <c r="G602" s="53"/>
      <c r="H602" s="53"/>
      <c r="I602" s="53"/>
      <c r="J602" s="51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5"/>
      <c r="B603" s="56"/>
      <c r="C603" s="56"/>
      <c r="D603" s="56"/>
      <c r="E603" s="56"/>
      <c r="F603" s="63"/>
      <c r="G603" s="56"/>
      <c r="H603" s="56"/>
      <c r="I603" s="56"/>
      <c r="J603" s="51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2"/>
      <c r="B604" s="53"/>
      <c r="C604" s="53"/>
      <c r="D604" s="53"/>
      <c r="E604" s="53"/>
      <c r="F604" s="54"/>
      <c r="G604" s="53"/>
      <c r="H604" s="53"/>
      <c r="I604" s="53"/>
      <c r="J604" s="51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5"/>
      <c r="B605" s="56"/>
      <c r="C605" s="56"/>
      <c r="D605" s="56"/>
      <c r="E605" s="56"/>
      <c r="F605" s="63"/>
      <c r="G605" s="56"/>
      <c r="H605" s="56"/>
      <c r="I605" s="56"/>
      <c r="J605" s="51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2"/>
      <c r="B606" s="53"/>
      <c r="C606" s="53"/>
      <c r="D606" s="53"/>
      <c r="E606" s="53"/>
      <c r="F606" s="54"/>
      <c r="G606" s="53"/>
      <c r="H606" s="53"/>
      <c r="I606" s="53"/>
      <c r="J606" s="51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5"/>
      <c r="B607" s="56"/>
      <c r="C607" s="56"/>
      <c r="D607" s="56"/>
      <c r="E607" s="56"/>
      <c r="F607" s="63"/>
      <c r="G607" s="56"/>
      <c r="H607" s="56"/>
      <c r="I607" s="56"/>
      <c r="J607" s="51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2"/>
      <c r="B608" s="53"/>
      <c r="C608" s="53"/>
      <c r="D608" s="53"/>
      <c r="E608" s="53"/>
      <c r="F608" s="54"/>
      <c r="G608" s="53"/>
      <c r="H608" s="53"/>
      <c r="I608" s="53"/>
      <c r="J608" s="51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5"/>
      <c r="B609" s="56"/>
      <c r="C609" s="56"/>
      <c r="D609" s="56"/>
      <c r="E609" s="56"/>
      <c r="F609" s="63"/>
      <c r="G609" s="56"/>
      <c r="H609" s="56"/>
      <c r="I609" s="56"/>
      <c r="J609" s="51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2"/>
      <c r="B610" s="53"/>
      <c r="C610" s="53"/>
      <c r="D610" s="53"/>
      <c r="E610" s="53"/>
      <c r="F610" s="54"/>
      <c r="G610" s="53"/>
      <c r="H610" s="53"/>
      <c r="I610" s="53"/>
      <c r="J610" s="51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5"/>
      <c r="B611" s="56"/>
      <c r="C611" s="56"/>
      <c r="D611" s="56"/>
      <c r="E611" s="56"/>
      <c r="F611" s="63"/>
      <c r="G611" s="56"/>
      <c r="H611" s="56"/>
      <c r="I611" s="56"/>
      <c r="J611" s="51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2"/>
      <c r="B612" s="53"/>
      <c r="C612" s="53"/>
      <c r="D612" s="53"/>
      <c r="E612" s="53"/>
      <c r="F612" s="54"/>
      <c r="G612" s="53"/>
      <c r="H612" s="53"/>
      <c r="I612" s="53"/>
      <c r="J612" s="51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5"/>
      <c r="B613" s="56"/>
      <c r="C613" s="56"/>
      <c r="D613" s="56"/>
      <c r="E613" s="56"/>
      <c r="F613" s="63"/>
      <c r="G613" s="56"/>
      <c r="H613" s="56"/>
      <c r="I613" s="56"/>
      <c r="J613" s="51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2"/>
      <c r="B614" s="53"/>
      <c r="C614" s="53"/>
      <c r="D614" s="53"/>
      <c r="E614" s="53"/>
      <c r="F614" s="54"/>
      <c r="G614" s="53"/>
      <c r="H614" s="53"/>
      <c r="I614" s="53"/>
      <c r="J614" s="51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5"/>
      <c r="B615" s="56"/>
      <c r="C615" s="56"/>
      <c r="D615" s="56"/>
      <c r="E615" s="56"/>
      <c r="F615" s="63"/>
      <c r="G615" s="56"/>
      <c r="H615" s="56"/>
      <c r="I615" s="56"/>
      <c r="J615" s="51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2"/>
      <c r="B616" s="53"/>
      <c r="C616" s="53"/>
      <c r="D616" s="53"/>
      <c r="E616" s="53"/>
      <c r="F616" s="54"/>
      <c r="G616" s="53"/>
      <c r="H616" s="53"/>
      <c r="I616" s="53"/>
      <c r="J616" s="51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5"/>
      <c r="B617" s="56"/>
      <c r="C617" s="56"/>
      <c r="D617" s="56"/>
      <c r="E617" s="56"/>
      <c r="F617" s="63"/>
      <c r="G617" s="56"/>
      <c r="H617" s="56"/>
      <c r="I617" s="56"/>
      <c r="J617" s="51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2"/>
      <c r="B618" s="53"/>
      <c r="C618" s="53"/>
      <c r="D618" s="53"/>
      <c r="E618" s="53"/>
      <c r="F618" s="54"/>
      <c r="G618" s="53"/>
      <c r="H618" s="53"/>
      <c r="I618" s="53"/>
      <c r="J618" s="51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5"/>
      <c r="B619" s="56"/>
      <c r="C619" s="56"/>
      <c r="D619" s="56"/>
      <c r="E619" s="56"/>
      <c r="F619" s="63"/>
      <c r="G619" s="56"/>
      <c r="H619" s="56"/>
      <c r="I619" s="56"/>
      <c r="J619" s="51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2"/>
      <c r="B620" s="53"/>
      <c r="C620" s="53"/>
      <c r="D620" s="53"/>
      <c r="E620" s="53"/>
      <c r="F620" s="54"/>
      <c r="G620" s="53"/>
      <c r="H620" s="53"/>
      <c r="I620" s="53"/>
      <c r="J620" s="51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5"/>
      <c r="B621" s="56"/>
      <c r="C621" s="56"/>
      <c r="D621" s="56"/>
      <c r="E621" s="56"/>
      <c r="F621" s="63"/>
      <c r="G621" s="56"/>
      <c r="H621" s="56"/>
      <c r="I621" s="56"/>
      <c r="J621" s="51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2"/>
      <c r="B622" s="53"/>
      <c r="C622" s="53"/>
      <c r="D622" s="53"/>
      <c r="E622" s="53"/>
      <c r="F622" s="54"/>
      <c r="G622" s="53"/>
      <c r="H622" s="53"/>
      <c r="I622" s="53"/>
      <c r="J622" s="51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5"/>
      <c r="B623" s="56"/>
      <c r="C623" s="56"/>
      <c r="D623" s="56"/>
      <c r="E623" s="56"/>
      <c r="F623" s="63"/>
      <c r="G623" s="56"/>
      <c r="H623" s="56"/>
      <c r="I623" s="56"/>
      <c r="J623" s="51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2"/>
      <c r="B624" s="53"/>
      <c r="C624" s="53"/>
      <c r="D624" s="53"/>
      <c r="E624" s="53"/>
      <c r="F624" s="54"/>
      <c r="G624" s="53"/>
      <c r="H624" s="53"/>
      <c r="I624" s="53"/>
      <c r="J624" s="51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5"/>
      <c r="B625" s="56"/>
      <c r="C625" s="56"/>
      <c r="D625" s="56"/>
      <c r="E625" s="56"/>
      <c r="F625" s="63"/>
      <c r="G625" s="56"/>
      <c r="H625" s="56"/>
      <c r="I625" s="56"/>
      <c r="J625" s="51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2"/>
      <c r="B626" s="53"/>
      <c r="C626" s="53"/>
      <c r="D626" s="53"/>
      <c r="E626" s="53"/>
      <c r="F626" s="54"/>
      <c r="G626" s="53"/>
      <c r="H626" s="53"/>
      <c r="I626" s="53"/>
      <c r="J626" s="51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5"/>
      <c r="B627" s="56"/>
      <c r="C627" s="56"/>
      <c r="D627" s="56"/>
      <c r="E627" s="56"/>
      <c r="F627" s="63"/>
      <c r="G627" s="56"/>
      <c r="H627" s="56"/>
      <c r="I627" s="56"/>
      <c r="J627" s="51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2"/>
      <c r="B628" s="53"/>
      <c r="C628" s="53"/>
      <c r="D628" s="53"/>
      <c r="E628" s="53"/>
      <c r="F628" s="54"/>
      <c r="G628" s="53"/>
      <c r="H628" s="53"/>
      <c r="I628" s="53"/>
      <c r="J628" s="51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5"/>
      <c r="B629" s="56"/>
      <c r="C629" s="56"/>
      <c r="D629" s="56"/>
      <c r="E629" s="56"/>
      <c r="F629" s="63"/>
      <c r="G629" s="56"/>
      <c r="H629" s="56"/>
      <c r="I629" s="56"/>
      <c r="J629" s="51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2"/>
      <c r="B630" s="53"/>
      <c r="C630" s="53"/>
      <c r="D630" s="53"/>
      <c r="E630" s="53"/>
      <c r="F630" s="54"/>
      <c r="G630" s="53"/>
      <c r="H630" s="53"/>
      <c r="I630" s="53"/>
      <c r="J630" s="51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5"/>
      <c r="B631" s="56"/>
      <c r="C631" s="56"/>
      <c r="D631" s="56"/>
      <c r="E631" s="56"/>
      <c r="F631" s="63"/>
      <c r="G631" s="56"/>
      <c r="H631" s="56"/>
      <c r="I631" s="56"/>
      <c r="J631" s="51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2"/>
      <c r="B632" s="53"/>
      <c r="C632" s="53"/>
      <c r="D632" s="53"/>
      <c r="E632" s="53"/>
      <c r="F632" s="54"/>
      <c r="G632" s="53"/>
      <c r="H632" s="53"/>
      <c r="I632" s="53"/>
      <c r="J632" s="51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5"/>
      <c r="B633" s="56"/>
      <c r="C633" s="56"/>
      <c r="D633" s="56"/>
      <c r="E633" s="56"/>
      <c r="F633" s="63"/>
      <c r="G633" s="56"/>
      <c r="H633" s="56"/>
      <c r="I633" s="56"/>
      <c r="J633" s="51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2"/>
      <c r="B634" s="53"/>
      <c r="C634" s="53"/>
      <c r="D634" s="53"/>
      <c r="E634" s="53"/>
      <c r="F634" s="54"/>
      <c r="G634" s="53"/>
      <c r="H634" s="53"/>
      <c r="I634" s="53"/>
      <c r="J634" s="51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5"/>
      <c r="B635" s="56"/>
      <c r="C635" s="56"/>
      <c r="D635" s="56"/>
      <c r="E635" s="56"/>
      <c r="F635" s="63"/>
      <c r="G635" s="56"/>
      <c r="H635" s="56"/>
      <c r="I635" s="56"/>
      <c r="J635" s="51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2"/>
      <c r="B636" s="53"/>
      <c r="C636" s="53"/>
      <c r="D636" s="53"/>
      <c r="E636" s="53"/>
      <c r="F636" s="54"/>
      <c r="G636" s="53"/>
      <c r="H636" s="53"/>
      <c r="I636" s="53"/>
      <c r="J636" s="51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5"/>
      <c r="B637" s="56"/>
      <c r="C637" s="56"/>
      <c r="D637" s="56"/>
      <c r="E637" s="56"/>
      <c r="F637" s="63"/>
      <c r="G637" s="56"/>
      <c r="H637" s="56"/>
      <c r="I637" s="56"/>
      <c r="J637" s="51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2"/>
      <c r="B638" s="53"/>
      <c r="C638" s="53"/>
      <c r="D638" s="53"/>
      <c r="E638" s="53"/>
      <c r="F638" s="54"/>
      <c r="G638" s="53"/>
      <c r="H638" s="53"/>
      <c r="I638" s="53"/>
      <c r="J638" s="51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5"/>
      <c r="B639" s="56"/>
      <c r="C639" s="56"/>
      <c r="D639" s="56"/>
      <c r="E639" s="56"/>
      <c r="F639" s="63"/>
      <c r="G639" s="56"/>
      <c r="H639" s="56"/>
      <c r="I639" s="56"/>
      <c r="J639" s="51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2"/>
      <c r="B640" s="53"/>
      <c r="C640" s="53"/>
      <c r="D640" s="53"/>
      <c r="E640" s="53"/>
      <c r="F640" s="54"/>
      <c r="G640" s="53"/>
      <c r="H640" s="53"/>
      <c r="I640" s="53"/>
      <c r="J640" s="51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5"/>
      <c r="B641" s="56"/>
      <c r="C641" s="56"/>
      <c r="D641" s="56"/>
      <c r="E641" s="56"/>
      <c r="F641" s="63"/>
      <c r="G641" s="56"/>
      <c r="H641" s="56"/>
      <c r="I641" s="56"/>
      <c r="J641" s="51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2"/>
      <c r="B642" s="53"/>
      <c r="C642" s="53"/>
      <c r="D642" s="53"/>
      <c r="E642" s="53"/>
      <c r="F642" s="54"/>
      <c r="G642" s="53"/>
      <c r="H642" s="53"/>
      <c r="I642" s="53"/>
      <c r="J642" s="51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5"/>
      <c r="B643" s="56"/>
      <c r="C643" s="56"/>
      <c r="D643" s="56"/>
      <c r="E643" s="56"/>
      <c r="F643" s="63"/>
      <c r="G643" s="56"/>
      <c r="H643" s="56"/>
      <c r="I643" s="56"/>
      <c r="J643" s="51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2"/>
      <c r="B644" s="53"/>
      <c r="C644" s="53"/>
      <c r="D644" s="53"/>
      <c r="E644" s="53"/>
      <c r="F644" s="54"/>
      <c r="G644" s="53"/>
      <c r="H644" s="53"/>
      <c r="I644" s="53"/>
      <c r="J644" s="51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5"/>
      <c r="B645" s="56"/>
      <c r="C645" s="56"/>
      <c r="D645" s="56"/>
      <c r="E645" s="56"/>
      <c r="F645" s="63"/>
      <c r="G645" s="56"/>
      <c r="H645" s="56"/>
      <c r="I645" s="56"/>
      <c r="J645" s="51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2"/>
      <c r="B646" s="53"/>
      <c r="C646" s="53"/>
      <c r="D646" s="53"/>
      <c r="E646" s="53"/>
      <c r="F646" s="54"/>
      <c r="G646" s="53"/>
      <c r="H646" s="53"/>
      <c r="I646" s="53"/>
      <c r="J646" s="51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5"/>
      <c r="B647" s="56"/>
      <c r="C647" s="56"/>
      <c r="D647" s="56"/>
      <c r="E647" s="56"/>
      <c r="F647" s="63"/>
      <c r="G647" s="56"/>
      <c r="H647" s="56"/>
      <c r="I647" s="56"/>
      <c r="J647" s="51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2"/>
      <c r="B648" s="53"/>
      <c r="C648" s="53"/>
      <c r="D648" s="53"/>
      <c r="E648" s="53"/>
      <c r="F648" s="54"/>
      <c r="G648" s="53"/>
      <c r="H648" s="53"/>
      <c r="I648" s="53"/>
      <c r="J648" s="51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5"/>
      <c r="B649" s="56"/>
      <c r="C649" s="56"/>
      <c r="D649" s="56"/>
      <c r="E649" s="56"/>
      <c r="F649" s="63"/>
      <c r="G649" s="56"/>
      <c r="H649" s="56"/>
      <c r="I649" s="56"/>
      <c r="J649" s="51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2"/>
      <c r="B650" s="53"/>
      <c r="C650" s="53"/>
      <c r="D650" s="53"/>
      <c r="E650" s="53"/>
      <c r="F650" s="54"/>
      <c r="G650" s="53"/>
      <c r="H650" s="53"/>
      <c r="I650" s="53"/>
      <c r="J650" s="51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5"/>
      <c r="B651" s="56"/>
      <c r="C651" s="56"/>
      <c r="D651" s="56"/>
      <c r="E651" s="56"/>
      <c r="F651" s="63"/>
      <c r="G651" s="56"/>
      <c r="H651" s="56"/>
      <c r="I651" s="56"/>
      <c r="J651" s="51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2"/>
      <c r="B652" s="53"/>
      <c r="C652" s="53"/>
      <c r="D652" s="53"/>
      <c r="E652" s="53"/>
      <c r="F652" s="54"/>
      <c r="G652" s="53"/>
      <c r="H652" s="53"/>
      <c r="I652" s="53"/>
      <c r="J652" s="51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5"/>
      <c r="B653" s="56"/>
      <c r="C653" s="56"/>
      <c r="D653" s="56"/>
      <c r="E653" s="56"/>
      <c r="F653" s="63"/>
      <c r="G653" s="56"/>
      <c r="H653" s="56"/>
      <c r="I653" s="56"/>
      <c r="J653" s="51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2"/>
      <c r="B654" s="53"/>
      <c r="C654" s="53"/>
      <c r="D654" s="53"/>
      <c r="E654" s="53"/>
      <c r="F654" s="54"/>
      <c r="G654" s="53"/>
      <c r="H654" s="53"/>
      <c r="I654" s="53"/>
      <c r="J654" s="51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5"/>
      <c r="B655" s="56"/>
      <c r="C655" s="56"/>
      <c r="D655" s="56"/>
      <c r="E655" s="56"/>
      <c r="F655" s="63"/>
      <c r="G655" s="56"/>
      <c r="H655" s="56"/>
      <c r="I655" s="56"/>
      <c r="J655" s="51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2"/>
      <c r="B656" s="53"/>
      <c r="C656" s="53"/>
      <c r="D656" s="53"/>
      <c r="E656" s="53"/>
      <c r="F656" s="54"/>
      <c r="G656" s="53"/>
      <c r="H656" s="53"/>
      <c r="I656" s="53"/>
      <c r="J656" s="51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5"/>
      <c r="B657" s="56"/>
      <c r="C657" s="56"/>
      <c r="D657" s="56"/>
      <c r="E657" s="56"/>
      <c r="F657" s="63"/>
      <c r="G657" s="56"/>
      <c r="H657" s="56"/>
      <c r="I657" s="56"/>
      <c r="J657" s="51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2"/>
      <c r="B658" s="53"/>
      <c r="C658" s="53"/>
      <c r="D658" s="53"/>
      <c r="E658" s="53"/>
      <c r="F658" s="54"/>
      <c r="G658" s="53"/>
      <c r="H658" s="53"/>
      <c r="I658" s="53"/>
      <c r="J658" s="51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5"/>
      <c r="B659" s="56"/>
      <c r="C659" s="56"/>
      <c r="D659" s="56"/>
      <c r="E659" s="56"/>
      <c r="F659" s="63"/>
      <c r="G659" s="56"/>
      <c r="H659" s="56"/>
      <c r="I659" s="56"/>
      <c r="J659" s="51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2"/>
      <c r="B660" s="53"/>
      <c r="C660" s="53"/>
      <c r="D660" s="53"/>
      <c r="E660" s="53"/>
      <c r="F660" s="54"/>
      <c r="G660" s="53"/>
      <c r="H660" s="53"/>
      <c r="I660" s="53"/>
      <c r="J660" s="51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5"/>
      <c r="B661" s="56"/>
      <c r="C661" s="56"/>
      <c r="D661" s="56"/>
      <c r="E661" s="56"/>
      <c r="F661" s="63"/>
      <c r="G661" s="56"/>
      <c r="H661" s="56"/>
      <c r="I661" s="56"/>
      <c r="J661" s="51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2"/>
      <c r="B662" s="53"/>
      <c r="C662" s="53"/>
      <c r="D662" s="53"/>
      <c r="E662" s="53"/>
      <c r="F662" s="54"/>
      <c r="G662" s="53"/>
      <c r="H662" s="53"/>
      <c r="I662" s="53"/>
      <c r="J662" s="51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5"/>
      <c r="B663" s="56"/>
      <c r="C663" s="56"/>
      <c r="D663" s="56"/>
      <c r="E663" s="56"/>
      <c r="F663" s="63"/>
      <c r="G663" s="56"/>
      <c r="H663" s="56"/>
      <c r="I663" s="56"/>
      <c r="J663" s="51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2"/>
      <c r="B664" s="53"/>
      <c r="C664" s="53"/>
      <c r="D664" s="53"/>
      <c r="E664" s="53"/>
      <c r="F664" s="54"/>
      <c r="G664" s="53"/>
      <c r="H664" s="53"/>
      <c r="I664" s="53"/>
      <c r="J664" s="51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5"/>
      <c r="B665" s="56"/>
      <c r="C665" s="56"/>
      <c r="D665" s="56"/>
      <c r="E665" s="56"/>
      <c r="F665" s="63"/>
      <c r="G665" s="56"/>
      <c r="H665" s="56"/>
      <c r="I665" s="56"/>
      <c r="J665" s="51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2"/>
      <c r="B666" s="53"/>
      <c r="C666" s="53"/>
      <c r="D666" s="53"/>
      <c r="E666" s="53"/>
      <c r="F666" s="54"/>
      <c r="G666" s="53"/>
      <c r="H666" s="53"/>
      <c r="I666" s="53"/>
      <c r="J666" s="51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5"/>
      <c r="B667" s="56"/>
      <c r="C667" s="56"/>
      <c r="D667" s="56"/>
      <c r="E667" s="56"/>
      <c r="F667" s="63"/>
      <c r="G667" s="56"/>
      <c r="H667" s="56"/>
      <c r="I667" s="56"/>
      <c r="J667" s="51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2"/>
      <c r="B668" s="53"/>
      <c r="C668" s="53"/>
      <c r="D668" s="53"/>
      <c r="E668" s="53"/>
      <c r="F668" s="54"/>
      <c r="G668" s="53"/>
      <c r="H668" s="53"/>
      <c r="I668" s="53"/>
      <c r="J668" s="51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5"/>
      <c r="B669" s="56"/>
      <c r="C669" s="56"/>
      <c r="D669" s="56"/>
      <c r="E669" s="56"/>
      <c r="F669" s="63"/>
      <c r="G669" s="56"/>
      <c r="H669" s="56"/>
      <c r="I669" s="56"/>
      <c r="J669" s="51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2"/>
      <c r="B670" s="53"/>
      <c r="C670" s="53"/>
      <c r="D670" s="53"/>
      <c r="E670" s="53"/>
      <c r="F670" s="54"/>
      <c r="G670" s="53"/>
      <c r="H670" s="53"/>
      <c r="I670" s="53"/>
      <c r="J670" s="51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5"/>
      <c r="B671" s="56"/>
      <c r="C671" s="56"/>
      <c r="D671" s="56"/>
      <c r="E671" s="56"/>
      <c r="F671" s="63"/>
      <c r="G671" s="56"/>
      <c r="H671" s="56"/>
      <c r="I671" s="56"/>
      <c r="J671" s="51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2"/>
      <c r="B672" s="53"/>
      <c r="C672" s="53"/>
      <c r="D672" s="53"/>
      <c r="E672" s="53"/>
      <c r="F672" s="54"/>
      <c r="G672" s="53"/>
      <c r="H672" s="53"/>
      <c r="I672" s="53"/>
      <c r="J672" s="51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5"/>
      <c r="B673" s="56"/>
      <c r="C673" s="56"/>
      <c r="D673" s="56"/>
      <c r="E673" s="56"/>
      <c r="F673" s="63"/>
      <c r="G673" s="56"/>
      <c r="H673" s="56"/>
      <c r="I673" s="56"/>
      <c r="J673" s="51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2"/>
      <c r="B674" s="53"/>
      <c r="C674" s="53"/>
      <c r="D674" s="53"/>
      <c r="E674" s="53"/>
      <c r="F674" s="54"/>
      <c r="G674" s="53"/>
      <c r="H674" s="53"/>
      <c r="I674" s="53"/>
      <c r="J674" s="51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5"/>
      <c r="B675" s="56"/>
      <c r="C675" s="56"/>
      <c r="D675" s="56"/>
      <c r="E675" s="56"/>
      <c r="F675" s="63"/>
      <c r="G675" s="56"/>
      <c r="H675" s="56"/>
      <c r="I675" s="56"/>
      <c r="J675" s="51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2"/>
      <c r="B676" s="53"/>
      <c r="C676" s="53"/>
      <c r="D676" s="53"/>
      <c r="E676" s="53"/>
      <c r="F676" s="54"/>
      <c r="G676" s="53"/>
      <c r="H676" s="53"/>
      <c r="I676" s="53"/>
      <c r="J676" s="51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5"/>
      <c r="B677" s="56"/>
      <c r="C677" s="56"/>
      <c r="D677" s="56"/>
      <c r="E677" s="56"/>
      <c r="F677" s="63"/>
      <c r="G677" s="56"/>
      <c r="H677" s="56"/>
      <c r="I677" s="56"/>
      <c r="J677" s="51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2"/>
      <c r="B678" s="53"/>
      <c r="C678" s="53"/>
      <c r="D678" s="53"/>
      <c r="E678" s="53"/>
      <c r="F678" s="54"/>
      <c r="G678" s="53"/>
      <c r="H678" s="53"/>
      <c r="I678" s="53"/>
      <c r="J678" s="51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5"/>
      <c r="B679" s="56"/>
      <c r="C679" s="56"/>
      <c r="D679" s="56"/>
      <c r="E679" s="56"/>
      <c r="F679" s="63"/>
      <c r="G679" s="56"/>
      <c r="H679" s="56"/>
      <c r="I679" s="56"/>
      <c r="J679" s="51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2"/>
      <c r="B680" s="53"/>
      <c r="C680" s="53"/>
      <c r="D680" s="53"/>
      <c r="E680" s="53"/>
      <c r="F680" s="54"/>
      <c r="G680" s="53"/>
      <c r="H680" s="53"/>
      <c r="I680" s="53"/>
      <c r="J680" s="51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5"/>
      <c r="B681" s="56"/>
      <c r="C681" s="56"/>
      <c r="D681" s="56"/>
      <c r="E681" s="56"/>
      <c r="F681" s="63"/>
      <c r="G681" s="56"/>
      <c r="H681" s="56"/>
      <c r="I681" s="56"/>
      <c r="J681" s="51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2"/>
      <c r="B682" s="53"/>
      <c r="C682" s="53"/>
      <c r="D682" s="53"/>
      <c r="E682" s="53"/>
      <c r="F682" s="54"/>
      <c r="G682" s="53"/>
      <c r="H682" s="53"/>
      <c r="I682" s="53"/>
      <c r="J682" s="51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5"/>
      <c r="B683" s="56"/>
      <c r="C683" s="56"/>
      <c r="D683" s="56"/>
      <c r="E683" s="56"/>
      <c r="F683" s="63"/>
      <c r="G683" s="56"/>
      <c r="H683" s="56"/>
      <c r="I683" s="56"/>
      <c r="J683" s="51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2"/>
      <c r="B684" s="53"/>
      <c r="C684" s="53"/>
      <c r="D684" s="53"/>
      <c r="E684" s="53"/>
      <c r="F684" s="54"/>
      <c r="G684" s="53"/>
      <c r="H684" s="53"/>
      <c r="I684" s="53"/>
      <c r="J684" s="51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5"/>
      <c r="B685" s="56"/>
      <c r="C685" s="56"/>
      <c r="D685" s="56"/>
      <c r="E685" s="56"/>
      <c r="F685" s="63"/>
      <c r="G685" s="56"/>
      <c r="H685" s="56"/>
      <c r="I685" s="56"/>
      <c r="J685" s="51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2"/>
      <c r="B686" s="53"/>
      <c r="C686" s="53"/>
      <c r="D686" s="53"/>
      <c r="E686" s="53"/>
      <c r="F686" s="54"/>
      <c r="G686" s="53"/>
      <c r="H686" s="53"/>
      <c r="I686" s="53"/>
      <c r="J686" s="51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5"/>
      <c r="B687" s="56"/>
      <c r="C687" s="56"/>
      <c r="D687" s="56"/>
      <c r="E687" s="56"/>
      <c r="F687" s="63"/>
      <c r="G687" s="56"/>
      <c r="H687" s="56"/>
      <c r="I687" s="56"/>
      <c r="J687" s="51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2"/>
      <c r="B688" s="53"/>
      <c r="C688" s="53"/>
      <c r="D688" s="53"/>
      <c r="E688" s="53"/>
      <c r="F688" s="54"/>
      <c r="G688" s="53"/>
      <c r="H688" s="53"/>
      <c r="I688" s="53"/>
      <c r="J688" s="51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5"/>
      <c r="B689" s="56"/>
      <c r="C689" s="56"/>
      <c r="D689" s="56"/>
      <c r="E689" s="56"/>
      <c r="F689" s="63"/>
      <c r="G689" s="56"/>
      <c r="H689" s="56"/>
      <c r="I689" s="56"/>
      <c r="J689" s="51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2"/>
      <c r="B690" s="53"/>
      <c r="C690" s="53"/>
      <c r="D690" s="53"/>
      <c r="E690" s="53"/>
      <c r="F690" s="54"/>
      <c r="G690" s="53"/>
      <c r="H690" s="53"/>
      <c r="I690" s="53"/>
      <c r="J690" s="51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5"/>
      <c r="B691" s="56"/>
      <c r="C691" s="56"/>
      <c r="D691" s="56"/>
      <c r="E691" s="56"/>
      <c r="F691" s="63"/>
      <c r="G691" s="56"/>
      <c r="H691" s="56"/>
      <c r="I691" s="56"/>
      <c r="J691" s="51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2"/>
      <c r="B692" s="53"/>
      <c r="C692" s="53"/>
      <c r="D692" s="53"/>
      <c r="E692" s="53"/>
      <c r="F692" s="54"/>
      <c r="G692" s="53"/>
      <c r="H692" s="53"/>
      <c r="I692" s="53"/>
      <c r="J692" s="51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5"/>
      <c r="B693" s="56"/>
      <c r="C693" s="56"/>
      <c r="D693" s="56"/>
      <c r="E693" s="56"/>
      <c r="F693" s="63"/>
      <c r="G693" s="56"/>
      <c r="H693" s="56"/>
      <c r="I693" s="56"/>
      <c r="J693" s="51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2"/>
      <c r="B694" s="53"/>
      <c r="C694" s="53"/>
      <c r="D694" s="53"/>
      <c r="E694" s="53"/>
      <c r="F694" s="54"/>
      <c r="G694" s="53"/>
      <c r="H694" s="53"/>
      <c r="I694" s="53"/>
      <c r="J694" s="51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5"/>
      <c r="B695" s="56"/>
      <c r="C695" s="56"/>
      <c r="D695" s="56"/>
      <c r="E695" s="56"/>
      <c r="F695" s="63"/>
      <c r="G695" s="56"/>
      <c r="H695" s="56"/>
      <c r="I695" s="56"/>
      <c r="J695" s="51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2"/>
      <c r="B696" s="53"/>
      <c r="C696" s="53"/>
      <c r="D696" s="53"/>
      <c r="E696" s="53"/>
      <c r="F696" s="54"/>
      <c r="G696" s="53"/>
      <c r="H696" s="53"/>
      <c r="I696" s="53"/>
      <c r="J696" s="51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5"/>
      <c r="B697" s="56"/>
      <c r="C697" s="56"/>
      <c r="D697" s="56"/>
      <c r="E697" s="56"/>
      <c r="F697" s="63"/>
      <c r="G697" s="56"/>
      <c r="H697" s="56"/>
      <c r="I697" s="56"/>
      <c r="J697" s="51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2"/>
      <c r="B698" s="53"/>
      <c r="C698" s="53"/>
      <c r="D698" s="53"/>
      <c r="E698" s="53"/>
      <c r="F698" s="54"/>
      <c r="G698" s="53"/>
      <c r="H698" s="53"/>
      <c r="I698" s="53"/>
      <c r="J698" s="51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5"/>
      <c r="B699" s="56"/>
      <c r="C699" s="56"/>
      <c r="D699" s="56"/>
      <c r="E699" s="56"/>
      <c r="F699" s="63"/>
      <c r="G699" s="56"/>
      <c r="H699" s="56"/>
      <c r="I699" s="56"/>
      <c r="J699" s="51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2"/>
      <c r="B700" s="53"/>
      <c r="C700" s="53"/>
      <c r="D700" s="53"/>
      <c r="E700" s="53"/>
      <c r="F700" s="54"/>
      <c r="G700" s="53"/>
      <c r="H700" s="53"/>
      <c r="I700" s="53"/>
      <c r="J700" s="51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5"/>
      <c r="B701" s="56"/>
      <c r="C701" s="56"/>
      <c r="D701" s="56"/>
      <c r="E701" s="56"/>
      <c r="F701" s="63"/>
      <c r="G701" s="56"/>
      <c r="H701" s="56"/>
      <c r="I701" s="56"/>
      <c r="J701" s="51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2"/>
      <c r="B702" s="53"/>
      <c r="C702" s="53"/>
      <c r="D702" s="53"/>
      <c r="E702" s="53"/>
      <c r="F702" s="54"/>
      <c r="G702" s="53"/>
      <c r="H702" s="53"/>
      <c r="I702" s="53"/>
      <c r="J702" s="51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5"/>
      <c r="B703" s="56"/>
      <c r="C703" s="56"/>
      <c r="D703" s="56"/>
      <c r="E703" s="56"/>
      <c r="F703" s="63"/>
      <c r="G703" s="56"/>
      <c r="H703" s="56"/>
      <c r="I703" s="56"/>
      <c r="J703" s="51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2"/>
      <c r="B704" s="53"/>
      <c r="C704" s="53"/>
      <c r="D704" s="53"/>
      <c r="E704" s="53"/>
      <c r="F704" s="54"/>
      <c r="G704" s="53"/>
      <c r="H704" s="53"/>
      <c r="I704" s="53"/>
      <c r="J704" s="51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5"/>
      <c r="B705" s="56"/>
      <c r="C705" s="56"/>
      <c r="D705" s="56"/>
      <c r="E705" s="56"/>
      <c r="F705" s="63"/>
      <c r="G705" s="56"/>
      <c r="H705" s="56"/>
      <c r="I705" s="56"/>
      <c r="J705" s="51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2"/>
      <c r="B706" s="53"/>
      <c r="C706" s="53"/>
      <c r="D706" s="53"/>
      <c r="E706" s="53"/>
      <c r="F706" s="54"/>
      <c r="G706" s="53"/>
      <c r="H706" s="53"/>
      <c r="I706" s="53"/>
      <c r="J706" s="51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5"/>
      <c r="B707" s="56"/>
      <c r="C707" s="56"/>
      <c r="D707" s="56"/>
      <c r="E707" s="56"/>
      <c r="F707" s="63"/>
      <c r="G707" s="56"/>
      <c r="H707" s="56"/>
      <c r="I707" s="56"/>
      <c r="J707" s="51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2"/>
      <c r="B708" s="53"/>
      <c r="C708" s="53"/>
      <c r="D708" s="53"/>
      <c r="E708" s="53"/>
      <c r="F708" s="54"/>
      <c r="G708" s="53"/>
      <c r="H708" s="53"/>
      <c r="I708" s="53"/>
      <c r="J708" s="51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5"/>
      <c r="B709" s="56"/>
      <c r="C709" s="56"/>
      <c r="D709" s="56"/>
      <c r="E709" s="56"/>
      <c r="F709" s="63"/>
      <c r="G709" s="56"/>
      <c r="H709" s="56"/>
      <c r="I709" s="56"/>
      <c r="J709" s="51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2"/>
      <c r="B710" s="53"/>
      <c r="C710" s="53"/>
      <c r="D710" s="53"/>
      <c r="E710" s="53"/>
      <c r="F710" s="54"/>
      <c r="G710" s="53"/>
      <c r="H710" s="53"/>
      <c r="I710" s="53"/>
      <c r="J710" s="51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5"/>
      <c r="B711" s="56"/>
      <c r="C711" s="56"/>
      <c r="D711" s="56"/>
      <c r="E711" s="56"/>
      <c r="F711" s="63"/>
      <c r="G711" s="56"/>
      <c r="H711" s="56"/>
      <c r="I711" s="56"/>
      <c r="J711" s="51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2"/>
      <c r="B712" s="53"/>
      <c r="C712" s="53"/>
      <c r="D712" s="53"/>
      <c r="E712" s="53"/>
      <c r="F712" s="54"/>
      <c r="G712" s="53"/>
      <c r="H712" s="53"/>
      <c r="I712" s="53"/>
      <c r="J712" s="51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5"/>
      <c r="B713" s="56"/>
      <c r="C713" s="56"/>
      <c r="D713" s="56"/>
      <c r="E713" s="56"/>
      <c r="F713" s="63"/>
      <c r="G713" s="56"/>
      <c r="H713" s="56"/>
      <c r="I713" s="56"/>
      <c r="J713" s="51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2"/>
      <c r="B714" s="53"/>
      <c r="C714" s="53"/>
      <c r="D714" s="53"/>
      <c r="E714" s="53"/>
      <c r="F714" s="54"/>
      <c r="G714" s="53"/>
      <c r="H714" s="53"/>
      <c r="I714" s="53"/>
      <c r="J714" s="51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5"/>
      <c r="B715" s="56"/>
      <c r="C715" s="56"/>
      <c r="D715" s="56"/>
      <c r="E715" s="56"/>
      <c r="F715" s="63"/>
      <c r="G715" s="56"/>
      <c r="H715" s="56"/>
      <c r="I715" s="56"/>
      <c r="J715" s="51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2"/>
      <c r="B716" s="53"/>
      <c r="C716" s="53"/>
      <c r="D716" s="53"/>
      <c r="E716" s="53"/>
      <c r="F716" s="54"/>
      <c r="G716" s="53"/>
      <c r="H716" s="53"/>
      <c r="I716" s="53"/>
      <c r="J716" s="51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5"/>
      <c r="B717" s="56"/>
      <c r="C717" s="56"/>
      <c r="D717" s="56"/>
      <c r="E717" s="56"/>
      <c r="F717" s="63"/>
      <c r="G717" s="56"/>
      <c r="H717" s="56"/>
      <c r="I717" s="56"/>
      <c r="J717" s="51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2"/>
      <c r="B718" s="53"/>
      <c r="C718" s="53"/>
      <c r="D718" s="53"/>
      <c r="E718" s="53"/>
      <c r="F718" s="54"/>
      <c r="G718" s="53"/>
      <c r="H718" s="53"/>
      <c r="I718" s="53"/>
      <c r="J718" s="51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5"/>
      <c r="B719" s="56"/>
      <c r="C719" s="56"/>
      <c r="D719" s="56"/>
      <c r="E719" s="56"/>
      <c r="F719" s="63"/>
      <c r="G719" s="56"/>
      <c r="H719" s="56"/>
      <c r="I719" s="56"/>
      <c r="J719" s="51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2"/>
      <c r="B720" s="53"/>
      <c r="C720" s="53"/>
      <c r="D720" s="53"/>
      <c r="E720" s="53"/>
      <c r="F720" s="54"/>
      <c r="G720" s="53"/>
      <c r="H720" s="53"/>
      <c r="I720" s="53"/>
      <c r="J720" s="51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5"/>
      <c r="B721" s="56"/>
      <c r="C721" s="56"/>
      <c r="D721" s="56"/>
      <c r="E721" s="56"/>
      <c r="F721" s="63"/>
      <c r="G721" s="56"/>
      <c r="H721" s="56"/>
      <c r="I721" s="56"/>
      <c r="J721" s="51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2"/>
      <c r="B722" s="53"/>
      <c r="C722" s="53"/>
      <c r="D722" s="53"/>
      <c r="E722" s="53"/>
      <c r="F722" s="54"/>
      <c r="G722" s="53"/>
      <c r="H722" s="53"/>
      <c r="I722" s="53"/>
      <c r="J722" s="51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5"/>
      <c r="B723" s="56"/>
      <c r="C723" s="56"/>
      <c r="D723" s="56"/>
      <c r="E723" s="56"/>
      <c r="F723" s="63"/>
      <c r="G723" s="56"/>
      <c r="H723" s="56"/>
      <c r="I723" s="56"/>
      <c r="J723" s="51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2"/>
      <c r="B724" s="53"/>
      <c r="C724" s="53"/>
      <c r="D724" s="53"/>
      <c r="E724" s="53"/>
      <c r="F724" s="54"/>
      <c r="G724" s="53"/>
      <c r="H724" s="53"/>
      <c r="I724" s="53"/>
      <c r="J724" s="51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5"/>
      <c r="B725" s="56"/>
      <c r="C725" s="56"/>
      <c r="D725" s="56"/>
      <c r="E725" s="56"/>
      <c r="F725" s="63"/>
      <c r="G725" s="56"/>
      <c r="H725" s="56"/>
      <c r="I725" s="56"/>
      <c r="J725" s="51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2"/>
      <c r="B726" s="53"/>
      <c r="C726" s="53"/>
      <c r="D726" s="53"/>
      <c r="E726" s="53"/>
      <c r="F726" s="54"/>
      <c r="G726" s="53"/>
      <c r="H726" s="53"/>
      <c r="I726" s="53"/>
      <c r="J726" s="51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5"/>
      <c r="B727" s="56"/>
      <c r="C727" s="56"/>
      <c r="D727" s="56"/>
      <c r="E727" s="56"/>
      <c r="F727" s="63"/>
      <c r="G727" s="56"/>
      <c r="H727" s="56"/>
      <c r="I727" s="56"/>
      <c r="J727" s="51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2"/>
      <c r="B728" s="53"/>
      <c r="C728" s="53"/>
      <c r="D728" s="53"/>
      <c r="E728" s="53"/>
      <c r="F728" s="54"/>
      <c r="G728" s="53"/>
      <c r="H728" s="53"/>
      <c r="I728" s="53"/>
      <c r="J728" s="51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5"/>
      <c r="B729" s="56"/>
      <c r="C729" s="56"/>
      <c r="D729" s="56"/>
      <c r="E729" s="56"/>
      <c r="F729" s="63"/>
      <c r="G729" s="56"/>
      <c r="H729" s="56"/>
      <c r="I729" s="56"/>
      <c r="J729" s="51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2"/>
      <c r="B730" s="53"/>
      <c r="C730" s="53"/>
      <c r="D730" s="53"/>
      <c r="E730" s="53"/>
      <c r="F730" s="54"/>
      <c r="G730" s="53"/>
      <c r="H730" s="53"/>
      <c r="I730" s="53"/>
      <c r="J730" s="51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5"/>
      <c r="B731" s="56"/>
      <c r="C731" s="56"/>
      <c r="D731" s="56"/>
      <c r="E731" s="56"/>
      <c r="F731" s="63"/>
      <c r="G731" s="56"/>
      <c r="H731" s="56"/>
      <c r="I731" s="56"/>
      <c r="J731" s="51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2"/>
      <c r="B732" s="53"/>
      <c r="C732" s="53"/>
      <c r="D732" s="53"/>
      <c r="E732" s="53"/>
      <c r="F732" s="54"/>
      <c r="G732" s="53"/>
      <c r="H732" s="53"/>
      <c r="I732" s="53"/>
      <c r="J732" s="51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5"/>
      <c r="B733" s="56"/>
      <c r="C733" s="56"/>
      <c r="D733" s="56"/>
      <c r="E733" s="56"/>
      <c r="F733" s="63"/>
      <c r="G733" s="56"/>
      <c r="H733" s="56"/>
      <c r="I733" s="56"/>
      <c r="J733" s="51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2"/>
      <c r="B734" s="53"/>
      <c r="C734" s="53"/>
      <c r="D734" s="53"/>
      <c r="E734" s="53"/>
      <c r="F734" s="54"/>
      <c r="G734" s="53"/>
      <c r="H734" s="53"/>
      <c r="I734" s="53"/>
      <c r="J734" s="51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5"/>
      <c r="B735" s="56"/>
      <c r="C735" s="56"/>
      <c r="D735" s="56"/>
      <c r="E735" s="56"/>
      <c r="F735" s="63"/>
      <c r="G735" s="56"/>
      <c r="H735" s="56"/>
      <c r="I735" s="56"/>
      <c r="J735" s="51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2"/>
      <c r="B736" s="53"/>
      <c r="C736" s="53"/>
      <c r="D736" s="53"/>
      <c r="E736" s="53"/>
      <c r="F736" s="54"/>
      <c r="G736" s="53"/>
      <c r="H736" s="53"/>
      <c r="I736" s="53"/>
      <c r="J736" s="51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5"/>
      <c r="B737" s="56"/>
      <c r="C737" s="56"/>
      <c r="D737" s="56"/>
      <c r="E737" s="56"/>
      <c r="F737" s="63"/>
      <c r="G737" s="56"/>
      <c r="H737" s="56"/>
      <c r="I737" s="56"/>
      <c r="J737" s="51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2"/>
      <c r="B738" s="53"/>
      <c r="C738" s="53"/>
      <c r="D738" s="53"/>
      <c r="E738" s="53"/>
      <c r="F738" s="54"/>
      <c r="G738" s="53"/>
      <c r="H738" s="53"/>
      <c r="I738" s="53"/>
      <c r="J738" s="51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5"/>
      <c r="B739" s="56"/>
      <c r="C739" s="56"/>
      <c r="D739" s="56"/>
      <c r="E739" s="56"/>
      <c r="F739" s="63"/>
      <c r="G739" s="56"/>
      <c r="H739" s="56"/>
      <c r="I739" s="56"/>
      <c r="J739" s="51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2"/>
      <c r="B740" s="53"/>
      <c r="C740" s="53"/>
      <c r="D740" s="53"/>
      <c r="E740" s="53"/>
      <c r="F740" s="54"/>
      <c r="G740" s="53"/>
      <c r="H740" s="53"/>
      <c r="I740" s="53"/>
      <c r="J740" s="51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5"/>
      <c r="B741" s="56"/>
      <c r="C741" s="56"/>
      <c r="D741" s="56"/>
      <c r="E741" s="56"/>
      <c r="F741" s="63"/>
      <c r="G741" s="56"/>
      <c r="H741" s="56"/>
      <c r="I741" s="56"/>
      <c r="J741" s="51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2"/>
      <c r="B742" s="53"/>
      <c r="C742" s="53"/>
      <c r="D742" s="53"/>
      <c r="E742" s="53"/>
      <c r="F742" s="54"/>
      <c r="G742" s="53"/>
      <c r="H742" s="53"/>
      <c r="I742" s="53"/>
      <c r="J742" s="51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5"/>
      <c r="B743" s="56"/>
      <c r="C743" s="56"/>
      <c r="D743" s="56"/>
      <c r="E743" s="56"/>
      <c r="F743" s="63"/>
      <c r="G743" s="56"/>
      <c r="H743" s="56"/>
      <c r="I743" s="56"/>
      <c r="J743" s="51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2"/>
      <c r="B744" s="53"/>
      <c r="C744" s="53"/>
      <c r="D744" s="53"/>
      <c r="E744" s="53"/>
      <c r="F744" s="54"/>
      <c r="G744" s="53"/>
      <c r="H744" s="53"/>
      <c r="I744" s="53"/>
      <c r="J744" s="51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5"/>
      <c r="B745" s="56"/>
      <c r="C745" s="56"/>
      <c r="D745" s="56"/>
      <c r="E745" s="56"/>
      <c r="F745" s="63"/>
      <c r="G745" s="56"/>
      <c r="H745" s="56"/>
      <c r="I745" s="56"/>
      <c r="J745" s="51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2"/>
      <c r="B746" s="53"/>
      <c r="C746" s="53"/>
      <c r="D746" s="53"/>
      <c r="E746" s="53"/>
      <c r="F746" s="54"/>
      <c r="G746" s="53"/>
      <c r="H746" s="53"/>
      <c r="I746" s="53"/>
      <c r="J746" s="51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5"/>
      <c r="B747" s="56"/>
      <c r="C747" s="56"/>
      <c r="D747" s="56"/>
      <c r="E747" s="56"/>
      <c r="F747" s="63"/>
      <c r="G747" s="56"/>
      <c r="H747" s="56"/>
      <c r="I747" s="56"/>
      <c r="J747" s="51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2"/>
      <c r="B748" s="53"/>
      <c r="C748" s="53"/>
      <c r="D748" s="53"/>
      <c r="E748" s="53"/>
      <c r="F748" s="54"/>
      <c r="G748" s="53"/>
      <c r="H748" s="53"/>
      <c r="I748" s="53"/>
      <c r="J748" s="51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5"/>
      <c r="B749" s="56"/>
      <c r="C749" s="56"/>
      <c r="D749" s="56"/>
      <c r="E749" s="56"/>
      <c r="F749" s="63"/>
      <c r="G749" s="56"/>
      <c r="H749" s="56"/>
      <c r="I749" s="56"/>
      <c r="J749" s="51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2"/>
      <c r="B750" s="53"/>
      <c r="C750" s="53"/>
      <c r="D750" s="53"/>
      <c r="E750" s="53"/>
      <c r="F750" s="54"/>
      <c r="G750" s="53"/>
      <c r="H750" s="53"/>
      <c r="I750" s="53"/>
      <c r="J750" s="51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5"/>
      <c r="B751" s="56"/>
      <c r="C751" s="56"/>
      <c r="D751" s="56"/>
      <c r="E751" s="56"/>
      <c r="F751" s="63"/>
      <c r="G751" s="56"/>
      <c r="H751" s="56"/>
      <c r="I751" s="56"/>
      <c r="J751" s="51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2"/>
      <c r="B752" s="53"/>
      <c r="C752" s="53"/>
      <c r="D752" s="53"/>
      <c r="E752" s="53"/>
      <c r="F752" s="54"/>
      <c r="G752" s="53"/>
      <c r="H752" s="53"/>
      <c r="I752" s="53"/>
      <c r="J752" s="51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5"/>
      <c r="B753" s="56"/>
      <c r="C753" s="56"/>
      <c r="D753" s="56"/>
      <c r="E753" s="56"/>
      <c r="F753" s="63"/>
      <c r="G753" s="56"/>
      <c r="H753" s="56"/>
      <c r="I753" s="56"/>
      <c r="J753" s="51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2"/>
      <c r="B754" s="53"/>
      <c r="C754" s="53"/>
      <c r="D754" s="53"/>
      <c r="E754" s="53"/>
      <c r="F754" s="54"/>
      <c r="G754" s="53"/>
      <c r="H754" s="53"/>
      <c r="I754" s="53"/>
      <c r="J754" s="51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5"/>
      <c r="B755" s="56"/>
      <c r="C755" s="56"/>
      <c r="D755" s="56"/>
      <c r="E755" s="56"/>
      <c r="F755" s="63"/>
      <c r="G755" s="56"/>
      <c r="H755" s="56"/>
      <c r="I755" s="56"/>
      <c r="J755" s="51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2"/>
      <c r="B756" s="53"/>
      <c r="C756" s="53"/>
      <c r="D756" s="53"/>
      <c r="E756" s="53"/>
      <c r="F756" s="54"/>
      <c r="G756" s="53"/>
      <c r="H756" s="53"/>
      <c r="I756" s="53"/>
      <c r="J756" s="51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5"/>
      <c r="B757" s="56"/>
      <c r="C757" s="56"/>
      <c r="D757" s="56"/>
      <c r="E757" s="56"/>
      <c r="F757" s="63"/>
      <c r="G757" s="56"/>
      <c r="H757" s="56"/>
      <c r="I757" s="56"/>
      <c r="J757" s="51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2"/>
      <c r="B758" s="53"/>
      <c r="C758" s="53"/>
      <c r="D758" s="53"/>
      <c r="E758" s="53"/>
      <c r="F758" s="54"/>
      <c r="G758" s="53"/>
      <c r="H758" s="53"/>
      <c r="I758" s="53"/>
      <c r="J758" s="51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5"/>
      <c r="B759" s="56"/>
      <c r="C759" s="56"/>
      <c r="D759" s="56"/>
      <c r="E759" s="56"/>
      <c r="F759" s="63"/>
      <c r="G759" s="56"/>
      <c r="H759" s="56"/>
      <c r="I759" s="56"/>
      <c r="J759" s="51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2"/>
      <c r="B760" s="53"/>
      <c r="C760" s="53"/>
      <c r="D760" s="53"/>
      <c r="E760" s="53"/>
      <c r="F760" s="54"/>
      <c r="G760" s="53"/>
      <c r="H760" s="53"/>
      <c r="I760" s="53"/>
      <c r="J760" s="51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5"/>
      <c r="B761" s="56"/>
      <c r="C761" s="56"/>
      <c r="D761" s="56"/>
      <c r="E761" s="56"/>
      <c r="F761" s="63"/>
      <c r="G761" s="56"/>
      <c r="H761" s="56"/>
      <c r="I761" s="56"/>
      <c r="J761" s="51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2"/>
      <c r="B762" s="53"/>
      <c r="C762" s="53"/>
      <c r="D762" s="53"/>
      <c r="E762" s="53"/>
      <c r="F762" s="54"/>
      <c r="G762" s="53"/>
      <c r="H762" s="53"/>
      <c r="I762" s="53"/>
      <c r="J762" s="51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5"/>
      <c r="B763" s="56"/>
      <c r="C763" s="56"/>
      <c r="D763" s="56"/>
      <c r="E763" s="56"/>
      <c r="F763" s="63"/>
      <c r="G763" s="56"/>
      <c r="H763" s="56"/>
      <c r="I763" s="56"/>
      <c r="J763" s="51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2"/>
      <c r="B764" s="53"/>
      <c r="C764" s="53"/>
      <c r="D764" s="53"/>
      <c r="E764" s="53"/>
      <c r="F764" s="54"/>
      <c r="G764" s="53"/>
      <c r="H764" s="53"/>
      <c r="I764" s="53"/>
      <c r="J764" s="51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5"/>
      <c r="B765" s="56"/>
      <c r="C765" s="56"/>
      <c r="D765" s="56"/>
      <c r="E765" s="56"/>
      <c r="F765" s="63"/>
      <c r="G765" s="56"/>
      <c r="H765" s="56"/>
      <c r="I765" s="56"/>
      <c r="J765" s="51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2"/>
      <c r="B766" s="53"/>
      <c r="C766" s="53"/>
      <c r="D766" s="53"/>
      <c r="E766" s="53"/>
      <c r="F766" s="54"/>
      <c r="G766" s="53"/>
      <c r="H766" s="53"/>
      <c r="I766" s="53"/>
      <c r="J766" s="51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5"/>
      <c r="B767" s="56"/>
      <c r="C767" s="56"/>
      <c r="D767" s="56"/>
      <c r="E767" s="56"/>
      <c r="F767" s="63"/>
      <c r="G767" s="56"/>
      <c r="H767" s="56"/>
      <c r="I767" s="56"/>
      <c r="J767" s="51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2"/>
      <c r="B768" s="53"/>
      <c r="C768" s="53"/>
      <c r="D768" s="53"/>
      <c r="E768" s="53"/>
      <c r="F768" s="54"/>
      <c r="G768" s="53"/>
      <c r="H768" s="53"/>
      <c r="I768" s="53"/>
      <c r="J768" s="51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5"/>
      <c r="B769" s="56"/>
      <c r="C769" s="56"/>
      <c r="D769" s="56"/>
      <c r="E769" s="56"/>
      <c r="F769" s="63"/>
      <c r="G769" s="56"/>
      <c r="H769" s="56"/>
      <c r="I769" s="56"/>
      <c r="J769" s="51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2"/>
      <c r="B770" s="53"/>
      <c r="C770" s="53"/>
      <c r="D770" s="53"/>
      <c r="E770" s="53"/>
      <c r="F770" s="54"/>
      <c r="G770" s="53"/>
      <c r="H770" s="53"/>
      <c r="I770" s="53"/>
      <c r="J770" s="51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5"/>
      <c r="B771" s="56"/>
      <c r="C771" s="56"/>
      <c r="D771" s="56"/>
      <c r="E771" s="56"/>
      <c r="F771" s="63"/>
      <c r="G771" s="56"/>
      <c r="H771" s="56"/>
      <c r="I771" s="56"/>
      <c r="J771" s="51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2"/>
      <c r="B772" s="53"/>
      <c r="C772" s="53"/>
      <c r="D772" s="53"/>
      <c r="E772" s="53"/>
      <c r="F772" s="54"/>
      <c r="G772" s="53"/>
      <c r="H772" s="53"/>
      <c r="I772" s="53"/>
      <c r="J772" s="51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5"/>
      <c r="B773" s="56"/>
      <c r="C773" s="56"/>
      <c r="D773" s="56"/>
      <c r="E773" s="56"/>
      <c r="F773" s="63"/>
      <c r="G773" s="56"/>
      <c r="H773" s="56"/>
      <c r="I773" s="56"/>
      <c r="J773" s="51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2"/>
      <c r="B774" s="53"/>
      <c r="C774" s="53"/>
      <c r="D774" s="53"/>
      <c r="E774" s="53"/>
      <c r="F774" s="54"/>
      <c r="G774" s="53"/>
      <c r="H774" s="53"/>
      <c r="I774" s="53"/>
      <c r="J774" s="51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5"/>
      <c r="B775" s="56"/>
      <c r="C775" s="56"/>
      <c r="D775" s="56"/>
      <c r="E775" s="56"/>
      <c r="F775" s="63"/>
      <c r="G775" s="56"/>
      <c r="H775" s="56"/>
      <c r="I775" s="56"/>
      <c r="J775" s="51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2"/>
      <c r="B776" s="53"/>
      <c r="C776" s="53"/>
      <c r="D776" s="53"/>
      <c r="E776" s="53"/>
      <c r="F776" s="54"/>
      <c r="G776" s="53"/>
      <c r="H776" s="53"/>
      <c r="I776" s="53"/>
      <c r="J776" s="51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5"/>
      <c r="B777" s="56"/>
      <c r="C777" s="56"/>
      <c r="D777" s="56"/>
      <c r="E777" s="56"/>
      <c r="F777" s="63"/>
      <c r="G777" s="56"/>
      <c r="H777" s="56"/>
      <c r="I777" s="56"/>
      <c r="J777" s="51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2"/>
      <c r="B778" s="53"/>
      <c r="C778" s="53"/>
      <c r="D778" s="53"/>
      <c r="E778" s="53"/>
      <c r="F778" s="54"/>
      <c r="G778" s="53"/>
      <c r="H778" s="53"/>
      <c r="I778" s="53"/>
      <c r="J778" s="51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5"/>
      <c r="B779" s="56"/>
      <c r="C779" s="56"/>
      <c r="D779" s="56"/>
      <c r="E779" s="56"/>
      <c r="F779" s="63"/>
      <c r="G779" s="56"/>
      <c r="H779" s="56"/>
      <c r="I779" s="56"/>
      <c r="J779" s="51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2"/>
      <c r="B780" s="53"/>
      <c r="C780" s="53"/>
      <c r="D780" s="53"/>
      <c r="E780" s="53"/>
      <c r="F780" s="54"/>
      <c r="G780" s="53"/>
      <c r="H780" s="53"/>
      <c r="I780" s="53"/>
      <c r="J780" s="51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5"/>
      <c r="B781" s="56"/>
      <c r="C781" s="56"/>
      <c r="D781" s="56"/>
      <c r="E781" s="56"/>
      <c r="F781" s="63"/>
      <c r="G781" s="56"/>
      <c r="H781" s="56"/>
      <c r="I781" s="56"/>
      <c r="J781" s="51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2"/>
      <c r="B782" s="53"/>
      <c r="C782" s="53"/>
      <c r="D782" s="53"/>
      <c r="E782" s="53"/>
      <c r="F782" s="54"/>
      <c r="G782" s="53"/>
      <c r="H782" s="53"/>
      <c r="I782" s="53"/>
      <c r="J782" s="51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5"/>
      <c r="B783" s="56"/>
      <c r="C783" s="56"/>
      <c r="D783" s="56"/>
      <c r="E783" s="56"/>
      <c r="F783" s="63"/>
      <c r="G783" s="56"/>
      <c r="H783" s="56"/>
      <c r="I783" s="56"/>
      <c r="J783" s="51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2"/>
      <c r="B784" s="53"/>
      <c r="C784" s="53"/>
      <c r="D784" s="53"/>
      <c r="E784" s="53"/>
      <c r="F784" s="54"/>
      <c r="G784" s="53"/>
      <c r="H784" s="53"/>
      <c r="I784" s="53"/>
      <c r="J784" s="51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5"/>
      <c r="B785" s="56"/>
      <c r="C785" s="56"/>
      <c r="D785" s="56"/>
      <c r="E785" s="56"/>
      <c r="F785" s="63"/>
      <c r="G785" s="56"/>
      <c r="H785" s="56"/>
      <c r="I785" s="56"/>
      <c r="J785" s="51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2"/>
      <c r="B786" s="53"/>
      <c r="C786" s="53"/>
      <c r="D786" s="53"/>
      <c r="E786" s="53"/>
      <c r="F786" s="54"/>
      <c r="G786" s="53"/>
      <c r="H786" s="53"/>
      <c r="I786" s="53"/>
      <c r="J786" s="51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5"/>
      <c r="B787" s="56"/>
      <c r="C787" s="56"/>
      <c r="D787" s="56"/>
      <c r="E787" s="56"/>
      <c r="F787" s="63"/>
      <c r="G787" s="56"/>
      <c r="H787" s="56"/>
      <c r="I787" s="56"/>
      <c r="J787" s="51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2"/>
      <c r="B788" s="53"/>
      <c r="C788" s="53"/>
      <c r="D788" s="53"/>
      <c r="E788" s="53"/>
      <c r="F788" s="54"/>
      <c r="G788" s="53"/>
      <c r="H788" s="53"/>
      <c r="I788" s="53"/>
      <c r="J788" s="51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5"/>
      <c r="B789" s="56"/>
      <c r="C789" s="56"/>
      <c r="D789" s="56"/>
      <c r="E789" s="56"/>
      <c r="F789" s="63"/>
      <c r="G789" s="56"/>
      <c r="H789" s="56"/>
      <c r="I789" s="56"/>
      <c r="J789" s="51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2"/>
      <c r="B790" s="53"/>
      <c r="C790" s="53"/>
      <c r="D790" s="53"/>
      <c r="E790" s="53"/>
      <c r="F790" s="54"/>
      <c r="G790" s="53"/>
      <c r="H790" s="53"/>
      <c r="I790" s="53"/>
      <c r="J790" s="51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5"/>
      <c r="B791" s="56"/>
      <c r="C791" s="56"/>
      <c r="D791" s="56"/>
      <c r="E791" s="56"/>
      <c r="F791" s="63"/>
      <c r="G791" s="56"/>
      <c r="H791" s="56"/>
      <c r="I791" s="56"/>
      <c r="J791" s="51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2"/>
      <c r="B792" s="53"/>
      <c r="C792" s="53"/>
      <c r="D792" s="53"/>
      <c r="E792" s="53"/>
      <c r="F792" s="54"/>
      <c r="G792" s="53"/>
      <c r="H792" s="53"/>
      <c r="I792" s="53"/>
      <c r="J792" s="51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5"/>
      <c r="B793" s="56"/>
      <c r="C793" s="56"/>
      <c r="D793" s="56"/>
      <c r="E793" s="56"/>
      <c r="F793" s="63"/>
      <c r="G793" s="56"/>
      <c r="H793" s="56"/>
      <c r="I793" s="56"/>
      <c r="J793" s="51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2"/>
      <c r="B794" s="53"/>
      <c r="C794" s="53"/>
      <c r="D794" s="53"/>
      <c r="E794" s="53"/>
      <c r="F794" s="54"/>
      <c r="G794" s="53"/>
      <c r="H794" s="53"/>
      <c r="I794" s="53"/>
      <c r="J794" s="51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5"/>
      <c r="B795" s="56"/>
      <c r="C795" s="56"/>
      <c r="D795" s="56"/>
      <c r="E795" s="56"/>
      <c r="F795" s="63"/>
      <c r="G795" s="56"/>
      <c r="H795" s="56"/>
      <c r="I795" s="56"/>
      <c r="J795" s="51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2"/>
      <c r="B796" s="53"/>
      <c r="C796" s="53"/>
      <c r="D796" s="53"/>
      <c r="E796" s="53"/>
      <c r="F796" s="54"/>
      <c r="G796" s="53"/>
      <c r="H796" s="53"/>
      <c r="I796" s="53"/>
      <c r="J796" s="51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5"/>
      <c r="B797" s="56"/>
      <c r="C797" s="56"/>
      <c r="D797" s="56"/>
      <c r="E797" s="56"/>
      <c r="F797" s="63"/>
      <c r="G797" s="56"/>
      <c r="H797" s="56"/>
      <c r="I797" s="56"/>
      <c r="J797" s="51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2"/>
      <c r="B798" s="53"/>
      <c r="C798" s="53"/>
      <c r="D798" s="53"/>
      <c r="E798" s="53"/>
      <c r="F798" s="54"/>
      <c r="G798" s="53"/>
      <c r="H798" s="53"/>
      <c r="I798" s="53"/>
      <c r="J798" s="51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5"/>
      <c r="B799" s="56"/>
      <c r="C799" s="56"/>
      <c r="D799" s="56"/>
      <c r="E799" s="56"/>
      <c r="F799" s="63"/>
      <c r="G799" s="56"/>
      <c r="H799" s="56"/>
      <c r="I799" s="56"/>
      <c r="J799" s="51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2"/>
      <c r="B800" s="53"/>
      <c r="C800" s="53"/>
      <c r="D800" s="53"/>
      <c r="E800" s="53"/>
      <c r="F800" s="54"/>
      <c r="G800" s="53"/>
      <c r="H800" s="53"/>
      <c r="I800" s="53"/>
      <c r="J800" s="51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5"/>
      <c r="B801" s="56"/>
      <c r="C801" s="56"/>
      <c r="D801" s="56"/>
      <c r="E801" s="56"/>
      <c r="F801" s="63"/>
      <c r="G801" s="56"/>
      <c r="H801" s="56"/>
      <c r="I801" s="56"/>
      <c r="J801" s="51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2"/>
      <c r="B802" s="53"/>
      <c r="C802" s="53"/>
      <c r="D802" s="53"/>
      <c r="E802" s="53"/>
      <c r="F802" s="54"/>
      <c r="G802" s="53"/>
      <c r="H802" s="53"/>
      <c r="I802" s="53"/>
      <c r="J802" s="51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5"/>
      <c r="B803" s="56"/>
      <c r="C803" s="56"/>
      <c r="D803" s="56"/>
      <c r="E803" s="56"/>
      <c r="F803" s="63"/>
      <c r="G803" s="56"/>
      <c r="H803" s="56"/>
      <c r="I803" s="56"/>
      <c r="J803" s="51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2"/>
      <c r="B804" s="53"/>
      <c r="C804" s="53"/>
      <c r="D804" s="53"/>
      <c r="E804" s="53"/>
      <c r="F804" s="54"/>
      <c r="G804" s="53"/>
      <c r="H804" s="53"/>
      <c r="I804" s="53"/>
      <c r="J804" s="51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5"/>
      <c r="B805" s="56"/>
      <c r="C805" s="56"/>
      <c r="D805" s="56"/>
      <c r="E805" s="56"/>
      <c r="F805" s="63"/>
      <c r="G805" s="56"/>
      <c r="H805" s="56"/>
      <c r="I805" s="56"/>
      <c r="J805" s="51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2"/>
      <c r="B806" s="53"/>
      <c r="C806" s="53"/>
      <c r="D806" s="53"/>
      <c r="E806" s="53"/>
      <c r="F806" s="54"/>
      <c r="G806" s="53"/>
      <c r="H806" s="53"/>
      <c r="I806" s="53"/>
      <c r="J806" s="51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5"/>
      <c r="B807" s="56"/>
      <c r="C807" s="56"/>
      <c r="D807" s="56"/>
      <c r="E807" s="56"/>
      <c r="F807" s="63"/>
      <c r="G807" s="56"/>
      <c r="H807" s="56"/>
      <c r="I807" s="56"/>
      <c r="J807" s="51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2"/>
      <c r="B808" s="53"/>
      <c r="C808" s="53"/>
      <c r="D808" s="53"/>
      <c r="E808" s="53"/>
      <c r="F808" s="54"/>
      <c r="G808" s="53"/>
      <c r="H808" s="53"/>
      <c r="I808" s="53"/>
      <c r="J808" s="51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5"/>
      <c r="B809" s="56"/>
      <c r="C809" s="56"/>
      <c r="D809" s="56"/>
      <c r="E809" s="56"/>
      <c r="F809" s="63"/>
      <c r="G809" s="56"/>
      <c r="H809" s="56"/>
      <c r="I809" s="56"/>
      <c r="J809" s="51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2"/>
      <c r="B810" s="53"/>
      <c r="C810" s="53"/>
      <c r="D810" s="53"/>
      <c r="E810" s="53"/>
      <c r="F810" s="54"/>
      <c r="G810" s="53"/>
      <c r="H810" s="53"/>
      <c r="I810" s="53"/>
      <c r="J810" s="51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5"/>
      <c r="B811" s="56"/>
      <c r="C811" s="56"/>
      <c r="D811" s="56"/>
      <c r="E811" s="56"/>
      <c r="F811" s="63"/>
      <c r="G811" s="56"/>
      <c r="H811" s="56"/>
      <c r="I811" s="56"/>
      <c r="J811" s="51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2"/>
      <c r="B812" s="53"/>
      <c r="C812" s="53"/>
      <c r="D812" s="53"/>
      <c r="E812" s="53"/>
      <c r="F812" s="54"/>
      <c r="G812" s="53"/>
      <c r="H812" s="53"/>
      <c r="I812" s="53"/>
      <c r="J812" s="51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5"/>
      <c r="B813" s="56"/>
      <c r="C813" s="56"/>
      <c r="D813" s="56"/>
      <c r="E813" s="56"/>
      <c r="F813" s="63"/>
      <c r="G813" s="56"/>
      <c r="H813" s="56"/>
      <c r="I813" s="56"/>
      <c r="J813" s="51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2"/>
      <c r="B814" s="53"/>
      <c r="C814" s="53"/>
      <c r="D814" s="53"/>
      <c r="E814" s="53"/>
      <c r="F814" s="54"/>
      <c r="G814" s="53"/>
      <c r="H814" s="53"/>
      <c r="I814" s="53"/>
      <c r="J814" s="51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5"/>
      <c r="B815" s="56"/>
      <c r="C815" s="56"/>
      <c r="D815" s="56"/>
      <c r="E815" s="56"/>
      <c r="F815" s="63"/>
      <c r="G815" s="56"/>
      <c r="H815" s="56"/>
      <c r="I815" s="56"/>
      <c r="J815" s="51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2"/>
      <c r="B816" s="53"/>
      <c r="C816" s="53"/>
      <c r="D816" s="53"/>
      <c r="E816" s="53"/>
      <c r="F816" s="54"/>
      <c r="G816" s="53"/>
      <c r="H816" s="53"/>
      <c r="I816" s="53"/>
      <c r="J816" s="51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5"/>
      <c r="B817" s="56"/>
      <c r="C817" s="56"/>
      <c r="D817" s="56"/>
      <c r="E817" s="56"/>
      <c r="F817" s="63"/>
      <c r="G817" s="56"/>
      <c r="H817" s="56"/>
      <c r="I817" s="56"/>
      <c r="J817" s="51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2"/>
      <c r="B818" s="53"/>
      <c r="C818" s="53"/>
      <c r="D818" s="53"/>
      <c r="E818" s="53"/>
      <c r="F818" s="54"/>
      <c r="G818" s="53"/>
      <c r="H818" s="53"/>
      <c r="I818" s="53"/>
      <c r="J818" s="51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5"/>
      <c r="B819" s="56"/>
      <c r="C819" s="56"/>
      <c r="D819" s="56"/>
      <c r="E819" s="56"/>
      <c r="F819" s="63"/>
      <c r="G819" s="56"/>
      <c r="H819" s="56"/>
      <c r="I819" s="56"/>
      <c r="J819" s="51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2"/>
      <c r="B820" s="53"/>
      <c r="C820" s="53"/>
      <c r="D820" s="53"/>
      <c r="E820" s="53"/>
      <c r="F820" s="54"/>
      <c r="G820" s="53"/>
      <c r="H820" s="53"/>
      <c r="I820" s="53"/>
      <c r="J820" s="51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5"/>
      <c r="B821" s="56"/>
      <c r="C821" s="56"/>
      <c r="D821" s="56"/>
      <c r="E821" s="56"/>
      <c r="F821" s="63"/>
      <c r="G821" s="56"/>
      <c r="H821" s="56"/>
      <c r="I821" s="56"/>
      <c r="J821" s="51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2"/>
      <c r="B822" s="53"/>
      <c r="C822" s="53"/>
      <c r="D822" s="53"/>
      <c r="E822" s="53"/>
      <c r="F822" s="54"/>
      <c r="G822" s="53"/>
      <c r="H822" s="53"/>
      <c r="I822" s="53"/>
      <c r="J822" s="51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5"/>
      <c r="B823" s="56"/>
      <c r="C823" s="56"/>
      <c r="D823" s="56"/>
      <c r="E823" s="56"/>
      <c r="F823" s="63"/>
      <c r="G823" s="56"/>
      <c r="H823" s="56"/>
      <c r="I823" s="56"/>
      <c r="J823" s="51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2"/>
      <c r="B824" s="53"/>
      <c r="C824" s="53"/>
      <c r="D824" s="53"/>
      <c r="E824" s="53"/>
      <c r="F824" s="54"/>
      <c r="G824" s="53"/>
      <c r="H824" s="53"/>
      <c r="I824" s="53"/>
      <c r="J824" s="51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5"/>
      <c r="B825" s="56"/>
      <c r="C825" s="56"/>
      <c r="D825" s="56"/>
      <c r="E825" s="56"/>
      <c r="F825" s="63"/>
      <c r="G825" s="56"/>
      <c r="H825" s="56"/>
      <c r="I825" s="56"/>
      <c r="J825" s="51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2"/>
      <c r="B826" s="53"/>
      <c r="C826" s="53"/>
      <c r="D826" s="53"/>
      <c r="E826" s="53"/>
      <c r="F826" s="54"/>
      <c r="G826" s="53"/>
      <c r="H826" s="53"/>
      <c r="I826" s="53"/>
      <c r="J826" s="51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5"/>
      <c r="B827" s="56"/>
      <c r="C827" s="56"/>
      <c r="D827" s="56"/>
      <c r="E827" s="56"/>
      <c r="F827" s="63"/>
      <c r="G827" s="56"/>
      <c r="H827" s="56"/>
      <c r="I827" s="56"/>
      <c r="J827" s="51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2"/>
      <c r="B828" s="53"/>
      <c r="C828" s="53"/>
      <c r="D828" s="53"/>
      <c r="E828" s="53"/>
      <c r="F828" s="54"/>
      <c r="G828" s="53"/>
      <c r="H828" s="53"/>
      <c r="I828" s="53"/>
      <c r="J828" s="51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5"/>
      <c r="B829" s="56"/>
      <c r="C829" s="56"/>
      <c r="D829" s="56"/>
      <c r="E829" s="56"/>
      <c r="F829" s="63"/>
      <c r="G829" s="56"/>
      <c r="H829" s="56"/>
      <c r="I829" s="56"/>
      <c r="J829" s="51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2"/>
      <c r="B830" s="53"/>
      <c r="C830" s="53"/>
      <c r="D830" s="53"/>
      <c r="E830" s="53"/>
      <c r="F830" s="54"/>
      <c r="G830" s="53"/>
      <c r="H830" s="53"/>
      <c r="I830" s="53"/>
      <c r="J830" s="51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5"/>
      <c r="B831" s="56"/>
      <c r="C831" s="56"/>
      <c r="D831" s="56"/>
      <c r="E831" s="56"/>
      <c r="F831" s="63"/>
      <c r="G831" s="56"/>
      <c r="H831" s="56"/>
      <c r="I831" s="56"/>
      <c r="J831" s="51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2"/>
      <c r="B832" s="53"/>
      <c r="C832" s="53"/>
      <c r="D832" s="53"/>
      <c r="E832" s="53"/>
      <c r="F832" s="54"/>
      <c r="G832" s="53"/>
      <c r="H832" s="53"/>
      <c r="I832" s="53"/>
      <c r="J832" s="51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5"/>
      <c r="B833" s="56"/>
      <c r="C833" s="56"/>
      <c r="D833" s="56"/>
      <c r="E833" s="56"/>
      <c r="F833" s="63"/>
      <c r="G833" s="56"/>
      <c r="H833" s="56"/>
      <c r="I833" s="56"/>
      <c r="J833" s="51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2"/>
      <c r="B834" s="53"/>
      <c r="C834" s="53"/>
      <c r="D834" s="53"/>
      <c r="E834" s="53"/>
      <c r="F834" s="54"/>
      <c r="G834" s="53"/>
      <c r="H834" s="53"/>
      <c r="I834" s="53"/>
      <c r="J834" s="51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5"/>
      <c r="B835" s="56"/>
      <c r="C835" s="56"/>
      <c r="D835" s="56"/>
      <c r="E835" s="56"/>
      <c r="F835" s="63"/>
      <c r="G835" s="56"/>
      <c r="H835" s="56"/>
      <c r="I835" s="56"/>
      <c r="J835" s="51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2"/>
      <c r="B836" s="53"/>
      <c r="C836" s="53"/>
      <c r="D836" s="53"/>
      <c r="E836" s="53"/>
      <c r="F836" s="54"/>
      <c r="G836" s="53"/>
      <c r="H836" s="53"/>
      <c r="I836" s="53"/>
      <c r="J836" s="51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5"/>
      <c r="B837" s="56"/>
      <c r="C837" s="56"/>
      <c r="D837" s="56"/>
      <c r="E837" s="56"/>
      <c r="F837" s="63"/>
      <c r="G837" s="56"/>
      <c r="H837" s="56"/>
      <c r="I837" s="56"/>
      <c r="J837" s="51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2"/>
      <c r="B838" s="53"/>
      <c r="C838" s="53"/>
      <c r="D838" s="53"/>
      <c r="E838" s="53"/>
      <c r="F838" s="54"/>
      <c r="G838" s="53"/>
      <c r="H838" s="53"/>
      <c r="I838" s="53"/>
      <c r="J838" s="51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5"/>
      <c r="B839" s="56"/>
      <c r="C839" s="56"/>
      <c r="D839" s="56"/>
      <c r="E839" s="56"/>
      <c r="F839" s="63"/>
      <c r="G839" s="56"/>
      <c r="H839" s="56"/>
      <c r="I839" s="56"/>
      <c r="J839" s="51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2"/>
      <c r="B840" s="53"/>
      <c r="C840" s="53"/>
      <c r="D840" s="53"/>
      <c r="E840" s="53"/>
      <c r="F840" s="54"/>
      <c r="G840" s="53"/>
      <c r="H840" s="53"/>
      <c r="I840" s="53"/>
      <c r="J840" s="51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5"/>
      <c r="B841" s="56"/>
      <c r="C841" s="56"/>
      <c r="D841" s="56"/>
      <c r="E841" s="56"/>
      <c r="F841" s="63"/>
      <c r="G841" s="56"/>
      <c r="H841" s="56"/>
      <c r="I841" s="56"/>
      <c r="J841" s="51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2"/>
      <c r="B842" s="53"/>
      <c r="C842" s="53"/>
      <c r="D842" s="53"/>
      <c r="E842" s="53"/>
      <c r="F842" s="54"/>
      <c r="G842" s="53"/>
      <c r="H842" s="53"/>
      <c r="I842" s="53"/>
      <c r="J842" s="51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5"/>
      <c r="B843" s="56"/>
      <c r="C843" s="56"/>
      <c r="D843" s="56"/>
      <c r="E843" s="56"/>
      <c r="F843" s="63"/>
      <c r="G843" s="56"/>
      <c r="H843" s="56"/>
      <c r="I843" s="56"/>
      <c r="J843" s="51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2"/>
      <c r="B844" s="53"/>
      <c r="C844" s="53"/>
      <c r="D844" s="53"/>
      <c r="E844" s="53"/>
      <c r="F844" s="54"/>
      <c r="G844" s="53"/>
      <c r="H844" s="53"/>
      <c r="I844" s="53"/>
      <c r="J844" s="51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5"/>
      <c r="B845" s="56"/>
      <c r="C845" s="56"/>
      <c r="D845" s="56"/>
      <c r="E845" s="56"/>
      <c r="F845" s="63"/>
      <c r="G845" s="56"/>
      <c r="H845" s="56"/>
      <c r="I845" s="56"/>
      <c r="J845" s="51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2"/>
      <c r="B846" s="53"/>
      <c r="C846" s="53"/>
      <c r="D846" s="53"/>
      <c r="E846" s="53"/>
      <c r="F846" s="54"/>
      <c r="G846" s="53"/>
      <c r="H846" s="53"/>
      <c r="I846" s="53"/>
      <c r="J846" s="51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5"/>
      <c r="B847" s="56"/>
      <c r="C847" s="56"/>
      <c r="D847" s="56"/>
      <c r="E847" s="56"/>
      <c r="F847" s="63"/>
      <c r="G847" s="56"/>
      <c r="H847" s="56"/>
      <c r="I847" s="56"/>
      <c r="J847" s="51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2"/>
      <c r="B848" s="53"/>
      <c r="C848" s="53"/>
      <c r="D848" s="53"/>
      <c r="E848" s="53"/>
      <c r="F848" s="54"/>
      <c r="G848" s="53"/>
      <c r="H848" s="53"/>
      <c r="I848" s="53"/>
      <c r="J848" s="51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5"/>
      <c r="B849" s="56"/>
      <c r="C849" s="56"/>
      <c r="D849" s="56"/>
      <c r="E849" s="56"/>
      <c r="F849" s="63"/>
      <c r="G849" s="56"/>
      <c r="H849" s="56"/>
      <c r="I849" s="56"/>
      <c r="J849" s="51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2"/>
      <c r="B850" s="53"/>
      <c r="C850" s="53"/>
      <c r="D850" s="53"/>
      <c r="E850" s="53"/>
      <c r="F850" s="54"/>
      <c r="G850" s="53"/>
      <c r="H850" s="53"/>
      <c r="I850" s="53"/>
      <c r="J850" s="51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5"/>
      <c r="B851" s="56"/>
      <c r="C851" s="56"/>
      <c r="D851" s="56"/>
      <c r="E851" s="56"/>
      <c r="F851" s="63"/>
      <c r="G851" s="56"/>
      <c r="H851" s="56"/>
      <c r="I851" s="56"/>
      <c r="J851" s="51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2"/>
      <c r="B852" s="53"/>
      <c r="C852" s="53"/>
      <c r="D852" s="53"/>
      <c r="E852" s="53"/>
      <c r="F852" s="54"/>
      <c r="G852" s="53"/>
      <c r="H852" s="53"/>
      <c r="I852" s="53"/>
      <c r="J852" s="51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5"/>
      <c r="B853" s="56"/>
      <c r="C853" s="56"/>
      <c r="D853" s="56"/>
      <c r="E853" s="56"/>
      <c r="F853" s="63"/>
      <c r="G853" s="56"/>
      <c r="H853" s="56"/>
      <c r="I853" s="56"/>
      <c r="J853" s="51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2"/>
      <c r="B854" s="53"/>
      <c r="C854" s="53"/>
      <c r="D854" s="53"/>
      <c r="E854" s="53"/>
      <c r="F854" s="54"/>
      <c r="G854" s="53"/>
      <c r="H854" s="53"/>
      <c r="I854" s="53"/>
      <c r="J854" s="51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5"/>
      <c r="B855" s="56"/>
      <c r="C855" s="56"/>
      <c r="D855" s="56"/>
      <c r="E855" s="56"/>
      <c r="F855" s="63"/>
      <c r="G855" s="56"/>
      <c r="H855" s="56"/>
      <c r="I855" s="56"/>
      <c r="J855" s="51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2"/>
      <c r="B856" s="53"/>
      <c r="C856" s="53"/>
      <c r="D856" s="53"/>
      <c r="E856" s="53"/>
      <c r="F856" s="54"/>
      <c r="G856" s="53"/>
      <c r="H856" s="53"/>
      <c r="I856" s="53"/>
      <c r="J856" s="51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5"/>
      <c r="B857" s="56"/>
      <c r="C857" s="56"/>
      <c r="D857" s="56"/>
      <c r="E857" s="56"/>
      <c r="F857" s="63"/>
      <c r="G857" s="56"/>
      <c r="H857" s="56"/>
      <c r="I857" s="56"/>
      <c r="J857" s="51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2"/>
      <c r="B858" s="53"/>
      <c r="C858" s="53"/>
      <c r="D858" s="53"/>
      <c r="E858" s="53"/>
      <c r="F858" s="54"/>
      <c r="G858" s="53"/>
      <c r="H858" s="53"/>
      <c r="I858" s="53"/>
      <c r="J858" s="51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5"/>
      <c r="B859" s="56"/>
      <c r="C859" s="56"/>
      <c r="D859" s="56"/>
      <c r="E859" s="56"/>
      <c r="F859" s="63"/>
      <c r="G859" s="56"/>
      <c r="H859" s="56"/>
      <c r="I859" s="56"/>
      <c r="J859" s="51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2"/>
      <c r="B860" s="53"/>
      <c r="C860" s="53"/>
      <c r="D860" s="53"/>
      <c r="E860" s="53"/>
      <c r="F860" s="54"/>
      <c r="G860" s="53"/>
      <c r="H860" s="53"/>
      <c r="I860" s="53"/>
      <c r="J860" s="51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5"/>
      <c r="B861" s="56"/>
      <c r="C861" s="56"/>
      <c r="D861" s="56"/>
      <c r="E861" s="56"/>
      <c r="F861" s="63"/>
      <c r="G861" s="56"/>
      <c r="H861" s="56"/>
      <c r="I861" s="56"/>
      <c r="J861" s="51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2"/>
      <c r="B862" s="53"/>
      <c r="C862" s="53"/>
      <c r="D862" s="53"/>
      <c r="E862" s="53"/>
      <c r="F862" s="54"/>
      <c r="G862" s="53"/>
      <c r="H862" s="53"/>
      <c r="I862" s="53"/>
      <c r="J862" s="51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5"/>
      <c r="B863" s="56"/>
      <c r="C863" s="56"/>
      <c r="D863" s="56"/>
      <c r="E863" s="56"/>
      <c r="F863" s="63"/>
      <c r="G863" s="56"/>
      <c r="H863" s="56"/>
      <c r="I863" s="56"/>
      <c r="J863" s="51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2"/>
      <c r="B864" s="53"/>
      <c r="C864" s="53"/>
      <c r="D864" s="53"/>
      <c r="E864" s="53"/>
      <c r="F864" s="54"/>
      <c r="G864" s="53"/>
      <c r="H864" s="53"/>
      <c r="I864" s="53"/>
      <c r="J864" s="51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5"/>
      <c r="B865" s="56"/>
      <c r="C865" s="56"/>
      <c r="D865" s="56"/>
      <c r="E865" s="56"/>
      <c r="F865" s="63"/>
      <c r="G865" s="56"/>
      <c r="H865" s="56"/>
      <c r="I865" s="56"/>
      <c r="J865" s="51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2"/>
      <c r="B866" s="53"/>
      <c r="C866" s="53"/>
      <c r="D866" s="53"/>
      <c r="E866" s="53"/>
      <c r="F866" s="54"/>
      <c r="G866" s="53"/>
      <c r="H866" s="53"/>
      <c r="I866" s="53"/>
      <c r="J866" s="51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5"/>
      <c r="B867" s="56"/>
      <c r="C867" s="56"/>
      <c r="D867" s="56"/>
      <c r="E867" s="56"/>
      <c r="F867" s="63"/>
      <c r="G867" s="56"/>
      <c r="H867" s="56"/>
      <c r="I867" s="56"/>
      <c r="J867" s="51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2"/>
      <c r="B868" s="53"/>
      <c r="C868" s="53"/>
      <c r="D868" s="53"/>
      <c r="E868" s="53"/>
      <c r="F868" s="54"/>
      <c r="G868" s="53"/>
      <c r="H868" s="53"/>
      <c r="I868" s="53"/>
      <c r="J868" s="51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5"/>
      <c r="B869" s="56"/>
      <c r="C869" s="56"/>
      <c r="D869" s="56"/>
      <c r="E869" s="56"/>
      <c r="F869" s="63"/>
      <c r="G869" s="56"/>
      <c r="H869" s="56"/>
      <c r="I869" s="56"/>
      <c r="J869" s="51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2"/>
      <c r="B870" s="53"/>
      <c r="C870" s="53"/>
      <c r="D870" s="53"/>
      <c r="E870" s="53"/>
      <c r="F870" s="54"/>
      <c r="G870" s="53"/>
      <c r="H870" s="53"/>
      <c r="I870" s="53"/>
      <c r="J870" s="51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5"/>
      <c r="B871" s="56"/>
      <c r="C871" s="56"/>
      <c r="D871" s="56"/>
      <c r="E871" s="56"/>
      <c r="F871" s="63"/>
      <c r="G871" s="56"/>
      <c r="H871" s="56"/>
      <c r="I871" s="56"/>
      <c r="J871" s="51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2"/>
      <c r="B872" s="53"/>
      <c r="C872" s="53"/>
      <c r="D872" s="53"/>
      <c r="E872" s="53"/>
      <c r="F872" s="54"/>
      <c r="G872" s="53"/>
      <c r="H872" s="53"/>
      <c r="I872" s="53"/>
      <c r="J872" s="51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5"/>
      <c r="B873" s="56"/>
      <c r="C873" s="56"/>
      <c r="D873" s="56"/>
      <c r="E873" s="56"/>
      <c r="F873" s="63"/>
      <c r="G873" s="56"/>
      <c r="H873" s="56"/>
      <c r="I873" s="56"/>
      <c r="J873" s="51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2"/>
      <c r="B874" s="53"/>
      <c r="C874" s="53"/>
      <c r="D874" s="53"/>
      <c r="E874" s="53"/>
      <c r="F874" s="54"/>
      <c r="G874" s="53"/>
      <c r="H874" s="53"/>
      <c r="I874" s="53"/>
      <c r="J874" s="51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5"/>
      <c r="B875" s="56"/>
      <c r="C875" s="56"/>
      <c r="D875" s="56"/>
      <c r="E875" s="56"/>
      <c r="F875" s="63"/>
      <c r="G875" s="56"/>
      <c r="H875" s="56"/>
      <c r="I875" s="56"/>
      <c r="J875" s="51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2"/>
      <c r="B876" s="53"/>
      <c r="C876" s="53"/>
      <c r="D876" s="53"/>
      <c r="E876" s="53"/>
      <c r="F876" s="54"/>
      <c r="G876" s="53"/>
      <c r="H876" s="53"/>
      <c r="I876" s="53"/>
      <c r="J876" s="51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5"/>
      <c r="B877" s="56"/>
      <c r="C877" s="56"/>
      <c r="D877" s="56"/>
      <c r="E877" s="56"/>
      <c r="F877" s="63"/>
      <c r="G877" s="56"/>
      <c r="H877" s="56"/>
      <c r="I877" s="56"/>
      <c r="J877" s="51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2"/>
      <c r="B878" s="53"/>
      <c r="C878" s="53"/>
      <c r="D878" s="53"/>
      <c r="E878" s="53"/>
      <c r="F878" s="54"/>
      <c r="G878" s="53"/>
      <c r="H878" s="53"/>
      <c r="I878" s="53"/>
      <c r="J878" s="51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5"/>
      <c r="B879" s="56"/>
      <c r="C879" s="56"/>
      <c r="D879" s="56"/>
      <c r="E879" s="56"/>
      <c r="F879" s="63"/>
      <c r="G879" s="56"/>
      <c r="H879" s="56"/>
      <c r="I879" s="56"/>
      <c r="J879" s="51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2"/>
      <c r="B880" s="53"/>
      <c r="C880" s="53"/>
      <c r="D880" s="53"/>
      <c r="E880" s="53"/>
      <c r="F880" s="54"/>
      <c r="G880" s="53"/>
      <c r="H880" s="53"/>
      <c r="I880" s="53"/>
      <c r="J880" s="51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5"/>
      <c r="B881" s="56"/>
      <c r="C881" s="56"/>
      <c r="D881" s="56"/>
      <c r="E881" s="56"/>
      <c r="F881" s="63"/>
      <c r="G881" s="56"/>
      <c r="H881" s="56"/>
      <c r="I881" s="56"/>
      <c r="J881" s="51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2"/>
      <c r="B882" s="53"/>
      <c r="C882" s="53"/>
      <c r="D882" s="53"/>
      <c r="E882" s="53"/>
      <c r="F882" s="54"/>
      <c r="G882" s="53"/>
      <c r="H882" s="53"/>
      <c r="I882" s="53"/>
      <c r="J882" s="51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5"/>
      <c r="B883" s="56"/>
      <c r="C883" s="56"/>
      <c r="D883" s="56"/>
      <c r="E883" s="56"/>
      <c r="F883" s="63"/>
      <c r="G883" s="56"/>
      <c r="H883" s="56"/>
      <c r="I883" s="56"/>
      <c r="J883" s="51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2"/>
      <c r="B884" s="53"/>
      <c r="C884" s="53"/>
      <c r="D884" s="53"/>
      <c r="E884" s="53"/>
      <c r="F884" s="54"/>
      <c r="G884" s="53"/>
      <c r="H884" s="53"/>
      <c r="I884" s="53"/>
      <c r="J884" s="51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5"/>
      <c r="B885" s="56"/>
      <c r="C885" s="56"/>
      <c r="D885" s="56"/>
      <c r="E885" s="56"/>
      <c r="F885" s="63"/>
      <c r="G885" s="56"/>
      <c r="H885" s="56"/>
      <c r="I885" s="56"/>
      <c r="J885" s="51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2"/>
      <c r="B886" s="53"/>
      <c r="C886" s="53"/>
      <c r="D886" s="53"/>
      <c r="E886" s="53"/>
      <c r="F886" s="54"/>
      <c r="G886" s="53"/>
      <c r="H886" s="53"/>
      <c r="I886" s="53"/>
      <c r="J886" s="51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5"/>
      <c r="B887" s="56"/>
      <c r="C887" s="56"/>
      <c r="D887" s="56"/>
      <c r="E887" s="56"/>
      <c r="F887" s="63"/>
      <c r="G887" s="56"/>
      <c r="H887" s="56"/>
      <c r="I887" s="56"/>
      <c r="J887" s="51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2"/>
      <c r="B888" s="53"/>
      <c r="C888" s="53"/>
      <c r="D888" s="53"/>
      <c r="E888" s="53"/>
      <c r="F888" s="54"/>
      <c r="G888" s="53"/>
      <c r="H888" s="53"/>
      <c r="I888" s="53"/>
      <c r="J888" s="51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5"/>
      <c r="B889" s="56"/>
      <c r="C889" s="56"/>
      <c r="D889" s="56"/>
      <c r="E889" s="56"/>
      <c r="F889" s="63"/>
      <c r="G889" s="56"/>
      <c r="H889" s="56"/>
      <c r="I889" s="56"/>
      <c r="J889" s="51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2"/>
      <c r="B890" s="53"/>
      <c r="C890" s="53"/>
      <c r="D890" s="53"/>
      <c r="E890" s="53"/>
      <c r="F890" s="54"/>
      <c r="G890" s="53"/>
      <c r="H890" s="53"/>
      <c r="I890" s="53"/>
      <c r="J890" s="51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5"/>
      <c r="B891" s="56"/>
      <c r="C891" s="56"/>
      <c r="D891" s="56"/>
      <c r="E891" s="56"/>
      <c r="F891" s="63"/>
      <c r="G891" s="56"/>
      <c r="H891" s="56"/>
      <c r="I891" s="56"/>
      <c r="J891" s="51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2"/>
      <c r="B892" s="53"/>
      <c r="C892" s="53"/>
      <c r="D892" s="53"/>
      <c r="E892" s="53"/>
      <c r="F892" s="54"/>
      <c r="G892" s="53"/>
      <c r="H892" s="53"/>
      <c r="I892" s="53"/>
      <c r="J892" s="51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5"/>
      <c r="B893" s="56"/>
      <c r="C893" s="56"/>
      <c r="D893" s="56"/>
      <c r="E893" s="56"/>
      <c r="F893" s="63"/>
      <c r="G893" s="56"/>
      <c r="H893" s="56"/>
      <c r="I893" s="56"/>
      <c r="J893" s="51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2"/>
      <c r="B894" s="53"/>
      <c r="C894" s="53"/>
      <c r="D894" s="53"/>
      <c r="E894" s="53"/>
      <c r="F894" s="54"/>
      <c r="G894" s="53"/>
      <c r="H894" s="53"/>
      <c r="I894" s="53"/>
      <c r="J894" s="51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5"/>
      <c r="B895" s="56"/>
      <c r="C895" s="56"/>
      <c r="D895" s="56"/>
      <c r="E895" s="56"/>
      <c r="F895" s="63"/>
      <c r="G895" s="56"/>
      <c r="H895" s="56"/>
      <c r="I895" s="56"/>
      <c r="J895" s="51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2"/>
      <c r="B896" s="53"/>
      <c r="C896" s="53"/>
      <c r="D896" s="53"/>
      <c r="E896" s="53"/>
      <c r="F896" s="54"/>
      <c r="G896" s="53"/>
      <c r="H896" s="53"/>
      <c r="I896" s="53"/>
      <c r="J896" s="51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5"/>
      <c r="B897" s="56"/>
      <c r="C897" s="56"/>
      <c r="D897" s="56"/>
      <c r="E897" s="56"/>
      <c r="F897" s="63"/>
      <c r="G897" s="56"/>
      <c r="H897" s="56"/>
      <c r="I897" s="56"/>
      <c r="J897" s="51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2"/>
      <c r="B898" s="53"/>
      <c r="C898" s="53"/>
      <c r="D898" s="53"/>
      <c r="E898" s="53"/>
      <c r="F898" s="54"/>
      <c r="G898" s="53"/>
      <c r="H898" s="53"/>
      <c r="I898" s="53"/>
      <c r="J898" s="51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5"/>
      <c r="B899" s="56"/>
      <c r="C899" s="56"/>
      <c r="D899" s="56"/>
      <c r="E899" s="56"/>
      <c r="F899" s="63"/>
      <c r="G899" s="56"/>
      <c r="H899" s="56"/>
      <c r="I899" s="56"/>
      <c r="J899" s="51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2"/>
      <c r="B900" s="53"/>
      <c r="C900" s="53"/>
      <c r="D900" s="53"/>
      <c r="E900" s="53"/>
      <c r="F900" s="54"/>
      <c r="G900" s="53"/>
      <c r="H900" s="53"/>
      <c r="I900" s="53"/>
      <c r="J900" s="51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5"/>
      <c r="B901" s="56"/>
      <c r="C901" s="56"/>
      <c r="D901" s="56"/>
      <c r="E901" s="56"/>
      <c r="F901" s="63"/>
      <c r="G901" s="56"/>
      <c r="H901" s="56"/>
      <c r="I901" s="56"/>
      <c r="J901" s="51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2"/>
      <c r="B902" s="53"/>
      <c r="C902" s="53"/>
      <c r="D902" s="53"/>
      <c r="E902" s="53"/>
      <c r="F902" s="54"/>
      <c r="G902" s="53"/>
      <c r="H902" s="53"/>
      <c r="I902" s="53"/>
      <c r="J902" s="51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5"/>
      <c r="B903" s="56"/>
      <c r="C903" s="56"/>
      <c r="D903" s="56"/>
      <c r="E903" s="56"/>
      <c r="F903" s="63"/>
      <c r="G903" s="56"/>
      <c r="H903" s="56"/>
      <c r="I903" s="56"/>
      <c r="J903" s="51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2"/>
      <c r="B904" s="53"/>
      <c r="C904" s="53"/>
      <c r="D904" s="53"/>
      <c r="E904" s="53"/>
      <c r="F904" s="54"/>
      <c r="G904" s="53"/>
      <c r="H904" s="53"/>
      <c r="I904" s="53"/>
      <c r="J904" s="51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5"/>
      <c r="B905" s="56"/>
      <c r="C905" s="56"/>
      <c r="D905" s="56"/>
      <c r="E905" s="56"/>
      <c r="F905" s="63"/>
      <c r="G905" s="56"/>
      <c r="H905" s="56"/>
      <c r="I905" s="56"/>
      <c r="J905" s="51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2"/>
      <c r="B906" s="53"/>
      <c r="C906" s="53"/>
      <c r="D906" s="53"/>
      <c r="E906" s="53"/>
      <c r="F906" s="54"/>
      <c r="G906" s="53"/>
      <c r="H906" s="53"/>
      <c r="I906" s="53"/>
      <c r="J906" s="51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5"/>
      <c r="B907" s="56"/>
      <c r="C907" s="56"/>
      <c r="D907" s="56"/>
      <c r="E907" s="56"/>
      <c r="F907" s="63"/>
      <c r="G907" s="56"/>
      <c r="H907" s="56"/>
      <c r="I907" s="56"/>
      <c r="J907" s="51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2"/>
      <c r="B908" s="53"/>
      <c r="C908" s="53"/>
      <c r="D908" s="53"/>
      <c r="E908" s="53"/>
      <c r="F908" s="54"/>
      <c r="G908" s="53"/>
      <c r="H908" s="53"/>
      <c r="I908" s="53"/>
      <c r="J908" s="51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5"/>
      <c r="B909" s="56"/>
      <c r="C909" s="56"/>
      <c r="D909" s="56"/>
      <c r="E909" s="56"/>
      <c r="F909" s="63"/>
      <c r="G909" s="56"/>
      <c r="H909" s="56"/>
      <c r="I909" s="56"/>
      <c r="J909" s="51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2"/>
      <c r="B910" s="53"/>
      <c r="C910" s="53"/>
      <c r="D910" s="53"/>
      <c r="E910" s="53"/>
      <c r="F910" s="54"/>
      <c r="G910" s="53"/>
      <c r="H910" s="53"/>
      <c r="I910" s="53"/>
      <c r="J910" s="51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5"/>
      <c r="B911" s="56"/>
      <c r="C911" s="56"/>
      <c r="D911" s="56"/>
      <c r="E911" s="56"/>
      <c r="F911" s="63"/>
      <c r="G911" s="56"/>
      <c r="H911" s="56"/>
      <c r="I911" s="56"/>
      <c r="J911" s="51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2"/>
      <c r="B912" s="53"/>
      <c r="C912" s="53"/>
      <c r="D912" s="53"/>
      <c r="E912" s="53"/>
      <c r="F912" s="54"/>
      <c r="G912" s="53"/>
      <c r="H912" s="53"/>
      <c r="I912" s="53"/>
      <c r="J912" s="51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5"/>
      <c r="B913" s="56"/>
      <c r="C913" s="56"/>
      <c r="D913" s="56"/>
      <c r="E913" s="56"/>
      <c r="F913" s="63"/>
      <c r="G913" s="56"/>
      <c r="H913" s="56"/>
      <c r="I913" s="56"/>
      <c r="J913" s="51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2"/>
      <c r="B914" s="53"/>
      <c r="C914" s="53"/>
      <c r="D914" s="53"/>
      <c r="E914" s="53"/>
      <c r="F914" s="54"/>
      <c r="G914" s="53"/>
      <c r="H914" s="53"/>
      <c r="I914" s="53"/>
      <c r="J914" s="51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5"/>
      <c r="B915" s="56"/>
      <c r="C915" s="56"/>
      <c r="D915" s="56"/>
      <c r="E915" s="56"/>
      <c r="F915" s="63"/>
      <c r="G915" s="56"/>
      <c r="H915" s="56"/>
      <c r="I915" s="56"/>
      <c r="J915" s="51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2"/>
      <c r="B916" s="53"/>
      <c r="C916" s="53"/>
      <c r="D916" s="53"/>
      <c r="E916" s="53"/>
      <c r="F916" s="54"/>
      <c r="G916" s="53"/>
      <c r="H916" s="53"/>
      <c r="I916" s="53"/>
      <c r="J916" s="51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5"/>
      <c r="B917" s="56"/>
      <c r="C917" s="56"/>
      <c r="D917" s="56"/>
      <c r="E917" s="56"/>
      <c r="F917" s="63"/>
      <c r="G917" s="56"/>
      <c r="H917" s="56"/>
      <c r="I917" s="56"/>
      <c r="J917" s="51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2"/>
      <c r="B918" s="53"/>
      <c r="C918" s="53"/>
      <c r="D918" s="53"/>
      <c r="E918" s="53"/>
      <c r="F918" s="54"/>
      <c r="G918" s="53"/>
      <c r="H918" s="53"/>
      <c r="I918" s="53"/>
      <c r="J918" s="51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5"/>
      <c r="B919" s="56"/>
      <c r="C919" s="56"/>
      <c r="D919" s="56"/>
      <c r="E919" s="56"/>
      <c r="F919" s="63"/>
      <c r="G919" s="56"/>
      <c r="H919" s="56"/>
      <c r="I919" s="56"/>
      <c r="J919" s="51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2"/>
      <c r="B920" s="53"/>
      <c r="C920" s="53"/>
      <c r="D920" s="53"/>
      <c r="E920" s="53"/>
      <c r="F920" s="54"/>
      <c r="G920" s="53"/>
      <c r="H920" s="53"/>
      <c r="I920" s="53"/>
      <c r="J920" s="51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5"/>
      <c r="B921" s="56"/>
      <c r="C921" s="56"/>
      <c r="D921" s="56"/>
      <c r="E921" s="56"/>
      <c r="F921" s="63"/>
      <c r="G921" s="56"/>
      <c r="H921" s="56"/>
      <c r="I921" s="56"/>
      <c r="J921" s="51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2"/>
      <c r="B922" s="53"/>
      <c r="C922" s="53"/>
      <c r="D922" s="53"/>
      <c r="E922" s="53"/>
      <c r="F922" s="54"/>
      <c r="G922" s="53"/>
      <c r="H922" s="53"/>
      <c r="I922" s="53"/>
      <c r="J922" s="51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5"/>
      <c r="B923" s="56"/>
      <c r="C923" s="56"/>
      <c r="D923" s="56"/>
      <c r="E923" s="56"/>
      <c r="F923" s="63"/>
      <c r="G923" s="56"/>
      <c r="H923" s="56"/>
      <c r="I923" s="56"/>
      <c r="J923" s="51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2"/>
      <c r="B924" s="53"/>
      <c r="C924" s="53"/>
      <c r="D924" s="53"/>
      <c r="E924" s="53"/>
      <c r="F924" s="54"/>
      <c r="G924" s="53"/>
      <c r="H924" s="53"/>
      <c r="I924" s="53"/>
      <c r="J924" s="51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5"/>
      <c r="B925" s="56"/>
      <c r="C925" s="56"/>
      <c r="D925" s="56"/>
      <c r="E925" s="56"/>
      <c r="F925" s="63"/>
      <c r="G925" s="56"/>
      <c r="H925" s="56"/>
      <c r="I925" s="56"/>
      <c r="J925" s="51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2"/>
      <c r="B926" s="53"/>
      <c r="C926" s="53"/>
      <c r="D926" s="53"/>
      <c r="E926" s="53"/>
      <c r="F926" s="54"/>
      <c r="G926" s="53"/>
      <c r="H926" s="53"/>
      <c r="I926" s="53"/>
      <c r="J926" s="51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5"/>
      <c r="B927" s="56"/>
      <c r="C927" s="56"/>
      <c r="D927" s="56"/>
      <c r="E927" s="56"/>
      <c r="F927" s="63"/>
      <c r="G927" s="56"/>
      <c r="H927" s="56"/>
      <c r="I927" s="56"/>
      <c r="J927" s="51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2"/>
      <c r="B928" s="53"/>
      <c r="C928" s="53"/>
      <c r="D928" s="53"/>
      <c r="E928" s="53"/>
      <c r="F928" s="54"/>
      <c r="G928" s="53"/>
      <c r="H928" s="53"/>
      <c r="I928" s="53"/>
      <c r="J928" s="51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5"/>
      <c r="B929" s="56"/>
      <c r="C929" s="56"/>
      <c r="D929" s="56"/>
      <c r="E929" s="56"/>
      <c r="F929" s="63"/>
      <c r="G929" s="56"/>
      <c r="H929" s="56"/>
      <c r="I929" s="56"/>
      <c r="J929" s="51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2"/>
      <c r="B930" s="53"/>
      <c r="C930" s="53"/>
      <c r="D930" s="53"/>
      <c r="E930" s="53"/>
      <c r="F930" s="54"/>
      <c r="G930" s="53"/>
      <c r="H930" s="53"/>
      <c r="I930" s="53"/>
      <c r="J930" s="51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5"/>
      <c r="B931" s="56"/>
      <c r="C931" s="56"/>
      <c r="D931" s="56"/>
      <c r="E931" s="56"/>
      <c r="F931" s="63"/>
      <c r="G931" s="56"/>
      <c r="H931" s="56"/>
      <c r="I931" s="56"/>
      <c r="J931" s="51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2"/>
      <c r="B932" s="53"/>
      <c r="C932" s="53"/>
      <c r="D932" s="53"/>
      <c r="E932" s="53"/>
      <c r="F932" s="54"/>
      <c r="G932" s="53"/>
      <c r="H932" s="53"/>
      <c r="I932" s="53"/>
      <c r="J932" s="51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5"/>
      <c r="B933" s="56"/>
      <c r="C933" s="56"/>
      <c r="D933" s="56"/>
      <c r="E933" s="56"/>
      <c r="F933" s="63"/>
      <c r="G933" s="56"/>
      <c r="H933" s="56"/>
      <c r="I933" s="56"/>
      <c r="J933" s="51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2"/>
      <c r="B934" s="53"/>
      <c r="C934" s="53"/>
      <c r="D934" s="53"/>
      <c r="E934" s="53"/>
      <c r="F934" s="54"/>
      <c r="G934" s="53"/>
      <c r="H934" s="53"/>
      <c r="I934" s="53"/>
      <c r="J934" s="51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5"/>
      <c r="B935" s="56"/>
      <c r="C935" s="56"/>
      <c r="D935" s="56"/>
      <c r="E935" s="56"/>
      <c r="F935" s="63"/>
      <c r="G935" s="56"/>
      <c r="H935" s="56"/>
      <c r="I935" s="56"/>
      <c r="J935" s="51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2"/>
      <c r="B936" s="53"/>
      <c r="C936" s="53"/>
      <c r="D936" s="53"/>
      <c r="E936" s="53"/>
      <c r="F936" s="54"/>
      <c r="G936" s="53"/>
      <c r="H936" s="53"/>
      <c r="I936" s="53"/>
      <c r="J936" s="51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5"/>
      <c r="B937" s="56"/>
      <c r="C937" s="56"/>
      <c r="D937" s="56"/>
      <c r="E937" s="56"/>
      <c r="F937" s="63"/>
      <c r="G937" s="56"/>
      <c r="H937" s="56"/>
      <c r="I937" s="56"/>
      <c r="J937" s="51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2"/>
      <c r="B938" s="53"/>
      <c r="C938" s="53"/>
      <c r="D938" s="53"/>
      <c r="E938" s="53"/>
      <c r="F938" s="54"/>
      <c r="G938" s="53"/>
      <c r="H938" s="53"/>
      <c r="I938" s="53"/>
      <c r="J938" s="51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5"/>
      <c r="B939" s="56"/>
      <c r="C939" s="56"/>
      <c r="D939" s="56"/>
      <c r="E939" s="56"/>
      <c r="F939" s="63"/>
      <c r="G939" s="56"/>
      <c r="H939" s="56"/>
      <c r="I939" s="56"/>
      <c r="J939" s="51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2"/>
      <c r="B940" s="53"/>
      <c r="C940" s="53"/>
      <c r="D940" s="53"/>
      <c r="E940" s="53"/>
      <c r="F940" s="54"/>
      <c r="G940" s="53"/>
      <c r="H940" s="53"/>
      <c r="I940" s="53"/>
      <c r="J940" s="51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5"/>
      <c r="B941" s="56"/>
      <c r="C941" s="56"/>
      <c r="D941" s="56"/>
      <c r="E941" s="56"/>
      <c r="F941" s="63"/>
      <c r="G941" s="56"/>
      <c r="H941" s="56"/>
      <c r="I941" s="56"/>
      <c r="J941" s="51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2"/>
      <c r="B942" s="53"/>
      <c r="C942" s="53"/>
      <c r="D942" s="53"/>
      <c r="E942" s="53"/>
      <c r="F942" s="54"/>
      <c r="G942" s="53"/>
      <c r="H942" s="53"/>
      <c r="I942" s="53"/>
      <c r="J942" s="51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5"/>
      <c r="B943" s="56"/>
      <c r="C943" s="56"/>
      <c r="D943" s="56"/>
      <c r="E943" s="56"/>
      <c r="F943" s="63"/>
      <c r="G943" s="56"/>
      <c r="H943" s="56"/>
      <c r="I943" s="56"/>
      <c r="J943" s="51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2"/>
      <c r="B944" s="53"/>
      <c r="C944" s="53"/>
      <c r="D944" s="53"/>
      <c r="E944" s="53"/>
      <c r="F944" s="54"/>
      <c r="G944" s="53"/>
      <c r="H944" s="53"/>
      <c r="I944" s="53"/>
      <c r="J944" s="51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5"/>
      <c r="B945" s="56"/>
      <c r="C945" s="56"/>
      <c r="D945" s="56"/>
      <c r="E945" s="56"/>
      <c r="F945" s="63"/>
      <c r="G945" s="56"/>
      <c r="H945" s="56"/>
      <c r="I945" s="56"/>
      <c r="J945" s="51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2"/>
      <c r="B946" s="53"/>
      <c r="C946" s="53"/>
      <c r="D946" s="53"/>
      <c r="E946" s="53"/>
      <c r="F946" s="54"/>
      <c r="G946" s="53"/>
      <c r="H946" s="53"/>
      <c r="I946" s="53"/>
      <c r="J946" s="51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5"/>
      <c r="B947" s="56"/>
      <c r="C947" s="56"/>
      <c r="D947" s="56"/>
      <c r="E947" s="56"/>
      <c r="F947" s="63"/>
      <c r="G947" s="56"/>
      <c r="H947" s="56"/>
      <c r="I947" s="56"/>
      <c r="J947" s="51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2"/>
      <c r="B948" s="53"/>
      <c r="C948" s="53"/>
      <c r="D948" s="53"/>
      <c r="E948" s="53"/>
      <c r="F948" s="54"/>
      <c r="G948" s="53"/>
      <c r="H948" s="53"/>
      <c r="I948" s="53"/>
      <c r="J948" s="51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5"/>
      <c r="B949" s="56"/>
      <c r="C949" s="56"/>
      <c r="D949" s="56"/>
      <c r="E949" s="56"/>
      <c r="F949" s="63"/>
      <c r="G949" s="56"/>
      <c r="H949" s="56"/>
      <c r="I949" s="56"/>
      <c r="J949" s="51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2"/>
      <c r="B950" s="53"/>
      <c r="C950" s="53"/>
      <c r="D950" s="53"/>
      <c r="E950" s="53"/>
      <c r="F950" s="54"/>
      <c r="G950" s="53"/>
      <c r="H950" s="53"/>
      <c r="I950" s="53"/>
      <c r="J950" s="51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5"/>
      <c r="B951" s="56"/>
      <c r="C951" s="56"/>
      <c r="D951" s="56"/>
      <c r="E951" s="56"/>
      <c r="F951" s="63"/>
      <c r="G951" s="56"/>
      <c r="H951" s="56"/>
      <c r="I951" s="56"/>
      <c r="J951" s="51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2"/>
      <c r="B952" s="53"/>
      <c r="C952" s="53"/>
      <c r="D952" s="53"/>
      <c r="E952" s="53"/>
      <c r="F952" s="54"/>
      <c r="G952" s="53"/>
      <c r="H952" s="53"/>
      <c r="I952" s="53"/>
      <c r="J952" s="51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5"/>
      <c r="B953" s="56"/>
      <c r="C953" s="56"/>
      <c r="D953" s="56"/>
      <c r="E953" s="56"/>
      <c r="F953" s="63"/>
      <c r="G953" s="56"/>
      <c r="H953" s="56"/>
      <c r="I953" s="56"/>
      <c r="J953" s="51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2"/>
      <c r="B954" s="53"/>
      <c r="C954" s="53"/>
      <c r="D954" s="53"/>
      <c r="E954" s="53"/>
      <c r="F954" s="54"/>
      <c r="G954" s="53"/>
      <c r="H954" s="53"/>
      <c r="I954" s="53"/>
      <c r="J954" s="51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5"/>
      <c r="B955" s="56"/>
      <c r="C955" s="56"/>
      <c r="D955" s="56"/>
      <c r="E955" s="56"/>
      <c r="F955" s="63"/>
      <c r="G955" s="56"/>
      <c r="H955" s="56"/>
      <c r="I955" s="56"/>
      <c r="J955" s="51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2"/>
      <c r="B956" s="53"/>
      <c r="C956" s="53"/>
      <c r="D956" s="53"/>
      <c r="E956" s="53"/>
      <c r="F956" s="54"/>
      <c r="G956" s="53"/>
      <c r="H956" s="53"/>
      <c r="I956" s="53"/>
      <c r="J956" s="51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5"/>
      <c r="B957" s="56"/>
      <c r="C957" s="56"/>
      <c r="D957" s="56"/>
      <c r="E957" s="56"/>
      <c r="F957" s="63"/>
      <c r="G957" s="56"/>
      <c r="H957" s="56"/>
      <c r="I957" s="56"/>
      <c r="J957" s="51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2"/>
      <c r="B958" s="53"/>
      <c r="C958" s="53"/>
      <c r="D958" s="53"/>
      <c r="E958" s="53"/>
      <c r="F958" s="54"/>
      <c r="G958" s="53"/>
      <c r="H958" s="53"/>
      <c r="I958" s="53"/>
      <c r="J958" s="51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5"/>
      <c r="B959" s="56"/>
      <c r="C959" s="56"/>
      <c r="D959" s="56"/>
      <c r="E959" s="56"/>
      <c r="F959" s="63"/>
      <c r="G959" s="56"/>
      <c r="H959" s="56"/>
      <c r="I959" s="56"/>
      <c r="J959" s="51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2"/>
      <c r="B960" s="53"/>
      <c r="C960" s="53"/>
      <c r="D960" s="53"/>
      <c r="E960" s="53"/>
      <c r="F960" s="54"/>
      <c r="G960" s="53"/>
      <c r="H960" s="53"/>
      <c r="I960" s="53"/>
      <c r="J960" s="51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5"/>
      <c r="B961" s="56"/>
      <c r="C961" s="56"/>
      <c r="D961" s="56"/>
      <c r="E961" s="56"/>
      <c r="F961" s="63"/>
      <c r="G961" s="56"/>
      <c r="H961" s="56"/>
      <c r="I961" s="56"/>
      <c r="J961" s="51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2"/>
      <c r="B962" s="53"/>
      <c r="C962" s="53"/>
      <c r="D962" s="53"/>
      <c r="E962" s="53"/>
      <c r="F962" s="54"/>
      <c r="G962" s="53"/>
      <c r="H962" s="53"/>
      <c r="I962" s="53"/>
      <c r="J962" s="51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5"/>
      <c r="B963" s="56"/>
      <c r="C963" s="56"/>
      <c r="D963" s="56"/>
      <c r="E963" s="56"/>
      <c r="F963" s="63"/>
      <c r="G963" s="56"/>
      <c r="H963" s="56"/>
      <c r="I963" s="56"/>
      <c r="J963" s="51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2"/>
      <c r="B964" s="53"/>
      <c r="C964" s="53"/>
      <c r="D964" s="53"/>
      <c r="E964" s="53"/>
      <c r="F964" s="54"/>
      <c r="G964" s="53"/>
      <c r="H964" s="53"/>
      <c r="I964" s="53"/>
      <c r="J964" s="51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5"/>
      <c r="B965" s="56"/>
      <c r="C965" s="56"/>
      <c r="D965" s="56"/>
      <c r="E965" s="56"/>
      <c r="F965" s="63"/>
      <c r="G965" s="56"/>
      <c r="H965" s="56"/>
      <c r="I965" s="56"/>
      <c r="J965" s="51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2"/>
      <c r="B966" s="53"/>
      <c r="C966" s="53"/>
      <c r="D966" s="53"/>
      <c r="E966" s="53"/>
      <c r="F966" s="54"/>
      <c r="G966" s="53"/>
      <c r="H966" s="53"/>
      <c r="I966" s="53"/>
      <c r="J966" s="51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5"/>
      <c r="B967" s="56"/>
      <c r="C967" s="56"/>
      <c r="D967" s="56"/>
      <c r="E967" s="56"/>
      <c r="F967" s="63"/>
      <c r="G967" s="56"/>
      <c r="H967" s="56"/>
      <c r="I967" s="56"/>
      <c r="J967" s="51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2"/>
      <c r="B968" s="53"/>
      <c r="C968" s="53"/>
      <c r="D968" s="53"/>
      <c r="E968" s="53"/>
      <c r="F968" s="54"/>
      <c r="G968" s="53"/>
      <c r="H968" s="53"/>
      <c r="I968" s="53"/>
      <c r="J968" s="51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5"/>
      <c r="B969" s="56"/>
      <c r="C969" s="56"/>
      <c r="D969" s="56"/>
      <c r="E969" s="56"/>
      <c r="F969" s="63"/>
      <c r="G969" s="56"/>
      <c r="H969" s="56"/>
      <c r="I969" s="56"/>
      <c r="J969" s="51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2"/>
      <c r="B970" s="53"/>
      <c r="C970" s="53"/>
      <c r="D970" s="53"/>
      <c r="E970" s="53"/>
      <c r="F970" s="54"/>
      <c r="G970" s="53"/>
      <c r="H970" s="53"/>
      <c r="I970" s="53"/>
      <c r="J970" s="51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5"/>
      <c r="B971" s="56"/>
      <c r="C971" s="56"/>
      <c r="D971" s="56"/>
      <c r="E971" s="56"/>
      <c r="F971" s="63"/>
      <c r="G971" s="56"/>
      <c r="H971" s="56"/>
      <c r="I971" s="56"/>
      <c r="J971" s="51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2"/>
      <c r="B972" s="53"/>
      <c r="C972" s="53"/>
      <c r="D972" s="53"/>
      <c r="E972" s="53"/>
      <c r="F972" s="54"/>
      <c r="G972" s="53"/>
      <c r="H972" s="53"/>
      <c r="I972" s="53"/>
      <c r="J972" s="51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5"/>
      <c r="B973" s="56"/>
      <c r="C973" s="56"/>
      <c r="D973" s="56"/>
      <c r="E973" s="56"/>
      <c r="F973" s="63"/>
      <c r="G973" s="56"/>
      <c r="H973" s="56"/>
      <c r="I973" s="56"/>
      <c r="J973" s="51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2"/>
      <c r="B974" s="53"/>
      <c r="C974" s="53"/>
      <c r="D974" s="53"/>
      <c r="E974" s="53"/>
      <c r="F974" s="54"/>
      <c r="G974" s="53"/>
      <c r="H974" s="53"/>
      <c r="I974" s="53"/>
      <c r="J974" s="51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5"/>
      <c r="B975" s="56"/>
      <c r="C975" s="56"/>
      <c r="D975" s="56"/>
      <c r="E975" s="56"/>
      <c r="F975" s="63"/>
      <c r="G975" s="56"/>
      <c r="H975" s="56"/>
      <c r="I975" s="56"/>
      <c r="J975" s="51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2"/>
      <c r="B976" s="53"/>
      <c r="C976" s="53"/>
      <c r="D976" s="53"/>
      <c r="E976" s="53"/>
      <c r="F976" s="54"/>
      <c r="G976" s="53"/>
      <c r="H976" s="53"/>
      <c r="I976" s="53"/>
      <c r="J976" s="51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5"/>
      <c r="B977" s="56"/>
      <c r="C977" s="56"/>
      <c r="D977" s="56"/>
      <c r="E977" s="56"/>
      <c r="F977" s="63"/>
      <c r="G977" s="56"/>
      <c r="H977" s="56"/>
      <c r="I977" s="56"/>
      <c r="J977" s="51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2"/>
      <c r="B978" s="53"/>
      <c r="C978" s="53"/>
      <c r="D978" s="53"/>
      <c r="E978" s="53"/>
      <c r="F978" s="54"/>
      <c r="G978" s="53"/>
      <c r="H978" s="53"/>
      <c r="I978" s="53"/>
      <c r="J978" s="51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5"/>
      <c r="B979" s="56"/>
      <c r="C979" s="56"/>
      <c r="D979" s="56"/>
      <c r="E979" s="56"/>
      <c r="F979" s="63"/>
      <c r="G979" s="56"/>
      <c r="H979" s="56"/>
      <c r="I979" s="56"/>
      <c r="J979" s="51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2"/>
      <c r="B980" s="53"/>
      <c r="C980" s="53"/>
      <c r="D980" s="53"/>
      <c r="E980" s="53"/>
      <c r="F980" s="54"/>
      <c r="G980" s="53"/>
      <c r="H980" s="53"/>
      <c r="I980" s="53"/>
      <c r="J980" s="51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5"/>
      <c r="B981" s="56"/>
      <c r="C981" s="56"/>
      <c r="D981" s="56"/>
      <c r="E981" s="56"/>
      <c r="F981" s="63"/>
      <c r="G981" s="56"/>
      <c r="H981" s="56"/>
      <c r="I981" s="56"/>
      <c r="J981" s="51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2"/>
      <c r="B982" s="53"/>
      <c r="C982" s="53"/>
      <c r="D982" s="53"/>
      <c r="E982" s="53"/>
      <c r="F982" s="54"/>
      <c r="G982" s="53"/>
      <c r="H982" s="53"/>
      <c r="I982" s="53"/>
      <c r="J982" s="51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5"/>
      <c r="B983" s="56"/>
      <c r="C983" s="56"/>
      <c r="D983" s="56"/>
      <c r="E983" s="56"/>
      <c r="F983" s="63"/>
      <c r="G983" s="56"/>
      <c r="H983" s="56"/>
      <c r="I983" s="56"/>
      <c r="J983" s="51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2"/>
      <c r="B984" s="53"/>
      <c r="C984" s="53"/>
      <c r="D984" s="53"/>
      <c r="E984" s="53"/>
      <c r="F984" s="54"/>
      <c r="G984" s="53"/>
      <c r="H984" s="53"/>
      <c r="I984" s="53"/>
      <c r="J984" s="51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5"/>
      <c r="B985" s="56"/>
      <c r="C985" s="56"/>
      <c r="D985" s="56"/>
      <c r="E985" s="56"/>
      <c r="F985" s="63"/>
      <c r="G985" s="56"/>
      <c r="H985" s="56"/>
      <c r="I985" s="56"/>
      <c r="J985" s="51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2"/>
      <c r="B986" s="53"/>
      <c r="C986" s="53"/>
      <c r="D986" s="53"/>
      <c r="E986" s="53"/>
      <c r="F986" s="54"/>
      <c r="G986" s="53"/>
      <c r="H986" s="53"/>
      <c r="I986" s="53"/>
      <c r="J986" s="51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5"/>
      <c r="B987" s="56"/>
      <c r="C987" s="56"/>
      <c r="D987" s="56"/>
      <c r="E987" s="56"/>
      <c r="F987" s="63"/>
      <c r="G987" s="56"/>
      <c r="H987" s="56"/>
      <c r="I987" s="56"/>
      <c r="J987" s="51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2"/>
      <c r="B988" s="53"/>
      <c r="C988" s="53"/>
      <c r="D988" s="53"/>
      <c r="E988" s="53"/>
      <c r="F988" s="54"/>
      <c r="G988" s="53"/>
      <c r="H988" s="53"/>
      <c r="I988" s="53"/>
      <c r="J988" s="51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5"/>
      <c r="B989" s="56"/>
      <c r="C989" s="56"/>
      <c r="D989" s="56"/>
      <c r="E989" s="56"/>
      <c r="F989" s="63"/>
      <c r="G989" s="56"/>
      <c r="H989" s="56"/>
      <c r="I989" s="56"/>
      <c r="J989" s="51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2"/>
      <c r="B990" s="53"/>
      <c r="C990" s="53"/>
      <c r="D990" s="53"/>
      <c r="E990" s="53"/>
      <c r="F990" s="54"/>
      <c r="G990" s="53"/>
      <c r="H990" s="53"/>
      <c r="I990" s="53"/>
      <c r="J990" s="51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5"/>
      <c r="B991" s="56"/>
      <c r="C991" s="56"/>
      <c r="D991" s="56"/>
      <c r="E991" s="56"/>
      <c r="F991" s="63"/>
      <c r="G991" s="56"/>
      <c r="H991" s="56"/>
      <c r="I991" s="56"/>
      <c r="J991" s="51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2"/>
      <c r="B992" s="53"/>
      <c r="C992" s="53"/>
      <c r="D992" s="53"/>
      <c r="E992" s="53"/>
      <c r="F992" s="54"/>
      <c r="G992" s="53"/>
      <c r="H992" s="53"/>
      <c r="I992" s="53"/>
      <c r="J992" s="51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5"/>
      <c r="B993" s="56"/>
      <c r="C993" s="56"/>
      <c r="D993" s="56"/>
      <c r="E993" s="56"/>
      <c r="F993" s="63"/>
      <c r="G993" s="56"/>
      <c r="H993" s="56"/>
      <c r="I993" s="56"/>
      <c r="J993" s="51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2"/>
      <c r="B994" s="53"/>
      <c r="C994" s="53"/>
      <c r="D994" s="53"/>
      <c r="E994" s="53"/>
      <c r="F994" s="54"/>
      <c r="G994" s="53"/>
      <c r="H994" s="53"/>
      <c r="I994" s="53"/>
      <c r="J994" s="51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5"/>
      <c r="B995" s="56"/>
      <c r="C995" s="56"/>
      <c r="D995" s="56"/>
      <c r="E995" s="56"/>
      <c r="F995" s="63"/>
      <c r="G995" s="56"/>
      <c r="H995" s="56"/>
      <c r="I995" s="56"/>
      <c r="J995" s="51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2"/>
      <c r="B996" s="53"/>
      <c r="C996" s="53"/>
      <c r="D996" s="53"/>
      <c r="E996" s="53"/>
      <c r="F996" s="54"/>
      <c r="G996" s="53"/>
      <c r="H996" s="53"/>
      <c r="I996" s="53"/>
      <c r="J996" s="51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38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38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38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38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79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4"/>
      <c r="H2" s="6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5" t="s">
        <v>80</v>
      </c>
      <c r="B3" s="65" t="s">
        <v>81</v>
      </c>
      <c r="C3" s="65" t="s">
        <v>82</v>
      </c>
      <c r="D3" s="65" t="s">
        <v>83</v>
      </c>
      <c r="E3" s="65" t="s">
        <v>84</v>
      </c>
      <c r="F3" s="64"/>
      <c r="G3" s="64"/>
      <c r="H3" s="6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6">
        <f>SUMIF(E7:E206,"&gt;0",E7:E206)</f>
        <v>1279.256245</v>
      </c>
      <c r="B4" s="66">
        <f>SUMIF(E7:E206,"&lt;0",E7:E206)</f>
        <v>-2286.256245</v>
      </c>
      <c r="C4" s="66">
        <f>SUM(E7:E206)</f>
        <v>-1007</v>
      </c>
      <c r="D4" s="67">
        <f>COUNTIF(F7:F206,"Settled")</f>
        <v>4</v>
      </c>
      <c r="E4" s="67">
        <f>COUNTIF(F7:F206,"Unsettled")</f>
        <v>31</v>
      </c>
      <c r="F4" s="64"/>
      <c r="G4" s="64"/>
      <c r="H4" s="6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4"/>
      <c r="H5" s="6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85</v>
      </c>
      <c r="C6" s="5" t="s">
        <v>86</v>
      </c>
      <c r="D6" s="5" t="s">
        <v>87</v>
      </c>
      <c r="E6" s="5" t="s">
        <v>88</v>
      </c>
      <c r="F6" s="5" t="s">
        <v>5</v>
      </c>
      <c r="G6" s="64"/>
      <c r="H6" s="6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0" t="str">
        <f>IF(Roster!$A$5&lt;&gt;"",Roster!$A$5,"")</f>
        <v>At</v>
      </c>
      <c r="B7" s="30">
        <f t="array" ref="B7">IF(A7&lt;&gt;"",IFERROR(SUMPRODUCT((INDEX(Attendance!$B$7:$AZ$206,MATCH(A7,Attendance!$A$7:$A$206,0),0)=1)*Attendance!$B$4:$AZ$4),0),"")</f>
        <v>81.18375517</v>
      </c>
      <c r="C7" s="68">
        <f>IF(A7&lt;&gt;"",SUMIFS(Transactions!$F$7:$F$996,Transactions!$D$7:$D$996,"Income",Transactions!$E$7:$E$996,A7),"")</f>
        <v>0</v>
      </c>
      <c r="D7" s="68">
        <f>IF(A7&lt;&gt;"",SUMIFS(Transactions!$F$7:$F$996,Transactions!$D$7:$D$996,"Expense",Transactions!$E$7:$E$996,A7),"")</f>
        <v>0</v>
      </c>
      <c r="E7" s="66">
        <f t="shared" ref="E7:E206" si="1">IF(A7&lt;&gt;"",B7-C7-D7,"")</f>
        <v>81.18375517</v>
      </c>
      <c r="F7" s="66" t="str">
        <f t="shared" ref="F7:F206" si="2">IF(A7&lt;&gt;"",IF(E7=0,"Settled","Unsettled"),"")</f>
        <v>Unsettled</v>
      </c>
      <c r="G7" s="69"/>
      <c r="H7" s="6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0" t="str">
        <f>IF(Roster!$A$6&lt;&gt;"",Roster!$A$6,"")</f>
        <v>Alex Warrington</v>
      </c>
      <c r="B8" s="30">
        <f t="array" ref="B8">IF(A8&lt;&gt;"",IFERROR(SUMPRODUCT((INDEX(Attendance!$B$7:$AZ$206,MATCH(A8,Attendance!$A$7:$A$206,0),0)=1)*Attendance!$B$4:$AZ$4),0),"")</f>
        <v>43.11042184</v>
      </c>
      <c r="C8" s="68">
        <f>IF(A8&lt;&gt;"",SUMIFS(Transactions!$F$7:$F$996,Transactions!$D$7:$D$996,"Income",Transactions!$E$7:$E$996,A8),"")</f>
        <v>0</v>
      </c>
      <c r="D8" s="68">
        <f>IF(A8&lt;&gt;"",SUMIFS(Transactions!$F$7:$F$996,Transactions!$D$7:$D$996,"Expense",Transactions!$E$7:$E$996,A8),"")</f>
        <v>0</v>
      </c>
      <c r="E8" s="66">
        <f t="shared" si="1"/>
        <v>43.11042184</v>
      </c>
      <c r="F8" s="66" t="str">
        <f t="shared" si="2"/>
        <v>Unsettled</v>
      </c>
      <c r="G8" s="69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0" t="str">
        <f>IF(Roster!$A$7&lt;&gt;"",Roster!$A$7,"")</f>
        <v>Chris Wohl</v>
      </c>
      <c r="B9" s="30">
        <f t="array" ref="B9">IF(A9&lt;&gt;"",IFERROR(SUMPRODUCT((INDEX(Attendance!$B$7:$AZ$206,MATCH(A9,Attendance!$A$7:$A$206,0),0)=1)*Attendance!$B$4:$AZ$4),0),"")</f>
        <v>43.11042184</v>
      </c>
      <c r="C9" s="68">
        <f>IF(A9&lt;&gt;"",SUMIFS(Transactions!$F$7:$F$996,Transactions!$D$7:$D$996,"Income",Transactions!$E$7:$E$996,A9),"")</f>
        <v>0</v>
      </c>
      <c r="D9" s="68">
        <f>IF(A9&lt;&gt;"",SUMIFS(Transactions!$F$7:$F$996,Transactions!$D$7:$D$996,"Expense",Transactions!$E$7:$E$996,A9),"")</f>
        <v>0</v>
      </c>
      <c r="E9" s="66">
        <f t="shared" si="1"/>
        <v>43.11042184</v>
      </c>
      <c r="F9" s="66" t="str">
        <f t="shared" si="2"/>
        <v>Unsettled</v>
      </c>
      <c r="G9" s="69"/>
      <c r="H9" s="6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0" t="str">
        <f>IF(Roster!$A$8&lt;&gt;"",Roster!$A$8,"")</f>
        <v>Darra Reppermund</v>
      </c>
      <c r="B10" s="30">
        <f t="array" ref="B10">IF(A10&lt;&gt;"",IFERROR(SUMPRODUCT((INDEX(Attendance!$B$7:$AZ$206,MATCH(A10,Attendance!$A$7:$A$206,0),0)=1)*Attendance!$B$4:$AZ$4),0),"")</f>
        <v>43.11042184</v>
      </c>
      <c r="C10" s="68">
        <f>IF(A10&lt;&gt;"",SUMIFS(Transactions!$F$7:$F$996,Transactions!$D$7:$D$996,"Income",Transactions!$E$7:$E$996,A10),"")</f>
        <v>0</v>
      </c>
      <c r="D10" s="68">
        <f>IF(A10&lt;&gt;"",SUMIFS(Transactions!$F$7:$F$996,Transactions!$D$7:$D$996,"Expense",Transactions!$E$7:$E$996,A10),"")</f>
        <v>0</v>
      </c>
      <c r="E10" s="66">
        <f t="shared" si="1"/>
        <v>43.11042184</v>
      </c>
      <c r="F10" s="66" t="str">
        <f t="shared" si="2"/>
        <v>Unsettled</v>
      </c>
      <c r="G10" s="69"/>
      <c r="H10" s="6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0" t="str">
        <f>IF(Roster!$A$9&lt;&gt;"",Roster!$A$9,"")</f>
        <v>Dylan Best</v>
      </c>
      <c r="B11" s="30">
        <f t="array" ref="B11">IF(A11&lt;&gt;"",IFERROR(SUMPRODUCT((INDEX(Attendance!$B$7:$AZ$206,MATCH(A11,Attendance!$A$7:$A$206,0),0)=1)*Attendance!$B$4:$AZ$4),0),"")</f>
        <v>81.18375517</v>
      </c>
      <c r="C11" s="68">
        <f>IF(A11&lt;&gt;"",SUMIFS(Transactions!$F$7:$F$996,Transactions!$D$7:$D$996,"Income",Transactions!$E$7:$E$996,A11),"")</f>
        <v>0</v>
      </c>
      <c r="D11" s="68">
        <f>IF(A11&lt;&gt;"",SUMIFS(Transactions!$F$7:$F$996,Transactions!$D$7:$D$996,"Expense",Transactions!$E$7:$E$996,A11),"")</f>
        <v>0</v>
      </c>
      <c r="E11" s="66">
        <f t="shared" si="1"/>
        <v>81.18375517</v>
      </c>
      <c r="F11" s="66" t="str">
        <f t="shared" si="2"/>
        <v>Unsettled</v>
      </c>
      <c r="G11" s="69"/>
      <c r="H11" s="6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0" t="str">
        <f>IF(Roster!$A$10&lt;&gt;"",Roster!$A$10,"")</f>
        <v>Griffin O'Neal-Freeman</v>
      </c>
      <c r="B12" s="70">
        <f t="array" ref="B12">IF(A12&lt;&gt;"",IFERROR(SUMPRODUCT((INDEX(Attendance!$B$7:$AZ$206,MATCH(A12,Attendance!$A$7:$A$206,0),0)=1)*Attendance!$B$4:$AZ$4),0),"")</f>
        <v>43.11042184</v>
      </c>
      <c r="C12" s="71">
        <f>IF(A12&lt;&gt;"",SUMIFS(Transactions!$F$7:$F$996,Transactions!$D$7:$D$996,"Income",Transactions!$E$7:$E$996,A12),"")</f>
        <v>0</v>
      </c>
      <c r="D12" s="71">
        <f>IF(A12&lt;&gt;"",SUMIFS(Transactions!$F$7:$F$996,Transactions!$D$7:$D$996,"Expense",Transactions!$E$7:$E$996,A12),"")</f>
        <v>0</v>
      </c>
      <c r="E12" s="72">
        <f t="shared" si="1"/>
        <v>43.11042184</v>
      </c>
      <c r="F12" s="72" t="str">
        <f t="shared" si="2"/>
        <v>Unsettled</v>
      </c>
      <c r="G12" s="69"/>
      <c r="H12" s="6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0" t="str">
        <f>IF(Roster!$A$11&lt;&gt;"",Roster!$A$11,"")</f>
        <v>Haley Young</v>
      </c>
      <c r="B13" s="30">
        <f t="array" ref="B13">IF(A13&lt;&gt;"",IFERROR(SUMPRODUCT((INDEX(Attendance!$B$7:$AZ$206,MATCH(A13,Attendance!$A$7:$A$206,0),0)=1)*Attendance!$B$4:$AZ$4),0),"")</f>
        <v>43.11042184</v>
      </c>
      <c r="C13" s="68">
        <f>IF(A13&lt;&gt;"",SUMIFS(Transactions!$F$7:$F$996,Transactions!$D$7:$D$996,"Income",Transactions!$E$7:$E$996,A13),"")</f>
        <v>0</v>
      </c>
      <c r="D13" s="68">
        <f>IF(A13&lt;&gt;"",SUMIFS(Transactions!$F$7:$F$996,Transactions!$D$7:$D$996,"Expense",Transactions!$E$7:$E$996,A13),"")</f>
        <v>0</v>
      </c>
      <c r="E13" s="66">
        <f t="shared" si="1"/>
        <v>43.11042184</v>
      </c>
      <c r="F13" s="66" t="str">
        <f t="shared" si="2"/>
        <v>Unsettled</v>
      </c>
      <c r="G13" s="69"/>
      <c r="H13" s="6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0" t="str">
        <f>IF(Roster!$A$12&lt;&gt;"",Roster!$A$12,"")</f>
        <v>Harry Park</v>
      </c>
      <c r="B14" s="70">
        <f t="array" ref="B14">IF(A14&lt;&gt;"",IFERROR(SUMPRODUCT((INDEX(Attendance!$B$7:$AZ$206,MATCH(A14,Attendance!$A$7:$A$206,0),0)=1)*Attendance!$B$4:$AZ$4),0),"")</f>
        <v>43.11042184</v>
      </c>
      <c r="C14" s="71">
        <f>IF(A14&lt;&gt;"",SUMIFS(Transactions!$F$7:$F$996,Transactions!$D$7:$D$996,"Income",Transactions!$E$7:$E$996,A14),"")</f>
        <v>0</v>
      </c>
      <c r="D14" s="71">
        <f>IF(A14&lt;&gt;"",SUMIFS(Transactions!$F$7:$F$996,Transactions!$D$7:$D$996,"Expense",Transactions!$E$7:$E$996,A14),"")</f>
        <v>0</v>
      </c>
      <c r="E14" s="72">
        <f t="shared" si="1"/>
        <v>43.11042184</v>
      </c>
      <c r="F14" s="72" t="str">
        <f t="shared" si="2"/>
        <v>Unsettled</v>
      </c>
      <c r="G14" s="69"/>
      <c r="H14" s="6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0" t="str">
        <f>IF(Roster!$A$13&lt;&gt;"",Roster!$A$13,"")</f>
        <v>Ian Piper</v>
      </c>
      <c r="B15" s="30">
        <f t="array" ref="B15">IF(A15&lt;&gt;"",IFERROR(SUMPRODUCT((INDEX(Attendance!$B$7:$AZ$206,MATCH(A15,Attendance!$A$7:$A$206,0),0)=1)*Attendance!$B$4:$AZ$4),0),"")</f>
        <v>43.11042184</v>
      </c>
      <c r="C15" s="68">
        <f>IF(A15&lt;&gt;"",SUMIFS(Transactions!$F$7:$F$996,Transactions!$D$7:$D$996,"Income",Transactions!$E$7:$E$996,A15),"")</f>
        <v>0</v>
      </c>
      <c r="D15" s="68">
        <f>IF(A15&lt;&gt;"",SUMIFS(Transactions!$F$7:$F$996,Transactions!$D$7:$D$996,"Expense",Transactions!$E$7:$E$996,A15),"")</f>
        <v>0</v>
      </c>
      <c r="E15" s="66">
        <f t="shared" si="1"/>
        <v>43.11042184</v>
      </c>
      <c r="F15" s="66" t="str">
        <f t="shared" si="2"/>
        <v>Unsettled</v>
      </c>
      <c r="G15" s="69"/>
      <c r="H15" s="6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0" t="str">
        <f>IF(Roster!$A$14&lt;&gt;"",Roster!$A$14,"")</f>
        <v>Jake Murray</v>
      </c>
      <c r="B16" s="70">
        <f t="array" ref="B16">IF(A16&lt;&gt;"",IFERROR(SUMPRODUCT((INDEX(Attendance!$B$7:$AZ$206,MATCH(A16,Attendance!$A$7:$A$206,0),0)=1)*Attendance!$B$4:$AZ$4),0),"")</f>
        <v>81.18375517</v>
      </c>
      <c r="C16" s="71">
        <f>IF(A16&lt;&gt;"",SUMIFS(Transactions!$F$7:$F$996,Transactions!$D$7:$D$996,"Income",Transactions!$E$7:$E$996,A16),"")</f>
        <v>0</v>
      </c>
      <c r="D16" s="71">
        <f>IF(A16&lt;&gt;"",SUMIFS(Transactions!$F$7:$F$996,Transactions!$D$7:$D$996,"Expense",Transactions!$E$7:$E$996,A16),"")</f>
        <v>2367.44</v>
      </c>
      <c r="E16" s="72">
        <f t="shared" si="1"/>
        <v>-2286.256245</v>
      </c>
      <c r="F16" s="72" t="str">
        <f t="shared" si="2"/>
        <v>Unsettled</v>
      </c>
      <c r="G16" s="69"/>
      <c r="H16" s="6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0" t="str">
        <f>IF(Roster!$A$15&lt;&gt;"",Roster!$A$15,"")</f>
        <v>Jenna Nold</v>
      </c>
      <c r="B17" s="30">
        <f t="array" ref="B17">IF(A17&lt;&gt;"",IFERROR(SUMPRODUCT((INDEX(Attendance!$B$7:$AZ$206,MATCH(A17,Attendance!$A$7:$A$206,0),0)=1)*Attendance!$B$4:$AZ$4),0),"")</f>
        <v>43.11042184</v>
      </c>
      <c r="C17" s="68">
        <f>IF(A17&lt;&gt;"",SUMIFS(Transactions!$F$7:$F$996,Transactions!$D$7:$D$996,"Income",Transactions!$E$7:$E$996,A17),"")</f>
        <v>0</v>
      </c>
      <c r="D17" s="68">
        <f>IF(A17&lt;&gt;"",SUMIFS(Transactions!$F$7:$F$996,Transactions!$D$7:$D$996,"Expense",Transactions!$E$7:$E$996,A17),"")</f>
        <v>0</v>
      </c>
      <c r="E17" s="66">
        <f t="shared" si="1"/>
        <v>43.11042184</v>
      </c>
      <c r="F17" s="66" t="str">
        <f t="shared" si="2"/>
        <v>Unsettled</v>
      </c>
      <c r="G17" s="69"/>
      <c r="H17" s="6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0" t="str">
        <f>IF(Roster!$A$16&lt;&gt;"",Roster!$A$16,"")</f>
        <v>Jimmy Towle</v>
      </c>
      <c r="B18" s="70">
        <f t="array" ref="B18">IF(A18&lt;&gt;"",IFERROR(SUMPRODUCT((INDEX(Attendance!$B$7:$AZ$206,MATCH(A18,Attendance!$A$7:$A$206,0),0)=1)*Attendance!$B$4:$AZ$4),0),"")</f>
        <v>2.225806452</v>
      </c>
      <c r="C18" s="71">
        <f>IF(A18&lt;&gt;"",SUMIFS(Transactions!$F$7:$F$996,Transactions!$D$7:$D$996,"Income",Transactions!$E$7:$E$996,A18),"")</f>
        <v>0</v>
      </c>
      <c r="D18" s="71">
        <f>IF(A18&lt;&gt;"",SUMIFS(Transactions!$F$7:$F$996,Transactions!$D$7:$D$996,"Expense",Transactions!$E$7:$E$996,A18),"")</f>
        <v>0</v>
      </c>
      <c r="E18" s="72">
        <f t="shared" si="1"/>
        <v>2.225806452</v>
      </c>
      <c r="F18" s="72" t="str">
        <f t="shared" si="2"/>
        <v>Unsettled</v>
      </c>
      <c r="G18" s="69"/>
      <c r="H18" s="6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0" t="str">
        <f>IF(Roster!$A$17&lt;&gt;"",Roster!$A$17,"")</f>
        <v>Kailey Rugani</v>
      </c>
      <c r="B19" s="30">
        <f t="array" ref="B19">IF(A19&lt;&gt;"",IFERROR(SUMPRODUCT((INDEX(Attendance!$B$7:$AZ$206,MATCH(A19,Attendance!$A$7:$A$206,0),0)=1)*Attendance!$B$4:$AZ$4),0),"")</f>
        <v>43.11042184</v>
      </c>
      <c r="C19" s="68">
        <f>IF(A19&lt;&gt;"",SUMIFS(Transactions!$F$7:$F$996,Transactions!$D$7:$D$996,"Income",Transactions!$E$7:$E$996,A19),"")</f>
        <v>0</v>
      </c>
      <c r="D19" s="68">
        <f>IF(A19&lt;&gt;"",SUMIFS(Transactions!$F$7:$F$996,Transactions!$D$7:$D$996,"Expense",Transactions!$E$7:$E$996,A19),"")</f>
        <v>0</v>
      </c>
      <c r="E19" s="66">
        <f t="shared" si="1"/>
        <v>43.11042184</v>
      </c>
      <c r="F19" s="66" t="str">
        <f t="shared" si="2"/>
        <v>Unsettled</v>
      </c>
      <c r="G19" s="69"/>
      <c r="H19" s="6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0" t="str">
        <f>IF(Roster!$A$18&lt;&gt;"",Roster!$A$18,"")</f>
        <v>Kasey Schock</v>
      </c>
      <c r="B20" s="70">
        <f t="array" ref="B20">IF(A20&lt;&gt;"",IFERROR(SUMPRODUCT((INDEX(Attendance!$B$7:$AZ$206,MATCH(A20,Attendance!$A$7:$A$206,0),0)=1)*Attendance!$B$4:$AZ$4),0),"")</f>
        <v>43.11042184</v>
      </c>
      <c r="C20" s="71">
        <f>IF(A20&lt;&gt;"",SUMIFS(Transactions!$F$7:$F$996,Transactions!$D$7:$D$996,"Income",Transactions!$E$7:$E$996,A20),"")</f>
        <v>0</v>
      </c>
      <c r="D20" s="71">
        <f>IF(A20&lt;&gt;"",SUMIFS(Transactions!$F$7:$F$996,Transactions!$D$7:$D$996,"Expense",Transactions!$E$7:$E$996,A20),"")</f>
        <v>0</v>
      </c>
      <c r="E20" s="72">
        <f t="shared" si="1"/>
        <v>43.11042184</v>
      </c>
      <c r="F20" s="72" t="str">
        <f t="shared" si="2"/>
        <v>Unsettled</v>
      </c>
      <c r="G20" s="69"/>
      <c r="H20" s="6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0" t="str">
        <f>IF(Roster!$A$19&lt;&gt;"",Roster!$A$19,"")</f>
        <v>Kevin Nicholl</v>
      </c>
      <c r="B21" s="30">
        <f t="array" ref="B21">IF(A21&lt;&gt;"",IFERROR(SUMPRODUCT((INDEX(Attendance!$B$7:$AZ$206,MATCH(A21,Attendance!$A$7:$A$206,0),0)=1)*Attendance!$B$4:$AZ$4),0),"")</f>
        <v>43.11042184</v>
      </c>
      <c r="C21" s="68">
        <f>IF(A21&lt;&gt;"",SUMIFS(Transactions!$F$7:$F$996,Transactions!$D$7:$D$996,"Income",Transactions!$E$7:$E$996,A21),"")</f>
        <v>0</v>
      </c>
      <c r="D21" s="68">
        <f>IF(A21&lt;&gt;"",SUMIFS(Transactions!$F$7:$F$996,Transactions!$D$7:$D$996,"Expense",Transactions!$E$7:$E$996,A21),"")</f>
        <v>0</v>
      </c>
      <c r="E21" s="66">
        <f t="shared" si="1"/>
        <v>43.11042184</v>
      </c>
      <c r="F21" s="66" t="str">
        <f t="shared" si="2"/>
        <v>Unsettled</v>
      </c>
      <c r="G21" s="69"/>
      <c r="H21" s="6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0" t="str">
        <f>IF(Roster!$A$20&lt;&gt;"",Roster!$A$20,"")</f>
        <v>Kit Asterin</v>
      </c>
      <c r="B22" s="70">
        <f t="array" ref="B22">IF(A22&lt;&gt;"",IFERROR(SUMPRODUCT((INDEX(Attendance!$B$7:$AZ$206,MATCH(A22,Attendance!$A$7:$A$206,0),0)=1)*Attendance!$B$4:$AZ$4),0),"")</f>
        <v>43.11042184</v>
      </c>
      <c r="C22" s="71">
        <f>IF(A22&lt;&gt;"",SUMIFS(Transactions!$F$7:$F$996,Transactions!$D$7:$D$996,"Income",Transactions!$E$7:$E$996,A22),"")</f>
        <v>0</v>
      </c>
      <c r="D22" s="71">
        <f>IF(A22&lt;&gt;"",SUMIFS(Transactions!$F$7:$F$996,Transactions!$D$7:$D$996,"Expense",Transactions!$E$7:$E$996,A22),"")</f>
        <v>0</v>
      </c>
      <c r="E22" s="72">
        <f t="shared" si="1"/>
        <v>43.11042184</v>
      </c>
      <c r="F22" s="72" t="str">
        <f t="shared" si="2"/>
        <v>Unsettled</v>
      </c>
      <c r="G22" s="69"/>
      <c r="H22" s="6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0" t="str">
        <f>IF(Roster!$A$21&lt;&gt;"",Roster!$A$21,"")</f>
        <v>Kristin Dudley</v>
      </c>
      <c r="B23" s="30">
        <f t="array" ref="B23">IF(A23&lt;&gt;"",IFERROR(SUMPRODUCT((INDEX(Attendance!$B$7:$AZ$206,MATCH(A23,Attendance!$A$7:$A$206,0),0)=1)*Attendance!$B$4:$AZ$4),0),"")</f>
        <v>81.18375517</v>
      </c>
      <c r="C23" s="68">
        <f>IF(A23&lt;&gt;"",SUMIFS(Transactions!$F$7:$F$996,Transactions!$D$7:$D$996,"Income",Transactions!$E$7:$E$996,A23),"")</f>
        <v>0</v>
      </c>
      <c r="D23" s="68">
        <f>IF(A23&lt;&gt;"",SUMIFS(Transactions!$F$7:$F$996,Transactions!$D$7:$D$996,"Expense",Transactions!$E$7:$E$996,A23),"")</f>
        <v>0</v>
      </c>
      <c r="E23" s="66">
        <f t="shared" si="1"/>
        <v>81.18375517</v>
      </c>
      <c r="F23" s="66" t="str">
        <f t="shared" si="2"/>
        <v>Unsettled</v>
      </c>
      <c r="G23" s="69"/>
      <c r="H23" s="6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0" t="str">
        <f>IF(Roster!$A$22&lt;&gt;"",Roster!$A$22,"")</f>
        <v>Lexie Thomas</v>
      </c>
      <c r="B24" s="70">
        <f t="array" ref="B24">IF(A24&lt;&gt;"",IFERROR(SUMPRODUCT((INDEX(Attendance!$B$7:$AZ$206,MATCH(A24,Attendance!$A$7:$A$206,0),0)=1)*Attendance!$B$4:$AZ$4),0),"")</f>
        <v>43.11042184</v>
      </c>
      <c r="C24" s="71">
        <f>IF(A24&lt;&gt;"",SUMIFS(Transactions!$F$7:$F$996,Transactions!$D$7:$D$996,"Income",Transactions!$E$7:$E$996,A24),"")</f>
        <v>0</v>
      </c>
      <c r="D24" s="71">
        <f>IF(A24&lt;&gt;"",SUMIFS(Transactions!$F$7:$F$996,Transactions!$D$7:$D$996,"Expense",Transactions!$E$7:$E$996,A24),"")</f>
        <v>0</v>
      </c>
      <c r="E24" s="72">
        <f t="shared" si="1"/>
        <v>43.11042184</v>
      </c>
      <c r="F24" s="72" t="str">
        <f t="shared" si="2"/>
        <v>Unsettled</v>
      </c>
      <c r="G24" s="69"/>
      <c r="H24" s="6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0" t="str">
        <f>IF(Roster!$A$23&lt;&gt;"",Roster!$A$23,"")</f>
        <v>Lucas Jones</v>
      </c>
      <c r="B25" s="30">
        <f t="array" ref="B25">IF(A25&lt;&gt;"",IFERROR(SUMPRODUCT((INDEX(Attendance!$B$7:$AZ$206,MATCH(A25,Attendance!$A$7:$A$206,0),0)=1)*Attendance!$B$4:$AZ$4),0),"")</f>
        <v>2.225806452</v>
      </c>
      <c r="C25" s="68">
        <f>IF(A25&lt;&gt;"",SUMIFS(Transactions!$F$7:$F$996,Transactions!$D$7:$D$996,"Income",Transactions!$E$7:$E$996,A25),"")</f>
        <v>0</v>
      </c>
      <c r="D25" s="68">
        <f>IF(A25&lt;&gt;"",SUMIFS(Transactions!$F$7:$F$996,Transactions!$D$7:$D$996,"Expense",Transactions!$E$7:$E$996,A25),"")</f>
        <v>0</v>
      </c>
      <c r="E25" s="66">
        <f t="shared" si="1"/>
        <v>2.225806452</v>
      </c>
      <c r="F25" s="66" t="str">
        <f t="shared" si="2"/>
        <v>Unsettled</v>
      </c>
      <c r="G25" s="69"/>
      <c r="H25" s="6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0" t="str">
        <f>IF(Roster!$A$24&lt;&gt;"",Roster!$A$24,"")</f>
        <v>Max Sheppard</v>
      </c>
      <c r="B26" s="70">
        <f t="array" ref="B26">IF(A26&lt;&gt;"",IFERROR(SUMPRODUCT((INDEX(Attendance!$B$7:$AZ$206,MATCH(A26,Attendance!$A$7:$A$206,0),0)=1)*Attendance!$B$4:$AZ$4),0),"")</f>
        <v>43.11042184</v>
      </c>
      <c r="C26" s="71">
        <f>IF(A26&lt;&gt;"",SUMIFS(Transactions!$F$7:$F$996,Transactions!$D$7:$D$996,"Income",Transactions!$E$7:$E$996,A26),"")</f>
        <v>0</v>
      </c>
      <c r="D26" s="71">
        <f>IF(A26&lt;&gt;"",SUMIFS(Transactions!$F$7:$F$996,Transactions!$D$7:$D$996,"Expense",Transactions!$E$7:$E$996,A26),"")</f>
        <v>0</v>
      </c>
      <c r="E26" s="72">
        <f t="shared" si="1"/>
        <v>43.11042184</v>
      </c>
      <c r="F26" s="72" t="str">
        <f t="shared" si="2"/>
        <v>Unsettled</v>
      </c>
      <c r="G26" s="69"/>
      <c r="H26" s="6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0" t="str">
        <f>IF(Roster!$A$25&lt;&gt;"",Roster!$A$25,"")</f>
        <v>Lucius Christie</v>
      </c>
      <c r="B27" s="30">
        <f t="array" ref="B27">IF(A27&lt;&gt;"",IFERROR(SUMPRODUCT((INDEX(Attendance!$B$7:$AZ$206,MATCH(A27,Attendance!$A$7:$A$206,0),0)=1)*Attendance!$B$4:$AZ$4),0),"")</f>
        <v>43.11042184</v>
      </c>
      <c r="C27" s="68">
        <f>IF(A27&lt;&gt;"",SUMIFS(Transactions!$F$7:$F$996,Transactions!$D$7:$D$996,"Income",Transactions!$E$7:$E$996,A27),"")</f>
        <v>0</v>
      </c>
      <c r="D27" s="68">
        <f>IF(A27&lt;&gt;"",SUMIFS(Transactions!$F$7:$F$996,Transactions!$D$7:$D$996,"Expense",Transactions!$E$7:$E$996,A27),"")</f>
        <v>0</v>
      </c>
      <c r="E27" s="66">
        <f t="shared" si="1"/>
        <v>43.11042184</v>
      </c>
      <c r="F27" s="66" t="str">
        <f t="shared" si="2"/>
        <v>Unsettled</v>
      </c>
      <c r="G27" s="69"/>
      <c r="H27" s="6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0" t="str">
        <f>IF(Roster!$A$26&lt;&gt;"",Roster!$A$26,"")</f>
        <v>Patrick McMullen</v>
      </c>
      <c r="B28" s="70">
        <f t="array" ref="B28">IF(A28&lt;&gt;"",IFERROR(SUMPRODUCT((INDEX(Attendance!$B$7:$AZ$206,MATCH(A28,Attendance!$A$7:$A$206,0),0)=1)*Attendance!$B$4:$AZ$4),0),"")</f>
        <v>43.11042184</v>
      </c>
      <c r="C28" s="71">
        <f>IF(A28&lt;&gt;"",SUMIFS(Transactions!$F$7:$F$996,Transactions!$D$7:$D$996,"Income",Transactions!$E$7:$E$996,A28),"")</f>
        <v>0</v>
      </c>
      <c r="D28" s="71">
        <f>IF(A28&lt;&gt;"",SUMIFS(Transactions!$F$7:$F$996,Transactions!$D$7:$D$996,"Expense",Transactions!$E$7:$E$996,A28),"")</f>
        <v>0</v>
      </c>
      <c r="E28" s="72">
        <f t="shared" si="1"/>
        <v>43.11042184</v>
      </c>
      <c r="F28" s="72" t="str">
        <f t="shared" si="2"/>
        <v>Unsettled</v>
      </c>
      <c r="G28" s="69"/>
      <c r="H28" s="6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0" t="str">
        <f>IF(Roster!$A$27&lt;&gt;"",Roster!$A$27,"")</f>
        <v>Rachel Graber</v>
      </c>
      <c r="B29" s="30">
        <f t="array" ref="B29">IF(A29&lt;&gt;"",IFERROR(SUMPRODUCT((INDEX(Attendance!$B$7:$AZ$206,MATCH(A29,Attendance!$A$7:$A$206,0),0)=1)*Attendance!$B$4:$AZ$4),0),"")</f>
        <v>43.11042184</v>
      </c>
      <c r="C29" s="68">
        <f>IF(A29&lt;&gt;"",SUMIFS(Transactions!$F$7:$F$996,Transactions!$D$7:$D$996,"Income",Transactions!$E$7:$E$996,A29),"")</f>
        <v>0</v>
      </c>
      <c r="D29" s="68">
        <f>IF(A29&lt;&gt;"",SUMIFS(Transactions!$F$7:$F$996,Transactions!$D$7:$D$996,"Expense",Transactions!$E$7:$E$996,A29),"")</f>
        <v>0</v>
      </c>
      <c r="E29" s="66">
        <f t="shared" si="1"/>
        <v>43.11042184</v>
      </c>
      <c r="F29" s="66" t="str">
        <f t="shared" si="2"/>
        <v>Unsettled</v>
      </c>
      <c r="G29" s="69"/>
      <c r="H29" s="6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0" t="str">
        <f>IF(Roster!$A$28&lt;&gt;"",Roster!$A$28,"")</f>
        <v>Ryan Kindell</v>
      </c>
      <c r="B30" s="70">
        <f t="array" ref="B30">IF(A30&lt;&gt;"",IFERROR(SUMPRODUCT((INDEX(Attendance!$B$7:$AZ$206,MATCH(A30,Attendance!$A$7:$A$206,0),0)=1)*Attendance!$B$4:$AZ$4),0),"")</f>
        <v>43.11042184</v>
      </c>
      <c r="C30" s="71">
        <f>IF(A30&lt;&gt;"",SUMIFS(Transactions!$F$7:$F$996,Transactions!$D$7:$D$996,"Income",Transactions!$E$7:$E$996,A30),"")</f>
        <v>0</v>
      </c>
      <c r="D30" s="71">
        <f>IF(A30&lt;&gt;"",SUMIFS(Transactions!$F$7:$F$996,Transactions!$D$7:$D$996,"Expense",Transactions!$E$7:$E$996,A30),"")</f>
        <v>0</v>
      </c>
      <c r="E30" s="72">
        <f t="shared" si="1"/>
        <v>43.11042184</v>
      </c>
      <c r="F30" s="72" t="str">
        <f t="shared" si="2"/>
        <v>Unsettled</v>
      </c>
      <c r="G30" s="69"/>
      <c r="H30" s="6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0" t="str">
        <f>IF(Roster!$A$29&lt;&gt;"",Roster!$A$29,"")</f>
        <v>Ryan Ward</v>
      </c>
      <c r="B31" s="30">
        <f t="array" ref="B31">IF(A31&lt;&gt;"",IFERROR(SUMPRODUCT((INDEX(Attendance!$B$7:$AZ$206,MATCH(A31,Attendance!$A$7:$A$206,0),0)=1)*Attendance!$B$4:$AZ$4),0),"")</f>
        <v>43.11042184</v>
      </c>
      <c r="C31" s="68">
        <f>IF(A31&lt;&gt;"",SUMIFS(Transactions!$F$7:$F$996,Transactions!$D$7:$D$996,"Income",Transactions!$E$7:$E$996,A31),"")</f>
        <v>0</v>
      </c>
      <c r="D31" s="68">
        <f>IF(A31&lt;&gt;"",SUMIFS(Transactions!$F$7:$F$996,Transactions!$D$7:$D$996,"Expense",Transactions!$E$7:$E$996,A31),"")</f>
        <v>0</v>
      </c>
      <c r="E31" s="66">
        <f t="shared" si="1"/>
        <v>43.11042184</v>
      </c>
      <c r="F31" s="66" t="str">
        <f t="shared" si="2"/>
        <v>Unsettled</v>
      </c>
      <c r="G31" s="69"/>
      <c r="H31" s="6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0" t="str">
        <f>IF(Roster!$A$30&lt;&gt;"",Roster!$A$30,"")</f>
        <v>Sam Gombiner</v>
      </c>
      <c r="B32" s="70">
        <f t="array" ref="B32">IF(A32&lt;&gt;"",IFERROR(SUMPRODUCT((INDEX(Attendance!$B$7:$AZ$206,MATCH(A32,Attendance!$A$7:$A$206,0),0)=1)*Attendance!$B$4:$AZ$4),0),"")</f>
        <v>2.225806452</v>
      </c>
      <c r="C32" s="71">
        <f>IF(A32&lt;&gt;"",SUMIFS(Transactions!$F$7:$F$996,Transactions!$D$7:$D$996,"Income",Transactions!$E$7:$E$996,A32),"")</f>
        <v>0</v>
      </c>
      <c r="D32" s="71">
        <f>IF(A32&lt;&gt;"",SUMIFS(Transactions!$F$7:$F$996,Transactions!$D$7:$D$996,"Expense",Transactions!$E$7:$E$996,A32),"")</f>
        <v>0</v>
      </c>
      <c r="E32" s="72">
        <f t="shared" si="1"/>
        <v>2.225806452</v>
      </c>
      <c r="F32" s="72" t="str">
        <f t="shared" si="2"/>
        <v>Unsettled</v>
      </c>
      <c r="G32" s="69"/>
      <c r="H32" s="6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0" t="str">
        <f>IF(Roster!$A$31&lt;&gt;"",Roster!$A$31,"")</f>
        <v>Sarah Kingsley-Hart</v>
      </c>
      <c r="B33" s="30">
        <f t="array" ref="B33">IF(A33&lt;&gt;"",IFERROR(SUMPRODUCT((INDEX(Attendance!$B$7:$AZ$206,MATCH(A33,Attendance!$A$7:$A$206,0),0)=1)*Attendance!$B$4:$AZ$4),0),"")</f>
        <v>43.11042184</v>
      </c>
      <c r="C33" s="68">
        <f>IF(A33&lt;&gt;"",SUMIFS(Transactions!$F$7:$F$996,Transactions!$D$7:$D$996,"Income",Transactions!$E$7:$E$996,A33),"")</f>
        <v>0</v>
      </c>
      <c r="D33" s="68">
        <f>IF(A33&lt;&gt;"",SUMIFS(Transactions!$F$7:$F$996,Transactions!$D$7:$D$996,"Expense",Transactions!$E$7:$E$996,A33),"")</f>
        <v>0</v>
      </c>
      <c r="E33" s="66">
        <f t="shared" si="1"/>
        <v>43.11042184</v>
      </c>
      <c r="F33" s="66" t="str">
        <f t="shared" si="2"/>
        <v>Unsettled</v>
      </c>
      <c r="G33" s="69"/>
      <c r="H33" s="6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0" t="str">
        <f>IF(Roster!$A$32&lt;&gt;"",Roster!$A$32,"")</f>
        <v>Sarah Lynch</v>
      </c>
      <c r="B34" s="70">
        <f t="array" ref="B34">IF(A34&lt;&gt;"",IFERROR(SUMPRODUCT((INDEX(Attendance!$B$7:$AZ$206,MATCH(A34,Attendance!$A$7:$A$206,0),0)=1)*Attendance!$B$4:$AZ$4),0),"")</f>
        <v>2.225806452</v>
      </c>
      <c r="C34" s="71">
        <f>IF(A34&lt;&gt;"",SUMIFS(Transactions!$F$7:$F$996,Transactions!$D$7:$D$996,"Income",Transactions!$E$7:$E$996,A34),"")</f>
        <v>0</v>
      </c>
      <c r="D34" s="71">
        <f>IF(A34&lt;&gt;"",SUMIFS(Transactions!$F$7:$F$996,Transactions!$D$7:$D$996,"Expense",Transactions!$E$7:$E$996,A34),"")</f>
        <v>0</v>
      </c>
      <c r="E34" s="72">
        <f t="shared" si="1"/>
        <v>2.225806452</v>
      </c>
      <c r="F34" s="72" t="str">
        <f t="shared" si="2"/>
        <v>Unsettled</v>
      </c>
      <c r="G34" s="69"/>
      <c r="H34" s="6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0" t="str">
        <f>IF(Roster!$A$33&lt;&gt;"",Roster!$A$33,"")</f>
        <v>Shani Rosenthal</v>
      </c>
      <c r="B35" s="30">
        <f t="array" ref="B35">IF(A35&lt;&gt;"",IFERROR(SUMPRODUCT((INDEX(Attendance!$B$7:$AZ$206,MATCH(A35,Attendance!$A$7:$A$206,0),0)=1)*Attendance!$B$4:$AZ$4),0),"")</f>
        <v>81.18375517</v>
      </c>
      <c r="C35" s="68">
        <f>IF(A35&lt;&gt;"",SUMIFS(Transactions!$F$7:$F$996,Transactions!$D$7:$D$996,"Income",Transactions!$E$7:$E$996,A35),"")</f>
        <v>0</v>
      </c>
      <c r="D35" s="68">
        <f>IF(A35&lt;&gt;"",SUMIFS(Transactions!$F$7:$F$996,Transactions!$D$7:$D$996,"Expense",Transactions!$E$7:$E$996,A35),"")</f>
        <v>0</v>
      </c>
      <c r="E35" s="66">
        <f t="shared" si="1"/>
        <v>81.18375517</v>
      </c>
      <c r="F35" s="66" t="str">
        <f t="shared" si="2"/>
        <v>Unsettled</v>
      </c>
      <c r="G35" s="69"/>
      <c r="H35" s="6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0" t="str">
        <f>IF(Roster!$A$34&lt;&gt;"",Roster!$A$34,"")</f>
        <v>Vivian Shen</v>
      </c>
      <c r="B36" s="70">
        <f t="array" ref="B36">IF(A36&lt;&gt;"",IFERROR(SUMPRODUCT((INDEX(Attendance!$B$7:$AZ$206,MATCH(A36,Attendance!$A$7:$A$206,0),0)=1)*Attendance!$B$4:$AZ$4),0),"")</f>
        <v>81.18375517</v>
      </c>
      <c r="C36" s="71">
        <f>IF(A36&lt;&gt;"",SUMIFS(Transactions!$F$7:$F$996,Transactions!$D$7:$D$996,"Income",Transactions!$E$7:$E$996,A36),"")</f>
        <v>0</v>
      </c>
      <c r="D36" s="71">
        <f>IF(A36&lt;&gt;"",SUMIFS(Transactions!$F$7:$F$996,Transactions!$D$7:$D$996,"Expense",Transactions!$E$7:$E$996,A36),"")</f>
        <v>0</v>
      </c>
      <c r="E36" s="72">
        <f t="shared" si="1"/>
        <v>81.18375517</v>
      </c>
      <c r="F36" s="72" t="str">
        <f t="shared" si="2"/>
        <v>Unsettled</v>
      </c>
      <c r="G36" s="69"/>
      <c r="H36" s="6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0" t="str">
        <f>IF(Roster!$A$35&lt;&gt;"",Roster!$A$35,"")</f>
        <v>Zach Esakof</v>
      </c>
      <c r="B37" s="30">
        <f t="array" ref="B37">IF(A37&lt;&gt;"",IFERROR(SUMPRODUCT((INDEX(Attendance!$B$7:$AZ$206,MATCH(A37,Attendance!$A$7:$A$206,0),0)=1)*Attendance!$B$4:$AZ$4),0),"")</f>
        <v>2.225806452</v>
      </c>
      <c r="C37" s="68">
        <f>IF(A37&lt;&gt;"",SUMIFS(Transactions!$F$7:$F$996,Transactions!$D$7:$D$996,"Income",Transactions!$E$7:$E$996,A37),"")</f>
        <v>0</v>
      </c>
      <c r="D37" s="68">
        <f>IF(A37&lt;&gt;"",SUMIFS(Transactions!$F$7:$F$996,Transactions!$D$7:$D$996,"Expense",Transactions!$E$7:$E$996,A37),"")</f>
        <v>0</v>
      </c>
      <c r="E37" s="66">
        <f t="shared" si="1"/>
        <v>2.225806452</v>
      </c>
      <c r="F37" s="66" t="str">
        <f t="shared" si="2"/>
        <v>Unsettled</v>
      </c>
      <c r="G37" s="69"/>
      <c r="H37" s="6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0" t="str">
        <f>IF(Roster!$A$36&lt;&gt;"",Roster!$A$36,"")</f>
        <v>Annette Kukunas-Piper</v>
      </c>
      <c r="B38" s="70">
        <f t="array" ref="B38">IF(A38&lt;&gt;"",IFERROR(SUMPRODUCT((INDEX(Attendance!$B$7:$AZ$206,MATCH(A38,Attendance!$A$7:$A$206,0),0)=1)*Attendance!$B$4:$AZ$4),0),"")</f>
        <v>0</v>
      </c>
      <c r="C38" s="71">
        <f>IF(A38&lt;&gt;"",SUMIFS(Transactions!$F$7:$F$996,Transactions!$D$7:$D$996,"Income",Transactions!$E$7:$E$996,A38),"")</f>
        <v>0</v>
      </c>
      <c r="D38" s="71">
        <f>IF(A38&lt;&gt;"",SUMIFS(Transactions!$F$7:$F$996,Transactions!$D$7:$D$996,"Expense",Transactions!$E$7:$E$996,A38),"")</f>
        <v>0</v>
      </c>
      <c r="E38" s="72">
        <f t="shared" si="1"/>
        <v>0</v>
      </c>
      <c r="F38" s="72" t="str">
        <f t="shared" si="2"/>
        <v>Settled</v>
      </c>
      <c r="G38" s="69"/>
      <c r="H38" s="6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0" t="str">
        <f>IF(Roster!$A$37&lt;&gt;"",Roster!$A$37,"")</f>
        <v>Matt Duffy</v>
      </c>
      <c r="B39" s="30">
        <f t="array" ref="B39">IF(A39&lt;&gt;"",IFERROR(SUMPRODUCT((INDEX(Attendance!$B$7:$AZ$206,MATCH(A39,Attendance!$A$7:$A$206,0),0)=1)*Attendance!$B$4:$AZ$4),0),"")</f>
        <v>0</v>
      </c>
      <c r="C39" s="68">
        <f>IF(A39&lt;&gt;"",SUMIFS(Transactions!$F$7:$F$996,Transactions!$D$7:$D$996,"Income",Transactions!$E$7:$E$996,A39),"")</f>
        <v>0</v>
      </c>
      <c r="D39" s="68">
        <f>IF(A39&lt;&gt;"",SUMIFS(Transactions!$F$7:$F$996,Transactions!$D$7:$D$996,"Expense",Transactions!$E$7:$E$996,A39),"")</f>
        <v>0</v>
      </c>
      <c r="E39" s="66">
        <f t="shared" si="1"/>
        <v>0</v>
      </c>
      <c r="F39" s="66" t="str">
        <f t="shared" si="2"/>
        <v>Settled</v>
      </c>
      <c r="G39" s="69"/>
      <c r="H39" s="6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0" t="str">
        <f>IF(Roster!$A$38&lt;&gt;"",Roster!$A$38,"")</f>
        <v>Ryan Birchard</v>
      </c>
      <c r="B40" s="70">
        <f t="array" ref="B40">IF(A40&lt;&gt;"",IFERROR(SUMPRODUCT((INDEX(Attendance!$B$7:$AZ$206,MATCH(A40,Attendance!$A$7:$A$206,0),0)=1)*Attendance!$B$4:$AZ$4),0),"")</f>
        <v>0</v>
      </c>
      <c r="C40" s="71">
        <f>IF(A40&lt;&gt;"",SUMIFS(Transactions!$F$7:$F$996,Transactions!$D$7:$D$996,"Income",Transactions!$E$7:$E$996,A40),"")</f>
        <v>0</v>
      </c>
      <c r="D40" s="71">
        <f>IF(A40&lt;&gt;"",SUMIFS(Transactions!$F$7:$F$996,Transactions!$D$7:$D$996,"Expense",Transactions!$E$7:$E$996,A40),"")</f>
        <v>0</v>
      </c>
      <c r="E40" s="72">
        <f t="shared" si="1"/>
        <v>0</v>
      </c>
      <c r="F40" s="72" t="str">
        <f t="shared" si="2"/>
        <v>Settled</v>
      </c>
      <c r="G40" s="69"/>
      <c r="H40" s="6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0" t="str">
        <f>IF(Roster!$A$39&lt;&gt;"",Roster!$A$39,"")</f>
        <v>Nick Blair</v>
      </c>
      <c r="B41" s="30">
        <f t="array" ref="B41">IF(A41&lt;&gt;"",IFERROR(SUMPRODUCT((INDEX(Attendance!$B$7:$AZ$206,MATCH(A41,Attendance!$A$7:$A$206,0),0)=1)*Attendance!$B$4:$AZ$4),0),"")</f>
        <v>0</v>
      </c>
      <c r="C41" s="68">
        <f>IF(A41&lt;&gt;"",SUMIFS(Transactions!$F$7:$F$996,Transactions!$D$7:$D$996,"Income",Transactions!$E$7:$E$996,A41),"")</f>
        <v>0</v>
      </c>
      <c r="D41" s="68">
        <f>IF(A41&lt;&gt;"",SUMIFS(Transactions!$F$7:$F$996,Transactions!$D$7:$D$996,"Expense",Transactions!$E$7:$E$996,A41),"")</f>
        <v>0</v>
      </c>
      <c r="E41" s="66">
        <f t="shared" si="1"/>
        <v>0</v>
      </c>
      <c r="F41" s="66" t="str">
        <f t="shared" si="2"/>
        <v>Settled</v>
      </c>
      <c r="G41" s="69"/>
      <c r="H41" s="6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0" t="str">
        <f>IF(Roster!$A$40&lt;&gt;"",Roster!$A$40,"")</f>
        <v/>
      </c>
      <c r="B42" s="70" t="str">
        <f t="array" ref="B42">IF(A42&lt;&gt;"",IFERROR(SUMPRODUCT((INDEX(Attendance!$B$7:$AZ$206,MATCH(A42,Attendance!$A$7:$A$206,0),0)=1)*Attendance!$B$4:$AZ$4),0),"")</f>
        <v/>
      </c>
      <c r="C42" s="71" t="str">
        <f>IF(A42&lt;&gt;"",SUMIFS(Transactions!$F$7:$F$996,Transactions!$D$7:$D$996,"Income",Transactions!$E$7:$E$996,A42),"")</f>
        <v/>
      </c>
      <c r="D42" s="71" t="str">
        <f>IF(A42&lt;&gt;"",SUMIFS(Transactions!$F$7:$F$996,Transactions!$D$7:$D$996,"Expense",Transactions!$E$7:$E$996,A42),"")</f>
        <v/>
      </c>
      <c r="E42" s="72" t="str">
        <f t="shared" si="1"/>
        <v/>
      </c>
      <c r="F42" s="72" t="str">
        <f t="shared" si="2"/>
        <v/>
      </c>
      <c r="G42" s="69"/>
      <c r="H42" s="6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0" t="str">
        <f>IF(Roster!$A$41&lt;&gt;"",Roster!$A$41,"")</f>
        <v/>
      </c>
      <c r="B43" s="30" t="str">
        <f t="array" ref="B43">IF(A43&lt;&gt;"",IFERROR(SUMPRODUCT((INDEX(Attendance!$B$7:$AZ$206,MATCH(A43,Attendance!$A$7:$A$206,0),0)=1)*Attendance!$B$4:$AZ$4),0),"")</f>
        <v/>
      </c>
      <c r="C43" s="68" t="str">
        <f>IF(A43&lt;&gt;"",SUMIFS(Transactions!$F$7:$F$996,Transactions!$D$7:$D$996,"Income",Transactions!$E$7:$E$996,A43),"")</f>
        <v/>
      </c>
      <c r="D43" s="68" t="str">
        <f>IF(A43&lt;&gt;"",SUMIFS(Transactions!$F$7:$F$996,Transactions!$D$7:$D$996,"Expense",Transactions!$E$7:$E$996,A43),"")</f>
        <v/>
      </c>
      <c r="E43" s="66" t="str">
        <f t="shared" si="1"/>
        <v/>
      </c>
      <c r="F43" s="66" t="str">
        <f t="shared" si="2"/>
        <v/>
      </c>
      <c r="G43" s="69"/>
      <c r="H43" s="6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0" t="str">
        <f>IF(Roster!$A$42&lt;&gt;"",Roster!$A$42,"")</f>
        <v/>
      </c>
      <c r="B44" s="70" t="str">
        <f t="array" ref="B44">IF(A44&lt;&gt;"",IFERROR(SUMPRODUCT((INDEX(Attendance!$B$7:$AZ$206,MATCH(A44,Attendance!$A$7:$A$206,0),0)=1)*Attendance!$B$4:$AZ$4),0),"")</f>
        <v/>
      </c>
      <c r="C44" s="71" t="str">
        <f>IF(A44&lt;&gt;"",SUMIFS(Transactions!$F$7:$F$996,Transactions!$D$7:$D$996,"Income",Transactions!$E$7:$E$996,A44),"")</f>
        <v/>
      </c>
      <c r="D44" s="71" t="str">
        <f>IF(A44&lt;&gt;"",SUMIFS(Transactions!$F$7:$F$996,Transactions!$D$7:$D$996,"Expense",Transactions!$E$7:$E$996,A44),"")</f>
        <v/>
      </c>
      <c r="E44" s="72" t="str">
        <f t="shared" si="1"/>
        <v/>
      </c>
      <c r="F44" s="72" t="str">
        <f t="shared" si="2"/>
        <v/>
      </c>
      <c r="G44" s="69"/>
      <c r="H44" s="6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0" t="str">
        <f>IF(Roster!$A$43&lt;&gt;"",Roster!$A$43,"")</f>
        <v/>
      </c>
      <c r="B45" s="30" t="str">
        <f t="array" ref="B45">IF(A45&lt;&gt;"",IFERROR(SUMPRODUCT((INDEX(Attendance!$B$7:$AZ$206,MATCH(A45,Attendance!$A$7:$A$206,0),0)=1)*Attendance!$B$4:$AZ$4),0),"")</f>
        <v/>
      </c>
      <c r="C45" s="68" t="str">
        <f>IF(A45&lt;&gt;"",SUMIFS(Transactions!$F$7:$F$996,Transactions!$D$7:$D$996,"Income",Transactions!$E$7:$E$996,A45),"")</f>
        <v/>
      </c>
      <c r="D45" s="68" t="str">
        <f>IF(A45&lt;&gt;"",SUMIFS(Transactions!$F$7:$F$996,Transactions!$D$7:$D$996,"Expense",Transactions!$E$7:$E$996,A45),"")</f>
        <v/>
      </c>
      <c r="E45" s="66" t="str">
        <f t="shared" si="1"/>
        <v/>
      </c>
      <c r="F45" s="66" t="str">
        <f t="shared" si="2"/>
        <v/>
      </c>
      <c r="G45" s="69"/>
      <c r="H45" s="6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0" t="str">
        <f>IF(Roster!$A$44&lt;&gt;"",Roster!$A$44,"")</f>
        <v/>
      </c>
      <c r="B46" s="70" t="str">
        <f t="array" ref="B46">IF(A46&lt;&gt;"",IFERROR(SUMPRODUCT((INDEX(Attendance!$B$7:$AZ$206,MATCH(A46,Attendance!$A$7:$A$206,0),0)=1)*Attendance!$B$4:$AZ$4),0),"")</f>
        <v/>
      </c>
      <c r="C46" s="71" t="str">
        <f>IF(A46&lt;&gt;"",SUMIFS(Transactions!$F$7:$F$996,Transactions!$D$7:$D$996,"Income",Transactions!$E$7:$E$996,A46),"")</f>
        <v/>
      </c>
      <c r="D46" s="71" t="str">
        <f>IF(A46&lt;&gt;"",SUMIFS(Transactions!$F$7:$F$996,Transactions!$D$7:$D$996,"Expense",Transactions!$E$7:$E$996,A46),"")</f>
        <v/>
      </c>
      <c r="E46" s="72" t="str">
        <f t="shared" si="1"/>
        <v/>
      </c>
      <c r="F46" s="72" t="str">
        <f t="shared" si="2"/>
        <v/>
      </c>
      <c r="G46" s="69"/>
      <c r="H46" s="6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0" t="str">
        <f>IF(Roster!$A$45&lt;&gt;"",Roster!$A$45,"")</f>
        <v/>
      </c>
      <c r="B47" s="30" t="str">
        <f t="array" ref="B47">IF(A47&lt;&gt;"",IFERROR(SUMPRODUCT((INDEX(Attendance!$B$7:$AZ$206,MATCH(A47,Attendance!$A$7:$A$206,0),0)=1)*Attendance!$B$4:$AZ$4),0),"")</f>
        <v/>
      </c>
      <c r="C47" s="68" t="str">
        <f>IF(A47&lt;&gt;"",SUMIFS(Transactions!$F$7:$F$996,Transactions!$D$7:$D$996,"Income",Transactions!$E$7:$E$996,A47),"")</f>
        <v/>
      </c>
      <c r="D47" s="68" t="str">
        <f>IF(A47&lt;&gt;"",SUMIFS(Transactions!$F$7:$F$996,Transactions!$D$7:$D$996,"Expense",Transactions!$E$7:$E$996,A47),"")</f>
        <v/>
      </c>
      <c r="E47" s="66" t="str">
        <f t="shared" si="1"/>
        <v/>
      </c>
      <c r="F47" s="66" t="str">
        <f t="shared" si="2"/>
        <v/>
      </c>
      <c r="G47" s="69"/>
      <c r="H47" s="6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0" t="str">
        <f>IF(Roster!$A$46&lt;&gt;"",Roster!$A$46,"")</f>
        <v/>
      </c>
      <c r="B48" s="70" t="str">
        <f t="array" ref="B48">IF(A48&lt;&gt;"",IFERROR(SUMPRODUCT((INDEX(Attendance!$B$7:$AZ$206,MATCH(A48,Attendance!$A$7:$A$206,0),0)=1)*Attendance!$B$4:$AZ$4),0),"")</f>
        <v/>
      </c>
      <c r="C48" s="71" t="str">
        <f>IF(A48&lt;&gt;"",SUMIFS(Transactions!$F$7:$F$996,Transactions!$D$7:$D$996,"Income",Transactions!$E$7:$E$996,A48),"")</f>
        <v/>
      </c>
      <c r="D48" s="71" t="str">
        <f>IF(A48&lt;&gt;"",SUMIFS(Transactions!$F$7:$F$996,Transactions!$D$7:$D$996,"Expense",Transactions!$E$7:$E$996,A48),"")</f>
        <v/>
      </c>
      <c r="E48" s="72" t="str">
        <f t="shared" si="1"/>
        <v/>
      </c>
      <c r="F48" s="72" t="str">
        <f t="shared" si="2"/>
        <v/>
      </c>
      <c r="G48" s="69"/>
      <c r="H48" s="6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0" t="str">
        <f>IF(Roster!$A$47&lt;&gt;"",Roster!$A$47,"")</f>
        <v/>
      </c>
      <c r="B49" s="30" t="str">
        <f t="array" ref="B49">IF(A49&lt;&gt;"",IFERROR(SUMPRODUCT((INDEX(Attendance!$B$7:$AZ$206,MATCH(A49,Attendance!$A$7:$A$206,0),0)=1)*Attendance!$B$4:$AZ$4),0),"")</f>
        <v/>
      </c>
      <c r="C49" s="68" t="str">
        <f>IF(A49&lt;&gt;"",SUMIFS(Transactions!$F$7:$F$996,Transactions!$D$7:$D$996,"Income",Transactions!$E$7:$E$996,A49),"")</f>
        <v/>
      </c>
      <c r="D49" s="68" t="str">
        <f>IF(A49&lt;&gt;"",SUMIFS(Transactions!$F$7:$F$996,Transactions!$D$7:$D$996,"Expense",Transactions!$E$7:$E$996,A49),"")</f>
        <v/>
      </c>
      <c r="E49" s="66" t="str">
        <f t="shared" si="1"/>
        <v/>
      </c>
      <c r="F49" s="66" t="str">
        <f t="shared" si="2"/>
        <v/>
      </c>
      <c r="G49" s="69"/>
      <c r="H49" s="6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0" t="str">
        <f>IF(Roster!$A$48&lt;&gt;"",Roster!$A$48,"")</f>
        <v/>
      </c>
      <c r="B50" s="70" t="str">
        <f t="array" ref="B50">IF(A50&lt;&gt;"",IFERROR(SUMPRODUCT((INDEX(Attendance!$B$7:$AZ$206,MATCH(A50,Attendance!$A$7:$A$206,0),0)=1)*Attendance!$B$4:$AZ$4),0),"")</f>
        <v/>
      </c>
      <c r="C50" s="71" t="str">
        <f>IF(A50&lt;&gt;"",SUMIFS(Transactions!$F$7:$F$996,Transactions!$D$7:$D$996,"Income",Transactions!$E$7:$E$996,A50),"")</f>
        <v/>
      </c>
      <c r="D50" s="71" t="str">
        <f>IF(A50&lt;&gt;"",SUMIFS(Transactions!$F$7:$F$996,Transactions!$D$7:$D$996,"Expense",Transactions!$E$7:$E$996,A50),"")</f>
        <v/>
      </c>
      <c r="E50" s="72" t="str">
        <f t="shared" si="1"/>
        <v/>
      </c>
      <c r="F50" s="72" t="str">
        <f t="shared" si="2"/>
        <v/>
      </c>
      <c r="G50" s="69"/>
      <c r="H50" s="6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0" t="str">
        <f>IF(Roster!$A$49&lt;&gt;"",Roster!$A$49,"")</f>
        <v/>
      </c>
      <c r="B51" s="30" t="str">
        <f t="array" ref="B51">IF(A51&lt;&gt;"",IFERROR(SUMPRODUCT((INDEX(Attendance!$B$7:$AZ$206,MATCH(A51,Attendance!$A$7:$A$206,0),0)=1)*Attendance!$B$4:$AZ$4),0),"")</f>
        <v/>
      </c>
      <c r="C51" s="68" t="str">
        <f>IF(A51&lt;&gt;"",SUMIFS(Transactions!$F$7:$F$996,Transactions!$D$7:$D$996,"Income",Transactions!$E$7:$E$996,A51),"")</f>
        <v/>
      </c>
      <c r="D51" s="68" t="str">
        <f>IF(A51&lt;&gt;"",SUMIFS(Transactions!$F$7:$F$996,Transactions!$D$7:$D$996,"Expense",Transactions!$E$7:$E$996,A51),"")</f>
        <v/>
      </c>
      <c r="E51" s="66" t="str">
        <f t="shared" si="1"/>
        <v/>
      </c>
      <c r="F51" s="66" t="str">
        <f t="shared" si="2"/>
        <v/>
      </c>
      <c r="G51" s="69"/>
      <c r="H51" s="6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0" t="str">
        <f>IF(Roster!$A$50&lt;&gt;"",Roster!$A$50,"")</f>
        <v/>
      </c>
      <c r="B52" s="70" t="str">
        <f t="array" ref="B52">IF(A52&lt;&gt;"",IFERROR(SUMPRODUCT((INDEX(Attendance!$B$7:$AZ$206,MATCH(A52,Attendance!$A$7:$A$206,0),0)=1)*Attendance!$B$4:$AZ$4),0),"")</f>
        <v/>
      </c>
      <c r="C52" s="71" t="str">
        <f>IF(A52&lt;&gt;"",SUMIFS(Transactions!$F$7:$F$996,Transactions!$D$7:$D$996,"Income",Transactions!$E$7:$E$996,A52),"")</f>
        <v/>
      </c>
      <c r="D52" s="71" t="str">
        <f>IF(A52&lt;&gt;"",SUMIFS(Transactions!$F$7:$F$996,Transactions!$D$7:$D$996,"Expense",Transactions!$E$7:$E$996,A52),"")</f>
        <v/>
      </c>
      <c r="E52" s="72" t="str">
        <f t="shared" si="1"/>
        <v/>
      </c>
      <c r="F52" s="72" t="str">
        <f t="shared" si="2"/>
        <v/>
      </c>
      <c r="G52" s="69"/>
      <c r="H52" s="6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0" t="str">
        <f>IF(Roster!$A$51&lt;&gt;"",Roster!$A$51,"")</f>
        <v/>
      </c>
      <c r="B53" s="30" t="str">
        <f t="array" ref="B53">IF(A53&lt;&gt;"",IFERROR(SUMPRODUCT((INDEX(Attendance!$B$7:$AZ$206,MATCH(A53,Attendance!$A$7:$A$206,0),0)=1)*Attendance!$B$4:$AZ$4),0),"")</f>
        <v/>
      </c>
      <c r="C53" s="68" t="str">
        <f>IF(A53&lt;&gt;"",SUMIFS(Transactions!$F$7:$F$996,Transactions!$D$7:$D$996,"Income",Transactions!$E$7:$E$996,A53),"")</f>
        <v/>
      </c>
      <c r="D53" s="68" t="str">
        <f>IF(A53&lt;&gt;"",SUMIFS(Transactions!$F$7:$F$996,Transactions!$D$7:$D$996,"Expense",Transactions!$E$7:$E$996,A53),"")</f>
        <v/>
      </c>
      <c r="E53" s="66" t="str">
        <f t="shared" si="1"/>
        <v/>
      </c>
      <c r="F53" s="66" t="str">
        <f t="shared" si="2"/>
        <v/>
      </c>
      <c r="G53" s="69"/>
      <c r="H53" s="6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0" t="str">
        <f>IF(Roster!$A$52&lt;&gt;"",Roster!$A$52,"")</f>
        <v/>
      </c>
      <c r="B54" s="70" t="str">
        <f t="array" ref="B54">IF(A54&lt;&gt;"",IFERROR(SUMPRODUCT((INDEX(Attendance!$B$7:$AZ$206,MATCH(A54,Attendance!$A$7:$A$206,0),0)=1)*Attendance!$B$4:$AZ$4),0),"")</f>
        <v/>
      </c>
      <c r="C54" s="71" t="str">
        <f>IF(A54&lt;&gt;"",SUMIFS(Transactions!$F$7:$F$996,Transactions!$D$7:$D$996,"Income",Transactions!$E$7:$E$996,A54),"")</f>
        <v/>
      </c>
      <c r="D54" s="71" t="str">
        <f>IF(A54&lt;&gt;"",SUMIFS(Transactions!$F$7:$F$996,Transactions!$D$7:$D$996,"Expense",Transactions!$E$7:$E$996,A54),"")</f>
        <v/>
      </c>
      <c r="E54" s="72" t="str">
        <f t="shared" si="1"/>
        <v/>
      </c>
      <c r="F54" s="72" t="str">
        <f t="shared" si="2"/>
        <v/>
      </c>
      <c r="G54" s="69"/>
      <c r="H54" s="6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0" t="str">
        <f>IF(Roster!$A$53&lt;&gt;"",Roster!$A$53,"")</f>
        <v/>
      </c>
      <c r="B55" s="30" t="str">
        <f t="array" ref="B55">IF(A55&lt;&gt;"",IFERROR(SUMPRODUCT((INDEX(Attendance!$B$7:$AZ$206,MATCH(A55,Attendance!$A$7:$A$206,0),0)=1)*Attendance!$B$4:$AZ$4),0),"")</f>
        <v/>
      </c>
      <c r="C55" s="68" t="str">
        <f>IF(A55&lt;&gt;"",SUMIFS(Transactions!$F$7:$F$996,Transactions!$D$7:$D$996,"Income",Transactions!$E$7:$E$996,A55),"")</f>
        <v/>
      </c>
      <c r="D55" s="68" t="str">
        <f>IF(A55&lt;&gt;"",SUMIFS(Transactions!$F$7:$F$996,Transactions!$D$7:$D$996,"Expense",Transactions!$E$7:$E$996,A55),"")</f>
        <v/>
      </c>
      <c r="E55" s="66" t="str">
        <f t="shared" si="1"/>
        <v/>
      </c>
      <c r="F55" s="66" t="str">
        <f t="shared" si="2"/>
        <v/>
      </c>
      <c r="G55" s="69"/>
      <c r="H55" s="6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0" t="str">
        <f>IF(Roster!$A$54&lt;&gt;"",Roster!$A$54,"")</f>
        <v/>
      </c>
      <c r="B56" s="70" t="str">
        <f t="array" ref="B56">IF(A56&lt;&gt;"",IFERROR(SUMPRODUCT((INDEX(Attendance!$B$7:$AZ$206,MATCH(A56,Attendance!$A$7:$A$206,0),0)=1)*Attendance!$B$4:$AZ$4),0),"")</f>
        <v/>
      </c>
      <c r="C56" s="71" t="str">
        <f>IF(A56&lt;&gt;"",SUMIFS(Transactions!$F$7:$F$996,Transactions!$D$7:$D$996,"Income",Transactions!$E$7:$E$996,A56),"")</f>
        <v/>
      </c>
      <c r="D56" s="71" t="str">
        <f>IF(A56&lt;&gt;"",SUMIFS(Transactions!$F$7:$F$996,Transactions!$D$7:$D$996,"Expense",Transactions!$E$7:$E$996,A56),"")</f>
        <v/>
      </c>
      <c r="E56" s="72" t="str">
        <f t="shared" si="1"/>
        <v/>
      </c>
      <c r="F56" s="72" t="str">
        <f t="shared" si="2"/>
        <v/>
      </c>
      <c r="G56" s="69"/>
      <c r="H56" s="6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0" t="str">
        <f>IF(Roster!$A$55&lt;&gt;"",Roster!$A$55,"")</f>
        <v/>
      </c>
      <c r="B57" s="30" t="str">
        <f t="array" ref="B57">IF(A57&lt;&gt;"",IFERROR(SUMPRODUCT((INDEX(Attendance!$B$7:$AZ$206,MATCH(A57,Attendance!$A$7:$A$206,0),0)=1)*Attendance!$B$4:$AZ$4),0),"")</f>
        <v/>
      </c>
      <c r="C57" s="68" t="str">
        <f>IF(A57&lt;&gt;"",SUMIFS(Transactions!$F$7:$F$996,Transactions!$D$7:$D$996,"Income",Transactions!$E$7:$E$996,A57),"")</f>
        <v/>
      </c>
      <c r="D57" s="68" t="str">
        <f>IF(A57&lt;&gt;"",SUMIFS(Transactions!$F$7:$F$996,Transactions!$D$7:$D$996,"Expense",Transactions!$E$7:$E$996,A57),"")</f>
        <v/>
      </c>
      <c r="E57" s="66" t="str">
        <f t="shared" si="1"/>
        <v/>
      </c>
      <c r="F57" s="66" t="str">
        <f t="shared" si="2"/>
        <v/>
      </c>
      <c r="G57" s="69"/>
      <c r="H57" s="6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0" t="str">
        <f>IF(Roster!$A$56&lt;&gt;"",Roster!$A$56,"")</f>
        <v/>
      </c>
      <c r="B58" s="70" t="str">
        <f t="array" ref="B58">IF(A58&lt;&gt;"",IFERROR(SUMPRODUCT((INDEX(Attendance!$B$7:$AZ$206,MATCH(A58,Attendance!$A$7:$A$206,0),0)=1)*Attendance!$B$4:$AZ$4),0),"")</f>
        <v/>
      </c>
      <c r="C58" s="71" t="str">
        <f>IF(A58&lt;&gt;"",SUMIFS(Transactions!$F$7:$F$996,Transactions!$D$7:$D$996,"Income",Transactions!$E$7:$E$996,A58),"")</f>
        <v/>
      </c>
      <c r="D58" s="71" t="str">
        <f>IF(A58&lt;&gt;"",SUMIFS(Transactions!$F$7:$F$996,Transactions!$D$7:$D$996,"Expense",Transactions!$E$7:$E$996,A58),"")</f>
        <v/>
      </c>
      <c r="E58" s="72" t="str">
        <f t="shared" si="1"/>
        <v/>
      </c>
      <c r="F58" s="72" t="str">
        <f t="shared" si="2"/>
        <v/>
      </c>
      <c r="G58" s="69"/>
      <c r="H58" s="6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0" t="str">
        <f>IF(Roster!$A$57&lt;&gt;"",Roster!$A$57,"")</f>
        <v/>
      </c>
      <c r="B59" s="30" t="str">
        <f t="array" ref="B59">IF(A59&lt;&gt;"",IFERROR(SUMPRODUCT((INDEX(Attendance!$B$7:$AZ$206,MATCH(A59,Attendance!$A$7:$A$206,0),0)=1)*Attendance!$B$4:$AZ$4),0),"")</f>
        <v/>
      </c>
      <c r="C59" s="68" t="str">
        <f>IF(A59&lt;&gt;"",SUMIFS(Transactions!$F$7:$F$996,Transactions!$D$7:$D$996,"Income",Transactions!$E$7:$E$996,A59),"")</f>
        <v/>
      </c>
      <c r="D59" s="68" t="str">
        <f>IF(A59&lt;&gt;"",SUMIFS(Transactions!$F$7:$F$996,Transactions!$D$7:$D$996,"Expense",Transactions!$E$7:$E$996,A59),"")</f>
        <v/>
      </c>
      <c r="E59" s="66" t="str">
        <f t="shared" si="1"/>
        <v/>
      </c>
      <c r="F59" s="66" t="str">
        <f t="shared" si="2"/>
        <v/>
      </c>
      <c r="G59" s="69"/>
      <c r="H59" s="6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0" t="str">
        <f>IF(Roster!$A$58&lt;&gt;"",Roster!$A$58,"")</f>
        <v/>
      </c>
      <c r="B60" s="70" t="str">
        <f t="array" ref="B60">IF(A60&lt;&gt;"",IFERROR(SUMPRODUCT((INDEX(Attendance!$B$7:$AZ$206,MATCH(A60,Attendance!$A$7:$A$206,0),0)=1)*Attendance!$B$4:$AZ$4),0),"")</f>
        <v/>
      </c>
      <c r="C60" s="71" t="str">
        <f>IF(A60&lt;&gt;"",SUMIFS(Transactions!$F$7:$F$996,Transactions!$D$7:$D$996,"Income",Transactions!$E$7:$E$996,A60),"")</f>
        <v/>
      </c>
      <c r="D60" s="71" t="str">
        <f>IF(A60&lt;&gt;"",SUMIFS(Transactions!$F$7:$F$996,Transactions!$D$7:$D$996,"Expense",Transactions!$E$7:$E$996,A60),"")</f>
        <v/>
      </c>
      <c r="E60" s="72" t="str">
        <f t="shared" si="1"/>
        <v/>
      </c>
      <c r="F60" s="72" t="str">
        <f t="shared" si="2"/>
        <v/>
      </c>
      <c r="G60" s="69"/>
      <c r="H60" s="6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0" t="str">
        <f>IF(Roster!$A$59&lt;&gt;"",Roster!$A$59,"")</f>
        <v/>
      </c>
      <c r="B61" s="30" t="str">
        <f t="array" ref="B61">IF(A61&lt;&gt;"",IFERROR(SUMPRODUCT((INDEX(Attendance!$B$7:$AZ$206,MATCH(A61,Attendance!$A$7:$A$206,0),0)=1)*Attendance!$B$4:$AZ$4),0),"")</f>
        <v/>
      </c>
      <c r="C61" s="68" t="str">
        <f>IF(A61&lt;&gt;"",SUMIFS(Transactions!$F$7:$F$996,Transactions!$D$7:$D$996,"Income",Transactions!$E$7:$E$996,A61),"")</f>
        <v/>
      </c>
      <c r="D61" s="68" t="str">
        <f>IF(A61&lt;&gt;"",SUMIFS(Transactions!$F$7:$F$996,Transactions!$D$7:$D$996,"Expense",Transactions!$E$7:$E$996,A61),"")</f>
        <v/>
      </c>
      <c r="E61" s="66" t="str">
        <f t="shared" si="1"/>
        <v/>
      </c>
      <c r="F61" s="66" t="str">
        <f t="shared" si="2"/>
        <v/>
      </c>
      <c r="G61" s="69"/>
      <c r="H61" s="6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0" t="str">
        <f>IF(Roster!$A$60&lt;&gt;"",Roster!$A$60,"")</f>
        <v/>
      </c>
      <c r="B62" s="70" t="str">
        <f t="array" ref="B62">IF(A62&lt;&gt;"",IFERROR(SUMPRODUCT((INDEX(Attendance!$B$7:$AZ$206,MATCH(A62,Attendance!$A$7:$A$206,0),0)=1)*Attendance!$B$4:$AZ$4),0),"")</f>
        <v/>
      </c>
      <c r="C62" s="71" t="str">
        <f>IF(A62&lt;&gt;"",SUMIFS(Transactions!$F$7:$F$996,Transactions!$D$7:$D$996,"Income",Transactions!$E$7:$E$996,A62),"")</f>
        <v/>
      </c>
      <c r="D62" s="71" t="str">
        <f>IF(A62&lt;&gt;"",SUMIFS(Transactions!$F$7:$F$996,Transactions!$D$7:$D$996,"Expense",Transactions!$E$7:$E$996,A62),"")</f>
        <v/>
      </c>
      <c r="E62" s="72" t="str">
        <f t="shared" si="1"/>
        <v/>
      </c>
      <c r="F62" s="72" t="str">
        <f t="shared" si="2"/>
        <v/>
      </c>
      <c r="G62" s="69"/>
      <c r="H62" s="6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0" t="str">
        <f>IF(Roster!$A$61&lt;&gt;"",Roster!$A$61,"")</f>
        <v/>
      </c>
      <c r="B63" s="30" t="str">
        <f t="array" ref="B63">IF(A63&lt;&gt;"",IFERROR(SUMPRODUCT((INDEX(Attendance!$B$7:$AZ$206,MATCH(A63,Attendance!$A$7:$A$206,0),0)=1)*Attendance!$B$4:$AZ$4),0),"")</f>
        <v/>
      </c>
      <c r="C63" s="68" t="str">
        <f>IF(A63&lt;&gt;"",SUMIFS(Transactions!$F$7:$F$996,Transactions!$D$7:$D$996,"Income",Transactions!$E$7:$E$996,A63),"")</f>
        <v/>
      </c>
      <c r="D63" s="68" t="str">
        <f>IF(A63&lt;&gt;"",SUMIFS(Transactions!$F$7:$F$996,Transactions!$D$7:$D$996,"Expense",Transactions!$E$7:$E$996,A63),"")</f>
        <v/>
      </c>
      <c r="E63" s="66" t="str">
        <f t="shared" si="1"/>
        <v/>
      </c>
      <c r="F63" s="66" t="str">
        <f t="shared" si="2"/>
        <v/>
      </c>
      <c r="G63" s="69"/>
      <c r="H63" s="6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0" t="str">
        <f>IF(Roster!$A$62&lt;&gt;"",Roster!$A$62,"")</f>
        <v/>
      </c>
      <c r="B64" s="70" t="str">
        <f t="array" ref="B64">IF(A64&lt;&gt;"",IFERROR(SUMPRODUCT((INDEX(Attendance!$B$7:$AZ$206,MATCH(A64,Attendance!$A$7:$A$206,0),0)=1)*Attendance!$B$4:$AZ$4),0),"")</f>
        <v/>
      </c>
      <c r="C64" s="71" t="str">
        <f>IF(A64&lt;&gt;"",SUMIFS(Transactions!$F$7:$F$996,Transactions!$D$7:$D$996,"Income",Transactions!$E$7:$E$996,A64),"")</f>
        <v/>
      </c>
      <c r="D64" s="71" t="str">
        <f>IF(A64&lt;&gt;"",SUMIFS(Transactions!$F$7:$F$996,Transactions!$D$7:$D$996,"Expense",Transactions!$E$7:$E$996,A64),"")</f>
        <v/>
      </c>
      <c r="E64" s="72" t="str">
        <f t="shared" si="1"/>
        <v/>
      </c>
      <c r="F64" s="72" t="str">
        <f t="shared" si="2"/>
        <v/>
      </c>
      <c r="G64" s="69"/>
      <c r="H64" s="6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0" t="str">
        <f>IF(Roster!$A$63&lt;&gt;"",Roster!$A$63,"")</f>
        <v/>
      </c>
      <c r="B65" s="30" t="str">
        <f t="array" ref="B65">IF(A65&lt;&gt;"",IFERROR(SUMPRODUCT((INDEX(Attendance!$B$7:$AZ$206,MATCH(A65,Attendance!$A$7:$A$206,0),0)=1)*Attendance!$B$4:$AZ$4),0),"")</f>
        <v/>
      </c>
      <c r="C65" s="68" t="str">
        <f>IF(A65&lt;&gt;"",SUMIFS(Transactions!$F$7:$F$996,Transactions!$D$7:$D$996,"Income",Transactions!$E$7:$E$996,A65),"")</f>
        <v/>
      </c>
      <c r="D65" s="68" t="str">
        <f>IF(A65&lt;&gt;"",SUMIFS(Transactions!$F$7:$F$996,Transactions!$D$7:$D$996,"Expense",Transactions!$E$7:$E$996,A65),"")</f>
        <v/>
      </c>
      <c r="E65" s="66" t="str">
        <f t="shared" si="1"/>
        <v/>
      </c>
      <c r="F65" s="66" t="str">
        <f t="shared" si="2"/>
        <v/>
      </c>
      <c r="G65" s="69"/>
      <c r="H65" s="6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0" t="str">
        <f>IF(Roster!$A$64&lt;&gt;"",Roster!$A$64,"")</f>
        <v/>
      </c>
      <c r="B66" s="70" t="str">
        <f t="array" ref="B66">IF(A66&lt;&gt;"",IFERROR(SUMPRODUCT((INDEX(Attendance!$B$7:$AZ$206,MATCH(A66,Attendance!$A$7:$A$206,0),0)=1)*Attendance!$B$4:$AZ$4),0),"")</f>
        <v/>
      </c>
      <c r="C66" s="71" t="str">
        <f>IF(A66&lt;&gt;"",SUMIFS(Transactions!$F$7:$F$996,Transactions!$D$7:$D$996,"Income",Transactions!$E$7:$E$996,A66),"")</f>
        <v/>
      </c>
      <c r="D66" s="71" t="str">
        <f>IF(A66&lt;&gt;"",SUMIFS(Transactions!$F$7:$F$996,Transactions!$D$7:$D$996,"Expense",Transactions!$E$7:$E$996,A66),"")</f>
        <v/>
      </c>
      <c r="E66" s="72" t="str">
        <f t="shared" si="1"/>
        <v/>
      </c>
      <c r="F66" s="72" t="str">
        <f t="shared" si="2"/>
        <v/>
      </c>
      <c r="G66" s="69"/>
      <c r="H66" s="6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0" t="str">
        <f>IF(Roster!$A$65&lt;&gt;"",Roster!$A$65,"")</f>
        <v/>
      </c>
      <c r="B67" s="30" t="str">
        <f t="array" ref="B67">IF(A67&lt;&gt;"",IFERROR(SUMPRODUCT((INDEX(Attendance!$B$7:$AZ$206,MATCH(A67,Attendance!$A$7:$A$206,0),0)=1)*Attendance!$B$4:$AZ$4),0),"")</f>
        <v/>
      </c>
      <c r="C67" s="68" t="str">
        <f>IF(A67&lt;&gt;"",SUMIFS(Transactions!$F$7:$F$996,Transactions!$D$7:$D$996,"Income",Transactions!$E$7:$E$996,A67),"")</f>
        <v/>
      </c>
      <c r="D67" s="68" t="str">
        <f>IF(A67&lt;&gt;"",SUMIFS(Transactions!$F$7:$F$996,Transactions!$D$7:$D$996,"Expense",Transactions!$E$7:$E$996,A67),"")</f>
        <v/>
      </c>
      <c r="E67" s="66" t="str">
        <f t="shared" si="1"/>
        <v/>
      </c>
      <c r="F67" s="66" t="str">
        <f t="shared" si="2"/>
        <v/>
      </c>
      <c r="G67" s="69"/>
      <c r="H67" s="6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0" t="str">
        <f>IF(Roster!$A$66&lt;&gt;"",Roster!$A$66,"")</f>
        <v/>
      </c>
      <c r="B68" s="70" t="str">
        <f t="array" ref="B68">IF(A68&lt;&gt;"",IFERROR(SUMPRODUCT((INDEX(Attendance!$B$7:$AZ$206,MATCH(A68,Attendance!$A$7:$A$206,0),0)=1)*Attendance!$B$4:$AZ$4),0),"")</f>
        <v/>
      </c>
      <c r="C68" s="71" t="str">
        <f>IF(A68&lt;&gt;"",SUMIFS(Transactions!$F$7:$F$996,Transactions!$D$7:$D$996,"Income",Transactions!$E$7:$E$996,A68),"")</f>
        <v/>
      </c>
      <c r="D68" s="71" t="str">
        <f>IF(A68&lt;&gt;"",SUMIFS(Transactions!$F$7:$F$996,Transactions!$D$7:$D$996,"Expense",Transactions!$E$7:$E$996,A68),"")</f>
        <v/>
      </c>
      <c r="E68" s="72" t="str">
        <f t="shared" si="1"/>
        <v/>
      </c>
      <c r="F68" s="72" t="str">
        <f t="shared" si="2"/>
        <v/>
      </c>
      <c r="G68" s="69"/>
      <c r="H68" s="6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0" t="str">
        <f>IF(Roster!$A$67&lt;&gt;"",Roster!$A$67,"")</f>
        <v/>
      </c>
      <c r="B69" s="30" t="str">
        <f t="array" ref="B69">IF(A69&lt;&gt;"",IFERROR(SUMPRODUCT((INDEX(Attendance!$B$7:$AZ$206,MATCH(A69,Attendance!$A$7:$A$206,0),0)=1)*Attendance!$B$4:$AZ$4),0),"")</f>
        <v/>
      </c>
      <c r="C69" s="68" t="str">
        <f>IF(A69&lt;&gt;"",SUMIFS(Transactions!$F$7:$F$996,Transactions!$D$7:$D$996,"Income",Transactions!$E$7:$E$996,A69),"")</f>
        <v/>
      </c>
      <c r="D69" s="68" t="str">
        <f>IF(A69&lt;&gt;"",SUMIFS(Transactions!$F$7:$F$996,Transactions!$D$7:$D$996,"Expense",Transactions!$E$7:$E$996,A69),"")</f>
        <v/>
      </c>
      <c r="E69" s="66" t="str">
        <f t="shared" si="1"/>
        <v/>
      </c>
      <c r="F69" s="66" t="str">
        <f t="shared" si="2"/>
        <v/>
      </c>
      <c r="G69" s="69"/>
      <c r="H69" s="6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0" t="str">
        <f>IF(Roster!$A$68&lt;&gt;"",Roster!$A$68,"")</f>
        <v/>
      </c>
      <c r="B70" s="70" t="str">
        <f t="array" ref="B70">IF(A70&lt;&gt;"",IFERROR(SUMPRODUCT((INDEX(Attendance!$B$7:$AZ$206,MATCH(A70,Attendance!$A$7:$A$206,0),0)=1)*Attendance!$B$4:$AZ$4),0),"")</f>
        <v/>
      </c>
      <c r="C70" s="71" t="str">
        <f>IF(A70&lt;&gt;"",SUMIFS(Transactions!$F$7:$F$996,Transactions!$D$7:$D$996,"Income",Transactions!$E$7:$E$996,A70),"")</f>
        <v/>
      </c>
      <c r="D70" s="71" t="str">
        <f>IF(A70&lt;&gt;"",SUMIFS(Transactions!$F$7:$F$996,Transactions!$D$7:$D$996,"Expense",Transactions!$E$7:$E$996,A70),"")</f>
        <v/>
      </c>
      <c r="E70" s="72" t="str">
        <f t="shared" si="1"/>
        <v/>
      </c>
      <c r="F70" s="72" t="str">
        <f t="shared" si="2"/>
        <v/>
      </c>
      <c r="G70" s="69"/>
      <c r="H70" s="6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0" t="str">
        <f>IF(Roster!$A$69&lt;&gt;"",Roster!$A$69,"")</f>
        <v/>
      </c>
      <c r="B71" s="30" t="str">
        <f t="array" ref="B71">IF(A71&lt;&gt;"",IFERROR(SUMPRODUCT((INDEX(Attendance!$B$7:$AZ$206,MATCH(A71,Attendance!$A$7:$A$206,0),0)=1)*Attendance!$B$4:$AZ$4),0),"")</f>
        <v/>
      </c>
      <c r="C71" s="68" t="str">
        <f>IF(A71&lt;&gt;"",SUMIFS(Transactions!$F$7:$F$996,Transactions!$D$7:$D$996,"Income",Transactions!$E$7:$E$996,A71),"")</f>
        <v/>
      </c>
      <c r="D71" s="68" t="str">
        <f>IF(A71&lt;&gt;"",SUMIFS(Transactions!$F$7:$F$996,Transactions!$D$7:$D$996,"Expense",Transactions!$E$7:$E$996,A71),"")</f>
        <v/>
      </c>
      <c r="E71" s="66" t="str">
        <f t="shared" si="1"/>
        <v/>
      </c>
      <c r="F71" s="66" t="str">
        <f t="shared" si="2"/>
        <v/>
      </c>
      <c r="G71" s="69"/>
      <c r="H71" s="6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0" t="str">
        <f>IF(Roster!$A$70&lt;&gt;"",Roster!$A$70,"")</f>
        <v/>
      </c>
      <c r="B72" s="70" t="str">
        <f t="array" ref="B72">IF(A72&lt;&gt;"",IFERROR(SUMPRODUCT((INDEX(Attendance!$B$7:$AZ$206,MATCH(A72,Attendance!$A$7:$A$206,0),0)=1)*Attendance!$B$4:$AZ$4),0),"")</f>
        <v/>
      </c>
      <c r="C72" s="71" t="str">
        <f>IF(A72&lt;&gt;"",SUMIFS(Transactions!$F$7:$F$996,Transactions!$D$7:$D$996,"Income",Transactions!$E$7:$E$996,A72),"")</f>
        <v/>
      </c>
      <c r="D72" s="71" t="str">
        <f>IF(A72&lt;&gt;"",SUMIFS(Transactions!$F$7:$F$996,Transactions!$D$7:$D$996,"Expense",Transactions!$E$7:$E$996,A72),"")</f>
        <v/>
      </c>
      <c r="E72" s="72" t="str">
        <f t="shared" si="1"/>
        <v/>
      </c>
      <c r="F72" s="72" t="str">
        <f t="shared" si="2"/>
        <v/>
      </c>
      <c r="G72" s="69"/>
      <c r="H72" s="6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0" t="str">
        <f>IF(Roster!$A$71&lt;&gt;"",Roster!$A$71,"")</f>
        <v/>
      </c>
      <c r="B73" s="30" t="str">
        <f t="array" ref="B73">IF(A73&lt;&gt;"",IFERROR(SUMPRODUCT((INDEX(Attendance!$B$7:$AZ$206,MATCH(A73,Attendance!$A$7:$A$206,0),0)=1)*Attendance!$B$4:$AZ$4),0),"")</f>
        <v/>
      </c>
      <c r="C73" s="68" t="str">
        <f>IF(A73&lt;&gt;"",SUMIFS(Transactions!$F$7:$F$996,Transactions!$D$7:$D$996,"Income",Transactions!$E$7:$E$996,A73),"")</f>
        <v/>
      </c>
      <c r="D73" s="68" t="str">
        <f>IF(A73&lt;&gt;"",SUMIFS(Transactions!$F$7:$F$996,Transactions!$D$7:$D$996,"Expense",Transactions!$E$7:$E$996,A73),"")</f>
        <v/>
      </c>
      <c r="E73" s="66" t="str">
        <f t="shared" si="1"/>
        <v/>
      </c>
      <c r="F73" s="66" t="str">
        <f t="shared" si="2"/>
        <v/>
      </c>
      <c r="G73" s="69"/>
      <c r="H73" s="6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0" t="str">
        <f>IF(Roster!$A$72&lt;&gt;"",Roster!$A$72,"")</f>
        <v/>
      </c>
      <c r="B74" s="70" t="str">
        <f t="array" ref="B74">IF(A74&lt;&gt;"",IFERROR(SUMPRODUCT((INDEX(Attendance!$B$7:$AZ$206,MATCH(A74,Attendance!$A$7:$A$206,0),0)=1)*Attendance!$B$4:$AZ$4),0),"")</f>
        <v/>
      </c>
      <c r="C74" s="71" t="str">
        <f>IF(A74&lt;&gt;"",SUMIFS(Transactions!$F$7:$F$996,Transactions!$D$7:$D$996,"Income",Transactions!$E$7:$E$996,A74),"")</f>
        <v/>
      </c>
      <c r="D74" s="71" t="str">
        <f>IF(A74&lt;&gt;"",SUMIFS(Transactions!$F$7:$F$996,Transactions!$D$7:$D$996,"Expense",Transactions!$E$7:$E$996,A74),"")</f>
        <v/>
      </c>
      <c r="E74" s="72" t="str">
        <f t="shared" si="1"/>
        <v/>
      </c>
      <c r="F74" s="72" t="str">
        <f t="shared" si="2"/>
        <v/>
      </c>
      <c r="G74" s="69"/>
      <c r="H74" s="6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0" t="str">
        <f>IF(Roster!$A$73&lt;&gt;"",Roster!$A$73,"")</f>
        <v/>
      </c>
      <c r="B75" s="30" t="str">
        <f t="array" ref="B75">IF(A75&lt;&gt;"",IFERROR(SUMPRODUCT((INDEX(Attendance!$B$7:$AZ$206,MATCH(A75,Attendance!$A$7:$A$206,0),0)=1)*Attendance!$B$4:$AZ$4),0),"")</f>
        <v/>
      </c>
      <c r="C75" s="68" t="str">
        <f>IF(A75&lt;&gt;"",SUMIFS(Transactions!$F$7:$F$996,Transactions!$D$7:$D$996,"Income",Transactions!$E$7:$E$996,A75),"")</f>
        <v/>
      </c>
      <c r="D75" s="68" t="str">
        <f>IF(A75&lt;&gt;"",SUMIFS(Transactions!$F$7:$F$996,Transactions!$D$7:$D$996,"Expense",Transactions!$E$7:$E$996,A75),"")</f>
        <v/>
      </c>
      <c r="E75" s="66" t="str">
        <f t="shared" si="1"/>
        <v/>
      </c>
      <c r="F75" s="66" t="str">
        <f t="shared" si="2"/>
        <v/>
      </c>
      <c r="G75" s="69"/>
      <c r="H75" s="6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0" t="str">
        <f>IF(Roster!$A$74&lt;&gt;"",Roster!$A$74,"")</f>
        <v/>
      </c>
      <c r="B76" s="70" t="str">
        <f t="array" ref="B76">IF(A76&lt;&gt;"",IFERROR(SUMPRODUCT((INDEX(Attendance!$B$7:$AZ$206,MATCH(A76,Attendance!$A$7:$A$206,0),0)=1)*Attendance!$B$4:$AZ$4),0),"")</f>
        <v/>
      </c>
      <c r="C76" s="71" t="str">
        <f>IF(A76&lt;&gt;"",SUMIFS(Transactions!$F$7:$F$996,Transactions!$D$7:$D$996,"Income",Transactions!$E$7:$E$996,A76),"")</f>
        <v/>
      </c>
      <c r="D76" s="71" t="str">
        <f>IF(A76&lt;&gt;"",SUMIFS(Transactions!$F$7:$F$996,Transactions!$D$7:$D$996,"Expense",Transactions!$E$7:$E$996,A76),"")</f>
        <v/>
      </c>
      <c r="E76" s="72" t="str">
        <f t="shared" si="1"/>
        <v/>
      </c>
      <c r="F76" s="72" t="str">
        <f t="shared" si="2"/>
        <v/>
      </c>
      <c r="G76" s="69"/>
      <c r="H76" s="6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0" t="str">
        <f>IF(Roster!$A$75&lt;&gt;"",Roster!$A$75,"")</f>
        <v/>
      </c>
      <c r="B77" s="30" t="str">
        <f t="array" ref="B77">IF(A77&lt;&gt;"",IFERROR(SUMPRODUCT((INDEX(Attendance!$B$7:$AZ$206,MATCH(A77,Attendance!$A$7:$A$206,0),0)=1)*Attendance!$B$4:$AZ$4),0),"")</f>
        <v/>
      </c>
      <c r="C77" s="68" t="str">
        <f>IF(A77&lt;&gt;"",SUMIFS(Transactions!$F$7:$F$996,Transactions!$D$7:$D$996,"Income",Transactions!$E$7:$E$996,A77),"")</f>
        <v/>
      </c>
      <c r="D77" s="68" t="str">
        <f>IF(A77&lt;&gt;"",SUMIFS(Transactions!$F$7:$F$996,Transactions!$D$7:$D$996,"Expense",Transactions!$E$7:$E$996,A77),"")</f>
        <v/>
      </c>
      <c r="E77" s="66" t="str">
        <f t="shared" si="1"/>
        <v/>
      </c>
      <c r="F77" s="66" t="str">
        <f t="shared" si="2"/>
        <v/>
      </c>
      <c r="G77" s="69"/>
      <c r="H77" s="6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0" t="str">
        <f>IF(Roster!$A$76&lt;&gt;"",Roster!$A$76,"")</f>
        <v/>
      </c>
      <c r="B78" s="70" t="str">
        <f t="array" ref="B78">IF(A78&lt;&gt;"",IFERROR(SUMPRODUCT((INDEX(Attendance!$B$7:$AZ$206,MATCH(A78,Attendance!$A$7:$A$206,0),0)=1)*Attendance!$B$4:$AZ$4),0),"")</f>
        <v/>
      </c>
      <c r="C78" s="71" t="str">
        <f>IF(A78&lt;&gt;"",SUMIFS(Transactions!$F$7:$F$996,Transactions!$D$7:$D$996,"Income",Transactions!$E$7:$E$996,A78),"")</f>
        <v/>
      </c>
      <c r="D78" s="71" t="str">
        <f>IF(A78&lt;&gt;"",SUMIFS(Transactions!$F$7:$F$996,Transactions!$D$7:$D$996,"Expense",Transactions!$E$7:$E$996,A78),"")</f>
        <v/>
      </c>
      <c r="E78" s="72" t="str">
        <f t="shared" si="1"/>
        <v/>
      </c>
      <c r="F78" s="72" t="str">
        <f t="shared" si="2"/>
        <v/>
      </c>
      <c r="G78" s="69"/>
      <c r="H78" s="6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0" t="str">
        <f>IF(Roster!$A$77&lt;&gt;"",Roster!$A$77,"")</f>
        <v/>
      </c>
      <c r="B79" s="30" t="str">
        <f t="array" ref="B79">IF(A79&lt;&gt;"",IFERROR(SUMPRODUCT((INDEX(Attendance!$B$7:$AZ$206,MATCH(A79,Attendance!$A$7:$A$206,0),0)=1)*Attendance!$B$4:$AZ$4),0),"")</f>
        <v/>
      </c>
      <c r="C79" s="68" t="str">
        <f>IF(A79&lt;&gt;"",SUMIFS(Transactions!$F$7:$F$996,Transactions!$D$7:$D$996,"Income",Transactions!$E$7:$E$996,A79),"")</f>
        <v/>
      </c>
      <c r="D79" s="68" t="str">
        <f>IF(A79&lt;&gt;"",SUMIFS(Transactions!$F$7:$F$996,Transactions!$D$7:$D$996,"Expense",Transactions!$E$7:$E$996,A79),"")</f>
        <v/>
      </c>
      <c r="E79" s="66" t="str">
        <f t="shared" si="1"/>
        <v/>
      </c>
      <c r="F79" s="66" t="str">
        <f t="shared" si="2"/>
        <v/>
      </c>
      <c r="G79" s="69"/>
      <c r="H79" s="6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0" t="str">
        <f>IF(Roster!$A$78&lt;&gt;"",Roster!$A$78,"")</f>
        <v/>
      </c>
      <c r="B80" s="70" t="str">
        <f t="array" ref="B80">IF(A80&lt;&gt;"",IFERROR(SUMPRODUCT((INDEX(Attendance!$B$7:$AZ$206,MATCH(A80,Attendance!$A$7:$A$206,0),0)=1)*Attendance!$B$4:$AZ$4),0),"")</f>
        <v/>
      </c>
      <c r="C80" s="71" t="str">
        <f>IF(A80&lt;&gt;"",SUMIFS(Transactions!$F$7:$F$996,Transactions!$D$7:$D$996,"Income",Transactions!$E$7:$E$996,A80),"")</f>
        <v/>
      </c>
      <c r="D80" s="71" t="str">
        <f>IF(A80&lt;&gt;"",SUMIFS(Transactions!$F$7:$F$996,Transactions!$D$7:$D$996,"Expense",Transactions!$E$7:$E$996,A80),"")</f>
        <v/>
      </c>
      <c r="E80" s="72" t="str">
        <f t="shared" si="1"/>
        <v/>
      </c>
      <c r="F80" s="72" t="str">
        <f t="shared" si="2"/>
        <v/>
      </c>
      <c r="G80" s="69"/>
      <c r="H80" s="6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0" t="str">
        <f>IF(Roster!$A$79&lt;&gt;"",Roster!$A$79,"")</f>
        <v/>
      </c>
      <c r="B81" s="30" t="str">
        <f t="array" ref="B81">IF(A81&lt;&gt;"",IFERROR(SUMPRODUCT((INDEX(Attendance!$B$7:$AZ$206,MATCH(A81,Attendance!$A$7:$A$206,0),0)=1)*Attendance!$B$4:$AZ$4),0),"")</f>
        <v/>
      </c>
      <c r="C81" s="68" t="str">
        <f>IF(A81&lt;&gt;"",SUMIFS(Transactions!$F$7:$F$996,Transactions!$D$7:$D$996,"Income",Transactions!$E$7:$E$996,A81),"")</f>
        <v/>
      </c>
      <c r="D81" s="68" t="str">
        <f>IF(A81&lt;&gt;"",SUMIFS(Transactions!$F$7:$F$996,Transactions!$D$7:$D$996,"Expense",Transactions!$E$7:$E$996,A81),"")</f>
        <v/>
      </c>
      <c r="E81" s="66" t="str">
        <f t="shared" si="1"/>
        <v/>
      </c>
      <c r="F81" s="66" t="str">
        <f t="shared" si="2"/>
        <v/>
      </c>
      <c r="G81" s="69"/>
      <c r="H81" s="6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0" t="str">
        <f>IF(Roster!$A$80&lt;&gt;"",Roster!$A$80,"")</f>
        <v/>
      </c>
      <c r="B82" s="70" t="str">
        <f t="array" ref="B82">IF(A82&lt;&gt;"",IFERROR(SUMPRODUCT((INDEX(Attendance!$B$7:$AZ$206,MATCH(A82,Attendance!$A$7:$A$206,0),0)=1)*Attendance!$B$4:$AZ$4),0),"")</f>
        <v/>
      </c>
      <c r="C82" s="71" t="str">
        <f>IF(A82&lt;&gt;"",SUMIFS(Transactions!$F$7:$F$996,Transactions!$D$7:$D$996,"Income",Transactions!$E$7:$E$996,A82),"")</f>
        <v/>
      </c>
      <c r="D82" s="71" t="str">
        <f>IF(A82&lt;&gt;"",SUMIFS(Transactions!$F$7:$F$996,Transactions!$D$7:$D$996,"Expense",Transactions!$E$7:$E$996,A82),"")</f>
        <v/>
      </c>
      <c r="E82" s="72" t="str">
        <f t="shared" si="1"/>
        <v/>
      </c>
      <c r="F82" s="72" t="str">
        <f t="shared" si="2"/>
        <v/>
      </c>
      <c r="G82" s="69"/>
      <c r="H82" s="6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0" t="str">
        <f>IF(Roster!$A$81&lt;&gt;"",Roster!$A$81,"")</f>
        <v/>
      </c>
      <c r="B83" s="30" t="str">
        <f t="array" ref="B83">IF(A83&lt;&gt;"",IFERROR(SUMPRODUCT((INDEX(Attendance!$B$7:$AZ$206,MATCH(A83,Attendance!$A$7:$A$206,0),0)=1)*Attendance!$B$4:$AZ$4),0),"")</f>
        <v/>
      </c>
      <c r="C83" s="68" t="str">
        <f>IF(A83&lt;&gt;"",SUMIFS(Transactions!$F$7:$F$996,Transactions!$D$7:$D$996,"Income",Transactions!$E$7:$E$996,A83),"")</f>
        <v/>
      </c>
      <c r="D83" s="68" t="str">
        <f>IF(A83&lt;&gt;"",SUMIFS(Transactions!$F$7:$F$996,Transactions!$D$7:$D$996,"Expense",Transactions!$E$7:$E$996,A83),"")</f>
        <v/>
      </c>
      <c r="E83" s="66" t="str">
        <f t="shared" si="1"/>
        <v/>
      </c>
      <c r="F83" s="66" t="str">
        <f t="shared" si="2"/>
        <v/>
      </c>
      <c r="G83" s="69"/>
      <c r="H83" s="6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0" t="str">
        <f>IF(Roster!$A$82&lt;&gt;"",Roster!$A$82,"")</f>
        <v/>
      </c>
      <c r="B84" s="70" t="str">
        <f t="array" ref="B84">IF(A84&lt;&gt;"",IFERROR(SUMPRODUCT((INDEX(Attendance!$B$7:$AZ$206,MATCH(A84,Attendance!$A$7:$A$206,0),0)=1)*Attendance!$B$4:$AZ$4),0),"")</f>
        <v/>
      </c>
      <c r="C84" s="71" t="str">
        <f>IF(A84&lt;&gt;"",SUMIFS(Transactions!$F$7:$F$996,Transactions!$D$7:$D$996,"Income",Transactions!$E$7:$E$996,A84),"")</f>
        <v/>
      </c>
      <c r="D84" s="71" t="str">
        <f>IF(A84&lt;&gt;"",SUMIFS(Transactions!$F$7:$F$996,Transactions!$D$7:$D$996,"Expense",Transactions!$E$7:$E$996,A84),"")</f>
        <v/>
      </c>
      <c r="E84" s="72" t="str">
        <f t="shared" si="1"/>
        <v/>
      </c>
      <c r="F84" s="72" t="str">
        <f t="shared" si="2"/>
        <v/>
      </c>
      <c r="G84" s="69"/>
      <c r="H84" s="6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0" t="str">
        <f>IF(Roster!$A$83&lt;&gt;"",Roster!$A$83,"")</f>
        <v/>
      </c>
      <c r="B85" s="30" t="str">
        <f t="array" ref="B85">IF(A85&lt;&gt;"",IFERROR(SUMPRODUCT((INDEX(Attendance!$B$7:$AZ$206,MATCH(A85,Attendance!$A$7:$A$206,0),0)=1)*Attendance!$B$4:$AZ$4),0),"")</f>
        <v/>
      </c>
      <c r="C85" s="68" t="str">
        <f>IF(A85&lt;&gt;"",SUMIFS(Transactions!$F$7:$F$996,Transactions!$D$7:$D$996,"Income",Transactions!$E$7:$E$996,A85),"")</f>
        <v/>
      </c>
      <c r="D85" s="68" t="str">
        <f>IF(A85&lt;&gt;"",SUMIFS(Transactions!$F$7:$F$996,Transactions!$D$7:$D$996,"Expense",Transactions!$E$7:$E$996,A85),"")</f>
        <v/>
      </c>
      <c r="E85" s="66" t="str">
        <f t="shared" si="1"/>
        <v/>
      </c>
      <c r="F85" s="66" t="str">
        <f t="shared" si="2"/>
        <v/>
      </c>
      <c r="G85" s="69"/>
      <c r="H85" s="6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0" t="str">
        <f>IF(Roster!$A$84&lt;&gt;"",Roster!$A$84,"")</f>
        <v/>
      </c>
      <c r="B86" s="70" t="str">
        <f t="array" ref="B86">IF(A86&lt;&gt;"",IFERROR(SUMPRODUCT((INDEX(Attendance!$B$7:$AZ$206,MATCH(A86,Attendance!$A$7:$A$206,0),0)=1)*Attendance!$B$4:$AZ$4),0),"")</f>
        <v/>
      </c>
      <c r="C86" s="71" t="str">
        <f>IF(A86&lt;&gt;"",SUMIFS(Transactions!$F$7:$F$996,Transactions!$D$7:$D$996,"Income",Transactions!$E$7:$E$996,A86),"")</f>
        <v/>
      </c>
      <c r="D86" s="71" t="str">
        <f>IF(A86&lt;&gt;"",SUMIFS(Transactions!$F$7:$F$996,Transactions!$D$7:$D$996,"Expense",Transactions!$E$7:$E$996,A86),"")</f>
        <v/>
      </c>
      <c r="E86" s="72" t="str">
        <f t="shared" si="1"/>
        <v/>
      </c>
      <c r="F86" s="72" t="str">
        <f t="shared" si="2"/>
        <v/>
      </c>
      <c r="G86" s="69"/>
      <c r="H86" s="6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0" t="str">
        <f>IF(Roster!$A$85&lt;&gt;"",Roster!$A$85,"")</f>
        <v/>
      </c>
      <c r="B87" s="30" t="str">
        <f t="array" ref="B87">IF(A87&lt;&gt;"",IFERROR(SUMPRODUCT((INDEX(Attendance!$B$7:$AZ$206,MATCH(A87,Attendance!$A$7:$A$206,0),0)=1)*Attendance!$B$4:$AZ$4),0),"")</f>
        <v/>
      </c>
      <c r="C87" s="68" t="str">
        <f>IF(A87&lt;&gt;"",SUMIFS(Transactions!$F$7:$F$996,Transactions!$D$7:$D$996,"Income",Transactions!$E$7:$E$996,A87),"")</f>
        <v/>
      </c>
      <c r="D87" s="68" t="str">
        <f>IF(A87&lt;&gt;"",SUMIFS(Transactions!$F$7:$F$996,Transactions!$D$7:$D$996,"Expense",Transactions!$E$7:$E$996,A87),"")</f>
        <v/>
      </c>
      <c r="E87" s="66" t="str">
        <f t="shared" si="1"/>
        <v/>
      </c>
      <c r="F87" s="66" t="str">
        <f t="shared" si="2"/>
        <v/>
      </c>
      <c r="G87" s="69"/>
      <c r="H87" s="6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0" t="str">
        <f>IF(Roster!$A$86&lt;&gt;"",Roster!$A$86,"")</f>
        <v/>
      </c>
      <c r="B88" s="70" t="str">
        <f t="array" ref="B88">IF(A88&lt;&gt;"",IFERROR(SUMPRODUCT((INDEX(Attendance!$B$7:$AZ$206,MATCH(A88,Attendance!$A$7:$A$206,0),0)=1)*Attendance!$B$4:$AZ$4),0),"")</f>
        <v/>
      </c>
      <c r="C88" s="71" t="str">
        <f>IF(A88&lt;&gt;"",SUMIFS(Transactions!$F$7:$F$996,Transactions!$D$7:$D$996,"Income",Transactions!$E$7:$E$996,A88),"")</f>
        <v/>
      </c>
      <c r="D88" s="71" t="str">
        <f>IF(A88&lt;&gt;"",SUMIFS(Transactions!$F$7:$F$996,Transactions!$D$7:$D$996,"Expense",Transactions!$E$7:$E$996,A88),"")</f>
        <v/>
      </c>
      <c r="E88" s="72" t="str">
        <f t="shared" si="1"/>
        <v/>
      </c>
      <c r="F88" s="72" t="str">
        <f t="shared" si="2"/>
        <v/>
      </c>
      <c r="G88" s="69"/>
      <c r="H88" s="6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0" t="str">
        <f>IF(Roster!$A$87&lt;&gt;"",Roster!$A$87,"")</f>
        <v/>
      </c>
      <c r="B89" s="30" t="str">
        <f t="array" ref="B89">IF(A89&lt;&gt;"",IFERROR(SUMPRODUCT((INDEX(Attendance!$B$7:$AZ$206,MATCH(A89,Attendance!$A$7:$A$206,0),0)=1)*Attendance!$B$4:$AZ$4),0),"")</f>
        <v/>
      </c>
      <c r="C89" s="68" t="str">
        <f>IF(A89&lt;&gt;"",SUMIFS(Transactions!$F$7:$F$996,Transactions!$D$7:$D$996,"Income",Transactions!$E$7:$E$996,A89),"")</f>
        <v/>
      </c>
      <c r="D89" s="68" t="str">
        <f>IF(A89&lt;&gt;"",SUMIFS(Transactions!$F$7:$F$996,Transactions!$D$7:$D$996,"Expense",Transactions!$E$7:$E$996,A89),"")</f>
        <v/>
      </c>
      <c r="E89" s="66" t="str">
        <f t="shared" si="1"/>
        <v/>
      </c>
      <c r="F89" s="66" t="str">
        <f t="shared" si="2"/>
        <v/>
      </c>
      <c r="G89" s="69"/>
      <c r="H89" s="6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0" t="str">
        <f>IF(Roster!$A$88&lt;&gt;"",Roster!$A$88,"")</f>
        <v/>
      </c>
      <c r="B90" s="70" t="str">
        <f t="array" ref="B90">IF(A90&lt;&gt;"",IFERROR(SUMPRODUCT((INDEX(Attendance!$B$7:$AZ$206,MATCH(A90,Attendance!$A$7:$A$206,0),0)=1)*Attendance!$B$4:$AZ$4),0),"")</f>
        <v/>
      </c>
      <c r="C90" s="71" t="str">
        <f>IF(A90&lt;&gt;"",SUMIFS(Transactions!$F$7:$F$996,Transactions!$D$7:$D$996,"Income",Transactions!$E$7:$E$996,A90),"")</f>
        <v/>
      </c>
      <c r="D90" s="71" t="str">
        <f>IF(A90&lt;&gt;"",SUMIFS(Transactions!$F$7:$F$996,Transactions!$D$7:$D$996,"Expense",Transactions!$E$7:$E$996,A90),"")</f>
        <v/>
      </c>
      <c r="E90" s="72" t="str">
        <f t="shared" si="1"/>
        <v/>
      </c>
      <c r="F90" s="72" t="str">
        <f t="shared" si="2"/>
        <v/>
      </c>
      <c r="G90" s="69"/>
      <c r="H90" s="6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0" t="str">
        <f>IF(Roster!$A$89&lt;&gt;"",Roster!$A$89,"")</f>
        <v/>
      </c>
      <c r="B91" s="30" t="str">
        <f t="array" ref="B91">IF(A91&lt;&gt;"",IFERROR(SUMPRODUCT((INDEX(Attendance!$B$7:$AZ$206,MATCH(A91,Attendance!$A$7:$A$206,0),0)=1)*Attendance!$B$4:$AZ$4),0),"")</f>
        <v/>
      </c>
      <c r="C91" s="68" t="str">
        <f>IF(A91&lt;&gt;"",SUMIFS(Transactions!$F$7:$F$996,Transactions!$D$7:$D$996,"Income",Transactions!$E$7:$E$996,A91),"")</f>
        <v/>
      </c>
      <c r="D91" s="68" t="str">
        <f>IF(A91&lt;&gt;"",SUMIFS(Transactions!$F$7:$F$996,Transactions!$D$7:$D$996,"Expense",Transactions!$E$7:$E$996,A91),"")</f>
        <v/>
      </c>
      <c r="E91" s="66" t="str">
        <f t="shared" si="1"/>
        <v/>
      </c>
      <c r="F91" s="66" t="str">
        <f t="shared" si="2"/>
        <v/>
      </c>
      <c r="G91" s="69"/>
      <c r="H91" s="6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0" t="str">
        <f>IF(Roster!$A$90&lt;&gt;"",Roster!$A$90,"")</f>
        <v/>
      </c>
      <c r="B92" s="70" t="str">
        <f t="array" ref="B92">IF(A92&lt;&gt;"",IFERROR(SUMPRODUCT((INDEX(Attendance!$B$7:$AZ$206,MATCH(A92,Attendance!$A$7:$A$206,0),0)=1)*Attendance!$B$4:$AZ$4),0),"")</f>
        <v/>
      </c>
      <c r="C92" s="71" t="str">
        <f>IF(A92&lt;&gt;"",SUMIFS(Transactions!$F$7:$F$996,Transactions!$D$7:$D$996,"Income",Transactions!$E$7:$E$996,A92),"")</f>
        <v/>
      </c>
      <c r="D92" s="71" t="str">
        <f>IF(A92&lt;&gt;"",SUMIFS(Transactions!$F$7:$F$996,Transactions!$D$7:$D$996,"Expense",Transactions!$E$7:$E$996,A92),"")</f>
        <v/>
      </c>
      <c r="E92" s="72" t="str">
        <f t="shared" si="1"/>
        <v/>
      </c>
      <c r="F92" s="72" t="str">
        <f t="shared" si="2"/>
        <v/>
      </c>
      <c r="G92" s="69"/>
      <c r="H92" s="6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0" t="str">
        <f>IF(Roster!$A$91&lt;&gt;"",Roster!$A$91,"")</f>
        <v/>
      </c>
      <c r="B93" s="30" t="str">
        <f t="array" ref="B93">IF(A93&lt;&gt;"",IFERROR(SUMPRODUCT((INDEX(Attendance!$B$7:$AZ$206,MATCH(A93,Attendance!$A$7:$A$206,0),0)=1)*Attendance!$B$4:$AZ$4),0),"")</f>
        <v/>
      </c>
      <c r="C93" s="68" t="str">
        <f>IF(A93&lt;&gt;"",SUMIFS(Transactions!$F$7:$F$996,Transactions!$D$7:$D$996,"Income",Transactions!$E$7:$E$996,A93),"")</f>
        <v/>
      </c>
      <c r="D93" s="68" t="str">
        <f>IF(A93&lt;&gt;"",SUMIFS(Transactions!$F$7:$F$996,Transactions!$D$7:$D$996,"Expense",Transactions!$E$7:$E$996,A93),"")</f>
        <v/>
      </c>
      <c r="E93" s="66" t="str">
        <f t="shared" si="1"/>
        <v/>
      </c>
      <c r="F93" s="66" t="str">
        <f t="shared" si="2"/>
        <v/>
      </c>
      <c r="G93" s="69"/>
      <c r="H93" s="6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0" t="str">
        <f>IF(Roster!$A$92&lt;&gt;"",Roster!$A$92,"")</f>
        <v/>
      </c>
      <c r="B94" s="70" t="str">
        <f t="array" ref="B94">IF(A94&lt;&gt;"",IFERROR(SUMPRODUCT((INDEX(Attendance!$B$7:$AZ$206,MATCH(A94,Attendance!$A$7:$A$206,0),0)=1)*Attendance!$B$4:$AZ$4),0),"")</f>
        <v/>
      </c>
      <c r="C94" s="71" t="str">
        <f>IF(A94&lt;&gt;"",SUMIFS(Transactions!$F$7:$F$996,Transactions!$D$7:$D$996,"Income",Transactions!$E$7:$E$996,A94),"")</f>
        <v/>
      </c>
      <c r="D94" s="71" t="str">
        <f>IF(A94&lt;&gt;"",SUMIFS(Transactions!$F$7:$F$996,Transactions!$D$7:$D$996,"Expense",Transactions!$E$7:$E$996,A94),"")</f>
        <v/>
      </c>
      <c r="E94" s="72" t="str">
        <f t="shared" si="1"/>
        <v/>
      </c>
      <c r="F94" s="72" t="str">
        <f t="shared" si="2"/>
        <v/>
      </c>
      <c r="G94" s="69"/>
      <c r="H94" s="6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0" t="str">
        <f>IF(Roster!$A$93&lt;&gt;"",Roster!$A$93,"")</f>
        <v/>
      </c>
      <c r="B95" s="30" t="str">
        <f t="array" ref="B95">IF(A95&lt;&gt;"",IFERROR(SUMPRODUCT((INDEX(Attendance!$B$7:$AZ$206,MATCH(A95,Attendance!$A$7:$A$206,0),0)=1)*Attendance!$B$4:$AZ$4),0),"")</f>
        <v/>
      </c>
      <c r="C95" s="68" t="str">
        <f>IF(A95&lt;&gt;"",SUMIFS(Transactions!$F$7:$F$996,Transactions!$D$7:$D$996,"Income",Transactions!$E$7:$E$996,A95),"")</f>
        <v/>
      </c>
      <c r="D95" s="68" t="str">
        <f>IF(A95&lt;&gt;"",SUMIFS(Transactions!$F$7:$F$996,Transactions!$D$7:$D$996,"Expense",Transactions!$E$7:$E$996,A95),"")</f>
        <v/>
      </c>
      <c r="E95" s="66" t="str">
        <f t="shared" si="1"/>
        <v/>
      </c>
      <c r="F95" s="66" t="str">
        <f t="shared" si="2"/>
        <v/>
      </c>
      <c r="G95" s="69"/>
      <c r="H95" s="6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0" t="str">
        <f>IF(Roster!$A$94&lt;&gt;"",Roster!$A$94,"")</f>
        <v/>
      </c>
      <c r="B96" s="70" t="str">
        <f t="array" ref="B96">IF(A96&lt;&gt;"",IFERROR(SUMPRODUCT((INDEX(Attendance!$B$7:$AZ$206,MATCH(A96,Attendance!$A$7:$A$206,0),0)=1)*Attendance!$B$4:$AZ$4),0),"")</f>
        <v/>
      </c>
      <c r="C96" s="71" t="str">
        <f>IF(A96&lt;&gt;"",SUMIFS(Transactions!$F$7:$F$996,Transactions!$D$7:$D$996,"Income",Transactions!$E$7:$E$996,A96),"")</f>
        <v/>
      </c>
      <c r="D96" s="71" t="str">
        <f>IF(A96&lt;&gt;"",SUMIFS(Transactions!$F$7:$F$996,Transactions!$D$7:$D$996,"Expense",Transactions!$E$7:$E$996,A96),"")</f>
        <v/>
      </c>
      <c r="E96" s="72" t="str">
        <f t="shared" si="1"/>
        <v/>
      </c>
      <c r="F96" s="72" t="str">
        <f t="shared" si="2"/>
        <v/>
      </c>
      <c r="G96" s="69"/>
      <c r="H96" s="6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0" t="str">
        <f>IF(Roster!$A$95&lt;&gt;"",Roster!$A$95,"")</f>
        <v/>
      </c>
      <c r="B97" s="30" t="str">
        <f t="array" ref="B97">IF(A97&lt;&gt;"",IFERROR(SUMPRODUCT((INDEX(Attendance!$B$7:$AZ$206,MATCH(A97,Attendance!$A$7:$A$206,0),0)=1)*Attendance!$B$4:$AZ$4),0),"")</f>
        <v/>
      </c>
      <c r="C97" s="68" t="str">
        <f>IF(A97&lt;&gt;"",SUMIFS(Transactions!$F$7:$F$996,Transactions!$D$7:$D$996,"Income",Transactions!$E$7:$E$996,A97),"")</f>
        <v/>
      </c>
      <c r="D97" s="68" t="str">
        <f>IF(A97&lt;&gt;"",SUMIFS(Transactions!$F$7:$F$996,Transactions!$D$7:$D$996,"Expense",Transactions!$E$7:$E$996,A97),"")</f>
        <v/>
      </c>
      <c r="E97" s="66" t="str">
        <f t="shared" si="1"/>
        <v/>
      </c>
      <c r="F97" s="66" t="str">
        <f t="shared" si="2"/>
        <v/>
      </c>
      <c r="G97" s="69"/>
      <c r="H97" s="6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0" t="str">
        <f>IF(Roster!$A$96&lt;&gt;"",Roster!$A$96,"")</f>
        <v/>
      </c>
      <c r="B98" s="70" t="str">
        <f t="array" ref="B98">IF(A98&lt;&gt;"",IFERROR(SUMPRODUCT((INDEX(Attendance!$B$7:$AZ$206,MATCH(A98,Attendance!$A$7:$A$206,0),0)=1)*Attendance!$B$4:$AZ$4),0),"")</f>
        <v/>
      </c>
      <c r="C98" s="71" t="str">
        <f>IF(A98&lt;&gt;"",SUMIFS(Transactions!$F$7:$F$996,Transactions!$D$7:$D$996,"Income",Transactions!$E$7:$E$996,A98),"")</f>
        <v/>
      </c>
      <c r="D98" s="71" t="str">
        <f>IF(A98&lt;&gt;"",SUMIFS(Transactions!$F$7:$F$996,Transactions!$D$7:$D$996,"Expense",Transactions!$E$7:$E$996,A98),"")</f>
        <v/>
      </c>
      <c r="E98" s="72" t="str">
        <f t="shared" si="1"/>
        <v/>
      </c>
      <c r="F98" s="72" t="str">
        <f t="shared" si="2"/>
        <v/>
      </c>
      <c r="G98" s="69"/>
      <c r="H98" s="6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0" t="str">
        <f>IF(Roster!$A$97&lt;&gt;"",Roster!$A$97,"")</f>
        <v/>
      </c>
      <c r="B99" s="30" t="str">
        <f t="array" ref="B99">IF(A99&lt;&gt;"",IFERROR(SUMPRODUCT((INDEX(Attendance!$B$7:$AZ$206,MATCH(A99,Attendance!$A$7:$A$206,0),0)=1)*Attendance!$B$4:$AZ$4),0),"")</f>
        <v/>
      </c>
      <c r="C99" s="68" t="str">
        <f>IF(A99&lt;&gt;"",SUMIFS(Transactions!$F$7:$F$996,Transactions!$D$7:$D$996,"Income",Transactions!$E$7:$E$996,A99),"")</f>
        <v/>
      </c>
      <c r="D99" s="68" t="str">
        <f>IF(A99&lt;&gt;"",SUMIFS(Transactions!$F$7:$F$996,Transactions!$D$7:$D$996,"Expense",Transactions!$E$7:$E$996,A99),"")</f>
        <v/>
      </c>
      <c r="E99" s="66" t="str">
        <f t="shared" si="1"/>
        <v/>
      </c>
      <c r="F99" s="66" t="str">
        <f t="shared" si="2"/>
        <v/>
      </c>
      <c r="G99" s="69"/>
      <c r="H99" s="6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0" t="str">
        <f>IF(Roster!$A$98&lt;&gt;"",Roster!$A$98,"")</f>
        <v/>
      </c>
      <c r="B100" s="70" t="str">
        <f t="array" ref="B100">IF(A100&lt;&gt;"",IFERROR(SUMPRODUCT((INDEX(Attendance!$B$7:$AZ$206,MATCH(A100,Attendance!$A$7:$A$206,0),0)=1)*Attendance!$B$4:$AZ$4),0),"")</f>
        <v/>
      </c>
      <c r="C100" s="71" t="str">
        <f>IF(A100&lt;&gt;"",SUMIFS(Transactions!$F$7:$F$996,Transactions!$D$7:$D$996,"Income",Transactions!$E$7:$E$996,A100),"")</f>
        <v/>
      </c>
      <c r="D100" s="71" t="str">
        <f>IF(A100&lt;&gt;"",SUMIFS(Transactions!$F$7:$F$996,Transactions!$D$7:$D$996,"Expense",Transactions!$E$7:$E$996,A100),"")</f>
        <v/>
      </c>
      <c r="E100" s="72" t="str">
        <f t="shared" si="1"/>
        <v/>
      </c>
      <c r="F100" s="72" t="str">
        <f t="shared" si="2"/>
        <v/>
      </c>
      <c r="G100" s="69"/>
      <c r="H100" s="6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0" t="str">
        <f>IF(Roster!$A$99&lt;&gt;"",Roster!$A$99,"")</f>
        <v/>
      </c>
      <c r="B101" s="30" t="str">
        <f t="array" ref="B101">IF(A101&lt;&gt;"",IFERROR(SUMPRODUCT((INDEX(Attendance!$B$7:$AZ$206,MATCH(A101,Attendance!$A$7:$A$206,0),0)=1)*Attendance!$B$4:$AZ$4),0),"")</f>
        <v/>
      </c>
      <c r="C101" s="68" t="str">
        <f>IF(A101&lt;&gt;"",SUMIFS(Transactions!$F$7:$F$996,Transactions!$D$7:$D$996,"Income",Transactions!$E$7:$E$996,A101),"")</f>
        <v/>
      </c>
      <c r="D101" s="68" t="str">
        <f>IF(A101&lt;&gt;"",SUMIFS(Transactions!$F$7:$F$996,Transactions!$D$7:$D$996,"Expense",Transactions!$E$7:$E$996,A101),"")</f>
        <v/>
      </c>
      <c r="E101" s="66" t="str">
        <f t="shared" si="1"/>
        <v/>
      </c>
      <c r="F101" s="66" t="str">
        <f t="shared" si="2"/>
        <v/>
      </c>
      <c r="G101" s="69"/>
      <c r="H101" s="6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0" t="str">
        <f>IF(Roster!$A$100&lt;&gt;"",Roster!$A$100,"")</f>
        <v/>
      </c>
      <c r="B102" s="70" t="str">
        <f t="array" ref="B102">IF(A102&lt;&gt;"",IFERROR(SUMPRODUCT((INDEX(Attendance!$B$7:$AZ$206,MATCH(A102,Attendance!$A$7:$A$206,0),0)=1)*Attendance!$B$4:$AZ$4),0),"")</f>
        <v/>
      </c>
      <c r="C102" s="71" t="str">
        <f>IF(A102&lt;&gt;"",SUMIFS(Transactions!$F$7:$F$996,Transactions!$D$7:$D$996,"Income",Transactions!$E$7:$E$996,A102),"")</f>
        <v/>
      </c>
      <c r="D102" s="71" t="str">
        <f>IF(A102&lt;&gt;"",SUMIFS(Transactions!$F$7:$F$996,Transactions!$D$7:$D$996,"Expense",Transactions!$E$7:$E$996,A102),"")</f>
        <v/>
      </c>
      <c r="E102" s="72" t="str">
        <f t="shared" si="1"/>
        <v/>
      </c>
      <c r="F102" s="72" t="str">
        <f t="shared" si="2"/>
        <v/>
      </c>
      <c r="G102" s="69"/>
      <c r="H102" s="6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0" t="str">
        <f>IF(Roster!$A$101&lt;&gt;"",Roster!$A$101,"")</f>
        <v/>
      </c>
      <c r="B103" s="30" t="str">
        <f t="array" ref="B103">IF(A103&lt;&gt;"",IFERROR(SUMPRODUCT((INDEX(Attendance!$B$7:$AZ$206,MATCH(A103,Attendance!$A$7:$A$206,0),0)=1)*Attendance!$B$4:$AZ$4),0),"")</f>
        <v/>
      </c>
      <c r="C103" s="68" t="str">
        <f>IF(A103&lt;&gt;"",SUMIFS(Transactions!$F$7:$F$996,Transactions!$D$7:$D$996,"Income",Transactions!$E$7:$E$996,A103),"")</f>
        <v/>
      </c>
      <c r="D103" s="68" t="str">
        <f>IF(A103&lt;&gt;"",SUMIFS(Transactions!$F$7:$F$996,Transactions!$D$7:$D$996,"Expense",Transactions!$E$7:$E$996,A103),"")</f>
        <v/>
      </c>
      <c r="E103" s="66" t="str">
        <f t="shared" si="1"/>
        <v/>
      </c>
      <c r="F103" s="66" t="str">
        <f t="shared" si="2"/>
        <v/>
      </c>
      <c r="G103" s="69"/>
      <c r="H103" s="6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0" t="str">
        <f>IF(Roster!$A$102&lt;&gt;"",Roster!$A$102,"")</f>
        <v/>
      </c>
      <c r="B104" s="70" t="str">
        <f t="array" ref="B104">IF(A104&lt;&gt;"",IFERROR(SUMPRODUCT((INDEX(Attendance!$B$7:$AZ$206,MATCH(A104,Attendance!$A$7:$A$206,0),0)=1)*Attendance!$B$4:$AZ$4),0),"")</f>
        <v/>
      </c>
      <c r="C104" s="71" t="str">
        <f>IF(A104&lt;&gt;"",SUMIFS(Transactions!$F$7:$F$996,Transactions!$D$7:$D$996,"Income",Transactions!$E$7:$E$996,A104),"")</f>
        <v/>
      </c>
      <c r="D104" s="71" t="str">
        <f>IF(A104&lt;&gt;"",SUMIFS(Transactions!$F$7:$F$996,Transactions!$D$7:$D$996,"Expense",Transactions!$E$7:$E$996,A104),"")</f>
        <v/>
      </c>
      <c r="E104" s="72" t="str">
        <f t="shared" si="1"/>
        <v/>
      </c>
      <c r="F104" s="72" t="str">
        <f t="shared" si="2"/>
        <v/>
      </c>
      <c r="G104" s="69"/>
      <c r="H104" s="6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0" t="str">
        <f>IF(Roster!$A$103&lt;&gt;"",Roster!$A$103,"")</f>
        <v/>
      </c>
      <c r="B105" s="30" t="str">
        <f t="array" ref="B105">IF(A105&lt;&gt;"",IFERROR(SUMPRODUCT((INDEX(Attendance!$B$7:$AZ$206,MATCH(A105,Attendance!$A$7:$A$206,0),0)=1)*Attendance!$B$4:$AZ$4),0),"")</f>
        <v/>
      </c>
      <c r="C105" s="68" t="str">
        <f>IF(A105&lt;&gt;"",SUMIFS(Transactions!$F$7:$F$996,Transactions!$D$7:$D$996,"Income",Transactions!$E$7:$E$996,A105),"")</f>
        <v/>
      </c>
      <c r="D105" s="68" t="str">
        <f>IF(A105&lt;&gt;"",SUMIFS(Transactions!$F$7:$F$996,Transactions!$D$7:$D$996,"Expense",Transactions!$E$7:$E$996,A105),"")</f>
        <v/>
      </c>
      <c r="E105" s="66" t="str">
        <f t="shared" si="1"/>
        <v/>
      </c>
      <c r="F105" s="66" t="str">
        <f t="shared" si="2"/>
        <v/>
      </c>
      <c r="G105" s="69"/>
      <c r="H105" s="6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0" t="str">
        <f>IF(Roster!$A$104&lt;&gt;"",Roster!$A$104,"")</f>
        <v/>
      </c>
      <c r="B106" s="70" t="str">
        <f t="array" ref="B106">IF(A106&lt;&gt;"",IFERROR(SUMPRODUCT((INDEX(Attendance!$B$7:$AZ$206,MATCH(A106,Attendance!$A$7:$A$206,0),0)=1)*Attendance!$B$4:$AZ$4),0),"")</f>
        <v/>
      </c>
      <c r="C106" s="71" t="str">
        <f>IF(A106&lt;&gt;"",SUMIFS(Transactions!$F$7:$F$996,Transactions!$D$7:$D$996,"Income",Transactions!$E$7:$E$996,A106),"")</f>
        <v/>
      </c>
      <c r="D106" s="71" t="str">
        <f>IF(A106&lt;&gt;"",SUMIFS(Transactions!$F$7:$F$996,Transactions!$D$7:$D$996,"Expense",Transactions!$E$7:$E$996,A106),"")</f>
        <v/>
      </c>
      <c r="E106" s="72" t="str">
        <f t="shared" si="1"/>
        <v/>
      </c>
      <c r="F106" s="72" t="str">
        <f t="shared" si="2"/>
        <v/>
      </c>
      <c r="G106" s="69"/>
      <c r="H106" s="6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0" t="str">
        <f>IF(Roster!$A$105&lt;&gt;"",Roster!$A$105,"")</f>
        <v/>
      </c>
      <c r="B107" s="30" t="str">
        <f t="array" ref="B107">IF(A107&lt;&gt;"",IFERROR(SUMPRODUCT((INDEX(Attendance!$B$7:$AZ$206,MATCH(A107,Attendance!$A$7:$A$206,0),0)=1)*Attendance!$B$4:$AZ$4),0),"")</f>
        <v/>
      </c>
      <c r="C107" s="68" t="str">
        <f>IF(A107&lt;&gt;"",SUMIFS(Transactions!$F$7:$F$996,Transactions!$D$7:$D$996,"Income",Transactions!$E$7:$E$996,A107),"")</f>
        <v/>
      </c>
      <c r="D107" s="68" t="str">
        <f>IF(A107&lt;&gt;"",SUMIFS(Transactions!$F$7:$F$996,Transactions!$D$7:$D$996,"Expense",Transactions!$E$7:$E$996,A107),"")</f>
        <v/>
      </c>
      <c r="E107" s="66" t="str">
        <f t="shared" si="1"/>
        <v/>
      </c>
      <c r="F107" s="66" t="str">
        <f t="shared" si="2"/>
        <v/>
      </c>
      <c r="G107" s="69"/>
      <c r="H107" s="6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0" t="str">
        <f>IF(Roster!$A$106&lt;&gt;"",Roster!$A$106,"")</f>
        <v/>
      </c>
      <c r="B108" s="70" t="str">
        <f t="array" ref="B108">IF(A108&lt;&gt;"",IFERROR(SUMPRODUCT((INDEX(Attendance!$B$7:$AZ$206,MATCH(A108,Attendance!$A$7:$A$206,0),0)=1)*Attendance!$B$4:$AZ$4),0),"")</f>
        <v/>
      </c>
      <c r="C108" s="71" t="str">
        <f>IF(A108&lt;&gt;"",SUMIFS(Transactions!$F$7:$F$996,Transactions!$D$7:$D$996,"Income",Transactions!$E$7:$E$996,A108),"")</f>
        <v/>
      </c>
      <c r="D108" s="71" t="str">
        <f>IF(A108&lt;&gt;"",SUMIFS(Transactions!$F$7:$F$996,Transactions!$D$7:$D$996,"Expense",Transactions!$E$7:$E$996,A108),"")</f>
        <v/>
      </c>
      <c r="E108" s="72" t="str">
        <f t="shared" si="1"/>
        <v/>
      </c>
      <c r="F108" s="72" t="str">
        <f t="shared" si="2"/>
        <v/>
      </c>
      <c r="G108" s="69"/>
      <c r="H108" s="6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0" t="str">
        <f>IF(Roster!$A$107&lt;&gt;"",Roster!$A$107,"")</f>
        <v/>
      </c>
      <c r="B109" s="30" t="str">
        <f t="array" ref="B109">IF(A109&lt;&gt;"",IFERROR(SUMPRODUCT((INDEX(Attendance!$B$7:$AZ$206,MATCH(A109,Attendance!$A$7:$A$206,0),0)=1)*Attendance!$B$4:$AZ$4),0),"")</f>
        <v/>
      </c>
      <c r="C109" s="68" t="str">
        <f>IF(A109&lt;&gt;"",SUMIFS(Transactions!$F$7:$F$996,Transactions!$D$7:$D$996,"Income",Transactions!$E$7:$E$996,A109),"")</f>
        <v/>
      </c>
      <c r="D109" s="68" t="str">
        <f>IF(A109&lt;&gt;"",SUMIFS(Transactions!$F$7:$F$996,Transactions!$D$7:$D$996,"Expense",Transactions!$E$7:$E$996,A109),"")</f>
        <v/>
      </c>
      <c r="E109" s="66" t="str">
        <f t="shared" si="1"/>
        <v/>
      </c>
      <c r="F109" s="66" t="str">
        <f t="shared" si="2"/>
        <v/>
      </c>
      <c r="G109" s="69"/>
      <c r="H109" s="6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0" t="str">
        <f>IF(Roster!$A$108&lt;&gt;"",Roster!$A$108,"")</f>
        <v/>
      </c>
      <c r="B110" s="70" t="str">
        <f t="array" ref="B110">IF(A110&lt;&gt;"",IFERROR(SUMPRODUCT((INDEX(Attendance!$B$7:$AZ$206,MATCH(A110,Attendance!$A$7:$A$206,0),0)=1)*Attendance!$B$4:$AZ$4),0),"")</f>
        <v/>
      </c>
      <c r="C110" s="71" t="str">
        <f>IF(A110&lt;&gt;"",SUMIFS(Transactions!$F$7:$F$996,Transactions!$D$7:$D$996,"Income",Transactions!$E$7:$E$996,A110),"")</f>
        <v/>
      </c>
      <c r="D110" s="71" t="str">
        <f>IF(A110&lt;&gt;"",SUMIFS(Transactions!$F$7:$F$996,Transactions!$D$7:$D$996,"Expense",Transactions!$E$7:$E$996,A110),"")</f>
        <v/>
      </c>
      <c r="E110" s="72" t="str">
        <f t="shared" si="1"/>
        <v/>
      </c>
      <c r="F110" s="72" t="str">
        <f t="shared" si="2"/>
        <v/>
      </c>
      <c r="G110" s="69"/>
      <c r="H110" s="6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0" t="str">
        <f>IF(Roster!$A$109&lt;&gt;"",Roster!$A$109,"")</f>
        <v/>
      </c>
      <c r="B111" s="30" t="str">
        <f t="array" ref="B111">IF(A111&lt;&gt;"",IFERROR(SUMPRODUCT((INDEX(Attendance!$B$7:$AZ$206,MATCH(A111,Attendance!$A$7:$A$206,0),0)=1)*Attendance!$B$4:$AZ$4),0),"")</f>
        <v/>
      </c>
      <c r="C111" s="68" t="str">
        <f>IF(A111&lt;&gt;"",SUMIFS(Transactions!$F$7:$F$996,Transactions!$D$7:$D$996,"Income",Transactions!$E$7:$E$996,A111),"")</f>
        <v/>
      </c>
      <c r="D111" s="68" t="str">
        <f>IF(A111&lt;&gt;"",SUMIFS(Transactions!$F$7:$F$996,Transactions!$D$7:$D$996,"Expense",Transactions!$E$7:$E$996,A111),"")</f>
        <v/>
      </c>
      <c r="E111" s="66" t="str">
        <f t="shared" si="1"/>
        <v/>
      </c>
      <c r="F111" s="66" t="str">
        <f t="shared" si="2"/>
        <v/>
      </c>
      <c r="G111" s="69"/>
      <c r="H111" s="6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0" t="str">
        <f>IF(Roster!$A$110&lt;&gt;"",Roster!$A$110,"")</f>
        <v/>
      </c>
      <c r="B112" s="70" t="str">
        <f t="array" ref="B112">IF(A112&lt;&gt;"",IFERROR(SUMPRODUCT((INDEX(Attendance!$B$7:$AZ$206,MATCH(A112,Attendance!$A$7:$A$206,0),0)=1)*Attendance!$B$4:$AZ$4),0),"")</f>
        <v/>
      </c>
      <c r="C112" s="71" t="str">
        <f>IF(A112&lt;&gt;"",SUMIFS(Transactions!$F$7:$F$996,Transactions!$D$7:$D$996,"Income",Transactions!$E$7:$E$996,A112),"")</f>
        <v/>
      </c>
      <c r="D112" s="71" t="str">
        <f>IF(A112&lt;&gt;"",SUMIFS(Transactions!$F$7:$F$996,Transactions!$D$7:$D$996,"Expense",Transactions!$E$7:$E$996,A112),"")</f>
        <v/>
      </c>
      <c r="E112" s="72" t="str">
        <f t="shared" si="1"/>
        <v/>
      </c>
      <c r="F112" s="72" t="str">
        <f t="shared" si="2"/>
        <v/>
      </c>
      <c r="G112" s="69"/>
      <c r="H112" s="6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0" t="str">
        <f>IF(Roster!$A$111&lt;&gt;"",Roster!$A$111,"")</f>
        <v/>
      </c>
      <c r="B113" s="30" t="str">
        <f t="array" ref="B113">IF(A113&lt;&gt;"",IFERROR(SUMPRODUCT((INDEX(Attendance!$B$7:$AZ$206,MATCH(A113,Attendance!$A$7:$A$206,0),0)=1)*Attendance!$B$4:$AZ$4),0),"")</f>
        <v/>
      </c>
      <c r="C113" s="68" t="str">
        <f>IF(A113&lt;&gt;"",SUMIFS(Transactions!$F$7:$F$996,Transactions!$D$7:$D$996,"Income",Transactions!$E$7:$E$996,A113),"")</f>
        <v/>
      </c>
      <c r="D113" s="68" t="str">
        <f>IF(A113&lt;&gt;"",SUMIFS(Transactions!$F$7:$F$996,Transactions!$D$7:$D$996,"Expense",Transactions!$E$7:$E$996,A113),"")</f>
        <v/>
      </c>
      <c r="E113" s="66" t="str">
        <f t="shared" si="1"/>
        <v/>
      </c>
      <c r="F113" s="66" t="str">
        <f t="shared" si="2"/>
        <v/>
      </c>
      <c r="G113" s="69"/>
      <c r="H113" s="6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0" t="str">
        <f>IF(Roster!$A$112&lt;&gt;"",Roster!$A$112,"")</f>
        <v/>
      </c>
      <c r="B114" s="70" t="str">
        <f t="array" ref="B114">IF(A114&lt;&gt;"",IFERROR(SUMPRODUCT((INDEX(Attendance!$B$7:$AZ$206,MATCH(A114,Attendance!$A$7:$A$206,0),0)=1)*Attendance!$B$4:$AZ$4),0),"")</f>
        <v/>
      </c>
      <c r="C114" s="71" t="str">
        <f>IF(A114&lt;&gt;"",SUMIFS(Transactions!$F$7:$F$996,Transactions!$D$7:$D$996,"Income",Transactions!$E$7:$E$996,A114),"")</f>
        <v/>
      </c>
      <c r="D114" s="71" t="str">
        <f>IF(A114&lt;&gt;"",SUMIFS(Transactions!$F$7:$F$996,Transactions!$D$7:$D$996,"Expense",Transactions!$E$7:$E$996,A114),"")</f>
        <v/>
      </c>
      <c r="E114" s="72" t="str">
        <f t="shared" si="1"/>
        <v/>
      </c>
      <c r="F114" s="72" t="str">
        <f t="shared" si="2"/>
        <v/>
      </c>
      <c r="G114" s="69"/>
      <c r="H114" s="6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0" t="str">
        <f>IF(Roster!$A$113&lt;&gt;"",Roster!$A$113,"")</f>
        <v/>
      </c>
      <c r="B115" s="30" t="str">
        <f t="array" ref="B115">IF(A115&lt;&gt;"",IFERROR(SUMPRODUCT((INDEX(Attendance!$B$7:$AZ$206,MATCH(A115,Attendance!$A$7:$A$206,0),0)=1)*Attendance!$B$4:$AZ$4),0),"")</f>
        <v/>
      </c>
      <c r="C115" s="68" t="str">
        <f>IF(A115&lt;&gt;"",SUMIFS(Transactions!$F$7:$F$996,Transactions!$D$7:$D$996,"Income",Transactions!$E$7:$E$996,A115),"")</f>
        <v/>
      </c>
      <c r="D115" s="68" t="str">
        <f>IF(A115&lt;&gt;"",SUMIFS(Transactions!$F$7:$F$996,Transactions!$D$7:$D$996,"Expense",Transactions!$E$7:$E$996,A115),"")</f>
        <v/>
      </c>
      <c r="E115" s="66" t="str">
        <f t="shared" si="1"/>
        <v/>
      </c>
      <c r="F115" s="66" t="str">
        <f t="shared" si="2"/>
        <v/>
      </c>
      <c r="G115" s="69"/>
      <c r="H115" s="6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0" t="str">
        <f>IF(Roster!$A$114&lt;&gt;"",Roster!$A$114,"")</f>
        <v/>
      </c>
      <c r="B116" s="70" t="str">
        <f t="array" ref="B116">IF(A116&lt;&gt;"",IFERROR(SUMPRODUCT((INDEX(Attendance!$B$7:$AZ$206,MATCH(A116,Attendance!$A$7:$A$206,0),0)=1)*Attendance!$B$4:$AZ$4),0),"")</f>
        <v/>
      </c>
      <c r="C116" s="71" t="str">
        <f>IF(A116&lt;&gt;"",SUMIFS(Transactions!$F$7:$F$996,Transactions!$D$7:$D$996,"Income",Transactions!$E$7:$E$996,A116),"")</f>
        <v/>
      </c>
      <c r="D116" s="71" t="str">
        <f>IF(A116&lt;&gt;"",SUMIFS(Transactions!$F$7:$F$996,Transactions!$D$7:$D$996,"Expense",Transactions!$E$7:$E$996,A116),"")</f>
        <v/>
      </c>
      <c r="E116" s="72" t="str">
        <f t="shared" si="1"/>
        <v/>
      </c>
      <c r="F116" s="72" t="str">
        <f t="shared" si="2"/>
        <v/>
      </c>
      <c r="G116" s="69"/>
      <c r="H116" s="6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0" t="str">
        <f>IF(Roster!$A$115&lt;&gt;"",Roster!$A$115,"")</f>
        <v/>
      </c>
      <c r="B117" s="30" t="str">
        <f t="array" ref="B117">IF(A117&lt;&gt;"",IFERROR(SUMPRODUCT((INDEX(Attendance!$B$7:$AZ$206,MATCH(A117,Attendance!$A$7:$A$206,0),0)=1)*Attendance!$B$4:$AZ$4),0),"")</f>
        <v/>
      </c>
      <c r="C117" s="68" t="str">
        <f>IF(A117&lt;&gt;"",SUMIFS(Transactions!$F$7:$F$996,Transactions!$D$7:$D$996,"Income",Transactions!$E$7:$E$996,A117),"")</f>
        <v/>
      </c>
      <c r="D117" s="68" t="str">
        <f>IF(A117&lt;&gt;"",SUMIFS(Transactions!$F$7:$F$996,Transactions!$D$7:$D$996,"Expense",Transactions!$E$7:$E$996,A117),"")</f>
        <v/>
      </c>
      <c r="E117" s="66" t="str">
        <f t="shared" si="1"/>
        <v/>
      </c>
      <c r="F117" s="66" t="str">
        <f t="shared" si="2"/>
        <v/>
      </c>
      <c r="G117" s="69"/>
      <c r="H117" s="6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0" t="str">
        <f>IF(Roster!$A$116&lt;&gt;"",Roster!$A$116,"")</f>
        <v/>
      </c>
      <c r="B118" s="70" t="str">
        <f t="array" ref="B118">IF(A118&lt;&gt;"",IFERROR(SUMPRODUCT((INDEX(Attendance!$B$7:$AZ$206,MATCH(A118,Attendance!$A$7:$A$206,0),0)=1)*Attendance!$B$4:$AZ$4),0),"")</f>
        <v/>
      </c>
      <c r="C118" s="71" t="str">
        <f>IF(A118&lt;&gt;"",SUMIFS(Transactions!$F$7:$F$996,Transactions!$D$7:$D$996,"Income",Transactions!$E$7:$E$996,A118),"")</f>
        <v/>
      </c>
      <c r="D118" s="71" t="str">
        <f>IF(A118&lt;&gt;"",SUMIFS(Transactions!$F$7:$F$996,Transactions!$D$7:$D$996,"Expense",Transactions!$E$7:$E$996,A118),"")</f>
        <v/>
      </c>
      <c r="E118" s="72" t="str">
        <f t="shared" si="1"/>
        <v/>
      </c>
      <c r="F118" s="72" t="str">
        <f t="shared" si="2"/>
        <v/>
      </c>
      <c r="G118" s="69"/>
      <c r="H118" s="6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0" t="str">
        <f>IF(Roster!$A$117&lt;&gt;"",Roster!$A$117,"")</f>
        <v/>
      </c>
      <c r="B119" s="30" t="str">
        <f t="array" ref="B119">IF(A119&lt;&gt;"",IFERROR(SUMPRODUCT((INDEX(Attendance!$B$7:$AZ$206,MATCH(A119,Attendance!$A$7:$A$206,0),0)=1)*Attendance!$B$4:$AZ$4),0),"")</f>
        <v/>
      </c>
      <c r="C119" s="68" t="str">
        <f>IF(A119&lt;&gt;"",SUMIFS(Transactions!$F$7:$F$996,Transactions!$D$7:$D$996,"Income",Transactions!$E$7:$E$996,A119),"")</f>
        <v/>
      </c>
      <c r="D119" s="68" t="str">
        <f>IF(A119&lt;&gt;"",SUMIFS(Transactions!$F$7:$F$996,Transactions!$D$7:$D$996,"Expense",Transactions!$E$7:$E$996,A119),"")</f>
        <v/>
      </c>
      <c r="E119" s="66" t="str">
        <f t="shared" si="1"/>
        <v/>
      </c>
      <c r="F119" s="66" t="str">
        <f t="shared" si="2"/>
        <v/>
      </c>
      <c r="G119" s="69"/>
      <c r="H119" s="6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0" t="str">
        <f>IF(Roster!$A$118&lt;&gt;"",Roster!$A$118,"")</f>
        <v/>
      </c>
      <c r="B120" s="70" t="str">
        <f t="array" ref="B120">IF(A120&lt;&gt;"",IFERROR(SUMPRODUCT((INDEX(Attendance!$B$7:$AZ$206,MATCH(A120,Attendance!$A$7:$A$206,0),0)=1)*Attendance!$B$4:$AZ$4),0),"")</f>
        <v/>
      </c>
      <c r="C120" s="71" t="str">
        <f>IF(A120&lt;&gt;"",SUMIFS(Transactions!$F$7:$F$996,Transactions!$D$7:$D$996,"Income",Transactions!$E$7:$E$996,A120),"")</f>
        <v/>
      </c>
      <c r="D120" s="71" t="str">
        <f>IF(A120&lt;&gt;"",SUMIFS(Transactions!$F$7:$F$996,Transactions!$D$7:$D$996,"Expense",Transactions!$E$7:$E$996,A120),"")</f>
        <v/>
      </c>
      <c r="E120" s="72" t="str">
        <f t="shared" si="1"/>
        <v/>
      </c>
      <c r="F120" s="72" t="str">
        <f t="shared" si="2"/>
        <v/>
      </c>
      <c r="G120" s="69"/>
      <c r="H120" s="6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0" t="str">
        <f>IF(Roster!$A$119&lt;&gt;"",Roster!$A$119,"")</f>
        <v/>
      </c>
      <c r="B121" s="30" t="str">
        <f t="array" ref="B121">IF(A121&lt;&gt;"",IFERROR(SUMPRODUCT((INDEX(Attendance!$B$7:$AZ$206,MATCH(A121,Attendance!$A$7:$A$206,0),0)=1)*Attendance!$B$4:$AZ$4),0),"")</f>
        <v/>
      </c>
      <c r="C121" s="68" t="str">
        <f>IF(A121&lt;&gt;"",SUMIFS(Transactions!$F$7:$F$996,Transactions!$D$7:$D$996,"Income",Transactions!$E$7:$E$996,A121),"")</f>
        <v/>
      </c>
      <c r="D121" s="68" t="str">
        <f>IF(A121&lt;&gt;"",SUMIFS(Transactions!$F$7:$F$996,Transactions!$D$7:$D$996,"Expense",Transactions!$E$7:$E$996,A121),"")</f>
        <v/>
      </c>
      <c r="E121" s="66" t="str">
        <f t="shared" si="1"/>
        <v/>
      </c>
      <c r="F121" s="66" t="str">
        <f t="shared" si="2"/>
        <v/>
      </c>
      <c r="G121" s="69"/>
      <c r="H121" s="6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0" t="str">
        <f>IF(Roster!$A$120&lt;&gt;"",Roster!$A$120,"")</f>
        <v/>
      </c>
      <c r="B122" s="70" t="str">
        <f t="array" ref="B122">IF(A122&lt;&gt;"",IFERROR(SUMPRODUCT((INDEX(Attendance!$B$7:$AZ$206,MATCH(A122,Attendance!$A$7:$A$206,0),0)=1)*Attendance!$B$4:$AZ$4),0),"")</f>
        <v/>
      </c>
      <c r="C122" s="71" t="str">
        <f>IF(A122&lt;&gt;"",SUMIFS(Transactions!$F$7:$F$996,Transactions!$D$7:$D$996,"Income",Transactions!$E$7:$E$996,A122),"")</f>
        <v/>
      </c>
      <c r="D122" s="71" t="str">
        <f>IF(A122&lt;&gt;"",SUMIFS(Transactions!$F$7:$F$996,Transactions!$D$7:$D$996,"Expense",Transactions!$E$7:$E$996,A122),"")</f>
        <v/>
      </c>
      <c r="E122" s="72" t="str">
        <f t="shared" si="1"/>
        <v/>
      </c>
      <c r="F122" s="72" t="str">
        <f t="shared" si="2"/>
        <v/>
      </c>
      <c r="G122" s="69"/>
      <c r="H122" s="6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0" t="str">
        <f>IF(Roster!$A$121&lt;&gt;"",Roster!$A$121,"")</f>
        <v/>
      </c>
      <c r="B123" s="30" t="str">
        <f t="array" ref="B123">IF(A123&lt;&gt;"",IFERROR(SUMPRODUCT((INDEX(Attendance!$B$7:$AZ$206,MATCH(A123,Attendance!$A$7:$A$206,0),0)=1)*Attendance!$B$4:$AZ$4),0),"")</f>
        <v/>
      </c>
      <c r="C123" s="68" t="str">
        <f>IF(A123&lt;&gt;"",SUMIFS(Transactions!$F$7:$F$996,Transactions!$D$7:$D$996,"Income",Transactions!$E$7:$E$996,A123),"")</f>
        <v/>
      </c>
      <c r="D123" s="68" t="str">
        <f>IF(A123&lt;&gt;"",SUMIFS(Transactions!$F$7:$F$996,Transactions!$D$7:$D$996,"Expense",Transactions!$E$7:$E$996,A123),"")</f>
        <v/>
      </c>
      <c r="E123" s="66" t="str">
        <f t="shared" si="1"/>
        <v/>
      </c>
      <c r="F123" s="66" t="str">
        <f t="shared" si="2"/>
        <v/>
      </c>
      <c r="G123" s="69"/>
      <c r="H123" s="6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0" t="str">
        <f>IF(Roster!$A$122&lt;&gt;"",Roster!$A$122,"")</f>
        <v/>
      </c>
      <c r="B124" s="70" t="str">
        <f t="array" ref="B124">IF(A124&lt;&gt;"",IFERROR(SUMPRODUCT((INDEX(Attendance!$B$7:$AZ$206,MATCH(A124,Attendance!$A$7:$A$206,0),0)=1)*Attendance!$B$4:$AZ$4),0),"")</f>
        <v/>
      </c>
      <c r="C124" s="71" t="str">
        <f>IF(A124&lt;&gt;"",SUMIFS(Transactions!$F$7:$F$996,Transactions!$D$7:$D$996,"Income",Transactions!$E$7:$E$996,A124),"")</f>
        <v/>
      </c>
      <c r="D124" s="71" t="str">
        <f>IF(A124&lt;&gt;"",SUMIFS(Transactions!$F$7:$F$996,Transactions!$D$7:$D$996,"Expense",Transactions!$E$7:$E$996,A124),"")</f>
        <v/>
      </c>
      <c r="E124" s="72" t="str">
        <f t="shared" si="1"/>
        <v/>
      </c>
      <c r="F124" s="72" t="str">
        <f t="shared" si="2"/>
        <v/>
      </c>
      <c r="G124" s="69"/>
      <c r="H124" s="6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0" t="str">
        <f>IF(Roster!$A$123&lt;&gt;"",Roster!$A$123,"")</f>
        <v/>
      </c>
      <c r="B125" s="30" t="str">
        <f t="array" ref="B125">IF(A125&lt;&gt;"",IFERROR(SUMPRODUCT((INDEX(Attendance!$B$7:$AZ$206,MATCH(A125,Attendance!$A$7:$A$206,0),0)=1)*Attendance!$B$4:$AZ$4),0),"")</f>
        <v/>
      </c>
      <c r="C125" s="68" t="str">
        <f>IF(A125&lt;&gt;"",SUMIFS(Transactions!$F$7:$F$996,Transactions!$D$7:$D$996,"Income",Transactions!$E$7:$E$996,A125),"")</f>
        <v/>
      </c>
      <c r="D125" s="68" t="str">
        <f>IF(A125&lt;&gt;"",SUMIFS(Transactions!$F$7:$F$996,Transactions!$D$7:$D$996,"Expense",Transactions!$E$7:$E$996,A125),"")</f>
        <v/>
      </c>
      <c r="E125" s="66" t="str">
        <f t="shared" si="1"/>
        <v/>
      </c>
      <c r="F125" s="66" t="str">
        <f t="shared" si="2"/>
        <v/>
      </c>
      <c r="G125" s="69"/>
      <c r="H125" s="6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0" t="str">
        <f>IF(Roster!$A$124&lt;&gt;"",Roster!$A$124,"")</f>
        <v/>
      </c>
      <c r="B126" s="70" t="str">
        <f t="array" ref="B126">IF(A126&lt;&gt;"",IFERROR(SUMPRODUCT((INDEX(Attendance!$B$7:$AZ$206,MATCH(A126,Attendance!$A$7:$A$206,0),0)=1)*Attendance!$B$4:$AZ$4),0),"")</f>
        <v/>
      </c>
      <c r="C126" s="71" t="str">
        <f>IF(A126&lt;&gt;"",SUMIFS(Transactions!$F$7:$F$996,Transactions!$D$7:$D$996,"Income",Transactions!$E$7:$E$996,A126),"")</f>
        <v/>
      </c>
      <c r="D126" s="71" t="str">
        <f>IF(A126&lt;&gt;"",SUMIFS(Transactions!$F$7:$F$996,Transactions!$D$7:$D$996,"Expense",Transactions!$E$7:$E$996,A126),"")</f>
        <v/>
      </c>
      <c r="E126" s="72" t="str">
        <f t="shared" si="1"/>
        <v/>
      </c>
      <c r="F126" s="72" t="str">
        <f t="shared" si="2"/>
        <v/>
      </c>
      <c r="G126" s="69"/>
      <c r="H126" s="6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0" t="str">
        <f>IF(Roster!$A$125&lt;&gt;"",Roster!$A$125,"")</f>
        <v/>
      </c>
      <c r="B127" s="30" t="str">
        <f t="array" ref="B127">IF(A127&lt;&gt;"",IFERROR(SUMPRODUCT((INDEX(Attendance!$B$7:$AZ$206,MATCH(A127,Attendance!$A$7:$A$206,0),0)=1)*Attendance!$B$4:$AZ$4),0),"")</f>
        <v/>
      </c>
      <c r="C127" s="68" t="str">
        <f>IF(A127&lt;&gt;"",SUMIFS(Transactions!$F$7:$F$996,Transactions!$D$7:$D$996,"Income",Transactions!$E$7:$E$996,A127),"")</f>
        <v/>
      </c>
      <c r="D127" s="68" t="str">
        <f>IF(A127&lt;&gt;"",SUMIFS(Transactions!$F$7:$F$996,Transactions!$D$7:$D$996,"Expense",Transactions!$E$7:$E$996,A127),"")</f>
        <v/>
      </c>
      <c r="E127" s="66" t="str">
        <f t="shared" si="1"/>
        <v/>
      </c>
      <c r="F127" s="66" t="str">
        <f t="shared" si="2"/>
        <v/>
      </c>
      <c r="G127" s="69"/>
      <c r="H127" s="6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0" t="str">
        <f>IF(Roster!$A$126&lt;&gt;"",Roster!$A$126,"")</f>
        <v/>
      </c>
      <c r="B128" s="70" t="str">
        <f t="array" ref="B128">IF(A128&lt;&gt;"",IFERROR(SUMPRODUCT((INDEX(Attendance!$B$7:$AZ$206,MATCH(A128,Attendance!$A$7:$A$206,0),0)=1)*Attendance!$B$4:$AZ$4),0),"")</f>
        <v/>
      </c>
      <c r="C128" s="71" t="str">
        <f>IF(A128&lt;&gt;"",SUMIFS(Transactions!$F$7:$F$996,Transactions!$D$7:$D$996,"Income",Transactions!$E$7:$E$996,A128),"")</f>
        <v/>
      </c>
      <c r="D128" s="71" t="str">
        <f>IF(A128&lt;&gt;"",SUMIFS(Transactions!$F$7:$F$996,Transactions!$D$7:$D$996,"Expense",Transactions!$E$7:$E$996,A128),"")</f>
        <v/>
      </c>
      <c r="E128" s="72" t="str">
        <f t="shared" si="1"/>
        <v/>
      </c>
      <c r="F128" s="72" t="str">
        <f t="shared" si="2"/>
        <v/>
      </c>
      <c r="G128" s="69"/>
      <c r="H128" s="6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0" t="str">
        <f>IF(Roster!$A$127&lt;&gt;"",Roster!$A$127,"")</f>
        <v/>
      </c>
      <c r="B129" s="30" t="str">
        <f t="array" ref="B129">IF(A129&lt;&gt;"",IFERROR(SUMPRODUCT((INDEX(Attendance!$B$7:$AZ$206,MATCH(A129,Attendance!$A$7:$A$206,0),0)=1)*Attendance!$B$4:$AZ$4),0),"")</f>
        <v/>
      </c>
      <c r="C129" s="68" t="str">
        <f>IF(A129&lt;&gt;"",SUMIFS(Transactions!$F$7:$F$996,Transactions!$D$7:$D$996,"Income",Transactions!$E$7:$E$996,A129),"")</f>
        <v/>
      </c>
      <c r="D129" s="68" t="str">
        <f>IF(A129&lt;&gt;"",SUMIFS(Transactions!$F$7:$F$996,Transactions!$D$7:$D$996,"Expense",Transactions!$E$7:$E$996,A129),"")</f>
        <v/>
      </c>
      <c r="E129" s="66" t="str">
        <f t="shared" si="1"/>
        <v/>
      </c>
      <c r="F129" s="66" t="str">
        <f t="shared" si="2"/>
        <v/>
      </c>
      <c r="G129" s="69"/>
      <c r="H129" s="6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0" t="str">
        <f>IF(Roster!$A$128&lt;&gt;"",Roster!$A$128,"")</f>
        <v/>
      </c>
      <c r="B130" s="70" t="str">
        <f t="array" ref="B130">IF(A130&lt;&gt;"",IFERROR(SUMPRODUCT((INDEX(Attendance!$B$7:$AZ$206,MATCH(A130,Attendance!$A$7:$A$206,0),0)=1)*Attendance!$B$4:$AZ$4),0),"")</f>
        <v/>
      </c>
      <c r="C130" s="71" t="str">
        <f>IF(A130&lt;&gt;"",SUMIFS(Transactions!$F$7:$F$996,Transactions!$D$7:$D$996,"Income",Transactions!$E$7:$E$996,A130),"")</f>
        <v/>
      </c>
      <c r="D130" s="71" t="str">
        <f>IF(A130&lt;&gt;"",SUMIFS(Transactions!$F$7:$F$996,Transactions!$D$7:$D$996,"Expense",Transactions!$E$7:$E$996,A130),"")</f>
        <v/>
      </c>
      <c r="E130" s="72" t="str">
        <f t="shared" si="1"/>
        <v/>
      </c>
      <c r="F130" s="72" t="str">
        <f t="shared" si="2"/>
        <v/>
      </c>
      <c r="G130" s="69"/>
      <c r="H130" s="6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0" t="str">
        <f>IF(Roster!$A$129&lt;&gt;"",Roster!$A$129,"")</f>
        <v/>
      </c>
      <c r="B131" s="30" t="str">
        <f t="array" ref="B131">IF(A131&lt;&gt;"",IFERROR(SUMPRODUCT((INDEX(Attendance!$B$7:$AZ$206,MATCH(A131,Attendance!$A$7:$A$206,0),0)=1)*Attendance!$B$4:$AZ$4),0),"")</f>
        <v/>
      </c>
      <c r="C131" s="68" t="str">
        <f>IF(A131&lt;&gt;"",SUMIFS(Transactions!$F$7:$F$996,Transactions!$D$7:$D$996,"Income",Transactions!$E$7:$E$996,A131),"")</f>
        <v/>
      </c>
      <c r="D131" s="68" t="str">
        <f>IF(A131&lt;&gt;"",SUMIFS(Transactions!$F$7:$F$996,Transactions!$D$7:$D$996,"Expense",Transactions!$E$7:$E$996,A131),"")</f>
        <v/>
      </c>
      <c r="E131" s="66" t="str">
        <f t="shared" si="1"/>
        <v/>
      </c>
      <c r="F131" s="66" t="str">
        <f t="shared" si="2"/>
        <v/>
      </c>
      <c r="G131" s="69"/>
      <c r="H131" s="6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0" t="str">
        <f>IF(Roster!$A$130&lt;&gt;"",Roster!$A$130,"")</f>
        <v/>
      </c>
      <c r="B132" s="70" t="str">
        <f t="array" ref="B132">IF(A132&lt;&gt;"",IFERROR(SUMPRODUCT((INDEX(Attendance!$B$7:$AZ$206,MATCH(A132,Attendance!$A$7:$A$206,0),0)=1)*Attendance!$B$4:$AZ$4),0),"")</f>
        <v/>
      </c>
      <c r="C132" s="71" t="str">
        <f>IF(A132&lt;&gt;"",SUMIFS(Transactions!$F$7:$F$996,Transactions!$D$7:$D$996,"Income",Transactions!$E$7:$E$996,A132),"")</f>
        <v/>
      </c>
      <c r="D132" s="71" t="str">
        <f>IF(A132&lt;&gt;"",SUMIFS(Transactions!$F$7:$F$996,Transactions!$D$7:$D$996,"Expense",Transactions!$E$7:$E$996,A132),"")</f>
        <v/>
      </c>
      <c r="E132" s="72" t="str">
        <f t="shared" si="1"/>
        <v/>
      </c>
      <c r="F132" s="72" t="str">
        <f t="shared" si="2"/>
        <v/>
      </c>
      <c r="G132" s="69"/>
      <c r="H132" s="6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0" t="str">
        <f>IF(Roster!$A$131&lt;&gt;"",Roster!$A$131,"")</f>
        <v/>
      </c>
      <c r="B133" s="30" t="str">
        <f t="array" ref="B133">IF(A133&lt;&gt;"",IFERROR(SUMPRODUCT((INDEX(Attendance!$B$7:$AZ$206,MATCH(A133,Attendance!$A$7:$A$206,0),0)=1)*Attendance!$B$4:$AZ$4),0),"")</f>
        <v/>
      </c>
      <c r="C133" s="68" t="str">
        <f>IF(A133&lt;&gt;"",SUMIFS(Transactions!$F$7:$F$996,Transactions!$D$7:$D$996,"Income",Transactions!$E$7:$E$996,A133),"")</f>
        <v/>
      </c>
      <c r="D133" s="68" t="str">
        <f>IF(A133&lt;&gt;"",SUMIFS(Transactions!$F$7:$F$996,Transactions!$D$7:$D$996,"Expense",Transactions!$E$7:$E$996,A133),"")</f>
        <v/>
      </c>
      <c r="E133" s="66" t="str">
        <f t="shared" si="1"/>
        <v/>
      </c>
      <c r="F133" s="66" t="str">
        <f t="shared" si="2"/>
        <v/>
      </c>
      <c r="G133" s="69"/>
      <c r="H133" s="6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0" t="str">
        <f>IF(Roster!$A$132&lt;&gt;"",Roster!$A$132,"")</f>
        <v/>
      </c>
      <c r="B134" s="70" t="str">
        <f t="array" ref="B134">IF(A134&lt;&gt;"",IFERROR(SUMPRODUCT((INDEX(Attendance!$B$7:$AZ$206,MATCH(A134,Attendance!$A$7:$A$206,0),0)=1)*Attendance!$B$4:$AZ$4),0),"")</f>
        <v/>
      </c>
      <c r="C134" s="71" t="str">
        <f>IF(A134&lt;&gt;"",SUMIFS(Transactions!$F$7:$F$996,Transactions!$D$7:$D$996,"Income",Transactions!$E$7:$E$996,A134),"")</f>
        <v/>
      </c>
      <c r="D134" s="71" t="str">
        <f>IF(A134&lt;&gt;"",SUMIFS(Transactions!$F$7:$F$996,Transactions!$D$7:$D$996,"Expense",Transactions!$E$7:$E$996,A134),"")</f>
        <v/>
      </c>
      <c r="E134" s="72" t="str">
        <f t="shared" si="1"/>
        <v/>
      </c>
      <c r="F134" s="72" t="str">
        <f t="shared" si="2"/>
        <v/>
      </c>
      <c r="G134" s="69"/>
      <c r="H134" s="6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0" t="str">
        <f>IF(Roster!$A$133&lt;&gt;"",Roster!$A$133,"")</f>
        <v/>
      </c>
      <c r="B135" s="30" t="str">
        <f t="array" ref="B135">IF(A135&lt;&gt;"",IFERROR(SUMPRODUCT((INDEX(Attendance!$B$7:$AZ$206,MATCH(A135,Attendance!$A$7:$A$206,0),0)=1)*Attendance!$B$4:$AZ$4),0),"")</f>
        <v/>
      </c>
      <c r="C135" s="68" t="str">
        <f>IF(A135&lt;&gt;"",SUMIFS(Transactions!$F$7:$F$996,Transactions!$D$7:$D$996,"Income",Transactions!$E$7:$E$996,A135),"")</f>
        <v/>
      </c>
      <c r="D135" s="68" t="str">
        <f>IF(A135&lt;&gt;"",SUMIFS(Transactions!$F$7:$F$996,Transactions!$D$7:$D$996,"Expense",Transactions!$E$7:$E$996,A135),"")</f>
        <v/>
      </c>
      <c r="E135" s="66" t="str">
        <f t="shared" si="1"/>
        <v/>
      </c>
      <c r="F135" s="66" t="str">
        <f t="shared" si="2"/>
        <v/>
      </c>
      <c r="G135" s="69"/>
      <c r="H135" s="6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0" t="str">
        <f>IF(Roster!$A$134&lt;&gt;"",Roster!$A$134,"")</f>
        <v/>
      </c>
      <c r="B136" s="70" t="str">
        <f t="array" ref="B136">IF(A136&lt;&gt;"",IFERROR(SUMPRODUCT((INDEX(Attendance!$B$7:$AZ$206,MATCH(A136,Attendance!$A$7:$A$206,0),0)=1)*Attendance!$B$4:$AZ$4),0),"")</f>
        <v/>
      </c>
      <c r="C136" s="71" t="str">
        <f>IF(A136&lt;&gt;"",SUMIFS(Transactions!$F$7:$F$996,Transactions!$D$7:$D$996,"Income",Transactions!$E$7:$E$996,A136),"")</f>
        <v/>
      </c>
      <c r="D136" s="71" t="str">
        <f>IF(A136&lt;&gt;"",SUMIFS(Transactions!$F$7:$F$996,Transactions!$D$7:$D$996,"Expense",Transactions!$E$7:$E$996,A136),"")</f>
        <v/>
      </c>
      <c r="E136" s="72" t="str">
        <f t="shared" si="1"/>
        <v/>
      </c>
      <c r="F136" s="72" t="str">
        <f t="shared" si="2"/>
        <v/>
      </c>
      <c r="G136" s="69"/>
      <c r="H136" s="6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0" t="str">
        <f>IF(Roster!$A$135&lt;&gt;"",Roster!$A$135,"")</f>
        <v/>
      </c>
      <c r="B137" s="30" t="str">
        <f t="array" ref="B137">IF(A137&lt;&gt;"",IFERROR(SUMPRODUCT((INDEX(Attendance!$B$7:$AZ$206,MATCH(A137,Attendance!$A$7:$A$206,0),0)=1)*Attendance!$B$4:$AZ$4),0),"")</f>
        <v/>
      </c>
      <c r="C137" s="68" t="str">
        <f>IF(A137&lt;&gt;"",SUMIFS(Transactions!$F$7:$F$996,Transactions!$D$7:$D$996,"Income",Transactions!$E$7:$E$996,A137),"")</f>
        <v/>
      </c>
      <c r="D137" s="68" t="str">
        <f>IF(A137&lt;&gt;"",SUMIFS(Transactions!$F$7:$F$996,Transactions!$D$7:$D$996,"Expense",Transactions!$E$7:$E$996,A137),"")</f>
        <v/>
      </c>
      <c r="E137" s="66" t="str">
        <f t="shared" si="1"/>
        <v/>
      </c>
      <c r="F137" s="66" t="str">
        <f t="shared" si="2"/>
        <v/>
      </c>
      <c r="G137" s="69"/>
      <c r="H137" s="6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0" t="str">
        <f>IF(Roster!$A$136&lt;&gt;"",Roster!$A$136,"")</f>
        <v/>
      </c>
      <c r="B138" s="70" t="str">
        <f t="array" ref="B138">IF(A138&lt;&gt;"",IFERROR(SUMPRODUCT((INDEX(Attendance!$B$7:$AZ$206,MATCH(A138,Attendance!$A$7:$A$206,0),0)=1)*Attendance!$B$4:$AZ$4),0),"")</f>
        <v/>
      </c>
      <c r="C138" s="71" t="str">
        <f>IF(A138&lt;&gt;"",SUMIFS(Transactions!$F$7:$F$996,Transactions!$D$7:$D$996,"Income",Transactions!$E$7:$E$996,A138),"")</f>
        <v/>
      </c>
      <c r="D138" s="71" t="str">
        <f>IF(A138&lt;&gt;"",SUMIFS(Transactions!$F$7:$F$996,Transactions!$D$7:$D$996,"Expense",Transactions!$E$7:$E$996,A138),"")</f>
        <v/>
      </c>
      <c r="E138" s="72" t="str">
        <f t="shared" si="1"/>
        <v/>
      </c>
      <c r="F138" s="72" t="str">
        <f t="shared" si="2"/>
        <v/>
      </c>
      <c r="G138" s="69"/>
      <c r="H138" s="6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0" t="str">
        <f>IF(Roster!$A$137&lt;&gt;"",Roster!$A$137,"")</f>
        <v/>
      </c>
      <c r="B139" s="30" t="str">
        <f t="array" ref="B139">IF(A139&lt;&gt;"",IFERROR(SUMPRODUCT((INDEX(Attendance!$B$7:$AZ$206,MATCH(A139,Attendance!$A$7:$A$206,0),0)=1)*Attendance!$B$4:$AZ$4),0),"")</f>
        <v/>
      </c>
      <c r="C139" s="68" t="str">
        <f>IF(A139&lt;&gt;"",SUMIFS(Transactions!$F$7:$F$996,Transactions!$D$7:$D$996,"Income",Transactions!$E$7:$E$996,A139),"")</f>
        <v/>
      </c>
      <c r="D139" s="68" t="str">
        <f>IF(A139&lt;&gt;"",SUMIFS(Transactions!$F$7:$F$996,Transactions!$D$7:$D$996,"Expense",Transactions!$E$7:$E$996,A139),"")</f>
        <v/>
      </c>
      <c r="E139" s="66" t="str">
        <f t="shared" si="1"/>
        <v/>
      </c>
      <c r="F139" s="66" t="str">
        <f t="shared" si="2"/>
        <v/>
      </c>
      <c r="G139" s="69"/>
      <c r="H139" s="6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0" t="str">
        <f>IF(Roster!$A$138&lt;&gt;"",Roster!$A$138,"")</f>
        <v/>
      </c>
      <c r="B140" s="70" t="str">
        <f t="array" ref="B140">IF(A140&lt;&gt;"",IFERROR(SUMPRODUCT((INDEX(Attendance!$B$7:$AZ$206,MATCH(A140,Attendance!$A$7:$A$206,0),0)=1)*Attendance!$B$4:$AZ$4),0),"")</f>
        <v/>
      </c>
      <c r="C140" s="71" t="str">
        <f>IF(A140&lt;&gt;"",SUMIFS(Transactions!$F$7:$F$996,Transactions!$D$7:$D$996,"Income",Transactions!$E$7:$E$996,A140),"")</f>
        <v/>
      </c>
      <c r="D140" s="71" t="str">
        <f>IF(A140&lt;&gt;"",SUMIFS(Transactions!$F$7:$F$996,Transactions!$D$7:$D$996,"Expense",Transactions!$E$7:$E$996,A140),"")</f>
        <v/>
      </c>
      <c r="E140" s="72" t="str">
        <f t="shared" si="1"/>
        <v/>
      </c>
      <c r="F140" s="72" t="str">
        <f t="shared" si="2"/>
        <v/>
      </c>
      <c r="G140" s="69"/>
      <c r="H140" s="6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0" t="str">
        <f>IF(Roster!$A$139&lt;&gt;"",Roster!$A$139,"")</f>
        <v/>
      </c>
      <c r="B141" s="30" t="str">
        <f t="array" ref="B141">IF(A141&lt;&gt;"",IFERROR(SUMPRODUCT((INDEX(Attendance!$B$7:$AZ$206,MATCH(A141,Attendance!$A$7:$A$206,0),0)=1)*Attendance!$B$4:$AZ$4),0),"")</f>
        <v/>
      </c>
      <c r="C141" s="68" t="str">
        <f>IF(A141&lt;&gt;"",SUMIFS(Transactions!$F$7:$F$996,Transactions!$D$7:$D$996,"Income",Transactions!$E$7:$E$996,A141),"")</f>
        <v/>
      </c>
      <c r="D141" s="68" t="str">
        <f>IF(A141&lt;&gt;"",SUMIFS(Transactions!$F$7:$F$996,Transactions!$D$7:$D$996,"Expense",Transactions!$E$7:$E$996,A141),"")</f>
        <v/>
      </c>
      <c r="E141" s="66" t="str">
        <f t="shared" si="1"/>
        <v/>
      </c>
      <c r="F141" s="66" t="str">
        <f t="shared" si="2"/>
        <v/>
      </c>
      <c r="G141" s="69"/>
      <c r="H141" s="6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0" t="str">
        <f>IF(Roster!$A$140&lt;&gt;"",Roster!$A$140,"")</f>
        <v/>
      </c>
      <c r="B142" s="70" t="str">
        <f t="array" ref="B142">IF(A142&lt;&gt;"",IFERROR(SUMPRODUCT((INDEX(Attendance!$B$7:$AZ$206,MATCH(A142,Attendance!$A$7:$A$206,0),0)=1)*Attendance!$B$4:$AZ$4),0),"")</f>
        <v/>
      </c>
      <c r="C142" s="71" t="str">
        <f>IF(A142&lt;&gt;"",SUMIFS(Transactions!$F$7:$F$996,Transactions!$D$7:$D$996,"Income",Transactions!$E$7:$E$996,A142),"")</f>
        <v/>
      </c>
      <c r="D142" s="71" t="str">
        <f>IF(A142&lt;&gt;"",SUMIFS(Transactions!$F$7:$F$996,Transactions!$D$7:$D$996,"Expense",Transactions!$E$7:$E$996,A142),"")</f>
        <v/>
      </c>
      <c r="E142" s="72" t="str">
        <f t="shared" si="1"/>
        <v/>
      </c>
      <c r="F142" s="72" t="str">
        <f t="shared" si="2"/>
        <v/>
      </c>
      <c r="G142" s="69"/>
      <c r="H142" s="6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0" t="str">
        <f>IF(Roster!$A$141&lt;&gt;"",Roster!$A$141,"")</f>
        <v/>
      </c>
      <c r="B143" s="30" t="str">
        <f t="array" ref="B143">IF(A143&lt;&gt;"",IFERROR(SUMPRODUCT((INDEX(Attendance!$B$7:$AZ$206,MATCH(A143,Attendance!$A$7:$A$206,0),0)=1)*Attendance!$B$4:$AZ$4),0),"")</f>
        <v/>
      </c>
      <c r="C143" s="68" t="str">
        <f>IF(A143&lt;&gt;"",SUMIFS(Transactions!$F$7:$F$996,Transactions!$D$7:$D$996,"Income",Transactions!$E$7:$E$996,A143),"")</f>
        <v/>
      </c>
      <c r="D143" s="68" t="str">
        <f>IF(A143&lt;&gt;"",SUMIFS(Transactions!$F$7:$F$996,Transactions!$D$7:$D$996,"Expense",Transactions!$E$7:$E$996,A143),"")</f>
        <v/>
      </c>
      <c r="E143" s="66" t="str">
        <f t="shared" si="1"/>
        <v/>
      </c>
      <c r="F143" s="66" t="str">
        <f t="shared" si="2"/>
        <v/>
      </c>
      <c r="G143" s="69"/>
      <c r="H143" s="6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0" t="str">
        <f>IF(Roster!$A$142&lt;&gt;"",Roster!$A$142,"")</f>
        <v/>
      </c>
      <c r="B144" s="70" t="str">
        <f t="array" ref="B144">IF(A144&lt;&gt;"",IFERROR(SUMPRODUCT((INDEX(Attendance!$B$7:$AZ$206,MATCH(A144,Attendance!$A$7:$A$206,0),0)=1)*Attendance!$B$4:$AZ$4),0),"")</f>
        <v/>
      </c>
      <c r="C144" s="71" t="str">
        <f>IF(A144&lt;&gt;"",SUMIFS(Transactions!$F$7:$F$996,Transactions!$D$7:$D$996,"Income",Transactions!$E$7:$E$996,A144),"")</f>
        <v/>
      </c>
      <c r="D144" s="71" t="str">
        <f>IF(A144&lt;&gt;"",SUMIFS(Transactions!$F$7:$F$996,Transactions!$D$7:$D$996,"Expense",Transactions!$E$7:$E$996,A144),"")</f>
        <v/>
      </c>
      <c r="E144" s="72" t="str">
        <f t="shared" si="1"/>
        <v/>
      </c>
      <c r="F144" s="72" t="str">
        <f t="shared" si="2"/>
        <v/>
      </c>
      <c r="G144" s="69"/>
      <c r="H144" s="6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0" t="str">
        <f>IF(Roster!$A$143&lt;&gt;"",Roster!$A$143,"")</f>
        <v/>
      </c>
      <c r="B145" s="30" t="str">
        <f t="array" ref="B145">IF(A145&lt;&gt;"",IFERROR(SUMPRODUCT((INDEX(Attendance!$B$7:$AZ$206,MATCH(A145,Attendance!$A$7:$A$206,0),0)=1)*Attendance!$B$4:$AZ$4),0),"")</f>
        <v/>
      </c>
      <c r="C145" s="68" t="str">
        <f>IF(A145&lt;&gt;"",SUMIFS(Transactions!$F$7:$F$996,Transactions!$D$7:$D$996,"Income",Transactions!$E$7:$E$996,A145),"")</f>
        <v/>
      </c>
      <c r="D145" s="68" t="str">
        <f>IF(A145&lt;&gt;"",SUMIFS(Transactions!$F$7:$F$996,Transactions!$D$7:$D$996,"Expense",Transactions!$E$7:$E$996,A145),"")</f>
        <v/>
      </c>
      <c r="E145" s="66" t="str">
        <f t="shared" si="1"/>
        <v/>
      </c>
      <c r="F145" s="66" t="str">
        <f t="shared" si="2"/>
        <v/>
      </c>
      <c r="G145" s="69"/>
      <c r="H145" s="6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0" t="str">
        <f>IF(Roster!$A$144&lt;&gt;"",Roster!$A$144,"")</f>
        <v/>
      </c>
      <c r="B146" s="70" t="str">
        <f t="array" ref="B146">IF(A146&lt;&gt;"",IFERROR(SUMPRODUCT((INDEX(Attendance!$B$7:$AZ$206,MATCH(A146,Attendance!$A$7:$A$206,0),0)=1)*Attendance!$B$4:$AZ$4),0),"")</f>
        <v/>
      </c>
      <c r="C146" s="71" t="str">
        <f>IF(A146&lt;&gt;"",SUMIFS(Transactions!$F$7:$F$996,Transactions!$D$7:$D$996,"Income",Transactions!$E$7:$E$996,A146),"")</f>
        <v/>
      </c>
      <c r="D146" s="71" t="str">
        <f>IF(A146&lt;&gt;"",SUMIFS(Transactions!$F$7:$F$996,Transactions!$D$7:$D$996,"Expense",Transactions!$E$7:$E$996,A146),"")</f>
        <v/>
      </c>
      <c r="E146" s="72" t="str">
        <f t="shared" si="1"/>
        <v/>
      </c>
      <c r="F146" s="72" t="str">
        <f t="shared" si="2"/>
        <v/>
      </c>
      <c r="G146" s="69"/>
      <c r="H146" s="6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0" t="str">
        <f>IF(Roster!$A$145&lt;&gt;"",Roster!$A$145,"")</f>
        <v/>
      </c>
      <c r="B147" s="30" t="str">
        <f t="array" ref="B147">IF(A147&lt;&gt;"",IFERROR(SUMPRODUCT((INDEX(Attendance!$B$7:$AZ$206,MATCH(A147,Attendance!$A$7:$A$206,0),0)=1)*Attendance!$B$4:$AZ$4),0),"")</f>
        <v/>
      </c>
      <c r="C147" s="68" t="str">
        <f>IF(A147&lt;&gt;"",SUMIFS(Transactions!$F$7:$F$996,Transactions!$D$7:$D$996,"Income",Transactions!$E$7:$E$996,A147),"")</f>
        <v/>
      </c>
      <c r="D147" s="68" t="str">
        <f>IF(A147&lt;&gt;"",SUMIFS(Transactions!$F$7:$F$996,Transactions!$D$7:$D$996,"Expense",Transactions!$E$7:$E$996,A147),"")</f>
        <v/>
      </c>
      <c r="E147" s="66" t="str">
        <f t="shared" si="1"/>
        <v/>
      </c>
      <c r="F147" s="66" t="str">
        <f t="shared" si="2"/>
        <v/>
      </c>
      <c r="G147" s="69"/>
      <c r="H147" s="6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0" t="str">
        <f>IF(Roster!$A$146&lt;&gt;"",Roster!$A$146,"")</f>
        <v/>
      </c>
      <c r="B148" s="70" t="str">
        <f t="array" ref="B148">IF(A148&lt;&gt;"",IFERROR(SUMPRODUCT((INDEX(Attendance!$B$7:$AZ$206,MATCH(A148,Attendance!$A$7:$A$206,0),0)=1)*Attendance!$B$4:$AZ$4),0),"")</f>
        <v/>
      </c>
      <c r="C148" s="71" t="str">
        <f>IF(A148&lt;&gt;"",SUMIFS(Transactions!$F$7:$F$996,Transactions!$D$7:$D$996,"Income",Transactions!$E$7:$E$996,A148),"")</f>
        <v/>
      </c>
      <c r="D148" s="71" t="str">
        <f>IF(A148&lt;&gt;"",SUMIFS(Transactions!$F$7:$F$996,Transactions!$D$7:$D$996,"Expense",Transactions!$E$7:$E$996,A148),"")</f>
        <v/>
      </c>
      <c r="E148" s="72" t="str">
        <f t="shared" si="1"/>
        <v/>
      </c>
      <c r="F148" s="72" t="str">
        <f t="shared" si="2"/>
        <v/>
      </c>
      <c r="G148" s="69"/>
      <c r="H148" s="6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0" t="str">
        <f>IF(Roster!$A$147&lt;&gt;"",Roster!$A$147,"")</f>
        <v/>
      </c>
      <c r="B149" s="30" t="str">
        <f t="array" ref="B149">IF(A149&lt;&gt;"",IFERROR(SUMPRODUCT((INDEX(Attendance!$B$7:$AZ$206,MATCH(A149,Attendance!$A$7:$A$206,0),0)=1)*Attendance!$B$4:$AZ$4),0),"")</f>
        <v/>
      </c>
      <c r="C149" s="68" t="str">
        <f>IF(A149&lt;&gt;"",SUMIFS(Transactions!$F$7:$F$996,Transactions!$D$7:$D$996,"Income",Transactions!$E$7:$E$996,A149),"")</f>
        <v/>
      </c>
      <c r="D149" s="68" t="str">
        <f>IF(A149&lt;&gt;"",SUMIFS(Transactions!$F$7:$F$996,Transactions!$D$7:$D$996,"Expense",Transactions!$E$7:$E$996,A149),"")</f>
        <v/>
      </c>
      <c r="E149" s="66" t="str">
        <f t="shared" si="1"/>
        <v/>
      </c>
      <c r="F149" s="66" t="str">
        <f t="shared" si="2"/>
        <v/>
      </c>
      <c r="G149" s="69"/>
      <c r="H149" s="6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0" t="str">
        <f>IF(Roster!$A$148&lt;&gt;"",Roster!$A$148,"")</f>
        <v/>
      </c>
      <c r="B150" s="70" t="str">
        <f t="array" ref="B150">IF(A150&lt;&gt;"",IFERROR(SUMPRODUCT((INDEX(Attendance!$B$7:$AZ$206,MATCH(A150,Attendance!$A$7:$A$206,0),0)=1)*Attendance!$B$4:$AZ$4),0),"")</f>
        <v/>
      </c>
      <c r="C150" s="71" t="str">
        <f>IF(A150&lt;&gt;"",SUMIFS(Transactions!$F$7:$F$996,Transactions!$D$7:$D$996,"Income",Transactions!$E$7:$E$996,A150),"")</f>
        <v/>
      </c>
      <c r="D150" s="71" t="str">
        <f>IF(A150&lt;&gt;"",SUMIFS(Transactions!$F$7:$F$996,Transactions!$D$7:$D$996,"Expense",Transactions!$E$7:$E$996,A150),"")</f>
        <v/>
      </c>
      <c r="E150" s="72" t="str">
        <f t="shared" si="1"/>
        <v/>
      </c>
      <c r="F150" s="72" t="str">
        <f t="shared" si="2"/>
        <v/>
      </c>
      <c r="G150" s="69"/>
      <c r="H150" s="6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0" t="str">
        <f>IF(Roster!$A$149&lt;&gt;"",Roster!$A$149,"")</f>
        <v/>
      </c>
      <c r="B151" s="30" t="str">
        <f t="array" ref="B151">IF(A151&lt;&gt;"",IFERROR(SUMPRODUCT((INDEX(Attendance!$B$7:$AZ$206,MATCH(A151,Attendance!$A$7:$A$206,0),0)=1)*Attendance!$B$4:$AZ$4),0),"")</f>
        <v/>
      </c>
      <c r="C151" s="68" t="str">
        <f>IF(A151&lt;&gt;"",SUMIFS(Transactions!$F$7:$F$996,Transactions!$D$7:$D$996,"Income",Transactions!$E$7:$E$996,A151),"")</f>
        <v/>
      </c>
      <c r="D151" s="68" t="str">
        <f>IF(A151&lt;&gt;"",SUMIFS(Transactions!$F$7:$F$996,Transactions!$D$7:$D$996,"Expense",Transactions!$E$7:$E$996,A151),"")</f>
        <v/>
      </c>
      <c r="E151" s="66" t="str">
        <f t="shared" si="1"/>
        <v/>
      </c>
      <c r="F151" s="66" t="str">
        <f t="shared" si="2"/>
        <v/>
      </c>
      <c r="G151" s="69"/>
      <c r="H151" s="6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0" t="str">
        <f>IF(Roster!$A$150&lt;&gt;"",Roster!$A$150,"")</f>
        <v/>
      </c>
      <c r="B152" s="70" t="str">
        <f t="array" ref="B152">IF(A152&lt;&gt;"",IFERROR(SUMPRODUCT((INDEX(Attendance!$B$7:$AZ$206,MATCH(A152,Attendance!$A$7:$A$206,0),0)=1)*Attendance!$B$4:$AZ$4),0),"")</f>
        <v/>
      </c>
      <c r="C152" s="71" t="str">
        <f>IF(A152&lt;&gt;"",SUMIFS(Transactions!$F$7:$F$996,Transactions!$D$7:$D$996,"Income",Transactions!$E$7:$E$996,A152),"")</f>
        <v/>
      </c>
      <c r="D152" s="71" t="str">
        <f>IF(A152&lt;&gt;"",SUMIFS(Transactions!$F$7:$F$996,Transactions!$D$7:$D$996,"Expense",Transactions!$E$7:$E$996,A152),"")</f>
        <v/>
      </c>
      <c r="E152" s="72" t="str">
        <f t="shared" si="1"/>
        <v/>
      </c>
      <c r="F152" s="72" t="str">
        <f t="shared" si="2"/>
        <v/>
      </c>
      <c r="G152" s="69"/>
      <c r="H152" s="6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0" t="str">
        <f>IF(Roster!$A$151&lt;&gt;"",Roster!$A$151,"")</f>
        <v/>
      </c>
      <c r="B153" s="30" t="str">
        <f t="array" ref="B153">IF(A153&lt;&gt;"",IFERROR(SUMPRODUCT((INDEX(Attendance!$B$7:$AZ$206,MATCH(A153,Attendance!$A$7:$A$206,0),0)=1)*Attendance!$B$4:$AZ$4),0),"")</f>
        <v/>
      </c>
      <c r="C153" s="68" t="str">
        <f>IF(A153&lt;&gt;"",SUMIFS(Transactions!$F$7:$F$996,Transactions!$D$7:$D$996,"Income",Transactions!$E$7:$E$996,A153),"")</f>
        <v/>
      </c>
      <c r="D153" s="68" t="str">
        <f>IF(A153&lt;&gt;"",SUMIFS(Transactions!$F$7:$F$996,Transactions!$D$7:$D$996,"Expense",Transactions!$E$7:$E$996,A153),"")</f>
        <v/>
      </c>
      <c r="E153" s="66" t="str">
        <f t="shared" si="1"/>
        <v/>
      </c>
      <c r="F153" s="66" t="str">
        <f t="shared" si="2"/>
        <v/>
      </c>
      <c r="G153" s="69"/>
      <c r="H153" s="6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0" t="str">
        <f>IF(Roster!$A$152&lt;&gt;"",Roster!$A$152,"")</f>
        <v/>
      </c>
      <c r="B154" s="70" t="str">
        <f t="array" ref="B154">IF(A154&lt;&gt;"",IFERROR(SUMPRODUCT((INDEX(Attendance!$B$7:$AZ$206,MATCH(A154,Attendance!$A$7:$A$206,0),0)=1)*Attendance!$B$4:$AZ$4),0),"")</f>
        <v/>
      </c>
      <c r="C154" s="71" t="str">
        <f>IF(A154&lt;&gt;"",SUMIFS(Transactions!$F$7:$F$996,Transactions!$D$7:$D$996,"Income",Transactions!$E$7:$E$996,A154),"")</f>
        <v/>
      </c>
      <c r="D154" s="71" t="str">
        <f>IF(A154&lt;&gt;"",SUMIFS(Transactions!$F$7:$F$996,Transactions!$D$7:$D$996,"Expense",Transactions!$E$7:$E$996,A154),"")</f>
        <v/>
      </c>
      <c r="E154" s="72" t="str">
        <f t="shared" si="1"/>
        <v/>
      </c>
      <c r="F154" s="72" t="str">
        <f t="shared" si="2"/>
        <v/>
      </c>
      <c r="G154" s="69"/>
      <c r="H154" s="6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0" t="str">
        <f>IF(Roster!$A$153&lt;&gt;"",Roster!$A$153,"")</f>
        <v/>
      </c>
      <c r="B155" s="30" t="str">
        <f t="array" ref="B155">IF(A155&lt;&gt;"",IFERROR(SUMPRODUCT((INDEX(Attendance!$B$7:$AZ$206,MATCH(A155,Attendance!$A$7:$A$206,0),0)=1)*Attendance!$B$4:$AZ$4),0),"")</f>
        <v/>
      </c>
      <c r="C155" s="68" t="str">
        <f>IF(A155&lt;&gt;"",SUMIFS(Transactions!$F$7:$F$996,Transactions!$D$7:$D$996,"Income",Transactions!$E$7:$E$996,A155),"")</f>
        <v/>
      </c>
      <c r="D155" s="68" t="str">
        <f>IF(A155&lt;&gt;"",SUMIFS(Transactions!$F$7:$F$996,Transactions!$D$7:$D$996,"Expense",Transactions!$E$7:$E$996,A155),"")</f>
        <v/>
      </c>
      <c r="E155" s="66" t="str">
        <f t="shared" si="1"/>
        <v/>
      </c>
      <c r="F155" s="66" t="str">
        <f t="shared" si="2"/>
        <v/>
      </c>
      <c r="G155" s="69"/>
      <c r="H155" s="6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0" t="str">
        <f>IF(Roster!$A$154&lt;&gt;"",Roster!$A$154,"")</f>
        <v/>
      </c>
      <c r="B156" s="70" t="str">
        <f t="array" ref="B156">IF(A156&lt;&gt;"",IFERROR(SUMPRODUCT((INDEX(Attendance!$B$7:$AZ$206,MATCH(A156,Attendance!$A$7:$A$206,0),0)=1)*Attendance!$B$4:$AZ$4),0),"")</f>
        <v/>
      </c>
      <c r="C156" s="71" t="str">
        <f>IF(A156&lt;&gt;"",SUMIFS(Transactions!$F$7:$F$996,Transactions!$D$7:$D$996,"Income",Transactions!$E$7:$E$996,A156),"")</f>
        <v/>
      </c>
      <c r="D156" s="71" t="str">
        <f>IF(A156&lt;&gt;"",SUMIFS(Transactions!$F$7:$F$996,Transactions!$D$7:$D$996,"Expense",Transactions!$E$7:$E$996,A156),"")</f>
        <v/>
      </c>
      <c r="E156" s="72" t="str">
        <f t="shared" si="1"/>
        <v/>
      </c>
      <c r="F156" s="72" t="str">
        <f t="shared" si="2"/>
        <v/>
      </c>
      <c r="G156" s="69"/>
      <c r="H156" s="6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0" t="str">
        <f>IF(Roster!$A$155&lt;&gt;"",Roster!$A$155,"")</f>
        <v/>
      </c>
      <c r="B157" s="30" t="str">
        <f t="array" ref="B157">IF(A157&lt;&gt;"",IFERROR(SUMPRODUCT((INDEX(Attendance!$B$7:$AZ$206,MATCH(A157,Attendance!$A$7:$A$206,0),0)=1)*Attendance!$B$4:$AZ$4),0),"")</f>
        <v/>
      </c>
      <c r="C157" s="68" t="str">
        <f>IF(A157&lt;&gt;"",SUMIFS(Transactions!$F$7:$F$996,Transactions!$D$7:$D$996,"Income",Transactions!$E$7:$E$996,A157),"")</f>
        <v/>
      </c>
      <c r="D157" s="68" t="str">
        <f>IF(A157&lt;&gt;"",SUMIFS(Transactions!$F$7:$F$996,Transactions!$D$7:$D$996,"Expense",Transactions!$E$7:$E$996,A157),"")</f>
        <v/>
      </c>
      <c r="E157" s="66" t="str">
        <f t="shared" si="1"/>
        <v/>
      </c>
      <c r="F157" s="66" t="str">
        <f t="shared" si="2"/>
        <v/>
      </c>
      <c r="G157" s="69"/>
      <c r="H157" s="6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0" t="str">
        <f>IF(Roster!$A$156&lt;&gt;"",Roster!$A$156,"")</f>
        <v/>
      </c>
      <c r="B158" s="70" t="str">
        <f t="array" ref="B158">IF(A158&lt;&gt;"",IFERROR(SUMPRODUCT((INDEX(Attendance!$B$7:$AZ$206,MATCH(A158,Attendance!$A$7:$A$206,0),0)=1)*Attendance!$B$4:$AZ$4),0),"")</f>
        <v/>
      </c>
      <c r="C158" s="71" t="str">
        <f>IF(A158&lt;&gt;"",SUMIFS(Transactions!$F$7:$F$996,Transactions!$D$7:$D$996,"Income",Transactions!$E$7:$E$996,A158),"")</f>
        <v/>
      </c>
      <c r="D158" s="71" t="str">
        <f>IF(A158&lt;&gt;"",SUMIFS(Transactions!$F$7:$F$996,Transactions!$D$7:$D$996,"Expense",Transactions!$E$7:$E$996,A158),"")</f>
        <v/>
      </c>
      <c r="E158" s="72" t="str">
        <f t="shared" si="1"/>
        <v/>
      </c>
      <c r="F158" s="72" t="str">
        <f t="shared" si="2"/>
        <v/>
      </c>
      <c r="G158" s="69"/>
      <c r="H158" s="6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0" t="str">
        <f>IF(Roster!$A$157&lt;&gt;"",Roster!$A$157,"")</f>
        <v/>
      </c>
      <c r="B159" s="30" t="str">
        <f t="array" ref="B159">IF(A159&lt;&gt;"",IFERROR(SUMPRODUCT((INDEX(Attendance!$B$7:$AZ$206,MATCH(A159,Attendance!$A$7:$A$206,0),0)=1)*Attendance!$B$4:$AZ$4),0),"")</f>
        <v/>
      </c>
      <c r="C159" s="68" t="str">
        <f>IF(A159&lt;&gt;"",SUMIFS(Transactions!$F$7:$F$996,Transactions!$D$7:$D$996,"Income",Transactions!$E$7:$E$996,A159),"")</f>
        <v/>
      </c>
      <c r="D159" s="68" t="str">
        <f>IF(A159&lt;&gt;"",SUMIFS(Transactions!$F$7:$F$996,Transactions!$D$7:$D$996,"Expense",Transactions!$E$7:$E$996,A159),"")</f>
        <v/>
      </c>
      <c r="E159" s="66" t="str">
        <f t="shared" si="1"/>
        <v/>
      </c>
      <c r="F159" s="66" t="str">
        <f t="shared" si="2"/>
        <v/>
      </c>
      <c r="G159" s="69"/>
      <c r="H159" s="6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0" t="str">
        <f>IF(Roster!$A$158&lt;&gt;"",Roster!$A$158,"")</f>
        <v/>
      </c>
      <c r="B160" s="70" t="str">
        <f t="array" ref="B160">IF(A160&lt;&gt;"",IFERROR(SUMPRODUCT((INDEX(Attendance!$B$7:$AZ$206,MATCH(A160,Attendance!$A$7:$A$206,0),0)=1)*Attendance!$B$4:$AZ$4),0),"")</f>
        <v/>
      </c>
      <c r="C160" s="71" t="str">
        <f>IF(A160&lt;&gt;"",SUMIFS(Transactions!$F$7:$F$996,Transactions!$D$7:$D$996,"Income",Transactions!$E$7:$E$996,A160),"")</f>
        <v/>
      </c>
      <c r="D160" s="71" t="str">
        <f>IF(A160&lt;&gt;"",SUMIFS(Transactions!$F$7:$F$996,Transactions!$D$7:$D$996,"Expense",Transactions!$E$7:$E$996,A160),"")</f>
        <v/>
      </c>
      <c r="E160" s="72" t="str">
        <f t="shared" si="1"/>
        <v/>
      </c>
      <c r="F160" s="72" t="str">
        <f t="shared" si="2"/>
        <v/>
      </c>
      <c r="G160" s="69"/>
      <c r="H160" s="6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0" t="str">
        <f>IF(Roster!$A$159&lt;&gt;"",Roster!$A$159,"")</f>
        <v/>
      </c>
      <c r="B161" s="30" t="str">
        <f t="array" ref="B161">IF(A161&lt;&gt;"",IFERROR(SUMPRODUCT((INDEX(Attendance!$B$7:$AZ$206,MATCH(A161,Attendance!$A$7:$A$206,0),0)=1)*Attendance!$B$4:$AZ$4),0),"")</f>
        <v/>
      </c>
      <c r="C161" s="68" t="str">
        <f>IF(A161&lt;&gt;"",SUMIFS(Transactions!$F$7:$F$996,Transactions!$D$7:$D$996,"Income",Transactions!$E$7:$E$996,A161),"")</f>
        <v/>
      </c>
      <c r="D161" s="68" t="str">
        <f>IF(A161&lt;&gt;"",SUMIFS(Transactions!$F$7:$F$996,Transactions!$D$7:$D$996,"Expense",Transactions!$E$7:$E$996,A161),"")</f>
        <v/>
      </c>
      <c r="E161" s="66" t="str">
        <f t="shared" si="1"/>
        <v/>
      </c>
      <c r="F161" s="66" t="str">
        <f t="shared" si="2"/>
        <v/>
      </c>
      <c r="G161" s="69"/>
      <c r="H161" s="6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0" t="str">
        <f>IF(Roster!$A$160&lt;&gt;"",Roster!$A$160,"")</f>
        <v/>
      </c>
      <c r="B162" s="70" t="str">
        <f t="array" ref="B162">IF(A162&lt;&gt;"",IFERROR(SUMPRODUCT((INDEX(Attendance!$B$7:$AZ$206,MATCH(A162,Attendance!$A$7:$A$206,0),0)=1)*Attendance!$B$4:$AZ$4),0),"")</f>
        <v/>
      </c>
      <c r="C162" s="71" t="str">
        <f>IF(A162&lt;&gt;"",SUMIFS(Transactions!$F$7:$F$996,Transactions!$D$7:$D$996,"Income",Transactions!$E$7:$E$996,A162),"")</f>
        <v/>
      </c>
      <c r="D162" s="71" t="str">
        <f>IF(A162&lt;&gt;"",SUMIFS(Transactions!$F$7:$F$996,Transactions!$D$7:$D$996,"Expense",Transactions!$E$7:$E$996,A162),"")</f>
        <v/>
      </c>
      <c r="E162" s="72" t="str">
        <f t="shared" si="1"/>
        <v/>
      </c>
      <c r="F162" s="72" t="str">
        <f t="shared" si="2"/>
        <v/>
      </c>
      <c r="G162" s="69"/>
      <c r="H162" s="6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0" t="str">
        <f>IF(Roster!$A$161&lt;&gt;"",Roster!$A$161,"")</f>
        <v/>
      </c>
      <c r="B163" s="30" t="str">
        <f t="array" ref="B163">IF(A163&lt;&gt;"",IFERROR(SUMPRODUCT((INDEX(Attendance!$B$7:$AZ$206,MATCH(A163,Attendance!$A$7:$A$206,0),0)=1)*Attendance!$B$4:$AZ$4),0),"")</f>
        <v/>
      </c>
      <c r="C163" s="68" t="str">
        <f>IF(A163&lt;&gt;"",SUMIFS(Transactions!$F$7:$F$996,Transactions!$D$7:$D$996,"Income",Transactions!$E$7:$E$996,A163),"")</f>
        <v/>
      </c>
      <c r="D163" s="68" t="str">
        <f>IF(A163&lt;&gt;"",SUMIFS(Transactions!$F$7:$F$996,Transactions!$D$7:$D$996,"Expense",Transactions!$E$7:$E$996,A163),"")</f>
        <v/>
      </c>
      <c r="E163" s="66" t="str">
        <f t="shared" si="1"/>
        <v/>
      </c>
      <c r="F163" s="66" t="str">
        <f t="shared" si="2"/>
        <v/>
      </c>
      <c r="G163" s="69"/>
      <c r="H163" s="6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0" t="str">
        <f>IF(Roster!$A$162&lt;&gt;"",Roster!$A$162,"")</f>
        <v/>
      </c>
      <c r="B164" s="70" t="str">
        <f t="array" ref="B164">IF(A164&lt;&gt;"",IFERROR(SUMPRODUCT((INDEX(Attendance!$B$7:$AZ$206,MATCH(A164,Attendance!$A$7:$A$206,0),0)=1)*Attendance!$B$4:$AZ$4),0),"")</f>
        <v/>
      </c>
      <c r="C164" s="71" t="str">
        <f>IF(A164&lt;&gt;"",SUMIFS(Transactions!$F$7:$F$996,Transactions!$D$7:$D$996,"Income",Transactions!$E$7:$E$996,A164),"")</f>
        <v/>
      </c>
      <c r="D164" s="71" t="str">
        <f>IF(A164&lt;&gt;"",SUMIFS(Transactions!$F$7:$F$996,Transactions!$D$7:$D$996,"Expense",Transactions!$E$7:$E$996,A164),"")</f>
        <v/>
      </c>
      <c r="E164" s="72" t="str">
        <f t="shared" si="1"/>
        <v/>
      </c>
      <c r="F164" s="72" t="str">
        <f t="shared" si="2"/>
        <v/>
      </c>
      <c r="G164" s="69"/>
      <c r="H164" s="6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0" t="str">
        <f>IF(Roster!$A$163&lt;&gt;"",Roster!$A$163,"")</f>
        <v/>
      </c>
      <c r="B165" s="30" t="str">
        <f t="array" ref="B165">IF(A165&lt;&gt;"",IFERROR(SUMPRODUCT((INDEX(Attendance!$B$7:$AZ$206,MATCH(A165,Attendance!$A$7:$A$206,0),0)=1)*Attendance!$B$4:$AZ$4),0),"")</f>
        <v/>
      </c>
      <c r="C165" s="68" t="str">
        <f>IF(A165&lt;&gt;"",SUMIFS(Transactions!$F$7:$F$996,Transactions!$D$7:$D$996,"Income",Transactions!$E$7:$E$996,A165),"")</f>
        <v/>
      </c>
      <c r="D165" s="68" t="str">
        <f>IF(A165&lt;&gt;"",SUMIFS(Transactions!$F$7:$F$996,Transactions!$D$7:$D$996,"Expense",Transactions!$E$7:$E$996,A165),"")</f>
        <v/>
      </c>
      <c r="E165" s="66" t="str">
        <f t="shared" si="1"/>
        <v/>
      </c>
      <c r="F165" s="66" t="str">
        <f t="shared" si="2"/>
        <v/>
      </c>
      <c r="G165" s="69"/>
      <c r="H165" s="6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0" t="str">
        <f>IF(Roster!$A$164&lt;&gt;"",Roster!$A$164,"")</f>
        <v/>
      </c>
      <c r="B166" s="70" t="str">
        <f t="array" ref="B166">IF(A166&lt;&gt;"",IFERROR(SUMPRODUCT((INDEX(Attendance!$B$7:$AZ$206,MATCH(A166,Attendance!$A$7:$A$206,0),0)=1)*Attendance!$B$4:$AZ$4),0),"")</f>
        <v/>
      </c>
      <c r="C166" s="71" t="str">
        <f>IF(A166&lt;&gt;"",SUMIFS(Transactions!$F$7:$F$996,Transactions!$D$7:$D$996,"Income",Transactions!$E$7:$E$996,A166),"")</f>
        <v/>
      </c>
      <c r="D166" s="71" t="str">
        <f>IF(A166&lt;&gt;"",SUMIFS(Transactions!$F$7:$F$996,Transactions!$D$7:$D$996,"Expense",Transactions!$E$7:$E$996,A166),"")</f>
        <v/>
      </c>
      <c r="E166" s="72" t="str">
        <f t="shared" si="1"/>
        <v/>
      </c>
      <c r="F166" s="72" t="str">
        <f t="shared" si="2"/>
        <v/>
      </c>
      <c r="G166" s="69"/>
      <c r="H166" s="6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0" t="str">
        <f>IF(Roster!$A$165&lt;&gt;"",Roster!$A$165,"")</f>
        <v/>
      </c>
      <c r="B167" s="30" t="str">
        <f t="array" ref="B167">IF(A167&lt;&gt;"",IFERROR(SUMPRODUCT((INDEX(Attendance!$B$7:$AZ$206,MATCH(A167,Attendance!$A$7:$A$206,0),0)=1)*Attendance!$B$4:$AZ$4),0),"")</f>
        <v/>
      </c>
      <c r="C167" s="68" t="str">
        <f>IF(A167&lt;&gt;"",SUMIFS(Transactions!$F$7:$F$996,Transactions!$D$7:$D$996,"Income",Transactions!$E$7:$E$996,A167),"")</f>
        <v/>
      </c>
      <c r="D167" s="68" t="str">
        <f>IF(A167&lt;&gt;"",SUMIFS(Transactions!$F$7:$F$996,Transactions!$D$7:$D$996,"Expense",Transactions!$E$7:$E$996,A167),"")</f>
        <v/>
      </c>
      <c r="E167" s="66" t="str">
        <f t="shared" si="1"/>
        <v/>
      </c>
      <c r="F167" s="66" t="str">
        <f t="shared" si="2"/>
        <v/>
      </c>
      <c r="G167" s="69"/>
      <c r="H167" s="6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0" t="str">
        <f>IF(Roster!$A$166&lt;&gt;"",Roster!$A$166,"")</f>
        <v/>
      </c>
      <c r="B168" s="70" t="str">
        <f t="array" ref="B168">IF(A168&lt;&gt;"",IFERROR(SUMPRODUCT((INDEX(Attendance!$B$7:$AZ$206,MATCH(A168,Attendance!$A$7:$A$206,0),0)=1)*Attendance!$B$4:$AZ$4),0),"")</f>
        <v/>
      </c>
      <c r="C168" s="71" t="str">
        <f>IF(A168&lt;&gt;"",SUMIFS(Transactions!$F$7:$F$996,Transactions!$D$7:$D$996,"Income",Transactions!$E$7:$E$996,A168),"")</f>
        <v/>
      </c>
      <c r="D168" s="71" t="str">
        <f>IF(A168&lt;&gt;"",SUMIFS(Transactions!$F$7:$F$996,Transactions!$D$7:$D$996,"Expense",Transactions!$E$7:$E$996,A168),"")</f>
        <v/>
      </c>
      <c r="E168" s="72" t="str">
        <f t="shared" si="1"/>
        <v/>
      </c>
      <c r="F168" s="72" t="str">
        <f t="shared" si="2"/>
        <v/>
      </c>
      <c r="G168" s="69"/>
      <c r="H168" s="6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0" t="str">
        <f>IF(Roster!$A$167&lt;&gt;"",Roster!$A$167,"")</f>
        <v/>
      </c>
      <c r="B169" s="30" t="str">
        <f t="array" ref="B169">IF(A169&lt;&gt;"",IFERROR(SUMPRODUCT((INDEX(Attendance!$B$7:$AZ$206,MATCH(A169,Attendance!$A$7:$A$206,0),0)=1)*Attendance!$B$4:$AZ$4),0),"")</f>
        <v/>
      </c>
      <c r="C169" s="68" t="str">
        <f>IF(A169&lt;&gt;"",SUMIFS(Transactions!$F$7:$F$996,Transactions!$D$7:$D$996,"Income",Transactions!$E$7:$E$996,A169),"")</f>
        <v/>
      </c>
      <c r="D169" s="68" t="str">
        <f>IF(A169&lt;&gt;"",SUMIFS(Transactions!$F$7:$F$996,Transactions!$D$7:$D$996,"Expense",Transactions!$E$7:$E$996,A169),"")</f>
        <v/>
      </c>
      <c r="E169" s="66" t="str">
        <f t="shared" si="1"/>
        <v/>
      </c>
      <c r="F169" s="66" t="str">
        <f t="shared" si="2"/>
        <v/>
      </c>
      <c r="G169" s="69"/>
      <c r="H169" s="6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0" t="str">
        <f>IF(Roster!$A$168&lt;&gt;"",Roster!$A$168,"")</f>
        <v/>
      </c>
      <c r="B170" s="70" t="str">
        <f t="array" ref="B170">IF(A170&lt;&gt;"",IFERROR(SUMPRODUCT((INDEX(Attendance!$B$7:$AZ$206,MATCH(A170,Attendance!$A$7:$A$206,0),0)=1)*Attendance!$B$4:$AZ$4),0),"")</f>
        <v/>
      </c>
      <c r="C170" s="71" t="str">
        <f>IF(A170&lt;&gt;"",SUMIFS(Transactions!$F$7:$F$996,Transactions!$D$7:$D$996,"Income",Transactions!$E$7:$E$996,A170),"")</f>
        <v/>
      </c>
      <c r="D170" s="71" t="str">
        <f>IF(A170&lt;&gt;"",SUMIFS(Transactions!$F$7:$F$996,Transactions!$D$7:$D$996,"Expense",Transactions!$E$7:$E$996,A170),"")</f>
        <v/>
      </c>
      <c r="E170" s="72" t="str">
        <f t="shared" si="1"/>
        <v/>
      </c>
      <c r="F170" s="72" t="str">
        <f t="shared" si="2"/>
        <v/>
      </c>
      <c r="G170" s="69"/>
      <c r="H170" s="6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0" t="str">
        <f>IF(Roster!$A$169&lt;&gt;"",Roster!$A$169,"")</f>
        <v/>
      </c>
      <c r="B171" s="30" t="str">
        <f t="array" ref="B171">IF(A171&lt;&gt;"",IFERROR(SUMPRODUCT((INDEX(Attendance!$B$7:$AZ$206,MATCH(A171,Attendance!$A$7:$A$206,0),0)=1)*Attendance!$B$4:$AZ$4),0),"")</f>
        <v/>
      </c>
      <c r="C171" s="68" t="str">
        <f>IF(A171&lt;&gt;"",SUMIFS(Transactions!$F$7:$F$996,Transactions!$D$7:$D$996,"Income",Transactions!$E$7:$E$996,A171),"")</f>
        <v/>
      </c>
      <c r="D171" s="68" t="str">
        <f>IF(A171&lt;&gt;"",SUMIFS(Transactions!$F$7:$F$996,Transactions!$D$7:$D$996,"Expense",Transactions!$E$7:$E$996,A171),"")</f>
        <v/>
      </c>
      <c r="E171" s="66" t="str">
        <f t="shared" si="1"/>
        <v/>
      </c>
      <c r="F171" s="66" t="str">
        <f t="shared" si="2"/>
        <v/>
      </c>
      <c r="G171" s="69"/>
      <c r="H171" s="6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0" t="str">
        <f>IF(Roster!$A$170&lt;&gt;"",Roster!$A$170,"")</f>
        <v/>
      </c>
      <c r="B172" s="70" t="str">
        <f t="array" ref="B172">IF(A172&lt;&gt;"",IFERROR(SUMPRODUCT((INDEX(Attendance!$B$7:$AZ$206,MATCH(A172,Attendance!$A$7:$A$206,0),0)=1)*Attendance!$B$4:$AZ$4),0),"")</f>
        <v/>
      </c>
      <c r="C172" s="71" t="str">
        <f>IF(A172&lt;&gt;"",SUMIFS(Transactions!$F$7:$F$996,Transactions!$D$7:$D$996,"Income",Transactions!$E$7:$E$996,A172),"")</f>
        <v/>
      </c>
      <c r="D172" s="71" t="str">
        <f>IF(A172&lt;&gt;"",SUMIFS(Transactions!$F$7:$F$996,Transactions!$D$7:$D$996,"Expense",Transactions!$E$7:$E$996,A172),"")</f>
        <v/>
      </c>
      <c r="E172" s="72" t="str">
        <f t="shared" si="1"/>
        <v/>
      </c>
      <c r="F172" s="72" t="str">
        <f t="shared" si="2"/>
        <v/>
      </c>
      <c r="G172" s="69"/>
      <c r="H172" s="6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0" t="str">
        <f>IF(Roster!$A$171&lt;&gt;"",Roster!$A$171,"")</f>
        <v/>
      </c>
      <c r="B173" s="30" t="str">
        <f t="array" ref="B173">IF(A173&lt;&gt;"",IFERROR(SUMPRODUCT((INDEX(Attendance!$B$7:$AZ$206,MATCH(A173,Attendance!$A$7:$A$206,0),0)=1)*Attendance!$B$4:$AZ$4),0),"")</f>
        <v/>
      </c>
      <c r="C173" s="68" t="str">
        <f>IF(A173&lt;&gt;"",SUMIFS(Transactions!$F$7:$F$996,Transactions!$D$7:$D$996,"Income",Transactions!$E$7:$E$996,A173),"")</f>
        <v/>
      </c>
      <c r="D173" s="68" t="str">
        <f>IF(A173&lt;&gt;"",SUMIFS(Transactions!$F$7:$F$996,Transactions!$D$7:$D$996,"Expense",Transactions!$E$7:$E$996,A173),"")</f>
        <v/>
      </c>
      <c r="E173" s="66" t="str">
        <f t="shared" si="1"/>
        <v/>
      </c>
      <c r="F173" s="66" t="str">
        <f t="shared" si="2"/>
        <v/>
      </c>
      <c r="G173" s="69"/>
      <c r="H173" s="6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0" t="str">
        <f>IF(Roster!$A$172&lt;&gt;"",Roster!$A$172,"")</f>
        <v/>
      </c>
      <c r="B174" s="70" t="str">
        <f t="array" ref="B174">IF(A174&lt;&gt;"",IFERROR(SUMPRODUCT((INDEX(Attendance!$B$7:$AZ$206,MATCH(A174,Attendance!$A$7:$A$206,0),0)=1)*Attendance!$B$4:$AZ$4),0),"")</f>
        <v/>
      </c>
      <c r="C174" s="71" t="str">
        <f>IF(A174&lt;&gt;"",SUMIFS(Transactions!$F$7:$F$996,Transactions!$D$7:$D$996,"Income",Transactions!$E$7:$E$996,A174),"")</f>
        <v/>
      </c>
      <c r="D174" s="71" t="str">
        <f>IF(A174&lt;&gt;"",SUMIFS(Transactions!$F$7:$F$996,Transactions!$D$7:$D$996,"Expense",Transactions!$E$7:$E$996,A174),"")</f>
        <v/>
      </c>
      <c r="E174" s="72" t="str">
        <f t="shared" si="1"/>
        <v/>
      </c>
      <c r="F174" s="72" t="str">
        <f t="shared" si="2"/>
        <v/>
      </c>
      <c r="G174" s="69"/>
      <c r="H174" s="6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0" t="str">
        <f>IF(Roster!$A$173&lt;&gt;"",Roster!$A$173,"")</f>
        <v/>
      </c>
      <c r="B175" s="30" t="str">
        <f t="array" ref="B175">IF(A175&lt;&gt;"",IFERROR(SUMPRODUCT((INDEX(Attendance!$B$7:$AZ$206,MATCH(A175,Attendance!$A$7:$A$206,0),0)=1)*Attendance!$B$4:$AZ$4),0),"")</f>
        <v/>
      </c>
      <c r="C175" s="68" t="str">
        <f>IF(A175&lt;&gt;"",SUMIFS(Transactions!$F$7:$F$996,Transactions!$D$7:$D$996,"Income",Transactions!$E$7:$E$996,A175),"")</f>
        <v/>
      </c>
      <c r="D175" s="68" t="str">
        <f>IF(A175&lt;&gt;"",SUMIFS(Transactions!$F$7:$F$996,Transactions!$D$7:$D$996,"Expense",Transactions!$E$7:$E$996,A175),"")</f>
        <v/>
      </c>
      <c r="E175" s="66" t="str">
        <f t="shared" si="1"/>
        <v/>
      </c>
      <c r="F175" s="66" t="str">
        <f t="shared" si="2"/>
        <v/>
      </c>
      <c r="G175" s="69"/>
      <c r="H175" s="6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0" t="str">
        <f>IF(Roster!$A$174&lt;&gt;"",Roster!$A$174,"")</f>
        <v/>
      </c>
      <c r="B176" s="70" t="str">
        <f t="array" ref="B176">IF(A176&lt;&gt;"",IFERROR(SUMPRODUCT((INDEX(Attendance!$B$7:$AZ$206,MATCH(A176,Attendance!$A$7:$A$206,0),0)=1)*Attendance!$B$4:$AZ$4),0),"")</f>
        <v/>
      </c>
      <c r="C176" s="71" t="str">
        <f>IF(A176&lt;&gt;"",SUMIFS(Transactions!$F$7:$F$996,Transactions!$D$7:$D$996,"Income",Transactions!$E$7:$E$996,A176),"")</f>
        <v/>
      </c>
      <c r="D176" s="71" t="str">
        <f>IF(A176&lt;&gt;"",SUMIFS(Transactions!$F$7:$F$996,Transactions!$D$7:$D$996,"Expense",Transactions!$E$7:$E$996,A176),"")</f>
        <v/>
      </c>
      <c r="E176" s="72" t="str">
        <f t="shared" si="1"/>
        <v/>
      </c>
      <c r="F176" s="72" t="str">
        <f t="shared" si="2"/>
        <v/>
      </c>
      <c r="G176" s="69"/>
      <c r="H176" s="6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0" t="str">
        <f>IF(Roster!$A$175&lt;&gt;"",Roster!$A$175,"")</f>
        <v/>
      </c>
      <c r="B177" s="30" t="str">
        <f t="array" ref="B177">IF(A177&lt;&gt;"",IFERROR(SUMPRODUCT((INDEX(Attendance!$B$7:$AZ$206,MATCH(A177,Attendance!$A$7:$A$206,0),0)=1)*Attendance!$B$4:$AZ$4),0),"")</f>
        <v/>
      </c>
      <c r="C177" s="68" t="str">
        <f>IF(A177&lt;&gt;"",SUMIFS(Transactions!$F$7:$F$996,Transactions!$D$7:$D$996,"Income",Transactions!$E$7:$E$996,A177),"")</f>
        <v/>
      </c>
      <c r="D177" s="68" t="str">
        <f>IF(A177&lt;&gt;"",SUMIFS(Transactions!$F$7:$F$996,Transactions!$D$7:$D$996,"Expense",Transactions!$E$7:$E$996,A177),"")</f>
        <v/>
      </c>
      <c r="E177" s="66" t="str">
        <f t="shared" si="1"/>
        <v/>
      </c>
      <c r="F177" s="66" t="str">
        <f t="shared" si="2"/>
        <v/>
      </c>
      <c r="G177" s="69"/>
      <c r="H177" s="6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0" t="str">
        <f>IF(Roster!$A$176&lt;&gt;"",Roster!$A$176,"")</f>
        <v/>
      </c>
      <c r="B178" s="70" t="str">
        <f t="array" ref="B178">IF(A178&lt;&gt;"",IFERROR(SUMPRODUCT((INDEX(Attendance!$B$7:$AZ$206,MATCH(A178,Attendance!$A$7:$A$206,0),0)=1)*Attendance!$B$4:$AZ$4),0),"")</f>
        <v/>
      </c>
      <c r="C178" s="71" t="str">
        <f>IF(A178&lt;&gt;"",SUMIFS(Transactions!$F$7:$F$996,Transactions!$D$7:$D$996,"Income",Transactions!$E$7:$E$996,A178),"")</f>
        <v/>
      </c>
      <c r="D178" s="71" t="str">
        <f>IF(A178&lt;&gt;"",SUMIFS(Transactions!$F$7:$F$996,Transactions!$D$7:$D$996,"Expense",Transactions!$E$7:$E$996,A178),"")</f>
        <v/>
      </c>
      <c r="E178" s="72" t="str">
        <f t="shared" si="1"/>
        <v/>
      </c>
      <c r="F178" s="72" t="str">
        <f t="shared" si="2"/>
        <v/>
      </c>
      <c r="G178" s="69"/>
      <c r="H178" s="6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0" t="str">
        <f>IF(Roster!$A$177&lt;&gt;"",Roster!$A$177,"")</f>
        <v/>
      </c>
      <c r="B179" s="30" t="str">
        <f t="array" ref="B179">IF(A179&lt;&gt;"",IFERROR(SUMPRODUCT((INDEX(Attendance!$B$7:$AZ$206,MATCH(A179,Attendance!$A$7:$A$206,0),0)=1)*Attendance!$B$4:$AZ$4),0),"")</f>
        <v/>
      </c>
      <c r="C179" s="68" t="str">
        <f>IF(A179&lt;&gt;"",SUMIFS(Transactions!$F$7:$F$996,Transactions!$D$7:$D$996,"Income",Transactions!$E$7:$E$996,A179),"")</f>
        <v/>
      </c>
      <c r="D179" s="68" t="str">
        <f>IF(A179&lt;&gt;"",SUMIFS(Transactions!$F$7:$F$996,Transactions!$D$7:$D$996,"Expense",Transactions!$E$7:$E$996,A179),"")</f>
        <v/>
      </c>
      <c r="E179" s="66" t="str">
        <f t="shared" si="1"/>
        <v/>
      </c>
      <c r="F179" s="66" t="str">
        <f t="shared" si="2"/>
        <v/>
      </c>
      <c r="G179" s="69"/>
      <c r="H179" s="6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0" t="str">
        <f>IF(Roster!$A$178&lt;&gt;"",Roster!$A$178,"")</f>
        <v/>
      </c>
      <c r="B180" s="70" t="str">
        <f t="array" ref="B180">IF(A180&lt;&gt;"",IFERROR(SUMPRODUCT((INDEX(Attendance!$B$7:$AZ$206,MATCH(A180,Attendance!$A$7:$A$206,0),0)=1)*Attendance!$B$4:$AZ$4),0),"")</f>
        <v/>
      </c>
      <c r="C180" s="71" t="str">
        <f>IF(A180&lt;&gt;"",SUMIFS(Transactions!$F$7:$F$996,Transactions!$D$7:$D$996,"Income",Transactions!$E$7:$E$996,A180),"")</f>
        <v/>
      </c>
      <c r="D180" s="71" t="str">
        <f>IF(A180&lt;&gt;"",SUMIFS(Transactions!$F$7:$F$996,Transactions!$D$7:$D$996,"Expense",Transactions!$E$7:$E$996,A180),"")</f>
        <v/>
      </c>
      <c r="E180" s="72" t="str">
        <f t="shared" si="1"/>
        <v/>
      </c>
      <c r="F180" s="72" t="str">
        <f t="shared" si="2"/>
        <v/>
      </c>
      <c r="G180" s="69"/>
      <c r="H180" s="6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0" t="str">
        <f>IF(Roster!$A$179&lt;&gt;"",Roster!$A$179,"")</f>
        <v/>
      </c>
      <c r="B181" s="30" t="str">
        <f t="array" ref="B181">IF(A181&lt;&gt;"",IFERROR(SUMPRODUCT((INDEX(Attendance!$B$7:$AZ$206,MATCH(A181,Attendance!$A$7:$A$206,0),0)=1)*Attendance!$B$4:$AZ$4),0),"")</f>
        <v/>
      </c>
      <c r="C181" s="68" t="str">
        <f>IF(A181&lt;&gt;"",SUMIFS(Transactions!$F$7:$F$996,Transactions!$D$7:$D$996,"Income",Transactions!$E$7:$E$996,A181),"")</f>
        <v/>
      </c>
      <c r="D181" s="68" t="str">
        <f>IF(A181&lt;&gt;"",SUMIFS(Transactions!$F$7:$F$996,Transactions!$D$7:$D$996,"Expense",Transactions!$E$7:$E$996,A181),"")</f>
        <v/>
      </c>
      <c r="E181" s="66" t="str">
        <f t="shared" si="1"/>
        <v/>
      </c>
      <c r="F181" s="66" t="str">
        <f t="shared" si="2"/>
        <v/>
      </c>
      <c r="G181" s="69"/>
      <c r="H181" s="6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0" t="str">
        <f>IF(Roster!$A$180&lt;&gt;"",Roster!$A$180,"")</f>
        <v/>
      </c>
      <c r="B182" s="70" t="str">
        <f t="array" ref="B182">IF(A182&lt;&gt;"",IFERROR(SUMPRODUCT((INDEX(Attendance!$B$7:$AZ$206,MATCH(A182,Attendance!$A$7:$A$206,0),0)=1)*Attendance!$B$4:$AZ$4),0),"")</f>
        <v/>
      </c>
      <c r="C182" s="71" t="str">
        <f>IF(A182&lt;&gt;"",SUMIFS(Transactions!$F$7:$F$996,Transactions!$D$7:$D$996,"Income",Transactions!$E$7:$E$996,A182),"")</f>
        <v/>
      </c>
      <c r="D182" s="71" t="str">
        <f>IF(A182&lt;&gt;"",SUMIFS(Transactions!$F$7:$F$996,Transactions!$D$7:$D$996,"Expense",Transactions!$E$7:$E$996,A182),"")</f>
        <v/>
      </c>
      <c r="E182" s="72" t="str">
        <f t="shared" si="1"/>
        <v/>
      </c>
      <c r="F182" s="72" t="str">
        <f t="shared" si="2"/>
        <v/>
      </c>
      <c r="G182" s="69"/>
      <c r="H182" s="6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0" t="str">
        <f>IF(Roster!$A$181&lt;&gt;"",Roster!$A$181,"")</f>
        <v/>
      </c>
      <c r="B183" s="30" t="str">
        <f t="array" ref="B183">IF(A183&lt;&gt;"",IFERROR(SUMPRODUCT((INDEX(Attendance!$B$7:$AZ$206,MATCH(A183,Attendance!$A$7:$A$206,0),0)=1)*Attendance!$B$4:$AZ$4),0),"")</f>
        <v/>
      </c>
      <c r="C183" s="68" t="str">
        <f>IF(A183&lt;&gt;"",SUMIFS(Transactions!$F$7:$F$996,Transactions!$D$7:$D$996,"Income",Transactions!$E$7:$E$996,A183),"")</f>
        <v/>
      </c>
      <c r="D183" s="68" t="str">
        <f>IF(A183&lt;&gt;"",SUMIFS(Transactions!$F$7:$F$996,Transactions!$D$7:$D$996,"Expense",Transactions!$E$7:$E$996,A183),"")</f>
        <v/>
      </c>
      <c r="E183" s="66" t="str">
        <f t="shared" si="1"/>
        <v/>
      </c>
      <c r="F183" s="66" t="str">
        <f t="shared" si="2"/>
        <v/>
      </c>
      <c r="G183" s="69"/>
      <c r="H183" s="6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0" t="str">
        <f>IF(Roster!$A$182&lt;&gt;"",Roster!$A$182,"")</f>
        <v/>
      </c>
      <c r="B184" s="70" t="str">
        <f t="array" ref="B184">IF(A184&lt;&gt;"",IFERROR(SUMPRODUCT((INDEX(Attendance!$B$7:$AZ$206,MATCH(A184,Attendance!$A$7:$A$206,0),0)=1)*Attendance!$B$4:$AZ$4),0),"")</f>
        <v/>
      </c>
      <c r="C184" s="71" t="str">
        <f>IF(A184&lt;&gt;"",SUMIFS(Transactions!$F$7:$F$996,Transactions!$D$7:$D$996,"Income",Transactions!$E$7:$E$996,A184),"")</f>
        <v/>
      </c>
      <c r="D184" s="71" t="str">
        <f>IF(A184&lt;&gt;"",SUMIFS(Transactions!$F$7:$F$996,Transactions!$D$7:$D$996,"Expense",Transactions!$E$7:$E$996,A184),"")</f>
        <v/>
      </c>
      <c r="E184" s="72" t="str">
        <f t="shared" si="1"/>
        <v/>
      </c>
      <c r="F184" s="72" t="str">
        <f t="shared" si="2"/>
        <v/>
      </c>
      <c r="G184" s="69"/>
      <c r="H184" s="6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0" t="str">
        <f>IF(Roster!$A$183&lt;&gt;"",Roster!$A$183,"")</f>
        <v/>
      </c>
      <c r="B185" s="30" t="str">
        <f t="array" ref="B185">IF(A185&lt;&gt;"",IFERROR(SUMPRODUCT((INDEX(Attendance!$B$7:$AZ$206,MATCH(A185,Attendance!$A$7:$A$206,0),0)=1)*Attendance!$B$4:$AZ$4),0),"")</f>
        <v/>
      </c>
      <c r="C185" s="68" t="str">
        <f>IF(A185&lt;&gt;"",SUMIFS(Transactions!$F$7:$F$996,Transactions!$D$7:$D$996,"Income",Transactions!$E$7:$E$996,A185),"")</f>
        <v/>
      </c>
      <c r="D185" s="68" t="str">
        <f>IF(A185&lt;&gt;"",SUMIFS(Transactions!$F$7:$F$996,Transactions!$D$7:$D$996,"Expense",Transactions!$E$7:$E$996,A185),"")</f>
        <v/>
      </c>
      <c r="E185" s="66" t="str">
        <f t="shared" si="1"/>
        <v/>
      </c>
      <c r="F185" s="66" t="str">
        <f t="shared" si="2"/>
        <v/>
      </c>
      <c r="G185" s="69"/>
      <c r="H185" s="6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0" t="str">
        <f>IF(Roster!$A$184&lt;&gt;"",Roster!$A$184,"")</f>
        <v/>
      </c>
      <c r="B186" s="70" t="str">
        <f t="array" ref="B186">IF(A186&lt;&gt;"",IFERROR(SUMPRODUCT((INDEX(Attendance!$B$7:$AZ$206,MATCH(A186,Attendance!$A$7:$A$206,0),0)=1)*Attendance!$B$4:$AZ$4),0),"")</f>
        <v/>
      </c>
      <c r="C186" s="71" t="str">
        <f>IF(A186&lt;&gt;"",SUMIFS(Transactions!$F$7:$F$996,Transactions!$D$7:$D$996,"Income",Transactions!$E$7:$E$996,A186),"")</f>
        <v/>
      </c>
      <c r="D186" s="71" t="str">
        <f>IF(A186&lt;&gt;"",SUMIFS(Transactions!$F$7:$F$996,Transactions!$D$7:$D$996,"Expense",Transactions!$E$7:$E$996,A186),"")</f>
        <v/>
      </c>
      <c r="E186" s="72" t="str">
        <f t="shared" si="1"/>
        <v/>
      </c>
      <c r="F186" s="72" t="str">
        <f t="shared" si="2"/>
        <v/>
      </c>
      <c r="G186" s="69"/>
      <c r="H186" s="6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0" t="str">
        <f>IF(Roster!$A$185&lt;&gt;"",Roster!$A$185,"")</f>
        <v/>
      </c>
      <c r="B187" s="30" t="str">
        <f t="array" ref="B187">IF(A187&lt;&gt;"",IFERROR(SUMPRODUCT((INDEX(Attendance!$B$7:$AZ$206,MATCH(A187,Attendance!$A$7:$A$206,0),0)=1)*Attendance!$B$4:$AZ$4),0),"")</f>
        <v/>
      </c>
      <c r="C187" s="68" t="str">
        <f>IF(A187&lt;&gt;"",SUMIFS(Transactions!$F$7:$F$996,Transactions!$D$7:$D$996,"Income",Transactions!$E$7:$E$996,A187),"")</f>
        <v/>
      </c>
      <c r="D187" s="68" t="str">
        <f>IF(A187&lt;&gt;"",SUMIFS(Transactions!$F$7:$F$996,Transactions!$D$7:$D$996,"Expense",Transactions!$E$7:$E$996,A187),"")</f>
        <v/>
      </c>
      <c r="E187" s="66" t="str">
        <f t="shared" si="1"/>
        <v/>
      </c>
      <c r="F187" s="66" t="str">
        <f t="shared" si="2"/>
        <v/>
      </c>
      <c r="G187" s="69"/>
      <c r="H187" s="6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0" t="str">
        <f>IF(Roster!$A$186&lt;&gt;"",Roster!$A$186,"")</f>
        <v/>
      </c>
      <c r="B188" s="70" t="str">
        <f t="array" ref="B188">IF(A188&lt;&gt;"",IFERROR(SUMPRODUCT((INDEX(Attendance!$B$7:$AZ$206,MATCH(A188,Attendance!$A$7:$A$206,0),0)=1)*Attendance!$B$4:$AZ$4),0),"")</f>
        <v/>
      </c>
      <c r="C188" s="71" t="str">
        <f>IF(A188&lt;&gt;"",SUMIFS(Transactions!$F$7:$F$996,Transactions!$D$7:$D$996,"Income",Transactions!$E$7:$E$996,A188),"")</f>
        <v/>
      </c>
      <c r="D188" s="71" t="str">
        <f>IF(A188&lt;&gt;"",SUMIFS(Transactions!$F$7:$F$996,Transactions!$D$7:$D$996,"Expense",Transactions!$E$7:$E$996,A188),"")</f>
        <v/>
      </c>
      <c r="E188" s="72" t="str">
        <f t="shared" si="1"/>
        <v/>
      </c>
      <c r="F188" s="72" t="str">
        <f t="shared" si="2"/>
        <v/>
      </c>
      <c r="G188" s="69"/>
      <c r="H188" s="6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0" t="str">
        <f>IF(Roster!$A$187&lt;&gt;"",Roster!$A$187,"")</f>
        <v/>
      </c>
      <c r="B189" s="30" t="str">
        <f t="array" ref="B189">IF(A189&lt;&gt;"",IFERROR(SUMPRODUCT((INDEX(Attendance!$B$7:$AZ$206,MATCH(A189,Attendance!$A$7:$A$206,0),0)=1)*Attendance!$B$4:$AZ$4),0),"")</f>
        <v/>
      </c>
      <c r="C189" s="68" t="str">
        <f>IF(A189&lt;&gt;"",SUMIFS(Transactions!$F$7:$F$996,Transactions!$D$7:$D$996,"Income",Transactions!$E$7:$E$996,A189),"")</f>
        <v/>
      </c>
      <c r="D189" s="68" t="str">
        <f>IF(A189&lt;&gt;"",SUMIFS(Transactions!$F$7:$F$996,Transactions!$D$7:$D$996,"Expense",Transactions!$E$7:$E$996,A189),"")</f>
        <v/>
      </c>
      <c r="E189" s="66" t="str">
        <f t="shared" si="1"/>
        <v/>
      </c>
      <c r="F189" s="66" t="str">
        <f t="shared" si="2"/>
        <v/>
      </c>
      <c r="G189" s="69"/>
      <c r="H189" s="6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0" t="str">
        <f>IF(Roster!$A$188&lt;&gt;"",Roster!$A$188,"")</f>
        <v/>
      </c>
      <c r="B190" s="70" t="str">
        <f t="array" ref="B190">IF(A190&lt;&gt;"",IFERROR(SUMPRODUCT((INDEX(Attendance!$B$7:$AZ$206,MATCH(A190,Attendance!$A$7:$A$206,0),0)=1)*Attendance!$B$4:$AZ$4),0),"")</f>
        <v/>
      </c>
      <c r="C190" s="71" t="str">
        <f>IF(A190&lt;&gt;"",SUMIFS(Transactions!$F$7:$F$996,Transactions!$D$7:$D$996,"Income",Transactions!$E$7:$E$996,A190),"")</f>
        <v/>
      </c>
      <c r="D190" s="71" t="str">
        <f>IF(A190&lt;&gt;"",SUMIFS(Transactions!$F$7:$F$996,Transactions!$D$7:$D$996,"Expense",Transactions!$E$7:$E$996,A190),"")</f>
        <v/>
      </c>
      <c r="E190" s="72" t="str">
        <f t="shared" si="1"/>
        <v/>
      </c>
      <c r="F190" s="72" t="str">
        <f t="shared" si="2"/>
        <v/>
      </c>
      <c r="G190" s="69"/>
      <c r="H190" s="6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0" t="str">
        <f>IF(Roster!$A$189&lt;&gt;"",Roster!$A$189,"")</f>
        <v/>
      </c>
      <c r="B191" s="30" t="str">
        <f t="array" ref="B191">IF(A191&lt;&gt;"",IFERROR(SUMPRODUCT((INDEX(Attendance!$B$7:$AZ$206,MATCH(A191,Attendance!$A$7:$A$206,0),0)=1)*Attendance!$B$4:$AZ$4),0),"")</f>
        <v/>
      </c>
      <c r="C191" s="68" t="str">
        <f>IF(A191&lt;&gt;"",SUMIFS(Transactions!$F$7:$F$996,Transactions!$D$7:$D$996,"Income",Transactions!$E$7:$E$996,A191),"")</f>
        <v/>
      </c>
      <c r="D191" s="68" t="str">
        <f>IF(A191&lt;&gt;"",SUMIFS(Transactions!$F$7:$F$996,Transactions!$D$7:$D$996,"Expense",Transactions!$E$7:$E$996,A191),"")</f>
        <v/>
      </c>
      <c r="E191" s="66" t="str">
        <f t="shared" si="1"/>
        <v/>
      </c>
      <c r="F191" s="66" t="str">
        <f t="shared" si="2"/>
        <v/>
      </c>
      <c r="G191" s="69"/>
      <c r="H191" s="6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0" t="str">
        <f>IF(Roster!$A$190&lt;&gt;"",Roster!$A$190,"")</f>
        <v/>
      </c>
      <c r="B192" s="70" t="str">
        <f t="array" ref="B192">IF(A192&lt;&gt;"",IFERROR(SUMPRODUCT((INDEX(Attendance!$B$7:$AZ$206,MATCH(A192,Attendance!$A$7:$A$206,0),0)=1)*Attendance!$B$4:$AZ$4),0),"")</f>
        <v/>
      </c>
      <c r="C192" s="71" t="str">
        <f>IF(A192&lt;&gt;"",SUMIFS(Transactions!$F$7:$F$996,Transactions!$D$7:$D$996,"Income",Transactions!$E$7:$E$996,A192),"")</f>
        <v/>
      </c>
      <c r="D192" s="71" t="str">
        <f>IF(A192&lt;&gt;"",SUMIFS(Transactions!$F$7:$F$996,Transactions!$D$7:$D$996,"Expense",Transactions!$E$7:$E$996,A192),"")</f>
        <v/>
      </c>
      <c r="E192" s="72" t="str">
        <f t="shared" si="1"/>
        <v/>
      </c>
      <c r="F192" s="72" t="str">
        <f t="shared" si="2"/>
        <v/>
      </c>
      <c r="G192" s="69"/>
      <c r="H192" s="6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0" t="str">
        <f>IF(Roster!$A$191&lt;&gt;"",Roster!$A$191,"")</f>
        <v/>
      </c>
      <c r="B193" s="30" t="str">
        <f t="array" ref="B193">IF(A193&lt;&gt;"",IFERROR(SUMPRODUCT((INDEX(Attendance!$B$7:$AZ$206,MATCH(A193,Attendance!$A$7:$A$206,0),0)=1)*Attendance!$B$4:$AZ$4),0),"")</f>
        <v/>
      </c>
      <c r="C193" s="68" t="str">
        <f>IF(A193&lt;&gt;"",SUMIFS(Transactions!$F$7:$F$996,Transactions!$D$7:$D$996,"Income",Transactions!$E$7:$E$996,A193),"")</f>
        <v/>
      </c>
      <c r="D193" s="68" t="str">
        <f>IF(A193&lt;&gt;"",SUMIFS(Transactions!$F$7:$F$996,Transactions!$D$7:$D$996,"Expense",Transactions!$E$7:$E$996,A193),"")</f>
        <v/>
      </c>
      <c r="E193" s="66" t="str">
        <f t="shared" si="1"/>
        <v/>
      </c>
      <c r="F193" s="66" t="str">
        <f t="shared" si="2"/>
        <v/>
      </c>
      <c r="G193" s="69"/>
      <c r="H193" s="6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0" t="str">
        <f>IF(Roster!$A$192&lt;&gt;"",Roster!$A$192,"")</f>
        <v/>
      </c>
      <c r="B194" s="70" t="str">
        <f t="array" ref="B194">IF(A194&lt;&gt;"",IFERROR(SUMPRODUCT((INDEX(Attendance!$B$7:$AZ$206,MATCH(A194,Attendance!$A$7:$A$206,0),0)=1)*Attendance!$B$4:$AZ$4),0),"")</f>
        <v/>
      </c>
      <c r="C194" s="71" t="str">
        <f>IF(A194&lt;&gt;"",SUMIFS(Transactions!$F$7:$F$996,Transactions!$D$7:$D$996,"Income",Transactions!$E$7:$E$996,A194),"")</f>
        <v/>
      </c>
      <c r="D194" s="71" t="str">
        <f>IF(A194&lt;&gt;"",SUMIFS(Transactions!$F$7:$F$996,Transactions!$D$7:$D$996,"Expense",Transactions!$E$7:$E$996,A194),"")</f>
        <v/>
      </c>
      <c r="E194" s="72" t="str">
        <f t="shared" si="1"/>
        <v/>
      </c>
      <c r="F194" s="72" t="str">
        <f t="shared" si="2"/>
        <v/>
      </c>
      <c r="G194" s="69"/>
      <c r="H194" s="6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0" t="str">
        <f>IF(Roster!$A$193&lt;&gt;"",Roster!$A$193,"")</f>
        <v/>
      </c>
      <c r="B195" s="30" t="str">
        <f t="array" ref="B195">IF(A195&lt;&gt;"",IFERROR(SUMPRODUCT((INDEX(Attendance!$B$7:$AZ$206,MATCH(A195,Attendance!$A$7:$A$206,0),0)=1)*Attendance!$B$4:$AZ$4),0),"")</f>
        <v/>
      </c>
      <c r="C195" s="68" t="str">
        <f>IF(A195&lt;&gt;"",SUMIFS(Transactions!$F$7:$F$996,Transactions!$D$7:$D$996,"Income",Transactions!$E$7:$E$996,A195),"")</f>
        <v/>
      </c>
      <c r="D195" s="68" t="str">
        <f>IF(A195&lt;&gt;"",SUMIFS(Transactions!$F$7:$F$996,Transactions!$D$7:$D$996,"Expense",Transactions!$E$7:$E$996,A195),"")</f>
        <v/>
      </c>
      <c r="E195" s="66" t="str">
        <f t="shared" si="1"/>
        <v/>
      </c>
      <c r="F195" s="66" t="str">
        <f t="shared" si="2"/>
        <v/>
      </c>
      <c r="G195" s="69"/>
      <c r="H195" s="6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0" t="str">
        <f>IF(Roster!$A$194&lt;&gt;"",Roster!$A$194,"")</f>
        <v/>
      </c>
      <c r="B196" s="70" t="str">
        <f t="array" ref="B196">IF(A196&lt;&gt;"",IFERROR(SUMPRODUCT((INDEX(Attendance!$B$7:$AZ$206,MATCH(A196,Attendance!$A$7:$A$206,0),0)=1)*Attendance!$B$4:$AZ$4),0),"")</f>
        <v/>
      </c>
      <c r="C196" s="71" t="str">
        <f>IF(A196&lt;&gt;"",SUMIFS(Transactions!$F$7:$F$996,Transactions!$D$7:$D$996,"Income",Transactions!$E$7:$E$996,A196),"")</f>
        <v/>
      </c>
      <c r="D196" s="71" t="str">
        <f>IF(A196&lt;&gt;"",SUMIFS(Transactions!$F$7:$F$996,Transactions!$D$7:$D$996,"Expense",Transactions!$E$7:$E$996,A196),"")</f>
        <v/>
      </c>
      <c r="E196" s="72" t="str">
        <f t="shared" si="1"/>
        <v/>
      </c>
      <c r="F196" s="72" t="str">
        <f t="shared" si="2"/>
        <v/>
      </c>
      <c r="G196" s="69"/>
      <c r="H196" s="6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0" t="str">
        <f>IF(Roster!$A$195&lt;&gt;"",Roster!$A$195,"")</f>
        <v/>
      </c>
      <c r="B197" s="30" t="str">
        <f t="array" ref="B197">IF(A197&lt;&gt;"",IFERROR(SUMPRODUCT((INDEX(Attendance!$B$7:$AZ$206,MATCH(A197,Attendance!$A$7:$A$206,0),0)=1)*Attendance!$B$4:$AZ$4),0),"")</f>
        <v/>
      </c>
      <c r="C197" s="68" t="str">
        <f>IF(A197&lt;&gt;"",SUMIFS(Transactions!$F$7:$F$996,Transactions!$D$7:$D$996,"Income",Transactions!$E$7:$E$996,A197),"")</f>
        <v/>
      </c>
      <c r="D197" s="68" t="str">
        <f>IF(A197&lt;&gt;"",SUMIFS(Transactions!$F$7:$F$996,Transactions!$D$7:$D$996,"Expense",Transactions!$E$7:$E$996,A197),"")</f>
        <v/>
      </c>
      <c r="E197" s="66" t="str">
        <f t="shared" si="1"/>
        <v/>
      </c>
      <c r="F197" s="66" t="str">
        <f t="shared" si="2"/>
        <v/>
      </c>
      <c r="G197" s="69"/>
      <c r="H197" s="6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0" t="str">
        <f>IF(Roster!$A$196&lt;&gt;"",Roster!$A$196,"")</f>
        <v/>
      </c>
      <c r="B198" s="70" t="str">
        <f t="array" ref="B198">IF(A198&lt;&gt;"",IFERROR(SUMPRODUCT((INDEX(Attendance!$B$7:$AZ$206,MATCH(A198,Attendance!$A$7:$A$206,0),0)=1)*Attendance!$B$4:$AZ$4),0),"")</f>
        <v/>
      </c>
      <c r="C198" s="71" t="str">
        <f>IF(A198&lt;&gt;"",SUMIFS(Transactions!$F$7:$F$996,Transactions!$D$7:$D$996,"Income",Transactions!$E$7:$E$996,A198),"")</f>
        <v/>
      </c>
      <c r="D198" s="71" t="str">
        <f>IF(A198&lt;&gt;"",SUMIFS(Transactions!$F$7:$F$996,Transactions!$D$7:$D$996,"Expense",Transactions!$E$7:$E$996,A198),"")</f>
        <v/>
      </c>
      <c r="E198" s="72" t="str">
        <f t="shared" si="1"/>
        <v/>
      </c>
      <c r="F198" s="72" t="str">
        <f t="shared" si="2"/>
        <v/>
      </c>
      <c r="G198" s="69"/>
      <c r="H198" s="6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0" t="str">
        <f>IF(Roster!$A$197&lt;&gt;"",Roster!$A$197,"")</f>
        <v/>
      </c>
      <c r="B199" s="30" t="str">
        <f t="array" ref="B199">IF(A199&lt;&gt;"",IFERROR(SUMPRODUCT((INDEX(Attendance!$B$7:$AZ$206,MATCH(A199,Attendance!$A$7:$A$206,0),0)=1)*Attendance!$B$4:$AZ$4),0),"")</f>
        <v/>
      </c>
      <c r="C199" s="68" t="str">
        <f>IF(A199&lt;&gt;"",SUMIFS(Transactions!$F$7:$F$996,Transactions!$D$7:$D$996,"Income",Transactions!$E$7:$E$996,A199),"")</f>
        <v/>
      </c>
      <c r="D199" s="68" t="str">
        <f>IF(A199&lt;&gt;"",SUMIFS(Transactions!$F$7:$F$996,Transactions!$D$7:$D$996,"Expense",Transactions!$E$7:$E$996,A199),"")</f>
        <v/>
      </c>
      <c r="E199" s="66" t="str">
        <f t="shared" si="1"/>
        <v/>
      </c>
      <c r="F199" s="66" t="str">
        <f t="shared" si="2"/>
        <v/>
      </c>
      <c r="G199" s="69"/>
      <c r="H199" s="6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0" t="str">
        <f>IF(Roster!$A$198&lt;&gt;"",Roster!$A$198,"")</f>
        <v/>
      </c>
      <c r="B200" s="70" t="str">
        <f t="array" ref="B200">IF(A200&lt;&gt;"",IFERROR(SUMPRODUCT((INDEX(Attendance!$B$7:$AZ$206,MATCH(A200,Attendance!$A$7:$A$206,0),0)=1)*Attendance!$B$4:$AZ$4),0),"")</f>
        <v/>
      </c>
      <c r="C200" s="71" t="str">
        <f>IF(A200&lt;&gt;"",SUMIFS(Transactions!$F$7:$F$996,Transactions!$D$7:$D$996,"Income",Transactions!$E$7:$E$996,A200),"")</f>
        <v/>
      </c>
      <c r="D200" s="71" t="str">
        <f>IF(A200&lt;&gt;"",SUMIFS(Transactions!$F$7:$F$996,Transactions!$D$7:$D$996,"Expense",Transactions!$E$7:$E$996,A200),"")</f>
        <v/>
      </c>
      <c r="E200" s="72" t="str">
        <f t="shared" si="1"/>
        <v/>
      </c>
      <c r="F200" s="72" t="str">
        <f t="shared" si="2"/>
        <v/>
      </c>
      <c r="G200" s="69"/>
      <c r="H200" s="6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0" t="str">
        <f>IF(Roster!$A$199&lt;&gt;"",Roster!$A$199,"")</f>
        <v/>
      </c>
      <c r="B201" s="30" t="str">
        <f t="array" ref="B201">IF(A201&lt;&gt;"",IFERROR(SUMPRODUCT((INDEX(Attendance!$B$7:$AZ$206,MATCH(A201,Attendance!$A$7:$A$206,0),0)=1)*Attendance!$B$4:$AZ$4),0),"")</f>
        <v/>
      </c>
      <c r="C201" s="68" t="str">
        <f>IF(A201&lt;&gt;"",SUMIFS(Transactions!$F$7:$F$996,Transactions!$D$7:$D$996,"Income",Transactions!$E$7:$E$996,A201),"")</f>
        <v/>
      </c>
      <c r="D201" s="68" t="str">
        <f>IF(A201&lt;&gt;"",SUMIFS(Transactions!$F$7:$F$996,Transactions!$D$7:$D$996,"Expense",Transactions!$E$7:$E$996,A201),"")</f>
        <v/>
      </c>
      <c r="E201" s="66" t="str">
        <f t="shared" si="1"/>
        <v/>
      </c>
      <c r="F201" s="66" t="str">
        <f t="shared" si="2"/>
        <v/>
      </c>
      <c r="G201" s="69"/>
      <c r="H201" s="6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0" t="str">
        <f>IF(Roster!$A$200&lt;&gt;"",Roster!$A$200,"")</f>
        <v/>
      </c>
      <c r="B202" s="70" t="str">
        <f t="array" ref="B202">IF(A202&lt;&gt;"",IFERROR(SUMPRODUCT((INDEX(Attendance!$B$7:$AZ$206,MATCH(A202,Attendance!$A$7:$A$206,0),0)=1)*Attendance!$B$4:$AZ$4),0),"")</f>
        <v/>
      </c>
      <c r="C202" s="71" t="str">
        <f>IF(A202&lt;&gt;"",SUMIFS(Transactions!$F$7:$F$996,Transactions!$D$7:$D$996,"Income",Transactions!$E$7:$E$996,A202),"")</f>
        <v/>
      </c>
      <c r="D202" s="71" t="str">
        <f>IF(A202&lt;&gt;"",SUMIFS(Transactions!$F$7:$F$996,Transactions!$D$7:$D$996,"Expense",Transactions!$E$7:$E$996,A202),"")</f>
        <v/>
      </c>
      <c r="E202" s="72" t="str">
        <f t="shared" si="1"/>
        <v/>
      </c>
      <c r="F202" s="72" t="str">
        <f t="shared" si="2"/>
        <v/>
      </c>
      <c r="G202" s="69"/>
      <c r="H202" s="6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0" t="str">
        <f>IF(Roster!$A$201&lt;&gt;"",Roster!$A$201,"")</f>
        <v/>
      </c>
      <c r="B203" s="30" t="str">
        <f t="array" ref="B203">IF(A203&lt;&gt;"",IFERROR(SUMPRODUCT((INDEX(Attendance!$B$7:$AZ$206,MATCH(A203,Attendance!$A$7:$A$206,0),0)=1)*Attendance!$B$4:$AZ$4),0),"")</f>
        <v/>
      </c>
      <c r="C203" s="68" t="str">
        <f>IF(A203&lt;&gt;"",SUMIFS(Transactions!$F$7:$F$996,Transactions!$D$7:$D$996,"Income",Transactions!$E$7:$E$996,A203),"")</f>
        <v/>
      </c>
      <c r="D203" s="68" t="str">
        <f>IF(A203&lt;&gt;"",SUMIFS(Transactions!$F$7:$F$996,Transactions!$D$7:$D$996,"Expense",Transactions!$E$7:$E$996,A203),"")</f>
        <v/>
      </c>
      <c r="E203" s="66" t="str">
        <f t="shared" si="1"/>
        <v/>
      </c>
      <c r="F203" s="66" t="str">
        <f t="shared" si="2"/>
        <v/>
      </c>
      <c r="G203" s="69"/>
      <c r="H203" s="6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0" t="str">
        <f>IF(Roster!$A$202&lt;&gt;"",Roster!$A$202,"")</f>
        <v/>
      </c>
      <c r="B204" s="70" t="str">
        <f t="array" ref="B204">IF(A204&lt;&gt;"",IFERROR(SUMPRODUCT((INDEX(Attendance!$B$7:$AZ$206,MATCH(A204,Attendance!$A$7:$A$206,0),0)=1)*Attendance!$B$4:$AZ$4),0),"")</f>
        <v/>
      </c>
      <c r="C204" s="71" t="str">
        <f>IF(A204&lt;&gt;"",SUMIFS(Transactions!$F$7:$F$996,Transactions!$D$7:$D$996,"Income",Transactions!$E$7:$E$996,A204),"")</f>
        <v/>
      </c>
      <c r="D204" s="71" t="str">
        <f>IF(A204&lt;&gt;"",SUMIFS(Transactions!$F$7:$F$996,Transactions!$D$7:$D$996,"Expense",Transactions!$E$7:$E$996,A204),"")</f>
        <v/>
      </c>
      <c r="E204" s="72" t="str">
        <f t="shared" si="1"/>
        <v/>
      </c>
      <c r="F204" s="72" t="str">
        <f t="shared" si="2"/>
        <v/>
      </c>
      <c r="G204" s="69"/>
      <c r="H204" s="6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0" t="str">
        <f>IF(Roster!$A$203&lt;&gt;"",Roster!$A$203,"")</f>
        <v/>
      </c>
      <c r="B205" s="30" t="str">
        <f t="array" ref="B205">IF(A205&lt;&gt;"",IFERROR(SUMPRODUCT((INDEX(Attendance!$B$7:$AZ$206,MATCH(A205,Attendance!$A$7:$A$206,0),0)=1)*Attendance!$B$4:$AZ$4),0),"")</f>
        <v/>
      </c>
      <c r="C205" s="68" t="str">
        <f>IF(A205&lt;&gt;"",SUMIFS(Transactions!$F$7:$F$996,Transactions!$D$7:$D$996,"Income",Transactions!$E$7:$E$996,A205),"")</f>
        <v/>
      </c>
      <c r="D205" s="68" t="str">
        <f>IF(A205&lt;&gt;"",SUMIFS(Transactions!$F$7:$F$996,Transactions!$D$7:$D$996,"Expense",Transactions!$E$7:$E$996,A205),"")</f>
        <v/>
      </c>
      <c r="E205" s="66" t="str">
        <f t="shared" si="1"/>
        <v/>
      </c>
      <c r="F205" s="66" t="str">
        <f t="shared" si="2"/>
        <v/>
      </c>
      <c r="G205" s="69"/>
      <c r="H205" s="6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0" t="str">
        <f>IF(Roster!$A$204&lt;&gt;"",Roster!$A$204,"")</f>
        <v/>
      </c>
      <c r="B206" s="70" t="str">
        <f t="array" ref="B206">IF(A206&lt;&gt;"",IFERROR(SUMPRODUCT((INDEX(Attendance!$B$7:$AZ$206,MATCH(A206,Attendance!$A$7:$A$206,0),0)=1)*Attendance!$B$4:$AZ$4),0),"")</f>
        <v/>
      </c>
      <c r="C206" s="71" t="str">
        <f>IF(A206&lt;&gt;"",SUMIFS(Transactions!$F$7:$F$996,Transactions!$D$7:$D$996,"Income",Transactions!$E$7:$E$996,A206),"")</f>
        <v/>
      </c>
      <c r="D206" s="71" t="str">
        <f>IF(A206&lt;&gt;"",SUMIFS(Transactions!$F$7:$F$996,Transactions!$D$7:$D$996,"Expense",Transactions!$E$7:$E$996,A206),"")</f>
        <v/>
      </c>
      <c r="E206" s="72" t="str">
        <f t="shared" si="1"/>
        <v/>
      </c>
      <c r="F206" s="72" t="str">
        <f t="shared" si="2"/>
        <v/>
      </c>
      <c r="G206" s="69"/>
      <c r="H206" s="6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3" t="s">
        <v>89</v>
      </c>
      <c r="B1" s="74"/>
      <c r="C1" s="74"/>
      <c r="D1" s="74"/>
      <c r="E1" s="74"/>
      <c r="F1" s="74"/>
      <c r="G1" s="74"/>
      <c r="H1" s="74"/>
      <c r="I1" s="74"/>
      <c r="J1" s="75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>
      <c r="A2" s="77" t="s">
        <v>90</v>
      </c>
      <c r="B2" s="74"/>
      <c r="C2" s="74"/>
      <c r="D2" s="74"/>
      <c r="E2" s="74"/>
      <c r="F2" s="74"/>
      <c r="G2" s="74"/>
      <c r="H2" s="74"/>
      <c r="I2" s="74"/>
      <c r="J2" s="75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>
      <c r="A3" s="78" t="s">
        <v>53</v>
      </c>
      <c r="B3" s="78" t="s">
        <v>54</v>
      </c>
      <c r="C3" s="78" t="s">
        <v>12</v>
      </c>
      <c r="D3" s="78" t="s">
        <v>55</v>
      </c>
      <c r="E3" s="78" t="s">
        <v>56</v>
      </c>
      <c r="F3" s="78" t="s">
        <v>57</v>
      </c>
      <c r="G3" s="78" t="s">
        <v>58</v>
      </c>
      <c r="H3" s="78" t="s">
        <v>59</v>
      </c>
      <c r="I3" s="78" t="s">
        <v>6</v>
      </c>
      <c r="J3" s="78" t="s">
        <v>91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>
      <c r="A4" s="79">
        <v>46192.0</v>
      </c>
      <c r="B4" s="80" t="s">
        <v>71</v>
      </c>
      <c r="C4" s="80" t="s">
        <v>92</v>
      </c>
      <c r="D4" s="80" t="s">
        <v>63</v>
      </c>
      <c r="E4" s="80" t="s">
        <v>73</v>
      </c>
      <c r="F4" s="80">
        <v>143.0</v>
      </c>
      <c r="G4" s="80" t="s">
        <v>24</v>
      </c>
      <c r="H4" s="81"/>
      <c r="I4" s="80" t="s">
        <v>74</v>
      </c>
      <c r="J4" s="82" t="s">
        <v>93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>
      <c r="A5" s="83">
        <v>46195.0</v>
      </c>
      <c r="B5" s="84" t="s">
        <v>75</v>
      </c>
      <c r="C5" s="84" t="s">
        <v>76</v>
      </c>
      <c r="D5" s="84" t="s">
        <v>63</v>
      </c>
      <c r="E5" s="84" t="s">
        <v>77</v>
      </c>
      <c r="F5" s="84">
        <v>228.44</v>
      </c>
      <c r="G5" s="84" t="s">
        <v>24</v>
      </c>
      <c r="H5" s="85"/>
      <c r="I5" s="84" t="s">
        <v>78</v>
      </c>
      <c r="J5" s="82" t="s">
        <v>93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>
      <c r="A6" s="81"/>
      <c r="B6" s="81"/>
      <c r="C6" s="81"/>
      <c r="D6" s="81"/>
      <c r="E6" s="81"/>
      <c r="F6" s="81"/>
      <c r="G6" s="81"/>
      <c r="H6" s="81"/>
      <c r="I6" s="81"/>
      <c r="J6" s="8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>
      <c r="A7" s="87"/>
      <c r="B7" s="85"/>
      <c r="C7" s="85"/>
      <c r="D7" s="85"/>
      <c r="E7" s="85"/>
      <c r="F7" s="85"/>
      <c r="G7" s="85"/>
      <c r="H7" s="85"/>
      <c r="I7" s="85"/>
      <c r="J7" s="8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>
      <c r="A8" s="88"/>
      <c r="B8" s="81"/>
      <c r="C8" s="81"/>
      <c r="D8" s="81"/>
      <c r="E8" s="81"/>
      <c r="F8" s="81"/>
      <c r="G8" s="81"/>
      <c r="H8" s="81"/>
      <c r="I8" s="81"/>
      <c r="J8" s="8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>
      <c r="A9" s="85"/>
      <c r="B9" s="85"/>
      <c r="C9" s="85"/>
      <c r="D9" s="85"/>
      <c r="E9" s="85"/>
      <c r="F9" s="85"/>
      <c r="G9" s="85"/>
      <c r="H9" s="85"/>
      <c r="I9" s="85"/>
      <c r="J9" s="86"/>
      <c r="K9" s="76"/>
      <c r="L9" s="76"/>
      <c r="M9" s="76"/>
      <c r="N9" s="76"/>
      <c r="O9" s="76"/>
      <c r="P9" s="76"/>
      <c r="Q9" s="76"/>
      <c r="R9" s="76"/>
      <c r="S9" s="76"/>
      <c r="T9" s="76"/>
      <c r="U9" s="76"/>
      <c r="V9" s="76"/>
      <c r="W9" s="76"/>
      <c r="X9" s="76"/>
      <c r="Y9" s="76"/>
      <c r="Z9" s="76"/>
    </row>
    <row r="10">
      <c r="A10" s="81"/>
      <c r="B10" s="81"/>
      <c r="C10" s="81"/>
      <c r="D10" s="81"/>
      <c r="E10" s="81"/>
      <c r="F10" s="81"/>
      <c r="G10" s="81"/>
      <c r="H10" s="81"/>
      <c r="I10" s="81"/>
      <c r="J10" s="8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</row>
    <row r="11">
      <c r="A11" s="85"/>
      <c r="B11" s="85"/>
      <c r="C11" s="85"/>
      <c r="D11" s="85"/>
      <c r="E11" s="85"/>
      <c r="F11" s="85"/>
      <c r="G11" s="85"/>
      <c r="H11" s="85"/>
      <c r="I11" s="85"/>
      <c r="J11" s="8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</row>
    <row r="12">
      <c r="A12" s="81"/>
      <c r="B12" s="81"/>
      <c r="C12" s="81"/>
      <c r="D12" s="81"/>
      <c r="E12" s="81"/>
      <c r="F12" s="81"/>
      <c r="G12" s="81"/>
      <c r="H12" s="81"/>
      <c r="I12" s="81"/>
      <c r="J12" s="8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</row>
    <row r="13">
      <c r="A13" s="85"/>
      <c r="B13" s="85"/>
      <c r="C13" s="85"/>
      <c r="D13" s="85"/>
      <c r="E13" s="85"/>
      <c r="F13" s="85"/>
      <c r="G13" s="85"/>
      <c r="H13" s="85"/>
      <c r="I13" s="85"/>
      <c r="J13" s="8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</row>
    <row r="14">
      <c r="A14" s="81"/>
      <c r="B14" s="81"/>
      <c r="C14" s="81"/>
      <c r="D14" s="81"/>
      <c r="E14" s="81"/>
      <c r="F14" s="81"/>
      <c r="G14" s="81"/>
      <c r="H14" s="81"/>
      <c r="I14" s="81"/>
      <c r="J14" s="8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</row>
    <row r="15">
      <c r="A15" s="85"/>
      <c r="B15" s="85"/>
      <c r="C15" s="85"/>
      <c r="D15" s="85"/>
      <c r="E15" s="85"/>
      <c r="F15" s="85"/>
      <c r="G15" s="85"/>
      <c r="H15" s="85"/>
      <c r="I15" s="85"/>
      <c r="J15" s="8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</row>
    <row r="16">
      <c r="A16" s="81"/>
      <c r="B16" s="81"/>
      <c r="C16" s="81"/>
      <c r="D16" s="81"/>
      <c r="E16" s="81"/>
      <c r="F16" s="81"/>
      <c r="G16" s="81"/>
      <c r="H16" s="81"/>
      <c r="I16" s="81"/>
      <c r="J16" s="8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</row>
    <row r="17">
      <c r="A17" s="85"/>
      <c r="B17" s="85"/>
      <c r="C17" s="85"/>
      <c r="D17" s="85"/>
      <c r="E17" s="85"/>
      <c r="F17" s="85"/>
      <c r="G17" s="85"/>
      <c r="H17" s="85"/>
      <c r="I17" s="85"/>
      <c r="J17" s="8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</row>
    <row r="18">
      <c r="A18" s="81"/>
      <c r="B18" s="81"/>
      <c r="C18" s="81"/>
      <c r="D18" s="81"/>
      <c r="E18" s="81"/>
      <c r="F18" s="81"/>
      <c r="G18" s="81"/>
      <c r="H18" s="81"/>
      <c r="I18" s="81"/>
      <c r="J18" s="8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</row>
    <row r="19">
      <c r="A19" s="85"/>
      <c r="B19" s="85"/>
      <c r="C19" s="85"/>
      <c r="D19" s="85"/>
      <c r="E19" s="85"/>
      <c r="F19" s="85"/>
      <c r="G19" s="85"/>
      <c r="H19" s="85"/>
      <c r="I19" s="85"/>
      <c r="J19" s="86"/>
      <c r="K19" s="7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</row>
    <row r="20">
      <c r="A20" s="81"/>
      <c r="B20" s="81"/>
      <c r="C20" s="81"/>
      <c r="D20" s="81"/>
      <c r="E20" s="81"/>
      <c r="F20" s="81"/>
      <c r="G20" s="81"/>
      <c r="H20" s="81"/>
      <c r="I20" s="81"/>
      <c r="J20" s="8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85"/>
      <c r="J21" s="8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</row>
    <row r="22" ht="15.75" customHeight="1">
      <c r="A22" s="81"/>
      <c r="B22" s="81"/>
      <c r="C22" s="81"/>
      <c r="D22" s="81"/>
      <c r="E22" s="81"/>
      <c r="F22" s="81"/>
      <c r="G22" s="81"/>
      <c r="H22" s="81"/>
      <c r="I22" s="81"/>
      <c r="J22" s="86"/>
      <c r="K22" s="76"/>
      <c r="L22" s="76"/>
      <c r="M22" s="76"/>
      <c r="N22" s="76"/>
      <c r="O22" s="76"/>
      <c r="P22" s="76"/>
      <c r="Q22" s="76"/>
      <c r="R22" s="76"/>
      <c r="S22" s="76"/>
      <c r="T22" s="76"/>
      <c r="U22" s="76"/>
      <c r="V22" s="76"/>
      <c r="W22" s="76"/>
      <c r="X22" s="76"/>
      <c r="Y22" s="76"/>
      <c r="Z22" s="7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85"/>
      <c r="J23" s="8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</row>
    <row r="24" ht="15.75" customHeight="1">
      <c r="A24" s="81"/>
      <c r="B24" s="81"/>
      <c r="C24" s="81"/>
      <c r="D24" s="81"/>
      <c r="E24" s="81"/>
      <c r="F24" s="81"/>
      <c r="G24" s="81"/>
      <c r="H24" s="81"/>
      <c r="I24" s="81"/>
      <c r="J24" s="8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85"/>
      <c r="J25" s="8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</row>
    <row r="26" ht="15.75" customHeight="1">
      <c r="A26" s="81"/>
      <c r="B26" s="81"/>
      <c r="C26" s="81"/>
      <c r="D26" s="81"/>
      <c r="E26" s="81"/>
      <c r="F26" s="81"/>
      <c r="G26" s="81"/>
      <c r="H26" s="81"/>
      <c r="I26" s="81"/>
      <c r="J26" s="8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85"/>
      <c r="J27" s="8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</row>
    <row r="28" ht="15.75" customHeight="1">
      <c r="A28" s="81"/>
      <c r="B28" s="81"/>
      <c r="C28" s="81"/>
      <c r="D28" s="81"/>
      <c r="E28" s="81"/>
      <c r="F28" s="81"/>
      <c r="G28" s="81"/>
      <c r="H28" s="81"/>
      <c r="I28" s="81"/>
      <c r="J28" s="8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85"/>
      <c r="J29" s="8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</row>
    <row r="30" ht="15.75" customHeight="1">
      <c r="A30" s="81"/>
      <c r="B30" s="81"/>
      <c r="C30" s="81"/>
      <c r="D30" s="81"/>
      <c r="E30" s="81"/>
      <c r="F30" s="81"/>
      <c r="G30" s="81"/>
      <c r="H30" s="81"/>
      <c r="I30" s="81"/>
      <c r="J30" s="8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85"/>
      <c r="J31" s="8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</row>
    <row r="32" ht="15.75" customHeight="1">
      <c r="A32" s="81"/>
      <c r="B32" s="81"/>
      <c r="C32" s="81"/>
      <c r="D32" s="81"/>
      <c r="E32" s="81"/>
      <c r="F32" s="81"/>
      <c r="G32" s="81"/>
      <c r="H32" s="81"/>
      <c r="I32" s="81"/>
      <c r="J32" s="8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</row>
    <row r="34" ht="15.75" customHeight="1">
      <c r="A34" s="81"/>
      <c r="B34" s="81"/>
      <c r="C34" s="81"/>
      <c r="D34" s="81"/>
      <c r="E34" s="81"/>
      <c r="F34" s="81"/>
      <c r="G34" s="81"/>
      <c r="H34" s="81"/>
      <c r="I34" s="81"/>
      <c r="J34" s="8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 ht="15.75" customHeight="1">
      <c r="A36" s="81"/>
      <c r="B36" s="81"/>
      <c r="C36" s="81"/>
      <c r="D36" s="81"/>
      <c r="E36" s="81"/>
      <c r="F36" s="81"/>
      <c r="G36" s="81"/>
      <c r="H36" s="81"/>
      <c r="I36" s="81"/>
      <c r="J36" s="8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 ht="15.75" customHeight="1">
      <c r="A38" s="81"/>
      <c r="B38" s="81"/>
      <c r="C38" s="81"/>
      <c r="D38" s="81"/>
      <c r="E38" s="81"/>
      <c r="F38" s="81"/>
      <c r="G38" s="81"/>
      <c r="H38" s="81"/>
      <c r="I38" s="81"/>
      <c r="J38" s="8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 ht="15.75" customHeight="1">
      <c r="A40" s="81"/>
      <c r="B40" s="81"/>
      <c r="C40" s="81"/>
      <c r="D40" s="81"/>
      <c r="E40" s="81"/>
      <c r="F40" s="81"/>
      <c r="G40" s="81"/>
      <c r="H40" s="81"/>
      <c r="I40" s="81"/>
      <c r="J40" s="8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 ht="15.75" customHeight="1">
      <c r="A42" s="81"/>
      <c r="B42" s="81"/>
      <c r="C42" s="81"/>
      <c r="D42" s="81"/>
      <c r="E42" s="81"/>
      <c r="F42" s="81"/>
      <c r="G42" s="81"/>
      <c r="H42" s="81"/>
      <c r="I42" s="81"/>
      <c r="J42" s="8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 ht="15.75" customHeight="1">
      <c r="A44" s="81"/>
      <c r="B44" s="81"/>
      <c r="C44" s="81"/>
      <c r="D44" s="81"/>
      <c r="E44" s="81"/>
      <c r="F44" s="81"/>
      <c r="G44" s="81"/>
      <c r="H44" s="81"/>
      <c r="I44" s="81"/>
      <c r="J44" s="8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 ht="15.75" customHeight="1">
      <c r="A46" s="81"/>
      <c r="B46" s="81"/>
      <c r="C46" s="81"/>
      <c r="D46" s="81"/>
      <c r="E46" s="81"/>
      <c r="F46" s="81"/>
      <c r="G46" s="81"/>
      <c r="H46" s="81"/>
      <c r="I46" s="81"/>
      <c r="J46" s="8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 ht="15.75" customHeight="1">
      <c r="A48" s="81"/>
      <c r="B48" s="81"/>
      <c r="C48" s="81"/>
      <c r="D48" s="81"/>
      <c r="E48" s="81"/>
      <c r="F48" s="81"/>
      <c r="G48" s="81"/>
      <c r="H48" s="81"/>
      <c r="I48" s="81"/>
      <c r="J48" s="8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 ht="15.75" customHeight="1">
      <c r="A50" s="81"/>
      <c r="B50" s="81"/>
      <c r="C50" s="81"/>
      <c r="D50" s="81"/>
      <c r="E50" s="81"/>
      <c r="F50" s="81"/>
      <c r="G50" s="81"/>
      <c r="H50" s="81"/>
      <c r="I50" s="81"/>
      <c r="J50" s="8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 ht="15.75" customHeight="1">
      <c r="A52" s="81"/>
      <c r="B52" s="81"/>
      <c r="C52" s="81"/>
      <c r="D52" s="81"/>
      <c r="E52" s="81"/>
      <c r="F52" s="81"/>
      <c r="G52" s="81"/>
      <c r="H52" s="81"/>
      <c r="I52" s="81"/>
      <c r="J52" s="8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 ht="15.75" customHeight="1">
      <c r="A54" s="81"/>
      <c r="B54" s="81"/>
      <c r="C54" s="81"/>
      <c r="D54" s="81"/>
      <c r="E54" s="81"/>
      <c r="F54" s="81"/>
      <c r="G54" s="81"/>
      <c r="H54" s="81"/>
      <c r="I54" s="81"/>
      <c r="J54" s="8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 ht="15.75" customHeight="1">
      <c r="A56" s="81"/>
      <c r="B56" s="81"/>
      <c r="C56" s="81"/>
      <c r="D56" s="81"/>
      <c r="E56" s="81"/>
      <c r="F56" s="81"/>
      <c r="G56" s="81"/>
      <c r="H56" s="81"/>
      <c r="I56" s="81"/>
      <c r="J56" s="8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 ht="15.75" customHeight="1">
      <c r="A58" s="81"/>
      <c r="B58" s="81"/>
      <c r="C58" s="81"/>
      <c r="D58" s="81"/>
      <c r="E58" s="81"/>
      <c r="F58" s="81"/>
      <c r="G58" s="81"/>
      <c r="H58" s="81"/>
      <c r="I58" s="81"/>
      <c r="J58" s="8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 ht="15.75" customHeight="1">
      <c r="A60" s="81"/>
      <c r="B60" s="81"/>
      <c r="C60" s="81"/>
      <c r="D60" s="81"/>
      <c r="E60" s="81"/>
      <c r="F60" s="81"/>
      <c r="G60" s="81"/>
      <c r="H60" s="81"/>
      <c r="I60" s="81"/>
      <c r="J60" s="8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 ht="15.75" customHeight="1">
      <c r="A62" s="81"/>
      <c r="B62" s="81"/>
      <c r="C62" s="81"/>
      <c r="D62" s="81"/>
      <c r="E62" s="81"/>
      <c r="F62" s="81"/>
      <c r="G62" s="81"/>
      <c r="H62" s="81"/>
      <c r="I62" s="81"/>
      <c r="J62" s="8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 ht="15.75" customHeight="1">
      <c r="A64" s="81"/>
      <c r="B64" s="81"/>
      <c r="C64" s="81"/>
      <c r="D64" s="81"/>
      <c r="E64" s="81"/>
      <c r="F64" s="81"/>
      <c r="G64" s="81"/>
      <c r="H64" s="81"/>
      <c r="I64" s="81"/>
      <c r="J64" s="8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 ht="15.75" customHeight="1">
      <c r="A66" s="81"/>
      <c r="B66" s="81"/>
      <c r="C66" s="81"/>
      <c r="D66" s="81"/>
      <c r="E66" s="81"/>
      <c r="F66" s="81"/>
      <c r="G66" s="81"/>
      <c r="H66" s="81"/>
      <c r="I66" s="81"/>
      <c r="J66" s="8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 ht="15.75" customHeight="1">
      <c r="A68" s="81"/>
      <c r="B68" s="81"/>
      <c r="C68" s="81"/>
      <c r="D68" s="81"/>
      <c r="E68" s="81"/>
      <c r="F68" s="81"/>
      <c r="G68" s="81"/>
      <c r="H68" s="81"/>
      <c r="I68" s="81"/>
      <c r="J68" s="8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 ht="15.75" customHeight="1">
      <c r="A70" s="81"/>
      <c r="B70" s="81"/>
      <c r="C70" s="81"/>
      <c r="D70" s="81"/>
      <c r="E70" s="81"/>
      <c r="F70" s="81"/>
      <c r="G70" s="81"/>
      <c r="H70" s="81"/>
      <c r="I70" s="81"/>
      <c r="J70" s="8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 ht="15.75" customHeight="1">
      <c r="A72" s="81"/>
      <c r="B72" s="81"/>
      <c r="C72" s="81"/>
      <c r="D72" s="81"/>
      <c r="E72" s="81"/>
      <c r="F72" s="81"/>
      <c r="G72" s="81"/>
      <c r="H72" s="81"/>
      <c r="I72" s="81"/>
      <c r="J72" s="8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 ht="15.75" customHeight="1">
      <c r="A74" s="81"/>
      <c r="B74" s="81"/>
      <c r="C74" s="81"/>
      <c r="D74" s="81"/>
      <c r="E74" s="81"/>
      <c r="F74" s="81"/>
      <c r="G74" s="81"/>
      <c r="H74" s="81"/>
      <c r="I74" s="81"/>
      <c r="J74" s="8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 ht="15.75" customHeight="1">
      <c r="A76" s="81"/>
      <c r="B76" s="81"/>
      <c r="C76" s="81"/>
      <c r="D76" s="81"/>
      <c r="E76" s="81"/>
      <c r="F76" s="81"/>
      <c r="G76" s="81"/>
      <c r="H76" s="81"/>
      <c r="I76" s="81"/>
      <c r="J76" s="8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 ht="15.75" customHeight="1">
      <c r="A78" s="81"/>
      <c r="B78" s="81"/>
      <c r="C78" s="81"/>
      <c r="D78" s="81"/>
      <c r="E78" s="81"/>
      <c r="F78" s="81"/>
      <c r="G78" s="81"/>
      <c r="H78" s="81"/>
      <c r="I78" s="81"/>
      <c r="J78" s="8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 ht="15.75" customHeight="1">
      <c r="A80" s="81"/>
      <c r="B80" s="81"/>
      <c r="C80" s="81"/>
      <c r="D80" s="81"/>
      <c r="E80" s="81"/>
      <c r="F80" s="81"/>
      <c r="G80" s="81"/>
      <c r="H80" s="81"/>
      <c r="I80" s="81"/>
      <c r="J80" s="8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 ht="15.75" customHeight="1">
      <c r="A82" s="81"/>
      <c r="B82" s="81"/>
      <c r="C82" s="81"/>
      <c r="D82" s="81"/>
      <c r="E82" s="81"/>
      <c r="F82" s="81"/>
      <c r="G82" s="81"/>
      <c r="H82" s="81"/>
      <c r="I82" s="81"/>
      <c r="J82" s="8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 ht="15.75" customHeight="1">
      <c r="A84" s="81"/>
      <c r="B84" s="81"/>
      <c r="C84" s="81"/>
      <c r="D84" s="81"/>
      <c r="E84" s="81"/>
      <c r="F84" s="81"/>
      <c r="G84" s="81"/>
      <c r="H84" s="81"/>
      <c r="I84" s="81"/>
      <c r="J84" s="8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 ht="15.75" customHeight="1">
      <c r="A86" s="81"/>
      <c r="B86" s="81"/>
      <c r="C86" s="81"/>
      <c r="D86" s="81"/>
      <c r="E86" s="81"/>
      <c r="F86" s="81"/>
      <c r="G86" s="81"/>
      <c r="H86" s="81"/>
      <c r="I86" s="81"/>
      <c r="J86" s="8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5.75" customHeight="1">
      <c r="A88" s="81"/>
      <c r="B88" s="81"/>
      <c r="C88" s="81"/>
      <c r="D88" s="81"/>
      <c r="E88" s="81"/>
      <c r="F88" s="81"/>
      <c r="G88" s="81"/>
      <c r="H88" s="81"/>
      <c r="I88" s="81"/>
      <c r="J88" s="8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5.75" customHeight="1">
      <c r="A90" s="81"/>
      <c r="B90" s="81"/>
      <c r="C90" s="81"/>
      <c r="D90" s="81"/>
      <c r="E90" s="81"/>
      <c r="F90" s="81"/>
      <c r="G90" s="81"/>
      <c r="H90" s="81"/>
      <c r="I90" s="81"/>
      <c r="J90" s="8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5.75" customHeight="1">
      <c r="A92" s="81"/>
      <c r="B92" s="81"/>
      <c r="C92" s="81"/>
      <c r="D92" s="81"/>
      <c r="E92" s="81"/>
      <c r="F92" s="81"/>
      <c r="G92" s="81"/>
      <c r="H92" s="81"/>
      <c r="I92" s="81"/>
      <c r="J92" s="8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5.75" customHeight="1">
      <c r="A94" s="81"/>
      <c r="B94" s="81"/>
      <c r="C94" s="81"/>
      <c r="D94" s="81"/>
      <c r="E94" s="81"/>
      <c r="F94" s="81"/>
      <c r="G94" s="81"/>
      <c r="H94" s="81"/>
      <c r="I94" s="81"/>
      <c r="J94" s="8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5.75" customHeight="1">
      <c r="A96" s="81"/>
      <c r="B96" s="81"/>
      <c r="C96" s="81"/>
      <c r="D96" s="81"/>
      <c r="E96" s="81"/>
      <c r="F96" s="81"/>
      <c r="G96" s="81"/>
      <c r="H96" s="81"/>
      <c r="I96" s="81"/>
      <c r="J96" s="8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5.75" customHeight="1">
      <c r="A98" s="81"/>
      <c r="B98" s="81"/>
      <c r="C98" s="81"/>
      <c r="D98" s="81"/>
      <c r="E98" s="81"/>
      <c r="F98" s="81"/>
      <c r="G98" s="81"/>
      <c r="H98" s="81"/>
      <c r="I98" s="81"/>
      <c r="J98" s="8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5.75" customHeight="1">
      <c r="A100" s="81"/>
      <c r="B100" s="81"/>
      <c r="C100" s="81"/>
      <c r="D100" s="81"/>
      <c r="E100" s="81"/>
      <c r="F100" s="81"/>
      <c r="G100" s="81"/>
      <c r="H100" s="81"/>
      <c r="I100" s="81"/>
      <c r="J100" s="8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 ht="15.75" customHeight="1">
      <c r="A102" s="81"/>
      <c r="B102" s="81"/>
      <c r="C102" s="81"/>
      <c r="D102" s="81"/>
      <c r="E102" s="81"/>
      <c r="F102" s="81"/>
      <c r="G102" s="81"/>
      <c r="H102" s="81"/>
      <c r="I102" s="81"/>
      <c r="J102" s="8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 ht="15.75" customHeight="1">
      <c r="A104" s="81"/>
      <c r="B104" s="81"/>
      <c r="C104" s="81"/>
      <c r="D104" s="81"/>
      <c r="E104" s="81"/>
      <c r="F104" s="81"/>
      <c r="G104" s="81"/>
      <c r="H104" s="81"/>
      <c r="I104" s="81"/>
      <c r="J104" s="8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 ht="15.75" customHeight="1">
      <c r="A106" s="81"/>
      <c r="B106" s="81"/>
      <c r="C106" s="81"/>
      <c r="D106" s="81"/>
      <c r="E106" s="81"/>
      <c r="F106" s="81"/>
      <c r="G106" s="81"/>
      <c r="H106" s="81"/>
      <c r="I106" s="81"/>
      <c r="J106" s="8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 ht="15.75" customHeight="1">
      <c r="A108" s="81"/>
      <c r="B108" s="81"/>
      <c r="C108" s="81"/>
      <c r="D108" s="81"/>
      <c r="E108" s="81"/>
      <c r="F108" s="81"/>
      <c r="G108" s="81"/>
      <c r="H108" s="81"/>
      <c r="I108" s="81"/>
      <c r="J108" s="8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 ht="15.75" customHeight="1">
      <c r="A110" s="81"/>
      <c r="B110" s="81"/>
      <c r="C110" s="81"/>
      <c r="D110" s="81"/>
      <c r="E110" s="81"/>
      <c r="F110" s="81"/>
      <c r="G110" s="81"/>
      <c r="H110" s="81"/>
      <c r="I110" s="81"/>
      <c r="J110" s="8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 ht="15.75" customHeight="1">
      <c r="A112" s="81"/>
      <c r="B112" s="81"/>
      <c r="C112" s="81"/>
      <c r="D112" s="81"/>
      <c r="E112" s="81"/>
      <c r="F112" s="81"/>
      <c r="G112" s="81"/>
      <c r="H112" s="81"/>
      <c r="I112" s="81"/>
      <c r="J112" s="8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 ht="15.75" customHeight="1">
      <c r="A114" s="81"/>
      <c r="B114" s="81"/>
      <c r="C114" s="81"/>
      <c r="D114" s="81"/>
      <c r="E114" s="81"/>
      <c r="F114" s="81"/>
      <c r="G114" s="81"/>
      <c r="H114" s="81"/>
      <c r="I114" s="81"/>
      <c r="J114" s="8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 ht="15.75" customHeight="1">
      <c r="A116" s="81"/>
      <c r="B116" s="81"/>
      <c r="C116" s="81"/>
      <c r="D116" s="81"/>
      <c r="E116" s="81"/>
      <c r="F116" s="81"/>
      <c r="G116" s="81"/>
      <c r="H116" s="81"/>
      <c r="I116" s="81"/>
      <c r="J116" s="8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 ht="15.75" customHeight="1">
      <c r="A118" s="81"/>
      <c r="B118" s="81"/>
      <c r="C118" s="81"/>
      <c r="D118" s="81"/>
      <c r="E118" s="81"/>
      <c r="F118" s="81"/>
      <c r="G118" s="81"/>
      <c r="H118" s="81"/>
      <c r="I118" s="81"/>
      <c r="J118" s="8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 ht="15.75" customHeight="1">
      <c r="A120" s="81"/>
      <c r="B120" s="81"/>
      <c r="C120" s="81"/>
      <c r="D120" s="81"/>
      <c r="E120" s="81"/>
      <c r="F120" s="81"/>
      <c r="G120" s="81"/>
      <c r="H120" s="81"/>
      <c r="I120" s="81"/>
      <c r="J120" s="8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 ht="15.75" customHeight="1">
      <c r="A122" s="81"/>
      <c r="B122" s="81"/>
      <c r="C122" s="81"/>
      <c r="D122" s="81"/>
      <c r="E122" s="81"/>
      <c r="F122" s="81"/>
      <c r="G122" s="81"/>
      <c r="H122" s="81"/>
      <c r="I122" s="81"/>
      <c r="J122" s="8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 ht="15.75" customHeight="1">
      <c r="A124" s="81"/>
      <c r="B124" s="81"/>
      <c r="C124" s="81"/>
      <c r="D124" s="81"/>
      <c r="E124" s="81"/>
      <c r="F124" s="81"/>
      <c r="G124" s="81"/>
      <c r="H124" s="81"/>
      <c r="I124" s="81"/>
      <c r="J124" s="8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 ht="15.75" customHeight="1">
      <c r="A126" s="81"/>
      <c r="B126" s="81"/>
      <c r="C126" s="81"/>
      <c r="D126" s="81"/>
      <c r="E126" s="81"/>
      <c r="F126" s="81"/>
      <c r="G126" s="81"/>
      <c r="H126" s="81"/>
      <c r="I126" s="81"/>
      <c r="J126" s="8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 ht="15.75" customHeight="1">
      <c r="A128" s="81"/>
      <c r="B128" s="81"/>
      <c r="C128" s="81"/>
      <c r="D128" s="81"/>
      <c r="E128" s="81"/>
      <c r="F128" s="81"/>
      <c r="G128" s="81"/>
      <c r="H128" s="81"/>
      <c r="I128" s="81"/>
      <c r="J128" s="8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 ht="15.75" customHeight="1">
      <c r="A130" s="81"/>
      <c r="B130" s="81"/>
      <c r="C130" s="81"/>
      <c r="D130" s="81"/>
      <c r="E130" s="81"/>
      <c r="F130" s="81"/>
      <c r="G130" s="81"/>
      <c r="H130" s="81"/>
      <c r="I130" s="81"/>
      <c r="J130" s="8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 ht="15.75" customHeight="1">
      <c r="A132" s="81"/>
      <c r="B132" s="81"/>
      <c r="C132" s="81"/>
      <c r="D132" s="81"/>
      <c r="E132" s="81"/>
      <c r="F132" s="81"/>
      <c r="G132" s="81"/>
      <c r="H132" s="81"/>
      <c r="I132" s="81"/>
      <c r="J132" s="8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 ht="15.75" customHeight="1">
      <c r="A134" s="81"/>
      <c r="B134" s="81"/>
      <c r="C134" s="81"/>
      <c r="D134" s="81"/>
      <c r="E134" s="81"/>
      <c r="F134" s="81"/>
      <c r="G134" s="81"/>
      <c r="H134" s="81"/>
      <c r="I134" s="81"/>
      <c r="J134" s="8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 ht="15.75" customHeight="1">
      <c r="A136" s="81"/>
      <c r="B136" s="81"/>
      <c r="C136" s="81"/>
      <c r="D136" s="81"/>
      <c r="E136" s="81"/>
      <c r="F136" s="81"/>
      <c r="G136" s="81"/>
      <c r="H136" s="81"/>
      <c r="I136" s="81"/>
      <c r="J136" s="8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 ht="15.75" customHeight="1">
      <c r="A138" s="81"/>
      <c r="B138" s="81"/>
      <c r="C138" s="81"/>
      <c r="D138" s="81"/>
      <c r="E138" s="81"/>
      <c r="F138" s="81"/>
      <c r="G138" s="81"/>
      <c r="H138" s="81"/>
      <c r="I138" s="81"/>
      <c r="J138" s="8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 ht="15.75" customHeight="1">
      <c r="A140" s="81"/>
      <c r="B140" s="81"/>
      <c r="C140" s="81"/>
      <c r="D140" s="81"/>
      <c r="E140" s="81"/>
      <c r="F140" s="81"/>
      <c r="G140" s="81"/>
      <c r="H140" s="81"/>
      <c r="I140" s="81"/>
      <c r="J140" s="8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 ht="15.75" customHeight="1">
      <c r="A142" s="81"/>
      <c r="B142" s="81"/>
      <c r="C142" s="81"/>
      <c r="D142" s="81"/>
      <c r="E142" s="81"/>
      <c r="F142" s="81"/>
      <c r="G142" s="81"/>
      <c r="H142" s="81"/>
      <c r="I142" s="81"/>
      <c r="J142" s="8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 ht="15.75" customHeight="1">
      <c r="A144" s="81"/>
      <c r="B144" s="81"/>
      <c r="C144" s="81"/>
      <c r="D144" s="81"/>
      <c r="E144" s="81"/>
      <c r="F144" s="81"/>
      <c r="G144" s="81"/>
      <c r="H144" s="81"/>
      <c r="I144" s="81"/>
      <c r="J144" s="8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 ht="15.75" customHeight="1">
      <c r="A146" s="81"/>
      <c r="B146" s="81"/>
      <c r="C146" s="81"/>
      <c r="D146" s="81"/>
      <c r="E146" s="81"/>
      <c r="F146" s="81"/>
      <c r="G146" s="81"/>
      <c r="H146" s="81"/>
      <c r="I146" s="81"/>
      <c r="J146" s="8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 ht="15.75" customHeight="1">
      <c r="A148" s="81"/>
      <c r="B148" s="81"/>
      <c r="C148" s="81"/>
      <c r="D148" s="81"/>
      <c r="E148" s="81"/>
      <c r="F148" s="81"/>
      <c r="G148" s="81"/>
      <c r="H148" s="81"/>
      <c r="I148" s="81"/>
      <c r="J148" s="8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 ht="15.75" customHeight="1">
      <c r="A150" s="81"/>
      <c r="B150" s="81"/>
      <c r="C150" s="81"/>
      <c r="D150" s="81"/>
      <c r="E150" s="81"/>
      <c r="F150" s="81"/>
      <c r="G150" s="81"/>
      <c r="H150" s="81"/>
      <c r="I150" s="81"/>
      <c r="J150" s="8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 ht="15.75" customHeight="1">
      <c r="A152" s="81"/>
      <c r="B152" s="81"/>
      <c r="C152" s="81"/>
      <c r="D152" s="81"/>
      <c r="E152" s="81"/>
      <c r="F152" s="81"/>
      <c r="G152" s="81"/>
      <c r="H152" s="81"/>
      <c r="I152" s="81"/>
      <c r="J152" s="8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 ht="15.75" customHeight="1">
      <c r="A154" s="81"/>
      <c r="B154" s="81"/>
      <c r="C154" s="81"/>
      <c r="D154" s="81"/>
      <c r="E154" s="81"/>
      <c r="F154" s="81"/>
      <c r="G154" s="81"/>
      <c r="H154" s="81"/>
      <c r="I154" s="81"/>
      <c r="J154" s="8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 ht="15.75" customHeight="1">
      <c r="A156" s="81"/>
      <c r="B156" s="81"/>
      <c r="C156" s="81"/>
      <c r="D156" s="81"/>
      <c r="E156" s="81"/>
      <c r="F156" s="81"/>
      <c r="G156" s="81"/>
      <c r="H156" s="81"/>
      <c r="I156" s="81"/>
      <c r="J156" s="8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 ht="15.75" customHeight="1">
      <c r="A158" s="81"/>
      <c r="B158" s="81"/>
      <c r="C158" s="81"/>
      <c r="D158" s="81"/>
      <c r="E158" s="81"/>
      <c r="F158" s="81"/>
      <c r="G158" s="81"/>
      <c r="H158" s="81"/>
      <c r="I158" s="81"/>
      <c r="J158" s="8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 ht="15.75" customHeight="1">
      <c r="A160" s="81"/>
      <c r="B160" s="81"/>
      <c r="C160" s="81"/>
      <c r="D160" s="81"/>
      <c r="E160" s="81"/>
      <c r="F160" s="81"/>
      <c r="G160" s="81"/>
      <c r="H160" s="81"/>
      <c r="I160" s="81"/>
      <c r="J160" s="8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 ht="15.75" customHeight="1">
      <c r="A162" s="81"/>
      <c r="B162" s="81"/>
      <c r="C162" s="81"/>
      <c r="D162" s="81"/>
      <c r="E162" s="81"/>
      <c r="F162" s="81"/>
      <c r="G162" s="81"/>
      <c r="H162" s="81"/>
      <c r="I162" s="81"/>
      <c r="J162" s="8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 ht="15.75" customHeight="1">
      <c r="A164" s="81"/>
      <c r="B164" s="81"/>
      <c r="C164" s="81"/>
      <c r="D164" s="81"/>
      <c r="E164" s="81"/>
      <c r="F164" s="81"/>
      <c r="G164" s="81"/>
      <c r="H164" s="81"/>
      <c r="I164" s="81"/>
      <c r="J164" s="8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 ht="15.75" customHeight="1">
      <c r="A166" s="81"/>
      <c r="B166" s="81"/>
      <c r="C166" s="81"/>
      <c r="D166" s="81"/>
      <c r="E166" s="81"/>
      <c r="F166" s="81"/>
      <c r="G166" s="81"/>
      <c r="H166" s="81"/>
      <c r="I166" s="81"/>
      <c r="J166" s="8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 ht="15.75" customHeight="1">
      <c r="A168" s="81"/>
      <c r="B168" s="81"/>
      <c r="C168" s="81"/>
      <c r="D168" s="81"/>
      <c r="E168" s="81"/>
      <c r="F168" s="81"/>
      <c r="G168" s="81"/>
      <c r="H168" s="81"/>
      <c r="I168" s="81"/>
      <c r="J168" s="8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 ht="15.75" customHeight="1">
      <c r="A170" s="81"/>
      <c r="B170" s="81"/>
      <c r="C170" s="81"/>
      <c r="D170" s="81"/>
      <c r="E170" s="81"/>
      <c r="F170" s="81"/>
      <c r="G170" s="81"/>
      <c r="H170" s="81"/>
      <c r="I170" s="81"/>
      <c r="J170" s="8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 ht="15.75" customHeight="1">
      <c r="A172" s="81"/>
      <c r="B172" s="81"/>
      <c r="C172" s="81"/>
      <c r="D172" s="81"/>
      <c r="E172" s="81"/>
      <c r="F172" s="81"/>
      <c r="G172" s="81"/>
      <c r="H172" s="81"/>
      <c r="I172" s="81"/>
      <c r="J172" s="8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 ht="15.75" customHeight="1">
      <c r="A174" s="81"/>
      <c r="B174" s="81"/>
      <c r="C174" s="81"/>
      <c r="D174" s="81"/>
      <c r="E174" s="81"/>
      <c r="F174" s="81"/>
      <c r="G174" s="81"/>
      <c r="H174" s="81"/>
      <c r="I174" s="81"/>
      <c r="J174" s="8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 ht="15.75" customHeight="1">
      <c r="A176" s="81"/>
      <c r="B176" s="81"/>
      <c r="C176" s="81"/>
      <c r="D176" s="81"/>
      <c r="E176" s="81"/>
      <c r="F176" s="81"/>
      <c r="G176" s="81"/>
      <c r="H176" s="81"/>
      <c r="I176" s="81"/>
      <c r="J176" s="8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 ht="15.75" customHeight="1">
      <c r="A178" s="81"/>
      <c r="B178" s="81"/>
      <c r="C178" s="81"/>
      <c r="D178" s="81"/>
      <c r="E178" s="81"/>
      <c r="F178" s="81"/>
      <c r="G178" s="81"/>
      <c r="H178" s="81"/>
      <c r="I178" s="81"/>
      <c r="J178" s="8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 ht="15.75" customHeight="1">
      <c r="A180" s="81"/>
      <c r="B180" s="81"/>
      <c r="C180" s="81"/>
      <c r="D180" s="81"/>
      <c r="E180" s="81"/>
      <c r="F180" s="81"/>
      <c r="G180" s="81"/>
      <c r="H180" s="81"/>
      <c r="I180" s="81"/>
      <c r="J180" s="8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 ht="15.75" customHeight="1">
      <c r="A182" s="81"/>
      <c r="B182" s="81"/>
      <c r="C182" s="81"/>
      <c r="D182" s="81"/>
      <c r="E182" s="81"/>
      <c r="F182" s="81"/>
      <c r="G182" s="81"/>
      <c r="H182" s="81"/>
      <c r="I182" s="81"/>
      <c r="J182" s="8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 ht="15.75" customHeight="1">
      <c r="A184" s="81"/>
      <c r="B184" s="81"/>
      <c r="C184" s="81"/>
      <c r="D184" s="81"/>
      <c r="E184" s="81"/>
      <c r="F184" s="81"/>
      <c r="G184" s="81"/>
      <c r="H184" s="81"/>
      <c r="I184" s="81"/>
      <c r="J184" s="8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 ht="15.75" customHeight="1">
      <c r="A186" s="81"/>
      <c r="B186" s="81"/>
      <c r="C186" s="81"/>
      <c r="D186" s="81"/>
      <c r="E186" s="81"/>
      <c r="F186" s="81"/>
      <c r="G186" s="81"/>
      <c r="H186" s="81"/>
      <c r="I186" s="81"/>
      <c r="J186" s="8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 ht="15.75" customHeight="1">
      <c r="A188" s="81"/>
      <c r="B188" s="81"/>
      <c r="C188" s="81"/>
      <c r="D188" s="81"/>
      <c r="E188" s="81"/>
      <c r="F188" s="81"/>
      <c r="G188" s="81"/>
      <c r="H188" s="81"/>
      <c r="I188" s="81"/>
      <c r="J188" s="8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 ht="15.75" customHeight="1">
      <c r="A190" s="81"/>
      <c r="B190" s="81"/>
      <c r="C190" s="81"/>
      <c r="D190" s="81"/>
      <c r="E190" s="81"/>
      <c r="F190" s="81"/>
      <c r="G190" s="81"/>
      <c r="H190" s="81"/>
      <c r="I190" s="81"/>
      <c r="J190" s="8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 ht="15.75" customHeight="1">
      <c r="A192" s="81"/>
      <c r="B192" s="81"/>
      <c r="C192" s="81"/>
      <c r="D192" s="81"/>
      <c r="E192" s="81"/>
      <c r="F192" s="81"/>
      <c r="G192" s="81"/>
      <c r="H192" s="81"/>
      <c r="I192" s="81"/>
      <c r="J192" s="8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 ht="15.75" customHeight="1">
      <c r="A194" s="81"/>
      <c r="B194" s="81"/>
      <c r="C194" s="81"/>
      <c r="D194" s="81"/>
      <c r="E194" s="81"/>
      <c r="F194" s="81"/>
      <c r="G194" s="81"/>
      <c r="H194" s="81"/>
      <c r="I194" s="81"/>
      <c r="J194" s="8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 ht="15.75" customHeight="1">
      <c r="A196" s="81"/>
      <c r="B196" s="81"/>
      <c r="C196" s="81"/>
      <c r="D196" s="81"/>
      <c r="E196" s="81"/>
      <c r="F196" s="81"/>
      <c r="G196" s="81"/>
      <c r="H196" s="81"/>
      <c r="I196" s="81"/>
      <c r="J196" s="8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 ht="15.75" customHeight="1">
      <c r="A198" s="81"/>
      <c r="B198" s="81"/>
      <c r="C198" s="81"/>
      <c r="D198" s="81"/>
      <c r="E198" s="81"/>
      <c r="F198" s="81"/>
      <c r="G198" s="81"/>
      <c r="H198" s="81"/>
      <c r="I198" s="81"/>
      <c r="J198" s="8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 ht="15.75" customHeight="1">
      <c r="A200" s="81"/>
      <c r="B200" s="81"/>
      <c r="C200" s="81"/>
      <c r="D200" s="81"/>
      <c r="E200" s="81"/>
      <c r="F200" s="81"/>
      <c r="G200" s="81"/>
      <c r="H200" s="81"/>
      <c r="I200" s="81"/>
      <c r="J200" s="8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 ht="15.75" customHeight="1">
      <c r="A202" s="81"/>
      <c r="B202" s="81"/>
      <c r="C202" s="81"/>
      <c r="D202" s="81"/>
      <c r="E202" s="81"/>
      <c r="F202" s="81"/>
      <c r="G202" s="81"/>
      <c r="H202" s="81"/>
      <c r="I202" s="81"/>
      <c r="J202" s="8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 ht="15.75" customHeight="1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 ht="15.75" customHeight="1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 ht="15.75" customHeight="1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 ht="15.75" customHeight="1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 ht="15.75" customHeight="1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 ht="15.75" customHeight="1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 ht="15.75" customHeight="1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 ht="15.75" customHeight="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 ht="15.75" customHeight="1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 ht="15.75" customHeight="1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 ht="15.75" customHeight="1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 ht="15.75" customHeight="1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 ht="15.75" customHeight="1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 ht="15.75" customHeight="1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 ht="15.75" customHeight="1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 ht="15.75" customHeight="1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 ht="15.75" customHeight="1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 ht="15.75" customHeight="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 ht="15.75" customHeight="1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 ht="15.75" customHeight="1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 ht="15.75" customHeight="1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 ht="15.75" customHeight="1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 ht="15.75" customHeight="1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 ht="15.75" customHeight="1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 ht="15.75" customHeight="1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 ht="15.75" customHeight="1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 ht="15.75" customHeight="1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 ht="15.75" customHeight="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 ht="15.75" customHeight="1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 ht="15.75" customHeight="1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 ht="15.75" customHeight="1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 ht="15.75" customHeight="1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 ht="15.75" customHeight="1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 ht="15.75" customHeight="1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 ht="15.75" customHeight="1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 ht="15.75" customHeight="1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 ht="15.75" customHeight="1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 ht="15.75" customHeight="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 ht="15.75" customHeight="1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 ht="15.75" customHeight="1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 ht="15.75" customHeight="1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 ht="15.75" customHeight="1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 ht="15.75" customHeight="1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 ht="15.75" customHeight="1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 ht="15.75" customHeight="1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 ht="15.75" customHeight="1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 ht="15.75" customHeight="1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 ht="15.75" customHeight="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 ht="15.75" customHeight="1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 ht="15.75" customHeight="1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 ht="15.75" customHeight="1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 ht="15.75" customHeight="1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 ht="15.75" customHeight="1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 ht="15.75" customHeight="1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 ht="15.75" customHeight="1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 ht="15.75" customHeight="1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 ht="15.75" customHeight="1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 ht="15.75" customHeight="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 ht="15.75" customHeight="1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 ht="15.75" customHeight="1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 ht="15.75" customHeight="1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 ht="15.75" customHeight="1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 ht="15.75" customHeight="1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 ht="15.75" customHeight="1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 ht="15.75" customHeight="1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 ht="15.75" customHeight="1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 ht="15.75" customHeight="1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 ht="15.75" customHeight="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 ht="15.75" customHeight="1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 ht="15.75" customHeight="1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 ht="15.75" customHeight="1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 ht="15.75" customHeight="1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 ht="15.75" customHeight="1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 ht="15.75" customHeight="1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 ht="15.75" customHeight="1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 ht="15.75" customHeight="1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 ht="15.75" customHeight="1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 ht="15.75" customHeight="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 ht="15.75" customHeight="1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 ht="15.75" customHeight="1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 ht="15.75" customHeight="1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 ht="15.75" customHeight="1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 ht="15.75" customHeight="1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 ht="15.75" customHeight="1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 ht="15.75" customHeight="1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 ht="15.75" customHeight="1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 ht="15.75" customHeight="1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 ht="15.75" customHeight="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 ht="15.75" customHeight="1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 ht="15.75" customHeight="1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 ht="15.75" customHeight="1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 ht="15.75" customHeight="1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 ht="15.75" customHeight="1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 ht="15.75" customHeight="1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 ht="15.75" customHeight="1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 ht="15.75" customHeight="1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 ht="15.75" customHeight="1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 ht="15.75" customHeight="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 ht="15.75" customHeight="1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 ht="15.75" customHeight="1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 ht="15.75" customHeight="1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 ht="15.75" customHeight="1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 ht="15.75" customHeight="1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 ht="15.75" customHeight="1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 ht="15.75" customHeight="1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 ht="15.75" customHeight="1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 ht="15.75" customHeight="1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 ht="15.75" customHeight="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 ht="15.75" customHeight="1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 ht="15.75" customHeight="1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 ht="15.75" customHeight="1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 ht="15.75" customHeight="1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 ht="15.75" customHeight="1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 ht="15.75" customHeight="1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 ht="15.75" customHeight="1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 ht="15.75" customHeight="1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 ht="15.75" customHeight="1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 ht="15.75" customHeight="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 ht="15.75" customHeight="1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 ht="15.75" customHeight="1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 ht="15.75" customHeight="1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 ht="15.75" customHeight="1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 ht="15.75" customHeight="1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 ht="15.75" customHeight="1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 ht="15.75" customHeight="1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 ht="15.75" customHeight="1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 ht="15.75" customHeight="1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 ht="15.75" customHeight="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 ht="15.75" customHeight="1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 ht="15.75" customHeight="1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 ht="15.75" customHeight="1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 ht="15.75" customHeight="1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 ht="15.75" customHeight="1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 ht="15.75" customHeight="1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 ht="15.75" customHeight="1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 ht="15.75" customHeight="1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 ht="15.75" customHeight="1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 ht="15.75" customHeight="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 ht="15.75" customHeight="1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 ht="15.75" customHeight="1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 ht="15.75" customHeight="1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 ht="15.75" customHeight="1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 ht="15.75" customHeight="1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 ht="15.75" customHeight="1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 ht="15.75" customHeight="1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 ht="15.75" customHeight="1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 ht="15.75" customHeight="1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 ht="15.75" customHeight="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 ht="15.75" customHeight="1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 ht="15.75" customHeight="1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 ht="15.75" customHeight="1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 ht="15.75" customHeight="1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 ht="15.75" customHeight="1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 ht="15.75" customHeight="1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 ht="15.75" customHeight="1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 ht="15.75" customHeight="1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 ht="15.75" customHeight="1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 ht="15.75" customHeight="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 ht="15.75" customHeight="1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 ht="15.75" customHeight="1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 ht="15.75" customHeight="1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 ht="15.75" customHeight="1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 ht="15.75" customHeight="1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 ht="15.75" customHeight="1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 ht="15.75" customHeight="1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 ht="15.75" customHeight="1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 ht="15.75" customHeight="1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 ht="15.75" customHeight="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 ht="15.75" customHeight="1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 ht="15.75" customHeight="1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 ht="15.75" customHeight="1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 ht="15.75" customHeight="1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 ht="15.75" customHeight="1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 ht="15.75" customHeight="1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 ht="15.75" customHeight="1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 ht="15.75" customHeight="1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 ht="15.75" customHeight="1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 ht="15.75" customHeight="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 ht="15.75" customHeight="1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 ht="15.75" customHeight="1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 ht="15.75" customHeight="1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 ht="15.75" customHeight="1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 ht="15.75" customHeight="1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 ht="15.75" customHeight="1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 ht="15.75" customHeight="1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 ht="15.75" customHeight="1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 ht="15.75" customHeight="1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 ht="15.75" customHeight="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 ht="15.75" customHeight="1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 ht="15.75" customHeight="1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 ht="15.75" customHeight="1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 ht="15.75" customHeight="1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 ht="15.75" customHeight="1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 ht="15.75" customHeight="1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 ht="15.75" customHeight="1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 ht="15.75" customHeight="1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 ht="15.75" customHeight="1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 ht="15.75" customHeight="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 ht="15.75" customHeight="1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 ht="15.75" customHeight="1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 ht="15.75" customHeight="1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 ht="15.75" customHeight="1">
      <c r="A405" s="76"/>
      <c r="B405" s="76"/>
      <c r="C405" s="76"/>
      <c r="D405" s="76"/>
      <c r="E405" s="76"/>
      <c r="F405" s="76"/>
      <c r="G405" s="76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 ht="15.75" customHeight="1">
      <c r="A406" s="76"/>
      <c r="B406" s="76"/>
      <c r="C406" s="76"/>
      <c r="D406" s="76"/>
      <c r="E406" s="76"/>
      <c r="F406" s="76"/>
      <c r="G406" s="76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 ht="15.75" customHeight="1">
      <c r="A407" s="76"/>
      <c r="B407" s="76"/>
      <c r="C407" s="76"/>
      <c r="D407" s="76"/>
      <c r="E407" s="76"/>
      <c r="F407" s="76"/>
      <c r="G407" s="76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 ht="15.75" customHeight="1">
      <c r="A408" s="76"/>
      <c r="B408" s="76"/>
      <c r="C408" s="76"/>
      <c r="D408" s="76"/>
      <c r="E408" s="76"/>
      <c r="F408" s="76"/>
      <c r="G408" s="76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 ht="15.75" customHeight="1">
      <c r="A409" s="76"/>
      <c r="B409" s="76"/>
      <c r="C409" s="76"/>
      <c r="D409" s="76"/>
      <c r="E409" s="76"/>
      <c r="F409" s="76"/>
      <c r="G409" s="76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 ht="15.75" customHeight="1">
      <c r="A410" s="76"/>
      <c r="B410" s="76"/>
      <c r="C410" s="76"/>
      <c r="D410" s="76"/>
      <c r="E410" s="76"/>
      <c r="F410" s="76"/>
      <c r="G410" s="76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 ht="15.75" customHeight="1">
      <c r="A411" s="76"/>
      <c r="B411" s="76"/>
      <c r="C411" s="76"/>
      <c r="D411" s="76"/>
      <c r="E411" s="76"/>
      <c r="F411" s="76"/>
      <c r="G411" s="76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 ht="15.75" customHeight="1">
      <c r="A412" s="76"/>
      <c r="B412" s="76"/>
      <c r="C412" s="76"/>
      <c r="D412" s="76"/>
      <c r="E412" s="76"/>
      <c r="F412" s="76"/>
      <c r="G412" s="76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 ht="15.75" customHeight="1">
      <c r="A413" s="76"/>
      <c r="B413" s="76"/>
      <c r="C413" s="76"/>
      <c r="D413" s="76"/>
      <c r="E413" s="76"/>
      <c r="F413" s="76"/>
      <c r="G413" s="76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 ht="15.75" customHeight="1">
      <c r="A414" s="76"/>
      <c r="B414" s="76"/>
      <c r="C414" s="76"/>
      <c r="D414" s="76"/>
      <c r="E414" s="76"/>
      <c r="F414" s="76"/>
      <c r="G414" s="76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 ht="15.75" customHeight="1">
      <c r="A415" s="76"/>
      <c r="B415" s="76"/>
      <c r="C415" s="76"/>
      <c r="D415" s="76"/>
      <c r="E415" s="76"/>
      <c r="F415" s="76"/>
      <c r="G415" s="76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 ht="15.75" customHeight="1">
      <c r="A416" s="76"/>
      <c r="B416" s="76"/>
      <c r="C416" s="76"/>
      <c r="D416" s="76"/>
      <c r="E416" s="76"/>
      <c r="F416" s="76"/>
      <c r="G416" s="76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 ht="15.75" customHeight="1">
      <c r="A417" s="76"/>
      <c r="B417" s="76"/>
      <c r="C417" s="76"/>
      <c r="D417" s="76"/>
      <c r="E417" s="76"/>
      <c r="F417" s="76"/>
      <c r="G417" s="76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 ht="15.75" customHeight="1">
      <c r="A418" s="76"/>
      <c r="B418" s="76"/>
      <c r="C418" s="76"/>
      <c r="D418" s="76"/>
      <c r="E418" s="76"/>
      <c r="F418" s="76"/>
      <c r="G418" s="76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 ht="15.75" customHeight="1">
      <c r="A419" s="76"/>
      <c r="B419" s="76"/>
      <c r="C419" s="76"/>
      <c r="D419" s="76"/>
      <c r="E419" s="76"/>
      <c r="F419" s="76"/>
      <c r="G419" s="76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 ht="15.75" customHeight="1">
      <c r="A420" s="76"/>
      <c r="B420" s="76"/>
      <c r="C420" s="76"/>
      <c r="D420" s="76"/>
      <c r="E420" s="76"/>
      <c r="F420" s="76"/>
      <c r="G420" s="76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 ht="15.75" customHeight="1">
      <c r="A421" s="76"/>
      <c r="B421" s="76"/>
      <c r="C421" s="76"/>
      <c r="D421" s="76"/>
      <c r="E421" s="76"/>
      <c r="F421" s="76"/>
      <c r="G421" s="76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 ht="15.75" customHeight="1">
      <c r="A422" s="76"/>
      <c r="B422" s="76"/>
      <c r="C422" s="76"/>
      <c r="D422" s="76"/>
      <c r="E422" s="76"/>
      <c r="F422" s="76"/>
      <c r="G422" s="76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 ht="15.75" customHeight="1">
      <c r="A423" s="76"/>
      <c r="B423" s="76"/>
      <c r="C423" s="76"/>
      <c r="D423" s="76"/>
      <c r="E423" s="76"/>
      <c r="F423" s="76"/>
      <c r="G423" s="76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 ht="15.75" customHeight="1">
      <c r="A424" s="76"/>
      <c r="B424" s="76"/>
      <c r="C424" s="76"/>
      <c r="D424" s="76"/>
      <c r="E424" s="76"/>
      <c r="F424" s="76"/>
      <c r="G424" s="76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 ht="15.75" customHeight="1">
      <c r="A425" s="76"/>
      <c r="B425" s="76"/>
      <c r="C425" s="76"/>
      <c r="D425" s="76"/>
      <c r="E425" s="76"/>
      <c r="F425" s="76"/>
      <c r="G425" s="76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 ht="15.75" customHeight="1">
      <c r="A426" s="76"/>
      <c r="B426" s="76"/>
      <c r="C426" s="76"/>
      <c r="D426" s="76"/>
      <c r="E426" s="76"/>
      <c r="F426" s="76"/>
      <c r="G426" s="76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 ht="15.75" customHeight="1">
      <c r="A427" s="76"/>
      <c r="B427" s="76"/>
      <c r="C427" s="76"/>
      <c r="D427" s="76"/>
      <c r="E427" s="76"/>
      <c r="F427" s="76"/>
      <c r="G427" s="76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 ht="15.75" customHeight="1">
      <c r="A428" s="76"/>
      <c r="B428" s="76"/>
      <c r="C428" s="76"/>
      <c r="D428" s="76"/>
      <c r="E428" s="76"/>
      <c r="F428" s="76"/>
      <c r="G428" s="76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 ht="15.75" customHeight="1">
      <c r="A429" s="76"/>
      <c r="B429" s="76"/>
      <c r="C429" s="76"/>
      <c r="D429" s="76"/>
      <c r="E429" s="76"/>
      <c r="F429" s="76"/>
      <c r="G429" s="76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 ht="15.75" customHeight="1">
      <c r="A430" s="76"/>
      <c r="B430" s="76"/>
      <c r="C430" s="76"/>
      <c r="D430" s="76"/>
      <c r="E430" s="76"/>
      <c r="F430" s="76"/>
      <c r="G430" s="76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 ht="15.75" customHeight="1">
      <c r="A431" s="76"/>
      <c r="B431" s="76"/>
      <c r="C431" s="76"/>
      <c r="D431" s="76"/>
      <c r="E431" s="76"/>
      <c r="F431" s="76"/>
      <c r="G431" s="76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 ht="15.75" customHeight="1">
      <c r="A432" s="76"/>
      <c r="B432" s="76"/>
      <c r="C432" s="76"/>
      <c r="D432" s="76"/>
      <c r="E432" s="76"/>
      <c r="F432" s="76"/>
      <c r="G432" s="76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 ht="15.75" customHeight="1">
      <c r="A433" s="76"/>
      <c r="B433" s="76"/>
      <c r="C433" s="76"/>
      <c r="D433" s="76"/>
      <c r="E433" s="76"/>
      <c r="F433" s="76"/>
      <c r="G433" s="76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 ht="15.75" customHeight="1">
      <c r="A434" s="76"/>
      <c r="B434" s="76"/>
      <c r="C434" s="76"/>
      <c r="D434" s="76"/>
      <c r="E434" s="76"/>
      <c r="F434" s="76"/>
      <c r="G434" s="76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 ht="15.75" customHeight="1">
      <c r="A435" s="76"/>
      <c r="B435" s="76"/>
      <c r="C435" s="76"/>
      <c r="D435" s="76"/>
      <c r="E435" s="76"/>
      <c r="F435" s="76"/>
      <c r="G435" s="76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 ht="15.75" customHeight="1">
      <c r="A436" s="76"/>
      <c r="B436" s="76"/>
      <c r="C436" s="76"/>
      <c r="D436" s="76"/>
      <c r="E436" s="76"/>
      <c r="F436" s="76"/>
      <c r="G436" s="76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 ht="15.75" customHeight="1">
      <c r="A437" s="76"/>
      <c r="B437" s="76"/>
      <c r="C437" s="76"/>
      <c r="D437" s="76"/>
      <c r="E437" s="76"/>
      <c r="F437" s="76"/>
      <c r="G437" s="76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 ht="15.75" customHeight="1">
      <c r="A438" s="76"/>
      <c r="B438" s="76"/>
      <c r="C438" s="76"/>
      <c r="D438" s="76"/>
      <c r="E438" s="76"/>
      <c r="F438" s="76"/>
      <c r="G438" s="76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 ht="15.75" customHeight="1">
      <c r="A439" s="76"/>
      <c r="B439" s="76"/>
      <c r="C439" s="76"/>
      <c r="D439" s="76"/>
      <c r="E439" s="76"/>
      <c r="F439" s="76"/>
      <c r="G439" s="76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 ht="15.75" customHeight="1">
      <c r="A440" s="76"/>
      <c r="B440" s="76"/>
      <c r="C440" s="76"/>
      <c r="D440" s="76"/>
      <c r="E440" s="76"/>
      <c r="F440" s="76"/>
      <c r="G440" s="76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 ht="15.75" customHeight="1">
      <c r="A441" s="76"/>
      <c r="B441" s="76"/>
      <c r="C441" s="76"/>
      <c r="D441" s="76"/>
      <c r="E441" s="76"/>
      <c r="F441" s="76"/>
      <c r="G441" s="76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 ht="15.75" customHeight="1">
      <c r="A442" s="76"/>
      <c r="B442" s="76"/>
      <c r="C442" s="76"/>
      <c r="D442" s="76"/>
      <c r="E442" s="76"/>
      <c r="F442" s="76"/>
      <c r="G442" s="76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 ht="15.75" customHeight="1">
      <c r="A443" s="76"/>
      <c r="B443" s="76"/>
      <c r="C443" s="76"/>
      <c r="D443" s="76"/>
      <c r="E443" s="76"/>
      <c r="F443" s="76"/>
      <c r="G443" s="76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 ht="15.75" customHeight="1">
      <c r="A444" s="76"/>
      <c r="B444" s="76"/>
      <c r="C444" s="76"/>
      <c r="D444" s="76"/>
      <c r="E444" s="76"/>
      <c r="F444" s="76"/>
      <c r="G444" s="76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 ht="15.75" customHeight="1">
      <c r="A445" s="76"/>
      <c r="B445" s="76"/>
      <c r="C445" s="76"/>
      <c r="D445" s="76"/>
      <c r="E445" s="76"/>
      <c r="F445" s="76"/>
      <c r="G445" s="76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 ht="15.75" customHeight="1">
      <c r="A446" s="76"/>
      <c r="B446" s="76"/>
      <c r="C446" s="76"/>
      <c r="D446" s="76"/>
      <c r="E446" s="76"/>
      <c r="F446" s="76"/>
      <c r="G446" s="76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 ht="15.75" customHeight="1">
      <c r="A447" s="76"/>
      <c r="B447" s="76"/>
      <c r="C447" s="76"/>
      <c r="D447" s="76"/>
      <c r="E447" s="76"/>
      <c r="F447" s="76"/>
      <c r="G447" s="76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 ht="15.75" customHeight="1">
      <c r="A448" s="76"/>
      <c r="B448" s="76"/>
      <c r="C448" s="76"/>
      <c r="D448" s="76"/>
      <c r="E448" s="76"/>
      <c r="F448" s="76"/>
      <c r="G448" s="76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 ht="15.75" customHeight="1">
      <c r="A449" s="76"/>
      <c r="B449" s="76"/>
      <c r="C449" s="76"/>
      <c r="D449" s="76"/>
      <c r="E449" s="76"/>
      <c r="F449" s="76"/>
      <c r="G449" s="76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 ht="15.75" customHeight="1">
      <c r="A450" s="76"/>
      <c r="B450" s="76"/>
      <c r="C450" s="76"/>
      <c r="D450" s="76"/>
      <c r="E450" s="76"/>
      <c r="F450" s="76"/>
      <c r="G450" s="76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 ht="15.75" customHeight="1">
      <c r="A451" s="76"/>
      <c r="B451" s="76"/>
      <c r="C451" s="76"/>
      <c r="D451" s="76"/>
      <c r="E451" s="76"/>
      <c r="F451" s="76"/>
      <c r="G451" s="76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 ht="15.75" customHeight="1">
      <c r="A452" s="76"/>
      <c r="B452" s="76"/>
      <c r="C452" s="76"/>
      <c r="D452" s="76"/>
      <c r="E452" s="76"/>
      <c r="F452" s="76"/>
      <c r="G452" s="76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 ht="15.75" customHeight="1">
      <c r="A453" s="76"/>
      <c r="B453" s="76"/>
      <c r="C453" s="76"/>
      <c r="D453" s="76"/>
      <c r="E453" s="76"/>
      <c r="F453" s="76"/>
      <c r="G453" s="76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 ht="15.75" customHeight="1">
      <c r="A454" s="76"/>
      <c r="B454" s="76"/>
      <c r="C454" s="76"/>
      <c r="D454" s="76"/>
      <c r="E454" s="76"/>
      <c r="F454" s="76"/>
      <c r="G454" s="76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 ht="15.75" customHeight="1">
      <c r="A455" s="76"/>
      <c r="B455" s="76"/>
      <c r="C455" s="76"/>
      <c r="D455" s="76"/>
      <c r="E455" s="76"/>
      <c r="F455" s="76"/>
      <c r="G455" s="76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 ht="15.75" customHeight="1">
      <c r="A456" s="76"/>
      <c r="B456" s="76"/>
      <c r="C456" s="76"/>
      <c r="D456" s="76"/>
      <c r="E456" s="76"/>
      <c r="F456" s="76"/>
      <c r="G456" s="76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 ht="15.75" customHeight="1">
      <c r="A457" s="76"/>
      <c r="B457" s="76"/>
      <c r="C457" s="76"/>
      <c r="D457" s="76"/>
      <c r="E457" s="76"/>
      <c r="F457" s="76"/>
      <c r="G457" s="76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 ht="15.75" customHeight="1">
      <c r="A458" s="76"/>
      <c r="B458" s="76"/>
      <c r="C458" s="76"/>
      <c r="D458" s="76"/>
      <c r="E458" s="76"/>
      <c r="F458" s="76"/>
      <c r="G458" s="76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 ht="15.75" customHeight="1">
      <c r="A459" s="76"/>
      <c r="B459" s="76"/>
      <c r="C459" s="76"/>
      <c r="D459" s="76"/>
      <c r="E459" s="76"/>
      <c r="F459" s="76"/>
      <c r="G459" s="76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 ht="15.75" customHeight="1">
      <c r="A460" s="76"/>
      <c r="B460" s="76"/>
      <c r="C460" s="76"/>
      <c r="D460" s="76"/>
      <c r="E460" s="76"/>
      <c r="F460" s="76"/>
      <c r="G460" s="76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 ht="15.75" customHeight="1">
      <c r="A461" s="76"/>
      <c r="B461" s="76"/>
      <c r="C461" s="76"/>
      <c r="D461" s="76"/>
      <c r="E461" s="76"/>
      <c r="F461" s="76"/>
      <c r="G461" s="76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 ht="15.75" customHeight="1">
      <c r="A462" s="76"/>
      <c r="B462" s="76"/>
      <c r="C462" s="76"/>
      <c r="D462" s="76"/>
      <c r="E462" s="76"/>
      <c r="F462" s="76"/>
      <c r="G462" s="76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 ht="15.75" customHeight="1">
      <c r="A463" s="76"/>
      <c r="B463" s="76"/>
      <c r="C463" s="76"/>
      <c r="D463" s="76"/>
      <c r="E463" s="76"/>
      <c r="F463" s="76"/>
      <c r="G463" s="76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 ht="15.75" customHeight="1">
      <c r="A464" s="76"/>
      <c r="B464" s="76"/>
      <c r="C464" s="76"/>
      <c r="D464" s="76"/>
      <c r="E464" s="76"/>
      <c r="F464" s="76"/>
      <c r="G464" s="76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 ht="15.75" customHeight="1">
      <c r="A465" s="76"/>
      <c r="B465" s="76"/>
      <c r="C465" s="76"/>
      <c r="D465" s="76"/>
      <c r="E465" s="76"/>
      <c r="F465" s="76"/>
      <c r="G465" s="76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 ht="15.75" customHeight="1">
      <c r="A466" s="76"/>
      <c r="B466" s="76"/>
      <c r="C466" s="76"/>
      <c r="D466" s="76"/>
      <c r="E466" s="76"/>
      <c r="F466" s="76"/>
      <c r="G466" s="76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 ht="15.75" customHeight="1">
      <c r="A467" s="76"/>
      <c r="B467" s="76"/>
      <c r="C467" s="76"/>
      <c r="D467" s="76"/>
      <c r="E467" s="76"/>
      <c r="F467" s="76"/>
      <c r="G467" s="76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 ht="15.75" customHeight="1">
      <c r="A468" s="76"/>
      <c r="B468" s="76"/>
      <c r="C468" s="76"/>
      <c r="D468" s="76"/>
      <c r="E468" s="76"/>
      <c r="F468" s="76"/>
      <c r="G468" s="76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 ht="15.75" customHeight="1">
      <c r="A469" s="76"/>
      <c r="B469" s="76"/>
      <c r="C469" s="76"/>
      <c r="D469" s="76"/>
      <c r="E469" s="76"/>
      <c r="F469" s="76"/>
      <c r="G469" s="76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 ht="15.75" customHeight="1">
      <c r="A470" s="76"/>
      <c r="B470" s="76"/>
      <c r="C470" s="76"/>
      <c r="D470" s="76"/>
      <c r="E470" s="76"/>
      <c r="F470" s="76"/>
      <c r="G470" s="76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 ht="15.75" customHeight="1">
      <c r="A471" s="76"/>
      <c r="B471" s="76"/>
      <c r="C471" s="76"/>
      <c r="D471" s="76"/>
      <c r="E471" s="76"/>
      <c r="F471" s="76"/>
      <c r="G471" s="76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 ht="15.75" customHeight="1">
      <c r="A472" s="76"/>
      <c r="B472" s="76"/>
      <c r="C472" s="76"/>
      <c r="D472" s="76"/>
      <c r="E472" s="76"/>
      <c r="F472" s="76"/>
      <c r="G472" s="76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 ht="15.75" customHeight="1">
      <c r="A473" s="76"/>
      <c r="B473" s="76"/>
      <c r="C473" s="76"/>
      <c r="D473" s="76"/>
      <c r="E473" s="76"/>
      <c r="F473" s="76"/>
      <c r="G473" s="76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 ht="15.75" customHeight="1">
      <c r="A474" s="76"/>
      <c r="B474" s="76"/>
      <c r="C474" s="76"/>
      <c r="D474" s="76"/>
      <c r="E474" s="76"/>
      <c r="F474" s="76"/>
      <c r="G474" s="76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 ht="15.75" customHeight="1">
      <c r="A475" s="76"/>
      <c r="B475" s="76"/>
      <c r="C475" s="76"/>
      <c r="D475" s="76"/>
      <c r="E475" s="76"/>
      <c r="F475" s="76"/>
      <c r="G475" s="76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 ht="15.75" customHeight="1">
      <c r="A476" s="76"/>
      <c r="B476" s="76"/>
      <c r="C476" s="76"/>
      <c r="D476" s="76"/>
      <c r="E476" s="76"/>
      <c r="F476" s="76"/>
      <c r="G476" s="76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 ht="15.75" customHeight="1">
      <c r="A477" s="76"/>
      <c r="B477" s="76"/>
      <c r="C477" s="76"/>
      <c r="D477" s="76"/>
      <c r="E477" s="76"/>
      <c r="F477" s="76"/>
      <c r="G477" s="76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 ht="15.75" customHeight="1">
      <c r="A478" s="76"/>
      <c r="B478" s="76"/>
      <c r="C478" s="76"/>
      <c r="D478" s="76"/>
      <c r="E478" s="76"/>
      <c r="F478" s="76"/>
      <c r="G478" s="76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 ht="15.75" customHeight="1">
      <c r="A479" s="76"/>
      <c r="B479" s="76"/>
      <c r="C479" s="76"/>
      <c r="D479" s="76"/>
      <c r="E479" s="76"/>
      <c r="F479" s="76"/>
      <c r="G479" s="76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 ht="15.75" customHeight="1">
      <c r="A480" s="76"/>
      <c r="B480" s="76"/>
      <c r="C480" s="76"/>
      <c r="D480" s="76"/>
      <c r="E480" s="76"/>
      <c r="F480" s="76"/>
      <c r="G480" s="76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 ht="15.75" customHeight="1">
      <c r="A481" s="76"/>
      <c r="B481" s="76"/>
      <c r="C481" s="76"/>
      <c r="D481" s="76"/>
      <c r="E481" s="76"/>
      <c r="F481" s="76"/>
      <c r="G481" s="76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 ht="15.75" customHeight="1">
      <c r="A482" s="76"/>
      <c r="B482" s="76"/>
      <c r="C482" s="76"/>
      <c r="D482" s="76"/>
      <c r="E482" s="76"/>
      <c r="F482" s="76"/>
      <c r="G482" s="76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 ht="15.75" customHeight="1">
      <c r="A483" s="76"/>
      <c r="B483" s="76"/>
      <c r="C483" s="76"/>
      <c r="D483" s="76"/>
      <c r="E483" s="76"/>
      <c r="F483" s="76"/>
      <c r="G483" s="76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 ht="15.75" customHeight="1">
      <c r="A484" s="76"/>
      <c r="B484" s="76"/>
      <c r="C484" s="76"/>
      <c r="D484" s="76"/>
      <c r="E484" s="76"/>
      <c r="F484" s="76"/>
      <c r="G484" s="76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 ht="15.75" customHeight="1">
      <c r="A485" s="76"/>
      <c r="B485" s="76"/>
      <c r="C485" s="76"/>
      <c r="D485" s="76"/>
      <c r="E485" s="76"/>
      <c r="F485" s="76"/>
      <c r="G485" s="76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 ht="15.75" customHeight="1">
      <c r="A486" s="76"/>
      <c r="B486" s="76"/>
      <c r="C486" s="76"/>
      <c r="D486" s="76"/>
      <c r="E486" s="76"/>
      <c r="F486" s="76"/>
      <c r="G486" s="76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 ht="15.75" customHeight="1">
      <c r="A487" s="76"/>
      <c r="B487" s="76"/>
      <c r="C487" s="76"/>
      <c r="D487" s="76"/>
      <c r="E487" s="76"/>
      <c r="F487" s="76"/>
      <c r="G487" s="76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 ht="15.75" customHeight="1">
      <c r="A488" s="76"/>
      <c r="B488" s="76"/>
      <c r="C488" s="76"/>
      <c r="D488" s="76"/>
      <c r="E488" s="76"/>
      <c r="F488" s="76"/>
      <c r="G488" s="76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 ht="15.75" customHeight="1">
      <c r="A489" s="76"/>
      <c r="B489" s="76"/>
      <c r="C489" s="76"/>
      <c r="D489" s="76"/>
      <c r="E489" s="76"/>
      <c r="F489" s="76"/>
      <c r="G489" s="76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 ht="15.75" customHeight="1">
      <c r="A490" s="76"/>
      <c r="B490" s="76"/>
      <c r="C490" s="76"/>
      <c r="D490" s="76"/>
      <c r="E490" s="76"/>
      <c r="F490" s="76"/>
      <c r="G490" s="76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 ht="15.75" customHeight="1">
      <c r="A491" s="76"/>
      <c r="B491" s="76"/>
      <c r="C491" s="76"/>
      <c r="D491" s="76"/>
      <c r="E491" s="76"/>
      <c r="F491" s="76"/>
      <c r="G491" s="76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 ht="15.75" customHeight="1">
      <c r="A492" s="76"/>
      <c r="B492" s="76"/>
      <c r="C492" s="76"/>
      <c r="D492" s="76"/>
      <c r="E492" s="76"/>
      <c r="F492" s="76"/>
      <c r="G492" s="76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 ht="15.75" customHeight="1">
      <c r="A493" s="76"/>
      <c r="B493" s="76"/>
      <c r="C493" s="76"/>
      <c r="D493" s="76"/>
      <c r="E493" s="76"/>
      <c r="F493" s="76"/>
      <c r="G493" s="76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 ht="15.75" customHeight="1">
      <c r="A494" s="76"/>
      <c r="B494" s="76"/>
      <c r="C494" s="76"/>
      <c r="D494" s="76"/>
      <c r="E494" s="76"/>
      <c r="F494" s="76"/>
      <c r="G494" s="76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 ht="15.75" customHeight="1">
      <c r="A495" s="76"/>
      <c r="B495" s="76"/>
      <c r="C495" s="76"/>
      <c r="D495" s="76"/>
      <c r="E495" s="76"/>
      <c r="F495" s="76"/>
      <c r="G495" s="76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 ht="15.75" customHeight="1">
      <c r="A496" s="76"/>
      <c r="B496" s="76"/>
      <c r="C496" s="76"/>
      <c r="D496" s="76"/>
      <c r="E496" s="76"/>
      <c r="F496" s="76"/>
      <c r="G496" s="76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 ht="15.75" customHeight="1">
      <c r="A497" s="76"/>
      <c r="B497" s="76"/>
      <c r="C497" s="76"/>
      <c r="D497" s="76"/>
      <c r="E497" s="76"/>
      <c r="F497" s="76"/>
      <c r="G497" s="76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 ht="15.75" customHeight="1">
      <c r="A498" s="76"/>
      <c r="B498" s="76"/>
      <c r="C498" s="76"/>
      <c r="D498" s="76"/>
      <c r="E498" s="76"/>
      <c r="F498" s="76"/>
      <c r="G498" s="76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 ht="15.75" customHeight="1">
      <c r="A499" s="76"/>
      <c r="B499" s="76"/>
      <c r="C499" s="76"/>
      <c r="D499" s="76"/>
      <c r="E499" s="76"/>
      <c r="F499" s="76"/>
      <c r="G499" s="76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 ht="15.75" customHeight="1">
      <c r="A500" s="76"/>
      <c r="B500" s="76"/>
      <c r="C500" s="76"/>
      <c r="D500" s="76"/>
      <c r="E500" s="76"/>
      <c r="F500" s="76"/>
      <c r="G500" s="76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 ht="15.75" customHeight="1">
      <c r="A501" s="76"/>
      <c r="B501" s="76"/>
      <c r="C501" s="76"/>
      <c r="D501" s="76"/>
      <c r="E501" s="76"/>
      <c r="F501" s="76"/>
      <c r="G501" s="76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 ht="15.75" customHeight="1">
      <c r="A502" s="76"/>
      <c r="B502" s="76"/>
      <c r="C502" s="76"/>
      <c r="D502" s="76"/>
      <c r="E502" s="76"/>
      <c r="F502" s="76"/>
      <c r="G502" s="76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 ht="15.75" customHeight="1">
      <c r="A503" s="76"/>
      <c r="B503" s="76"/>
      <c r="C503" s="76"/>
      <c r="D503" s="76"/>
      <c r="E503" s="76"/>
      <c r="F503" s="76"/>
      <c r="G503" s="76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 ht="15.75" customHeight="1">
      <c r="A504" s="76"/>
      <c r="B504" s="76"/>
      <c r="C504" s="76"/>
      <c r="D504" s="76"/>
      <c r="E504" s="76"/>
      <c r="F504" s="76"/>
      <c r="G504" s="76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 ht="15.75" customHeight="1">
      <c r="A505" s="76"/>
      <c r="B505" s="76"/>
      <c r="C505" s="76"/>
      <c r="D505" s="76"/>
      <c r="E505" s="76"/>
      <c r="F505" s="76"/>
      <c r="G505" s="76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 ht="15.75" customHeight="1">
      <c r="A506" s="76"/>
      <c r="B506" s="76"/>
      <c r="C506" s="76"/>
      <c r="D506" s="76"/>
      <c r="E506" s="76"/>
      <c r="F506" s="76"/>
      <c r="G506" s="76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 ht="15.75" customHeight="1">
      <c r="A507" s="76"/>
      <c r="B507" s="76"/>
      <c r="C507" s="76"/>
      <c r="D507" s="76"/>
      <c r="E507" s="76"/>
      <c r="F507" s="76"/>
      <c r="G507" s="76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 ht="15.75" customHeight="1">
      <c r="A508" s="76"/>
      <c r="B508" s="76"/>
      <c r="C508" s="76"/>
      <c r="D508" s="76"/>
      <c r="E508" s="76"/>
      <c r="F508" s="76"/>
      <c r="G508" s="76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 ht="15.75" customHeight="1">
      <c r="A509" s="76"/>
      <c r="B509" s="76"/>
      <c r="C509" s="76"/>
      <c r="D509" s="76"/>
      <c r="E509" s="76"/>
      <c r="F509" s="76"/>
      <c r="G509" s="76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 ht="15.75" customHeight="1">
      <c r="A510" s="76"/>
      <c r="B510" s="76"/>
      <c r="C510" s="76"/>
      <c r="D510" s="76"/>
      <c r="E510" s="76"/>
      <c r="F510" s="76"/>
      <c r="G510" s="76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 ht="15.75" customHeight="1">
      <c r="A511" s="76"/>
      <c r="B511" s="76"/>
      <c r="C511" s="76"/>
      <c r="D511" s="76"/>
      <c r="E511" s="76"/>
      <c r="F511" s="76"/>
      <c r="G511" s="76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 ht="15.75" customHeight="1">
      <c r="A512" s="76"/>
      <c r="B512" s="76"/>
      <c r="C512" s="76"/>
      <c r="D512" s="76"/>
      <c r="E512" s="76"/>
      <c r="F512" s="76"/>
      <c r="G512" s="76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 ht="15.75" customHeight="1">
      <c r="A513" s="76"/>
      <c r="B513" s="76"/>
      <c r="C513" s="76"/>
      <c r="D513" s="76"/>
      <c r="E513" s="76"/>
      <c r="F513" s="76"/>
      <c r="G513" s="76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 ht="15.75" customHeight="1">
      <c r="A514" s="76"/>
      <c r="B514" s="76"/>
      <c r="C514" s="76"/>
      <c r="D514" s="76"/>
      <c r="E514" s="76"/>
      <c r="F514" s="76"/>
      <c r="G514" s="76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 ht="15.75" customHeight="1">
      <c r="A515" s="76"/>
      <c r="B515" s="76"/>
      <c r="C515" s="76"/>
      <c r="D515" s="76"/>
      <c r="E515" s="76"/>
      <c r="F515" s="76"/>
      <c r="G515" s="76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 ht="15.75" customHeight="1">
      <c r="A516" s="76"/>
      <c r="B516" s="76"/>
      <c r="C516" s="76"/>
      <c r="D516" s="76"/>
      <c r="E516" s="76"/>
      <c r="F516" s="76"/>
      <c r="G516" s="76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 ht="15.75" customHeight="1">
      <c r="A517" s="76"/>
      <c r="B517" s="76"/>
      <c r="C517" s="76"/>
      <c r="D517" s="76"/>
      <c r="E517" s="76"/>
      <c r="F517" s="76"/>
      <c r="G517" s="76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 ht="15.75" customHeight="1">
      <c r="A518" s="76"/>
      <c r="B518" s="76"/>
      <c r="C518" s="76"/>
      <c r="D518" s="76"/>
      <c r="E518" s="76"/>
      <c r="F518" s="76"/>
      <c r="G518" s="76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 ht="15.75" customHeight="1">
      <c r="A519" s="76"/>
      <c r="B519" s="76"/>
      <c r="C519" s="76"/>
      <c r="D519" s="76"/>
      <c r="E519" s="76"/>
      <c r="F519" s="76"/>
      <c r="G519" s="76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 ht="15.75" customHeight="1">
      <c r="A520" s="76"/>
      <c r="B520" s="76"/>
      <c r="C520" s="76"/>
      <c r="D520" s="76"/>
      <c r="E520" s="76"/>
      <c r="F520" s="76"/>
      <c r="G520" s="76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 ht="15.75" customHeight="1">
      <c r="A521" s="76"/>
      <c r="B521" s="76"/>
      <c r="C521" s="76"/>
      <c r="D521" s="76"/>
      <c r="E521" s="76"/>
      <c r="F521" s="76"/>
      <c r="G521" s="76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 ht="15.75" customHeight="1">
      <c r="A522" s="76"/>
      <c r="B522" s="76"/>
      <c r="C522" s="76"/>
      <c r="D522" s="76"/>
      <c r="E522" s="76"/>
      <c r="F522" s="76"/>
      <c r="G522" s="76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 ht="15.75" customHeight="1">
      <c r="A523" s="76"/>
      <c r="B523" s="76"/>
      <c r="C523" s="76"/>
      <c r="D523" s="76"/>
      <c r="E523" s="76"/>
      <c r="F523" s="76"/>
      <c r="G523" s="76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 ht="15.75" customHeight="1">
      <c r="A524" s="76"/>
      <c r="B524" s="76"/>
      <c r="C524" s="76"/>
      <c r="D524" s="76"/>
      <c r="E524" s="76"/>
      <c r="F524" s="76"/>
      <c r="G524" s="76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 ht="15.75" customHeight="1">
      <c r="A525" s="76"/>
      <c r="B525" s="76"/>
      <c r="C525" s="76"/>
      <c r="D525" s="76"/>
      <c r="E525" s="76"/>
      <c r="F525" s="76"/>
      <c r="G525" s="76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 ht="15.75" customHeight="1">
      <c r="A526" s="76"/>
      <c r="B526" s="76"/>
      <c r="C526" s="76"/>
      <c r="D526" s="76"/>
      <c r="E526" s="76"/>
      <c r="F526" s="76"/>
      <c r="G526" s="76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 ht="15.75" customHeight="1">
      <c r="A527" s="76"/>
      <c r="B527" s="76"/>
      <c r="C527" s="76"/>
      <c r="D527" s="76"/>
      <c r="E527" s="76"/>
      <c r="F527" s="76"/>
      <c r="G527" s="76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 ht="15.75" customHeight="1">
      <c r="A528" s="76"/>
      <c r="B528" s="76"/>
      <c r="C528" s="76"/>
      <c r="D528" s="76"/>
      <c r="E528" s="76"/>
      <c r="F528" s="76"/>
      <c r="G528" s="76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 ht="15.75" customHeight="1">
      <c r="A529" s="76"/>
      <c r="B529" s="76"/>
      <c r="C529" s="76"/>
      <c r="D529" s="76"/>
      <c r="E529" s="76"/>
      <c r="F529" s="76"/>
      <c r="G529" s="76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 ht="15.75" customHeight="1">
      <c r="A530" s="76"/>
      <c r="B530" s="76"/>
      <c r="C530" s="76"/>
      <c r="D530" s="76"/>
      <c r="E530" s="76"/>
      <c r="F530" s="76"/>
      <c r="G530" s="76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 ht="15.75" customHeight="1">
      <c r="A531" s="76"/>
      <c r="B531" s="76"/>
      <c r="C531" s="76"/>
      <c r="D531" s="76"/>
      <c r="E531" s="76"/>
      <c r="F531" s="76"/>
      <c r="G531" s="76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 ht="15.75" customHeight="1">
      <c r="A532" s="76"/>
      <c r="B532" s="76"/>
      <c r="C532" s="76"/>
      <c r="D532" s="76"/>
      <c r="E532" s="76"/>
      <c r="F532" s="76"/>
      <c r="G532" s="76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 ht="15.75" customHeight="1">
      <c r="A533" s="76"/>
      <c r="B533" s="76"/>
      <c r="C533" s="76"/>
      <c r="D533" s="76"/>
      <c r="E533" s="76"/>
      <c r="F533" s="76"/>
      <c r="G533" s="76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 ht="15.75" customHeight="1">
      <c r="A534" s="76"/>
      <c r="B534" s="76"/>
      <c r="C534" s="76"/>
      <c r="D534" s="76"/>
      <c r="E534" s="76"/>
      <c r="F534" s="76"/>
      <c r="G534" s="76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 ht="15.75" customHeight="1">
      <c r="A535" s="76"/>
      <c r="B535" s="76"/>
      <c r="C535" s="76"/>
      <c r="D535" s="76"/>
      <c r="E535" s="76"/>
      <c r="F535" s="76"/>
      <c r="G535" s="76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 ht="15.75" customHeight="1">
      <c r="A536" s="76"/>
      <c r="B536" s="76"/>
      <c r="C536" s="76"/>
      <c r="D536" s="76"/>
      <c r="E536" s="76"/>
      <c r="F536" s="76"/>
      <c r="G536" s="76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 ht="15.75" customHeight="1">
      <c r="A537" s="76"/>
      <c r="B537" s="76"/>
      <c r="C537" s="76"/>
      <c r="D537" s="76"/>
      <c r="E537" s="76"/>
      <c r="F537" s="76"/>
      <c r="G537" s="76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 ht="15.75" customHeight="1">
      <c r="A538" s="76"/>
      <c r="B538" s="76"/>
      <c r="C538" s="76"/>
      <c r="D538" s="76"/>
      <c r="E538" s="76"/>
      <c r="F538" s="76"/>
      <c r="G538" s="76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 ht="15.75" customHeight="1">
      <c r="A539" s="76"/>
      <c r="B539" s="76"/>
      <c r="C539" s="76"/>
      <c r="D539" s="76"/>
      <c r="E539" s="76"/>
      <c r="F539" s="76"/>
      <c r="G539" s="76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 ht="15.75" customHeight="1">
      <c r="A540" s="76"/>
      <c r="B540" s="76"/>
      <c r="C540" s="76"/>
      <c r="D540" s="76"/>
      <c r="E540" s="76"/>
      <c r="F540" s="76"/>
      <c r="G540" s="76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 ht="15.75" customHeight="1">
      <c r="A541" s="76"/>
      <c r="B541" s="76"/>
      <c r="C541" s="76"/>
      <c r="D541" s="76"/>
      <c r="E541" s="76"/>
      <c r="F541" s="76"/>
      <c r="G541" s="76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 ht="15.75" customHeight="1">
      <c r="A542" s="76"/>
      <c r="B542" s="76"/>
      <c r="C542" s="76"/>
      <c r="D542" s="76"/>
      <c r="E542" s="76"/>
      <c r="F542" s="76"/>
      <c r="G542" s="76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 ht="15.75" customHeight="1">
      <c r="A543" s="76"/>
      <c r="B543" s="76"/>
      <c r="C543" s="76"/>
      <c r="D543" s="76"/>
      <c r="E543" s="76"/>
      <c r="F543" s="76"/>
      <c r="G543" s="76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 ht="15.75" customHeight="1">
      <c r="A544" s="76"/>
      <c r="B544" s="76"/>
      <c r="C544" s="76"/>
      <c r="D544" s="76"/>
      <c r="E544" s="76"/>
      <c r="F544" s="76"/>
      <c r="G544" s="76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 ht="15.75" customHeight="1">
      <c r="A545" s="76"/>
      <c r="B545" s="76"/>
      <c r="C545" s="76"/>
      <c r="D545" s="76"/>
      <c r="E545" s="76"/>
      <c r="F545" s="76"/>
      <c r="G545" s="76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 ht="15.75" customHeight="1">
      <c r="A546" s="76"/>
      <c r="B546" s="76"/>
      <c r="C546" s="76"/>
      <c r="D546" s="76"/>
      <c r="E546" s="76"/>
      <c r="F546" s="76"/>
      <c r="G546" s="76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 ht="15.75" customHeight="1">
      <c r="A547" s="76"/>
      <c r="B547" s="76"/>
      <c r="C547" s="76"/>
      <c r="D547" s="76"/>
      <c r="E547" s="76"/>
      <c r="F547" s="76"/>
      <c r="G547" s="76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 ht="15.75" customHeight="1">
      <c r="A548" s="76"/>
      <c r="B548" s="76"/>
      <c r="C548" s="76"/>
      <c r="D548" s="76"/>
      <c r="E548" s="76"/>
      <c r="F548" s="76"/>
      <c r="G548" s="76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 ht="15.75" customHeight="1">
      <c r="A549" s="76"/>
      <c r="B549" s="76"/>
      <c r="C549" s="76"/>
      <c r="D549" s="76"/>
      <c r="E549" s="76"/>
      <c r="F549" s="76"/>
      <c r="G549" s="76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 ht="15.75" customHeight="1">
      <c r="A550" s="76"/>
      <c r="B550" s="76"/>
      <c r="C550" s="76"/>
      <c r="D550" s="76"/>
      <c r="E550" s="76"/>
      <c r="F550" s="76"/>
      <c r="G550" s="76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 ht="15.75" customHeight="1">
      <c r="A551" s="76"/>
      <c r="B551" s="76"/>
      <c r="C551" s="76"/>
      <c r="D551" s="76"/>
      <c r="E551" s="76"/>
      <c r="F551" s="76"/>
      <c r="G551" s="76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 ht="15.75" customHeight="1">
      <c r="A552" s="76"/>
      <c r="B552" s="76"/>
      <c r="C552" s="76"/>
      <c r="D552" s="76"/>
      <c r="E552" s="76"/>
      <c r="F552" s="76"/>
      <c r="G552" s="76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 ht="15.75" customHeight="1">
      <c r="A553" s="76"/>
      <c r="B553" s="76"/>
      <c r="C553" s="76"/>
      <c r="D553" s="76"/>
      <c r="E553" s="76"/>
      <c r="F553" s="76"/>
      <c r="G553" s="76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 ht="15.75" customHeight="1">
      <c r="A554" s="76"/>
      <c r="B554" s="76"/>
      <c r="C554" s="76"/>
      <c r="D554" s="76"/>
      <c r="E554" s="76"/>
      <c r="F554" s="76"/>
      <c r="G554" s="76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 ht="15.75" customHeight="1">
      <c r="A555" s="76"/>
      <c r="B555" s="76"/>
      <c r="C555" s="76"/>
      <c r="D555" s="76"/>
      <c r="E555" s="76"/>
      <c r="F555" s="76"/>
      <c r="G555" s="76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 ht="15.75" customHeight="1">
      <c r="A556" s="76"/>
      <c r="B556" s="76"/>
      <c r="C556" s="76"/>
      <c r="D556" s="76"/>
      <c r="E556" s="76"/>
      <c r="F556" s="76"/>
      <c r="G556" s="76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 ht="15.75" customHeight="1">
      <c r="A557" s="76"/>
      <c r="B557" s="76"/>
      <c r="C557" s="76"/>
      <c r="D557" s="76"/>
      <c r="E557" s="76"/>
      <c r="F557" s="76"/>
      <c r="G557" s="76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 ht="15.75" customHeight="1">
      <c r="A558" s="76"/>
      <c r="B558" s="76"/>
      <c r="C558" s="76"/>
      <c r="D558" s="76"/>
      <c r="E558" s="76"/>
      <c r="F558" s="76"/>
      <c r="G558" s="76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 ht="15.75" customHeight="1">
      <c r="A559" s="76"/>
      <c r="B559" s="76"/>
      <c r="C559" s="76"/>
      <c r="D559" s="76"/>
      <c r="E559" s="76"/>
      <c r="F559" s="76"/>
      <c r="G559" s="76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 ht="15.75" customHeight="1">
      <c r="A560" s="76"/>
      <c r="B560" s="76"/>
      <c r="C560" s="76"/>
      <c r="D560" s="76"/>
      <c r="E560" s="76"/>
      <c r="F560" s="76"/>
      <c r="G560" s="76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 ht="15.75" customHeight="1">
      <c r="A561" s="76"/>
      <c r="B561" s="76"/>
      <c r="C561" s="76"/>
      <c r="D561" s="76"/>
      <c r="E561" s="76"/>
      <c r="F561" s="76"/>
      <c r="G561" s="76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 ht="15.75" customHeight="1">
      <c r="A562" s="76"/>
      <c r="B562" s="76"/>
      <c r="C562" s="76"/>
      <c r="D562" s="76"/>
      <c r="E562" s="76"/>
      <c r="F562" s="76"/>
      <c r="G562" s="76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 ht="15.75" customHeight="1">
      <c r="A563" s="76"/>
      <c r="B563" s="76"/>
      <c r="C563" s="76"/>
      <c r="D563" s="76"/>
      <c r="E563" s="76"/>
      <c r="F563" s="76"/>
      <c r="G563" s="76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 ht="15.75" customHeight="1">
      <c r="A564" s="76"/>
      <c r="B564" s="76"/>
      <c r="C564" s="76"/>
      <c r="D564" s="76"/>
      <c r="E564" s="76"/>
      <c r="F564" s="76"/>
      <c r="G564" s="76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 ht="15.75" customHeight="1">
      <c r="A565" s="76"/>
      <c r="B565" s="76"/>
      <c r="C565" s="76"/>
      <c r="D565" s="76"/>
      <c r="E565" s="76"/>
      <c r="F565" s="76"/>
      <c r="G565" s="76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 ht="15.75" customHeight="1">
      <c r="A566" s="76"/>
      <c r="B566" s="76"/>
      <c r="C566" s="76"/>
      <c r="D566" s="76"/>
      <c r="E566" s="76"/>
      <c r="F566" s="76"/>
      <c r="G566" s="76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 ht="15.75" customHeight="1">
      <c r="A567" s="76"/>
      <c r="B567" s="76"/>
      <c r="C567" s="76"/>
      <c r="D567" s="76"/>
      <c r="E567" s="76"/>
      <c r="F567" s="76"/>
      <c r="G567" s="76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 ht="15.75" customHeight="1">
      <c r="A568" s="76"/>
      <c r="B568" s="76"/>
      <c r="C568" s="76"/>
      <c r="D568" s="76"/>
      <c r="E568" s="76"/>
      <c r="F568" s="76"/>
      <c r="G568" s="76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 ht="15.75" customHeight="1">
      <c r="A569" s="76"/>
      <c r="B569" s="76"/>
      <c r="C569" s="76"/>
      <c r="D569" s="76"/>
      <c r="E569" s="76"/>
      <c r="F569" s="76"/>
      <c r="G569" s="76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 ht="15.75" customHeight="1">
      <c r="A570" s="76"/>
      <c r="B570" s="76"/>
      <c r="C570" s="76"/>
      <c r="D570" s="76"/>
      <c r="E570" s="76"/>
      <c r="F570" s="76"/>
      <c r="G570" s="76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 ht="15.75" customHeight="1">
      <c r="A571" s="76"/>
      <c r="B571" s="76"/>
      <c r="C571" s="76"/>
      <c r="D571" s="76"/>
      <c r="E571" s="76"/>
      <c r="F571" s="76"/>
      <c r="G571" s="76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 ht="15.75" customHeight="1">
      <c r="A572" s="76"/>
      <c r="B572" s="76"/>
      <c r="C572" s="76"/>
      <c r="D572" s="76"/>
      <c r="E572" s="76"/>
      <c r="F572" s="76"/>
      <c r="G572" s="76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 ht="15.75" customHeight="1">
      <c r="A573" s="76"/>
      <c r="B573" s="76"/>
      <c r="C573" s="76"/>
      <c r="D573" s="76"/>
      <c r="E573" s="76"/>
      <c r="F573" s="76"/>
      <c r="G573" s="76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 ht="15.75" customHeight="1">
      <c r="A574" s="76"/>
      <c r="B574" s="76"/>
      <c r="C574" s="76"/>
      <c r="D574" s="76"/>
      <c r="E574" s="76"/>
      <c r="F574" s="76"/>
      <c r="G574" s="76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 ht="15.75" customHeight="1">
      <c r="A575" s="76"/>
      <c r="B575" s="76"/>
      <c r="C575" s="76"/>
      <c r="D575" s="76"/>
      <c r="E575" s="76"/>
      <c r="F575" s="76"/>
      <c r="G575" s="76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 ht="15.75" customHeight="1">
      <c r="A576" s="76"/>
      <c r="B576" s="76"/>
      <c r="C576" s="76"/>
      <c r="D576" s="76"/>
      <c r="E576" s="76"/>
      <c r="F576" s="76"/>
      <c r="G576" s="76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 ht="15.75" customHeight="1">
      <c r="A577" s="76"/>
      <c r="B577" s="76"/>
      <c r="C577" s="76"/>
      <c r="D577" s="76"/>
      <c r="E577" s="76"/>
      <c r="F577" s="76"/>
      <c r="G577" s="76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 ht="15.75" customHeight="1">
      <c r="A578" s="76"/>
      <c r="B578" s="76"/>
      <c r="C578" s="76"/>
      <c r="D578" s="76"/>
      <c r="E578" s="76"/>
      <c r="F578" s="76"/>
      <c r="G578" s="76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 ht="15.75" customHeight="1">
      <c r="A579" s="76"/>
      <c r="B579" s="76"/>
      <c r="C579" s="76"/>
      <c r="D579" s="76"/>
      <c r="E579" s="76"/>
      <c r="F579" s="76"/>
      <c r="G579" s="76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 ht="15.75" customHeight="1">
      <c r="A580" s="76"/>
      <c r="B580" s="76"/>
      <c r="C580" s="76"/>
      <c r="D580" s="76"/>
      <c r="E580" s="76"/>
      <c r="F580" s="76"/>
      <c r="G580" s="76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 ht="15.75" customHeight="1">
      <c r="A581" s="76"/>
      <c r="B581" s="76"/>
      <c r="C581" s="76"/>
      <c r="D581" s="76"/>
      <c r="E581" s="76"/>
      <c r="F581" s="76"/>
      <c r="G581" s="76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 ht="15.75" customHeight="1">
      <c r="A582" s="76"/>
      <c r="B582" s="76"/>
      <c r="C582" s="76"/>
      <c r="D582" s="76"/>
      <c r="E582" s="76"/>
      <c r="F582" s="76"/>
      <c r="G582" s="76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 ht="15.75" customHeight="1">
      <c r="A583" s="76"/>
      <c r="B583" s="76"/>
      <c r="C583" s="76"/>
      <c r="D583" s="76"/>
      <c r="E583" s="76"/>
      <c r="F583" s="76"/>
      <c r="G583" s="76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 ht="15.75" customHeight="1">
      <c r="A584" s="76"/>
      <c r="B584" s="76"/>
      <c r="C584" s="76"/>
      <c r="D584" s="76"/>
      <c r="E584" s="76"/>
      <c r="F584" s="76"/>
      <c r="G584" s="76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 ht="15.75" customHeight="1">
      <c r="A585" s="76"/>
      <c r="B585" s="76"/>
      <c r="C585" s="76"/>
      <c r="D585" s="76"/>
      <c r="E585" s="76"/>
      <c r="F585" s="76"/>
      <c r="G585" s="76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 ht="15.75" customHeight="1">
      <c r="A586" s="76"/>
      <c r="B586" s="76"/>
      <c r="C586" s="76"/>
      <c r="D586" s="76"/>
      <c r="E586" s="76"/>
      <c r="F586" s="76"/>
      <c r="G586" s="76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 ht="15.75" customHeight="1">
      <c r="A587" s="76"/>
      <c r="B587" s="76"/>
      <c r="C587" s="76"/>
      <c r="D587" s="76"/>
      <c r="E587" s="76"/>
      <c r="F587" s="76"/>
      <c r="G587" s="76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 ht="15.75" customHeight="1">
      <c r="A588" s="76"/>
      <c r="B588" s="76"/>
      <c r="C588" s="76"/>
      <c r="D588" s="76"/>
      <c r="E588" s="76"/>
      <c r="F588" s="76"/>
      <c r="G588" s="76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 ht="15.75" customHeight="1">
      <c r="A589" s="76"/>
      <c r="B589" s="76"/>
      <c r="C589" s="76"/>
      <c r="D589" s="76"/>
      <c r="E589" s="76"/>
      <c r="F589" s="76"/>
      <c r="G589" s="76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 ht="15.75" customHeight="1">
      <c r="A590" s="76"/>
      <c r="B590" s="76"/>
      <c r="C590" s="76"/>
      <c r="D590" s="76"/>
      <c r="E590" s="76"/>
      <c r="F590" s="76"/>
      <c r="G590" s="76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 ht="15.75" customHeight="1">
      <c r="A591" s="76"/>
      <c r="B591" s="76"/>
      <c r="C591" s="76"/>
      <c r="D591" s="76"/>
      <c r="E591" s="76"/>
      <c r="F591" s="76"/>
      <c r="G591" s="76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 ht="15.75" customHeight="1">
      <c r="A592" s="76"/>
      <c r="B592" s="76"/>
      <c r="C592" s="76"/>
      <c r="D592" s="76"/>
      <c r="E592" s="76"/>
      <c r="F592" s="76"/>
      <c r="G592" s="76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 ht="15.75" customHeight="1">
      <c r="A593" s="76"/>
      <c r="B593" s="76"/>
      <c r="C593" s="76"/>
      <c r="D593" s="76"/>
      <c r="E593" s="76"/>
      <c r="F593" s="76"/>
      <c r="G593" s="76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 ht="15.75" customHeight="1">
      <c r="A594" s="76"/>
      <c r="B594" s="76"/>
      <c r="C594" s="76"/>
      <c r="D594" s="76"/>
      <c r="E594" s="76"/>
      <c r="F594" s="76"/>
      <c r="G594" s="76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 ht="15.75" customHeight="1">
      <c r="A595" s="76"/>
      <c r="B595" s="76"/>
      <c r="C595" s="76"/>
      <c r="D595" s="76"/>
      <c r="E595" s="76"/>
      <c r="F595" s="76"/>
      <c r="G595" s="76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 ht="15.75" customHeight="1">
      <c r="A596" s="76"/>
      <c r="B596" s="76"/>
      <c r="C596" s="76"/>
      <c r="D596" s="76"/>
      <c r="E596" s="76"/>
      <c r="F596" s="76"/>
      <c r="G596" s="76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 ht="15.75" customHeight="1">
      <c r="A597" s="76"/>
      <c r="B597" s="76"/>
      <c r="C597" s="76"/>
      <c r="D597" s="76"/>
      <c r="E597" s="76"/>
      <c r="F597" s="76"/>
      <c r="G597" s="76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 ht="15.75" customHeight="1">
      <c r="A598" s="76"/>
      <c r="B598" s="76"/>
      <c r="C598" s="76"/>
      <c r="D598" s="76"/>
      <c r="E598" s="76"/>
      <c r="F598" s="76"/>
      <c r="G598" s="76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 ht="15.75" customHeight="1">
      <c r="A599" s="76"/>
      <c r="B599" s="76"/>
      <c r="C599" s="76"/>
      <c r="D599" s="76"/>
      <c r="E599" s="76"/>
      <c r="F599" s="76"/>
      <c r="G599" s="76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 ht="15.75" customHeight="1">
      <c r="A600" s="76"/>
      <c r="B600" s="76"/>
      <c r="C600" s="76"/>
      <c r="D600" s="76"/>
      <c r="E600" s="76"/>
      <c r="F600" s="76"/>
      <c r="G600" s="76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 ht="15.75" customHeight="1">
      <c r="A601" s="76"/>
      <c r="B601" s="76"/>
      <c r="C601" s="76"/>
      <c r="D601" s="76"/>
      <c r="E601" s="76"/>
      <c r="F601" s="76"/>
      <c r="G601" s="76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 ht="15.75" customHeight="1">
      <c r="A602" s="76"/>
      <c r="B602" s="76"/>
      <c r="C602" s="76"/>
      <c r="D602" s="76"/>
      <c r="E602" s="76"/>
      <c r="F602" s="76"/>
      <c r="G602" s="76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 ht="15.75" customHeight="1">
      <c r="A603" s="76"/>
      <c r="B603" s="76"/>
      <c r="C603" s="76"/>
      <c r="D603" s="76"/>
      <c r="E603" s="76"/>
      <c r="F603" s="76"/>
      <c r="G603" s="76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 ht="15.75" customHeight="1">
      <c r="A604" s="76"/>
      <c r="B604" s="76"/>
      <c r="C604" s="76"/>
      <c r="D604" s="76"/>
      <c r="E604" s="76"/>
      <c r="F604" s="76"/>
      <c r="G604" s="76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 ht="15.75" customHeight="1">
      <c r="A605" s="76"/>
      <c r="B605" s="76"/>
      <c r="C605" s="76"/>
      <c r="D605" s="76"/>
      <c r="E605" s="76"/>
      <c r="F605" s="76"/>
      <c r="G605" s="76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 ht="15.75" customHeight="1">
      <c r="A606" s="76"/>
      <c r="B606" s="76"/>
      <c r="C606" s="76"/>
      <c r="D606" s="76"/>
      <c r="E606" s="76"/>
      <c r="F606" s="76"/>
      <c r="G606" s="76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 ht="15.75" customHeight="1">
      <c r="A607" s="76"/>
      <c r="B607" s="76"/>
      <c r="C607" s="76"/>
      <c r="D607" s="76"/>
      <c r="E607" s="76"/>
      <c r="F607" s="76"/>
      <c r="G607" s="76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 ht="15.75" customHeight="1">
      <c r="A608" s="76"/>
      <c r="B608" s="76"/>
      <c r="C608" s="76"/>
      <c r="D608" s="76"/>
      <c r="E608" s="76"/>
      <c r="F608" s="76"/>
      <c r="G608" s="76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 ht="15.75" customHeight="1">
      <c r="A609" s="76"/>
      <c r="B609" s="76"/>
      <c r="C609" s="76"/>
      <c r="D609" s="76"/>
      <c r="E609" s="76"/>
      <c r="F609" s="76"/>
      <c r="G609" s="76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 ht="15.75" customHeight="1">
      <c r="A610" s="76"/>
      <c r="B610" s="76"/>
      <c r="C610" s="76"/>
      <c r="D610" s="76"/>
      <c r="E610" s="76"/>
      <c r="F610" s="76"/>
      <c r="G610" s="76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 ht="15.75" customHeight="1">
      <c r="A611" s="76"/>
      <c r="B611" s="76"/>
      <c r="C611" s="76"/>
      <c r="D611" s="76"/>
      <c r="E611" s="76"/>
      <c r="F611" s="76"/>
      <c r="G611" s="76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 ht="15.75" customHeight="1">
      <c r="A612" s="76"/>
      <c r="B612" s="76"/>
      <c r="C612" s="76"/>
      <c r="D612" s="76"/>
      <c r="E612" s="76"/>
      <c r="F612" s="76"/>
      <c r="G612" s="76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 ht="15.75" customHeight="1">
      <c r="A613" s="76"/>
      <c r="B613" s="76"/>
      <c r="C613" s="76"/>
      <c r="D613" s="76"/>
      <c r="E613" s="76"/>
      <c r="F613" s="76"/>
      <c r="G613" s="76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 ht="15.75" customHeight="1">
      <c r="A614" s="76"/>
      <c r="B614" s="76"/>
      <c r="C614" s="76"/>
      <c r="D614" s="76"/>
      <c r="E614" s="76"/>
      <c r="F614" s="76"/>
      <c r="G614" s="76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 ht="15.75" customHeight="1">
      <c r="A615" s="76"/>
      <c r="B615" s="76"/>
      <c r="C615" s="76"/>
      <c r="D615" s="76"/>
      <c r="E615" s="76"/>
      <c r="F615" s="76"/>
      <c r="G615" s="76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 ht="15.75" customHeight="1">
      <c r="A616" s="76"/>
      <c r="B616" s="76"/>
      <c r="C616" s="76"/>
      <c r="D616" s="76"/>
      <c r="E616" s="76"/>
      <c r="F616" s="76"/>
      <c r="G616" s="76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 ht="15.75" customHeight="1">
      <c r="A617" s="76"/>
      <c r="B617" s="76"/>
      <c r="C617" s="76"/>
      <c r="D617" s="76"/>
      <c r="E617" s="76"/>
      <c r="F617" s="76"/>
      <c r="G617" s="76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 ht="15.75" customHeight="1">
      <c r="A618" s="76"/>
      <c r="B618" s="76"/>
      <c r="C618" s="76"/>
      <c r="D618" s="76"/>
      <c r="E618" s="76"/>
      <c r="F618" s="76"/>
      <c r="G618" s="76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 ht="15.75" customHeight="1">
      <c r="A619" s="76"/>
      <c r="B619" s="76"/>
      <c r="C619" s="76"/>
      <c r="D619" s="76"/>
      <c r="E619" s="76"/>
      <c r="F619" s="76"/>
      <c r="G619" s="76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 ht="15.75" customHeight="1">
      <c r="A620" s="76"/>
      <c r="B620" s="76"/>
      <c r="C620" s="76"/>
      <c r="D620" s="76"/>
      <c r="E620" s="76"/>
      <c r="F620" s="76"/>
      <c r="G620" s="76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 ht="15.75" customHeight="1">
      <c r="A621" s="76"/>
      <c r="B621" s="76"/>
      <c r="C621" s="76"/>
      <c r="D621" s="76"/>
      <c r="E621" s="76"/>
      <c r="F621" s="76"/>
      <c r="G621" s="76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 ht="15.75" customHeight="1">
      <c r="A622" s="76"/>
      <c r="B622" s="76"/>
      <c r="C622" s="76"/>
      <c r="D622" s="76"/>
      <c r="E622" s="76"/>
      <c r="F622" s="76"/>
      <c r="G622" s="76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 ht="15.75" customHeight="1">
      <c r="A623" s="76"/>
      <c r="B623" s="76"/>
      <c r="C623" s="76"/>
      <c r="D623" s="76"/>
      <c r="E623" s="76"/>
      <c r="F623" s="76"/>
      <c r="G623" s="76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 ht="15.75" customHeight="1">
      <c r="A624" s="76"/>
      <c r="B624" s="76"/>
      <c r="C624" s="76"/>
      <c r="D624" s="76"/>
      <c r="E624" s="76"/>
      <c r="F624" s="76"/>
      <c r="G624" s="76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 ht="15.75" customHeight="1">
      <c r="A625" s="76"/>
      <c r="B625" s="76"/>
      <c r="C625" s="76"/>
      <c r="D625" s="76"/>
      <c r="E625" s="76"/>
      <c r="F625" s="76"/>
      <c r="G625" s="76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 ht="15.75" customHeight="1">
      <c r="A626" s="76"/>
      <c r="B626" s="76"/>
      <c r="C626" s="76"/>
      <c r="D626" s="76"/>
      <c r="E626" s="76"/>
      <c r="F626" s="76"/>
      <c r="G626" s="76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 ht="15.75" customHeight="1">
      <c r="A627" s="76"/>
      <c r="B627" s="76"/>
      <c r="C627" s="76"/>
      <c r="D627" s="76"/>
      <c r="E627" s="76"/>
      <c r="F627" s="76"/>
      <c r="G627" s="76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 ht="15.75" customHeight="1">
      <c r="A628" s="76"/>
      <c r="B628" s="76"/>
      <c r="C628" s="76"/>
      <c r="D628" s="76"/>
      <c r="E628" s="76"/>
      <c r="F628" s="76"/>
      <c r="G628" s="76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 ht="15.75" customHeight="1">
      <c r="A629" s="76"/>
      <c r="B629" s="76"/>
      <c r="C629" s="76"/>
      <c r="D629" s="76"/>
      <c r="E629" s="76"/>
      <c r="F629" s="76"/>
      <c r="G629" s="76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 ht="15.75" customHeight="1">
      <c r="A630" s="76"/>
      <c r="B630" s="76"/>
      <c r="C630" s="76"/>
      <c r="D630" s="76"/>
      <c r="E630" s="76"/>
      <c r="F630" s="76"/>
      <c r="G630" s="76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 ht="15.75" customHeight="1">
      <c r="A631" s="76"/>
      <c r="B631" s="76"/>
      <c r="C631" s="76"/>
      <c r="D631" s="76"/>
      <c r="E631" s="76"/>
      <c r="F631" s="76"/>
      <c r="G631" s="76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 ht="15.75" customHeight="1">
      <c r="A632" s="76"/>
      <c r="B632" s="76"/>
      <c r="C632" s="76"/>
      <c r="D632" s="76"/>
      <c r="E632" s="76"/>
      <c r="F632" s="76"/>
      <c r="G632" s="76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 ht="15.75" customHeight="1">
      <c r="A633" s="76"/>
      <c r="B633" s="76"/>
      <c r="C633" s="76"/>
      <c r="D633" s="76"/>
      <c r="E633" s="76"/>
      <c r="F633" s="76"/>
      <c r="G633" s="76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 ht="15.75" customHeight="1">
      <c r="A634" s="76"/>
      <c r="B634" s="76"/>
      <c r="C634" s="76"/>
      <c r="D634" s="76"/>
      <c r="E634" s="76"/>
      <c r="F634" s="76"/>
      <c r="G634" s="76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 ht="15.75" customHeight="1">
      <c r="A635" s="76"/>
      <c r="B635" s="76"/>
      <c r="C635" s="76"/>
      <c r="D635" s="76"/>
      <c r="E635" s="76"/>
      <c r="F635" s="76"/>
      <c r="G635" s="76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 ht="15.75" customHeight="1">
      <c r="A636" s="76"/>
      <c r="B636" s="76"/>
      <c r="C636" s="76"/>
      <c r="D636" s="76"/>
      <c r="E636" s="76"/>
      <c r="F636" s="76"/>
      <c r="G636" s="76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 ht="15.75" customHeight="1">
      <c r="A637" s="76"/>
      <c r="B637" s="76"/>
      <c r="C637" s="76"/>
      <c r="D637" s="76"/>
      <c r="E637" s="76"/>
      <c r="F637" s="76"/>
      <c r="G637" s="76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 ht="15.75" customHeight="1">
      <c r="A638" s="76"/>
      <c r="B638" s="76"/>
      <c r="C638" s="76"/>
      <c r="D638" s="76"/>
      <c r="E638" s="76"/>
      <c r="F638" s="76"/>
      <c r="G638" s="76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 ht="15.75" customHeight="1">
      <c r="A639" s="76"/>
      <c r="B639" s="76"/>
      <c r="C639" s="76"/>
      <c r="D639" s="76"/>
      <c r="E639" s="76"/>
      <c r="F639" s="76"/>
      <c r="G639" s="76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 ht="15.75" customHeight="1">
      <c r="A640" s="76"/>
      <c r="B640" s="76"/>
      <c r="C640" s="76"/>
      <c r="D640" s="76"/>
      <c r="E640" s="76"/>
      <c r="F640" s="76"/>
      <c r="G640" s="76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 ht="15.75" customHeight="1">
      <c r="A641" s="76"/>
      <c r="B641" s="76"/>
      <c r="C641" s="76"/>
      <c r="D641" s="76"/>
      <c r="E641" s="76"/>
      <c r="F641" s="76"/>
      <c r="G641" s="76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 ht="15.75" customHeight="1">
      <c r="A642" s="76"/>
      <c r="B642" s="76"/>
      <c r="C642" s="76"/>
      <c r="D642" s="76"/>
      <c r="E642" s="76"/>
      <c r="F642" s="76"/>
      <c r="G642" s="76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 ht="15.75" customHeight="1">
      <c r="A643" s="76"/>
      <c r="B643" s="76"/>
      <c r="C643" s="76"/>
      <c r="D643" s="76"/>
      <c r="E643" s="76"/>
      <c r="F643" s="76"/>
      <c r="G643" s="76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 ht="15.75" customHeight="1">
      <c r="A644" s="76"/>
      <c r="B644" s="76"/>
      <c r="C644" s="76"/>
      <c r="D644" s="76"/>
      <c r="E644" s="76"/>
      <c r="F644" s="76"/>
      <c r="G644" s="76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 ht="15.75" customHeight="1">
      <c r="A645" s="76"/>
      <c r="B645" s="76"/>
      <c r="C645" s="76"/>
      <c r="D645" s="76"/>
      <c r="E645" s="76"/>
      <c r="F645" s="76"/>
      <c r="G645" s="76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 ht="15.75" customHeight="1">
      <c r="A646" s="76"/>
      <c r="B646" s="76"/>
      <c r="C646" s="76"/>
      <c r="D646" s="76"/>
      <c r="E646" s="76"/>
      <c r="F646" s="76"/>
      <c r="G646" s="76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 ht="15.75" customHeight="1">
      <c r="A647" s="76"/>
      <c r="B647" s="76"/>
      <c r="C647" s="76"/>
      <c r="D647" s="76"/>
      <c r="E647" s="76"/>
      <c r="F647" s="76"/>
      <c r="G647" s="76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 ht="15.75" customHeight="1">
      <c r="A648" s="76"/>
      <c r="B648" s="76"/>
      <c r="C648" s="76"/>
      <c r="D648" s="76"/>
      <c r="E648" s="76"/>
      <c r="F648" s="76"/>
      <c r="G648" s="76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 ht="15.75" customHeight="1">
      <c r="A649" s="76"/>
      <c r="B649" s="76"/>
      <c r="C649" s="76"/>
      <c r="D649" s="76"/>
      <c r="E649" s="76"/>
      <c r="F649" s="76"/>
      <c r="G649" s="76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 ht="15.75" customHeight="1">
      <c r="A650" s="76"/>
      <c r="B650" s="76"/>
      <c r="C650" s="76"/>
      <c r="D650" s="76"/>
      <c r="E650" s="76"/>
      <c r="F650" s="76"/>
      <c r="G650" s="76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 ht="15.75" customHeight="1">
      <c r="A651" s="76"/>
      <c r="B651" s="76"/>
      <c r="C651" s="76"/>
      <c r="D651" s="76"/>
      <c r="E651" s="76"/>
      <c r="F651" s="76"/>
      <c r="G651" s="76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 ht="15.75" customHeight="1">
      <c r="A652" s="76"/>
      <c r="B652" s="76"/>
      <c r="C652" s="76"/>
      <c r="D652" s="76"/>
      <c r="E652" s="76"/>
      <c r="F652" s="76"/>
      <c r="G652" s="76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 ht="15.75" customHeight="1">
      <c r="A653" s="76"/>
      <c r="B653" s="76"/>
      <c r="C653" s="76"/>
      <c r="D653" s="76"/>
      <c r="E653" s="76"/>
      <c r="F653" s="76"/>
      <c r="G653" s="76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 ht="15.75" customHeight="1">
      <c r="A654" s="76"/>
      <c r="B654" s="76"/>
      <c r="C654" s="76"/>
      <c r="D654" s="76"/>
      <c r="E654" s="76"/>
      <c r="F654" s="76"/>
      <c r="G654" s="76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 ht="15.75" customHeight="1">
      <c r="A655" s="76"/>
      <c r="B655" s="76"/>
      <c r="C655" s="76"/>
      <c r="D655" s="76"/>
      <c r="E655" s="76"/>
      <c r="F655" s="76"/>
      <c r="G655" s="76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 ht="15.75" customHeight="1">
      <c r="A656" s="76"/>
      <c r="B656" s="76"/>
      <c r="C656" s="76"/>
      <c r="D656" s="76"/>
      <c r="E656" s="76"/>
      <c r="F656" s="76"/>
      <c r="G656" s="76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 ht="15.75" customHeight="1">
      <c r="A657" s="76"/>
      <c r="B657" s="76"/>
      <c r="C657" s="76"/>
      <c r="D657" s="76"/>
      <c r="E657" s="76"/>
      <c r="F657" s="76"/>
      <c r="G657" s="76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 ht="15.75" customHeight="1">
      <c r="A658" s="76"/>
      <c r="B658" s="76"/>
      <c r="C658" s="76"/>
      <c r="D658" s="76"/>
      <c r="E658" s="76"/>
      <c r="F658" s="76"/>
      <c r="G658" s="76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 ht="15.75" customHeight="1">
      <c r="A659" s="76"/>
      <c r="B659" s="76"/>
      <c r="C659" s="76"/>
      <c r="D659" s="76"/>
      <c r="E659" s="76"/>
      <c r="F659" s="76"/>
      <c r="G659" s="76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 ht="15.75" customHeight="1">
      <c r="A660" s="76"/>
      <c r="B660" s="76"/>
      <c r="C660" s="76"/>
      <c r="D660" s="76"/>
      <c r="E660" s="76"/>
      <c r="F660" s="76"/>
      <c r="G660" s="76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 ht="15.75" customHeight="1">
      <c r="A661" s="76"/>
      <c r="B661" s="76"/>
      <c r="C661" s="76"/>
      <c r="D661" s="76"/>
      <c r="E661" s="76"/>
      <c r="F661" s="76"/>
      <c r="G661" s="76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 ht="15.75" customHeight="1">
      <c r="A662" s="76"/>
      <c r="B662" s="76"/>
      <c r="C662" s="76"/>
      <c r="D662" s="76"/>
      <c r="E662" s="76"/>
      <c r="F662" s="76"/>
      <c r="G662" s="76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 ht="15.75" customHeight="1">
      <c r="A663" s="76"/>
      <c r="B663" s="76"/>
      <c r="C663" s="76"/>
      <c r="D663" s="76"/>
      <c r="E663" s="76"/>
      <c r="F663" s="76"/>
      <c r="G663" s="76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 ht="15.75" customHeight="1">
      <c r="A664" s="76"/>
      <c r="B664" s="76"/>
      <c r="C664" s="76"/>
      <c r="D664" s="76"/>
      <c r="E664" s="76"/>
      <c r="F664" s="76"/>
      <c r="G664" s="76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 ht="15.75" customHeight="1">
      <c r="A665" s="76"/>
      <c r="B665" s="76"/>
      <c r="C665" s="76"/>
      <c r="D665" s="76"/>
      <c r="E665" s="76"/>
      <c r="F665" s="76"/>
      <c r="G665" s="76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 ht="15.75" customHeight="1">
      <c r="A666" s="76"/>
      <c r="B666" s="76"/>
      <c r="C666" s="76"/>
      <c r="D666" s="76"/>
      <c r="E666" s="76"/>
      <c r="F666" s="76"/>
      <c r="G666" s="76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 ht="15.75" customHeight="1">
      <c r="A667" s="76"/>
      <c r="B667" s="76"/>
      <c r="C667" s="76"/>
      <c r="D667" s="76"/>
      <c r="E667" s="76"/>
      <c r="F667" s="76"/>
      <c r="G667" s="76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 ht="15.75" customHeight="1">
      <c r="A668" s="76"/>
      <c r="B668" s="76"/>
      <c r="C668" s="76"/>
      <c r="D668" s="76"/>
      <c r="E668" s="76"/>
      <c r="F668" s="76"/>
      <c r="G668" s="76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 ht="15.75" customHeight="1">
      <c r="A669" s="76"/>
      <c r="B669" s="76"/>
      <c r="C669" s="76"/>
      <c r="D669" s="76"/>
      <c r="E669" s="76"/>
      <c r="F669" s="76"/>
      <c r="G669" s="76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 ht="15.75" customHeight="1">
      <c r="A670" s="76"/>
      <c r="B670" s="76"/>
      <c r="C670" s="76"/>
      <c r="D670" s="76"/>
      <c r="E670" s="76"/>
      <c r="F670" s="76"/>
      <c r="G670" s="76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 ht="15.75" customHeight="1">
      <c r="A671" s="76"/>
      <c r="B671" s="76"/>
      <c r="C671" s="76"/>
      <c r="D671" s="76"/>
      <c r="E671" s="76"/>
      <c r="F671" s="76"/>
      <c r="G671" s="76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 ht="15.75" customHeight="1">
      <c r="A672" s="76"/>
      <c r="B672" s="76"/>
      <c r="C672" s="76"/>
      <c r="D672" s="76"/>
      <c r="E672" s="76"/>
      <c r="F672" s="76"/>
      <c r="G672" s="76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 ht="15.75" customHeight="1">
      <c r="A673" s="76"/>
      <c r="B673" s="76"/>
      <c r="C673" s="76"/>
      <c r="D673" s="76"/>
      <c r="E673" s="76"/>
      <c r="F673" s="76"/>
      <c r="G673" s="76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 ht="15.75" customHeight="1">
      <c r="A674" s="76"/>
      <c r="B674" s="76"/>
      <c r="C674" s="76"/>
      <c r="D674" s="76"/>
      <c r="E674" s="76"/>
      <c r="F674" s="76"/>
      <c r="G674" s="76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 ht="15.75" customHeight="1">
      <c r="A675" s="76"/>
      <c r="B675" s="76"/>
      <c r="C675" s="76"/>
      <c r="D675" s="76"/>
      <c r="E675" s="76"/>
      <c r="F675" s="76"/>
      <c r="G675" s="76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 ht="15.75" customHeight="1">
      <c r="A676" s="76"/>
      <c r="B676" s="76"/>
      <c r="C676" s="76"/>
      <c r="D676" s="76"/>
      <c r="E676" s="76"/>
      <c r="F676" s="76"/>
      <c r="G676" s="76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 ht="15.75" customHeight="1">
      <c r="A677" s="76"/>
      <c r="B677" s="76"/>
      <c r="C677" s="76"/>
      <c r="D677" s="76"/>
      <c r="E677" s="76"/>
      <c r="F677" s="76"/>
      <c r="G677" s="76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 ht="15.75" customHeight="1">
      <c r="A678" s="76"/>
      <c r="B678" s="76"/>
      <c r="C678" s="76"/>
      <c r="D678" s="76"/>
      <c r="E678" s="76"/>
      <c r="F678" s="76"/>
      <c r="G678" s="76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 ht="15.75" customHeight="1">
      <c r="A679" s="76"/>
      <c r="B679" s="76"/>
      <c r="C679" s="76"/>
      <c r="D679" s="76"/>
      <c r="E679" s="76"/>
      <c r="F679" s="76"/>
      <c r="G679" s="76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 ht="15.75" customHeight="1">
      <c r="A680" s="76"/>
      <c r="B680" s="76"/>
      <c r="C680" s="76"/>
      <c r="D680" s="76"/>
      <c r="E680" s="76"/>
      <c r="F680" s="76"/>
      <c r="G680" s="76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 ht="15.75" customHeight="1">
      <c r="A681" s="76"/>
      <c r="B681" s="76"/>
      <c r="C681" s="76"/>
      <c r="D681" s="76"/>
      <c r="E681" s="76"/>
      <c r="F681" s="76"/>
      <c r="G681" s="76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 ht="15.75" customHeight="1">
      <c r="A682" s="76"/>
      <c r="B682" s="76"/>
      <c r="C682" s="76"/>
      <c r="D682" s="76"/>
      <c r="E682" s="76"/>
      <c r="F682" s="76"/>
      <c r="G682" s="76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 ht="15.75" customHeight="1">
      <c r="A683" s="76"/>
      <c r="B683" s="76"/>
      <c r="C683" s="76"/>
      <c r="D683" s="76"/>
      <c r="E683" s="76"/>
      <c r="F683" s="76"/>
      <c r="G683" s="76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 ht="15.75" customHeight="1">
      <c r="A684" s="76"/>
      <c r="B684" s="76"/>
      <c r="C684" s="76"/>
      <c r="D684" s="76"/>
      <c r="E684" s="76"/>
      <c r="F684" s="76"/>
      <c r="G684" s="76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 ht="15.75" customHeight="1">
      <c r="A685" s="76"/>
      <c r="B685" s="76"/>
      <c r="C685" s="76"/>
      <c r="D685" s="76"/>
      <c r="E685" s="76"/>
      <c r="F685" s="76"/>
      <c r="G685" s="76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 ht="15.75" customHeight="1">
      <c r="A686" s="76"/>
      <c r="B686" s="76"/>
      <c r="C686" s="76"/>
      <c r="D686" s="76"/>
      <c r="E686" s="76"/>
      <c r="F686" s="76"/>
      <c r="G686" s="76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 ht="15.75" customHeight="1">
      <c r="A687" s="76"/>
      <c r="B687" s="76"/>
      <c r="C687" s="76"/>
      <c r="D687" s="76"/>
      <c r="E687" s="76"/>
      <c r="F687" s="76"/>
      <c r="G687" s="76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 ht="15.75" customHeight="1">
      <c r="A688" s="76"/>
      <c r="B688" s="76"/>
      <c r="C688" s="76"/>
      <c r="D688" s="76"/>
      <c r="E688" s="76"/>
      <c r="F688" s="76"/>
      <c r="G688" s="76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 ht="15.75" customHeight="1">
      <c r="A689" s="76"/>
      <c r="B689" s="76"/>
      <c r="C689" s="76"/>
      <c r="D689" s="76"/>
      <c r="E689" s="76"/>
      <c r="F689" s="76"/>
      <c r="G689" s="76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 ht="15.75" customHeight="1">
      <c r="A690" s="76"/>
      <c r="B690" s="76"/>
      <c r="C690" s="76"/>
      <c r="D690" s="76"/>
      <c r="E690" s="76"/>
      <c r="F690" s="76"/>
      <c r="G690" s="76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 ht="15.75" customHeight="1">
      <c r="A691" s="76"/>
      <c r="B691" s="76"/>
      <c r="C691" s="76"/>
      <c r="D691" s="76"/>
      <c r="E691" s="76"/>
      <c r="F691" s="76"/>
      <c r="G691" s="76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 ht="15.75" customHeight="1">
      <c r="A692" s="76"/>
      <c r="B692" s="76"/>
      <c r="C692" s="76"/>
      <c r="D692" s="76"/>
      <c r="E692" s="76"/>
      <c r="F692" s="76"/>
      <c r="G692" s="76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 ht="15.75" customHeight="1">
      <c r="A693" s="76"/>
      <c r="B693" s="76"/>
      <c r="C693" s="76"/>
      <c r="D693" s="76"/>
      <c r="E693" s="76"/>
      <c r="F693" s="76"/>
      <c r="G693" s="76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 ht="15.75" customHeight="1">
      <c r="A694" s="76"/>
      <c r="B694" s="76"/>
      <c r="C694" s="76"/>
      <c r="D694" s="76"/>
      <c r="E694" s="76"/>
      <c r="F694" s="76"/>
      <c r="G694" s="76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 ht="15.75" customHeight="1">
      <c r="A695" s="76"/>
      <c r="B695" s="76"/>
      <c r="C695" s="76"/>
      <c r="D695" s="76"/>
      <c r="E695" s="76"/>
      <c r="F695" s="76"/>
      <c r="G695" s="76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 ht="15.75" customHeight="1">
      <c r="A696" s="76"/>
      <c r="B696" s="76"/>
      <c r="C696" s="76"/>
      <c r="D696" s="76"/>
      <c r="E696" s="76"/>
      <c r="F696" s="76"/>
      <c r="G696" s="76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 ht="15.75" customHeight="1">
      <c r="A697" s="76"/>
      <c r="B697" s="76"/>
      <c r="C697" s="76"/>
      <c r="D697" s="76"/>
      <c r="E697" s="76"/>
      <c r="F697" s="76"/>
      <c r="G697" s="76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 ht="15.75" customHeight="1">
      <c r="A698" s="76"/>
      <c r="B698" s="76"/>
      <c r="C698" s="76"/>
      <c r="D698" s="76"/>
      <c r="E698" s="76"/>
      <c r="F698" s="76"/>
      <c r="G698" s="76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 ht="15.75" customHeight="1">
      <c r="A699" s="76"/>
      <c r="B699" s="76"/>
      <c r="C699" s="76"/>
      <c r="D699" s="76"/>
      <c r="E699" s="76"/>
      <c r="F699" s="76"/>
      <c r="G699" s="76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 ht="15.75" customHeight="1">
      <c r="A700" s="76"/>
      <c r="B700" s="76"/>
      <c r="C700" s="76"/>
      <c r="D700" s="76"/>
      <c r="E700" s="76"/>
      <c r="F700" s="76"/>
      <c r="G700" s="76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 ht="15.75" customHeight="1">
      <c r="A701" s="76"/>
      <c r="B701" s="76"/>
      <c r="C701" s="76"/>
      <c r="D701" s="76"/>
      <c r="E701" s="76"/>
      <c r="F701" s="76"/>
      <c r="G701" s="76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 ht="15.75" customHeight="1">
      <c r="A702" s="76"/>
      <c r="B702" s="76"/>
      <c r="C702" s="76"/>
      <c r="D702" s="76"/>
      <c r="E702" s="76"/>
      <c r="F702" s="76"/>
      <c r="G702" s="76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 ht="15.75" customHeight="1">
      <c r="A703" s="76"/>
      <c r="B703" s="76"/>
      <c r="C703" s="76"/>
      <c r="D703" s="76"/>
      <c r="E703" s="76"/>
      <c r="F703" s="76"/>
      <c r="G703" s="76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 ht="15.75" customHeight="1">
      <c r="A704" s="76"/>
      <c r="B704" s="76"/>
      <c r="C704" s="76"/>
      <c r="D704" s="76"/>
      <c r="E704" s="76"/>
      <c r="F704" s="76"/>
      <c r="G704" s="76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 ht="15.75" customHeight="1">
      <c r="A705" s="76"/>
      <c r="B705" s="76"/>
      <c r="C705" s="76"/>
      <c r="D705" s="76"/>
      <c r="E705" s="76"/>
      <c r="F705" s="76"/>
      <c r="G705" s="76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 ht="15.75" customHeight="1">
      <c r="A706" s="76"/>
      <c r="B706" s="76"/>
      <c r="C706" s="76"/>
      <c r="D706" s="76"/>
      <c r="E706" s="76"/>
      <c r="F706" s="76"/>
      <c r="G706" s="76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 ht="15.75" customHeight="1">
      <c r="A707" s="76"/>
      <c r="B707" s="76"/>
      <c r="C707" s="76"/>
      <c r="D707" s="76"/>
      <c r="E707" s="76"/>
      <c r="F707" s="76"/>
      <c r="G707" s="76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 ht="15.75" customHeight="1">
      <c r="A708" s="76"/>
      <c r="B708" s="76"/>
      <c r="C708" s="76"/>
      <c r="D708" s="76"/>
      <c r="E708" s="76"/>
      <c r="F708" s="76"/>
      <c r="G708" s="76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 ht="15.75" customHeight="1">
      <c r="A709" s="76"/>
      <c r="B709" s="76"/>
      <c r="C709" s="76"/>
      <c r="D709" s="76"/>
      <c r="E709" s="76"/>
      <c r="F709" s="76"/>
      <c r="G709" s="76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 ht="15.75" customHeight="1">
      <c r="A710" s="76"/>
      <c r="B710" s="76"/>
      <c r="C710" s="76"/>
      <c r="D710" s="76"/>
      <c r="E710" s="76"/>
      <c r="F710" s="76"/>
      <c r="G710" s="76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 ht="15.75" customHeight="1">
      <c r="A711" s="76"/>
      <c r="B711" s="76"/>
      <c r="C711" s="76"/>
      <c r="D711" s="76"/>
      <c r="E711" s="76"/>
      <c r="F711" s="76"/>
      <c r="G711" s="76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 ht="15.75" customHeight="1">
      <c r="A712" s="76"/>
      <c r="B712" s="76"/>
      <c r="C712" s="76"/>
      <c r="D712" s="76"/>
      <c r="E712" s="76"/>
      <c r="F712" s="76"/>
      <c r="G712" s="76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 ht="15.75" customHeight="1">
      <c r="A713" s="76"/>
      <c r="B713" s="76"/>
      <c r="C713" s="76"/>
      <c r="D713" s="76"/>
      <c r="E713" s="76"/>
      <c r="F713" s="76"/>
      <c r="G713" s="76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 ht="15.75" customHeight="1">
      <c r="A714" s="76"/>
      <c r="B714" s="76"/>
      <c r="C714" s="76"/>
      <c r="D714" s="76"/>
      <c r="E714" s="76"/>
      <c r="F714" s="76"/>
      <c r="G714" s="76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 ht="15.75" customHeight="1">
      <c r="A715" s="76"/>
      <c r="B715" s="76"/>
      <c r="C715" s="76"/>
      <c r="D715" s="76"/>
      <c r="E715" s="76"/>
      <c r="F715" s="76"/>
      <c r="G715" s="76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 ht="15.75" customHeight="1">
      <c r="A716" s="76"/>
      <c r="B716" s="76"/>
      <c r="C716" s="76"/>
      <c r="D716" s="76"/>
      <c r="E716" s="76"/>
      <c r="F716" s="76"/>
      <c r="G716" s="76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 ht="15.75" customHeight="1">
      <c r="A717" s="76"/>
      <c r="B717" s="76"/>
      <c r="C717" s="76"/>
      <c r="D717" s="76"/>
      <c r="E717" s="76"/>
      <c r="F717" s="76"/>
      <c r="G717" s="76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 ht="15.75" customHeight="1">
      <c r="A718" s="76"/>
      <c r="B718" s="76"/>
      <c r="C718" s="76"/>
      <c r="D718" s="76"/>
      <c r="E718" s="76"/>
      <c r="F718" s="76"/>
      <c r="G718" s="76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 ht="15.75" customHeight="1">
      <c r="A719" s="76"/>
      <c r="B719" s="76"/>
      <c r="C719" s="76"/>
      <c r="D719" s="76"/>
      <c r="E719" s="76"/>
      <c r="F719" s="76"/>
      <c r="G719" s="76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 ht="15.75" customHeight="1">
      <c r="A720" s="76"/>
      <c r="B720" s="76"/>
      <c r="C720" s="76"/>
      <c r="D720" s="76"/>
      <c r="E720" s="76"/>
      <c r="F720" s="76"/>
      <c r="G720" s="76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 ht="15.75" customHeight="1">
      <c r="A721" s="76"/>
      <c r="B721" s="76"/>
      <c r="C721" s="76"/>
      <c r="D721" s="76"/>
      <c r="E721" s="76"/>
      <c r="F721" s="76"/>
      <c r="G721" s="76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 ht="15.75" customHeight="1">
      <c r="A722" s="76"/>
      <c r="B722" s="76"/>
      <c r="C722" s="76"/>
      <c r="D722" s="76"/>
      <c r="E722" s="76"/>
      <c r="F722" s="76"/>
      <c r="G722" s="76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 ht="15.75" customHeight="1">
      <c r="A723" s="76"/>
      <c r="B723" s="76"/>
      <c r="C723" s="76"/>
      <c r="D723" s="76"/>
      <c r="E723" s="76"/>
      <c r="F723" s="76"/>
      <c r="G723" s="76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 ht="15.75" customHeight="1">
      <c r="A724" s="76"/>
      <c r="B724" s="76"/>
      <c r="C724" s="76"/>
      <c r="D724" s="76"/>
      <c r="E724" s="76"/>
      <c r="F724" s="76"/>
      <c r="G724" s="76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 ht="15.75" customHeight="1">
      <c r="A725" s="76"/>
      <c r="B725" s="76"/>
      <c r="C725" s="76"/>
      <c r="D725" s="76"/>
      <c r="E725" s="76"/>
      <c r="F725" s="76"/>
      <c r="G725" s="76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 ht="15.75" customHeight="1">
      <c r="A726" s="76"/>
      <c r="B726" s="76"/>
      <c r="C726" s="76"/>
      <c r="D726" s="76"/>
      <c r="E726" s="76"/>
      <c r="F726" s="76"/>
      <c r="G726" s="76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 ht="15.75" customHeight="1">
      <c r="A727" s="76"/>
      <c r="B727" s="76"/>
      <c r="C727" s="76"/>
      <c r="D727" s="76"/>
      <c r="E727" s="76"/>
      <c r="F727" s="76"/>
      <c r="G727" s="76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 ht="15.75" customHeight="1">
      <c r="A728" s="76"/>
      <c r="B728" s="76"/>
      <c r="C728" s="76"/>
      <c r="D728" s="76"/>
      <c r="E728" s="76"/>
      <c r="F728" s="76"/>
      <c r="G728" s="76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 ht="15.75" customHeight="1">
      <c r="A729" s="76"/>
      <c r="B729" s="76"/>
      <c r="C729" s="76"/>
      <c r="D729" s="76"/>
      <c r="E729" s="76"/>
      <c r="F729" s="76"/>
      <c r="G729" s="76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 ht="15.75" customHeight="1">
      <c r="A730" s="76"/>
      <c r="B730" s="76"/>
      <c r="C730" s="76"/>
      <c r="D730" s="76"/>
      <c r="E730" s="76"/>
      <c r="F730" s="76"/>
      <c r="G730" s="76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 ht="15.75" customHeight="1">
      <c r="A731" s="76"/>
      <c r="B731" s="76"/>
      <c r="C731" s="76"/>
      <c r="D731" s="76"/>
      <c r="E731" s="76"/>
      <c r="F731" s="76"/>
      <c r="G731" s="76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 ht="15.75" customHeight="1">
      <c r="A732" s="76"/>
      <c r="B732" s="76"/>
      <c r="C732" s="76"/>
      <c r="D732" s="76"/>
      <c r="E732" s="76"/>
      <c r="F732" s="76"/>
      <c r="G732" s="76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 ht="15.75" customHeight="1">
      <c r="A733" s="76"/>
      <c r="B733" s="76"/>
      <c r="C733" s="76"/>
      <c r="D733" s="76"/>
      <c r="E733" s="76"/>
      <c r="F733" s="76"/>
      <c r="G733" s="76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 ht="15.75" customHeight="1">
      <c r="A734" s="76"/>
      <c r="B734" s="76"/>
      <c r="C734" s="76"/>
      <c r="D734" s="76"/>
      <c r="E734" s="76"/>
      <c r="F734" s="76"/>
      <c r="G734" s="76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 ht="15.75" customHeight="1">
      <c r="A735" s="76"/>
      <c r="B735" s="76"/>
      <c r="C735" s="76"/>
      <c r="D735" s="76"/>
      <c r="E735" s="76"/>
      <c r="F735" s="76"/>
      <c r="G735" s="76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 ht="15.75" customHeight="1">
      <c r="A736" s="76"/>
      <c r="B736" s="76"/>
      <c r="C736" s="76"/>
      <c r="D736" s="76"/>
      <c r="E736" s="76"/>
      <c r="F736" s="76"/>
      <c r="G736" s="76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 ht="15.75" customHeight="1">
      <c r="A737" s="76"/>
      <c r="B737" s="76"/>
      <c r="C737" s="76"/>
      <c r="D737" s="76"/>
      <c r="E737" s="76"/>
      <c r="F737" s="76"/>
      <c r="G737" s="76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 ht="15.75" customHeight="1">
      <c r="A738" s="76"/>
      <c r="B738" s="76"/>
      <c r="C738" s="76"/>
      <c r="D738" s="76"/>
      <c r="E738" s="76"/>
      <c r="F738" s="76"/>
      <c r="G738" s="76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 ht="15.75" customHeight="1">
      <c r="A739" s="76"/>
      <c r="B739" s="76"/>
      <c r="C739" s="76"/>
      <c r="D739" s="76"/>
      <c r="E739" s="76"/>
      <c r="F739" s="76"/>
      <c r="G739" s="76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 ht="15.75" customHeight="1">
      <c r="A740" s="76"/>
      <c r="B740" s="76"/>
      <c r="C740" s="76"/>
      <c r="D740" s="76"/>
      <c r="E740" s="76"/>
      <c r="F740" s="76"/>
      <c r="G740" s="76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 ht="15.75" customHeight="1">
      <c r="A741" s="76"/>
      <c r="B741" s="76"/>
      <c r="C741" s="76"/>
      <c r="D741" s="76"/>
      <c r="E741" s="76"/>
      <c r="F741" s="76"/>
      <c r="G741" s="76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 ht="15.75" customHeight="1">
      <c r="A742" s="76"/>
      <c r="B742" s="76"/>
      <c r="C742" s="76"/>
      <c r="D742" s="76"/>
      <c r="E742" s="76"/>
      <c r="F742" s="76"/>
      <c r="G742" s="76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 ht="15.75" customHeight="1">
      <c r="A743" s="76"/>
      <c r="B743" s="76"/>
      <c r="C743" s="76"/>
      <c r="D743" s="76"/>
      <c r="E743" s="76"/>
      <c r="F743" s="76"/>
      <c r="G743" s="76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 ht="15.75" customHeight="1">
      <c r="A744" s="76"/>
      <c r="B744" s="76"/>
      <c r="C744" s="76"/>
      <c r="D744" s="76"/>
      <c r="E744" s="76"/>
      <c r="F744" s="76"/>
      <c r="G744" s="76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 ht="15.75" customHeight="1">
      <c r="A745" s="76"/>
      <c r="B745" s="76"/>
      <c r="C745" s="76"/>
      <c r="D745" s="76"/>
      <c r="E745" s="76"/>
      <c r="F745" s="76"/>
      <c r="G745" s="76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 ht="15.75" customHeight="1">
      <c r="A746" s="76"/>
      <c r="B746" s="76"/>
      <c r="C746" s="76"/>
      <c r="D746" s="76"/>
      <c r="E746" s="76"/>
      <c r="F746" s="76"/>
      <c r="G746" s="76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 ht="15.75" customHeight="1">
      <c r="A747" s="76"/>
      <c r="B747" s="76"/>
      <c r="C747" s="76"/>
      <c r="D747" s="76"/>
      <c r="E747" s="76"/>
      <c r="F747" s="76"/>
      <c r="G747" s="76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 ht="15.75" customHeight="1">
      <c r="A748" s="76"/>
      <c r="B748" s="76"/>
      <c r="C748" s="76"/>
      <c r="D748" s="76"/>
      <c r="E748" s="76"/>
      <c r="F748" s="76"/>
      <c r="G748" s="76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 ht="15.75" customHeight="1">
      <c r="A749" s="76"/>
      <c r="B749" s="76"/>
      <c r="C749" s="76"/>
      <c r="D749" s="76"/>
      <c r="E749" s="76"/>
      <c r="F749" s="76"/>
      <c r="G749" s="76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 ht="15.75" customHeight="1">
      <c r="A750" s="76"/>
      <c r="B750" s="76"/>
      <c r="C750" s="76"/>
      <c r="D750" s="76"/>
      <c r="E750" s="76"/>
      <c r="F750" s="76"/>
      <c r="G750" s="76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 ht="15.75" customHeight="1">
      <c r="A751" s="76"/>
      <c r="B751" s="76"/>
      <c r="C751" s="76"/>
      <c r="D751" s="76"/>
      <c r="E751" s="76"/>
      <c r="F751" s="76"/>
      <c r="G751" s="76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 ht="15.75" customHeight="1">
      <c r="A752" s="76"/>
      <c r="B752" s="76"/>
      <c r="C752" s="76"/>
      <c r="D752" s="76"/>
      <c r="E752" s="76"/>
      <c r="F752" s="76"/>
      <c r="G752" s="76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 ht="15.75" customHeight="1">
      <c r="A753" s="76"/>
      <c r="B753" s="76"/>
      <c r="C753" s="76"/>
      <c r="D753" s="76"/>
      <c r="E753" s="76"/>
      <c r="F753" s="76"/>
      <c r="G753" s="76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 ht="15.75" customHeight="1">
      <c r="A754" s="76"/>
      <c r="B754" s="76"/>
      <c r="C754" s="76"/>
      <c r="D754" s="76"/>
      <c r="E754" s="76"/>
      <c r="F754" s="76"/>
      <c r="G754" s="76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 ht="15.75" customHeight="1">
      <c r="A755" s="76"/>
      <c r="B755" s="76"/>
      <c r="C755" s="76"/>
      <c r="D755" s="76"/>
      <c r="E755" s="76"/>
      <c r="F755" s="76"/>
      <c r="G755" s="76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 ht="15.75" customHeight="1">
      <c r="A756" s="76"/>
      <c r="B756" s="76"/>
      <c r="C756" s="76"/>
      <c r="D756" s="76"/>
      <c r="E756" s="76"/>
      <c r="F756" s="76"/>
      <c r="G756" s="76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 ht="15.75" customHeight="1">
      <c r="A757" s="76"/>
      <c r="B757" s="76"/>
      <c r="C757" s="76"/>
      <c r="D757" s="76"/>
      <c r="E757" s="76"/>
      <c r="F757" s="76"/>
      <c r="G757" s="76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 ht="15.75" customHeight="1">
      <c r="A758" s="76"/>
      <c r="B758" s="76"/>
      <c r="C758" s="76"/>
      <c r="D758" s="76"/>
      <c r="E758" s="76"/>
      <c r="F758" s="76"/>
      <c r="G758" s="76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 ht="15.75" customHeight="1">
      <c r="A759" s="76"/>
      <c r="B759" s="76"/>
      <c r="C759" s="76"/>
      <c r="D759" s="76"/>
      <c r="E759" s="76"/>
      <c r="F759" s="76"/>
      <c r="G759" s="76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 ht="15.75" customHeight="1">
      <c r="A760" s="76"/>
      <c r="B760" s="76"/>
      <c r="C760" s="76"/>
      <c r="D760" s="76"/>
      <c r="E760" s="76"/>
      <c r="F760" s="76"/>
      <c r="G760" s="76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 ht="15.75" customHeight="1">
      <c r="A761" s="76"/>
      <c r="B761" s="76"/>
      <c r="C761" s="76"/>
      <c r="D761" s="76"/>
      <c r="E761" s="76"/>
      <c r="F761" s="76"/>
      <c r="G761" s="76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 ht="15.75" customHeight="1">
      <c r="A762" s="76"/>
      <c r="B762" s="76"/>
      <c r="C762" s="76"/>
      <c r="D762" s="76"/>
      <c r="E762" s="76"/>
      <c r="F762" s="76"/>
      <c r="G762" s="76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 ht="15.75" customHeight="1">
      <c r="A763" s="76"/>
      <c r="B763" s="76"/>
      <c r="C763" s="76"/>
      <c r="D763" s="76"/>
      <c r="E763" s="76"/>
      <c r="F763" s="76"/>
      <c r="G763" s="76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 ht="15.75" customHeight="1">
      <c r="A764" s="76"/>
      <c r="B764" s="76"/>
      <c r="C764" s="76"/>
      <c r="D764" s="76"/>
      <c r="E764" s="76"/>
      <c r="F764" s="76"/>
      <c r="G764" s="76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 ht="15.75" customHeight="1">
      <c r="A765" s="76"/>
      <c r="B765" s="76"/>
      <c r="C765" s="76"/>
      <c r="D765" s="76"/>
      <c r="E765" s="76"/>
      <c r="F765" s="76"/>
      <c r="G765" s="76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 ht="15.75" customHeight="1">
      <c r="A766" s="76"/>
      <c r="B766" s="76"/>
      <c r="C766" s="76"/>
      <c r="D766" s="76"/>
      <c r="E766" s="76"/>
      <c r="F766" s="76"/>
      <c r="G766" s="76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 ht="15.75" customHeight="1">
      <c r="A767" s="76"/>
      <c r="B767" s="76"/>
      <c r="C767" s="76"/>
      <c r="D767" s="76"/>
      <c r="E767" s="76"/>
      <c r="F767" s="76"/>
      <c r="G767" s="76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 ht="15.75" customHeight="1">
      <c r="A768" s="76"/>
      <c r="B768" s="76"/>
      <c r="C768" s="76"/>
      <c r="D768" s="76"/>
      <c r="E768" s="76"/>
      <c r="F768" s="76"/>
      <c r="G768" s="76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 ht="15.75" customHeight="1">
      <c r="A769" s="76"/>
      <c r="B769" s="76"/>
      <c r="C769" s="76"/>
      <c r="D769" s="76"/>
      <c r="E769" s="76"/>
      <c r="F769" s="76"/>
      <c r="G769" s="76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 ht="15.75" customHeight="1">
      <c r="A770" s="76"/>
      <c r="B770" s="76"/>
      <c r="C770" s="76"/>
      <c r="D770" s="76"/>
      <c r="E770" s="76"/>
      <c r="F770" s="76"/>
      <c r="G770" s="76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 ht="15.75" customHeight="1">
      <c r="A771" s="76"/>
      <c r="B771" s="76"/>
      <c r="C771" s="76"/>
      <c r="D771" s="76"/>
      <c r="E771" s="76"/>
      <c r="F771" s="76"/>
      <c r="G771" s="76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 ht="15.75" customHeight="1">
      <c r="A772" s="76"/>
      <c r="B772" s="76"/>
      <c r="C772" s="76"/>
      <c r="D772" s="76"/>
      <c r="E772" s="76"/>
      <c r="F772" s="76"/>
      <c r="G772" s="76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 ht="15.75" customHeight="1">
      <c r="A773" s="76"/>
      <c r="B773" s="76"/>
      <c r="C773" s="76"/>
      <c r="D773" s="76"/>
      <c r="E773" s="76"/>
      <c r="F773" s="76"/>
      <c r="G773" s="76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 ht="15.75" customHeight="1">
      <c r="A774" s="76"/>
      <c r="B774" s="76"/>
      <c r="C774" s="76"/>
      <c r="D774" s="76"/>
      <c r="E774" s="76"/>
      <c r="F774" s="76"/>
      <c r="G774" s="76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 ht="15.75" customHeight="1">
      <c r="A775" s="76"/>
      <c r="B775" s="76"/>
      <c r="C775" s="76"/>
      <c r="D775" s="76"/>
      <c r="E775" s="76"/>
      <c r="F775" s="76"/>
      <c r="G775" s="76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 ht="15.75" customHeight="1">
      <c r="A776" s="76"/>
      <c r="B776" s="76"/>
      <c r="C776" s="76"/>
      <c r="D776" s="76"/>
      <c r="E776" s="76"/>
      <c r="F776" s="76"/>
      <c r="G776" s="76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 ht="15.75" customHeight="1">
      <c r="A777" s="76"/>
      <c r="B777" s="76"/>
      <c r="C777" s="76"/>
      <c r="D777" s="76"/>
      <c r="E777" s="76"/>
      <c r="F777" s="76"/>
      <c r="G777" s="76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 ht="15.75" customHeight="1">
      <c r="A778" s="76"/>
      <c r="B778" s="76"/>
      <c r="C778" s="76"/>
      <c r="D778" s="76"/>
      <c r="E778" s="76"/>
      <c r="F778" s="76"/>
      <c r="G778" s="76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 ht="15.75" customHeight="1">
      <c r="A779" s="76"/>
      <c r="B779" s="76"/>
      <c r="C779" s="76"/>
      <c r="D779" s="76"/>
      <c r="E779" s="76"/>
      <c r="F779" s="76"/>
      <c r="G779" s="76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 ht="15.75" customHeight="1">
      <c r="A780" s="76"/>
      <c r="B780" s="76"/>
      <c r="C780" s="76"/>
      <c r="D780" s="76"/>
      <c r="E780" s="76"/>
      <c r="F780" s="76"/>
      <c r="G780" s="76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 ht="15.75" customHeight="1">
      <c r="A781" s="76"/>
      <c r="B781" s="76"/>
      <c r="C781" s="76"/>
      <c r="D781" s="76"/>
      <c r="E781" s="76"/>
      <c r="F781" s="76"/>
      <c r="G781" s="76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 ht="15.75" customHeight="1">
      <c r="A782" s="76"/>
      <c r="B782" s="76"/>
      <c r="C782" s="76"/>
      <c r="D782" s="76"/>
      <c r="E782" s="76"/>
      <c r="F782" s="76"/>
      <c r="G782" s="76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 ht="15.75" customHeight="1">
      <c r="A783" s="76"/>
      <c r="B783" s="76"/>
      <c r="C783" s="76"/>
      <c r="D783" s="76"/>
      <c r="E783" s="76"/>
      <c r="F783" s="76"/>
      <c r="G783" s="76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 ht="15.75" customHeight="1">
      <c r="A784" s="76"/>
      <c r="B784" s="76"/>
      <c r="C784" s="76"/>
      <c r="D784" s="76"/>
      <c r="E784" s="76"/>
      <c r="F784" s="76"/>
      <c r="G784" s="76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 ht="15.75" customHeight="1">
      <c r="A785" s="76"/>
      <c r="B785" s="76"/>
      <c r="C785" s="76"/>
      <c r="D785" s="76"/>
      <c r="E785" s="76"/>
      <c r="F785" s="76"/>
      <c r="G785" s="76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 ht="15.75" customHeight="1">
      <c r="A786" s="76"/>
      <c r="B786" s="76"/>
      <c r="C786" s="76"/>
      <c r="D786" s="76"/>
      <c r="E786" s="76"/>
      <c r="F786" s="76"/>
      <c r="G786" s="76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 ht="15.75" customHeight="1">
      <c r="A787" s="76"/>
      <c r="B787" s="76"/>
      <c r="C787" s="76"/>
      <c r="D787" s="76"/>
      <c r="E787" s="76"/>
      <c r="F787" s="76"/>
      <c r="G787" s="76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 ht="15.75" customHeight="1">
      <c r="A788" s="76"/>
      <c r="B788" s="76"/>
      <c r="C788" s="76"/>
      <c r="D788" s="76"/>
      <c r="E788" s="76"/>
      <c r="F788" s="76"/>
      <c r="G788" s="76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 ht="15.75" customHeight="1">
      <c r="A789" s="76"/>
      <c r="B789" s="76"/>
      <c r="C789" s="76"/>
      <c r="D789" s="76"/>
      <c r="E789" s="76"/>
      <c r="F789" s="76"/>
      <c r="G789" s="76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 ht="15.75" customHeight="1">
      <c r="A790" s="76"/>
      <c r="B790" s="76"/>
      <c r="C790" s="76"/>
      <c r="D790" s="76"/>
      <c r="E790" s="76"/>
      <c r="F790" s="76"/>
      <c r="G790" s="76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 ht="15.75" customHeight="1">
      <c r="A791" s="76"/>
      <c r="B791" s="76"/>
      <c r="C791" s="76"/>
      <c r="D791" s="76"/>
      <c r="E791" s="76"/>
      <c r="F791" s="76"/>
      <c r="G791" s="76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 ht="15.75" customHeight="1">
      <c r="A792" s="76"/>
      <c r="B792" s="76"/>
      <c r="C792" s="76"/>
      <c r="D792" s="76"/>
      <c r="E792" s="76"/>
      <c r="F792" s="76"/>
      <c r="G792" s="76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 ht="15.75" customHeight="1">
      <c r="A793" s="76"/>
      <c r="B793" s="76"/>
      <c r="C793" s="76"/>
      <c r="D793" s="76"/>
      <c r="E793" s="76"/>
      <c r="F793" s="76"/>
      <c r="G793" s="76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 ht="15.75" customHeight="1">
      <c r="A794" s="76"/>
      <c r="B794" s="76"/>
      <c r="C794" s="76"/>
      <c r="D794" s="76"/>
      <c r="E794" s="76"/>
      <c r="F794" s="76"/>
      <c r="G794" s="76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 ht="15.75" customHeight="1">
      <c r="A795" s="76"/>
      <c r="B795" s="76"/>
      <c r="C795" s="76"/>
      <c r="D795" s="76"/>
      <c r="E795" s="76"/>
      <c r="F795" s="76"/>
      <c r="G795" s="76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 ht="15.75" customHeight="1">
      <c r="A796" s="76"/>
      <c r="B796" s="76"/>
      <c r="C796" s="76"/>
      <c r="D796" s="76"/>
      <c r="E796" s="76"/>
      <c r="F796" s="76"/>
      <c r="G796" s="76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 ht="15.75" customHeight="1">
      <c r="A797" s="76"/>
      <c r="B797" s="76"/>
      <c r="C797" s="76"/>
      <c r="D797" s="76"/>
      <c r="E797" s="76"/>
      <c r="F797" s="76"/>
      <c r="G797" s="76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 ht="15.75" customHeight="1">
      <c r="A798" s="76"/>
      <c r="B798" s="76"/>
      <c r="C798" s="76"/>
      <c r="D798" s="76"/>
      <c r="E798" s="76"/>
      <c r="F798" s="76"/>
      <c r="G798" s="76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 ht="15.75" customHeight="1">
      <c r="A799" s="76"/>
      <c r="B799" s="76"/>
      <c r="C799" s="76"/>
      <c r="D799" s="76"/>
      <c r="E799" s="76"/>
      <c r="F799" s="76"/>
      <c r="G799" s="76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 ht="15.75" customHeight="1">
      <c r="A800" s="76"/>
      <c r="B800" s="76"/>
      <c r="C800" s="76"/>
      <c r="D800" s="76"/>
      <c r="E800" s="76"/>
      <c r="F800" s="76"/>
      <c r="G800" s="76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 ht="15.75" customHeight="1">
      <c r="A801" s="76"/>
      <c r="B801" s="76"/>
      <c r="C801" s="76"/>
      <c r="D801" s="76"/>
      <c r="E801" s="76"/>
      <c r="F801" s="76"/>
      <c r="G801" s="76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 ht="15.75" customHeight="1">
      <c r="A802" s="76"/>
      <c r="B802" s="76"/>
      <c r="C802" s="76"/>
      <c r="D802" s="76"/>
      <c r="E802" s="76"/>
      <c r="F802" s="76"/>
      <c r="G802" s="76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 ht="15.75" customHeight="1">
      <c r="A803" s="76"/>
      <c r="B803" s="76"/>
      <c r="C803" s="76"/>
      <c r="D803" s="76"/>
      <c r="E803" s="76"/>
      <c r="F803" s="76"/>
      <c r="G803" s="76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 ht="15.75" customHeight="1">
      <c r="A804" s="76"/>
      <c r="B804" s="76"/>
      <c r="C804" s="76"/>
      <c r="D804" s="76"/>
      <c r="E804" s="76"/>
      <c r="F804" s="76"/>
      <c r="G804" s="76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 ht="15.75" customHeight="1">
      <c r="A805" s="76"/>
      <c r="B805" s="76"/>
      <c r="C805" s="76"/>
      <c r="D805" s="76"/>
      <c r="E805" s="76"/>
      <c r="F805" s="76"/>
      <c r="G805" s="76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 ht="15.75" customHeight="1">
      <c r="A806" s="76"/>
      <c r="B806" s="76"/>
      <c r="C806" s="76"/>
      <c r="D806" s="76"/>
      <c r="E806" s="76"/>
      <c r="F806" s="76"/>
      <c r="G806" s="76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 ht="15.75" customHeight="1">
      <c r="A807" s="76"/>
      <c r="B807" s="76"/>
      <c r="C807" s="76"/>
      <c r="D807" s="76"/>
      <c r="E807" s="76"/>
      <c r="F807" s="76"/>
      <c r="G807" s="76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 ht="15.75" customHeight="1">
      <c r="A808" s="76"/>
      <c r="B808" s="76"/>
      <c r="C808" s="76"/>
      <c r="D808" s="76"/>
      <c r="E808" s="76"/>
      <c r="F808" s="76"/>
      <c r="G808" s="76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 ht="15.75" customHeight="1">
      <c r="A809" s="76"/>
      <c r="B809" s="76"/>
      <c r="C809" s="76"/>
      <c r="D809" s="76"/>
      <c r="E809" s="76"/>
      <c r="F809" s="76"/>
      <c r="G809" s="76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 ht="15.75" customHeight="1">
      <c r="A810" s="76"/>
      <c r="B810" s="76"/>
      <c r="C810" s="76"/>
      <c r="D810" s="76"/>
      <c r="E810" s="76"/>
      <c r="F810" s="76"/>
      <c r="G810" s="76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 ht="15.75" customHeight="1">
      <c r="A811" s="76"/>
      <c r="B811" s="76"/>
      <c r="C811" s="76"/>
      <c r="D811" s="76"/>
      <c r="E811" s="76"/>
      <c r="F811" s="76"/>
      <c r="G811" s="76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 ht="15.75" customHeight="1">
      <c r="A812" s="76"/>
      <c r="B812" s="76"/>
      <c r="C812" s="76"/>
      <c r="D812" s="76"/>
      <c r="E812" s="76"/>
      <c r="F812" s="76"/>
      <c r="G812" s="76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 ht="15.75" customHeight="1">
      <c r="A813" s="76"/>
      <c r="B813" s="76"/>
      <c r="C813" s="76"/>
      <c r="D813" s="76"/>
      <c r="E813" s="76"/>
      <c r="F813" s="76"/>
      <c r="G813" s="76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 ht="15.75" customHeight="1">
      <c r="A814" s="76"/>
      <c r="B814" s="76"/>
      <c r="C814" s="76"/>
      <c r="D814" s="76"/>
      <c r="E814" s="76"/>
      <c r="F814" s="76"/>
      <c r="G814" s="76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 ht="15.75" customHeight="1">
      <c r="A815" s="76"/>
      <c r="B815" s="76"/>
      <c r="C815" s="76"/>
      <c r="D815" s="76"/>
      <c r="E815" s="76"/>
      <c r="F815" s="76"/>
      <c r="G815" s="76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 ht="15.75" customHeight="1">
      <c r="A816" s="76"/>
      <c r="B816" s="76"/>
      <c r="C816" s="76"/>
      <c r="D816" s="76"/>
      <c r="E816" s="76"/>
      <c r="F816" s="76"/>
      <c r="G816" s="76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 ht="15.75" customHeight="1">
      <c r="A817" s="76"/>
      <c r="B817" s="76"/>
      <c r="C817" s="76"/>
      <c r="D817" s="76"/>
      <c r="E817" s="76"/>
      <c r="F817" s="76"/>
      <c r="G817" s="76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 ht="15.75" customHeight="1">
      <c r="A818" s="76"/>
      <c r="B818" s="76"/>
      <c r="C818" s="76"/>
      <c r="D818" s="76"/>
      <c r="E818" s="76"/>
      <c r="F818" s="76"/>
      <c r="G818" s="76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 ht="15.75" customHeight="1">
      <c r="A819" s="76"/>
      <c r="B819" s="76"/>
      <c r="C819" s="76"/>
      <c r="D819" s="76"/>
      <c r="E819" s="76"/>
      <c r="F819" s="76"/>
      <c r="G819" s="76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 ht="15.75" customHeight="1">
      <c r="A820" s="76"/>
      <c r="B820" s="76"/>
      <c r="C820" s="76"/>
      <c r="D820" s="76"/>
      <c r="E820" s="76"/>
      <c r="F820" s="76"/>
      <c r="G820" s="76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 ht="15.75" customHeight="1">
      <c r="A821" s="76"/>
      <c r="B821" s="76"/>
      <c r="C821" s="76"/>
      <c r="D821" s="76"/>
      <c r="E821" s="76"/>
      <c r="F821" s="76"/>
      <c r="G821" s="76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 ht="15.75" customHeight="1">
      <c r="A822" s="76"/>
      <c r="B822" s="76"/>
      <c r="C822" s="76"/>
      <c r="D822" s="76"/>
      <c r="E822" s="76"/>
      <c r="F822" s="76"/>
      <c r="G822" s="76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 ht="15.75" customHeight="1">
      <c r="A823" s="76"/>
      <c r="B823" s="76"/>
      <c r="C823" s="76"/>
      <c r="D823" s="76"/>
      <c r="E823" s="76"/>
      <c r="F823" s="76"/>
      <c r="G823" s="76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 ht="15.75" customHeight="1">
      <c r="A824" s="76"/>
      <c r="B824" s="76"/>
      <c r="C824" s="76"/>
      <c r="D824" s="76"/>
      <c r="E824" s="76"/>
      <c r="F824" s="76"/>
      <c r="G824" s="76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 ht="15.75" customHeight="1">
      <c r="A825" s="76"/>
      <c r="B825" s="76"/>
      <c r="C825" s="76"/>
      <c r="D825" s="76"/>
      <c r="E825" s="76"/>
      <c r="F825" s="76"/>
      <c r="G825" s="76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 ht="15.75" customHeight="1">
      <c r="A826" s="76"/>
      <c r="B826" s="76"/>
      <c r="C826" s="76"/>
      <c r="D826" s="76"/>
      <c r="E826" s="76"/>
      <c r="F826" s="76"/>
      <c r="G826" s="76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 ht="15.75" customHeight="1">
      <c r="A827" s="76"/>
      <c r="B827" s="76"/>
      <c r="C827" s="76"/>
      <c r="D827" s="76"/>
      <c r="E827" s="76"/>
      <c r="F827" s="76"/>
      <c r="G827" s="76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 ht="15.75" customHeight="1">
      <c r="A828" s="76"/>
      <c r="B828" s="76"/>
      <c r="C828" s="76"/>
      <c r="D828" s="76"/>
      <c r="E828" s="76"/>
      <c r="F828" s="76"/>
      <c r="G828" s="76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 ht="15.75" customHeight="1">
      <c r="A829" s="76"/>
      <c r="B829" s="76"/>
      <c r="C829" s="76"/>
      <c r="D829" s="76"/>
      <c r="E829" s="76"/>
      <c r="F829" s="76"/>
      <c r="G829" s="76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 ht="15.75" customHeight="1">
      <c r="A830" s="76"/>
      <c r="B830" s="76"/>
      <c r="C830" s="76"/>
      <c r="D830" s="76"/>
      <c r="E830" s="76"/>
      <c r="F830" s="76"/>
      <c r="G830" s="76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 ht="15.75" customHeight="1">
      <c r="A831" s="76"/>
      <c r="B831" s="76"/>
      <c r="C831" s="76"/>
      <c r="D831" s="76"/>
      <c r="E831" s="76"/>
      <c r="F831" s="76"/>
      <c r="G831" s="76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 ht="15.75" customHeight="1">
      <c r="A832" s="76"/>
      <c r="B832" s="76"/>
      <c r="C832" s="76"/>
      <c r="D832" s="76"/>
      <c r="E832" s="76"/>
      <c r="F832" s="76"/>
      <c r="G832" s="76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 ht="15.75" customHeight="1">
      <c r="A833" s="76"/>
      <c r="B833" s="76"/>
      <c r="C833" s="76"/>
      <c r="D833" s="76"/>
      <c r="E833" s="76"/>
      <c r="F833" s="76"/>
      <c r="G833" s="76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 ht="15.75" customHeight="1">
      <c r="A834" s="76"/>
      <c r="B834" s="76"/>
      <c r="C834" s="76"/>
      <c r="D834" s="76"/>
      <c r="E834" s="76"/>
      <c r="F834" s="76"/>
      <c r="G834" s="76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 ht="15.75" customHeight="1">
      <c r="A835" s="76"/>
      <c r="B835" s="76"/>
      <c r="C835" s="76"/>
      <c r="D835" s="76"/>
      <c r="E835" s="76"/>
      <c r="F835" s="76"/>
      <c r="G835" s="76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 ht="15.75" customHeight="1">
      <c r="A836" s="76"/>
      <c r="B836" s="76"/>
      <c r="C836" s="76"/>
      <c r="D836" s="76"/>
      <c r="E836" s="76"/>
      <c r="F836" s="76"/>
      <c r="G836" s="76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 ht="15.75" customHeight="1">
      <c r="A837" s="76"/>
      <c r="B837" s="76"/>
      <c r="C837" s="76"/>
      <c r="D837" s="76"/>
      <c r="E837" s="76"/>
      <c r="F837" s="76"/>
      <c r="G837" s="76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 ht="15.75" customHeight="1">
      <c r="A838" s="76"/>
      <c r="B838" s="76"/>
      <c r="C838" s="76"/>
      <c r="D838" s="76"/>
      <c r="E838" s="76"/>
      <c r="F838" s="76"/>
      <c r="G838" s="76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 ht="15.75" customHeight="1">
      <c r="A839" s="76"/>
      <c r="B839" s="76"/>
      <c r="C839" s="76"/>
      <c r="D839" s="76"/>
      <c r="E839" s="76"/>
      <c r="F839" s="76"/>
      <c r="G839" s="76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 ht="15.75" customHeight="1">
      <c r="A840" s="76"/>
      <c r="B840" s="76"/>
      <c r="C840" s="76"/>
      <c r="D840" s="76"/>
      <c r="E840" s="76"/>
      <c r="F840" s="76"/>
      <c r="G840" s="76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 ht="15.75" customHeight="1">
      <c r="A841" s="76"/>
      <c r="B841" s="76"/>
      <c r="C841" s="76"/>
      <c r="D841" s="76"/>
      <c r="E841" s="76"/>
      <c r="F841" s="76"/>
      <c r="G841" s="76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 ht="15.75" customHeight="1">
      <c r="A842" s="76"/>
      <c r="B842" s="76"/>
      <c r="C842" s="76"/>
      <c r="D842" s="76"/>
      <c r="E842" s="76"/>
      <c r="F842" s="76"/>
      <c r="G842" s="76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 ht="15.75" customHeight="1">
      <c r="A843" s="76"/>
      <c r="B843" s="76"/>
      <c r="C843" s="76"/>
      <c r="D843" s="76"/>
      <c r="E843" s="76"/>
      <c r="F843" s="76"/>
      <c r="G843" s="76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 ht="15.75" customHeight="1">
      <c r="A844" s="76"/>
      <c r="B844" s="76"/>
      <c r="C844" s="76"/>
      <c r="D844" s="76"/>
      <c r="E844" s="76"/>
      <c r="F844" s="76"/>
      <c r="G844" s="76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 ht="15.75" customHeight="1">
      <c r="A845" s="76"/>
      <c r="B845" s="76"/>
      <c r="C845" s="76"/>
      <c r="D845" s="76"/>
      <c r="E845" s="76"/>
      <c r="F845" s="76"/>
      <c r="G845" s="76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 ht="15.75" customHeight="1">
      <c r="A846" s="76"/>
      <c r="B846" s="76"/>
      <c r="C846" s="76"/>
      <c r="D846" s="76"/>
      <c r="E846" s="76"/>
      <c r="F846" s="76"/>
      <c r="G846" s="76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 ht="15.75" customHeight="1">
      <c r="A847" s="76"/>
      <c r="B847" s="76"/>
      <c r="C847" s="76"/>
      <c r="D847" s="76"/>
      <c r="E847" s="76"/>
      <c r="F847" s="76"/>
      <c r="G847" s="76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 ht="15.75" customHeight="1">
      <c r="A848" s="76"/>
      <c r="B848" s="76"/>
      <c r="C848" s="76"/>
      <c r="D848" s="76"/>
      <c r="E848" s="76"/>
      <c r="F848" s="76"/>
      <c r="G848" s="76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 ht="15.75" customHeight="1">
      <c r="A849" s="76"/>
      <c r="B849" s="76"/>
      <c r="C849" s="76"/>
      <c r="D849" s="76"/>
      <c r="E849" s="76"/>
      <c r="F849" s="76"/>
      <c r="G849" s="76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 ht="15.75" customHeight="1">
      <c r="A850" s="76"/>
      <c r="B850" s="76"/>
      <c r="C850" s="76"/>
      <c r="D850" s="76"/>
      <c r="E850" s="76"/>
      <c r="F850" s="76"/>
      <c r="G850" s="76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 ht="15.75" customHeight="1">
      <c r="A851" s="76"/>
      <c r="B851" s="76"/>
      <c r="C851" s="76"/>
      <c r="D851" s="76"/>
      <c r="E851" s="76"/>
      <c r="F851" s="76"/>
      <c r="G851" s="76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 ht="15.75" customHeight="1">
      <c r="A852" s="76"/>
      <c r="B852" s="76"/>
      <c r="C852" s="76"/>
      <c r="D852" s="76"/>
      <c r="E852" s="76"/>
      <c r="F852" s="76"/>
      <c r="G852" s="76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 ht="15.75" customHeight="1">
      <c r="A853" s="76"/>
      <c r="B853" s="76"/>
      <c r="C853" s="76"/>
      <c r="D853" s="76"/>
      <c r="E853" s="76"/>
      <c r="F853" s="76"/>
      <c r="G853" s="76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 ht="15.75" customHeight="1">
      <c r="A854" s="76"/>
      <c r="B854" s="76"/>
      <c r="C854" s="76"/>
      <c r="D854" s="76"/>
      <c r="E854" s="76"/>
      <c r="F854" s="76"/>
      <c r="G854" s="76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 ht="15.75" customHeight="1">
      <c r="A855" s="76"/>
      <c r="B855" s="76"/>
      <c r="C855" s="76"/>
      <c r="D855" s="76"/>
      <c r="E855" s="76"/>
      <c r="F855" s="76"/>
      <c r="G855" s="76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 ht="15.75" customHeight="1">
      <c r="A856" s="76"/>
      <c r="B856" s="76"/>
      <c r="C856" s="76"/>
      <c r="D856" s="76"/>
      <c r="E856" s="76"/>
      <c r="F856" s="76"/>
      <c r="G856" s="76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 ht="15.75" customHeight="1">
      <c r="A857" s="76"/>
      <c r="B857" s="76"/>
      <c r="C857" s="76"/>
      <c r="D857" s="76"/>
      <c r="E857" s="76"/>
      <c r="F857" s="76"/>
      <c r="G857" s="76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 ht="15.75" customHeight="1">
      <c r="A858" s="76"/>
      <c r="B858" s="76"/>
      <c r="C858" s="76"/>
      <c r="D858" s="76"/>
      <c r="E858" s="76"/>
      <c r="F858" s="76"/>
      <c r="G858" s="76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 ht="15.75" customHeight="1">
      <c r="A859" s="76"/>
      <c r="B859" s="76"/>
      <c r="C859" s="76"/>
      <c r="D859" s="76"/>
      <c r="E859" s="76"/>
      <c r="F859" s="76"/>
      <c r="G859" s="76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 ht="15.75" customHeight="1">
      <c r="A860" s="76"/>
      <c r="B860" s="76"/>
      <c r="C860" s="76"/>
      <c r="D860" s="76"/>
      <c r="E860" s="76"/>
      <c r="F860" s="76"/>
      <c r="G860" s="76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 ht="15.75" customHeight="1">
      <c r="A861" s="76"/>
      <c r="B861" s="76"/>
      <c r="C861" s="76"/>
      <c r="D861" s="76"/>
      <c r="E861" s="76"/>
      <c r="F861" s="76"/>
      <c r="G861" s="76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 ht="15.75" customHeight="1">
      <c r="A862" s="76"/>
      <c r="B862" s="76"/>
      <c r="C862" s="76"/>
      <c r="D862" s="76"/>
      <c r="E862" s="76"/>
      <c r="F862" s="76"/>
      <c r="G862" s="76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 ht="15.75" customHeight="1">
      <c r="A863" s="76"/>
      <c r="B863" s="76"/>
      <c r="C863" s="76"/>
      <c r="D863" s="76"/>
      <c r="E863" s="76"/>
      <c r="F863" s="76"/>
      <c r="G863" s="76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 ht="15.75" customHeight="1">
      <c r="A864" s="76"/>
      <c r="B864" s="76"/>
      <c r="C864" s="76"/>
      <c r="D864" s="76"/>
      <c r="E864" s="76"/>
      <c r="F864" s="76"/>
      <c r="G864" s="76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 ht="15.75" customHeight="1">
      <c r="A865" s="76"/>
      <c r="B865" s="76"/>
      <c r="C865" s="76"/>
      <c r="D865" s="76"/>
      <c r="E865" s="76"/>
      <c r="F865" s="76"/>
      <c r="G865" s="76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 ht="15.75" customHeight="1">
      <c r="A866" s="76"/>
      <c r="B866" s="76"/>
      <c r="C866" s="76"/>
      <c r="D866" s="76"/>
      <c r="E866" s="76"/>
      <c r="F866" s="76"/>
      <c r="G866" s="76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 ht="15.75" customHeight="1">
      <c r="A867" s="76"/>
      <c r="B867" s="76"/>
      <c r="C867" s="76"/>
      <c r="D867" s="76"/>
      <c r="E867" s="76"/>
      <c r="F867" s="76"/>
      <c r="G867" s="76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 ht="15.75" customHeight="1">
      <c r="A868" s="76"/>
      <c r="B868" s="76"/>
      <c r="C868" s="76"/>
      <c r="D868" s="76"/>
      <c r="E868" s="76"/>
      <c r="F868" s="76"/>
      <c r="G868" s="76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 ht="15.75" customHeight="1">
      <c r="A869" s="76"/>
      <c r="B869" s="76"/>
      <c r="C869" s="76"/>
      <c r="D869" s="76"/>
      <c r="E869" s="76"/>
      <c r="F869" s="76"/>
      <c r="G869" s="76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 ht="15.75" customHeight="1">
      <c r="A870" s="76"/>
      <c r="B870" s="76"/>
      <c r="C870" s="76"/>
      <c r="D870" s="76"/>
      <c r="E870" s="76"/>
      <c r="F870" s="76"/>
      <c r="G870" s="76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 ht="15.75" customHeight="1">
      <c r="A871" s="76"/>
      <c r="B871" s="76"/>
      <c r="C871" s="76"/>
      <c r="D871" s="76"/>
      <c r="E871" s="76"/>
      <c r="F871" s="76"/>
      <c r="G871" s="76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 ht="15.75" customHeight="1">
      <c r="A872" s="76"/>
      <c r="B872" s="76"/>
      <c r="C872" s="76"/>
      <c r="D872" s="76"/>
      <c r="E872" s="76"/>
      <c r="F872" s="76"/>
      <c r="G872" s="76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 ht="15.75" customHeight="1">
      <c r="A873" s="76"/>
      <c r="B873" s="76"/>
      <c r="C873" s="76"/>
      <c r="D873" s="76"/>
      <c r="E873" s="76"/>
      <c r="F873" s="76"/>
      <c r="G873" s="76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 ht="15.75" customHeight="1">
      <c r="A874" s="76"/>
      <c r="B874" s="76"/>
      <c r="C874" s="76"/>
      <c r="D874" s="76"/>
      <c r="E874" s="76"/>
      <c r="F874" s="76"/>
      <c r="G874" s="76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 ht="15.75" customHeight="1">
      <c r="A875" s="76"/>
      <c r="B875" s="76"/>
      <c r="C875" s="76"/>
      <c r="D875" s="76"/>
      <c r="E875" s="76"/>
      <c r="F875" s="76"/>
      <c r="G875" s="76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 ht="15.75" customHeight="1">
      <c r="A876" s="76"/>
      <c r="B876" s="76"/>
      <c r="C876" s="76"/>
      <c r="D876" s="76"/>
      <c r="E876" s="76"/>
      <c r="F876" s="76"/>
      <c r="G876" s="76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 ht="15.75" customHeight="1">
      <c r="A877" s="76"/>
      <c r="B877" s="76"/>
      <c r="C877" s="76"/>
      <c r="D877" s="76"/>
      <c r="E877" s="76"/>
      <c r="F877" s="76"/>
      <c r="G877" s="76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 ht="15.75" customHeight="1">
      <c r="A878" s="76"/>
      <c r="B878" s="76"/>
      <c r="C878" s="76"/>
      <c r="D878" s="76"/>
      <c r="E878" s="76"/>
      <c r="F878" s="76"/>
      <c r="G878" s="76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 ht="15.75" customHeight="1">
      <c r="A879" s="76"/>
      <c r="B879" s="76"/>
      <c r="C879" s="76"/>
      <c r="D879" s="76"/>
      <c r="E879" s="76"/>
      <c r="F879" s="76"/>
      <c r="G879" s="76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 ht="15.75" customHeight="1">
      <c r="A880" s="76"/>
      <c r="B880" s="76"/>
      <c r="C880" s="76"/>
      <c r="D880" s="76"/>
      <c r="E880" s="76"/>
      <c r="F880" s="76"/>
      <c r="G880" s="76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 ht="15.75" customHeight="1">
      <c r="A881" s="76"/>
      <c r="B881" s="76"/>
      <c r="C881" s="76"/>
      <c r="D881" s="76"/>
      <c r="E881" s="76"/>
      <c r="F881" s="76"/>
      <c r="G881" s="76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 ht="15.75" customHeight="1">
      <c r="A882" s="76"/>
      <c r="B882" s="76"/>
      <c r="C882" s="76"/>
      <c r="D882" s="76"/>
      <c r="E882" s="76"/>
      <c r="F882" s="76"/>
      <c r="G882" s="76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 ht="15.75" customHeight="1">
      <c r="A883" s="76"/>
      <c r="B883" s="76"/>
      <c r="C883" s="76"/>
      <c r="D883" s="76"/>
      <c r="E883" s="76"/>
      <c r="F883" s="76"/>
      <c r="G883" s="76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 ht="15.75" customHeight="1">
      <c r="A884" s="76"/>
      <c r="B884" s="76"/>
      <c r="C884" s="76"/>
      <c r="D884" s="76"/>
      <c r="E884" s="76"/>
      <c r="F884" s="76"/>
      <c r="G884" s="76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 ht="15.75" customHeight="1">
      <c r="A885" s="76"/>
      <c r="B885" s="76"/>
      <c r="C885" s="76"/>
      <c r="D885" s="76"/>
      <c r="E885" s="76"/>
      <c r="F885" s="76"/>
      <c r="G885" s="76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 ht="15.75" customHeight="1">
      <c r="A886" s="76"/>
      <c r="B886" s="76"/>
      <c r="C886" s="76"/>
      <c r="D886" s="76"/>
      <c r="E886" s="76"/>
      <c r="F886" s="76"/>
      <c r="G886" s="76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 ht="15.75" customHeight="1">
      <c r="A887" s="76"/>
      <c r="B887" s="76"/>
      <c r="C887" s="76"/>
      <c r="D887" s="76"/>
      <c r="E887" s="76"/>
      <c r="F887" s="76"/>
      <c r="G887" s="76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 ht="15.75" customHeight="1">
      <c r="A888" s="76"/>
      <c r="B888" s="76"/>
      <c r="C888" s="76"/>
      <c r="D888" s="76"/>
      <c r="E888" s="76"/>
      <c r="F888" s="76"/>
      <c r="G888" s="76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 ht="15.75" customHeight="1">
      <c r="A889" s="76"/>
      <c r="B889" s="76"/>
      <c r="C889" s="76"/>
      <c r="D889" s="76"/>
      <c r="E889" s="76"/>
      <c r="F889" s="76"/>
      <c r="G889" s="76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 ht="15.75" customHeight="1">
      <c r="A890" s="76"/>
      <c r="B890" s="76"/>
      <c r="C890" s="76"/>
      <c r="D890" s="76"/>
      <c r="E890" s="76"/>
      <c r="F890" s="76"/>
      <c r="G890" s="76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 ht="15.75" customHeight="1">
      <c r="A891" s="76"/>
      <c r="B891" s="76"/>
      <c r="C891" s="76"/>
      <c r="D891" s="76"/>
      <c r="E891" s="76"/>
      <c r="F891" s="76"/>
      <c r="G891" s="76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 ht="15.75" customHeight="1">
      <c r="A892" s="76"/>
      <c r="B892" s="76"/>
      <c r="C892" s="76"/>
      <c r="D892" s="76"/>
      <c r="E892" s="76"/>
      <c r="F892" s="76"/>
      <c r="G892" s="76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 ht="15.75" customHeight="1">
      <c r="A893" s="76"/>
      <c r="B893" s="76"/>
      <c r="C893" s="76"/>
      <c r="D893" s="76"/>
      <c r="E893" s="76"/>
      <c r="F893" s="76"/>
      <c r="G893" s="76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 ht="15.75" customHeight="1">
      <c r="A894" s="76"/>
      <c r="B894" s="76"/>
      <c r="C894" s="76"/>
      <c r="D894" s="76"/>
      <c r="E894" s="76"/>
      <c r="F894" s="76"/>
      <c r="G894" s="76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 ht="15.75" customHeight="1">
      <c r="A895" s="76"/>
      <c r="B895" s="76"/>
      <c r="C895" s="76"/>
      <c r="D895" s="76"/>
      <c r="E895" s="76"/>
      <c r="F895" s="76"/>
      <c r="G895" s="76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 ht="15.75" customHeight="1">
      <c r="A896" s="76"/>
      <c r="B896" s="76"/>
      <c r="C896" s="76"/>
      <c r="D896" s="76"/>
      <c r="E896" s="76"/>
      <c r="F896" s="76"/>
      <c r="G896" s="76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 ht="15.75" customHeight="1">
      <c r="A897" s="76"/>
      <c r="B897" s="76"/>
      <c r="C897" s="76"/>
      <c r="D897" s="76"/>
      <c r="E897" s="76"/>
      <c r="F897" s="76"/>
      <c r="G897" s="76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 ht="15.75" customHeight="1">
      <c r="A898" s="76"/>
      <c r="B898" s="76"/>
      <c r="C898" s="76"/>
      <c r="D898" s="76"/>
      <c r="E898" s="76"/>
      <c r="F898" s="76"/>
      <c r="G898" s="76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 ht="15.75" customHeight="1">
      <c r="A899" s="76"/>
      <c r="B899" s="76"/>
      <c r="C899" s="76"/>
      <c r="D899" s="76"/>
      <c r="E899" s="76"/>
      <c r="F899" s="76"/>
      <c r="G899" s="76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 ht="15.75" customHeight="1">
      <c r="A900" s="76"/>
      <c r="B900" s="76"/>
      <c r="C900" s="76"/>
      <c r="D900" s="76"/>
      <c r="E900" s="76"/>
      <c r="F900" s="76"/>
      <c r="G900" s="76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 ht="15.75" customHeight="1">
      <c r="A901" s="76"/>
      <c r="B901" s="76"/>
      <c r="C901" s="76"/>
      <c r="D901" s="76"/>
      <c r="E901" s="76"/>
      <c r="F901" s="76"/>
      <c r="G901" s="76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 ht="15.75" customHeight="1">
      <c r="A902" s="76"/>
      <c r="B902" s="76"/>
      <c r="C902" s="76"/>
      <c r="D902" s="76"/>
      <c r="E902" s="76"/>
      <c r="F902" s="76"/>
      <c r="G902" s="76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 ht="15.75" customHeight="1">
      <c r="A903" s="76"/>
      <c r="B903" s="76"/>
      <c r="C903" s="76"/>
      <c r="D903" s="76"/>
      <c r="E903" s="76"/>
      <c r="F903" s="76"/>
      <c r="G903" s="76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 ht="15.75" customHeight="1">
      <c r="A904" s="76"/>
      <c r="B904" s="76"/>
      <c r="C904" s="76"/>
      <c r="D904" s="76"/>
      <c r="E904" s="76"/>
      <c r="F904" s="76"/>
      <c r="G904" s="76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 ht="15.75" customHeight="1">
      <c r="A905" s="76"/>
      <c r="B905" s="76"/>
      <c r="C905" s="76"/>
      <c r="D905" s="76"/>
      <c r="E905" s="76"/>
      <c r="F905" s="76"/>
      <c r="G905" s="76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 ht="15.75" customHeight="1">
      <c r="A906" s="76"/>
      <c r="B906" s="76"/>
      <c r="C906" s="76"/>
      <c r="D906" s="76"/>
      <c r="E906" s="76"/>
      <c r="F906" s="76"/>
      <c r="G906" s="76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 ht="15.75" customHeight="1">
      <c r="A907" s="76"/>
      <c r="B907" s="76"/>
      <c r="C907" s="76"/>
      <c r="D907" s="76"/>
      <c r="E907" s="76"/>
      <c r="F907" s="76"/>
      <c r="G907" s="76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 ht="15.75" customHeight="1">
      <c r="A908" s="76"/>
      <c r="B908" s="76"/>
      <c r="C908" s="76"/>
      <c r="D908" s="76"/>
      <c r="E908" s="76"/>
      <c r="F908" s="76"/>
      <c r="G908" s="76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 ht="15.75" customHeight="1">
      <c r="A909" s="76"/>
      <c r="B909" s="76"/>
      <c r="C909" s="76"/>
      <c r="D909" s="76"/>
      <c r="E909" s="76"/>
      <c r="F909" s="76"/>
      <c r="G909" s="76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 ht="15.75" customHeight="1">
      <c r="A910" s="76"/>
      <c r="B910" s="76"/>
      <c r="C910" s="76"/>
      <c r="D910" s="76"/>
      <c r="E910" s="76"/>
      <c r="F910" s="76"/>
      <c r="G910" s="76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 ht="15.75" customHeight="1">
      <c r="A911" s="76"/>
      <c r="B911" s="76"/>
      <c r="C911" s="76"/>
      <c r="D911" s="76"/>
      <c r="E911" s="76"/>
      <c r="F911" s="76"/>
      <c r="G911" s="76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 ht="15.75" customHeight="1">
      <c r="A912" s="76"/>
      <c r="B912" s="76"/>
      <c r="C912" s="76"/>
      <c r="D912" s="76"/>
      <c r="E912" s="76"/>
      <c r="F912" s="76"/>
      <c r="G912" s="76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 ht="15.75" customHeight="1">
      <c r="A913" s="76"/>
      <c r="B913" s="76"/>
      <c r="C913" s="76"/>
      <c r="D913" s="76"/>
      <c r="E913" s="76"/>
      <c r="F913" s="76"/>
      <c r="G913" s="76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 ht="15.75" customHeight="1">
      <c r="A914" s="76"/>
      <c r="B914" s="76"/>
      <c r="C914" s="76"/>
      <c r="D914" s="76"/>
      <c r="E914" s="76"/>
      <c r="F914" s="76"/>
      <c r="G914" s="76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 ht="15.75" customHeight="1">
      <c r="A915" s="76"/>
      <c r="B915" s="76"/>
      <c r="C915" s="76"/>
      <c r="D915" s="76"/>
      <c r="E915" s="76"/>
      <c r="F915" s="76"/>
      <c r="G915" s="76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 ht="15.75" customHeight="1">
      <c r="A916" s="76"/>
      <c r="B916" s="76"/>
      <c r="C916" s="76"/>
      <c r="D916" s="76"/>
      <c r="E916" s="76"/>
      <c r="F916" s="76"/>
      <c r="G916" s="76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 ht="15.75" customHeight="1">
      <c r="A917" s="76"/>
      <c r="B917" s="76"/>
      <c r="C917" s="76"/>
      <c r="D917" s="76"/>
      <c r="E917" s="76"/>
      <c r="F917" s="76"/>
      <c r="G917" s="76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 ht="15.75" customHeight="1">
      <c r="A918" s="76"/>
      <c r="B918" s="76"/>
      <c r="C918" s="76"/>
      <c r="D918" s="76"/>
      <c r="E918" s="76"/>
      <c r="F918" s="76"/>
      <c r="G918" s="76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 ht="15.75" customHeight="1">
      <c r="A919" s="76"/>
      <c r="B919" s="76"/>
      <c r="C919" s="76"/>
      <c r="D919" s="76"/>
      <c r="E919" s="76"/>
      <c r="F919" s="76"/>
      <c r="G919" s="76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 ht="15.75" customHeight="1">
      <c r="A920" s="76"/>
      <c r="B920" s="76"/>
      <c r="C920" s="76"/>
      <c r="D920" s="76"/>
      <c r="E920" s="76"/>
      <c r="F920" s="76"/>
      <c r="G920" s="76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 ht="15.75" customHeight="1">
      <c r="A921" s="76"/>
      <c r="B921" s="76"/>
      <c r="C921" s="76"/>
      <c r="D921" s="76"/>
      <c r="E921" s="76"/>
      <c r="F921" s="76"/>
      <c r="G921" s="76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 ht="15.75" customHeight="1">
      <c r="A922" s="76"/>
      <c r="B922" s="76"/>
      <c r="C922" s="76"/>
      <c r="D922" s="76"/>
      <c r="E922" s="76"/>
      <c r="F922" s="76"/>
      <c r="G922" s="76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 ht="15.75" customHeight="1">
      <c r="A923" s="76"/>
      <c r="B923" s="76"/>
      <c r="C923" s="76"/>
      <c r="D923" s="76"/>
      <c r="E923" s="76"/>
      <c r="F923" s="76"/>
      <c r="G923" s="76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 ht="15.75" customHeight="1">
      <c r="A924" s="76"/>
      <c r="B924" s="76"/>
      <c r="C924" s="76"/>
      <c r="D924" s="76"/>
      <c r="E924" s="76"/>
      <c r="F924" s="76"/>
      <c r="G924" s="76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 ht="15.75" customHeight="1">
      <c r="A925" s="76"/>
      <c r="B925" s="76"/>
      <c r="C925" s="76"/>
      <c r="D925" s="76"/>
      <c r="E925" s="76"/>
      <c r="F925" s="76"/>
      <c r="G925" s="76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 ht="15.75" customHeight="1">
      <c r="A926" s="76"/>
      <c r="B926" s="76"/>
      <c r="C926" s="76"/>
      <c r="D926" s="76"/>
      <c r="E926" s="76"/>
      <c r="F926" s="76"/>
      <c r="G926" s="76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 ht="15.75" customHeight="1">
      <c r="A927" s="76"/>
      <c r="B927" s="76"/>
      <c r="C927" s="76"/>
      <c r="D927" s="76"/>
      <c r="E927" s="76"/>
      <c r="F927" s="76"/>
      <c r="G927" s="76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 ht="15.75" customHeight="1">
      <c r="A928" s="76"/>
      <c r="B928" s="76"/>
      <c r="C928" s="76"/>
      <c r="D928" s="76"/>
      <c r="E928" s="76"/>
      <c r="F928" s="76"/>
      <c r="G928" s="76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 ht="15.75" customHeight="1">
      <c r="A929" s="76"/>
      <c r="B929" s="76"/>
      <c r="C929" s="76"/>
      <c r="D929" s="76"/>
      <c r="E929" s="76"/>
      <c r="F929" s="76"/>
      <c r="G929" s="76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 ht="15.75" customHeight="1">
      <c r="A930" s="76"/>
      <c r="B930" s="76"/>
      <c r="C930" s="76"/>
      <c r="D930" s="76"/>
      <c r="E930" s="76"/>
      <c r="F930" s="76"/>
      <c r="G930" s="76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 ht="15.75" customHeight="1">
      <c r="A931" s="76"/>
      <c r="B931" s="76"/>
      <c r="C931" s="76"/>
      <c r="D931" s="76"/>
      <c r="E931" s="76"/>
      <c r="F931" s="76"/>
      <c r="G931" s="76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 ht="15.75" customHeight="1">
      <c r="A932" s="76"/>
      <c r="B932" s="76"/>
      <c r="C932" s="76"/>
      <c r="D932" s="76"/>
      <c r="E932" s="76"/>
      <c r="F932" s="76"/>
      <c r="G932" s="76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 ht="15.75" customHeight="1">
      <c r="A933" s="76"/>
      <c r="B933" s="76"/>
      <c r="C933" s="76"/>
      <c r="D933" s="76"/>
      <c r="E933" s="76"/>
      <c r="F933" s="76"/>
      <c r="G933" s="76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 ht="15.75" customHeight="1">
      <c r="A934" s="76"/>
      <c r="B934" s="76"/>
      <c r="C934" s="76"/>
      <c r="D934" s="76"/>
      <c r="E934" s="76"/>
      <c r="F934" s="76"/>
      <c r="G934" s="76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 ht="15.75" customHeight="1">
      <c r="A935" s="76"/>
      <c r="B935" s="76"/>
      <c r="C935" s="76"/>
      <c r="D935" s="76"/>
      <c r="E935" s="76"/>
      <c r="F935" s="76"/>
      <c r="G935" s="76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 ht="15.75" customHeight="1">
      <c r="A936" s="76"/>
      <c r="B936" s="76"/>
      <c r="C936" s="76"/>
      <c r="D936" s="76"/>
      <c r="E936" s="76"/>
      <c r="F936" s="76"/>
      <c r="G936" s="76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 ht="15.75" customHeight="1">
      <c r="A937" s="76"/>
      <c r="B937" s="76"/>
      <c r="C937" s="76"/>
      <c r="D937" s="76"/>
      <c r="E937" s="76"/>
      <c r="F937" s="76"/>
      <c r="G937" s="76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 ht="15.75" customHeight="1">
      <c r="A938" s="76"/>
      <c r="B938" s="76"/>
      <c r="C938" s="76"/>
      <c r="D938" s="76"/>
      <c r="E938" s="76"/>
      <c r="F938" s="76"/>
      <c r="G938" s="76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 ht="15.75" customHeight="1">
      <c r="A939" s="76"/>
      <c r="B939" s="76"/>
      <c r="C939" s="76"/>
      <c r="D939" s="76"/>
      <c r="E939" s="76"/>
      <c r="F939" s="76"/>
      <c r="G939" s="76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 ht="15.75" customHeight="1">
      <c r="A940" s="76"/>
      <c r="B940" s="76"/>
      <c r="C940" s="76"/>
      <c r="D940" s="76"/>
      <c r="E940" s="76"/>
      <c r="F940" s="76"/>
      <c r="G940" s="76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 ht="15.75" customHeight="1">
      <c r="A941" s="76"/>
      <c r="B941" s="76"/>
      <c r="C941" s="76"/>
      <c r="D941" s="76"/>
      <c r="E941" s="76"/>
      <c r="F941" s="76"/>
      <c r="G941" s="76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 ht="15.75" customHeight="1">
      <c r="A942" s="76"/>
      <c r="B942" s="76"/>
      <c r="C942" s="76"/>
      <c r="D942" s="76"/>
      <c r="E942" s="76"/>
      <c r="F942" s="76"/>
      <c r="G942" s="76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 ht="15.75" customHeight="1">
      <c r="A943" s="76"/>
      <c r="B943" s="76"/>
      <c r="C943" s="76"/>
      <c r="D943" s="76"/>
      <c r="E943" s="76"/>
      <c r="F943" s="76"/>
      <c r="G943" s="76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 ht="15.75" customHeight="1">
      <c r="A944" s="76"/>
      <c r="B944" s="76"/>
      <c r="C944" s="76"/>
      <c r="D944" s="76"/>
      <c r="E944" s="76"/>
      <c r="F944" s="76"/>
      <c r="G944" s="76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 ht="15.75" customHeight="1">
      <c r="A945" s="76"/>
      <c r="B945" s="76"/>
      <c r="C945" s="76"/>
      <c r="D945" s="76"/>
      <c r="E945" s="76"/>
      <c r="F945" s="76"/>
      <c r="G945" s="76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 ht="15.75" customHeight="1">
      <c r="A946" s="76"/>
      <c r="B946" s="76"/>
      <c r="C946" s="76"/>
      <c r="D946" s="76"/>
      <c r="E946" s="76"/>
      <c r="F946" s="76"/>
      <c r="G946" s="76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 ht="15.75" customHeight="1">
      <c r="A947" s="76"/>
      <c r="B947" s="76"/>
      <c r="C947" s="76"/>
      <c r="D947" s="76"/>
      <c r="E947" s="76"/>
      <c r="F947" s="76"/>
      <c r="G947" s="76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 ht="15.75" customHeight="1">
      <c r="A948" s="76"/>
      <c r="B948" s="76"/>
      <c r="C948" s="76"/>
      <c r="D948" s="76"/>
      <c r="E948" s="76"/>
      <c r="F948" s="76"/>
      <c r="G948" s="76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 ht="15.75" customHeight="1">
      <c r="A949" s="76"/>
      <c r="B949" s="76"/>
      <c r="C949" s="76"/>
      <c r="D949" s="76"/>
      <c r="E949" s="76"/>
      <c r="F949" s="76"/>
      <c r="G949" s="76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 ht="15.75" customHeight="1">
      <c r="A950" s="76"/>
      <c r="B950" s="76"/>
      <c r="C950" s="76"/>
      <c r="D950" s="76"/>
      <c r="E950" s="76"/>
      <c r="F950" s="76"/>
      <c r="G950" s="76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 ht="15.75" customHeight="1">
      <c r="A951" s="76"/>
      <c r="B951" s="76"/>
      <c r="C951" s="76"/>
      <c r="D951" s="76"/>
      <c r="E951" s="76"/>
      <c r="F951" s="76"/>
      <c r="G951" s="76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 ht="15.75" customHeight="1">
      <c r="A952" s="76"/>
      <c r="B952" s="76"/>
      <c r="C952" s="76"/>
      <c r="D952" s="76"/>
      <c r="E952" s="76"/>
      <c r="F952" s="76"/>
      <c r="G952" s="76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 ht="15.75" customHeight="1">
      <c r="A953" s="76"/>
      <c r="B953" s="76"/>
      <c r="C953" s="76"/>
      <c r="D953" s="76"/>
      <c r="E953" s="76"/>
      <c r="F953" s="76"/>
      <c r="G953" s="76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 ht="15.75" customHeight="1">
      <c r="A954" s="76"/>
      <c r="B954" s="76"/>
      <c r="C954" s="76"/>
      <c r="D954" s="76"/>
      <c r="E954" s="76"/>
      <c r="F954" s="76"/>
      <c r="G954" s="76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 ht="15.75" customHeight="1">
      <c r="A955" s="76"/>
      <c r="B955" s="76"/>
      <c r="C955" s="76"/>
      <c r="D955" s="76"/>
      <c r="E955" s="76"/>
      <c r="F955" s="76"/>
      <c r="G955" s="76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 ht="15.75" customHeight="1">
      <c r="A956" s="76"/>
      <c r="B956" s="76"/>
      <c r="C956" s="76"/>
      <c r="D956" s="76"/>
      <c r="E956" s="76"/>
      <c r="F956" s="76"/>
      <c r="G956" s="76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 ht="15.75" customHeight="1">
      <c r="A957" s="76"/>
      <c r="B957" s="76"/>
      <c r="C957" s="76"/>
      <c r="D957" s="76"/>
      <c r="E957" s="76"/>
      <c r="F957" s="76"/>
      <c r="G957" s="76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 ht="15.75" customHeight="1">
      <c r="A958" s="76"/>
      <c r="B958" s="76"/>
      <c r="C958" s="76"/>
      <c r="D958" s="76"/>
      <c r="E958" s="76"/>
      <c r="F958" s="76"/>
      <c r="G958" s="76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 ht="15.75" customHeight="1">
      <c r="A959" s="76"/>
      <c r="B959" s="76"/>
      <c r="C959" s="76"/>
      <c r="D959" s="76"/>
      <c r="E959" s="76"/>
      <c r="F959" s="76"/>
      <c r="G959" s="76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 ht="15.75" customHeight="1">
      <c r="A960" s="76"/>
      <c r="B960" s="76"/>
      <c r="C960" s="76"/>
      <c r="D960" s="76"/>
      <c r="E960" s="76"/>
      <c r="F960" s="76"/>
      <c r="G960" s="76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 ht="15.75" customHeight="1">
      <c r="A961" s="76"/>
      <c r="B961" s="76"/>
      <c r="C961" s="76"/>
      <c r="D961" s="76"/>
      <c r="E961" s="76"/>
      <c r="F961" s="76"/>
      <c r="G961" s="76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 ht="15.75" customHeight="1">
      <c r="A962" s="76"/>
      <c r="B962" s="76"/>
      <c r="C962" s="76"/>
      <c r="D962" s="76"/>
      <c r="E962" s="76"/>
      <c r="F962" s="76"/>
      <c r="G962" s="76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 ht="15.75" customHeight="1">
      <c r="A963" s="76"/>
      <c r="B963" s="76"/>
      <c r="C963" s="76"/>
      <c r="D963" s="76"/>
      <c r="E963" s="76"/>
      <c r="F963" s="76"/>
      <c r="G963" s="76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 ht="15.75" customHeight="1">
      <c r="A964" s="76"/>
      <c r="B964" s="76"/>
      <c r="C964" s="76"/>
      <c r="D964" s="76"/>
      <c r="E964" s="76"/>
      <c r="F964" s="76"/>
      <c r="G964" s="76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 ht="15.75" customHeight="1">
      <c r="A965" s="76"/>
      <c r="B965" s="76"/>
      <c r="C965" s="76"/>
      <c r="D965" s="76"/>
      <c r="E965" s="76"/>
      <c r="F965" s="76"/>
      <c r="G965" s="76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 ht="15.75" customHeight="1">
      <c r="A966" s="76"/>
      <c r="B966" s="76"/>
      <c r="C966" s="76"/>
      <c r="D966" s="76"/>
      <c r="E966" s="76"/>
      <c r="F966" s="76"/>
      <c r="G966" s="76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 ht="15.75" customHeight="1">
      <c r="A967" s="76"/>
      <c r="B967" s="76"/>
      <c r="C967" s="76"/>
      <c r="D967" s="76"/>
      <c r="E967" s="76"/>
      <c r="F967" s="76"/>
      <c r="G967" s="76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 ht="15.75" customHeight="1">
      <c r="A968" s="76"/>
      <c r="B968" s="76"/>
      <c r="C968" s="76"/>
      <c r="D968" s="76"/>
      <c r="E968" s="76"/>
      <c r="F968" s="76"/>
      <c r="G968" s="76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 ht="15.75" customHeight="1">
      <c r="A969" s="76"/>
      <c r="B969" s="76"/>
      <c r="C969" s="76"/>
      <c r="D969" s="76"/>
      <c r="E969" s="76"/>
      <c r="F969" s="76"/>
      <c r="G969" s="76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 ht="15.75" customHeight="1">
      <c r="A970" s="76"/>
      <c r="B970" s="76"/>
      <c r="C970" s="76"/>
      <c r="D970" s="76"/>
      <c r="E970" s="76"/>
      <c r="F970" s="76"/>
      <c r="G970" s="76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 ht="15.75" customHeight="1">
      <c r="A971" s="76"/>
      <c r="B971" s="76"/>
      <c r="C971" s="76"/>
      <c r="D971" s="76"/>
      <c r="E971" s="76"/>
      <c r="F971" s="76"/>
      <c r="G971" s="76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 ht="15.75" customHeight="1">
      <c r="A972" s="76"/>
      <c r="B972" s="76"/>
      <c r="C972" s="76"/>
      <c r="D972" s="76"/>
      <c r="E972" s="76"/>
      <c r="F972" s="76"/>
      <c r="G972" s="76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 ht="15.75" customHeight="1">
      <c r="A973" s="76"/>
      <c r="B973" s="76"/>
      <c r="C973" s="76"/>
      <c r="D973" s="76"/>
      <c r="E973" s="76"/>
      <c r="F973" s="76"/>
      <c r="G973" s="76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 ht="15.75" customHeight="1">
      <c r="A974" s="76"/>
      <c r="B974" s="76"/>
      <c r="C974" s="76"/>
      <c r="D974" s="76"/>
      <c r="E974" s="76"/>
      <c r="F974" s="76"/>
      <c r="G974" s="76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 ht="15.75" customHeight="1">
      <c r="A975" s="76"/>
      <c r="B975" s="76"/>
      <c r="C975" s="76"/>
      <c r="D975" s="76"/>
      <c r="E975" s="76"/>
      <c r="F975" s="76"/>
      <c r="G975" s="76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 ht="15.75" customHeight="1">
      <c r="A976" s="76"/>
      <c r="B976" s="76"/>
      <c r="C976" s="76"/>
      <c r="D976" s="76"/>
      <c r="E976" s="76"/>
      <c r="F976" s="76"/>
      <c r="G976" s="76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 ht="15.75" customHeight="1">
      <c r="A977" s="76"/>
      <c r="B977" s="76"/>
      <c r="C977" s="76"/>
      <c r="D977" s="76"/>
      <c r="E977" s="76"/>
      <c r="F977" s="76"/>
      <c r="G977" s="76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 ht="15.75" customHeight="1">
      <c r="A978" s="76"/>
      <c r="B978" s="76"/>
      <c r="C978" s="76"/>
      <c r="D978" s="76"/>
      <c r="E978" s="76"/>
      <c r="F978" s="76"/>
      <c r="G978" s="76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 ht="15.75" customHeight="1">
      <c r="A979" s="76"/>
      <c r="B979" s="76"/>
      <c r="C979" s="76"/>
      <c r="D979" s="76"/>
      <c r="E979" s="76"/>
      <c r="F979" s="76"/>
      <c r="G979" s="76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 ht="15.75" customHeight="1">
      <c r="A980" s="76"/>
      <c r="B980" s="76"/>
      <c r="C980" s="76"/>
      <c r="D980" s="76"/>
      <c r="E980" s="76"/>
      <c r="F980" s="76"/>
      <c r="G980" s="76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 ht="15.75" customHeight="1">
      <c r="A981" s="76"/>
      <c r="B981" s="76"/>
      <c r="C981" s="76"/>
      <c r="D981" s="76"/>
      <c r="E981" s="76"/>
      <c r="F981" s="76"/>
      <c r="G981" s="76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 ht="15.75" customHeight="1">
      <c r="A982" s="76"/>
      <c r="B982" s="76"/>
      <c r="C982" s="76"/>
      <c r="D982" s="76"/>
      <c r="E982" s="76"/>
      <c r="F982" s="76"/>
      <c r="G982" s="76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 ht="15.75" customHeight="1">
      <c r="A983" s="76"/>
      <c r="B983" s="76"/>
      <c r="C983" s="76"/>
      <c r="D983" s="76"/>
      <c r="E983" s="76"/>
      <c r="F983" s="76"/>
      <c r="G983" s="76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 ht="15.75" customHeight="1">
      <c r="A984" s="76"/>
      <c r="B984" s="76"/>
      <c r="C984" s="76"/>
      <c r="D984" s="76"/>
      <c r="E984" s="76"/>
      <c r="F984" s="76"/>
      <c r="G984" s="76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 ht="15.75" customHeight="1">
      <c r="A985" s="76"/>
      <c r="B985" s="76"/>
      <c r="C985" s="76"/>
      <c r="D985" s="76"/>
      <c r="E985" s="76"/>
      <c r="F985" s="76"/>
      <c r="G985" s="76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 ht="15.75" customHeight="1">
      <c r="A986" s="76"/>
      <c r="B986" s="76"/>
      <c r="C986" s="76"/>
      <c r="D986" s="76"/>
      <c r="E986" s="76"/>
      <c r="F986" s="76"/>
      <c r="G986" s="76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 ht="15.75" customHeight="1">
      <c r="A987" s="76"/>
      <c r="B987" s="76"/>
      <c r="C987" s="76"/>
      <c r="D987" s="76"/>
      <c r="E987" s="76"/>
      <c r="F987" s="76"/>
      <c r="G987" s="76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 ht="15.75" customHeight="1">
      <c r="A988" s="76"/>
      <c r="B988" s="76"/>
      <c r="C988" s="76"/>
      <c r="D988" s="76"/>
      <c r="E988" s="76"/>
      <c r="F988" s="76"/>
      <c r="G988" s="76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 ht="15.75" customHeight="1">
      <c r="A989" s="76"/>
      <c r="B989" s="76"/>
      <c r="C989" s="76"/>
      <c r="D989" s="76"/>
      <c r="E989" s="76"/>
      <c r="F989" s="76"/>
      <c r="G989" s="76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 ht="15.75" customHeight="1">
      <c r="A990" s="76"/>
      <c r="B990" s="76"/>
      <c r="C990" s="76"/>
      <c r="D990" s="76"/>
      <c r="E990" s="76"/>
      <c r="F990" s="76"/>
      <c r="G990" s="76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 ht="15.75" customHeight="1">
      <c r="A991" s="76"/>
      <c r="B991" s="76"/>
      <c r="C991" s="76"/>
      <c r="D991" s="76"/>
      <c r="E991" s="76"/>
      <c r="F991" s="76"/>
      <c r="G991" s="76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 ht="15.75" customHeight="1">
      <c r="A992" s="76"/>
      <c r="B992" s="76"/>
      <c r="C992" s="76"/>
      <c r="D992" s="76"/>
      <c r="E992" s="76"/>
      <c r="F992" s="76"/>
      <c r="G992" s="76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 ht="15.75" customHeight="1">
      <c r="A993" s="76"/>
      <c r="B993" s="76"/>
      <c r="C993" s="76"/>
      <c r="D993" s="76"/>
      <c r="E993" s="76"/>
      <c r="F993" s="76"/>
      <c r="G993" s="76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 ht="15.75" customHeight="1">
      <c r="A994" s="76"/>
      <c r="B994" s="76"/>
      <c r="C994" s="76"/>
      <c r="D994" s="76"/>
      <c r="E994" s="76"/>
      <c r="F994" s="76"/>
      <c r="G994" s="76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 ht="15.75" customHeight="1">
      <c r="A995" s="76"/>
      <c r="B995" s="76"/>
      <c r="C995" s="76"/>
      <c r="D995" s="76"/>
      <c r="E995" s="76"/>
      <c r="F995" s="76"/>
      <c r="G995" s="76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 ht="15.75" customHeight="1">
      <c r="A996" s="76"/>
      <c r="B996" s="76"/>
      <c r="C996" s="76"/>
      <c r="D996" s="76"/>
      <c r="E996" s="76"/>
      <c r="F996" s="76"/>
      <c r="G996" s="76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 ht="15.75" customHeight="1">
      <c r="A997" s="76"/>
      <c r="B997" s="76"/>
      <c r="C997" s="76"/>
      <c r="D997" s="76"/>
      <c r="E997" s="76"/>
      <c r="F997" s="76"/>
      <c r="G997" s="76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 ht="15.75" customHeight="1">
      <c r="A998" s="76"/>
      <c r="B998" s="76"/>
      <c r="C998" s="76"/>
      <c r="D998" s="76"/>
      <c r="E998" s="76"/>
      <c r="F998" s="76"/>
      <c r="G998" s="76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 ht="15.75" customHeight="1">
      <c r="A999" s="76"/>
      <c r="B999" s="76"/>
      <c r="C999" s="76"/>
      <c r="D999" s="76"/>
      <c r="E999" s="76"/>
      <c r="F999" s="76"/>
      <c r="G999" s="76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 ht="15.75" customHeight="1">
      <c r="A1000" s="76"/>
      <c r="B1000" s="76"/>
      <c r="C1000" s="76"/>
      <c r="D1000" s="76"/>
      <c r="E1000" s="76"/>
      <c r="F1000" s="76"/>
      <c r="G1000" s="76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0" t="s">
        <v>94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1" t="s">
        <v>95</v>
      </c>
      <c r="B3" s="3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9" t="s">
        <v>96</v>
      </c>
      <c r="B4" s="92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49" t="s">
        <v>97</v>
      </c>
      <c r="B5" s="92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9" t="s">
        <v>98</v>
      </c>
      <c r="B6" s="92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49" t="s">
        <v>99</v>
      </c>
      <c r="B7" s="92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1" t="s">
        <v>100</v>
      </c>
      <c r="B9" s="3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49" t="s">
        <v>101</v>
      </c>
      <c r="B10" s="93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49" t="s">
        <v>102</v>
      </c>
      <c r="B11" s="93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49" t="s">
        <v>103</v>
      </c>
      <c r="B12" s="93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49" t="s">
        <v>104</v>
      </c>
      <c r="B13" s="93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49" t="s">
        <v>105</v>
      </c>
      <c r="B14" s="93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49" t="s">
        <v>50</v>
      </c>
      <c r="B15" s="93">
        <f>Transactions!C4</f>
        <v>-401.44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49" t="s">
        <v>106</v>
      </c>
      <c r="B16" s="93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1" t="s">
        <v>107</v>
      </c>
      <c r="B18" s="3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49" t="s">
        <v>108</v>
      </c>
      <c r="B19" s="92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49" t="s">
        <v>109</v>
      </c>
      <c r="B20" s="92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49" t="s">
        <v>110</v>
      </c>
      <c r="B21" s="92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49" t="s">
        <v>111</v>
      </c>
      <c r="B22" s="92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49" t="s">
        <v>112</v>
      </c>
      <c r="B23" s="93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49" t="s">
        <v>113</v>
      </c>
      <c r="B24" s="93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49" t="s">
        <v>114</v>
      </c>
      <c r="B25" s="93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5" t="s">
        <v>115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4" t="s">
        <v>116</v>
      </c>
      <c r="B3" s="95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6" t="s">
        <v>117</v>
      </c>
      <c r="B4" s="97" t="s">
        <v>118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98" t="s">
        <v>119</v>
      </c>
      <c r="B5" s="97" t="s">
        <v>120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99" t="s">
        <v>121</v>
      </c>
      <c r="B6" s="97" t="s">
        <v>122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0"/>
      <c r="B7" s="97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4" t="s">
        <v>123</v>
      </c>
      <c r="B8" s="95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1" t="s">
        <v>124</v>
      </c>
      <c r="B9" s="97" t="s">
        <v>125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1" t="s">
        <v>126</v>
      </c>
      <c r="B10" s="97" t="s">
        <v>127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1" t="s">
        <v>128</v>
      </c>
      <c r="B11" s="97" t="s">
        <v>129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1" t="s">
        <v>130</v>
      </c>
      <c r="B12" s="97" t="s">
        <v>131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0"/>
      <c r="B13" s="97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4" t="s">
        <v>132</v>
      </c>
      <c r="B14" s="95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1" t="s">
        <v>133</v>
      </c>
      <c r="B15" s="97" t="s">
        <v>134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1" t="s">
        <v>135</v>
      </c>
      <c r="B16" s="97" t="s">
        <v>136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1" t="s">
        <v>137</v>
      </c>
      <c r="B17" s="97" t="s">
        <v>138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1" t="s">
        <v>139</v>
      </c>
      <c r="B18" s="97" t="s">
        <v>140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0"/>
      <c r="B19" s="97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4" t="s">
        <v>141</v>
      </c>
      <c r="B20" s="95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1" t="s">
        <v>142</v>
      </c>
      <c r="B21" s="97" t="s">
        <v>143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1" t="s">
        <v>144</v>
      </c>
      <c r="B22" s="97" t="s">
        <v>145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1" t="s">
        <v>146</v>
      </c>
      <c r="B23" s="97" t="s">
        <v>147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1" t="s">
        <v>148</v>
      </c>
      <c r="B24" s="97" t="s">
        <v>149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1" t="s">
        <v>150</v>
      </c>
      <c r="B25" s="97" t="s">
        <v>151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1" t="s">
        <v>152</v>
      </c>
      <c r="B26" s="97" t="s">
        <v>153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1" t="s">
        <v>154</v>
      </c>
      <c r="B27" s="97" t="s">
        <v>155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0"/>
      <c r="B28" s="97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4" t="s">
        <v>156</v>
      </c>
      <c r="B29" s="95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1" t="s">
        <v>157</v>
      </c>
      <c r="B30" s="97" t="s">
        <v>158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1" t="s">
        <v>22</v>
      </c>
      <c r="B31" s="97" t="s">
        <v>159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1" t="s">
        <v>160</v>
      </c>
      <c r="B32" s="97" t="s">
        <v>161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1" t="s">
        <v>162</v>
      </c>
      <c r="B33" s="97" t="s">
        <v>163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1" t="s">
        <v>164</v>
      </c>
      <c r="B34" s="97" t="s">
        <v>165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2" t="s">
        <v>166</v>
      </c>
      <c r="B1" s="36"/>
      <c r="C1" s="36"/>
      <c r="D1" s="36"/>
      <c r="E1" s="37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3" t="s">
        <v>167</v>
      </c>
      <c r="B2" s="36"/>
      <c r="C2" s="36"/>
      <c r="D2" s="36"/>
      <c r="E2" s="3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4" t="s">
        <v>168</v>
      </c>
      <c r="B3" s="36"/>
      <c r="C3" s="36"/>
      <c r="D3" s="36"/>
      <c r="E3" s="3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5" t="s">
        <v>42</v>
      </c>
      <c r="B5" s="105" t="s">
        <v>169</v>
      </c>
      <c r="C5" s="105" t="s">
        <v>4</v>
      </c>
      <c r="D5" s="105" t="s">
        <v>5</v>
      </c>
      <c r="E5" s="105" t="s">
        <v>170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6" t="s">
        <v>171</v>
      </c>
      <c r="B6" s="107" t="s">
        <v>172</v>
      </c>
      <c r="C6" s="108" t="s">
        <v>173</v>
      </c>
      <c r="D6" s="108" t="s">
        <v>174</v>
      </c>
      <c r="E6" s="106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6" t="s">
        <v>175</v>
      </c>
      <c r="B7" s="107" t="s">
        <v>176</v>
      </c>
      <c r="C7" s="108" t="s">
        <v>177</v>
      </c>
      <c r="D7" s="108" t="s">
        <v>174</v>
      </c>
      <c r="E7" s="106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9" t="s">
        <v>178</v>
      </c>
      <c r="B8" s="109" t="s">
        <v>179</v>
      </c>
      <c r="C8" s="110" t="s">
        <v>177</v>
      </c>
      <c r="D8" s="110" t="s">
        <v>174</v>
      </c>
      <c r="E8" s="49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49" t="s">
        <v>180</v>
      </c>
      <c r="B9" s="109" t="s">
        <v>181</v>
      </c>
      <c r="C9" s="110" t="s">
        <v>177</v>
      </c>
      <c r="D9" s="110" t="s">
        <v>174</v>
      </c>
      <c r="E9" s="49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6" t="s">
        <v>182</v>
      </c>
      <c r="B10" s="107" t="s">
        <v>183</v>
      </c>
      <c r="C10" s="108" t="s">
        <v>177</v>
      </c>
      <c r="D10" s="108" t="s">
        <v>174</v>
      </c>
      <c r="E10" s="106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1" t="s">
        <v>184</v>
      </c>
      <c r="B11" s="112" t="s">
        <v>185</v>
      </c>
      <c r="C11" s="108" t="s">
        <v>177</v>
      </c>
      <c r="D11" s="108" t="s">
        <v>174</v>
      </c>
      <c r="E11" s="111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3" t="s">
        <v>186</v>
      </c>
      <c r="B12" s="114" t="s">
        <v>187</v>
      </c>
      <c r="C12" s="108" t="s">
        <v>177</v>
      </c>
      <c r="D12" s="108" t="s">
        <v>174</v>
      </c>
      <c r="E12" s="11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 t="s">
        <v>188</v>
      </c>
      <c r="B13" s="112" t="s">
        <v>189</v>
      </c>
      <c r="C13" s="108" t="s">
        <v>177</v>
      </c>
      <c r="D13" s="108" t="s">
        <v>174</v>
      </c>
      <c r="E13" s="111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3" t="s">
        <v>190</v>
      </c>
      <c r="B14" s="114" t="s">
        <v>191</v>
      </c>
      <c r="C14" s="108" t="s">
        <v>177</v>
      </c>
      <c r="D14" s="108" t="s">
        <v>174</v>
      </c>
      <c r="E14" s="11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1" t="s">
        <v>64</v>
      </c>
      <c r="B15" s="112" t="s">
        <v>192</v>
      </c>
      <c r="C15" s="108" t="s">
        <v>193</v>
      </c>
      <c r="D15" s="108" t="s">
        <v>174</v>
      </c>
      <c r="E15" s="111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3" t="s">
        <v>194</v>
      </c>
      <c r="B16" s="114" t="s">
        <v>195</v>
      </c>
      <c r="C16" s="108" t="s">
        <v>173</v>
      </c>
      <c r="D16" s="108" t="s">
        <v>174</v>
      </c>
      <c r="E16" s="11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1" t="s">
        <v>196</v>
      </c>
      <c r="B17" s="115" t="s">
        <v>197</v>
      </c>
      <c r="C17" s="108" t="s">
        <v>177</v>
      </c>
      <c r="D17" s="108" t="s">
        <v>174</v>
      </c>
      <c r="E17" s="11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3" t="s">
        <v>198</v>
      </c>
      <c r="B18" s="114" t="s">
        <v>199</v>
      </c>
      <c r="C18" s="108" t="s">
        <v>177</v>
      </c>
      <c r="D18" s="108" t="s">
        <v>174</v>
      </c>
      <c r="E18" s="11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 t="s">
        <v>200</v>
      </c>
      <c r="B19" s="112" t="s">
        <v>201</v>
      </c>
      <c r="C19" s="108" t="s">
        <v>177</v>
      </c>
      <c r="D19" s="108" t="s">
        <v>174</v>
      </c>
      <c r="E19" s="11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3" t="s">
        <v>202</v>
      </c>
      <c r="B20" s="114" t="s">
        <v>203</v>
      </c>
      <c r="C20" s="108" t="s">
        <v>177</v>
      </c>
      <c r="D20" s="108" t="s">
        <v>174</v>
      </c>
      <c r="E20" s="11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1" t="s">
        <v>204</v>
      </c>
      <c r="B21" s="112" t="s">
        <v>205</v>
      </c>
      <c r="C21" s="108" t="s">
        <v>173</v>
      </c>
      <c r="D21" s="108" t="s">
        <v>174</v>
      </c>
      <c r="E21" s="11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3" t="s">
        <v>206</v>
      </c>
      <c r="B22" s="114" t="s">
        <v>207</v>
      </c>
      <c r="C22" s="108" t="s">
        <v>177</v>
      </c>
      <c r="D22" s="108" t="s">
        <v>174</v>
      </c>
      <c r="E22" s="11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1" t="s">
        <v>208</v>
      </c>
      <c r="B23" s="112" t="s">
        <v>209</v>
      </c>
      <c r="C23" s="108" t="s">
        <v>177</v>
      </c>
      <c r="D23" s="108" t="s">
        <v>174</v>
      </c>
      <c r="E23" s="111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3" t="s">
        <v>210</v>
      </c>
      <c r="B24" s="114" t="s">
        <v>211</v>
      </c>
      <c r="C24" s="108" t="s">
        <v>177</v>
      </c>
      <c r="D24" s="108" t="s">
        <v>174</v>
      </c>
      <c r="E24" s="11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1" t="s">
        <v>212</v>
      </c>
      <c r="B25" s="112" t="s">
        <v>213</v>
      </c>
      <c r="C25" s="108" t="s">
        <v>177</v>
      </c>
      <c r="D25" s="108" t="s">
        <v>174</v>
      </c>
      <c r="E25" s="111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1" t="s">
        <v>214</v>
      </c>
      <c r="B26" s="112" t="s">
        <v>215</v>
      </c>
      <c r="C26" s="108" t="s">
        <v>177</v>
      </c>
      <c r="D26" s="108" t="s">
        <v>174</v>
      </c>
      <c r="E26" s="11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3" t="s">
        <v>216</v>
      </c>
      <c r="B27" s="114" t="s">
        <v>217</v>
      </c>
      <c r="C27" s="108" t="s">
        <v>177</v>
      </c>
      <c r="D27" s="108" t="s">
        <v>174</v>
      </c>
      <c r="E27" s="111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 t="s">
        <v>218</v>
      </c>
      <c r="B28" s="112" t="s">
        <v>219</v>
      </c>
      <c r="C28" s="108" t="s">
        <v>177</v>
      </c>
      <c r="D28" s="108" t="s">
        <v>174</v>
      </c>
      <c r="E28" s="113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3" t="s">
        <v>220</v>
      </c>
      <c r="B29" s="114" t="s">
        <v>221</v>
      </c>
      <c r="C29" s="108" t="s">
        <v>177</v>
      </c>
      <c r="D29" s="108" t="s">
        <v>174</v>
      </c>
      <c r="E29" s="11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1" t="s">
        <v>222</v>
      </c>
      <c r="B30" s="112" t="s">
        <v>223</v>
      </c>
      <c r="C30" s="108" t="s">
        <v>177</v>
      </c>
      <c r="D30" s="108" t="s">
        <v>174</v>
      </c>
      <c r="E30" s="113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3" t="s">
        <v>224</v>
      </c>
      <c r="B31" s="114" t="s">
        <v>225</v>
      </c>
      <c r="C31" s="108" t="s">
        <v>177</v>
      </c>
      <c r="D31" s="108" t="s">
        <v>174</v>
      </c>
      <c r="E31" s="11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1" t="s">
        <v>226</v>
      </c>
      <c r="B32" s="112" t="s">
        <v>227</v>
      </c>
      <c r="C32" s="108" t="s">
        <v>177</v>
      </c>
      <c r="D32" s="108" t="s">
        <v>174</v>
      </c>
      <c r="E32" s="11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3" t="s">
        <v>228</v>
      </c>
      <c r="B33" s="114" t="s">
        <v>229</v>
      </c>
      <c r="C33" s="108" t="s">
        <v>177</v>
      </c>
      <c r="D33" s="108" t="s">
        <v>174</v>
      </c>
      <c r="E33" s="11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1" t="s">
        <v>230</v>
      </c>
      <c r="B34" s="112" t="s">
        <v>231</v>
      </c>
      <c r="C34" s="108" t="s">
        <v>177</v>
      </c>
      <c r="D34" s="108" t="s">
        <v>174</v>
      </c>
      <c r="E34" s="11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3" t="s">
        <v>232</v>
      </c>
      <c r="B35" s="114" t="s">
        <v>233</v>
      </c>
      <c r="C35" s="108" t="s">
        <v>177</v>
      </c>
      <c r="D35" s="108" t="s">
        <v>174</v>
      </c>
      <c r="E35" s="111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1" t="s">
        <v>234</v>
      </c>
      <c r="B36" s="112" t="s">
        <v>235</v>
      </c>
      <c r="C36" s="108" t="s">
        <v>177</v>
      </c>
      <c r="D36" s="108" t="s">
        <v>174</v>
      </c>
      <c r="E36" s="11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3" t="s">
        <v>236</v>
      </c>
      <c r="B37" s="114" t="s">
        <v>237</v>
      </c>
      <c r="C37" s="108" t="s">
        <v>238</v>
      </c>
      <c r="D37" s="108" t="s">
        <v>174</v>
      </c>
      <c r="E37" s="11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1" t="s">
        <v>239</v>
      </c>
      <c r="B38" s="112" t="s">
        <v>240</v>
      </c>
      <c r="C38" s="108" t="s">
        <v>238</v>
      </c>
      <c r="D38" s="108" t="s">
        <v>174</v>
      </c>
      <c r="E38" s="11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3" t="s">
        <v>241</v>
      </c>
      <c r="B39" s="114" t="s">
        <v>242</v>
      </c>
      <c r="C39" s="108" t="s">
        <v>238</v>
      </c>
      <c r="D39" s="108" t="s">
        <v>174</v>
      </c>
      <c r="E39" s="111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1" t="s">
        <v>243</v>
      </c>
      <c r="B40" s="112" t="s">
        <v>244</v>
      </c>
      <c r="C40" s="116" t="s">
        <v>245</v>
      </c>
      <c r="D40" s="108" t="s">
        <v>174</v>
      </c>
      <c r="E40" s="11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1"/>
      <c r="B41" s="112"/>
      <c r="C41" s="117"/>
      <c r="D41" s="117"/>
      <c r="E41" s="11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3"/>
      <c r="B42" s="114"/>
      <c r="C42" s="118"/>
      <c r="D42" s="118"/>
      <c r="E42" s="11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1"/>
      <c r="B43" s="112"/>
      <c r="C43" s="117"/>
      <c r="D43" s="117"/>
      <c r="E43" s="111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3"/>
      <c r="B44" s="114"/>
      <c r="C44" s="118"/>
      <c r="D44" s="118"/>
      <c r="E44" s="11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1"/>
      <c r="B45" s="112"/>
      <c r="C45" s="117"/>
      <c r="D45" s="117"/>
      <c r="E45" s="111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3"/>
      <c r="B46" s="114"/>
      <c r="C46" s="118"/>
      <c r="D46" s="118"/>
      <c r="E46" s="11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1"/>
      <c r="B47" s="112"/>
      <c r="C47" s="117"/>
      <c r="D47" s="117"/>
      <c r="E47" s="111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3"/>
      <c r="B48" s="114"/>
      <c r="C48" s="118"/>
      <c r="D48" s="118"/>
      <c r="E48" s="11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1"/>
      <c r="B49" s="112"/>
      <c r="C49" s="117"/>
      <c r="D49" s="117"/>
      <c r="E49" s="11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3"/>
      <c r="B50" s="114"/>
      <c r="C50" s="118"/>
      <c r="D50" s="118"/>
      <c r="E50" s="11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1"/>
      <c r="B51" s="112"/>
      <c r="C51" s="117"/>
      <c r="D51" s="117"/>
      <c r="E51" s="11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3"/>
      <c r="B52" s="114"/>
      <c r="C52" s="118"/>
      <c r="D52" s="118"/>
      <c r="E52" s="11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1"/>
      <c r="B53" s="112"/>
      <c r="C53" s="117"/>
      <c r="D53" s="117"/>
      <c r="E53" s="11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3"/>
      <c r="B54" s="114"/>
      <c r="C54" s="118"/>
      <c r="D54" s="118"/>
      <c r="E54" s="11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1"/>
      <c r="B55" s="112"/>
      <c r="C55" s="117"/>
      <c r="D55" s="117"/>
      <c r="E55" s="11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3"/>
      <c r="B56" s="114"/>
      <c r="C56" s="118"/>
      <c r="D56" s="118"/>
      <c r="E56" s="11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1"/>
      <c r="B57" s="112"/>
      <c r="C57" s="117"/>
      <c r="D57" s="117"/>
      <c r="E57" s="11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3"/>
      <c r="B58" s="114"/>
      <c r="C58" s="118"/>
      <c r="D58" s="118"/>
      <c r="E58" s="11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1"/>
      <c r="B59" s="112"/>
      <c r="C59" s="117"/>
      <c r="D59" s="117"/>
      <c r="E59" s="11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3"/>
      <c r="B60" s="114"/>
      <c r="C60" s="118"/>
      <c r="D60" s="118"/>
      <c r="E60" s="11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1"/>
      <c r="B61" s="112"/>
      <c r="C61" s="117"/>
      <c r="D61" s="117"/>
      <c r="E61" s="11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3"/>
      <c r="B62" s="114"/>
      <c r="C62" s="118"/>
      <c r="D62" s="118"/>
      <c r="E62" s="11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1"/>
      <c r="B63" s="112"/>
      <c r="C63" s="117"/>
      <c r="D63" s="117"/>
      <c r="E63" s="11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3"/>
      <c r="B64" s="114"/>
      <c r="C64" s="118"/>
      <c r="D64" s="118"/>
      <c r="E64" s="11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1"/>
      <c r="B65" s="112"/>
      <c r="C65" s="117"/>
      <c r="D65" s="117"/>
      <c r="E65" s="11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3"/>
      <c r="B66" s="114"/>
      <c r="C66" s="118"/>
      <c r="D66" s="118"/>
      <c r="E66" s="11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1"/>
      <c r="B67" s="112"/>
      <c r="C67" s="117"/>
      <c r="D67" s="117"/>
      <c r="E67" s="11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3"/>
      <c r="B68" s="114"/>
      <c r="C68" s="118"/>
      <c r="D68" s="118"/>
      <c r="E68" s="11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1"/>
      <c r="B69" s="112"/>
      <c r="C69" s="117"/>
      <c r="D69" s="117"/>
      <c r="E69" s="11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3"/>
      <c r="B70" s="114"/>
      <c r="C70" s="118"/>
      <c r="D70" s="118"/>
      <c r="E70" s="11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1"/>
      <c r="B71" s="112"/>
      <c r="C71" s="117"/>
      <c r="D71" s="117"/>
      <c r="E71" s="11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3"/>
      <c r="B72" s="114"/>
      <c r="C72" s="118"/>
      <c r="D72" s="118"/>
      <c r="E72" s="11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1"/>
      <c r="B73" s="112"/>
      <c r="C73" s="117"/>
      <c r="D73" s="117"/>
      <c r="E73" s="11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3"/>
      <c r="B74" s="114"/>
      <c r="C74" s="118"/>
      <c r="D74" s="118"/>
      <c r="E74" s="11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1"/>
      <c r="B75" s="112"/>
      <c r="C75" s="117"/>
      <c r="D75" s="117"/>
      <c r="E75" s="11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3"/>
      <c r="B76" s="114"/>
      <c r="C76" s="118"/>
      <c r="D76" s="118"/>
      <c r="E76" s="11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1"/>
      <c r="B77" s="112"/>
      <c r="C77" s="117"/>
      <c r="D77" s="117"/>
      <c r="E77" s="11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3"/>
      <c r="B78" s="114"/>
      <c r="C78" s="118"/>
      <c r="D78" s="118"/>
      <c r="E78" s="11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1"/>
      <c r="B79" s="112"/>
      <c r="C79" s="117"/>
      <c r="D79" s="117"/>
      <c r="E79" s="11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3"/>
      <c r="B80" s="114"/>
      <c r="C80" s="118"/>
      <c r="D80" s="118"/>
      <c r="E80" s="11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1"/>
      <c r="B81" s="112"/>
      <c r="C81" s="117"/>
      <c r="D81" s="117"/>
      <c r="E81" s="11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3"/>
      <c r="B82" s="114"/>
      <c r="C82" s="118"/>
      <c r="D82" s="118"/>
      <c r="E82" s="11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1"/>
      <c r="B83" s="112"/>
      <c r="C83" s="117"/>
      <c r="D83" s="117"/>
      <c r="E83" s="11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3"/>
      <c r="B84" s="114"/>
      <c r="C84" s="118"/>
      <c r="D84" s="118"/>
      <c r="E84" s="11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1"/>
      <c r="B85" s="112"/>
      <c r="C85" s="117"/>
      <c r="D85" s="117"/>
      <c r="E85" s="11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3"/>
      <c r="B86" s="114"/>
      <c r="C86" s="118"/>
      <c r="D86" s="118"/>
      <c r="E86" s="11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1"/>
      <c r="B87" s="112"/>
      <c r="C87" s="117"/>
      <c r="D87" s="117"/>
      <c r="E87" s="11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3"/>
      <c r="B88" s="114"/>
      <c r="C88" s="118"/>
      <c r="D88" s="118"/>
      <c r="E88" s="11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1"/>
      <c r="B89" s="112"/>
      <c r="C89" s="117"/>
      <c r="D89" s="117"/>
      <c r="E89" s="11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3"/>
      <c r="B90" s="114"/>
      <c r="C90" s="118"/>
      <c r="D90" s="118"/>
      <c r="E90" s="11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1"/>
      <c r="B91" s="112"/>
      <c r="C91" s="117"/>
      <c r="D91" s="117"/>
      <c r="E91" s="11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3"/>
      <c r="B92" s="114"/>
      <c r="C92" s="118"/>
      <c r="D92" s="118"/>
      <c r="E92" s="11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1"/>
      <c r="B93" s="112"/>
      <c r="C93" s="117"/>
      <c r="D93" s="117"/>
      <c r="E93" s="11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3"/>
      <c r="B94" s="114"/>
      <c r="C94" s="118"/>
      <c r="D94" s="118"/>
      <c r="E94" s="11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1"/>
      <c r="B95" s="112"/>
      <c r="C95" s="117"/>
      <c r="D95" s="117"/>
      <c r="E95" s="11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3"/>
      <c r="B96" s="114"/>
      <c r="C96" s="118"/>
      <c r="D96" s="118"/>
      <c r="E96" s="11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1"/>
      <c r="B97" s="112"/>
      <c r="C97" s="117"/>
      <c r="D97" s="117"/>
      <c r="E97" s="11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3"/>
      <c r="B98" s="114"/>
      <c r="C98" s="118"/>
      <c r="D98" s="118"/>
      <c r="E98" s="11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1"/>
      <c r="B99" s="112"/>
      <c r="C99" s="117"/>
      <c r="D99" s="117"/>
      <c r="E99" s="11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3"/>
      <c r="B100" s="114"/>
      <c r="C100" s="118"/>
      <c r="D100" s="118"/>
      <c r="E100" s="11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1"/>
      <c r="B101" s="112"/>
      <c r="C101" s="117"/>
      <c r="D101" s="117"/>
      <c r="E101" s="11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3"/>
      <c r="B102" s="114"/>
      <c r="C102" s="118"/>
      <c r="D102" s="118"/>
      <c r="E102" s="11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1"/>
      <c r="B103" s="112"/>
      <c r="C103" s="117"/>
      <c r="D103" s="117"/>
      <c r="E103" s="11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3"/>
      <c r="B104" s="114"/>
      <c r="C104" s="118"/>
      <c r="D104" s="118"/>
      <c r="E104" s="11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1"/>
      <c r="B105" s="112"/>
      <c r="C105" s="117"/>
      <c r="D105" s="117"/>
      <c r="E105" s="11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9" t="s">
        <v>246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0" t="s">
        <v>247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1" t="s">
        <v>248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2" t="s">
        <v>17</v>
      </c>
      <c r="B4" s="122" t="s">
        <v>249</v>
      </c>
      <c r="C4" s="122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3" t="s">
        <v>34</v>
      </c>
      <c r="B5" s="124" t="s">
        <v>250</v>
      </c>
      <c r="C5" s="125" t="s">
        <v>251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6" t="s">
        <v>23</v>
      </c>
      <c r="B6" s="127" t="s">
        <v>93</v>
      </c>
      <c r="C6" s="128" t="s">
        <v>252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29"/>
      <c r="B7" s="18"/>
      <c r="C7" s="129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0"/>
      <c r="B8" s="19"/>
      <c r="C8" s="130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29"/>
      <c r="B9" s="18"/>
      <c r="C9" s="129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0"/>
      <c r="B10" s="19"/>
      <c r="C10" s="130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29"/>
      <c r="B11" s="18"/>
      <c r="C11" s="129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0"/>
      <c r="B12" s="19"/>
      <c r="C12" s="130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29"/>
      <c r="B13" s="18"/>
      <c r="C13" s="129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0"/>
      <c r="B14" s="19"/>
      <c r="C14" s="130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