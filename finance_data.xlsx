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MVa72EPJRGKgbdIp4806wBipMKMek7K+nhUqiGSkhKg="/>
    </ext>
  </extLst>
</workbook>
</file>

<file path=xl/sharedStrings.xml><?xml version="1.0" encoding="utf-8"?>
<sst xmlns="http://schemas.openxmlformats.org/spreadsheetml/2006/main" count="1019" uniqueCount="388">
  <si>
    <t xml:space="preserve"> </t>
  </si>
  <si>
    <t>ROSTER - Ultimate Frisbee Team</t>
  </si>
  <si>
    <t>ATTENDANCE TRACKER</t>
  </si>
  <si>
    <t>TRANSACTIONS â€” All Money In &amp; Out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</si>
  <si>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</si>
  <si>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</si>
  <si>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</si>
  <si>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</si>
  <si>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</si>
  <si>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</si>
  <si>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</si>
  <si>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</si>
  <si>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</si>
  <si>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Full Name</t>
  </si>
  <si>
    <t>Dues Amount ($)</t>
  </si>
  <si>
    <t>Total In</t>
  </si>
  <si>
    <t>Dues Paid?</t>
  </si>
  <si>
    <t>Role</t>
  </si>
  <si>
    <t>Status</t>
  </si>
  <si>
    <t>Notes</t>
  </si>
  <si>
    <t>Guest Of</t>
  </si>
  <si>
    <t>Total Out</t>
  </si>
  <si>
    <t>May-July Fields</t>
  </si>
  <si>
    <t>Net Balance</t>
  </si>
  <si>
    <t>Avg Transaction</t>
  </si>
  <si>
    <t>03/15/2025</t>
  </si>
  <si>
    <t>Pending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</si>
  <si>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</si>
  <si>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</si>
  <si>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</si>
  <si>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</si>
  <si>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</si>
  <si>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</si>
  <si>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</si>
  <si>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</si>
  <si>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</si>
  <si>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</si>
  <si>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</si>
  <si>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</si>
  <si>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</si>
  <si>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</si>
  <si>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</si>
  <si>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</si>
  <si>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</si>
  <si>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</si>
  <si>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</si>
  <si>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</si>
  <si>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</si>
  <si>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</si>
  <si>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</si>
  <si>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</si>
  <si>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</si>
  <si>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</si>
  <si>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</si>
  <si>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ESC</t>
  </si>
  <si>
    <t>PEC Bid Fee</t>
  </si>
  <si>
    <t>Tournament Fee</t>
  </si>
  <si>
    <t>Expense</t>
  </si>
  <si>
    <t>Jake Murray</t>
  </si>
  <si>
    <t>Cleared</t>
  </si>
  <si>
    <t>Sectionals</t>
  </si>
  <si>
    <t>Regionals</t>
  </si>
  <si>
    <t>Retreat</t>
  </si>
  <si>
    <t>Misc</t>
  </si>
  <si>
    <t>SFI Bid Fee</t>
  </si>
  <si>
    <t>Paid $75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</si>
  <si>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</si>
  <si>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</si>
  <si>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</si>
  <si>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</si>
  <si>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</si>
  <si>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</si>
  <si>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</si>
  <si>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</si>
  <si>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</si>
  <si>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</si>
  <si>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</si>
  <si>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</si>
  <si>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</si>
  <si>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</si>
  <si>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</si>
  <si>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</si>
  <si>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</si>
  <si>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</si>
  <si>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</si>
  <si>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</si>
  <si>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Player Name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</si>
  <si>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</si>
  <si>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</si>
  <si>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</si>
  <si>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</si>
  <si>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</si>
  <si>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</si>
  <si>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</si>
  <si>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</si>
  <si>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</si>
  <si>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</si>
  <si>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</si>
  <si>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</si>
  <si>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</si>
  <si>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</si>
  <si>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</si>
  <si>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</si>
  <si>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</si>
  <si>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</si>
  <si>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</si>
  <si>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</si>
  <si>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</si>
  <si>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</si>
  <si>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</si>
  <si>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</si>
  <si>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</si>
  <si>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Ryan Kindell</t>
  </si>
  <si>
    <t>Patrick McMullen</t>
  </si>
  <si>
    <t>Ward dues</t>
  </si>
  <si>
    <t>Ryan Ward</t>
  </si>
  <si>
    <t>Griffin O'Neal-Freeman</t>
  </si>
  <si>
    <t>PEC Team Snacks</t>
  </si>
  <si>
    <t>Darra Reppermund</t>
  </si>
  <si>
    <t>Cost per Person ($) [auto]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</si>
  <si>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</si>
  <si>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</si>
  <si>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</si>
  <si>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</si>
  <si>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</si>
  <si>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</si>
  <si>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</si>
  <si>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</si>
  <si>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</si>
  <si>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</si>
  <si>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</si>
  <si>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</si>
  <si>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</si>
  <si>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</si>
  <si>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</si>
  <si>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</si>
  <si>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</si>
  <si>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</si>
  <si>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</si>
  <si>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</si>
  <si>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</si>
  <si>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</si>
  <si>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</si>
  <si>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</si>
  <si>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</si>
  <si>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</si>
  <si>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</si>
  <si>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</si>
  <si>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</si>
  <si>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</si>
  <si>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</si>
  <si>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</si>
  <si>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</si>
  <si>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</si>
  <si>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Griffin O'Neal Freeman</t>
  </si>
  <si>
    <t>DB Car ESC Gas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</si>
  <si>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</si>
  <si>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</si>
  <si>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</si>
  <si>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</si>
  <si>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</si>
  <si>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</si>
  <si>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</si>
  <si>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</si>
  <si>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</si>
  <si>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</si>
  <si>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</si>
  <si>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Dick car ESC gas</t>
  </si>
  <si>
    <t>Ryan Birchard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</si>
  <si>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</si>
  <si>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</si>
  <si>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</si>
  <si>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</si>
  <si>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</si>
  <si>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</si>
  <si>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</si>
  <si>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</si>
  <si>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</si>
  <si>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</si>
  <si>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</si>
  <si>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</si>
  <si>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</si>
  <si>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</si>
  <si>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</si>
  <si>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</si>
  <si>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</si>
  <si>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</si>
  <si>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</si>
  <si>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</si>
  <si>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</si>
  <si>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</si>
  <si>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Post-ESC Reimbursement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</si>
  <si>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</si>
  <si>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</si>
  <si>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</si>
  <si>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</si>
  <si>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</si>
  <si>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</si>
  <si>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</si>
  <si>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</si>
  <si>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Haley</t>
  </si>
  <si>
    <t>Kasey</t>
  </si>
  <si>
    <t>SFI Total Car fees</t>
  </si>
  <si>
    <t>Griffin</t>
  </si>
  <si>
    <t>DB</t>
  </si>
  <si>
    <t>Dick</t>
  </si>
  <si>
    <t>ESC Total Car fees</t>
  </si>
  <si>
    <t>Annette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</si>
  <si>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</si>
  <si>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</si>
  <si>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</si>
  <si>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</si>
  <si>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</si>
  <si>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</si>
  <si>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</si>
  <si>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</si>
  <si>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</si>
  <si>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</si>
  <si>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</si>
  <si>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</si>
  <si>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</si>
  <si>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</si>
  <si>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</si>
  <si>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</si>
  <si>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</si>
  <si>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</si>
  <si>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</si>
  <si>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</si>
  <si>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</si>
  <si>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Total Attendees</t>
  </si>
  <si>
    <t>Total Cost ($)</t>
  </si>
  <si>
    <t>X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</si>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</sst>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b/>
      <sz val="10.0"/>
      <color rgb="FF1A3A5C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B8860B"/>
        <bgColor rgb="FFB8860B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2" fontId="1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0" fillId="0" fontId="3" numFmtId="0" xfId="0" applyFont="1"/>
    <xf borderId="9" fillId="2" fontId="3" numFmtId="0" xfId="0" applyBorder="1" applyFill="1" applyFont="1"/>
    <xf borderId="10" fillId="0" fontId="2" numFmtId="0" xfId="0" applyBorder="1" applyFont="1"/>
    <xf borderId="0" fillId="0" fontId="3" numFmtId="0" xfId="0" applyAlignment="1" applyFont="1">
      <alignment horizontal="right"/>
    </xf>
    <xf borderId="3" fillId="2" fontId="1" numFmtId="0" xfId="0" applyAlignment="1" applyBorder="1" applyFill="1" applyFont="1">
      <alignment horizontal="center" vertical="center"/>
    </xf>
    <xf borderId="9" fillId="2" fontId="4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readingOrder="0" vertical="center"/>
    </xf>
    <xf borderId="6" fillId="2" fontId="1" numFmtId="0" xfId="0" applyAlignment="1" applyBorder="1" applyFill="1" applyFont="1">
      <alignment horizontal="center" readingOrder="0" vertical="center"/>
    </xf>
    <xf borderId="11" fillId="3" fontId="5" numFmtId="0" xfId="0" applyAlignment="1" applyBorder="1" applyFill="1" applyFont="1">
      <alignment horizontal="center" shrinkToFit="0" vertical="center" wrapText="1"/>
    </xf>
    <xf borderId="9" fillId="2" fontId="3" numFmtId="0" xfId="0" applyAlignment="1" applyBorder="1" applyFill="1" applyFont="1">
      <alignment readingOrder="0"/>
    </xf>
    <xf borderId="12" fillId="4" fontId="6" numFmtId="0" xfId="0" applyAlignment="1" applyBorder="1" applyFill="1" applyFont="1">
      <alignment horizontal="center" vertical="center"/>
    </xf>
    <xf borderId="9" fillId="0" fontId="7" numFmtId="0" xfId="0" applyAlignment="1" applyBorder="1" applyFont="1">
      <alignment horizontal="left" vertical="center"/>
    </xf>
    <xf borderId="9" fillId="0" fontId="7" numFmtId="164" xfId="0" applyAlignment="1" applyBorder="1" applyFont="1" applyNumberFormat="1">
      <alignment horizontal="left" vertical="center"/>
    </xf>
    <xf borderId="12" fillId="4" fontId="6" numFmtId="0" xfId="0" applyAlignment="1" applyBorder="1" applyFill="1" applyFont="1">
      <alignment horizontal="right" vertical="center"/>
    </xf>
    <xf borderId="9" fillId="0" fontId="8" numFmtId="165" xfId="0" applyAlignment="1" applyBorder="1" applyFont="1" applyNumberFormat="1">
      <alignment horizontal="left" vertical="center"/>
    </xf>
    <xf borderId="1" fillId="2" fontId="1" numFmtId="0" xfId="0" applyAlignment="1" applyBorder="1" applyFill="1" applyFont="1">
      <alignment horizontal="center" readingOrder="0" vertical="center"/>
    </xf>
    <xf borderId="12" fillId="0" fontId="9" numFmtId="165" xfId="0" applyAlignment="1" applyBorder="1" applyFont="1" applyNumberFormat="1">
      <alignment horizontal="right" vertical="center"/>
    </xf>
    <xf borderId="9" fillId="0" fontId="9" numFmtId="165" xfId="0" applyAlignment="1" applyBorder="1" applyFont="1" applyNumberFormat="1">
      <alignment horizontal="right" vertical="center"/>
    </xf>
    <xf borderId="13" fillId="5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horizontal="center" shrinkToFit="0" vertical="center" wrapText="1"/>
    </xf>
    <xf borderId="12" fillId="0" fontId="12" numFmtId="165" xfId="0" applyAlignment="1" applyBorder="1" applyFont="1" applyNumberFormat="1">
      <alignment horizontal="right" vertical="center"/>
    </xf>
    <xf borderId="12" fillId="0" fontId="13" numFmtId="165" xfId="0" applyAlignment="1" applyBorder="1" applyFont="1" applyNumberFormat="1">
      <alignment horizontal="right" vertical="center"/>
    </xf>
    <xf borderId="13" fillId="7" fontId="10" numFmtId="0" xfId="0" applyAlignment="1" applyBorder="1" applyFill="1" applyFont="1">
      <alignment horizontal="center" shrinkToFit="0" vertical="center" wrapText="1"/>
    </xf>
    <xf borderId="12" fillId="0" fontId="7" numFmtId="165" xfId="0" applyAlignment="1" applyBorder="1" applyFont="1" applyNumberFormat="1">
      <alignment horizontal="right" vertical="center"/>
    </xf>
    <xf borderId="12" fillId="0" fontId="7" numFmtId="1" xfId="0" applyAlignment="1" applyBorder="1" applyFont="1" applyNumberFormat="1">
      <alignment horizontal="right" vertical="center"/>
    </xf>
    <xf borderId="12" fillId="2" fontId="4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right" vertical="center"/>
    </xf>
    <xf borderId="9" fillId="8" fontId="7" numFmtId="0" xfId="0" applyAlignment="1" applyBorder="1" applyFill="1" applyFont="1">
      <alignment horizontal="left" readingOrder="0" vertical="center"/>
    </xf>
    <xf borderId="12" fillId="0" fontId="7" numFmtId="164" xfId="0" applyAlignment="1" applyBorder="1" applyFont="1" applyNumberFormat="1">
      <alignment horizontal="left" vertical="center"/>
    </xf>
    <xf borderId="9" fillId="8" fontId="7" numFmtId="164" xfId="0" applyAlignment="1" applyBorder="1" applyFill="1" applyFont="1" applyNumberFormat="1">
      <alignment horizontal="left" vertical="center"/>
    </xf>
    <xf borderId="9" fillId="8" fontId="7" numFmtId="0" xfId="0" applyAlignment="1" applyBorder="1" applyFill="1" applyFont="1">
      <alignment horizontal="center" vertical="center"/>
    </xf>
    <xf borderId="12" fillId="0" fontId="7" numFmtId="0" xfId="0" applyAlignment="1" applyBorder="1" applyFont="1">
      <alignment horizontal="left" vertical="center"/>
    </xf>
    <xf borderId="9" fillId="8" fontId="7" numFmtId="0" xfId="0" applyAlignment="1" applyBorder="1" applyFill="1" applyFont="1">
      <alignment horizontal="left" vertical="center"/>
    </xf>
    <xf borderId="9" fillId="8" fontId="7" numFmtId="165" xfId="0" applyAlignment="1" applyBorder="1" applyFill="1" applyFont="1" applyNumberFormat="1">
      <alignment horizontal="left" vertical="center"/>
    </xf>
    <xf borderId="12" fillId="0" fontId="8" numFmtId="165" xfId="0" applyAlignment="1" applyBorder="1" applyFont="1" applyNumberFormat="1">
      <alignment horizontal="right" vertical="center"/>
    </xf>
    <xf borderId="9" fillId="8" fontId="9" numFmtId="165" xfId="0" applyAlignment="1" applyBorder="1" applyFill="1" applyFont="1" applyNumberFormat="1">
      <alignment horizontal="right" vertical="center"/>
    </xf>
    <xf borderId="13" fillId="5" fontId="10" numFmtId="0" xfId="0" applyAlignment="1" applyBorder="1" applyFill="1" applyFont="1">
      <alignment horizontal="center" readingOrder="0" shrinkToFit="0" vertical="center" wrapText="1"/>
    </xf>
    <xf borderId="13" fillId="7" fontId="10" numFmtId="0" xfId="0" applyAlignment="1" applyBorder="1" applyFill="1" applyFont="1">
      <alignment horizontal="center" readingOrder="0" shrinkToFit="0" vertical="center" wrapText="1"/>
    </xf>
    <xf borderId="9" fillId="0" fontId="9" numFmtId="0" xfId="0" applyAlignment="1" applyBorder="1" applyFont="1">
      <alignment horizontal="right" vertical="center"/>
    </xf>
    <xf borderId="9" fillId="0" fontId="7" numFmtId="0" xfId="0" applyAlignment="1" applyBorder="1" applyFont="1">
      <alignment horizontal="center" vertical="center"/>
    </xf>
    <xf borderId="12" fillId="8" fontId="7" numFmtId="164" xfId="0" applyBorder="1" applyFill="1" applyFont="1" applyNumberFormat="1"/>
    <xf borderId="12" fillId="8" fontId="7" numFmtId="0" xfId="0" applyBorder="1" applyFill="1" applyFont="1"/>
    <xf borderId="12" fillId="8" fontId="8" numFmtId="165" xfId="0" applyAlignment="1" applyBorder="1" applyFill="1" applyFont="1" applyNumberFormat="1">
      <alignment horizontal="right"/>
    </xf>
    <xf borderId="12" fillId="0" fontId="7" numFmtId="164" xfId="0" applyBorder="1" applyFont="1" applyNumberFormat="1"/>
    <xf borderId="12" fillId="0" fontId="7" numFmtId="0" xfId="0" applyBorder="1" applyFont="1"/>
    <xf borderId="12" fillId="0" fontId="7" numFmtId="166" xfId="0" applyBorder="1" applyFont="1" applyNumberFormat="1"/>
    <xf borderId="12" fillId="0" fontId="7" numFmtId="0" xfId="0" applyAlignment="1" applyBorder="1" applyFont="1">
      <alignment readingOrder="0"/>
    </xf>
    <xf borderId="12" fillId="0" fontId="8" numFmtId="167" xfId="0" applyAlignment="1" applyBorder="1" applyFont="1" applyNumberFormat="1">
      <alignment horizontal="right"/>
    </xf>
    <xf borderId="12" fillId="8" fontId="7" numFmtId="166" xfId="0" applyBorder="1" applyFill="1" applyFont="1" applyNumberFormat="1"/>
    <xf borderId="12" fillId="8" fontId="7" numFmtId="0" xfId="0" applyAlignment="1" applyBorder="1" applyFill="1" applyFont="1">
      <alignment readingOrder="0"/>
    </xf>
    <xf borderId="12" fillId="8" fontId="8" numFmtId="167" xfId="0" applyAlignment="1" applyBorder="1" applyFill="1" applyFont="1" applyNumberFormat="1">
      <alignment horizontal="right"/>
    </xf>
    <xf borderId="12" fillId="8" fontId="8" numFmtId="167" xfId="0" applyAlignment="1" applyBorder="1" applyFill="1" applyFont="1" applyNumberFormat="1">
      <alignment horizontal="right" readingOrder="0"/>
    </xf>
    <xf borderId="12" fillId="0" fontId="8" numFmtId="165" xfId="0" applyAlignment="1" applyBorder="1" applyFont="1" applyNumberFormat="1">
      <alignment horizontal="right"/>
    </xf>
    <xf borderId="0" fillId="0" fontId="14" numFmtId="0" xfId="0" applyFont="1"/>
    <xf borderId="9" fillId="9" fontId="4" numFmtId="0" xfId="0" applyAlignment="1" applyBorder="1" applyFill="1" applyFont="1">
      <alignment horizontal="center" shrinkToFit="0" vertical="center" wrapText="1"/>
    </xf>
    <xf borderId="12" fillId="0" fontId="8" numFmtId="165" xfId="0" applyAlignment="1" applyBorder="1" applyFont="1" applyNumberFormat="1">
      <alignment horizontal="right" readingOrder="0"/>
    </xf>
    <xf borderId="12" fillId="8" fontId="7" numFmtId="168" xfId="0" applyBorder="1" applyFill="1" applyFont="1" applyNumberFormat="1"/>
    <xf borderId="12" fillId="0" fontId="7" numFmtId="168" xfId="0" applyBorder="1" applyFont="1" applyNumberFormat="1"/>
    <xf borderId="9" fillId="4" fontId="6" numFmtId="0" xfId="0" applyAlignment="1" applyBorder="1" applyFill="1" applyFont="1">
      <alignment horizontal="left" vertical="center"/>
    </xf>
    <xf borderId="12" fillId="8" fontId="7" numFmtId="166" xfId="0" applyAlignment="1" applyBorder="1" applyFill="1" applyFont="1" applyNumberFormat="1">
      <alignment readingOrder="0"/>
    </xf>
    <xf borderId="12" fillId="8" fontId="8" numFmtId="165" xfId="0" applyAlignment="1" applyBorder="1" applyFill="1" applyFont="1" applyNumberFormat="1">
      <alignment horizontal="right" readingOrder="0"/>
    </xf>
    <xf borderId="9" fillId="10" fontId="15" numFmtId="0" xfId="0" applyAlignment="1" applyBorder="1" applyFill="1" applyFont="1">
      <alignment horizontal="center" shrinkToFit="0" vertical="center" wrapText="1"/>
    </xf>
    <xf borderId="12" fillId="0" fontId="7" numFmtId="164" xfId="0" applyAlignment="1" applyBorder="1" applyFont="1" applyNumberFormat="1">
      <alignment readingOrder="0"/>
    </xf>
    <xf borderId="12" fillId="8" fontId="7" numFmtId="164" xfId="0" applyAlignment="1" applyBorder="1" applyFill="1" applyFont="1" applyNumberFormat="1">
      <alignment readingOrder="0"/>
    </xf>
    <xf borderId="12" fillId="0" fontId="8" numFmtId="4" xfId="0" applyAlignment="1" applyBorder="1" applyFont="1" applyNumberFormat="1">
      <alignment horizontal="right"/>
    </xf>
    <xf borderId="0" fillId="0" fontId="16" numFmtId="0" xfId="0" applyFont="1"/>
    <xf borderId="9" fillId="4" fontId="6" numFmtId="0" xfId="0" applyAlignment="1" applyBorder="1" applyFill="1" applyFont="1">
      <alignment horizontal="center" vertical="center"/>
    </xf>
    <xf borderId="9" fillId="0" fontId="7" numFmtId="165" xfId="0" applyAlignment="1" applyBorder="1" applyFont="1" applyNumberFormat="1">
      <alignment horizontal="right" vertical="center"/>
    </xf>
    <xf borderId="9" fillId="0" fontId="7" numFmtId="1" xfId="0" applyAlignment="1" applyBorder="1" applyFont="1" applyNumberFormat="1">
      <alignment horizontal="right" vertical="center"/>
    </xf>
    <xf borderId="9" fillId="0" fontId="9" numFmtId="0" xfId="0" applyAlignment="1" applyBorder="1" applyFont="1">
      <alignment horizontal="left" vertical="center"/>
    </xf>
    <xf borderId="9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9" fillId="8" fontId="9" numFmtId="0" xfId="0" applyAlignment="1" applyBorder="1" applyFill="1" applyFont="1">
      <alignment horizontal="left" vertical="center"/>
    </xf>
    <xf borderId="9" fillId="8" fontId="9" numFmtId="165" xfId="0" applyAlignment="1" applyBorder="1" applyFill="1" applyFont="1" applyNumberFormat="1">
      <alignment horizontal="left" vertical="center"/>
    </xf>
    <xf borderId="9" fillId="8" fontId="7" numFmtId="165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1" fillId="3" fontId="5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5" fillId="2" fontId="21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12" fillId="0" fontId="22" numFmtId="1" xfId="0" applyAlignment="1" applyBorder="1" applyFont="1" applyNumberFormat="1">
      <alignment horizontal="right" vertical="center"/>
    </xf>
    <xf borderId="12" fillId="0" fontId="22" numFmtId="165" xfId="0" applyAlignment="1" applyBorder="1" applyFont="1" applyNumberFormat="1">
      <alignment horizontal="right" vertical="center"/>
    </xf>
    <xf borderId="9" fillId="4" fontId="7" numFmtId="0" xfId="0" applyAlignment="1" applyBorder="1" applyFill="1" applyFont="1">
      <alignment horizontal="right" vertical="center"/>
    </xf>
    <xf borderId="9" fillId="0" fontId="8" numFmtId="0" xfId="0" applyAlignment="1" applyBorder="1" applyFont="1">
      <alignment horizontal="center" vertical="center"/>
    </xf>
    <xf borderId="9" fillId="0" fontId="8" numFmtId="0" xfId="0" applyAlignment="1" applyBorder="1" applyFont="1">
      <alignment horizontal="center" readingOrder="0" vertical="center"/>
    </xf>
    <xf borderId="9" fillId="0" fontId="23" numFmtId="0" xfId="0" applyAlignment="1" applyBorder="1" applyFont="1">
      <alignment horizontal="center" readingOrder="0"/>
    </xf>
    <xf borderId="9" fillId="0" fontId="23" numFmtId="0" xfId="0" applyAlignment="1" applyBorder="1" applyFont="1">
      <alignment horizontal="center"/>
    </xf>
    <xf borderId="12" fillId="4" fontId="6" numFmtId="0" xfId="0" applyBorder="1" applyFill="1" applyFont="1"/>
    <xf borderId="12" fillId="4" fontId="16" numFmtId="0" xfId="0" applyAlignment="1" applyBorder="1" applyFill="1" applyFont="1">
      <alignment horizontal="left" shrinkToFit="0" vertical="center" wrapText="1"/>
    </xf>
    <xf borderId="12" fillId="0" fontId="24" numFmtId="0" xfId="0" applyBorder="1" applyFont="1"/>
    <xf borderId="12" fillId="0" fontId="16" numFmtId="0" xfId="0" applyAlignment="1" applyBorder="1" applyFont="1">
      <alignment horizontal="left" shrinkToFit="0" vertical="center" wrapText="1"/>
    </xf>
    <xf borderId="12" fillId="0" fontId="13" numFmtId="0" xfId="0" applyBorder="1" applyFont="1"/>
    <xf borderId="12" fillId="0" fontId="22" numFmtId="0" xfId="0" applyBorder="1" applyFont="1"/>
    <xf borderId="12" fillId="0" fontId="3" numFmtId="0" xfId="0" applyBorder="1" applyFont="1"/>
    <xf borderId="12" fillId="0" fontId="25" numFmtId="0" xfId="0" applyBorder="1" applyFont="1"/>
    <xf borderId="5" fillId="13" fontId="26" numFmtId="0" xfId="0" applyAlignment="1" applyBorder="1" applyFill="1" applyFont="1">
      <alignment horizontal="center" shrinkToFit="0" vertical="center" wrapText="1"/>
    </xf>
    <xf borderId="5" fillId="14" fontId="27" numFmtId="0" xfId="0" applyAlignment="1" applyBorder="1" applyFill="1" applyFont="1">
      <alignment horizontal="center" vertical="center"/>
    </xf>
    <xf borderId="5" fillId="15" fontId="28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center" shrinkToFit="0" vertical="center" wrapText="1"/>
    </xf>
    <xf borderId="12" fillId="8" fontId="7" numFmtId="0" xfId="0" applyAlignment="1" applyBorder="1" applyFill="1" applyFont="1">
      <alignment horizontal="left" vertical="center"/>
    </xf>
    <xf borderId="12" fillId="8" fontId="24" numFmtId="0" xfId="0" applyAlignment="1" applyBorder="1" applyFill="1" applyFont="1">
      <alignment horizontal="center" vertical="center"/>
    </xf>
    <xf borderId="12" fillId="8" fontId="7" numFmtId="0" xfId="0" applyAlignment="1" applyBorder="1" applyFill="1" applyFont="1">
      <alignment horizontal="center" vertical="center"/>
    </xf>
    <xf borderId="12" fillId="0" fontId="24" numFmtId="0" xfId="0" applyAlignment="1" applyBorder="1" applyFont="1">
      <alignment horizontal="center" vertical="center"/>
    </xf>
    <xf borderId="12" fillId="0" fontId="7" numFmtId="0" xfId="0" applyAlignment="1" applyBorder="1" applyFont="1">
      <alignment horizontal="center" vertical="center"/>
    </xf>
    <xf borderId="12" fillId="16" fontId="7" numFmtId="0" xfId="0" applyAlignment="1" applyBorder="1" applyFill="1" applyFont="1">
      <alignment horizontal="left" vertical="center"/>
    </xf>
    <xf borderId="12" fillId="16" fontId="24" numFmtId="0" xfId="0" applyAlignment="1" applyBorder="1" applyFill="1" applyFont="1">
      <alignment horizontal="center" vertical="center"/>
    </xf>
    <xf borderId="12" fillId="5" fontId="7" numFmtId="0" xfId="0" applyAlignment="1" applyBorder="1" applyFill="1" applyFont="1">
      <alignment horizontal="left" vertical="center"/>
    </xf>
    <xf borderId="12" fillId="5" fontId="24" numFmtId="0" xfId="0" applyAlignment="1" applyBorder="1" applyFill="1" applyFont="1">
      <alignment horizontal="center" vertical="center"/>
    </xf>
    <xf borderId="12" fillId="16" fontId="7" numFmtId="0" xfId="0" applyAlignment="1" applyBorder="1" applyFill="1" applyFont="1">
      <alignment horizontal="center" vertical="center"/>
    </xf>
    <xf borderId="12" fillId="16" fontId="7" numFmtId="0" xfId="0" applyAlignment="1" applyBorder="1" applyFill="1" applyFont="1">
      <alignment horizontal="left" readingOrder="0" vertical="center"/>
    </xf>
    <xf borderId="12" fillId="16" fontId="24" numFmtId="0" xfId="0" applyAlignment="1" applyBorder="1" applyFill="1" applyFont="1">
      <alignment horizontal="center" readingOrder="0" vertical="center"/>
    </xf>
    <xf borderId="12" fillId="16" fontId="7" numFmtId="0" xfId="0" applyAlignment="1" applyBorder="1" applyFill="1" applyFont="1">
      <alignment horizontal="center" readingOrder="0" vertical="center"/>
    </xf>
    <xf borderId="12" fillId="5" fontId="7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11" fillId="11" fontId="5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7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3" numFmtId="0" xfId="0" applyAlignment="1" applyFill="1" applyFont="1">
      <alignment horizontal="left" shrinkToFit="0" vertical="center" wrapText="1"/>
    </xf>
    <xf borderId="13" fillId="5" fontId="10" numFmtId="0" xfId="0" applyAlignment="1" applyBorder="1" applyFill="1" applyFont="1">
      <alignment horizontal="left" shrinkToFit="0" vertical="center" wrapText="1"/>
    </xf>
    <xf borderId="13" fillId="7" fontId="10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7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4" t="s">
        <v>13</v>
      </c>
      <c r="B4" s="14" t="s">
        <v>14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6.25" customHeight="1">
      <c r="A5" s="20" t="str">
        <f>'Access Codes'!A6</f>
        <v>At</v>
      </c>
      <c r="B5" s="23">
        <f t="array" ref="B5">IFERROR(INDEX('Player Balances'!$B$7:$B$206,MATCH(A5,'Player Balances'!$A$7:$A$206,0)),"")</f>
        <v>0</v>
      </c>
      <c r="C5" s="20" t="str">
        <f>IF(A5="","",IF(OR(D5="Coach",D5="Treasurer"),"Waived",IF(OR(B5="",B5=0),"",IF(SUMIFS(Transactions!$F$7:$F$989,Transactions!$D$7:$D$989,"Income",Transactions!$C$7:$C$989,"Dues",Transactions!$E$7:$E$989,A5)&gt;=B5,"Paid",IF(SUMIFS(Transactions!$F$7:$F$989,Transactions!$D$7:$D$989,"Income",Transactions!$C$7:$C$989,"Dues",Transactions!$E$7:$E$989,A5)&gt;0,"Partial","Unpaid")))))</f>
        <v/>
      </c>
      <c r="D5" s="39" t="str">
        <f>'Access Codes'!C6</f>
        <v>Captain</v>
      </c>
      <c r="E5" s="20" t="str">
        <f>'Access Codes'!D6</f>
        <v>Active</v>
      </c>
      <c r="F5" s="20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20" t="str">
        <f>'Access Codes'!A7</f>
        <v>Alex Warrington</v>
      </c>
      <c r="B6" s="23">
        <f t="array" ref="B6">IFERROR(INDEX('Player Balances'!$B$7:$B$206,MATCH(A6,'Player Balances'!$A$7:$A$206,0)),"")</f>
        <v>0</v>
      </c>
      <c r="C6" s="20" t="str">
        <f>IF(A6="","",IF(OR(D6="Coach",D6="Treasurer"),"Waived",IF(OR(B6="",B6=0),"",IF(SUMIFS(Transactions!$F$7:$F$989,Transactions!$D$7:$D$989,"Income",Transactions!$C$7:$C$989,"Dues",Transactions!$E$7:$E$989,A6)&gt;=B6,"Paid",IF(SUMIFS(Transactions!$F$7:$F$989,Transactions!$D$7:$D$989,"Income",Transactions!$C$7:$C$989,"Dues",Transactions!$E$7:$E$989,A6)&gt;0,"Partial","Unpaid")))))</f>
        <v/>
      </c>
      <c r="D6" s="39" t="str">
        <f>'Access Codes'!C7</f>
        <v>Player</v>
      </c>
      <c r="E6" s="20" t="str">
        <f>'Access Codes'!D7</f>
        <v>Active</v>
      </c>
      <c r="F6" s="20"/>
      <c r="G6" s="20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20" t="str">
        <f>'Access Codes'!A8</f>
        <v>Chris Wohl</v>
      </c>
      <c r="B7" s="23">
        <f t="array" ref="B7">IFERROR(INDEX('Player Balances'!$B$7:$B$206,MATCH(A7,'Player Balances'!$A$7:$A$206,0)),"")</f>
        <v>0</v>
      </c>
      <c r="C7" s="20" t="str">
        <f>IF(A7="","",IF(OR(D7="Coach",D7="Treasurer"),"Waived",IF(OR(B7="",B7=0),"",IF(SUMIFS(Transactions!$F$7:$F$989,Transactions!$D$7:$D$989,"Income",Transactions!$C$7:$C$989,"Dues",Transactions!$E$7:$E$989,A7)&gt;=B7,"Paid",IF(SUMIFS(Transactions!$F$7:$F$989,Transactions!$D$7:$D$989,"Income",Transactions!$C$7:$C$989,"Dues",Transactions!$E$7:$E$989,A7)&gt;0,"Partial","Unpaid")))))</f>
        <v/>
      </c>
      <c r="D7" s="48" t="str">
        <f>'Access Codes'!C8</f>
        <v>Player</v>
      </c>
      <c r="E7" s="20" t="str">
        <f>'Access Codes'!D8</f>
        <v>Active</v>
      </c>
      <c r="F7" s="20" t="s">
        <v>65</v>
      </c>
      <c r="G7" s="20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20" t="str">
        <f>'Access Codes'!A9</f>
        <v>Darra Reppermund</v>
      </c>
      <c r="B8" s="23">
        <f t="array" ref="B8">IFERROR(INDEX('Player Balances'!$B$7:$B$206,MATCH(A8,'Player Balances'!$A$7:$A$206,0)),"")</f>
        <v>0</v>
      </c>
      <c r="C8" s="20" t="str">
        <f>IF(A8="","",IF(OR(D8="Coach",D8="Treasurer"),"Waived",IF(OR(B8="",B8=0),"",IF(SUMIFS(Transactions!$F$7:$F$989,Transactions!$D$7:$D$989,"Income",Transactions!$C$7:$C$989,"Dues",Transactions!$E$7:$E$989,A8)&gt;=B8,"Paid",IF(SUMIFS(Transactions!$F$7:$F$989,Transactions!$D$7:$D$989,"Income",Transactions!$C$7:$C$989,"Dues",Transactions!$E$7:$E$989,A8)&gt;0,"Partial","Unpaid")))))</f>
        <v/>
      </c>
      <c r="D8" s="48" t="str">
        <f>'Access Codes'!C9</f>
        <v>Player</v>
      </c>
      <c r="E8" s="20" t="str">
        <f>'Access Codes'!D9</f>
        <v>Active</v>
      </c>
      <c r="F8" s="20"/>
      <c r="G8" s="20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20" t="str">
        <f>'Access Codes'!A10</f>
        <v>Dylan Best</v>
      </c>
      <c r="B9" s="23">
        <f t="array" ref="B9">IFERROR(INDEX('Player Balances'!$B$7:$B$206,MATCH(A9,'Player Balances'!$A$7:$A$206,0)),"")</f>
        <v>0</v>
      </c>
      <c r="C9" s="20" t="str">
        <f>IF(A9="","",IF(OR(D9="Coach",D9="Treasurer"),"Waived",IF(OR(B9="",B9=0),"",IF(SUMIFS(Transactions!$F$7:$F$989,Transactions!$D$7:$D$989,"Income",Transactions!$C$7:$C$989,"Dues",Transactions!$E$7:$E$989,A9)&gt;=B9,"Paid",IF(SUMIFS(Transactions!$F$7:$F$989,Transactions!$D$7:$D$989,"Income",Transactions!$C$7:$C$989,"Dues",Transactions!$E$7:$E$989,A9)&gt;0,"Partial","Unpaid")))))</f>
        <v/>
      </c>
      <c r="D9" s="39" t="str">
        <f>'Access Codes'!C10</f>
        <v>Player</v>
      </c>
      <c r="E9" s="20" t="str">
        <f>'Access Codes'!D10</f>
        <v>Active</v>
      </c>
      <c r="F9" s="20"/>
      <c r="G9" s="20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1" t="str">
        <f>'Access Codes'!A11</f>
        <v>Griffin O'Neal-Freeman</v>
      </c>
      <c r="B10" s="42">
        <f t="array" ref="B10">IFERROR(INDEX('Player Balances'!$B$7:$B$206,MATCH(A10,'Player Balances'!$A$7:$A$206,0)),"")</f>
        <v>0</v>
      </c>
      <c r="C10" s="41" t="str">
        <f>IF(A10="","",IF(OR(D10="Coach",D10="Treasurer"),"Waived",IF(OR(B10="",B10=0),"",IF(SUMIFS(Transactions!$F$7:$F$989,Transactions!$D$7:$D$989,"Income",Transactions!$C$7:$C$989,"Dues",Transactions!$E$7:$E$989,A10)&gt;=B10,"Paid",IF(SUMIFS(Transactions!$F$7:$F$989,Transactions!$D$7:$D$989,"Income",Transactions!$C$7:$C$989,"Dues",Transactions!$E$7:$E$989,A10)&gt;0,"Partial","Unpaid")))))</f>
        <v/>
      </c>
      <c r="D10" s="39" t="str">
        <f>'Access Codes'!C11</f>
        <v>Player</v>
      </c>
      <c r="E10" s="41" t="str">
        <f>'Access Codes'!D11</f>
        <v>Active</v>
      </c>
      <c r="F10" s="41"/>
      <c r="G10" s="4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41" t="str">
        <f>'Access Codes'!A12</f>
        <v>Haley Young</v>
      </c>
      <c r="B11" s="42">
        <f t="array" ref="B11">IFERROR(INDEX('Player Balances'!$B$7:$B$206,MATCH(A11,'Player Balances'!$A$7:$A$206,0)),"")</f>
        <v>0</v>
      </c>
      <c r="C11" s="41" t="str">
        <f>IF(A11="","",IF(OR(D11="Coach",D11="Treasurer"),"Waived",IF(OR(B11="",B11=0),"",IF(SUMIFS(Transactions!$F$7:$F$989,Transactions!$D$7:$D$989,"Income",Transactions!$C$7:$C$989,"Dues",Transactions!$E$7:$E$989,A11)&gt;=B11,"Paid",IF(SUMIFS(Transactions!$F$7:$F$989,Transactions!$D$7:$D$989,"Income",Transactions!$C$7:$C$989,"Dues",Transactions!$E$7:$E$989,A11)&gt;0,"Partial","Unpaid")))))</f>
        <v/>
      </c>
      <c r="D11" s="39" t="str">
        <f>'Access Codes'!C12</f>
        <v>Player</v>
      </c>
      <c r="E11" s="41" t="str">
        <f>'Access Codes'!D12</f>
        <v>Active</v>
      </c>
      <c r="F11" s="41"/>
      <c r="G11" s="41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1" t="str">
        <f>'Access Codes'!A13</f>
        <v>Harry Park</v>
      </c>
      <c r="B12" s="42">
        <f t="array" ref="B12">IFERROR(INDEX('Player Balances'!$B$7:$B$206,MATCH(A12,'Player Balances'!$A$7:$A$206,0)),"")</f>
        <v>0</v>
      </c>
      <c r="C12" s="41" t="str">
        <f>IF(A12="","",IF(OR(D12="Coach",D12="Treasurer"),"Waived",IF(OR(B12="",B12=0),"",IF(SUMIFS(Transactions!$F$7:$F$989,Transactions!$D$7:$D$989,"Income",Transactions!$C$7:$C$989,"Dues",Transactions!$E$7:$E$989,A12)&gt;=B12,"Paid",IF(SUMIFS(Transactions!$F$7:$F$989,Transactions!$D$7:$D$989,"Income",Transactions!$C$7:$C$989,"Dues",Transactions!$E$7:$E$989,A12)&gt;0,"Partial","Unpaid")))))</f>
        <v/>
      </c>
      <c r="D12" s="39" t="str">
        <f>'Access Codes'!C13</f>
        <v>Player</v>
      </c>
      <c r="E12" s="41" t="str">
        <f>'Access Codes'!D13</f>
        <v>Active</v>
      </c>
      <c r="F12" s="41"/>
      <c r="G12" s="4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41" t="str">
        <f>'Access Codes'!A14</f>
        <v>Ian Piper</v>
      </c>
      <c r="B13" s="42">
        <f t="array" ref="B13">IFERROR(INDEX('Player Balances'!$B$7:$B$206,MATCH(A13,'Player Balances'!$A$7:$A$206,0)),"")</f>
        <v>0</v>
      </c>
      <c r="C13" s="41" t="str">
        <f>IF(A13="","",IF(OR(D13="Coach",D13="Treasurer"),"Waived",IF(OR(B13="",B13=0),"",IF(SUMIFS(Transactions!$F$7:$F$989,Transactions!$D$7:$D$989,"Income",Transactions!$C$7:$C$989,"Dues",Transactions!$E$7:$E$989,A13)&gt;=B13,"Paid",IF(SUMIFS(Transactions!$F$7:$F$989,Transactions!$D$7:$D$989,"Income",Transactions!$C$7:$C$989,"Dues",Transactions!$E$7:$E$989,A13)&gt;0,"Partial","Unpaid")))))</f>
        <v/>
      </c>
      <c r="D13" s="39" t="str">
        <f>'Access Codes'!C14</f>
        <v>Player</v>
      </c>
      <c r="E13" s="41" t="str">
        <f>'Access Codes'!D14</f>
        <v>Active</v>
      </c>
      <c r="F13" s="41"/>
      <c r="G13" s="4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41" t="str">
        <f>'Access Codes'!A15</f>
        <v>Jake Murray</v>
      </c>
      <c r="B14" s="42">
        <f t="array" ref="B14">IFERROR(INDEX('Player Balances'!$B$7:$B$206,MATCH(A14,'Player Balances'!$A$7:$A$206,0)),"")</f>
        <v>0</v>
      </c>
      <c r="C14" s="41" t="str">
        <f>IF(A14="","",IF(OR(D14="Coach",D14="Treasurer"),"Waived",IF(OR(B14="",B14=0),"",IF(SUMIFS(Transactions!$F$7:$F$989,Transactions!$D$7:$D$989,"Income",Transactions!$C$7:$C$989,"Dues",Transactions!$E$7:$E$989,A14)&gt;=B14,"Paid",IF(SUMIFS(Transactions!$F$7:$F$989,Transactions!$D$7:$D$989,"Income",Transactions!$C$7:$C$989,"Dues",Transactions!$E$7:$E$989,A14)&gt;0,"Partial","Unpaid")))))</f>
        <v>Waived</v>
      </c>
      <c r="D14" s="39" t="str">
        <f>'Access Codes'!C15</f>
        <v>Treasurer</v>
      </c>
      <c r="E14" s="41" t="str">
        <f>'Access Codes'!D15</f>
        <v>Active</v>
      </c>
      <c r="F14" s="41"/>
      <c r="G14" s="41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41" t="str">
        <f>'Access Codes'!A16</f>
        <v>Jenna Nold</v>
      </c>
      <c r="B15" s="42">
        <f t="array" ref="B15">IFERROR(INDEX('Player Balances'!$B$7:$B$206,MATCH(A15,'Player Balances'!$A$7:$A$206,0)),"")</f>
        <v>0</v>
      </c>
      <c r="C15" s="41" t="str">
        <f>IF(A15="","",IF(OR(D15="Coach",D15="Treasurer"),"Waived",IF(OR(B15="",B15=0),"",IF(SUMIFS(Transactions!$F$7:$F$989,Transactions!$D$7:$D$989,"Income",Transactions!$C$7:$C$989,"Dues",Transactions!$E$7:$E$989,A15)&gt;=B15,"Paid",IF(SUMIFS(Transactions!$F$7:$F$989,Transactions!$D$7:$D$989,"Income",Transactions!$C$7:$C$989,"Dues",Transactions!$E$7:$E$989,A15)&gt;0,"Partial","Unpaid")))))</f>
        <v/>
      </c>
      <c r="D15" s="39" t="str">
        <f>'Access Codes'!C16</f>
        <v>Captain</v>
      </c>
      <c r="E15" s="41" t="str">
        <f>'Access Codes'!D16</f>
        <v>Active</v>
      </c>
      <c r="F15" s="41"/>
      <c r="G15" s="41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1" t="str">
        <f>'Access Codes'!A17</f>
        <v>Jimmy Towle</v>
      </c>
      <c r="B16" s="42">
        <f t="array" ref="B16">IFERROR(INDEX('Player Balances'!$B$7:$B$206,MATCH(A16,'Player Balances'!$A$7:$A$206,0)),"")</f>
        <v>0</v>
      </c>
      <c r="C16" s="41" t="str">
        <f>IF(A16="","",IF(OR(D16="Coach",D16="Treasurer"),"Waived",IF(OR(B16="",B16=0),"",IF(SUMIFS(Transactions!$F$7:$F$989,Transactions!$D$7:$D$989,"Income",Transactions!$C$7:$C$989,"Dues",Transactions!$E$7:$E$989,A16)&gt;=B16,"Paid",IF(SUMIFS(Transactions!$F$7:$F$989,Transactions!$D$7:$D$989,"Income",Transactions!$C$7:$C$989,"Dues",Transactions!$E$7:$E$989,A16)&gt;0,"Partial","Unpaid")))))</f>
        <v/>
      </c>
      <c r="D16" s="39" t="str">
        <f>'Access Codes'!C17</f>
        <v>Player</v>
      </c>
      <c r="E16" s="41" t="str">
        <f>'Access Codes'!D17</f>
        <v>Active</v>
      </c>
      <c r="F16" s="41"/>
      <c r="G16" s="4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1" t="str">
        <f>'Access Codes'!A18</f>
        <v>Kailey Rugani</v>
      </c>
      <c r="B17" s="42">
        <f t="array" ref="B17">IFERROR(INDEX('Player Balances'!$B$7:$B$206,MATCH(A17,'Player Balances'!$A$7:$A$206,0)),"")</f>
        <v>0</v>
      </c>
      <c r="C17" s="41" t="str">
        <f>IF(A17="","",IF(OR(D17="Coach",D17="Treasurer"),"Waived",IF(OR(B17="",B17=0),"",IF(SUMIFS(Transactions!$F$7:$F$989,Transactions!$D$7:$D$989,"Income",Transactions!$C$7:$C$989,"Dues",Transactions!$E$7:$E$989,A17)&gt;=B17,"Paid",IF(SUMIFS(Transactions!$F$7:$F$989,Transactions!$D$7:$D$989,"Income",Transactions!$C$7:$C$989,"Dues",Transactions!$E$7:$E$989,A17)&gt;0,"Partial","Unpaid")))))</f>
        <v/>
      </c>
      <c r="D17" s="39" t="str">
        <f>'Access Codes'!C18</f>
        <v>Player</v>
      </c>
      <c r="E17" s="41" t="str">
        <f>'Access Codes'!D18</f>
        <v>Active</v>
      </c>
      <c r="F17" s="41"/>
      <c r="G17" s="4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1" t="str">
        <f>'Access Codes'!A19</f>
        <v>Kasey Schock</v>
      </c>
      <c r="B18" s="42">
        <f t="array" ref="B18">IFERROR(INDEX('Player Balances'!$B$7:$B$206,MATCH(A18,'Player Balances'!$A$7:$A$206,0)),"")</f>
        <v>0</v>
      </c>
      <c r="C18" s="41" t="str">
        <f>IF(A18="","",IF(OR(D18="Coach",D18="Treasurer"),"Waived",IF(OR(B18="",B18=0),"",IF(SUMIFS(Transactions!$F$7:$F$989,Transactions!$D$7:$D$989,"Income",Transactions!$C$7:$C$989,"Dues",Transactions!$E$7:$E$989,A18)&gt;=B18,"Paid",IF(SUMIFS(Transactions!$F$7:$F$989,Transactions!$D$7:$D$989,"Income",Transactions!$C$7:$C$989,"Dues",Transactions!$E$7:$E$989,A18)&gt;0,"Partial","Unpaid")))))</f>
        <v/>
      </c>
      <c r="D18" s="39" t="str">
        <f>'Access Codes'!C19</f>
        <v>Player</v>
      </c>
      <c r="E18" s="41" t="str">
        <f>'Access Codes'!D19</f>
        <v>Active</v>
      </c>
      <c r="F18" s="41"/>
      <c r="G18" s="41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1" t="str">
        <f>'Access Codes'!A20</f>
        <v>Kevin Nicholl</v>
      </c>
      <c r="B19" s="42">
        <f t="array" ref="B19">IFERROR(INDEX('Player Balances'!$B$7:$B$206,MATCH(A19,'Player Balances'!$A$7:$A$206,0)),"")</f>
        <v>0</v>
      </c>
      <c r="C19" s="41" t="str">
        <f>IF(A19="","",IF(OR(D19="Coach",D19="Treasurer"),"Waived",IF(OR(B19="",B19=0),"",IF(SUMIFS(Transactions!$F$7:$F$989,Transactions!$D$7:$D$989,"Income",Transactions!$C$7:$C$989,"Dues",Transactions!$E$7:$E$989,A19)&gt;=B19,"Paid",IF(SUMIFS(Transactions!$F$7:$F$989,Transactions!$D$7:$D$989,"Income",Transactions!$C$7:$C$989,"Dues",Transactions!$E$7:$E$989,A19)&gt;0,"Partial","Unpaid")))))</f>
        <v/>
      </c>
      <c r="D19" s="39" t="str">
        <f>'Access Codes'!C20</f>
        <v>Player</v>
      </c>
      <c r="E19" s="41" t="str">
        <f>'Access Codes'!D20</f>
        <v>Active</v>
      </c>
      <c r="F19" s="41"/>
      <c r="G19" s="4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1" t="str">
        <f>'Access Codes'!A21</f>
        <v>Kit Asterin</v>
      </c>
      <c r="B20" s="42">
        <f t="array" ref="B20">IFERROR(INDEX('Player Balances'!$B$7:$B$206,MATCH(A20,'Player Balances'!$A$7:$A$206,0)),"")</f>
        <v>0</v>
      </c>
      <c r="C20" s="41" t="str">
        <f>IF(A20="","",IF(OR(D20="Coach",D20="Treasurer"),"Waived",IF(OR(B20="",B20=0),"",IF(SUMIFS(Transactions!$F$7:$F$989,Transactions!$D$7:$D$989,"Income",Transactions!$C$7:$C$989,"Dues",Transactions!$E$7:$E$989,A20)&gt;=B20,"Paid",IF(SUMIFS(Transactions!$F$7:$F$989,Transactions!$D$7:$D$989,"Income",Transactions!$C$7:$C$989,"Dues",Transactions!$E$7:$E$989,A20)&gt;0,"Partial","Unpaid")))))</f>
        <v/>
      </c>
      <c r="D20" s="39" t="str">
        <f>'Access Codes'!C21</f>
        <v>Captain</v>
      </c>
      <c r="E20" s="41" t="str">
        <f>'Access Codes'!D21</f>
        <v>Active</v>
      </c>
      <c r="F20" s="41"/>
      <c r="G20" s="41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1" t="str">
        <f>'Access Codes'!A22</f>
        <v>Kristin Dudley</v>
      </c>
      <c r="B21" s="42">
        <f t="array" ref="B21">IFERROR(INDEX('Player Balances'!$B$7:$B$206,MATCH(A21,'Player Balances'!$A$7:$A$206,0)),"")</f>
        <v>0</v>
      </c>
      <c r="C21" s="41" t="str">
        <f>IF(A21="","",IF(OR(D21="Coach",D21="Treasurer"),"Waived",IF(OR(B21="",B21=0),"",IF(SUMIFS(Transactions!$F$7:$F$989,Transactions!$D$7:$D$989,"Income",Transactions!$C$7:$C$989,"Dues",Transactions!$E$7:$E$989,A21)&gt;=B21,"Paid",IF(SUMIFS(Transactions!$F$7:$F$989,Transactions!$D$7:$D$989,"Income",Transactions!$C$7:$C$989,"Dues",Transactions!$E$7:$E$989,A21)&gt;0,"Partial","Unpaid")))))</f>
        <v/>
      </c>
      <c r="D21" s="39" t="str">
        <f>'Access Codes'!C22</f>
        <v>Player</v>
      </c>
      <c r="E21" s="41" t="str">
        <f>'Access Codes'!D22</f>
        <v>Active</v>
      </c>
      <c r="F21" s="41"/>
      <c r="G21" s="41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1" t="str">
        <f>'Access Codes'!A23</f>
        <v>Lexie Thomas</v>
      </c>
      <c r="B22" s="42">
        <f t="array" ref="B22">IFERROR(INDEX('Player Balances'!$B$7:$B$206,MATCH(A22,'Player Balances'!$A$7:$A$206,0)),"")</f>
        <v>0</v>
      </c>
      <c r="C22" s="41" t="str">
        <f>IF(A22="","",IF(OR(D22="Coach",D22="Treasurer"),"Waived",IF(OR(B22="",B22=0),"",IF(SUMIFS(Transactions!$F$7:$F$989,Transactions!$D$7:$D$989,"Income",Transactions!$C$7:$C$989,"Dues",Transactions!$E$7:$E$989,A22)&gt;=B22,"Paid",IF(SUMIFS(Transactions!$F$7:$F$989,Transactions!$D$7:$D$989,"Income",Transactions!$C$7:$C$989,"Dues",Transactions!$E$7:$E$989,A22)&gt;0,"Partial","Unpaid")))))</f>
        <v/>
      </c>
      <c r="D22" s="39" t="str">
        <f>'Access Codes'!C23</f>
        <v>Player</v>
      </c>
      <c r="E22" s="41" t="str">
        <f>'Access Codes'!D23</f>
        <v>Active</v>
      </c>
      <c r="F22" s="41"/>
      <c r="G22" s="41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1" t="str">
        <f>'Access Codes'!A24</f>
        <v>Lucas Jones</v>
      </c>
      <c r="B23" s="42">
        <f t="array" ref="B23">IFERROR(INDEX('Player Balances'!$B$7:$B$206,MATCH(A23,'Player Balances'!$A$7:$A$206,0)),"")</f>
        <v>0</v>
      </c>
      <c r="C23" s="41" t="str">
        <f>IF(A23="","",IF(OR(D23="Coach",D23="Treasurer"),"Waived",IF(OR(B23="",B23=0),"",IF(SUMIFS(Transactions!$F$7:$F$989,Transactions!$D$7:$D$989,"Income",Transactions!$C$7:$C$989,"Dues",Transactions!$E$7:$E$989,A23)&gt;=B23,"Paid",IF(SUMIFS(Transactions!$F$7:$F$989,Transactions!$D$7:$D$989,"Income",Transactions!$C$7:$C$989,"Dues",Transactions!$E$7:$E$989,A23)&gt;0,"Partial","Unpaid")))))</f>
        <v/>
      </c>
      <c r="D23" s="39" t="str">
        <f>'Access Codes'!C24</f>
        <v>Player</v>
      </c>
      <c r="E23" s="41" t="str">
        <f>'Access Codes'!D24</f>
        <v>Active</v>
      </c>
      <c r="F23" s="41"/>
      <c r="G23" s="4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1" t="str">
        <f>'Access Codes'!A25</f>
        <v>Max Sheppard</v>
      </c>
      <c r="B24" s="42">
        <f t="array" ref="B24">IFERROR(INDEX('Player Balances'!$B$7:$B$206,MATCH(A24,'Player Balances'!$A$7:$A$206,0)),"")</f>
        <v>0</v>
      </c>
      <c r="C24" s="41" t="str">
        <f>IF(A24="","",IF(OR(D24="Coach",D24="Treasurer"),"Waived",IF(OR(B24="",B24=0),"",IF(SUMIFS(Transactions!$F$7:$F$989,Transactions!$D$7:$D$989,"Income",Transactions!$C$7:$C$989,"Dues",Transactions!$E$7:$E$989,A24)&gt;=B24,"Paid",IF(SUMIFS(Transactions!$F$7:$F$989,Transactions!$D$7:$D$989,"Income",Transactions!$C$7:$C$989,"Dues",Transactions!$E$7:$E$989,A24)&gt;0,"Partial","Unpaid")))))</f>
        <v/>
      </c>
      <c r="D24" s="39" t="str">
        <f>'Access Codes'!C25</f>
        <v>Player</v>
      </c>
      <c r="E24" s="41" t="str">
        <f>'Access Codes'!D25</f>
        <v>Active</v>
      </c>
      <c r="F24" s="41"/>
      <c r="G24" s="4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1" t="str">
        <f>'Access Codes'!A26</f>
        <v>Lucius Christie</v>
      </c>
      <c r="B25" s="42">
        <f t="array" ref="B25">IFERROR(INDEX('Player Balances'!$B$7:$B$206,MATCH(A25,'Player Balances'!$A$7:$A$206,0)),"")</f>
        <v>0</v>
      </c>
      <c r="C25" s="41" t="str">
        <f>IF(A25="","",IF(OR(D25="Coach",D25="Treasurer"),"Waived",IF(OR(B25="",B25=0),"",IF(SUMIFS(Transactions!$F$7:$F$989,Transactions!$D$7:$D$989,"Income",Transactions!$C$7:$C$989,"Dues",Transactions!$E$7:$E$989,A25)&gt;=B25,"Paid",IF(SUMIFS(Transactions!$F$7:$F$989,Transactions!$D$7:$D$989,"Income",Transactions!$C$7:$C$989,"Dues",Transactions!$E$7:$E$989,A25)&gt;0,"Partial","Unpaid")))))</f>
        <v/>
      </c>
      <c r="D25" s="39" t="str">
        <f>'Access Codes'!C26</f>
        <v>Player</v>
      </c>
      <c r="E25" s="41" t="str">
        <f>'Access Codes'!D26</f>
        <v>Active</v>
      </c>
      <c r="F25" s="41"/>
      <c r="G25" s="4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1" t="str">
        <f>'Access Codes'!A27</f>
        <v>Patrick McMullen</v>
      </c>
      <c r="B26" s="42">
        <f t="array" ref="B26">IFERROR(INDEX('Player Balances'!$B$7:$B$206,MATCH(A26,'Player Balances'!$A$7:$A$206,0)),"")</f>
        <v>0</v>
      </c>
      <c r="C26" s="41" t="str">
        <f>IF(A26="","",IF(OR(D26="Coach",D26="Treasurer"),"Waived",IF(OR(B26="",B26=0),"",IF(SUMIFS(Transactions!$F$7:$F$989,Transactions!$D$7:$D$989,"Income",Transactions!$C$7:$C$989,"Dues",Transactions!$E$7:$E$989,A26)&gt;=B26,"Paid",IF(SUMIFS(Transactions!$F$7:$F$989,Transactions!$D$7:$D$989,"Income",Transactions!$C$7:$C$989,"Dues",Transactions!$E$7:$E$989,A26)&gt;0,"Partial","Unpaid")))))</f>
        <v/>
      </c>
      <c r="D26" s="39" t="str">
        <f>'Access Codes'!C27</f>
        <v>Player</v>
      </c>
      <c r="E26" s="41" t="str">
        <f>'Access Codes'!D27</f>
        <v>Active</v>
      </c>
      <c r="F26" s="41"/>
      <c r="G26" s="41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1" t="str">
        <f>'Access Codes'!A28</f>
        <v>Rachel Graber</v>
      </c>
      <c r="B27" s="42">
        <f t="array" ref="B27">IFERROR(INDEX('Player Balances'!$B$7:$B$206,MATCH(A27,'Player Balances'!$A$7:$A$206,0)),"")</f>
        <v>0</v>
      </c>
      <c r="C27" s="41" t="str">
        <f>IF(A27="","",IF(OR(D27="Coach",D27="Treasurer"),"Waived",IF(OR(B27="",B27=0),"",IF(SUMIFS(Transactions!$F$7:$F$989,Transactions!$D$7:$D$989,"Income",Transactions!$C$7:$C$989,"Dues",Transactions!$E$7:$E$989,A27)&gt;=B27,"Paid",IF(SUMIFS(Transactions!$F$7:$F$989,Transactions!$D$7:$D$989,"Income",Transactions!$C$7:$C$989,"Dues",Transactions!$E$7:$E$989,A27)&gt;0,"Partial","Unpaid")))))</f>
        <v/>
      </c>
      <c r="D27" s="39" t="str">
        <f>'Access Codes'!C28</f>
        <v>Player</v>
      </c>
      <c r="E27" s="41" t="str">
        <f>'Access Codes'!D28</f>
        <v>Active</v>
      </c>
      <c r="F27" s="41"/>
      <c r="G27" s="41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1" t="str">
        <f>'Access Codes'!A29</f>
        <v>Ryan Kindell</v>
      </c>
      <c r="B28" s="42">
        <f t="array" ref="B28">IFERROR(INDEX('Player Balances'!$B$7:$B$206,MATCH(A28,'Player Balances'!$A$7:$A$206,0)),"")</f>
        <v>0</v>
      </c>
      <c r="C28" s="41" t="str">
        <f>IF(A28="","",IF(OR(D28="Coach",D28="Treasurer"),"Waived",IF(OR(B28="",B28=0),"",IF(SUMIFS(Transactions!$F$7:$F$989,Transactions!$D$7:$D$989,"Income",Transactions!$C$7:$C$989,"Dues",Transactions!$E$7:$E$989,A28)&gt;=B28,"Paid",IF(SUMIFS(Transactions!$F$7:$F$989,Transactions!$D$7:$D$989,"Income",Transactions!$C$7:$C$989,"Dues",Transactions!$E$7:$E$989,A28)&gt;0,"Partial","Unpaid")))))</f>
        <v/>
      </c>
      <c r="D28" s="39" t="str">
        <f>'Access Codes'!C29</f>
        <v>Player</v>
      </c>
      <c r="E28" s="41" t="str">
        <f>'Access Codes'!D29</f>
        <v>Active</v>
      </c>
      <c r="F28" s="41"/>
      <c r="G28" s="4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1" t="str">
        <f>'Access Codes'!A30</f>
        <v>Ryan Ward</v>
      </c>
      <c r="B29" s="42">
        <f t="array" ref="B29">IFERROR(INDEX('Player Balances'!$B$7:$B$206,MATCH(A29,'Player Balances'!$A$7:$A$206,0)),"")</f>
        <v>0</v>
      </c>
      <c r="C29" s="41" t="str">
        <f>IF(A29="","",IF(OR(D29="Coach",D29="Treasurer"),"Waived",IF(OR(B29="",B29=0),"",IF(SUMIFS(Transactions!$F$7:$F$989,Transactions!$D$7:$D$989,"Income",Transactions!$C$7:$C$989,"Dues",Transactions!$E$7:$E$989,A29)&gt;=B29,"Paid",IF(SUMIFS(Transactions!$F$7:$F$989,Transactions!$D$7:$D$989,"Income",Transactions!$C$7:$C$989,"Dues",Transactions!$E$7:$E$989,A29)&gt;0,"Partial","Unpaid")))))</f>
        <v/>
      </c>
      <c r="D29" s="39" t="str">
        <f>'Access Codes'!C30</f>
        <v>Player</v>
      </c>
      <c r="E29" s="41" t="str">
        <f>'Access Codes'!D30</f>
        <v>Active</v>
      </c>
      <c r="F29" s="41"/>
      <c r="G29" s="41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1" t="str">
        <f>'Access Codes'!A31</f>
        <v>Sam Gombiner</v>
      </c>
      <c r="B30" s="42">
        <f t="array" ref="B30">IFERROR(INDEX('Player Balances'!$B$7:$B$206,MATCH(A30,'Player Balances'!$A$7:$A$206,0)),"")</f>
        <v>0</v>
      </c>
      <c r="C30" s="41" t="str">
        <f>IF(A30="","",IF(OR(D30="Coach",D30="Treasurer"),"Waived",IF(OR(B30="",B30=0),"",IF(SUMIFS(Transactions!$F$7:$F$989,Transactions!$D$7:$D$989,"Income",Transactions!$C$7:$C$989,"Dues",Transactions!$E$7:$E$989,A30)&gt;=B30,"Paid",IF(SUMIFS(Transactions!$F$7:$F$989,Transactions!$D$7:$D$989,"Income",Transactions!$C$7:$C$989,"Dues",Transactions!$E$7:$E$989,A30)&gt;0,"Partial","Unpaid")))))</f>
        <v/>
      </c>
      <c r="D30" s="39" t="str">
        <f>'Access Codes'!C31</f>
        <v>Player</v>
      </c>
      <c r="E30" s="41" t="str">
        <f>'Access Codes'!D31</f>
        <v>Active</v>
      </c>
      <c r="F30" s="41"/>
      <c r="G30" s="4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1" t="str">
        <f>'Access Codes'!A32</f>
        <v>Sarah Kingsley-Hart</v>
      </c>
      <c r="B31" s="42">
        <f t="array" ref="B31">IFERROR(INDEX('Player Balances'!$B$7:$B$206,MATCH(A31,'Player Balances'!$A$7:$A$206,0)),"")</f>
        <v>0</v>
      </c>
      <c r="C31" s="41" t="str">
        <f>IF(A31="","",IF(OR(D31="Coach",D31="Treasurer"),"Waived",IF(OR(B31="",B31=0),"",IF(SUMIFS(Transactions!$F$7:$F$989,Transactions!$D$7:$D$989,"Income",Transactions!$C$7:$C$989,"Dues",Transactions!$E$7:$E$989,A31)&gt;=B31,"Paid",IF(SUMIFS(Transactions!$F$7:$F$989,Transactions!$D$7:$D$989,"Income",Transactions!$C$7:$C$989,"Dues",Transactions!$E$7:$E$989,A31)&gt;0,"Partial","Unpaid")))))</f>
        <v/>
      </c>
      <c r="D31" s="39" t="str">
        <f>'Access Codes'!C32</f>
        <v>Player</v>
      </c>
      <c r="E31" s="41" t="str">
        <f>'Access Codes'!D32</f>
        <v>Active</v>
      </c>
      <c r="F31" s="41"/>
      <c r="G31" s="4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1" t="str">
        <f>'Access Codes'!A33</f>
        <v>Sarah Lynch</v>
      </c>
      <c r="B32" s="42">
        <f t="array" ref="B32">IFERROR(INDEX('Player Balances'!$B$7:$B$206,MATCH(A32,'Player Balances'!$A$7:$A$206,0)),"")</f>
        <v>0</v>
      </c>
      <c r="C32" s="41" t="str">
        <f>IF(A32="","",IF(OR(D32="Coach",D32="Treasurer"),"Waived",IF(OR(B32="",B32=0),"",IF(SUMIFS(Transactions!$F$7:$F$989,Transactions!$D$7:$D$989,"Income",Transactions!$C$7:$C$989,"Dues",Transactions!$E$7:$E$989,A32)&gt;=B32,"Paid",IF(SUMIFS(Transactions!$F$7:$F$989,Transactions!$D$7:$D$989,"Income",Transactions!$C$7:$C$989,"Dues",Transactions!$E$7:$E$989,A32)&gt;0,"Partial","Unpaid")))))</f>
        <v/>
      </c>
      <c r="D32" s="39" t="str">
        <f>'Access Codes'!C33</f>
        <v>Player</v>
      </c>
      <c r="E32" s="41" t="str">
        <f>'Access Codes'!D33</f>
        <v>Active</v>
      </c>
      <c r="F32" s="41"/>
      <c r="G32" s="4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1" t="str">
        <f>'Access Codes'!A34</f>
        <v>Shani Rosenthal</v>
      </c>
      <c r="B33" s="42">
        <f t="array" ref="B33">IFERROR(INDEX('Player Balances'!$B$7:$B$206,MATCH(A33,'Player Balances'!$A$7:$A$206,0)),"")</f>
        <v>0</v>
      </c>
      <c r="C33" s="41" t="str">
        <f>IF(A33="","",IF(OR(D33="Coach",D33="Treasurer"),"Waived",IF(OR(B33="",B33=0),"",IF(SUMIFS(Transactions!$F$7:$F$989,Transactions!$D$7:$D$989,"Income",Transactions!$C$7:$C$989,"Dues",Transactions!$E$7:$E$989,A33)&gt;=B33,"Paid",IF(SUMIFS(Transactions!$F$7:$F$989,Transactions!$D$7:$D$989,"Income",Transactions!$C$7:$C$989,"Dues",Transactions!$E$7:$E$989,A33)&gt;0,"Partial","Unpaid")))))</f>
        <v/>
      </c>
      <c r="D33" s="39" t="str">
        <f>'Access Codes'!C34</f>
        <v>Player</v>
      </c>
      <c r="E33" s="41" t="str">
        <f>'Access Codes'!D34</f>
        <v>Active</v>
      </c>
      <c r="F33" s="41"/>
      <c r="G33" s="4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1" t="str">
        <f>'Access Codes'!A35</f>
        <v>Vivian Shen</v>
      </c>
      <c r="B34" s="42">
        <f t="array" ref="B34">IFERROR(INDEX('Player Balances'!$B$7:$B$206,MATCH(A34,'Player Balances'!$A$7:$A$206,0)),"")</f>
        <v>0</v>
      </c>
      <c r="C34" s="41" t="str">
        <f>IF(A34="","",IF(OR(D34="Coach",D34="Treasurer"),"Waived",IF(OR(B34="",B34=0),"",IF(SUMIFS(Transactions!$F$7:$F$989,Transactions!$D$7:$D$989,"Income",Transactions!$C$7:$C$989,"Dues",Transactions!$E$7:$E$989,A34)&gt;=B34,"Paid",IF(SUMIFS(Transactions!$F$7:$F$989,Transactions!$D$7:$D$989,"Income",Transactions!$C$7:$C$989,"Dues",Transactions!$E$7:$E$989,A34)&gt;0,"Partial","Unpaid")))))</f>
        <v/>
      </c>
      <c r="D34" s="39" t="str">
        <f>'Access Codes'!C35</f>
        <v>Player</v>
      </c>
      <c r="E34" s="41" t="str">
        <f>'Access Codes'!D35</f>
        <v>Active</v>
      </c>
      <c r="F34" s="41"/>
      <c r="G34" s="4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1" t="str">
        <f>'Access Codes'!A36</f>
        <v>Zach Esakof</v>
      </c>
      <c r="B35" s="42">
        <f t="array" ref="B35">IFERROR(INDEX('Player Balances'!$B$7:$B$206,MATCH(A35,'Player Balances'!$A$7:$A$206,0)),"")</f>
        <v>0</v>
      </c>
      <c r="C35" s="41" t="str">
        <f>IF(A35="","",IF(OR(D35="Coach",D35="Treasurer"),"Waived",IF(OR(B35="",B35=0),"",IF(SUMIFS(Transactions!$F$7:$F$989,Transactions!$D$7:$D$989,"Income",Transactions!$C$7:$C$989,"Dues",Transactions!$E$7:$E$989,A35)&gt;=B35,"Paid",IF(SUMIFS(Transactions!$F$7:$F$989,Transactions!$D$7:$D$989,"Income",Transactions!$C$7:$C$989,"Dues",Transactions!$E$7:$E$989,A35)&gt;0,"Partial","Unpaid")))))</f>
        <v/>
      </c>
      <c r="D35" s="39" t="str">
        <f>'Access Codes'!C36</f>
        <v>Player</v>
      </c>
      <c r="E35" s="41" t="str">
        <f>'Access Codes'!D36</f>
        <v>Active</v>
      </c>
      <c r="F35" s="41"/>
      <c r="G35" s="4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1" t="str">
        <f>'Access Codes'!A37</f>
        <v>Annette Kukunas-Piper</v>
      </c>
      <c r="B36" s="42">
        <f t="array" ref="B36">IFERROR(INDEX('Player Balances'!$B$7:$B$206,MATCH(A36,'Player Balances'!$A$7:$A$206,0)),"")</f>
        <v>0</v>
      </c>
      <c r="C36" s="41" t="str">
        <f>IF(A36="","",IF(OR(D36="Coach",D36="Treasurer"),"Waived",IF(OR(B36="",B36=0),"",IF(SUMIFS(Transactions!$F$7:$F$989,Transactions!$D$7:$D$989,"Income",Transactions!$C$7:$C$989,"Dues",Transactions!$E$7:$E$989,A36)&gt;=B36,"Paid",IF(SUMIFS(Transactions!$F$7:$F$989,Transactions!$D$7:$D$989,"Income",Transactions!$C$7:$C$989,"Dues",Transactions!$E$7:$E$989,A36)&gt;0,"Partial","Unpaid")))))</f>
        <v>Waived</v>
      </c>
      <c r="D36" s="39" t="str">
        <f>'Access Codes'!C37</f>
        <v>Coach</v>
      </c>
      <c r="E36" s="41" t="str">
        <f>'Access Codes'!D37</f>
        <v>Active</v>
      </c>
      <c r="F36" s="41"/>
      <c r="G36" s="4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1" t="str">
        <f>'Access Codes'!A38</f>
        <v>Matt Duffy</v>
      </c>
      <c r="B37" s="42">
        <f t="array" ref="B37">IFERROR(INDEX('Player Balances'!$B$7:$B$206,MATCH(A37,'Player Balances'!$A$7:$A$206,0)),"")</f>
        <v>0</v>
      </c>
      <c r="C37" s="41" t="str">
        <f>IF(A37="","",IF(OR(D37="Coach",D37="Treasurer"),"Waived",IF(OR(B37="",B37=0),"",IF(SUMIFS(Transactions!$F$7:$F$989,Transactions!$D$7:$D$989,"Income",Transactions!$C$7:$C$989,"Dues",Transactions!$E$7:$E$989,A37)&gt;=B37,"Paid",IF(SUMIFS(Transactions!$F$7:$F$989,Transactions!$D$7:$D$989,"Income",Transactions!$C$7:$C$989,"Dues",Transactions!$E$7:$E$989,A37)&gt;0,"Partial","Unpaid")))))</f>
        <v>Waived</v>
      </c>
      <c r="D37" s="39" t="str">
        <f>'Access Codes'!C38</f>
        <v>Coach</v>
      </c>
      <c r="E37" s="41" t="str">
        <f>'Access Codes'!D38</f>
        <v>Active</v>
      </c>
      <c r="F37" s="41"/>
      <c r="G37" s="4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1" t="str">
        <f>'Access Codes'!A39</f>
        <v>Ryan Birchard</v>
      </c>
      <c r="B38" s="42">
        <f t="array" ref="B38">IFERROR(INDEX('Player Balances'!$B$7:$B$206,MATCH(A38,'Player Balances'!$A$7:$A$206,0)),"")</f>
        <v>0</v>
      </c>
      <c r="C38" s="41" t="str">
        <f>IF(A38="","",IF(OR(D38="Coach",D38="Treasurer"),"Waived",IF(OR(B38="",B38=0),"",IF(SUMIFS(Transactions!$F$7:$F$989,Transactions!$D$7:$D$989,"Income",Transactions!$C$7:$C$989,"Dues",Transactions!$E$7:$E$989,A38)&gt;=B38,"Paid",IF(SUMIFS(Transactions!$F$7:$F$989,Transactions!$D$7:$D$989,"Income",Transactions!$C$7:$C$989,"Dues",Transactions!$E$7:$E$989,A38)&gt;0,"Partial","Unpaid")))))</f>
        <v>Waived</v>
      </c>
      <c r="D38" s="39" t="str">
        <f>'Access Codes'!C39</f>
        <v>Coach</v>
      </c>
      <c r="E38" s="41" t="str">
        <f>'Access Codes'!D39</f>
        <v>Active</v>
      </c>
      <c r="F38" s="41"/>
      <c r="G38" s="4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1" t="str">
        <f>'Access Codes'!A40</f>
        <v>Nick Blair</v>
      </c>
      <c r="B39" s="42">
        <f t="array" ref="B39">IFERROR(INDEX('Player Balances'!$B$7:$B$206,MATCH(A39,'Player Balances'!$A$7:$A$206,0)),"")</f>
        <v>0</v>
      </c>
      <c r="C39" s="41" t="str">
        <f>IF(A39="","",IF(OR(D39="Coach",D39="Treasurer"),"Waived",IF(OR(B39="",B39=0),"",IF(SUMIFS(Transactions!$F$7:$F$989,Transactions!$D$7:$D$989,"Income",Transactions!$C$7:$C$989,"Dues",Transactions!$E$7:$E$989,A39)&gt;=B39,"Paid",IF(SUMIFS(Transactions!$F$7:$F$989,Transactions!$D$7:$D$989,"Income",Transactions!$C$7:$C$989,"Dues",Transactions!$E$7:$E$989,A39)&gt;0,"Partial","Unpaid")))))</f>
        <v/>
      </c>
      <c r="D39" s="39" t="str">
        <f>'Access Codes'!C40</f>
        <v>Support</v>
      </c>
      <c r="E39" s="41" t="str">
        <f>'Access Codes'!D40</f>
        <v>Active</v>
      </c>
      <c r="F39" s="41"/>
      <c r="G39" s="4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1" t="str">
        <f>'Access Codes'!A41</f>
        <v>Lily Nguyen</v>
      </c>
      <c r="B40" s="42">
        <f t="array" ref="B40">IFERROR(INDEX('Player Balances'!$B$7:$B$206,MATCH(A40,'Player Balances'!$A$7:$A$206,0)),"")</f>
        <v>0</v>
      </c>
      <c r="C40" s="41" t="str">
        <f>IF(A40="","",IF(OR(D40="Coach",D40="Treasurer"),"Waived",IF(OR(B40="",B40=0),"",IF(SUMIFS(Transactions!$F$7:$F$989,Transactions!$D$7:$D$989,"Income",Transactions!$C$7:$C$989,"Dues",Transactions!$E$7:$E$989,A40)&gt;=B40,"Paid",IF(SUMIFS(Transactions!$F$7:$F$989,Transactions!$D$7:$D$989,"Income",Transactions!$C$7:$C$989,"Dues",Transactions!$E$7:$E$989,A40)&gt;0,"Partial","Unpaid")))))</f>
        <v/>
      </c>
      <c r="D40" s="39" t="str">
        <f>'Access Codes'!C41</f>
        <v>Support</v>
      </c>
      <c r="E40" s="41" t="str">
        <f>'Access Codes'!D41</f>
        <v>Active</v>
      </c>
      <c r="F40" s="41"/>
      <c r="G40" s="41" t="s">
        <v>112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1" t="str">
        <f>'Access Codes'!A42</f>
        <v>Griff Soren</v>
      </c>
      <c r="B41" s="42">
        <f t="array" ref="B41">IFERROR(INDEX('Player Balances'!$B$7:$B$206,MATCH(A41,'Player Balances'!$A$7:$A$206,0)),"")</f>
        <v>0</v>
      </c>
      <c r="C41" s="41" t="str">
        <f>IF(A41="","",IF(OR(D41="Coach",D41="Treasurer"),"Waived",IF(OR(B41="",B41=0),"",IF(SUMIFS(Transactions!$F$7:$F$989,Transactions!$D$7:$D$989,"Income",Transactions!$C$7:$C$989,"Dues",Transactions!$E$7:$E$989,A41)&gt;=B41,"Paid",IF(SUMIFS(Transactions!$F$7:$F$989,Transactions!$D$7:$D$989,"Income",Transactions!$C$7:$C$989,"Dues",Transactions!$E$7:$E$989,A41)&gt;0,"Partial","Unpaid")))))</f>
        <v/>
      </c>
      <c r="D41" s="39" t="str">
        <f>'Access Codes'!C42</f>
        <v>Support</v>
      </c>
      <c r="E41" s="41" t="str">
        <f>'Access Codes'!D42</f>
        <v>Active</v>
      </c>
      <c r="F41" s="41"/>
      <c r="G41" s="41" t="s">
        <v>116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1" t="str">
        <f>'Access Codes'!A43</f>
        <v>Griff Alice</v>
      </c>
      <c r="B42" s="42">
        <f t="array" ref="B42">IFERROR(INDEX('Player Balances'!$B$7:$B$206,MATCH(A42,'Player Balances'!$A$7:$A$206,0)),"")</f>
        <v>0</v>
      </c>
      <c r="C42" s="41" t="str">
        <f>IF(A42="","",IF(OR(D42="Coach",D42="Treasurer"),"Waived",IF(OR(B42="",B42=0),"",IF(SUMIFS(Transactions!$F$7:$F$989,Transactions!$D$7:$D$989,"Income",Transactions!$C$7:$C$989,"Dues",Transactions!$E$7:$E$989,A42)&gt;=B42,"Paid",IF(SUMIFS(Transactions!$F$7:$F$989,Transactions!$D$7:$D$989,"Income",Transactions!$C$7:$C$989,"Dues",Transactions!$E$7:$E$989,A42)&gt;0,"Partial","Unpaid")))))</f>
        <v/>
      </c>
      <c r="D42" s="39" t="str">
        <f>'Access Codes'!C43</f>
        <v>Support</v>
      </c>
      <c r="E42" s="41" t="str">
        <f>'Access Codes'!D43</f>
        <v>Active</v>
      </c>
      <c r="F42" s="41"/>
      <c r="G42" s="41" t="s">
        <v>116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1"/>
      <c r="B43" s="42"/>
      <c r="C43" s="41"/>
      <c r="D43" s="41"/>
      <c r="E43" s="41"/>
      <c r="F43" s="41"/>
      <c r="G43" s="4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1"/>
      <c r="B44" s="42"/>
      <c r="C44" s="41"/>
      <c r="D44" s="41"/>
      <c r="E44" s="41"/>
      <c r="F44" s="41"/>
      <c r="G44" s="41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1"/>
      <c r="B45" s="42"/>
      <c r="C45" s="41"/>
      <c r="D45" s="41"/>
      <c r="E45" s="41"/>
      <c r="F45" s="41"/>
      <c r="G45" s="41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1"/>
      <c r="B46" s="42"/>
      <c r="C46" s="41"/>
      <c r="D46" s="41"/>
      <c r="E46" s="41"/>
      <c r="F46" s="41"/>
      <c r="G46" s="41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1"/>
      <c r="B47" s="42"/>
      <c r="C47" s="41"/>
      <c r="D47" s="41"/>
      <c r="E47" s="41"/>
      <c r="F47" s="41"/>
      <c r="G47" s="41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1"/>
      <c r="B48" s="42"/>
      <c r="C48" s="41"/>
      <c r="D48" s="41"/>
      <c r="E48" s="41"/>
      <c r="F48" s="41"/>
      <c r="G48" s="41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1"/>
      <c r="B49" s="42"/>
      <c r="C49" s="41"/>
      <c r="D49" s="41"/>
      <c r="E49" s="41"/>
      <c r="F49" s="41"/>
      <c r="G49" s="41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1"/>
      <c r="B50" s="42"/>
      <c r="C50" s="41"/>
      <c r="D50" s="41"/>
      <c r="E50" s="41"/>
      <c r="F50" s="41"/>
      <c r="G50" s="41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1"/>
      <c r="B51" s="42"/>
      <c r="C51" s="41"/>
      <c r="D51" s="41"/>
      <c r="E51" s="41"/>
      <c r="F51" s="41"/>
      <c r="G51" s="41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1"/>
      <c r="B52" s="42"/>
      <c r="C52" s="41"/>
      <c r="D52" s="41"/>
      <c r="E52" s="41"/>
      <c r="F52" s="41"/>
      <c r="G52" s="41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1"/>
      <c r="B53" s="42"/>
      <c r="C53" s="41"/>
      <c r="D53" s="41"/>
      <c r="E53" s="41"/>
      <c r="F53" s="41"/>
      <c r="G53" s="41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1"/>
      <c r="B54" s="42"/>
      <c r="C54" s="41"/>
      <c r="D54" s="41"/>
      <c r="E54" s="41"/>
      <c r="F54" s="41"/>
      <c r="G54" s="41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1"/>
      <c r="B55" s="42"/>
      <c r="C55" s="41"/>
      <c r="D55" s="41"/>
      <c r="E55" s="41"/>
      <c r="F55" s="41"/>
      <c r="G55" s="41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1"/>
      <c r="B56" s="42"/>
      <c r="C56" s="41"/>
      <c r="D56" s="41"/>
      <c r="E56" s="41"/>
      <c r="F56" s="41"/>
      <c r="G56" s="41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1"/>
      <c r="B57" s="42"/>
      <c r="C57" s="41"/>
      <c r="D57" s="41"/>
      <c r="E57" s="41"/>
      <c r="F57" s="41"/>
      <c r="G57" s="41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1"/>
      <c r="B58" s="42"/>
      <c r="C58" s="41"/>
      <c r="D58" s="41"/>
      <c r="E58" s="41"/>
      <c r="F58" s="41"/>
      <c r="G58" s="41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1"/>
      <c r="B59" s="42"/>
      <c r="C59" s="41"/>
      <c r="D59" s="41"/>
      <c r="E59" s="41"/>
      <c r="F59" s="41"/>
      <c r="G59" s="41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1"/>
      <c r="B60" s="42"/>
      <c r="C60" s="41"/>
      <c r="D60" s="41"/>
      <c r="E60" s="41"/>
      <c r="F60" s="41"/>
      <c r="G60" s="41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1"/>
      <c r="B61" s="42"/>
      <c r="C61" s="41"/>
      <c r="D61" s="41"/>
      <c r="E61" s="41"/>
      <c r="F61" s="41"/>
      <c r="G61" s="41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1"/>
      <c r="B62" s="42"/>
      <c r="C62" s="41"/>
      <c r="D62" s="41"/>
      <c r="E62" s="41"/>
      <c r="F62" s="41"/>
      <c r="G62" s="41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1"/>
      <c r="B63" s="42"/>
      <c r="C63" s="41"/>
      <c r="D63" s="41"/>
      <c r="E63" s="41"/>
      <c r="F63" s="41"/>
      <c r="G63" s="41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1"/>
      <c r="B64" s="42"/>
      <c r="C64" s="41"/>
      <c r="D64" s="41"/>
      <c r="E64" s="41"/>
      <c r="F64" s="41"/>
      <c r="G64" s="41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1"/>
      <c r="B65" s="42"/>
      <c r="C65" s="41"/>
      <c r="D65" s="41"/>
      <c r="E65" s="41"/>
      <c r="F65" s="41"/>
      <c r="G65" s="41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1"/>
      <c r="B66" s="42"/>
      <c r="C66" s="41"/>
      <c r="D66" s="41"/>
      <c r="E66" s="41"/>
      <c r="F66" s="41"/>
      <c r="G66" s="41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1"/>
      <c r="B67" s="42"/>
      <c r="C67" s="41"/>
      <c r="D67" s="41"/>
      <c r="E67" s="41"/>
      <c r="F67" s="41"/>
      <c r="G67" s="41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1"/>
      <c r="B68" s="42"/>
      <c r="C68" s="41"/>
      <c r="D68" s="41"/>
      <c r="E68" s="41"/>
      <c r="F68" s="41"/>
      <c r="G68" s="41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1"/>
      <c r="B69" s="42"/>
      <c r="C69" s="41"/>
      <c r="D69" s="41"/>
      <c r="E69" s="41"/>
      <c r="F69" s="41"/>
      <c r="G69" s="41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1"/>
      <c r="B70" s="42"/>
      <c r="C70" s="41"/>
      <c r="D70" s="41"/>
      <c r="E70" s="41"/>
      <c r="F70" s="41"/>
      <c r="G70" s="41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1"/>
      <c r="B71" s="42"/>
      <c r="C71" s="41"/>
      <c r="D71" s="41"/>
      <c r="E71" s="41"/>
      <c r="F71" s="41"/>
      <c r="G71" s="41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1"/>
      <c r="B72" s="42"/>
      <c r="C72" s="41"/>
      <c r="D72" s="41"/>
      <c r="E72" s="41"/>
      <c r="F72" s="41"/>
      <c r="G72" s="41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1"/>
      <c r="B73" s="42"/>
      <c r="C73" s="41"/>
      <c r="D73" s="41"/>
      <c r="E73" s="41"/>
      <c r="F73" s="41"/>
      <c r="G73" s="41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1"/>
      <c r="B74" s="42"/>
      <c r="C74" s="41"/>
      <c r="D74" s="41"/>
      <c r="E74" s="41"/>
      <c r="F74" s="41"/>
      <c r="G74" s="41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1"/>
      <c r="B75" s="42"/>
      <c r="C75" s="41"/>
      <c r="D75" s="41"/>
      <c r="E75" s="41"/>
      <c r="F75" s="41"/>
      <c r="G75" s="41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1"/>
      <c r="B76" s="42"/>
      <c r="C76" s="41"/>
      <c r="D76" s="41"/>
      <c r="E76" s="41"/>
      <c r="F76" s="41"/>
      <c r="G76" s="41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1"/>
      <c r="B77" s="42"/>
      <c r="C77" s="41"/>
      <c r="D77" s="41"/>
      <c r="E77" s="41"/>
      <c r="F77" s="41"/>
      <c r="G77" s="41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1"/>
      <c r="B78" s="42"/>
      <c r="C78" s="41"/>
      <c r="D78" s="41"/>
      <c r="E78" s="41"/>
      <c r="F78" s="41"/>
      <c r="G78" s="41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1"/>
      <c r="B79" s="42"/>
      <c r="C79" s="41"/>
      <c r="D79" s="41"/>
      <c r="E79" s="41"/>
      <c r="F79" s="41"/>
      <c r="G79" s="41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1"/>
      <c r="B80" s="42"/>
      <c r="C80" s="41"/>
      <c r="D80" s="41"/>
      <c r="E80" s="41"/>
      <c r="F80" s="41"/>
      <c r="G80" s="41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1"/>
      <c r="B81" s="42"/>
      <c r="C81" s="41"/>
      <c r="D81" s="41"/>
      <c r="E81" s="41"/>
      <c r="F81" s="41"/>
      <c r="G81" s="41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1"/>
      <c r="B82" s="42"/>
      <c r="C82" s="41"/>
      <c r="D82" s="41"/>
      <c r="E82" s="41"/>
      <c r="F82" s="41"/>
      <c r="G82" s="41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1"/>
      <c r="B83" s="42"/>
      <c r="C83" s="41"/>
      <c r="D83" s="41"/>
      <c r="E83" s="41"/>
      <c r="F83" s="41"/>
      <c r="G83" s="41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1"/>
      <c r="B84" s="42"/>
      <c r="C84" s="41"/>
      <c r="D84" s="41"/>
      <c r="E84" s="41"/>
      <c r="F84" s="41"/>
      <c r="G84" s="41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1"/>
      <c r="B85" s="42"/>
      <c r="C85" s="41"/>
      <c r="D85" s="41"/>
      <c r="E85" s="41"/>
      <c r="F85" s="41"/>
      <c r="G85" s="41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1"/>
      <c r="B86" s="42"/>
      <c r="C86" s="41"/>
      <c r="D86" s="41"/>
      <c r="E86" s="41"/>
      <c r="F86" s="41"/>
      <c r="G86" s="41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1"/>
      <c r="B87" s="42"/>
      <c r="C87" s="41"/>
      <c r="D87" s="41"/>
      <c r="E87" s="41"/>
      <c r="F87" s="41"/>
      <c r="G87" s="41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1"/>
      <c r="B88" s="42"/>
      <c r="C88" s="41"/>
      <c r="D88" s="41"/>
      <c r="E88" s="41"/>
      <c r="F88" s="41"/>
      <c r="G88" s="41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1"/>
      <c r="B89" s="42"/>
      <c r="C89" s="41"/>
      <c r="D89" s="41"/>
      <c r="E89" s="41"/>
      <c r="F89" s="41"/>
      <c r="G89" s="41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1"/>
      <c r="B90" s="42"/>
      <c r="C90" s="41"/>
      <c r="D90" s="41"/>
      <c r="E90" s="41"/>
      <c r="F90" s="41"/>
      <c r="G90" s="41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1"/>
      <c r="B91" s="42"/>
      <c r="C91" s="41"/>
      <c r="D91" s="41"/>
      <c r="E91" s="41"/>
      <c r="F91" s="41"/>
      <c r="G91" s="41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1"/>
      <c r="B92" s="42"/>
      <c r="C92" s="41"/>
      <c r="D92" s="41"/>
      <c r="E92" s="41"/>
      <c r="F92" s="41"/>
      <c r="G92" s="41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1"/>
      <c r="B93" s="42"/>
      <c r="C93" s="41"/>
      <c r="D93" s="41"/>
      <c r="E93" s="41"/>
      <c r="F93" s="41"/>
      <c r="G93" s="41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1"/>
      <c r="B94" s="42"/>
      <c r="C94" s="41"/>
      <c r="D94" s="41"/>
      <c r="E94" s="41"/>
      <c r="F94" s="41"/>
      <c r="G94" s="41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1"/>
      <c r="B95" s="42"/>
      <c r="C95" s="41"/>
      <c r="D95" s="41"/>
      <c r="E95" s="41"/>
      <c r="F95" s="41"/>
      <c r="G95" s="41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1"/>
      <c r="B96" s="42"/>
      <c r="C96" s="41"/>
      <c r="D96" s="41"/>
      <c r="E96" s="41"/>
      <c r="F96" s="41"/>
      <c r="G96" s="41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1"/>
      <c r="B97" s="42"/>
      <c r="C97" s="41"/>
      <c r="D97" s="41"/>
      <c r="E97" s="41"/>
      <c r="F97" s="41"/>
      <c r="G97" s="41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1"/>
      <c r="B98" s="42"/>
      <c r="C98" s="41"/>
      <c r="D98" s="41"/>
      <c r="E98" s="41"/>
      <c r="F98" s="41"/>
      <c r="G98" s="41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1"/>
      <c r="B99" s="42"/>
      <c r="C99" s="41"/>
      <c r="D99" s="41"/>
      <c r="E99" s="41"/>
      <c r="F99" s="41"/>
      <c r="G99" s="41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1"/>
      <c r="B100" s="42"/>
      <c r="C100" s="41"/>
      <c r="D100" s="41"/>
      <c r="E100" s="41"/>
      <c r="F100" s="41"/>
      <c r="G100" s="41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1"/>
      <c r="B101" s="42"/>
      <c r="C101" s="41"/>
      <c r="D101" s="41"/>
      <c r="E101" s="41"/>
      <c r="F101" s="41"/>
      <c r="G101" s="41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1"/>
      <c r="B102" s="42"/>
      <c r="C102" s="41"/>
      <c r="D102" s="41"/>
      <c r="E102" s="41"/>
      <c r="F102" s="41"/>
      <c r="G102" s="41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1"/>
      <c r="B103" s="42"/>
      <c r="C103" s="41"/>
      <c r="D103" s="41"/>
      <c r="E103" s="41"/>
      <c r="F103" s="41"/>
      <c r="G103" s="41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1"/>
      <c r="B104" s="42"/>
      <c r="C104" s="41"/>
      <c r="D104" s="41"/>
      <c r="E104" s="41"/>
      <c r="F104" s="41"/>
      <c r="G104" s="41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1"/>
      <c r="B105" s="42"/>
      <c r="C105" s="41"/>
      <c r="D105" s="41"/>
      <c r="E105" s="41"/>
      <c r="F105" s="41"/>
      <c r="G105" s="41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1"/>
      <c r="B106" s="42"/>
      <c r="C106" s="41"/>
      <c r="D106" s="41"/>
      <c r="E106" s="41"/>
      <c r="F106" s="41"/>
      <c r="G106" s="41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1"/>
      <c r="B107" s="42"/>
      <c r="C107" s="41"/>
      <c r="D107" s="41"/>
      <c r="E107" s="41"/>
      <c r="F107" s="41"/>
      <c r="G107" s="41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1"/>
      <c r="B108" s="42"/>
      <c r="C108" s="41"/>
      <c r="D108" s="41"/>
      <c r="E108" s="41"/>
      <c r="F108" s="41"/>
      <c r="G108" s="41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1"/>
      <c r="B109" s="42"/>
      <c r="C109" s="41"/>
      <c r="D109" s="41"/>
      <c r="E109" s="41"/>
      <c r="F109" s="41"/>
      <c r="G109" s="41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1"/>
      <c r="B110" s="42"/>
      <c r="C110" s="41"/>
      <c r="D110" s="41"/>
      <c r="E110" s="41"/>
      <c r="F110" s="41"/>
      <c r="G110" s="41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1"/>
      <c r="B111" s="42"/>
      <c r="C111" s="41"/>
      <c r="D111" s="41"/>
      <c r="E111" s="41"/>
      <c r="F111" s="41"/>
      <c r="G111" s="41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1"/>
      <c r="B112" s="42"/>
      <c r="C112" s="41"/>
      <c r="D112" s="41"/>
      <c r="E112" s="41"/>
      <c r="F112" s="41"/>
      <c r="G112" s="41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1"/>
      <c r="B113" s="42"/>
      <c r="C113" s="41"/>
      <c r="D113" s="41"/>
      <c r="E113" s="41"/>
      <c r="F113" s="41"/>
      <c r="G113" s="41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1"/>
      <c r="B114" s="42"/>
      <c r="C114" s="41"/>
      <c r="D114" s="41"/>
      <c r="E114" s="41"/>
      <c r="F114" s="41"/>
      <c r="G114" s="41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1"/>
      <c r="B115" s="42"/>
      <c r="C115" s="41"/>
      <c r="D115" s="41"/>
      <c r="E115" s="41"/>
      <c r="F115" s="41"/>
      <c r="G115" s="41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1"/>
      <c r="B116" s="42"/>
      <c r="C116" s="41"/>
      <c r="D116" s="41"/>
      <c r="E116" s="41"/>
      <c r="F116" s="41"/>
      <c r="G116" s="41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1"/>
      <c r="B117" s="42"/>
      <c r="C117" s="41"/>
      <c r="D117" s="41"/>
      <c r="E117" s="41"/>
      <c r="F117" s="41"/>
      <c r="G117" s="41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1"/>
      <c r="B118" s="42"/>
      <c r="C118" s="41"/>
      <c r="D118" s="41"/>
      <c r="E118" s="41"/>
      <c r="F118" s="41"/>
      <c r="G118" s="41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1"/>
      <c r="B119" s="42"/>
      <c r="C119" s="41"/>
      <c r="D119" s="41"/>
      <c r="E119" s="41"/>
      <c r="F119" s="41"/>
      <c r="G119" s="41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1"/>
      <c r="B120" s="42"/>
      <c r="C120" s="41"/>
      <c r="D120" s="41"/>
      <c r="E120" s="41"/>
      <c r="F120" s="41"/>
      <c r="G120" s="41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1"/>
      <c r="B121" s="42"/>
      <c r="C121" s="41"/>
      <c r="D121" s="41"/>
      <c r="E121" s="41"/>
      <c r="F121" s="41"/>
      <c r="G121" s="41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1"/>
      <c r="B122" s="42"/>
      <c r="C122" s="41"/>
      <c r="D122" s="41"/>
      <c r="E122" s="41"/>
      <c r="F122" s="41"/>
      <c r="G122" s="41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1"/>
      <c r="B123" s="42"/>
      <c r="C123" s="41"/>
      <c r="D123" s="41"/>
      <c r="E123" s="41"/>
      <c r="F123" s="41"/>
      <c r="G123" s="41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1"/>
      <c r="B124" s="42"/>
      <c r="C124" s="41"/>
      <c r="D124" s="41"/>
      <c r="E124" s="41"/>
      <c r="F124" s="41"/>
      <c r="G124" s="41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1"/>
      <c r="B125" s="42"/>
      <c r="C125" s="41"/>
      <c r="D125" s="41"/>
      <c r="E125" s="41"/>
      <c r="F125" s="41"/>
      <c r="G125" s="41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1"/>
      <c r="B126" s="42"/>
      <c r="C126" s="41"/>
      <c r="D126" s="41"/>
      <c r="E126" s="41"/>
      <c r="F126" s="41"/>
      <c r="G126" s="41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1"/>
      <c r="B127" s="42"/>
      <c r="C127" s="41"/>
      <c r="D127" s="41"/>
      <c r="E127" s="41"/>
      <c r="F127" s="41"/>
      <c r="G127" s="41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1"/>
      <c r="B128" s="42"/>
      <c r="C128" s="41"/>
      <c r="D128" s="41"/>
      <c r="E128" s="41"/>
      <c r="F128" s="41"/>
      <c r="G128" s="41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1"/>
      <c r="B129" s="42"/>
      <c r="C129" s="41"/>
      <c r="D129" s="41"/>
      <c r="E129" s="41"/>
      <c r="F129" s="41"/>
      <c r="G129" s="41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1"/>
      <c r="B130" s="42"/>
      <c r="C130" s="41"/>
      <c r="D130" s="41"/>
      <c r="E130" s="41"/>
      <c r="F130" s="41"/>
      <c r="G130" s="41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1"/>
      <c r="B131" s="42"/>
      <c r="C131" s="41"/>
      <c r="D131" s="41"/>
      <c r="E131" s="41"/>
      <c r="F131" s="41"/>
      <c r="G131" s="41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1"/>
      <c r="B132" s="42"/>
      <c r="C132" s="41"/>
      <c r="D132" s="41"/>
      <c r="E132" s="41"/>
      <c r="F132" s="41"/>
      <c r="G132" s="41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1"/>
      <c r="B133" s="42"/>
      <c r="C133" s="41"/>
      <c r="D133" s="41"/>
      <c r="E133" s="41"/>
      <c r="F133" s="41"/>
      <c r="G133" s="41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1"/>
      <c r="B134" s="42"/>
      <c r="C134" s="41"/>
      <c r="D134" s="41"/>
      <c r="E134" s="41"/>
      <c r="F134" s="41"/>
      <c r="G134" s="41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1"/>
      <c r="B135" s="42"/>
      <c r="C135" s="41"/>
      <c r="D135" s="41"/>
      <c r="E135" s="41"/>
      <c r="F135" s="41"/>
      <c r="G135" s="41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1"/>
      <c r="B136" s="42"/>
      <c r="C136" s="41"/>
      <c r="D136" s="41"/>
      <c r="E136" s="41"/>
      <c r="F136" s="41"/>
      <c r="G136" s="41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1"/>
      <c r="B137" s="42"/>
      <c r="C137" s="41"/>
      <c r="D137" s="41"/>
      <c r="E137" s="41"/>
      <c r="F137" s="41"/>
      <c r="G137" s="41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1"/>
      <c r="B138" s="42"/>
      <c r="C138" s="41"/>
      <c r="D138" s="41"/>
      <c r="E138" s="41"/>
      <c r="F138" s="41"/>
      <c r="G138" s="41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1"/>
      <c r="B139" s="42"/>
      <c r="C139" s="41"/>
      <c r="D139" s="41"/>
      <c r="E139" s="41"/>
      <c r="F139" s="41"/>
      <c r="G139" s="41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1"/>
      <c r="B140" s="42"/>
      <c r="C140" s="41"/>
      <c r="D140" s="41"/>
      <c r="E140" s="41"/>
      <c r="F140" s="41"/>
      <c r="G140" s="41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1"/>
      <c r="B141" s="42"/>
      <c r="C141" s="41"/>
      <c r="D141" s="41"/>
      <c r="E141" s="41"/>
      <c r="F141" s="41"/>
      <c r="G141" s="41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1"/>
      <c r="B142" s="42"/>
      <c r="C142" s="41"/>
      <c r="D142" s="41"/>
      <c r="E142" s="41"/>
      <c r="F142" s="41"/>
      <c r="G142" s="41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1"/>
      <c r="B143" s="42"/>
      <c r="C143" s="41"/>
      <c r="D143" s="41"/>
      <c r="E143" s="41"/>
      <c r="F143" s="41"/>
      <c r="G143" s="41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1"/>
      <c r="B144" s="42"/>
      <c r="C144" s="41"/>
      <c r="D144" s="41"/>
      <c r="E144" s="41"/>
      <c r="F144" s="41"/>
      <c r="G144" s="41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1"/>
      <c r="B145" s="42"/>
      <c r="C145" s="41"/>
      <c r="D145" s="41"/>
      <c r="E145" s="41"/>
      <c r="F145" s="41"/>
      <c r="G145" s="41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1"/>
      <c r="B146" s="42"/>
      <c r="C146" s="41"/>
      <c r="D146" s="41"/>
      <c r="E146" s="41"/>
      <c r="F146" s="41"/>
      <c r="G146" s="41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1"/>
      <c r="B147" s="42"/>
      <c r="C147" s="41"/>
      <c r="D147" s="41"/>
      <c r="E147" s="41"/>
      <c r="F147" s="41"/>
      <c r="G147" s="41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1"/>
      <c r="B148" s="42"/>
      <c r="C148" s="41"/>
      <c r="D148" s="41"/>
      <c r="E148" s="41"/>
      <c r="F148" s="41"/>
      <c r="G148" s="41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1"/>
      <c r="B149" s="42"/>
      <c r="C149" s="41"/>
      <c r="D149" s="41"/>
      <c r="E149" s="41"/>
      <c r="F149" s="41"/>
      <c r="G149" s="41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1"/>
      <c r="B150" s="42"/>
      <c r="C150" s="41"/>
      <c r="D150" s="41"/>
      <c r="E150" s="41"/>
      <c r="F150" s="41"/>
      <c r="G150" s="41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1"/>
      <c r="B151" s="42"/>
      <c r="C151" s="41"/>
      <c r="D151" s="41"/>
      <c r="E151" s="41"/>
      <c r="F151" s="41"/>
      <c r="G151" s="41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1"/>
      <c r="B152" s="42"/>
      <c r="C152" s="41"/>
      <c r="D152" s="41"/>
      <c r="E152" s="41"/>
      <c r="F152" s="41"/>
      <c r="G152" s="41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1"/>
      <c r="B153" s="42"/>
      <c r="C153" s="41"/>
      <c r="D153" s="41"/>
      <c r="E153" s="41"/>
      <c r="F153" s="41"/>
      <c r="G153" s="41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1"/>
      <c r="B154" s="42"/>
      <c r="C154" s="41"/>
      <c r="D154" s="41"/>
      <c r="E154" s="41"/>
      <c r="F154" s="41"/>
      <c r="G154" s="41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1"/>
      <c r="B155" s="42"/>
      <c r="C155" s="41"/>
      <c r="D155" s="41"/>
      <c r="E155" s="41"/>
      <c r="F155" s="41"/>
      <c r="G155" s="41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1"/>
      <c r="B156" s="42"/>
      <c r="C156" s="41"/>
      <c r="D156" s="41"/>
      <c r="E156" s="41"/>
      <c r="F156" s="41"/>
      <c r="G156" s="41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1"/>
      <c r="B157" s="42"/>
      <c r="C157" s="41"/>
      <c r="D157" s="41"/>
      <c r="E157" s="41"/>
      <c r="F157" s="41"/>
      <c r="G157" s="41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1"/>
      <c r="B158" s="42"/>
      <c r="C158" s="41"/>
      <c r="D158" s="41"/>
      <c r="E158" s="41"/>
      <c r="F158" s="41"/>
      <c r="G158" s="41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1"/>
      <c r="B159" s="42"/>
      <c r="C159" s="41"/>
      <c r="D159" s="41"/>
      <c r="E159" s="41"/>
      <c r="F159" s="41"/>
      <c r="G159" s="41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1"/>
      <c r="B160" s="42"/>
      <c r="C160" s="41"/>
      <c r="D160" s="41"/>
      <c r="E160" s="41"/>
      <c r="F160" s="41"/>
      <c r="G160" s="41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1"/>
      <c r="B161" s="42"/>
      <c r="C161" s="41"/>
      <c r="D161" s="41"/>
      <c r="E161" s="41"/>
      <c r="F161" s="41"/>
      <c r="G161" s="41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1"/>
      <c r="B162" s="42"/>
      <c r="C162" s="41"/>
      <c r="D162" s="41"/>
      <c r="E162" s="41"/>
      <c r="F162" s="41"/>
      <c r="G162" s="41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1"/>
      <c r="B163" s="42"/>
      <c r="C163" s="41"/>
      <c r="D163" s="41"/>
      <c r="E163" s="41"/>
      <c r="F163" s="41"/>
      <c r="G163" s="41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1"/>
      <c r="B164" s="42"/>
      <c r="C164" s="41"/>
      <c r="D164" s="41"/>
      <c r="E164" s="41"/>
      <c r="F164" s="41"/>
      <c r="G164" s="41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1"/>
      <c r="B165" s="42"/>
      <c r="C165" s="41"/>
      <c r="D165" s="41"/>
      <c r="E165" s="41"/>
      <c r="F165" s="41"/>
      <c r="G165" s="41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1"/>
      <c r="B166" s="42"/>
      <c r="C166" s="41"/>
      <c r="D166" s="41"/>
      <c r="E166" s="41"/>
      <c r="F166" s="41"/>
      <c r="G166" s="41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1"/>
      <c r="B167" s="42"/>
      <c r="C167" s="41"/>
      <c r="D167" s="41"/>
      <c r="E167" s="41"/>
      <c r="F167" s="41"/>
      <c r="G167" s="41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1"/>
      <c r="B168" s="42"/>
      <c r="C168" s="41"/>
      <c r="D168" s="41"/>
      <c r="E168" s="41"/>
      <c r="F168" s="41"/>
      <c r="G168" s="41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1"/>
      <c r="B169" s="42"/>
      <c r="C169" s="41"/>
      <c r="D169" s="41"/>
      <c r="E169" s="41"/>
      <c r="F169" s="41"/>
      <c r="G169" s="41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1"/>
      <c r="B170" s="42"/>
      <c r="C170" s="41"/>
      <c r="D170" s="41"/>
      <c r="E170" s="41"/>
      <c r="F170" s="41"/>
      <c r="G170" s="41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1"/>
      <c r="B171" s="42"/>
      <c r="C171" s="41"/>
      <c r="D171" s="41"/>
      <c r="E171" s="41"/>
      <c r="F171" s="41"/>
      <c r="G171" s="41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1"/>
      <c r="B172" s="42"/>
      <c r="C172" s="41"/>
      <c r="D172" s="41"/>
      <c r="E172" s="41"/>
      <c r="F172" s="41"/>
      <c r="G172" s="41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1"/>
      <c r="B173" s="42"/>
      <c r="C173" s="41"/>
      <c r="D173" s="41"/>
      <c r="E173" s="41"/>
      <c r="F173" s="41"/>
      <c r="G173" s="41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1"/>
      <c r="B174" s="42"/>
      <c r="C174" s="41"/>
      <c r="D174" s="41"/>
      <c r="E174" s="41"/>
      <c r="F174" s="41"/>
      <c r="G174" s="41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1"/>
      <c r="B175" s="42"/>
      <c r="C175" s="41"/>
      <c r="D175" s="41"/>
      <c r="E175" s="41"/>
      <c r="F175" s="41"/>
      <c r="G175" s="41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1"/>
      <c r="B176" s="42"/>
      <c r="C176" s="41"/>
      <c r="D176" s="41"/>
      <c r="E176" s="41"/>
      <c r="F176" s="41"/>
      <c r="G176" s="41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1"/>
      <c r="B177" s="42"/>
      <c r="C177" s="41"/>
      <c r="D177" s="41"/>
      <c r="E177" s="41"/>
      <c r="F177" s="41"/>
      <c r="G177" s="41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1"/>
      <c r="B178" s="42"/>
      <c r="C178" s="41"/>
      <c r="D178" s="41"/>
      <c r="E178" s="41"/>
      <c r="F178" s="41"/>
      <c r="G178" s="41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1"/>
      <c r="B179" s="42"/>
      <c r="C179" s="41"/>
      <c r="D179" s="41"/>
      <c r="E179" s="41"/>
      <c r="F179" s="41"/>
      <c r="G179" s="41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1"/>
      <c r="B180" s="42"/>
      <c r="C180" s="41"/>
      <c r="D180" s="41"/>
      <c r="E180" s="41"/>
      <c r="F180" s="41"/>
      <c r="G180" s="41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1"/>
      <c r="B181" s="42"/>
      <c r="C181" s="41"/>
      <c r="D181" s="41"/>
      <c r="E181" s="41"/>
      <c r="F181" s="41"/>
      <c r="G181" s="41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1"/>
      <c r="B182" s="42"/>
      <c r="C182" s="41"/>
      <c r="D182" s="41"/>
      <c r="E182" s="41"/>
      <c r="F182" s="41"/>
      <c r="G182" s="41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1"/>
      <c r="B183" s="42"/>
      <c r="C183" s="41"/>
      <c r="D183" s="41"/>
      <c r="E183" s="41"/>
      <c r="F183" s="41"/>
      <c r="G183" s="41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1"/>
      <c r="B184" s="42"/>
      <c r="C184" s="41"/>
      <c r="D184" s="41"/>
      <c r="E184" s="41"/>
      <c r="F184" s="41"/>
      <c r="G184" s="41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1"/>
      <c r="B185" s="42"/>
      <c r="C185" s="41"/>
      <c r="D185" s="41"/>
      <c r="E185" s="41"/>
      <c r="F185" s="41"/>
      <c r="G185" s="41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1"/>
      <c r="B186" s="42"/>
      <c r="C186" s="41"/>
      <c r="D186" s="41"/>
      <c r="E186" s="41"/>
      <c r="F186" s="41"/>
      <c r="G186" s="41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1"/>
      <c r="B187" s="42"/>
      <c r="C187" s="41"/>
      <c r="D187" s="41"/>
      <c r="E187" s="41"/>
      <c r="F187" s="41"/>
      <c r="G187" s="41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1"/>
      <c r="B188" s="42"/>
      <c r="C188" s="41"/>
      <c r="D188" s="41"/>
      <c r="E188" s="41"/>
      <c r="F188" s="41"/>
      <c r="G188" s="41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1"/>
      <c r="B189" s="42"/>
      <c r="C189" s="41"/>
      <c r="D189" s="41"/>
      <c r="E189" s="41"/>
      <c r="F189" s="41"/>
      <c r="G189" s="41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1"/>
      <c r="B190" s="42"/>
      <c r="C190" s="41"/>
      <c r="D190" s="41"/>
      <c r="E190" s="41"/>
      <c r="F190" s="41"/>
      <c r="G190" s="41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1"/>
      <c r="B191" s="42"/>
      <c r="C191" s="41"/>
      <c r="D191" s="41"/>
      <c r="E191" s="41"/>
      <c r="F191" s="41"/>
      <c r="G191" s="41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1"/>
      <c r="B192" s="42"/>
      <c r="C192" s="41"/>
      <c r="D192" s="41"/>
      <c r="E192" s="41"/>
      <c r="F192" s="41"/>
      <c r="G192" s="41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1"/>
      <c r="B193" s="42"/>
      <c r="C193" s="41"/>
      <c r="D193" s="41"/>
      <c r="E193" s="41"/>
      <c r="F193" s="41"/>
      <c r="G193" s="41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1"/>
      <c r="B194" s="42"/>
      <c r="C194" s="41"/>
      <c r="D194" s="41"/>
      <c r="E194" s="41"/>
      <c r="F194" s="41"/>
      <c r="G194" s="41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1"/>
      <c r="B195" s="42"/>
      <c r="C195" s="41"/>
      <c r="D195" s="41"/>
      <c r="E195" s="41"/>
      <c r="F195" s="41"/>
      <c r="G195" s="41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1"/>
      <c r="B196" s="42"/>
      <c r="C196" s="41"/>
      <c r="D196" s="41"/>
      <c r="E196" s="41"/>
      <c r="F196" s="41"/>
      <c r="G196" s="41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1"/>
      <c r="B197" s="42"/>
      <c r="C197" s="41"/>
      <c r="D197" s="41"/>
      <c r="E197" s="41"/>
      <c r="F197" s="41"/>
      <c r="G197" s="41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1"/>
      <c r="B198" s="42"/>
      <c r="C198" s="41"/>
      <c r="D198" s="41"/>
      <c r="E198" s="41"/>
      <c r="F198" s="41"/>
      <c r="G198" s="41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1"/>
      <c r="B199" s="42"/>
      <c r="C199" s="41"/>
      <c r="D199" s="41"/>
      <c r="E199" s="41"/>
      <c r="F199" s="41"/>
      <c r="G199" s="41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1"/>
      <c r="B200" s="42"/>
      <c r="C200" s="41"/>
      <c r="D200" s="41"/>
      <c r="E200" s="41"/>
      <c r="F200" s="41"/>
      <c r="G200" s="41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1"/>
      <c r="B201" s="42"/>
      <c r="C201" s="41"/>
      <c r="D201" s="41"/>
      <c r="E201" s="41"/>
      <c r="F201" s="41"/>
      <c r="G201" s="41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1"/>
      <c r="B202" s="42"/>
      <c r="C202" s="41"/>
      <c r="D202" s="41"/>
      <c r="E202" s="41"/>
      <c r="F202" s="41"/>
      <c r="G202" s="41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1"/>
      <c r="B203" s="42"/>
      <c r="C203" s="41"/>
      <c r="D203" s="41"/>
      <c r="E203" s="41"/>
      <c r="F203" s="41"/>
      <c r="G203" s="41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1"/>
      <c r="B204" s="42"/>
      <c r="C204" s="41"/>
      <c r="D204" s="41"/>
      <c r="E204" s="41"/>
      <c r="F204" s="41"/>
      <c r="G204" s="41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4" t="s">
        <v>4</v>
      </c>
      <c r="B4" s="14" t="s">
        <v>5</v>
      </c>
      <c r="C4" s="14" t="s">
        <v>6</v>
      </c>
      <c r="D4" s="14" t="s">
        <v>7</v>
      </c>
      <c r="E4" s="14" t="s">
        <v>8</v>
      </c>
      <c r="F4" s="14" t="s">
        <v>9</v>
      </c>
      <c r="G4" s="14" t="s">
        <v>10</v>
      </c>
      <c r="H4" s="14"/>
      <c r="I4" s="14" t="s">
        <v>11</v>
      </c>
      <c r="J4" s="17" t="s">
        <v>12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5.5" customHeight="1">
      <c r="A5" s="20" t="s">
        <v>22</v>
      </c>
      <c r="B5" s="21" t="s">
        <v>25</v>
      </c>
      <c r="C5" s="20"/>
      <c r="D5" s="20" t="s">
        <v>27</v>
      </c>
      <c r="E5" s="20" t="s">
        <v>28</v>
      </c>
      <c r="F5" s="23">
        <v>850.0</v>
      </c>
      <c r="G5" s="26">
        <f>IFERROR(SUMIFS(Transactions!$F$7:$F$989,Transactions!$G$7:$G$989,A5,Transactions!$D$7:$D$989,"Expense"),0)</f>
        <v>2326</v>
      </c>
      <c r="H5" s="20"/>
      <c r="I5" s="20" t="s">
        <v>29</v>
      </c>
      <c r="J5" s="27" t="s">
        <v>30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20" t="s">
        <v>31</v>
      </c>
      <c r="B6" s="21">
        <v>46199.0</v>
      </c>
      <c r="C6" s="20"/>
      <c r="D6" s="20" t="s">
        <v>32</v>
      </c>
      <c r="E6" s="20" t="s">
        <v>33</v>
      </c>
      <c r="F6" s="23">
        <v>1310.0</v>
      </c>
      <c r="G6" s="26">
        <v>1310.0</v>
      </c>
      <c r="H6" s="20"/>
      <c r="I6" s="20" t="s">
        <v>29</v>
      </c>
      <c r="J6" s="27" t="s">
        <v>30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20" t="s">
        <v>34</v>
      </c>
      <c r="B7" s="21">
        <v>46227.0</v>
      </c>
      <c r="C7" s="20"/>
      <c r="D7" s="20" t="s">
        <v>32</v>
      </c>
      <c r="E7" s="20" t="s">
        <v>35</v>
      </c>
      <c r="F7" s="23">
        <v>1050.0</v>
      </c>
      <c r="G7" s="26">
        <v>1050.0</v>
      </c>
      <c r="H7" s="20"/>
      <c r="I7" s="20" t="s">
        <v>29</v>
      </c>
      <c r="J7" s="31" t="s">
        <v>30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20" t="s">
        <v>36</v>
      </c>
      <c r="B8" s="21"/>
      <c r="C8" s="20"/>
      <c r="D8" s="20" t="s">
        <v>37</v>
      </c>
      <c r="E8" s="20" t="s">
        <v>38</v>
      </c>
      <c r="F8" s="23">
        <v>0.0</v>
      </c>
      <c r="G8" s="26">
        <v>-123.0</v>
      </c>
      <c r="H8" s="20"/>
      <c r="I8" s="20"/>
      <c r="J8" s="27" t="s">
        <v>39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20" t="s">
        <v>40</v>
      </c>
      <c r="B9" s="21">
        <v>45706.0</v>
      </c>
      <c r="C9" s="20"/>
      <c r="D9" s="20" t="s">
        <v>37</v>
      </c>
      <c r="E9" s="20" t="s">
        <v>38</v>
      </c>
      <c r="F9" s="23">
        <v>0.0</v>
      </c>
      <c r="G9" s="26">
        <v>-956.0</v>
      </c>
      <c r="H9" s="20"/>
      <c r="I9" s="20"/>
      <c r="J9" s="31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20" t="s">
        <v>41</v>
      </c>
      <c r="B10" s="21">
        <v>45706.0</v>
      </c>
      <c r="C10" s="20"/>
      <c r="D10" s="20" t="s">
        <v>37</v>
      </c>
      <c r="E10" s="20" t="s">
        <v>42</v>
      </c>
      <c r="F10" s="23">
        <v>0.0</v>
      </c>
      <c r="G10" s="26">
        <v>1030.0</v>
      </c>
      <c r="H10" s="20"/>
      <c r="I10" s="20"/>
      <c r="J10" s="27" t="s">
        <v>39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20" t="s">
        <v>43</v>
      </c>
      <c r="B11" s="21"/>
      <c r="C11" s="20"/>
      <c r="D11" s="20" t="s">
        <v>44</v>
      </c>
      <c r="E11" s="20" t="s">
        <v>45</v>
      </c>
      <c r="F11" s="23">
        <v>600.0</v>
      </c>
      <c r="G11" s="26">
        <f>IFERROR(SUMIFS(Transactions!$F$7:$F$989,Transactions!$G$7:$G$989,A11,Transactions!$D$7:$D$989,"Expense"),0)</f>
        <v>0</v>
      </c>
      <c r="H11" s="20"/>
      <c r="I11" s="20" t="s">
        <v>29</v>
      </c>
      <c r="J11" s="31" t="s">
        <v>39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36" t="s">
        <v>54</v>
      </c>
      <c r="B12" s="38"/>
      <c r="C12" s="41"/>
      <c r="D12" s="41"/>
      <c r="E12" s="41"/>
      <c r="F12" s="42"/>
      <c r="G12" s="44">
        <f>IFERROR(SUMIFS(Transactions!$F$7:$F$989,Transactions!$G$7:$G$989,A12,Transactions!$D$7:$D$989,"Expense"),0)</f>
        <v>5028.58</v>
      </c>
      <c r="H12" s="41"/>
      <c r="I12" s="36" t="s">
        <v>29</v>
      </c>
      <c r="J12" s="45" t="s">
        <v>30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36" t="s">
        <v>60</v>
      </c>
      <c r="B13" s="38"/>
      <c r="C13" s="41"/>
      <c r="D13" s="41"/>
      <c r="E13" s="41"/>
      <c r="F13" s="42"/>
      <c r="G13" s="44">
        <f>IFERROR(SUMIFS(Transactions!$F$7:$F$989,Transactions!$G$7:$G$989,A13,Transactions!$D$7:$D$989,"Expense"),0)</f>
        <v>550</v>
      </c>
      <c r="H13" s="41"/>
      <c r="I13" s="36" t="s">
        <v>29</v>
      </c>
      <c r="J13" s="46" t="s">
        <v>30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36" t="s">
        <v>61</v>
      </c>
      <c r="B14" s="38"/>
      <c r="C14" s="41"/>
      <c r="D14" s="41"/>
      <c r="E14" s="41"/>
      <c r="F14" s="42"/>
      <c r="G14" s="44">
        <f>IFERROR(SUMIFS(Transactions!$F$7:$F$989,Transactions!$G$7:$G$989,A14,Transactions!$D$7:$D$989,"Expense"),0)</f>
        <v>0</v>
      </c>
      <c r="H14" s="41"/>
      <c r="I14" s="36" t="s">
        <v>29</v>
      </c>
      <c r="J14" s="45" t="s">
        <v>30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36" t="s">
        <v>62</v>
      </c>
      <c r="B15" s="38"/>
      <c r="C15" s="41"/>
      <c r="D15" s="41"/>
      <c r="E15" s="41"/>
      <c r="F15" s="42"/>
      <c r="G15" s="44">
        <f>IFERROR(SUMIFS(Transactions!$F$7:$F$989,Transactions!$G$7:$G$989,A15,Transactions!$D$7:$D$989,"Expense"),0)</f>
        <v>9054.59</v>
      </c>
      <c r="H15" s="41"/>
      <c r="I15" s="36" t="s">
        <v>29</v>
      </c>
      <c r="J15" s="46" t="s">
        <v>30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36" t="s">
        <v>63</v>
      </c>
      <c r="B16" s="38"/>
      <c r="C16" s="41"/>
      <c r="D16" s="41"/>
      <c r="E16" s="41"/>
      <c r="F16" s="42"/>
      <c r="G16" s="44">
        <f>IFERROR(SUMIFS(Transactions!$F$7:$F$989,Transactions!$G$7:$G$989,A16,Transactions!$D$7:$D$989,"Expense"),0)</f>
        <v>0</v>
      </c>
      <c r="H16" s="41"/>
      <c r="I16" s="36" t="s">
        <v>29</v>
      </c>
      <c r="J16" s="45" t="s">
        <v>30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1"/>
      <c r="B17" s="38"/>
      <c r="C17" s="41"/>
      <c r="D17" s="41"/>
      <c r="E17" s="41"/>
      <c r="F17" s="42"/>
      <c r="G17" s="44">
        <f>IFERROR(SUMIFS(Transactions!$F$7:$F$989,Transactions!$G$7:$G$989,A17,Transactions!$D$7:$D$989,"Expense"),0)</f>
        <v>0</v>
      </c>
      <c r="H17" s="41"/>
      <c r="I17" s="41"/>
      <c r="J17" s="31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1"/>
      <c r="B18" s="38"/>
      <c r="C18" s="41"/>
      <c r="D18" s="41"/>
      <c r="E18" s="41"/>
      <c r="F18" s="42"/>
      <c r="G18" s="44">
        <f>IFERROR(SUMIFS(Transactions!$F$7:$F$989,Transactions!$G$7:$G$989,A18,Transactions!$D$7:$D$989,"Expense"),0)</f>
        <v>0</v>
      </c>
      <c r="H18" s="41"/>
      <c r="I18" s="41"/>
      <c r="J18" s="27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1"/>
      <c r="B19" s="38"/>
      <c r="C19" s="41"/>
      <c r="D19" s="41"/>
      <c r="E19" s="41"/>
      <c r="F19" s="42"/>
      <c r="G19" s="44">
        <f>IFERROR(SUMIFS(Transactions!$F$7:$F$989,Transactions!$G$7:$G$989,A19,Transactions!$D$7:$D$989,"Expense"),0)</f>
        <v>0</v>
      </c>
      <c r="H19" s="41"/>
      <c r="I19" s="41"/>
      <c r="J19" s="31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1"/>
      <c r="B20" s="38"/>
      <c r="C20" s="41"/>
      <c r="D20" s="41"/>
      <c r="E20" s="41"/>
      <c r="F20" s="42"/>
      <c r="G20" s="44">
        <f>IFERROR(SUMIFS(Transactions!$F$7:$F$989,Transactions!$G$7:$G$989,A20,Transactions!$D$7:$D$989,"Expense"),0)</f>
        <v>0</v>
      </c>
      <c r="H20" s="41"/>
      <c r="I20" s="41"/>
      <c r="J20" s="27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1"/>
      <c r="B21" s="38"/>
      <c r="C21" s="41"/>
      <c r="D21" s="41"/>
      <c r="E21" s="41"/>
      <c r="F21" s="42"/>
      <c r="G21" s="44">
        <f>IFERROR(SUMIFS(Transactions!$F$7:$F$989,Transactions!$G$7:$G$989,A21,Transactions!$D$7:$D$989,"Expense"),0)</f>
        <v>0</v>
      </c>
      <c r="H21" s="41"/>
      <c r="I21" s="41"/>
      <c r="J21" s="31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1"/>
      <c r="B22" s="38"/>
      <c r="C22" s="41"/>
      <c r="D22" s="41"/>
      <c r="E22" s="41"/>
      <c r="F22" s="42"/>
      <c r="G22" s="44">
        <f>IFERROR(SUMIFS(Transactions!$F$7:$F$989,Transactions!$G$7:$G$989,A22,Transactions!$D$7:$D$989,"Expense"),0)</f>
        <v>0</v>
      </c>
      <c r="H22" s="41"/>
      <c r="I22" s="41"/>
      <c r="J22" s="27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1"/>
      <c r="B23" s="38"/>
      <c r="C23" s="41"/>
      <c r="D23" s="41"/>
      <c r="E23" s="41"/>
      <c r="F23" s="42"/>
      <c r="G23" s="44">
        <f>IFERROR(SUMIFS(Transactions!$F$7:$F$989,Transactions!$G$7:$G$989,A23,Transactions!$D$7:$D$989,"Expense"),0)</f>
        <v>0</v>
      </c>
      <c r="H23" s="41"/>
      <c r="I23" s="41"/>
      <c r="J23" s="31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1"/>
      <c r="B24" s="38"/>
      <c r="C24" s="41"/>
      <c r="D24" s="41"/>
      <c r="E24" s="41"/>
      <c r="F24" s="42"/>
      <c r="G24" s="44">
        <f>IFERROR(SUMIFS(Transactions!$F$7:$F$989,Transactions!$G$7:$G$989,A24,Transactions!$D$7:$D$989,"Expense"),0)</f>
        <v>0</v>
      </c>
      <c r="H24" s="41"/>
      <c r="I24" s="41"/>
      <c r="J24" s="27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1"/>
      <c r="B25" s="38"/>
      <c r="C25" s="41"/>
      <c r="D25" s="41"/>
      <c r="E25" s="41"/>
      <c r="F25" s="42"/>
      <c r="G25" s="44">
        <f>IFERROR(SUMIFS(Transactions!$F$7:$F$989,Transactions!$G$7:$G$989,A25,Transactions!$D$7:$D$989,"Expense"),0)</f>
        <v>0</v>
      </c>
      <c r="H25" s="41"/>
      <c r="I25" s="41"/>
      <c r="J25" s="31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1"/>
      <c r="B26" s="38"/>
      <c r="C26" s="41"/>
      <c r="D26" s="41"/>
      <c r="E26" s="41"/>
      <c r="F26" s="42"/>
      <c r="G26" s="44">
        <f>IFERROR(SUMIFS(Transactions!$F$7:$F$989,Transactions!$G$7:$G$989,A26,Transactions!$D$7:$D$989,"Expense"),0)</f>
        <v>0</v>
      </c>
      <c r="H26" s="41"/>
      <c r="I26" s="41"/>
      <c r="J26" s="27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1"/>
      <c r="B27" s="38"/>
      <c r="C27" s="41"/>
      <c r="D27" s="41"/>
      <c r="E27" s="41"/>
      <c r="F27" s="42"/>
      <c r="G27" s="44">
        <f>IFERROR(SUMIFS(Transactions!$F$7:$F$989,Transactions!$G$7:$G$989,A27,Transactions!$D$7:$D$989,"Expense"),0)</f>
        <v>0</v>
      </c>
      <c r="H27" s="41"/>
      <c r="I27" s="41"/>
      <c r="J27" s="31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1"/>
      <c r="B28" s="38"/>
      <c r="C28" s="41"/>
      <c r="D28" s="41"/>
      <c r="E28" s="41"/>
      <c r="F28" s="42"/>
      <c r="G28" s="44">
        <f>IFERROR(SUMIFS(Transactions!$F$7:$F$989,Transactions!$G$7:$G$989,A28,Transactions!$D$7:$D$989,"Expense"),0)</f>
        <v>0</v>
      </c>
      <c r="H28" s="41"/>
      <c r="I28" s="41"/>
      <c r="J28" s="27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1"/>
      <c r="B29" s="38"/>
      <c r="C29" s="41"/>
      <c r="D29" s="41"/>
      <c r="E29" s="41"/>
      <c r="F29" s="42"/>
      <c r="G29" s="44">
        <f>IFERROR(SUMIFS(Transactions!$F$7:$F$989,Transactions!$G$7:$G$989,A29,Transactions!$D$7:$D$989,"Expense"),0)</f>
        <v>0</v>
      </c>
      <c r="H29" s="41"/>
      <c r="I29" s="41"/>
      <c r="J29" s="31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1"/>
      <c r="B30" s="38"/>
      <c r="C30" s="41"/>
      <c r="D30" s="41"/>
      <c r="E30" s="41"/>
      <c r="F30" s="42"/>
      <c r="G30" s="44">
        <f>IFERROR(SUMIFS(Transactions!$F$7:$F$989,Transactions!$G$7:$G$989,A30,Transactions!$D$7:$D$989,"Expense"),0)</f>
        <v>0</v>
      </c>
      <c r="H30" s="41"/>
      <c r="I30" s="41"/>
      <c r="J30" s="27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1"/>
      <c r="B31" s="38"/>
      <c r="C31" s="41"/>
      <c r="D31" s="41"/>
      <c r="E31" s="41"/>
      <c r="F31" s="42"/>
      <c r="G31" s="44">
        <f>IFERROR(SUMIFS(Transactions!$F$7:$F$989,Transactions!$G$7:$G$989,A31,Transactions!$D$7:$D$989,"Expense"),0)</f>
        <v>0</v>
      </c>
      <c r="H31" s="41"/>
      <c r="I31" s="41"/>
      <c r="J31" s="31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1"/>
      <c r="B32" s="38"/>
      <c r="C32" s="41"/>
      <c r="D32" s="41"/>
      <c r="E32" s="41"/>
      <c r="F32" s="42"/>
      <c r="G32" s="44">
        <f>IFERROR(SUMIFS(Transactions!$F$7:$F$989,Transactions!$G$7:$G$989,A32,Transactions!$D$7:$D$989,"Expense"),0)</f>
        <v>0</v>
      </c>
      <c r="H32" s="41"/>
      <c r="I32" s="41"/>
      <c r="J32" s="27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1"/>
      <c r="B33" s="38"/>
      <c r="C33" s="41"/>
      <c r="D33" s="41"/>
      <c r="E33" s="41"/>
      <c r="F33" s="42"/>
      <c r="G33" s="44">
        <f>IFERROR(SUMIFS(Transactions!$F$7:$F$989,Transactions!$G$7:$G$989,A33,Transactions!$D$7:$D$989,"Expense"),0)</f>
        <v>0</v>
      </c>
      <c r="H33" s="41"/>
      <c r="I33" s="41"/>
      <c r="J33" s="31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1"/>
      <c r="B34" s="38"/>
      <c r="C34" s="41"/>
      <c r="D34" s="41"/>
      <c r="E34" s="41"/>
      <c r="F34" s="42"/>
      <c r="G34" s="44">
        <f>IFERROR(SUMIFS(Transactions!$F$7:$F$989,Transactions!$G$7:$G$989,A34,Transactions!$D$7:$D$989,"Expense"),0)</f>
        <v>0</v>
      </c>
      <c r="H34" s="41"/>
      <c r="I34" s="41"/>
      <c r="J34" s="27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1"/>
      <c r="B35" s="38"/>
      <c r="C35" s="41"/>
      <c r="D35" s="41"/>
      <c r="E35" s="41"/>
      <c r="F35" s="42"/>
      <c r="G35" s="44">
        <f>IFERROR(SUMIFS(Transactions!$F$7:$F$989,Transactions!$G$7:$G$989,A35,Transactions!$D$7:$D$989,"Expense"),0)</f>
        <v>0</v>
      </c>
      <c r="H35" s="41"/>
      <c r="I35" s="41"/>
      <c r="J35" s="31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1"/>
      <c r="B36" s="38"/>
      <c r="C36" s="41"/>
      <c r="D36" s="41"/>
      <c r="E36" s="41"/>
      <c r="F36" s="42"/>
      <c r="G36" s="44">
        <f>IFERROR(SUMIFS(Transactions!$F$7:$F$989,Transactions!$G$7:$G$989,A36,Transactions!$D$7:$D$989,"Expense"),0)</f>
        <v>0</v>
      </c>
      <c r="H36" s="41"/>
      <c r="I36" s="41"/>
      <c r="J36" s="27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1"/>
      <c r="B37" s="38"/>
      <c r="C37" s="41"/>
      <c r="D37" s="41"/>
      <c r="E37" s="41"/>
      <c r="F37" s="42"/>
      <c r="G37" s="44">
        <f>IFERROR(SUMIFS(Transactions!$F$7:$F$989,Transactions!$G$7:$G$989,A37,Transactions!$D$7:$D$989,"Expense"),0)</f>
        <v>0</v>
      </c>
      <c r="H37" s="41"/>
      <c r="I37" s="41"/>
      <c r="J37" s="31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1"/>
      <c r="B38" s="38"/>
      <c r="C38" s="41"/>
      <c r="D38" s="41"/>
      <c r="E38" s="41"/>
      <c r="F38" s="42"/>
      <c r="G38" s="44">
        <f>IFERROR(SUMIFS(Transactions!$F$7:$F$989,Transactions!$G$7:$G$989,A38,Transactions!$D$7:$D$989,"Expense"),0)</f>
        <v>0</v>
      </c>
      <c r="H38" s="41"/>
      <c r="I38" s="41"/>
      <c r="J38" s="27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1"/>
      <c r="B39" s="38"/>
      <c r="C39" s="41"/>
      <c r="D39" s="41"/>
      <c r="E39" s="41"/>
      <c r="F39" s="42"/>
      <c r="G39" s="44">
        <f>IFERROR(SUMIFS(Transactions!$F$7:$F$989,Transactions!$G$7:$G$989,A39,Transactions!$D$7:$D$989,"Expense"),0)</f>
        <v>0</v>
      </c>
      <c r="H39" s="41"/>
      <c r="I39" s="41"/>
      <c r="J39" s="31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1"/>
      <c r="B40" s="38"/>
      <c r="C40" s="41"/>
      <c r="D40" s="41"/>
      <c r="E40" s="41"/>
      <c r="F40" s="42"/>
      <c r="G40" s="44">
        <f>IFERROR(SUMIFS(Transactions!$F$7:$F$989,Transactions!$G$7:$G$989,A40,Transactions!$D$7:$D$989,"Expense"),0)</f>
        <v>0</v>
      </c>
      <c r="H40" s="41"/>
      <c r="I40" s="41"/>
      <c r="J40" s="27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1"/>
      <c r="B41" s="38"/>
      <c r="C41" s="41"/>
      <c r="D41" s="41"/>
      <c r="E41" s="41"/>
      <c r="F41" s="42"/>
      <c r="G41" s="44">
        <f>IFERROR(SUMIFS(Transactions!$F$7:$F$989,Transactions!$G$7:$G$989,A41,Transactions!$D$7:$D$989,"Expense"),0)</f>
        <v>0</v>
      </c>
      <c r="H41" s="41"/>
      <c r="I41" s="41"/>
      <c r="J41" s="31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1"/>
      <c r="B42" s="38"/>
      <c r="C42" s="41"/>
      <c r="D42" s="41"/>
      <c r="E42" s="41"/>
      <c r="F42" s="42"/>
      <c r="G42" s="44">
        <f>IFERROR(SUMIFS(Transactions!$F$7:$F$989,Transactions!$G$7:$G$989,A42,Transactions!$D$7:$D$989,"Expense"),0)</f>
        <v>0</v>
      </c>
      <c r="H42" s="41"/>
      <c r="I42" s="41"/>
      <c r="J42" s="27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1"/>
      <c r="B43" s="38"/>
      <c r="C43" s="41"/>
      <c r="D43" s="41"/>
      <c r="E43" s="41"/>
      <c r="F43" s="42"/>
      <c r="G43" s="44">
        <f>IFERROR(SUMIFS(Transactions!$F$7:$F$989,Transactions!$G$7:$G$989,A43,Transactions!$D$7:$D$989,"Expense"),0)</f>
        <v>0</v>
      </c>
      <c r="H43" s="41"/>
      <c r="I43" s="41"/>
      <c r="J43" s="31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1"/>
      <c r="B44" s="38"/>
      <c r="C44" s="41"/>
      <c r="D44" s="41"/>
      <c r="E44" s="41"/>
      <c r="F44" s="42"/>
      <c r="G44" s="44">
        <f>IFERROR(SUMIFS(Transactions!$F$7:$F$989,Transactions!$G$7:$G$989,A44,Transactions!$D$7:$D$989,"Expense"),0)</f>
        <v>0</v>
      </c>
      <c r="H44" s="41"/>
      <c r="I44" s="41"/>
      <c r="J44" s="27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1"/>
      <c r="B45" s="38"/>
      <c r="C45" s="41"/>
      <c r="D45" s="41"/>
      <c r="E45" s="41"/>
      <c r="F45" s="42"/>
      <c r="G45" s="44">
        <f>IFERROR(SUMIFS(Transactions!$F$7:$F$989,Transactions!$G$7:$G$989,A45,Transactions!$D$7:$D$989,"Expense"),0)</f>
        <v>0</v>
      </c>
      <c r="H45" s="41"/>
      <c r="I45" s="41"/>
      <c r="J45" s="31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1"/>
      <c r="B46" s="38"/>
      <c r="C46" s="41"/>
      <c r="D46" s="41"/>
      <c r="E46" s="41"/>
      <c r="F46" s="42"/>
      <c r="G46" s="44">
        <f>IFERROR(SUMIFS(Transactions!$F$7:$F$989,Transactions!$G$7:$G$989,A46,Transactions!$D$7:$D$989,"Expense"),0)</f>
        <v>0</v>
      </c>
      <c r="H46" s="41"/>
      <c r="I46" s="41"/>
      <c r="J46" s="27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1"/>
      <c r="B47" s="38"/>
      <c r="C47" s="41"/>
      <c r="D47" s="41"/>
      <c r="E47" s="41"/>
      <c r="F47" s="42"/>
      <c r="G47" s="44">
        <f>IFERROR(SUMIFS(Transactions!$F$7:$F$989,Transactions!$G$7:$G$989,A47,Transactions!$D$7:$D$989,"Expense"),0)</f>
        <v>0</v>
      </c>
      <c r="H47" s="41"/>
      <c r="I47" s="41"/>
      <c r="J47" s="31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1"/>
      <c r="B48" s="38"/>
      <c r="C48" s="41"/>
      <c r="D48" s="41"/>
      <c r="E48" s="41"/>
      <c r="F48" s="42"/>
      <c r="G48" s="44">
        <f>IFERROR(SUMIFS(Transactions!$F$7:$F$989,Transactions!$G$7:$G$989,A48,Transactions!$D$7:$D$989,"Expense"),0)</f>
        <v>0</v>
      </c>
      <c r="H48" s="41"/>
      <c r="I48" s="41"/>
      <c r="J48" s="27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1"/>
      <c r="B49" s="38"/>
      <c r="C49" s="41"/>
      <c r="D49" s="41"/>
      <c r="E49" s="41"/>
      <c r="F49" s="42"/>
      <c r="G49" s="44">
        <f>IFERROR(SUMIFS(Transactions!$F$7:$F$989,Transactions!$G$7:$G$989,A49,Transactions!$D$7:$D$989,"Expense"),0)</f>
        <v>0</v>
      </c>
      <c r="H49" s="41"/>
      <c r="I49" s="41"/>
      <c r="J49" s="31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1"/>
      <c r="B50" s="38"/>
      <c r="C50" s="41"/>
      <c r="D50" s="41"/>
      <c r="E50" s="41"/>
      <c r="F50" s="42"/>
      <c r="G50" s="44">
        <f>IFERROR(SUMIFS(Transactions!$F$7:$F$989,Transactions!$G$7:$G$989,A50,Transactions!$D$7:$D$989,"Expense"),0)</f>
        <v>0</v>
      </c>
      <c r="H50" s="41"/>
      <c r="I50" s="41"/>
      <c r="J50" s="27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1"/>
      <c r="B51" s="38"/>
      <c r="C51" s="41"/>
      <c r="D51" s="41"/>
      <c r="E51" s="41"/>
      <c r="F51" s="42"/>
      <c r="G51" s="44">
        <f>IFERROR(SUMIFS(Transactions!$F$7:$F$989,Transactions!$G$7:$G$989,A51,Transactions!$D$7:$D$989,"Expense"),0)</f>
        <v>0</v>
      </c>
      <c r="H51" s="41"/>
      <c r="I51" s="41"/>
      <c r="J51" s="31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1"/>
      <c r="B52" s="38"/>
      <c r="C52" s="41"/>
      <c r="D52" s="41"/>
      <c r="E52" s="41"/>
      <c r="F52" s="42"/>
      <c r="G52" s="44">
        <f>IFERROR(SUMIFS(Transactions!$F$7:$F$989,Transactions!$G$7:$G$989,A52,Transactions!$D$7:$D$989,"Expense"),0)</f>
        <v>0</v>
      </c>
      <c r="H52" s="41"/>
      <c r="I52" s="41"/>
      <c r="J52" s="27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1"/>
      <c r="B53" s="38"/>
      <c r="C53" s="41"/>
      <c r="D53" s="41"/>
      <c r="E53" s="41"/>
      <c r="F53" s="42"/>
      <c r="G53" s="44">
        <f>IFERROR(SUMIFS(Transactions!$F$7:$F$989,Transactions!$G$7:$G$989,A53,Transactions!$D$7:$D$989,"Expense"),0)</f>
        <v>0</v>
      </c>
      <c r="H53" s="41"/>
      <c r="I53" s="41"/>
      <c r="J53" s="31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1"/>
      <c r="B54" s="38"/>
      <c r="C54" s="41"/>
      <c r="D54" s="41"/>
      <c r="E54" s="41"/>
      <c r="F54" s="42"/>
      <c r="G54" s="44">
        <f>IFERROR(SUMIFS(Transactions!$F$7:$F$989,Transactions!$G$7:$G$989,A54,Transactions!$D$7:$D$989,"Expense"),0)</f>
        <v>0</v>
      </c>
      <c r="H54" s="41"/>
      <c r="I54" s="41"/>
      <c r="J54" s="27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1"/>
      <c r="B55" s="38"/>
      <c r="C55" s="41"/>
      <c r="D55" s="41"/>
      <c r="E55" s="41"/>
      <c r="F55" s="42"/>
      <c r="G55" s="44">
        <f>IFERROR(SUMIFS(Transactions!$F$7:$F$989,Transactions!$G$7:$G$989,A55,Transactions!$D$7:$D$989,"Expense"),0)</f>
        <v>0</v>
      </c>
      <c r="H55" s="41"/>
      <c r="I55" s="41"/>
      <c r="J55" s="31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1"/>
      <c r="B56" s="38"/>
      <c r="C56" s="41"/>
      <c r="D56" s="41"/>
      <c r="E56" s="41"/>
      <c r="F56" s="42"/>
      <c r="G56" s="44">
        <f>IFERROR(SUMIFS(Transactions!$F$7:$F$989,Transactions!$G$7:$G$989,A56,Transactions!$D$7:$D$989,"Expense"),0)</f>
        <v>0</v>
      </c>
      <c r="H56" s="41"/>
      <c r="I56" s="41"/>
      <c r="J56" s="27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1"/>
      <c r="B57" s="38"/>
      <c r="C57" s="41"/>
      <c r="D57" s="41"/>
      <c r="E57" s="41"/>
      <c r="F57" s="42"/>
      <c r="G57" s="44">
        <f>IFERROR(SUMIFS(Transactions!$F$7:$F$989,Transactions!$G$7:$G$989,A57,Transactions!$D$7:$D$989,"Expense"),0)</f>
        <v>0</v>
      </c>
      <c r="H57" s="41"/>
      <c r="I57" s="41"/>
      <c r="J57" s="31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1"/>
      <c r="B58" s="38"/>
      <c r="C58" s="41"/>
      <c r="D58" s="41"/>
      <c r="E58" s="41"/>
      <c r="F58" s="42"/>
      <c r="G58" s="44">
        <f>IFERROR(SUMIFS(Transactions!$F$7:$F$989,Transactions!$G$7:$G$989,A58,Transactions!$D$7:$D$989,"Expense"),0)</f>
        <v>0</v>
      </c>
      <c r="H58" s="41"/>
      <c r="I58" s="41"/>
      <c r="J58" s="27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1"/>
      <c r="B59" s="38"/>
      <c r="C59" s="41"/>
      <c r="D59" s="41"/>
      <c r="E59" s="41"/>
      <c r="F59" s="42"/>
      <c r="G59" s="44">
        <f>IFERROR(SUMIFS(Transactions!$F$7:$F$989,Transactions!$G$7:$G$989,A59,Transactions!$D$7:$D$989,"Expense"),0)</f>
        <v>0</v>
      </c>
      <c r="H59" s="41"/>
      <c r="I59" s="41"/>
      <c r="J59" s="31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1"/>
      <c r="B60" s="38"/>
      <c r="C60" s="41"/>
      <c r="D60" s="41"/>
      <c r="E60" s="41"/>
      <c r="F60" s="42"/>
      <c r="G60" s="44">
        <f>IFERROR(SUMIFS(Transactions!$F$7:$F$989,Transactions!$G$7:$G$989,A60,Transactions!$D$7:$D$989,"Expense"),0)</f>
        <v>0</v>
      </c>
      <c r="H60" s="41"/>
      <c r="I60" s="41"/>
      <c r="J60" s="27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1"/>
      <c r="B61" s="38"/>
      <c r="C61" s="41"/>
      <c r="D61" s="41"/>
      <c r="E61" s="41"/>
      <c r="F61" s="42"/>
      <c r="G61" s="44">
        <f>IFERROR(SUMIFS(Transactions!$F$7:$F$989,Transactions!$G$7:$G$989,A61,Transactions!$D$7:$D$989,"Expense"),0)</f>
        <v>0</v>
      </c>
      <c r="H61" s="41"/>
      <c r="I61" s="41"/>
      <c r="J61" s="31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1"/>
      <c r="B62" s="38"/>
      <c r="C62" s="41"/>
      <c r="D62" s="41"/>
      <c r="E62" s="41"/>
      <c r="F62" s="42"/>
      <c r="G62" s="44">
        <f>IFERROR(SUMIFS(Transactions!$F$7:$F$989,Transactions!$G$7:$G$989,A62,Transactions!$D$7:$D$989,"Expense"),0)</f>
        <v>0</v>
      </c>
      <c r="H62" s="41"/>
      <c r="I62" s="41"/>
      <c r="J62" s="27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1"/>
      <c r="B63" s="38"/>
      <c r="C63" s="41"/>
      <c r="D63" s="41"/>
      <c r="E63" s="41"/>
      <c r="F63" s="42"/>
      <c r="G63" s="44">
        <f>IFERROR(SUMIFS(Transactions!$F$7:$F$989,Transactions!$G$7:$G$989,A63,Transactions!$D$7:$D$989,"Expense"),0)</f>
        <v>0</v>
      </c>
      <c r="H63" s="41"/>
      <c r="I63" s="41"/>
      <c r="J63" s="31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1"/>
      <c r="B64" s="38"/>
      <c r="C64" s="41"/>
      <c r="D64" s="41"/>
      <c r="E64" s="41"/>
      <c r="F64" s="42"/>
      <c r="G64" s="44">
        <f>IFERROR(SUMIFS(Transactions!$F$7:$F$989,Transactions!$G$7:$G$989,A64,Transactions!$D$7:$D$989,"Expense"),0)</f>
        <v>0</v>
      </c>
      <c r="H64" s="41"/>
      <c r="I64" s="41"/>
      <c r="J64" s="27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1"/>
      <c r="B65" s="38"/>
      <c r="C65" s="41"/>
      <c r="D65" s="41"/>
      <c r="E65" s="41"/>
      <c r="F65" s="42"/>
      <c r="G65" s="44">
        <f>IFERROR(SUMIFS(Transactions!$F$7:$F$989,Transactions!$G$7:$G$989,A65,Transactions!$D$7:$D$989,"Expense"),0)</f>
        <v>0</v>
      </c>
      <c r="H65" s="41"/>
      <c r="I65" s="41"/>
      <c r="J65" s="31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1"/>
      <c r="B66" s="38"/>
      <c r="C66" s="41"/>
      <c r="D66" s="41"/>
      <c r="E66" s="41"/>
      <c r="F66" s="42"/>
      <c r="G66" s="44">
        <f>IFERROR(SUMIFS(Transactions!$F$7:$F$989,Transactions!$G$7:$G$989,A66,Transactions!$D$7:$D$989,"Expense"),0)</f>
        <v>0</v>
      </c>
      <c r="H66" s="41"/>
      <c r="I66" s="41"/>
      <c r="J66" s="27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1"/>
      <c r="B67" s="38"/>
      <c r="C67" s="41"/>
      <c r="D67" s="41"/>
      <c r="E67" s="41"/>
      <c r="F67" s="42"/>
      <c r="G67" s="44">
        <f>IFERROR(SUMIFS(Transactions!$F$7:$F$989,Transactions!$G$7:$G$989,A67,Transactions!$D$7:$D$989,"Expense"),0)</f>
        <v>0</v>
      </c>
      <c r="H67" s="41"/>
      <c r="I67" s="41"/>
      <c r="J67" s="31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1"/>
      <c r="B68" s="38"/>
      <c r="C68" s="41"/>
      <c r="D68" s="41"/>
      <c r="E68" s="41"/>
      <c r="F68" s="42"/>
      <c r="G68" s="44">
        <f>IFERROR(SUMIFS(Transactions!$F$7:$F$989,Transactions!$G$7:$G$989,A68,Transactions!$D$7:$D$989,"Expense"),0)</f>
        <v>0</v>
      </c>
      <c r="H68" s="41"/>
      <c r="I68" s="41"/>
      <c r="J68" s="27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1"/>
      <c r="B69" s="38"/>
      <c r="C69" s="41"/>
      <c r="D69" s="41"/>
      <c r="E69" s="41"/>
      <c r="F69" s="42"/>
      <c r="G69" s="44">
        <f>IFERROR(SUMIFS(Transactions!$F$7:$F$989,Transactions!$G$7:$G$989,A69,Transactions!$D$7:$D$989,"Expense"),0)</f>
        <v>0</v>
      </c>
      <c r="H69" s="41"/>
      <c r="I69" s="41"/>
      <c r="J69" s="31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1"/>
      <c r="B70" s="38"/>
      <c r="C70" s="41"/>
      <c r="D70" s="41"/>
      <c r="E70" s="41"/>
      <c r="F70" s="42"/>
      <c r="G70" s="44">
        <f>IFERROR(SUMIFS(Transactions!$F$7:$F$989,Transactions!$G$7:$G$989,A70,Transactions!$D$7:$D$989,"Expense"),0)</f>
        <v>0</v>
      </c>
      <c r="H70" s="41"/>
      <c r="I70" s="41"/>
      <c r="J70" s="27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1"/>
      <c r="B71" s="38"/>
      <c r="C71" s="41"/>
      <c r="D71" s="41"/>
      <c r="E71" s="41"/>
      <c r="F71" s="42"/>
      <c r="G71" s="44">
        <f>IFERROR(SUMIFS(Transactions!$F$7:$F$989,Transactions!$G$7:$G$989,A71,Transactions!$D$7:$D$989,"Expense"),0)</f>
        <v>0</v>
      </c>
      <c r="H71" s="41"/>
      <c r="I71" s="41"/>
      <c r="J71" s="31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1"/>
      <c r="B72" s="38"/>
      <c r="C72" s="41"/>
      <c r="D72" s="41"/>
      <c r="E72" s="41"/>
      <c r="F72" s="42"/>
      <c r="G72" s="44">
        <f>IFERROR(SUMIFS(Transactions!$F$7:$F$989,Transactions!$G$7:$G$989,A72,Transactions!$D$7:$D$989,"Expense"),0)</f>
        <v>0</v>
      </c>
      <c r="H72" s="41"/>
      <c r="I72" s="41"/>
      <c r="J72" s="27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1"/>
      <c r="B73" s="38"/>
      <c r="C73" s="41"/>
      <c r="D73" s="41"/>
      <c r="E73" s="41"/>
      <c r="F73" s="42"/>
      <c r="G73" s="44">
        <f>IFERROR(SUMIFS(Transactions!$F$7:$F$989,Transactions!$G$7:$G$989,A73,Transactions!$D$7:$D$989,"Expense"),0)</f>
        <v>0</v>
      </c>
      <c r="H73" s="41"/>
      <c r="I73" s="41"/>
      <c r="J73" s="31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1"/>
      <c r="B74" s="38"/>
      <c r="C74" s="41"/>
      <c r="D74" s="41"/>
      <c r="E74" s="41"/>
      <c r="F74" s="42"/>
      <c r="G74" s="44">
        <f>IFERROR(SUMIFS(Transactions!$F$7:$F$989,Transactions!$G$7:$G$989,A74,Transactions!$D$7:$D$989,"Expense"),0)</f>
        <v>0</v>
      </c>
      <c r="H74" s="41"/>
      <c r="I74" s="41"/>
      <c r="J74" s="27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1"/>
      <c r="B75" s="38"/>
      <c r="C75" s="41"/>
      <c r="D75" s="41"/>
      <c r="E75" s="41"/>
      <c r="F75" s="42"/>
      <c r="G75" s="44">
        <f>IFERROR(SUMIFS(Transactions!$F$7:$F$989,Transactions!$G$7:$G$989,A75,Transactions!$D$7:$D$989,"Expense"),0)</f>
        <v>0</v>
      </c>
      <c r="H75" s="41"/>
      <c r="I75" s="41"/>
      <c r="J75" s="31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1"/>
      <c r="B76" s="38"/>
      <c r="C76" s="41"/>
      <c r="D76" s="41"/>
      <c r="E76" s="41"/>
      <c r="F76" s="42"/>
      <c r="G76" s="44">
        <f>IFERROR(SUMIFS(Transactions!$F$7:$F$989,Transactions!$G$7:$G$989,A76,Transactions!$D$7:$D$989,"Expense"),0)</f>
        <v>0</v>
      </c>
      <c r="H76" s="41"/>
      <c r="I76" s="41"/>
      <c r="J76" s="27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1"/>
      <c r="B77" s="38"/>
      <c r="C77" s="41"/>
      <c r="D77" s="41"/>
      <c r="E77" s="41"/>
      <c r="F77" s="42"/>
      <c r="G77" s="44">
        <f>IFERROR(SUMIFS(Transactions!$F$7:$F$989,Transactions!$G$7:$G$989,A77,Transactions!$D$7:$D$989,"Expense"),0)</f>
        <v>0</v>
      </c>
      <c r="H77" s="41"/>
      <c r="I77" s="41"/>
      <c r="J77" s="31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1"/>
      <c r="B78" s="38"/>
      <c r="C78" s="41"/>
      <c r="D78" s="41"/>
      <c r="E78" s="41"/>
      <c r="F78" s="42"/>
      <c r="G78" s="44">
        <f>IFERROR(SUMIFS(Transactions!$F$7:$F$989,Transactions!$G$7:$G$989,A78,Transactions!$D$7:$D$989,"Expense"),0)</f>
        <v>0</v>
      </c>
      <c r="H78" s="41"/>
      <c r="I78" s="41"/>
      <c r="J78" s="27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1"/>
      <c r="B79" s="38"/>
      <c r="C79" s="41"/>
      <c r="D79" s="41"/>
      <c r="E79" s="41"/>
      <c r="F79" s="42"/>
      <c r="G79" s="44">
        <f>IFERROR(SUMIFS(Transactions!$F$7:$F$989,Transactions!$G$7:$G$989,A79,Transactions!$D$7:$D$989,"Expense"),0)</f>
        <v>0</v>
      </c>
      <c r="H79" s="41"/>
      <c r="I79" s="41"/>
      <c r="J79" s="31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1"/>
      <c r="B80" s="38"/>
      <c r="C80" s="41"/>
      <c r="D80" s="41"/>
      <c r="E80" s="41"/>
      <c r="F80" s="42"/>
      <c r="G80" s="44">
        <f>IFERROR(SUMIFS(Transactions!$F$7:$F$989,Transactions!$G$7:$G$989,A80,Transactions!$D$7:$D$989,"Expense"),0)</f>
        <v>0</v>
      </c>
      <c r="H80" s="41"/>
      <c r="I80" s="41"/>
      <c r="J80" s="27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1"/>
      <c r="B81" s="38"/>
      <c r="C81" s="41"/>
      <c r="D81" s="41"/>
      <c r="E81" s="41"/>
      <c r="F81" s="42"/>
      <c r="G81" s="44">
        <f>IFERROR(SUMIFS(Transactions!$F$7:$F$989,Transactions!$G$7:$G$989,A81,Transactions!$D$7:$D$989,"Expense"),0)</f>
        <v>0</v>
      </c>
      <c r="H81" s="41"/>
      <c r="I81" s="41"/>
      <c r="J81" s="31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1"/>
      <c r="B82" s="38"/>
      <c r="C82" s="41"/>
      <c r="D82" s="41"/>
      <c r="E82" s="41"/>
      <c r="F82" s="42"/>
      <c r="G82" s="44">
        <f>IFERROR(SUMIFS(Transactions!$F$7:$F$989,Transactions!$G$7:$G$989,A82,Transactions!$D$7:$D$989,"Expense"),0)</f>
        <v>0</v>
      </c>
      <c r="H82" s="41"/>
      <c r="I82" s="41"/>
      <c r="J82" s="27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1"/>
      <c r="B83" s="38"/>
      <c r="C83" s="41"/>
      <c r="D83" s="41"/>
      <c r="E83" s="41"/>
      <c r="F83" s="42"/>
      <c r="G83" s="44">
        <f>IFERROR(SUMIFS(Transactions!$F$7:$F$989,Transactions!$G$7:$G$989,A83,Transactions!$D$7:$D$989,"Expense"),0)</f>
        <v>0</v>
      </c>
      <c r="H83" s="41"/>
      <c r="I83" s="41"/>
      <c r="J83" s="31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1"/>
      <c r="B84" s="38"/>
      <c r="C84" s="41"/>
      <c r="D84" s="41"/>
      <c r="E84" s="41"/>
      <c r="F84" s="42"/>
      <c r="G84" s="44">
        <f>IFERROR(SUMIFS(Transactions!$F$7:$F$989,Transactions!$G$7:$G$989,A84,Transactions!$D$7:$D$989,"Expense"),0)</f>
        <v>0</v>
      </c>
      <c r="H84" s="41"/>
      <c r="I84" s="41"/>
      <c r="J84" s="27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1"/>
      <c r="B85" s="38"/>
      <c r="C85" s="41"/>
      <c r="D85" s="41"/>
      <c r="E85" s="41"/>
      <c r="F85" s="42"/>
      <c r="G85" s="44">
        <f>IFERROR(SUMIFS(Transactions!$F$7:$F$989,Transactions!$G$7:$G$989,A85,Transactions!$D$7:$D$989,"Expense"),0)</f>
        <v>0</v>
      </c>
      <c r="H85" s="41"/>
      <c r="I85" s="41"/>
      <c r="J85" s="31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1"/>
      <c r="B86" s="38"/>
      <c r="C86" s="41"/>
      <c r="D86" s="41"/>
      <c r="E86" s="41"/>
      <c r="F86" s="42"/>
      <c r="G86" s="44">
        <f>IFERROR(SUMIFS(Transactions!$F$7:$F$989,Transactions!$G$7:$G$989,A86,Transactions!$D$7:$D$989,"Expense"),0)</f>
        <v>0</v>
      </c>
      <c r="H86" s="41"/>
      <c r="I86" s="41"/>
      <c r="J86" s="27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1"/>
      <c r="B87" s="38"/>
      <c r="C87" s="41"/>
      <c r="D87" s="41"/>
      <c r="E87" s="41"/>
      <c r="F87" s="42"/>
      <c r="G87" s="44">
        <f>IFERROR(SUMIFS(Transactions!$F$7:$F$989,Transactions!$G$7:$G$989,A87,Transactions!$D$7:$D$989,"Expense"),0)</f>
        <v>0</v>
      </c>
      <c r="H87" s="41"/>
      <c r="I87" s="41"/>
      <c r="J87" s="31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1"/>
      <c r="B88" s="38"/>
      <c r="C88" s="41"/>
      <c r="D88" s="41"/>
      <c r="E88" s="41"/>
      <c r="F88" s="42"/>
      <c r="G88" s="44">
        <f>IFERROR(SUMIFS(Transactions!$F$7:$F$989,Transactions!$G$7:$G$989,A88,Transactions!$D$7:$D$989,"Expense"),0)</f>
        <v>0</v>
      </c>
      <c r="H88" s="41"/>
      <c r="I88" s="41"/>
      <c r="J88" s="27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1"/>
      <c r="B89" s="38"/>
      <c r="C89" s="41"/>
      <c r="D89" s="41"/>
      <c r="E89" s="41"/>
      <c r="F89" s="42"/>
      <c r="G89" s="44">
        <f>IFERROR(SUMIFS(Transactions!$F$7:$F$989,Transactions!$G$7:$G$989,A89,Transactions!$D$7:$D$989,"Expense"),0)</f>
        <v>0</v>
      </c>
      <c r="H89" s="41"/>
      <c r="I89" s="41"/>
      <c r="J89" s="31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1"/>
      <c r="B90" s="38"/>
      <c r="C90" s="41"/>
      <c r="D90" s="41"/>
      <c r="E90" s="41"/>
      <c r="F90" s="42"/>
      <c r="G90" s="44">
        <f>IFERROR(SUMIFS(Transactions!$F$7:$F$989,Transactions!$G$7:$G$989,A90,Transactions!$D$7:$D$989,"Expense"),0)</f>
        <v>0</v>
      </c>
      <c r="H90" s="41"/>
      <c r="I90" s="41"/>
      <c r="J90" s="27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1"/>
      <c r="B91" s="38"/>
      <c r="C91" s="41"/>
      <c r="D91" s="41"/>
      <c r="E91" s="41"/>
      <c r="F91" s="42"/>
      <c r="G91" s="44">
        <f>IFERROR(SUMIFS(Transactions!$F$7:$F$989,Transactions!$G$7:$G$989,A91,Transactions!$D$7:$D$989,"Expense"),0)</f>
        <v>0</v>
      </c>
      <c r="H91" s="41"/>
      <c r="I91" s="41"/>
      <c r="J91" s="31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1"/>
      <c r="B92" s="38"/>
      <c r="C92" s="41"/>
      <c r="D92" s="41"/>
      <c r="E92" s="41"/>
      <c r="F92" s="42"/>
      <c r="G92" s="44">
        <f>IFERROR(SUMIFS(Transactions!$F$7:$F$989,Transactions!$G$7:$G$989,A92,Transactions!$D$7:$D$989,"Expense"),0)</f>
        <v>0</v>
      </c>
      <c r="H92" s="41"/>
      <c r="I92" s="41"/>
      <c r="J92" s="27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1"/>
      <c r="B93" s="38"/>
      <c r="C93" s="41"/>
      <c r="D93" s="41"/>
      <c r="E93" s="41"/>
      <c r="F93" s="42"/>
      <c r="G93" s="44">
        <f>IFERROR(SUMIFS(Transactions!$F$7:$F$989,Transactions!$G$7:$G$989,A93,Transactions!$D$7:$D$989,"Expense"),0)</f>
        <v>0</v>
      </c>
      <c r="H93" s="41"/>
      <c r="I93" s="41"/>
      <c r="J93" s="31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1"/>
      <c r="B94" s="38"/>
      <c r="C94" s="41"/>
      <c r="D94" s="41"/>
      <c r="E94" s="41"/>
      <c r="F94" s="42"/>
      <c r="G94" s="44">
        <f>IFERROR(SUMIFS(Transactions!$F$7:$F$989,Transactions!$G$7:$G$989,A94,Transactions!$D$7:$D$989,"Expense"),0)</f>
        <v>0</v>
      </c>
      <c r="H94" s="41"/>
      <c r="I94" s="41"/>
      <c r="J94" s="27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1"/>
      <c r="B95" s="38"/>
      <c r="C95" s="41"/>
      <c r="D95" s="41"/>
      <c r="E95" s="41"/>
      <c r="F95" s="42"/>
      <c r="G95" s="44">
        <f>IFERROR(SUMIFS(Transactions!$F$7:$F$989,Transactions!$G$7:$G$989,A95,Transactions!$D$7:$D$989,"Expense"),0)</f>
        <v>0</v>
      </c>
      <c r="H95" s="41"/>
      <c r="I95" s="41"/>
      <c r="J95" s="31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1"/>
      <c r="B96" s="38"/>
      <c r="C96" s="41"/>
      <c r="D96" s="41"/>
      <c r="E96" s="41"/>
      <c r="F96" s="42"/>
      <c r="G96" s="44">
        <f>IFERROR(SUMIFS(Transactions!$F$7:$F$989,Transactions!$G$7:$G$989,A96,Transactions!$D$7:$D$989,"Expense"),0)</f>
        <v>0</v>
      </c>
      <c r="H96" s="41"/>
      <c r="I96" s="41"/>
      <c r="J96" s="27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1"/>
      <c r="B97" s="38"/>
      <c r="C97" s="41"/>
      <c r="D97" s="41"/>
      <c r="E97" s="41"/>
      <c r="F97" s="42"/>
      <c r="G97" s="44">
        <f>IFERROR(SUMIFS(Transactions!$F$7:$F$989,Transactions!$G$7:$G$989,A97,Transactions!$D$7:$D$989,"Expense"),0)</f>
        <v>0</v>
      </c>
      <c r="H97" s="41"/>
      <c r="I97" s="41"/>
      <c r="J97" s="31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1"/>
      <c r="B98" s="38"/>
      <c r="C98" s="41"/>
      <c r="D98" s="41"/>
      <c r="E98" s="41"/>
      <c r="F98" s="42"/>
      <c r="G98" s="44">
        <f>IFERROR(SUMIFS(Transactions!$F$7:$F$989,Transactions!$G$7:$G$989,A98,Transactions!$D$7:$D$989,"Expense"),0)</f>
        <v>0</v>
      </c>
      <c r="H98" s="41"/>
      <c r="I98" s="41"/>
      <c r="J98" s="27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1"/>
      <c r="B99" s="38"/>
      <c r="C99" s="41"/>
      <c r="D99" s="41"/>
      <c r="E99" s="41"/>
      <c r="F99" s="42"/>
      <c r="G99" s="44">
        <f>IFERROR(SUMIFS(Transactions!$F$7:$F$989,Transactions!$G$7:$G$989,A99,Transactions!$D$7:$D$989,"Expense"),0)</f>
        <v>0</v>
      </c>
      <c r="H99" s="41"/>
      <c r="I99" s="41"/>
      <c r="J99" s="31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1"/>
      <c r="B100" s="38"/>
      <c r="C100" s="41"/>
      <c r="D100" s="41"/>
      <c r="E100" s="41"/>
      <c r="F100" s="42"/>
      <c r="G100" s="44">
        <f>IFERROR(SUMIFS(Transactions!$F$7:$F$989,Transactions!$G$7:$G$989,A100,Transactions!$D$7:$D$989,"Expense"),0)</f>
        <v>0</v>
      </c>
      <c r="H100" s="41"/>
      <c r="I100" s="41"/>
      <c r="J100" s="27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1"/>
      <c r="B101" s="38"/>
      <c r="C101" s="41"/>
      <c r="D101" s="41"/>
      <c r="E101" s="41"/>
      <c r="F101" s="42"/>
      <c r="G101" s="44">
        <f>IFERROR(SUMIFS(Transactions!$F$7:$F$989,Transactions!$G$7:$G$989,A101,Transactions!$D$7:$D$989,"Expense"),0)</f>
        <v>0</v>
      </c>
      <c r="H101" s="41"/>
      <c r="I101" s="41"/>
      <c r="J101" s="31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1"/>
      <c r="B102" s="38"/>
      <c r="C102" s="41"/>
      <c r="D102" s="41"/>
      <c r="E102" s="41"/>
      <c r="F102" s="42"/>
      <c r="G102" s="44">
        <f>IFERROR(SUMIFS(Transactions!$F$7:$F$989,Transactions!$G$7:$G$989,A102,Transactions!$D$7:$D$989,"Expense"),0)</f>
        <v>0</v>
      </c>
      <c r="H102" s="41"/>
      <c r="I102" s="41"/>
      <c r="J102" s="27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1"/>
      <c r="B103" s="38"/>
      <c r="C103" s="41"/>
      <c r="D103" s="41"/>
      <c r="E103" s="41"/>
      <c r="F103" s="42"/>
      <c r="G103" s="44">
        <f>IFERROR(SUMIFS(Transactions!$F$7:$F$989,Transactions!$G$7:$G$989,A103,Transactions!$D$7:$D$989,"Expense"),0)</f>
        <v>0</v>
      </c>
      <c r="H103" s="41"/>
      <c r="I103" s="41"/>
      <c r="J103" s="31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1"/>
      <c r="B104" s="38"/>
      <c r="C104" s="41"/>
      <c r="D104" s="41"/>
      <c r="E104" s="41"/>
      <c r="F104" s="42"/>
      <c r="G104" s="44">
        <f>IFERROR(SUMIFS(Transactions!$F$7:$F$989,Transactions!$G$7:$G$989,A104,Transactions!$D$7:$D$989,"Expense"),0)</f>
        <v>0</v>
      </c>
      <c r="H104" s="41"/>
      <c r="I104" s="41"/>
      <c r="J104" s="41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1"/>
      <c r="B105" s="38"/>
      <c r="C105" s="41"/>
      <c r="D105" s="41"/>
      <c r="E105" s="41"/>
      <c r="F105" s="42"/>
      <c r="G105" s="44">
        <f>IFERROR(SUMIFS(Transactions!$F$7:$F$989,Transactions!$G$7:$G$989,A105,Transactions!$D$7:$D$989,"Expense"),0)</f>
        <v>0</v>
      </c>
      <c r="H105" s="41"/>
      <c r="I105" s="41"/>
      <c r="J105" s="41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1"/>
      <c r="B106" s="38"/>
      <c r="C106" s="41"/>
      <c r="D106" s="41"/>
      <c r="E106" s="41"/>
      <c r="F106" s="42"/>
      <c r="G106" s="44">
        <f>IFERROR(SUMIFS(Transactions!$F$7:$F$989,Transactions!$G$7:$G$989,A106,Transactions!$D$7:$D$989,"Expense"),0)</f>
        <v>0</v>
      </c>
      <c r="H106" s="41"/>
      <c r="I106" s="41"/>
      <c r="J106" s="41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1"/>
      <c r="B107" s="38"/>
      <c r="C107" s="41"/>
      <c r="D107" s="41"/>
      <c r="E107" s="41"/>
      <c r="F107" s="42"/>
      <c r="G107" s="44">
        <f>IFERROR(SUMIFS(Transactions!$F$7:$F$989,Transactions!$G$7:$G$989,A107,Transactions!$D$7:$D$989,"Expense"),0)</f>
        <v>0</v>
      </c>
      <c r="H107" s="41"/>
      <c r="I107" s="41"/>
      <c r="J107" s="41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1"/>
      <c r="B108" s="38"/>
      <c r="C108" s="41"/>
      <c r="D108" s="41"/>
      <c r="E108" s="41"/>
      <c r="F108" s="42"/>
      <c r="G108" s="44">
        <f>IFERROR(SUMIFS(Transactions!$F$7:$F$989,Transactions!$G$7:$G$989,A108,Transactions!$D$7:$D$989,"Expense"),0)</f>
        <v>0</v>
      </c>
      <c r="H108" s="41"/>
      <c r="I108" s="41"/>
      <c r="J108" s="41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1"/>
      <c r="B109" s="38"/>
      <c r="C109" s="41"/>
      <c r="D109" s="41"/>
      <c r="E109" s="41"/>
      <c r="F109" s="42"/>
      <c r="G109" s="44">
        <f>IFERROR(SUMIFS(Transactions!$F$7:$F$989,Transactions!$G$7:$G$989,A109,Transactions!$D$7:$D$989,"Expense"),0)</f>
        <v>0</v>
      </c>
      <c r="H109" s="41"/>
      <c r="I109" s="41"/>
      <c r="J109" s="41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1"/>
      <c r="B110" s="38"/>
      <c r="C110" s="41"/>
      <c r="D110" s="41"/>
      <c r="E110" s="41"/>
      <c r="F110" s="42"/>
      <c r="G110" s="44">
        <f>IFERROR(SUMIFS(Transactions!$F$7:$F$989,Transactions!$G$7:$G$989,A110,Transactions!$D$7:$D$989,"Expense"),0)</f>
        <v>0</v>
      </c>
      <c r="H110" s="41"/>
      <c r="I110" s="41"/>
      <c r="J110" s="41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1"/>
      <c r="B111" s="38"/>
      <c r="C111" s="41"/>
      <c r="D111" s="41"/>
      <c r="E111" s="41"/>
      <c r="F111" s="42"/>
      <c r="G111" s="44">
        <f>IFERROR(SUMIFS(Transactions!$F$7:$F$989,Transactions!$G$7:$G$989,A111,Transactions!$D$7:$D$989,"Expense"),0)</f>
        <v>0</v>
      </c>
      <c r="H111" s="41"/>
      <c r="I111" s="41"/>
      <c r="J111" s="41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1"/>
      <c r="B112" s="38"/>
      <c r="C112" s="41"/>
      <c r="D112" s="41"/>
      <c r="E112" s="41"/>
      <c r="F112" s="42"/>
      <c r="G112" s="44">
        <f>IFERROR(SUMIFS(Transactions!$F$7:$F$989,Transactions!$G$7:$G$989,A112,Transactions!$D$7:$D$989,"Expense"),0)</f>
        <v>0</v>
      </c>
      <c r="H112" s="41"/>
      <c r="I112" s="41"/>
      <c r="J112" s="41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1"/>
      <c r="B113" s="38"/>
      <c r="C113" s="41"/>
      <c r="D113" s="41"/>
      <c r="E113" s="41"/>
      <c r="F113" s="42"/>
      <c r="G113" s="44">
        <f>IFERROR(SUMIFS(Transactions!$F$7:$F$989,Transactions!$G$7:$G$989,A113,Transactions!$D$7:$D$989,"Expense"),0)</f>
        <v>0</v>
      </c>
      <c r="H113" s="41"/>
      <c r="I113" s="41"/>
      <c r="J113" s="41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1"/>
      <c r="B114" s="38"/>
      <c r="C114" s="41"/>
      <c r="D114" s="41"/>
      <c r="E114" s="41"/>
      <c r="F114" s="42"/>
      <c r="G114" s="44">
        <f>IFERROR(SUMIFS(Transactions!$F$7:$F$989,Transactions!$G$7:$G$989,A114,Transactions!$D$7:$D$989,"Expense"),0)</f>
        <v>0</v>
      </c>
      <c r="H114" s="41"/>
      <c r="I114" s="41"/>
      <c r="J114" s="41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1"/>
      <c r="B115" s="38"/>
      <c r="C115" s="41"/>
      <c r="D115" s="41"/>
      <c r="E115" s="41"/>
      <c r="F115" s="42"/>
      <c r="G115" s="44">
        <f>IFERROR(SUMIFS(Transactions!$F$7:$F$989,Transactions!$G$7:$G$989,A115,Transactions!$D$7:$D$989,"Expense"),0)</f>
        <v>0</v>
      </c>
      <c r="H115" s="41"/>
      <c r="I115" s="41"/>
      <c r="J115" s="41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1"/>
      <c r="B116" s="38"/>
      <c r="C116" s="41"/>
      <c r="D116" s="41"/>
      <c r="E116" s="41"/>
      <c r="F116" s="42"/>
      <c r="G116" s="44">
        <f>IFERROR(SUMIFS(Transactions!$F$7:$F$989,Transactions!$G$7:$G$989,A116,Transactions!$D$7:$D$989,"Expense"),0)</f>
        <v>0</v>
      </c>
      <c r="H116" s="41"/>
      <c r="I116" s="41"/>
      <c r="J116" s="41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1"/>
      <c r="B117" s="38"/>
      <c r="C117" s="41"/>
      <c r="D117" s="41"/>
      <c r="E117" s="41"/>
      <c r="F117" s="42"/>
      <c r="G117" s="44">
        <f>IFERROR(SUMIFS(Transactions!$F$7:$F$989,Transactions!$G$7:$G$989,A117,Transactions!$D$7:$D$989,"Expense"),0)</f>
        <v>0</v>
      </c>
      <c r="H117" s="41"/>
      <c r="I117" s="41"/>
      <c r="J117" s="41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1"/>
      <c r="B118" s="38"/>
      <c r="C118" s="41"/>
      <c r="D118" s="41"/>
      <c r="E118" s="41"/>
      <c r="F118" s="42"/>
      <c r="G118" s="44">
        <f>IFERROR(SUMIFS(Transactions!$F$7:$F$989,Transactions!$G$7:$G$989,A118,Transactions!$D$7:$D$989,"Expense"),0)</f>
        <v>0</v>
      </c>
      <c r="H118" s="41"/>
      <c r="I118" s="41"/>
      <c r="J118" s="41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1"/>
      <c r="B119" s="38"/>
      <c r="C119" s="41"/>
      <c r="D119" s="41"/>
      <c r="E119" s="41"/>
      <c r="F119" s="42"/>
      <c r="G119" s="44">
        <f>IFERROR(SUMIFS(Transactions!$F$7:$F$989,Transactions!$G$7:$G$989,A119,Transactions!$D$7:$D$989,"Expense"),0)</f>
        <v>0</v>
      </c>
      <c r="H119" s="41"/>
      <c r="I119" s="41"/>
      <c r="J119" s="41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1"/>
      <c r="B120" s="38"/>
      <c r="C120" s="41"/>
      <c r="D120" s="41"/>
      <c r="E120" s="41"/>
      <c r="F120" s="42"/>
      <c r="G120" s="44">
        <f>IFERROR(SUMIFS(Transactions!$F$7:$F$989,Transactions!$G$7:$G$989,A120,Transactions!$D$7:$D$989,"Expense"),0)</f>
        <v>0</v>
      </c>
      <c r="H120" s="41"/>
      <c r="I120" s="41"/>
      <c r="J120" s="41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1"/>
      <c r="B121" s="38"/>
      <c r="C121" s="41"/>
      <c r="D121" s="41"/>
      <c r="E121" s="41"/>
      <c r="F121" s="42"/>
      <c r="G121" s="44">
        <f>IFERROR(SUMIFS(Transactions!$F$7:$F$989,Transactions!$G$7:$G$989,A121,Transactions!$D$7:$D$989,"Expense"),0)</f>
        <v>0</v>
      </c>
      <c r="H121" s="41"/>
      <c r="I121" s="41"/>
      <c r="J121" s="41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1"/>
      <c r="B122" s="38"/>
      <c r="C122" s="41"/>
      <c r="D122" s="41"/>
      <c r="E122" s="41"/>
      <c r="F122" s="42"/>
      <c r="G122" s="44">
        <f>IFERROR(SUMIFS(Transactions!$F$7:$F$989,Transactions!$G$7:$G$989,A122,Transactions!$D$7:$D$989,"Expense"),0)</f>
        <v>0</v>
      </c>
      <c r="H122" s="41"/>
      <c r="I122" s="41"/>
      <c r="J122" s="41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1"/>
      <c r="B123" s="38"/>
      <c r="C123" s="41"/>
      <c r="D123" s="41"/>
      <c r="E123" s="41"/>
      <c r="F123" s="42"/>
      <c r="G123" s="44">
        <f>IFERROR(SUMIFS(Transactions!$F$7:$F$989,Transactions!$G$7:$G$989,A123,Transactions!$D$7:$D$989,"Expense"),0)</f>
        <v>0</v>
      </c>
      <c r="H123" s="41"/>
      <c r="I123" s="41"/>
      <c r="J123" s="41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1"/>
      <c r="B124" s="38"/>
      <c r="C124" s="41"/>
      <c r="D124" s="41"/>
      <c r="E124" s="41"/>
      <c r="F124" s="42"/>
      <c r="G124" s="44">
        <f>IFERROR(SUMIFS(Transactions!$F$7:$F$989,Transactions!$G$7:$G$989,A124,Transactions!$D$7:$D$989,"Expense"),0)</f>
        <v>0</v>
      </c>
      <c r="H124" s="41"/>
      <c r="I124" s="41"/>
      <c r="J124" s="41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1"/>
      <c r="B125" s="38"/>
      <c r="C125" s="41"/>
      <c r="D125" s="41"/>
      <c r="E125" s="41"/>
      <c r="F125" s="42"/>
      <c r="G125" s="44">
        <f>IFERROR(SUMIFS(Transactions!$F$7:$F$989,Transactions!$G$7:$G$989,A125,Transactions!$D$7:$D$989,"Expense"),0)</f>
        <v>0</v>
      </c>
      <c r="H125" s="41"/>
      <c r="I125" s="41"/>
      <c r="J125" s="41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1"/>
      <c r="B126" s="38"/>
      <c r="C126" s="41"/>
      <c r="D126" s="41"/>
      <c r="E126" s="41"/>
      <c r="F126" s="42"/>
      <c r="G126" s="44">
        <f>IFERROR(SUMIFS(Transactions!$F$7:$F$989,Transactions!$G$7:$G$989,A126,Transactions!$D$7:$D$989,"Expense"),0)</f>
        <v>0</v>
      </c>
      <c r="H126" s="41"/>
      <c r="I126" s="41"/>
      <c r="J126" s="41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1"/>
      <c r="B127" s="38"/>
      <c r="C127" s="41"/>
      <c r="D127" s="41"/>
      <c r="E127" s="41"/>
      <c r="F127" s="42"/>
      <c r="G127" s="44">
        <f>IFERROR(SUMIFS(Transactions!$F$7:$F$989,Transactions!$G$7:$G$989,A127,Transactions!$D$7:$D$989,"Expense"),0)</f>
        <v>0</v>
      </c>
      <c r="H127" s="41"/>
      <c r="I127" s="41"/>
      <c r="J127" s="41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1"/>
      <c r="B128" s="38"/>
      <c r="C128" s="41"/>
      <c r="D128" s="41"/>
      <c r="E128" s="41"/>
      <c r="F128" s="42"/>
      <c r="G128" s="44">
        <f>IFERROR(SUMIFS(Transactions!$F$7:$F$989,Transactions!$G$7:$G$989,A128,Transactions!$D$7:$D$989,"Expense"),0)</f>
        <v>0</v>
      </c>
      <c r="H128" s="41"/>
      <c r="I128" s="41"/>
      <c r="J128" s="41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1"/>
      <c r="B129" s="38"/>
      <c r="C129" s="41"/>
      <c r="D129" s="41"/>
      <c r="E129" s="41"/>
      <c r="F129" s="42"/>
      <c r="G129" s="44">
        <f>IFERROR(SUMIFS(Transactions!$F$7:$F$989,Transactions!$G$7:$G$989,A129,Transactions!$D$7:$D$989,"Expense"),0)</f>
        <v>0</v>
      </c>
      <c r="H129" s="41"/>
      <c r="I129" s="41"/>
      <c r="J129" s="41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1"/>
      <c r="B130" s="38"/>
      <c r="C130" s="41"/>
      <c r="D130" s="41"/>
      <c r="E130" s="41"/>
      <c r="F130" s="42"/>
      <c r="G130" s="44">
        <f>IFERROR(SUMIFS(Transactions!$F$7:$F$989,Transactions!$G$7:$G$989,A130,Transactions!$D$7:$D$989,"Expense"),0)</f>
        <v>0</v>
      </c>
      <c r="H130" s="41"/>
      <c r="I130" s="41"/>
      <c r="J130" s="41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1"/>
      <c r="B131" s="38"/>
      <c r="C131" s="41"/>
      <c r="D131" s="41"/>
      <c r="E131" s="41"/>
      <c r="F131" s="42"/>
      <c r="G131" s="44">
        <f>IFERROR(SUMIFS(Transactions!$F$7:$F$989,Transactions!$G$7:$G$989,A131,Transactions!$D$7:$D$989,"Expense"),0)</f>
        <v>0</v>
      </c>
      <c r="H131" s="41"/>
      <c r="I131" s="41"/>
      <c r="J131" s="41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1"/>
      <c r="B132" s="38"/>
      <c r="C132" s="41"/>
      <c r="D132" s="41"/>
      <c r="E132" s="41"/>
      <c r="F132" s="42"/>
      <c r="G132" s="44">
        <f>IFERROR(SUMIFS(Transactions!$F$7:$F$989,Transactions!$G$7:$G$989,A132,Transactions!$D$7:$D$989,"Expense"),0)</f>
        <v>0</v>
      </c>
      <c r="H132" s="41"/>
      <c r="I132" s="41"/>
      <c r="J132" s="41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1"/>
      <c r="B133" s="38"/>
      <c r="C133" s="41"/>
      <c r="D133" s="41"/>
      <c r="E133" s="41"/>
      <c r="F133" s="42"/>
      <c r="G133" s="44">
        <f>IFERROR(SUMIFS(Transactions!$F$7:$F$989,Transactions!$G$7:$G$989,A133,Transactions!$D$7:$D$989,"Expense"),0)</f>
        <v>0</v>
      </c>
      <c r="H133" s="41"/>
      <c r="I133" s="41"/>
      <c r="J133" s="41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1"/>
      <c r="B134" s="38"/>
      <c r="C134" s="41"/>
      <c r="D134" s="41"/>
      <c r="E134" s="41"/>
      <c r="F134" s="42"/>
      <c r="G134" s="44">
        <f>IFERROR(SUMIFS(Transactions!$F$7:$F$989,Transactions!$G$7:$G$989,A134,Transactions!$D$7:$D$989,"Expense"),0)</f>
        <v>0</v>
      </c>
      <c r="H134" s="41"/>
      <c r="I134" s="41"/>
      <c r="J134" s="41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1"/>
      <c r="B135" s="38"/>
      <c r="C135" s="41"/>
      <c r="D135" s="41"/>
      <c r="E135" s="41"/>
      <c r="F135" s="42"/>
      <c r="G135" s="44">
        <f>IFERROR(SUMIFS(Transactions!$F$7:$F$989,Transactions!$G$7:$G$989,A135,Transactions!$D$7:$D$989,"Expense"),0)</f>
        <v>0</v>
      </c>
      <c r="H135" s="41"/>
      <c r="I135" s="41"/>
      <c r="J135" s="41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1"/>
      <c r="B136" s="38"/>
      <c r="C136" s="41"/>
      <c r="D136" s="41"/>
      <c r="E136" s="41"/>
      <c r="F136" s="42"/>
      <c r="G136" s="44">
        <f>IFERROR(SUMIFS(Transactions!$F$7:$F$989,Transactions!$G$7:$G$989,A136,Transactions!$D$7:$D$989,"Expense"),0)</f>
        <v>0</v>
      </c>
      <c r="H136" s="41"/>
      <c r="I136" s="41"/>
      <c r="J136" s="41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1"/>
      <c r="B137" s="38"/>
      <c r="C137" s="41"/>
      <c r="D137" s="41"/>
      <c r="E137" s="41"/>
      <c r="F137" s="42"/>
      <c r="G137" s="44">
        <f>IFERROR(SUMIFS(Transactions!$F$7:$F$989,Transactions!$G$7:$G$989,A137,Transactions!$D$7:$D$989,"Expense"),0)</f>
        <v>0</v>
      </c>
      <c r="H137" s="41"/>
      <c r="I137" s="41"/>
      <c r="J137" s="41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1"/>
      <c r="B138" s="38"/>
      <c r="C138" s="41"/>
      <c r="D138" s="41"/>
      <c r="E138" s="41"/>
      <c r="F138" s="42"/>
      <c r="G138" s="44">
        <f>IFERROR(SUMIFS(Transactions!$F$7:$F$989,Transactions!$G$7:$G$989,A138,Transactions!$D$7:$D$989,"Expense"),0)</f>
        <v>0</v>
      </c>
      <c r="H138" s="41"/>
      <c r="I138" s="41"/>
      <c r="J138" s="41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1"/>
      <c r="B139" s="38"/>
      <c r="C139" s="41"/>
      <c r="D139" s="41"/>
      <c r="E139" s="41"/>
      <c r="F139" s="42"/>
      <c r="G139" s="44">
        <f>IFERROR(SUMIFS(Transactions!$F$7:$F$989,Transactions!$G$7:$G$989,A139,Transactions!$D$7:$D$989,"Expense"),0)</f>
        <v>0</v>
      </c>
      <c r="H139" s="41"/>
      <c r="I139" s="41"/>
      <c r="J139" s="41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1"/>
      <c r="B140" s="38"/>
      <c r="C140" s="41"/>
      <c r="D140" s="41"/>
      <c r="E140" s="41"/>
      <c r="F140" s="42"/>
      <c r="G140" s="44">
        <f>IFERROR(SUMIFS(Transactions!$F$7:$F$989,Transactions!$G$7:$G$989,A140,Transactions!$D$7:$D$989,"Expense"),0)</f>
        <v>0</v>
      </c>
      <c r="H140" s="41"/>
      <c r="I140" s="41"/>
      <c r="J140" s="41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1"/>
      <c r="B141" s="38"/>
      <c r="C141" s="41"/>
      <c r="D141" s="41"/>
      <c r="E141" s="41"/>
      <c r="F141" s="42"/>
      <c r="G141" s="44">
        <f>IFERROR(SUMIFS(Transactions!$F$7:$F$989,Transactions!$G$7:$G$989,A141,Transactions!$D$7:$D$989,"Expense"),0)</f>
        <v>0</v>
      </c>
      <c r="H141" s="41"/>
      <c r="I141" s="41"/>
      <c r="J141" s="41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1"/>
      <c r="B142" s="38"/>
      <c r="C142" s="41"/>
      <c r="D142" s="41"/>
      <c r="E142" s="41"/>
      <c r="F142" s="42"/>
      <c r="G142" s="44">
        <f>IFERROR(SUMIFS(Transactions!$F$7:$F$989,Transactions!$G$7:$G$989,A142,Transactions!$D$7:$D$989,"Expense"),0)</f>
        <v>0</v>
      </c>
      <c r="H142" s="41"/>
      <c r="I142" s="41"/>
      <c r="J142" s="41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1"/>
      <c r="B143" s="38"/>
      <c r="C143" s="41"/>
      <c r="D143" s="41"/>
      <c r="E143" s="41"/>
      <c r="F143" s="42"/>
      <c r="G143" s="44">
        <f>IFERROR(SUMIFS(Transactions!$F$7:$F$989,Transactions!$G$7:$G$989,A143,Transactions!$D$7:$D$989,"Expense"),0)</f>
        <v>0</v>
      </c>
      <c r="H143" s="41"/>
      <c r="I143" s="41"/>
      <c r="J143" s="41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1"/>
      <c r="B144" s="38"/>
      <c r="C144" s="41"/>
      <c r="D144" s="41"/>
      <c r="E144" s="41"/>
      <c r="F144" s="42"/>
      <c r="G144" s="44">
        <f>IFERROR(SUMIFS(Transactions!$F$7:$F$989,Transactions!$G$7:$G$989,A144,Transactions!$D$7:$D$989,"Expense"),0)</f>
        <v>0</v>
      </c>
      <c r="H144" s="41"/>
      <c r="I144" s="41"/>
      <c r="J144" s="41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1"/>
      <c r="B145" s="38"/>
      <c r="C145" s="41"/>
      <c r="D145" s="41"/>
      <c r="E145" s="41"/>
      <c r="F145" s="42"/>
      <c r="G145" s="44">
        <f>IFERROR(SUMIFS(Transactions!$F$7:$F$989,Transactions!$G$7:$G$989,A145,Transactions!$D$7:$D$989,"Expense"),0)</f>
        <v>0</v>
      </c>
      <c r="H145" s="41"/>
      <c r="I145" s="41"/>
      <c r="J145" s="41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1"/>
      <c r="B146" s="38"/>
      <c r="C146" s="41"/>
      <c r="D146" s="41"/>
      <c r="E146" s="41"/>
      <c r="F146" s="42"/>
      <c r="G146" s="44">
        <f>IFERROR(SUMIFS(Transactions!$F$7:$F$989,Transactions!$G$7:$G$989,A146,Transactions!$D$7:$D$989,"Expense"),0)</f>
        <v>0</v>
      </c>
      <c r="H146" s="41"/>
      <c r="I146" s="41"/>
      <c r="J146" s="41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1"/>
      <c r="B147" s="38"/>
      <c r="C147" s="41"/>
      <c r="D147" s="41"/>
      <c r="E147" s="41"/>
      <c r="F147" s="42"/>
      <c r="G147" s="44">
        <f>IFERROR(SUMIFS(Transactions!$F$7:$F$989,Transactions!$G$7:$G$989,A147,Transactions!$D$7:$D$989,"Expense"),0)</f>
        <v>0</v>
      </c>
      <c r="H147" s="41"/>
      <c r="I147" s="41"/>
      <c r="J147" s="41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1"/>
      <c r="B148" s="38"/>
      <c r="C148" s="41"/>
      <c r="D148" s="41"/>
      <c r="E148" s="41"/>
      <c r="F148" s="42"/>
      <c r="G148" s="44">
        <f>IFERROR(SUMIFS(Transactions!$F$7:$F$989,Transactions!$G$7:$G$989,A148,Transactions!$D$7:$D$989,"Expense"),0)</f>
        <v>0</v>
      </c>
      <c r="H148" s="41"/>
      <c r="I148" s="41"/>
      <c r="J148" s="41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1"/>
      <c r="B149" s="38"/>
      <c r="C149" s="41"/>
      <c r="D149" s="41"/>
      <c r="E149" s="41"/>
      <c r="F149" s="42"/>
      <c r="G149" s="44">
        <f>IFERROR(SUMIFS(Transactions!$F$7:$F$989,Transactions!$G$7:$G$989,A149,Transactions!$D$7:$D$989,"Expense"),0)</f>
        <v>0</v>
      </c>
      <c r="H149" s="41"/>
      <c r="I149" s="41"/>
      <c r="J149" s="41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1"/>
      <c r="B150" s="38"/>
      <c r="C150" s="41"/>
      <c r="D150" s="41"/>
      <c r="E150" s="41"/>
      <c r="F150" s="42"/>
      <c r="G150" s="44">
        <f>IFERROR(SUMIFS(Transactions!$F$7:$F$989,Transactions!$G$7:$G$989,A150,Transactions!$D$7:$D$989,"Expense"),0)</f>
        <v>0</v>
      </c>
      <c r="H150" s="41"/>
      <c r="I150" s="41"/>
      <c r="J150" s="41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1"/>
      <c r="B151" s="38"/>
      <c r="C151" s="41"/>
      <c r="D151" s="41"/>
      <c r="E151" s="41"/>
      <c r="F151" s="42"/>
      <c r="G151" s="44">
        <f>IFERROR(SUMIFS(Transactions!$F$7:$F$989,Transactions!$G$7:$G$989,A151,Transactions!$D$7:$D$989,"Expense"),0)</f>
        <v>0</v>
      </c>
      <c r="H151" s="41"/>
      <c r="I151" s="41"/>
      <c r="J151" s="41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1"/>
      <c r="B152" s="38"/>
      <c r="C152" s="41"/>
      <c r="D152" s="41"/>
      <c r="E152" s="41"/>
      <c r="F152" s="42"/>
      <c r="G152" s="44">
        <f>IFERROR(SUMIFS(Transactions!$F$7:$F$989,Transactions!$G$7:$G$989,A152,Transactions!$D$7:$D$989,"Expense"),0)</f>
        <v>0</v>
      </c>
      <c r="H152" s="41"/>
      <c r="I152" s="41"/>
      <c r="J152" s="41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1"/>
      <c r="B153" s="38"/>
      <c r="C153" s="41"/>
      <c r="D153" s="41"/>
      <c r="E153" s="41"/>
      <c r="F153" s="42"/>
      <c r="G153" s="44">
        <f>IFERROR(SUMIFS(Transactions!$F$7:$F$989,Transactions!$G$7:$G$989,A153,Transactions!$D$7:$D$989,"Expense"),0)</f>
        <v>0</v>
      </c>
      <c r="H153" s="41"/>
      <c r="I153" s="41"/>
      <c r="J153" s="41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1"/>
      <c r="B154" s="38"/>
      <c r="C154" s="41"/>
      <c r="D154" s="41"/>
      <c r="E154" s="41"/>
      <c r="F154" s="42"/>
      <c r="G154" s="44">
        <f>IFERROR(SUMIFS(Transactions!$F$7:$F$989,Transactions!$G$7:$G$989,A154,Transactions!$D$7:$D$989,"Expense"),0)</f>
        <v>0</v>
      </c>
      <c r="H154" s="41"/>
      <c r="I154" s="41"/>
      <c r="J154" s="41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1"/>
      <c r="B155" s="38"/>
      <c r="C155" s="41"/>
      <c r="D155" s="41"/>
      <c r="E155" s="41"/>
      <c r="F155" s="42"/>
      <c r="G155" s="44">
        <f>IFERROR(SUMIFS(Transactions!$F$7:$F$989,Transactions!$G$7:$G$989,A155,Transactions!$D$7:$D$989,"Expense"),0)</f>
        <v>0</v>
      </c>
      <c r="H155" s="41"/>
      <c r="I155" s="41"/>
      <c r="J155" s="41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1"/>
      <c r="B156" s="38"/>
      <c r="C156" s="41"/>
      <c r="D156" s="41"/>
      <c r="E156" s="41"/>
      <c r="F156" s="42"/>
      <c r="G156" s="44">
        <f>IFERROR(SUMIFS(Transactions!$F$7:$F$989,Transactions!$G$7:$G$989,A156,Transactions!$D$7:$D$989,"Expense"),0)</f>
        <v>0</v>
      </c>
      <c r="H156" s="41"/>
      <c r="I156" s="41"/>
      <c r="J156" s="41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1"/>
      <c r="B157" s="38"/>
      <c r="C157" s="41"/>
      <c r="D157" s="41"/>
      <c r="E157" s="41"/>
      <c r="F157" s="42"/>
      <c r="G157" s="44">
        <f>IFERROR(SUMIFS(Transactions!$F$7:$F$989,Transactions!$G$7:$G$989,A157,Transactions!$D$7:$D$989,"Expense"),0)</f>
        <v>0</v>
      </c>
      <c r="H157" s="41"/>
      <c r="I157" s="41"/>
      <c r="J157" s="41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1"/>
      <c r="B158" s="38"/>
      <c r="C158" s="41"/>
      <c r="D158" s="41"/>
      <c r="E158" s="41"/>
      <c r="F158" s="42"/>
      <c r="G158" s="44">
        <f>IFERROR(SUMIFS(Transactions!$F$7:$F$989,Transactions!$G$7:$G$989,A158,Transactions!$D$7:$D$989,"Expense"),0)</f>
        <v>0</v>
      </c>
      <c r="H158" s="41"/>
      <c r="I158" s="41"/>
      <c r="J158" s="41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1"/>
      <c r="B159" s="38"/>
      <c r="C159" s="41"/>
      <c r="D159" s="41"/>
      <c r="E159" s="41"/>
      <c r="F159" s="42"/>
      <c r="G159" s="44">
        <f>IFERROR(SUMIFS(Transactions!$F$7:$F$989,Transactions!$G$7:$G$989,A159,Transactions!$D$7:$D$989,"Expense"),0)</f>
        <v>0</v>
      </c>
      <c r="H159" s="41"/>
      <c r="I159" s="41"/>
      <c r="J159" s="41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1"/>
      <c r="B160" s="38"/>
      <c r="C160" s="41"/>
      <c r="D160" s="41"/>
      <c r="E160" s="41"/>
      <c r="F160" s="42"/>
      <c r="G160" s="44">
        <f>IFERROR(SUMIFS(Transactions!$F$7:$F$989,Transactions!$G$7:$G$989,A160,Transactions!$D$7:$D$989,"Expense"),0)</f>
        <v>0</v>
      </c>
      <c r="H160" s="41"/>
      <c r="I160" s="41"/>
      <c r="J160" s="41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1"/>
      <c r="B161" s="38"/>
      <c r="C161" s="41"/>
      <c r="D161" s="41"/>
      <c r="E161" s="41"/>
      <c r="F161" s="42"/>
      <c r="G161" s="44">
        <f>IFERROR(SUMIFS(Transactions!$F$7:$F$989,Transactions!$G$7:$G$989,A161,Transactions!$D$7:$D$989,"Expense"),0)</f>
        <v>0</v>
      </c>
      <c r="H161" s="41"/>
      <c r="I161" s="41"/>
      <c r="J161" s="41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1"/>
      <c r="B162" s="38"/>
      <c r="C162" s="41"/>
      <c r="D162" s="41"/>
      <c r="E162" s="41"/>
      <c r="F162" s="42"/>
      <c r="G162" s="44">
        <f>IFERROR(SUMIFS(Transactions!$F$7:$F$989,Transactions!$G$7:$G$989,A162,Transactions!$D$7:$D$989,"Expense"),0)</f>
        <v>0</v>
      </c>
      <c r="H162" s="41"/>
      <c r="I162" s="41"/>
      <c r="J162" s="41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1"/>
      <c r="B163" s="38"/>
      <c r="C163" s="41"/>
      <c r="D163" s="41"/>
      <c r="E163" s="41"/>
      <c r="F163" s="42"/>
      <c r="G163" s="44">
        <f>IFERROR(SUMIFS(Transactions!$F$7:$F$989,Transactions!$G$7:$G$989,A163,Transactions!$D$7:$D$989,"Expense"),0)</f>
        <v>0</v>
      </c>
      <c r="H163" s="41"/>
      <c r="I163" s="41"/>
      <c r="J163" s="41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1"/>
      <c r="B164" s="38"/>
      <c r="C164" s="41"/>
      <c r="D164" s="41"/>
      <c r="E164" s="41"/>
      <c r="F164" s="42"/>
      <c r="G164" s="44">
        <f>IFERROR(SUMIFS(Transactions!$F$7:$F$989,Transactions!$G$7:$G$989,A164,Transactions!$D$7:$D$989,"Expense"),0)</f>
        <v>0</v>
      </c>
      <c r="H164" s="41"/>
      <c r="I164" s="41"/>
      <c r="J164" s="41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1"/>
      <c r="B165" s="38"/>
      <c r="C165" s="41"/>
      <c r="D165" s="41"/>
      <c r="E165" s="41"/>
      <c r="F165" s="42"/>
      <c r="G165" s="44">
        <f>IFERROR(SUMIFS(Transactions!$F$7:$F$989,Transactions!$G$7:$G$989,A165,Transactions!$D$7:$D$989,"Expense"),0)</f>
        <v>0</v>
      </c>
      <c r="H165" s="41"/>
      <c r="I165" s="41"/>
      <c r="J165" s="41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1"/>
      <c r="B166" s="38"/>
      <c r="C166" s="41"/>
      <c r="D166" s="41"/>
      <c r="E166" s="41"/>
      <c r="F166" s="42"/>
      <c r="G166" s="44">
        <f>IFERROR(SUMIFS(Transactions!$F$7:$F$989,Transactions!$G$7:$G$989,A166,Transactions!$D$7:$D$989,"Expense"),0)</f>
        <v>0</v>
      </c>
      <c r="H166" s="41"/>
      <c r="I166" s="41"/>
      <c r="J166" s="41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1"/>
      <c r="B167" s="38"/>
      <c r="C167" s="41"/>
      <c r="D167" s="41"/>
      <c r="E167" s="41"/>
      <c r="F167" s="42"/>
      <c r="G167" s="44">
        <f>IFERROR(SUMIFS(Transactions!$F$7:$F$989,Transactions!$G$7:$G$989,A167,Transactions!$D$7:$D$989,"Expense"),0)</f>
        <v>0</v>
      </c>
      <c r="H167" s="41"/>
      <c r="I167" s="41"/>
      <c r="J167" s="41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1"/>
      <c r="B168" s="38"/>
      <c r="C168" s="41"/>
      <c r="D168" s="41"/>
      <c r="E168" s="41"/>
      <c r="F168" s="42"/>
      <c r="G168" s="44">
        <f>IFERROR(SUMIFS(Transactions!$F$7:$F$989,Transactions!$G$7:$G$989,A168,Transactions!$D$7:$D$989,"Expense"),0)</f>
        <v>0</v>
      </c>
      <c r="H168" s="41"/>
      <c r="I168" s="41"/>
      <c r="J168" s="41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1"/>
      <c r="B169" s="38"/>
      <c r="C169" s="41"/>
      <c r="D169" s="41"/>
      <c r="E169" s="41"/>
      <c r="F169" s="42"/>
      <c r="G169" s="44">
        <f>IFERROR(SUMIFS(Transactions!$F$7:$F$989,Transactions!$G$7:$G$989,A169,Transactions!$D$7:$D$989,"Expense"),0)</f>
        <v>0</v>
      </c>
      <c r="H169" s="41"/>
      <c r="I169" s="41"/>
      <c r="J169" s="41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1"/>
      <c r="B170" s="38"/>
      <c r="C170" s="41"/>
      <c r="D170" s="41"/>
      <c r="E170" s="41"/>
      <c r="F170" s="42"/>
      <c r="G170" s="44">
        <f>IFERROR(SUMIFS(Transactions!$F$7:$F$989,Transactions!$G$7:$G$989,A170,Transactions!$D$7:$D$989,"Expense"),0)</f>
        <v>0</v>
      </c>
      <c r="H170" s="41"/>
      <c r="I170" s="41"/>
      <c r="J170" s="41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1"/>
      <c r="B171" s="38"/>
      <c r="C171" s="41"/>
      <c r="D171" s="41"/>
      <c r="E171" s="41"/>
      <c r="F171" s="42"/>
      <c r="G171" s="44">
        <f>IFERROR(SUMIFS(Transactions!$F$7:$F$989,Transactions!$G$7:$G$989,A171,Transactions!$D$7:$D$989,"Expense"),0)</f>
        <v>0</v>
      </c>
      <c r="H171" s="41"/>
      <c r="I171" s="41"/>
      <c r="J171" s="41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1"/>
      <c r="B172" s="38"/>
      <c r="C172" s="41"/>
      <c r="D172" s="41"/>
      <c r="E172" s="41"/>
      <c r="F172" s="42"/>
      <c r="G172" s="44">
        <f>IFERROR(SUMIFS(Transactions!$F$7:$F$989,Transactions!$G$7:$G$989,A172,Transactions!$D$7:$D$989,"Expense"),0)</f>
        <v>0</v>
      </c>
      <c r="H172" s="41"/>
      <c r="I172" s="41"/>
      <c r="J172" s="41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1"/>
      <c r="B173" s="38"/>
      <c r="C173" s="41"/>
      <c r="D173" s="41"/>
      <c r="E173" s="41"/>
      <c r="F173" s="42"/>
      <c r="G173" s="44">
        <f>IFERROR(SUMIFS(Transactions!$F$7:$F$989,Transactions!$G$7:$G$989,A173,Transactions!$D$7:$D$989,"Expense"),0)</f>
        <v>0</v>
      </c>
      <c r="H173" s="41"/>
      <c r="I173" s="41"/>
      <c r="J173" s="41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1"/>
      <c r="B174" s="38"/>
      <c r="C174" s="41"/>
      <c r="D174" s="41"/>
      <c r="E174" s="41"/>
      <c r="F174" s="42"/>
      <c r="G174" s="44">
        <f>IFERROR(SUMIFS(Transactions!$F$7:$F$989,Transactions!$G$7:$G$989,A174,Transactions!$D$7:$D$989,"Expense"),0)</f>
        <v>0</v>
      </c>
      <c r="H174" s="41"/>
      <c r="I174" s="41"/>
      <c r="J174" s="41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1"/>
      <c r="B175" s="38"/>
      <c r="C175" s="41"/>
      <c r="D175" s="41"/>
      <c r="E175" s="41"/>
      <c r="F175" s="42"/>
      <c r="G175" s="44">
        <f>IFERROR(SUMIFS(Transactions!$F$7:$F$989,Transactions!$G$7:$G$989,A175,Transactions!$D$7:$D$989,"Expense"),0)</f>
        <v>0</v>
      </c>
      <c r="H175" s="41"/>
      <c r="I175" s="41"/>
      <c r="J175" s="41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1"/>
      <c r="B176" s="38"/>
      <c r="C176" s="41"/>
      <c r="D176" s="41"/>
      <c r="E176" s="41"/>
      <c r="F176" s="42"/>
      <c r="G176" s="44">
        <f>IFERROR(SUMIFS(Transactions!$F$7:$F$989,Transactions!$G$7:$G$989,A176,Transactions!$D$7:$D$989,"Expense"),0)</f>
        <v>0</v>
      </c>
      <c r="H176" s="41"/>
      <c r="I176" s="41"/>
      <c r="J176" s="41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1"/>
      <c r="B177" s="38"/>
      <c r="C177" s="41"/>
      <c r="D177" s="41"/>
      <c r="E177" s="41"/>
      <c r="F177" s="42"/>
      <c r="G177" s="44">
        <f>IFERROR(SUMIFS(Transactions!$F$7:$F$989,Transactions!$G$7:$G$989,A177,Transactions!$D$7:$D$989,"Expense"),0)</f>
        <v>0</v>
      </c>
      <c r="H177" s="41"/>
      <c r="I177" s="41"/>
      <c r="J177" s="41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1"/>
      <c r="B178" s="38"/>
      <c r="C178" s="41"/>
      <c r="D178" s="41"/>
      <c r="E178" s="41"/>
      <c r="F178" s="42"/>
      <c r="G178" s="44">
        <f>IFERROR(SUMIFS(Transactions!$F$7:$F$989,Transactions!$G$7:$G$989,A178,Transactions!$D$7:$D$989,"Expense"),0)</f>
        <v>0</v>
      </c>
      <c r="H178" s="41"/>
      <c r="I178" s="41"/>
      <c r="J178" s="41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1"/>
      <c r="B179" s="38"/>
      <c r="C179" s="41"/>
      <c r="D179" s="41"/>
      <c r="E179" s="41"/>
      <c r="F179" s="42"/>
      <c r="G179" s="44">
        <f>IFERROR(SUMIFS(Transactions!$F$7:$F$989,Transactions!$G$7:$G$989,A179,Transactions!$D$7:$D$989,"Expense"),0)</f>
        <v>0</v>
      </c>
      <c r="H179" s="41"/>
      <c r="I179" s="41"/>
      <c r="J179" s="41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1"/>
      <c r="B180" s="38"/>
      <c r="C180" s="41"/>
      <c r="D180" s="41"/>
      <c r="E180" s="41"/>
      <c r="F180" s="42"/>
      <c r="G180" s="44">
        <f>IFERROR(SUMIFS(Transactions!$F$7:$F$989,Transactions!$G$7:$G$989,A180,Transactions!$D$7:$D$989,"Expense"),0)</f>
        <v>0</v>
      </c>
      <c r="H180" s="41"/>
      <c r="I180" s="41"/>
      <c r="J180" s="41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1"/>
      <c r="B181" s="38"/>
      <c r="C181" s="41"/>
      <c r="D181" s="41"/>
      <c r="E181" s="41"/>
      <c r="F181" s="42"/>
      <c r="G181" s="44">
        <f>IFERROR(SUMIFS(Transactions!$F$7:$F$989,Transactions!$G$7:$G$989,A181,Transactions!$D$7:$D$989,"Expense"),0)</f>
        <v>0</v>
      </c>
      <c r="H181" s="41"/>
      <c r="I181" s="41"/>
      <c r="J181" s="41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1"/>
      <c r="B182" s="38"/>
      <c r="C182" s="41"/>
      <c r="D182" s="41"/>
      <c r="E182" s="41"/>
      <c r="F182" s="42"/>
      <c r="G182" s="44">
        <f>IFERROR(SUMIFS(Transactions!$F$7:$F$989,Transactions!$G$7:$G$989,A182,Transactions!$D$7:$D$989,"Expense"),0)</f>
        <v>0</v>
      </c>
      <c r="H182" s="41"/>
      <c r="I182" s="41"/>
      <c r="J182" s="41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1"/>
      <c r="B183" s="38"/>
      <c r="C183" s="41"/>
      <c r="D183" s="41"/>
      <c r="E183" s="41"/>
      <c r="F183" s="42"/>
      <c r="G183" s="44">
        <f>IFERROR(SUMIFS(Transactions!$F$7:$F$989,Transactions!$G$7:$G$989,A183,Transactions!$D$7:$D$989,"Expense"),0)</f>
        <v>0</v>
      </c>
      <c r="H183" s="41"/>
      <c r="I183" s="41"/>
      <c r="J183" s="41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1"/>
      <c r="B184" s="38"/>
      <c r="C184" s="41"/>
      <c r="D184" s="41"/>
      <c r="E184" s="41"/>
      <c r="F184" s="42"/>
      <c r="G184" s="44">
        <f>IFERROR(SUMIFS(Transactions!$F$7:$F$989,Transactions!$G$7:$G$989,A184,Transactions!$D$7:$D$989,"Expense"),0)</f>
        <v>0</v>
      </c>
      <c r="H184" s="41"/>
      <c r="I184" s="41"/>
      <c r="J184" s="41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1"/>
      <c r="B185" s="38"/>
      <c r="C185" s="41"/>
      <c r="D185" s="41"/>
      <c r="E185" s="41"/>
      <c r="F185" s="42"/>
      <c r="G185" s="44">
        <f>IFERROR(SUMIFS(Transactions!$F$7:$F$989,Transactions!$G$7:$G$989,A185,Transactions!$D$7:$D$989,"Expense"),0)</f>
        <v>0</v>
      </c>
      <c r="H185" s="41"/>
      <c r="I185" s="41"/>
      <c r="J185" s="41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1"/>
      <c r="B186" s="38"/>
      <c r="C186" s="41"/>
      <c r="D186" s="41"/>
      <c r="E186" s="41"/>
      <c r="F186" s="42"/>
      <c r="G186" s="44">
        <f>IFERROR(SUMIFS(Transactions!$F$7:$F$989,Transactions!$G$7:$G$989,A186,Transactions!$D$7:$D$989,"Expense"),0)</f>
        <v>0</v>
      </c>
      <c r="H186" s="41"/>
      <c r="I186" s="41"/>
      <c r="J186" s="41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1"/>
      <c r="B187" s="38"/>
      <c r="C187" s="41"/>
      <c r="D187" s="41"/>
      <c r="E187" s="41"/>
      <c r="F187" s="42"/>
      <c r="G187" s="44">
        <f>IFERROR(SUMIFS(Transactions!$F$7:$F$989,Transactions!$G$7:$G$989,A187,Transactions!$D$7:$D$989,"Expense"),0)</f>
        <v>0</v>
      </c>
      <c r="H187" s="41"/>
      <c r="I187" s="41"/>
      <c r="J187" s="41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1"/>
      <c r="B188" s="38"/>
      <c r="C188" s="41"/>
      <c r="D188" s="41"/>
      <c r="E188" s="41"/>
      <c r="F188" s="42"/>
      <c r="G188" s="44">
        <f>IFERROR(SUMIFS(Transactions!$F$7:$F$989,Transactions!$G$7:$G$989,A188,Transactions!$D$7:$D$989,"Expense"),0)</f>
        <v>0</v>
      </c>
      <c r="H188" s="41"/>
      <c r="I188" s="41"/>
      <c r="J188" s="41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1"/>
      <c r="B189" s="38"/>
      <c r="C189" s="41"/>
      <c r="D189" s="41"/>
      <c r="E189" s="41"/>
      <c r="F189" s="42"/>
      <c r="G189" s="44">
        <f>IFERROR(SUMIFS(Transactions!$F$7:$F$989,Transactions!$G$7:$G$989,A189,Transactions!$D$7:$D$989,"Expense"),0)</f>
        <v>0</v>
      </c>
      <c r="H189" s="41"/>
      <c r="I189" s="41"/>
      <c r="J189" s="41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1"/>
      <c r="B190" s="38"/>
      <c r="C190" s="41"/>
      <c r="D190" s="41"/>
      <c r="E190" s="41"/>
      <c r="F190" s="42"/>
      <c r="G190" s="44">
        <f>IFERROR(SUMIFS(Transactions!$F$7:$F$989,Transactions!$G$7:$G$989,A190,Transactions!$D$7:$D$989,"Expense"),0)</f>
        <v>0</v>
      </c>
      <c r="H190" s="41"/>
      <c r="I190" s="41"/>
      <c r="J190" s="41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1"/>
      <c r="B191" s="38"/>
      <c r="C191" s="41"/>
      <c r="D191" s="41"/>
      <c r="E191" s="41"/>
      <c r="F191" s="42"/>
      <c r="G191" s="44">
        <f>IFERROR(SUMIFS(Transactions!$F$7:$F$989,Transactions!$G$7:$G$989,A191,Transactions!$D$7:$D$989,"Expense"),0)</f>
        <v>0</v>
      </c>
      <c r="H191" s="41"/>
      <c r="I191" s="41"/>
      <c r="J191" s="41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1"/>
      <c r="B192" s="38"/>
      <c r="C192" s="41"/>
      <c r="D192" s="41"/>
      <c r="E192" s="41"/>
      <c r="F192" s="42"/>
      <c r="G192" s="44">
        <f>IFERROR(SUMIFS(Transactions!$F$7:$F$989,Transactions!$G$7:$G$989,A192,Transactions!$D$7:$D$989,"Expense"),0)</f>
        <v>0</v>
      </c>
      <c r="H192" s="41"/>
      <c r="I192" s="41"/>
      <c r="J192" s="41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1"/>
      <c r="B193" s="38"/>
      <c r="C193" s="41"/>
      <c r="D193" s="41"/>
      <c r="E193" s="41"/>
      <c r="F193" s="42"/>
      <c r="G193" s="44">
        <f>IFERROR(SUMIFS(Transactions!$F$7:$F$989,Transactions!$G$7:$G$989,A193,Transactions!$D$7:$D$989,"Expense"),0)</f>
        <v>0</v>
      </c>
      <c r="H193" s="41"/>
      <c r="I193" s="41"/>
      <c r="J193" s="41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1"/>
      <c r="B194" s="38"/>
      <c r="C194" s="41"/>
      <c r="D194" s="41"/>
      <c r="E194" s="41"/>
      <c r="F194" s="42"/>
      <c r="G194" s="44">
        <f>IFERROR(SUMIFS(Transactions!$F$7:$F$989,Transactions!$G$7:$G$989,A194,Transactions!$D$7:$D$989,"Expense"),0)</f>
        <v>0</v>
      </c>
      <c r="H194" s="41"/>
      <c r="I194" s="41"/>
      <c r="J194" s="41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1"/>
      <c r="B195" s="38"/>
      <c r="C195" s="41"/>
      <c r="D195" s="41"/>
      <c r="E195" s="41"/>
      <c r="F195" s="42"/>
      <c r="G195" s="44">
        <f>IFERROR(SUMIFS(Transactions!$F$7:$F$989,Transactions!$G$7:$G$989,A195,Transactions!$D$7:$D$989,"Expense"),0)</f>
        <v>0</v>
      </c>
      <c r="H195" s="41"/>
      <c r="I195" s="41"/>
      <c r="J195" s="41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1"/>
      <c r="B196" s="38"/>
      <c r="C196" s="41"/>
      <c r="D196" s="41"/>
      <c r="E196" s="41"/>
      <c r="F196" s="42"/>
      <c r="G196" s="44">
        <f>IFERROR(SUMIFS(Transactions!$F$7:$F$989,Transactions!$G$7:$G$989,A196,Transactions!$D$7:$D$989,"Expense"),0)</f>
        <v>0</v>
      </c>
      <c r="H196" s="41"/>
      <c r="I196" s="41"/>
      <c r="J196" s="41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1"/>
      <c r="B197" s="38"/>
      <c r="C197" s="41"/>
      <c r="D197" s="41"/>
      <c r="E197" s="41"/>
      <c r="F197" s="42"/>
      <c r="G197" s="44">
        <f>IFERROR(SUMIFS(Transactions!$F$7:$F$989,Transactions!$G$7:$G$989,A197,Transactions!$D$7:$D$989,"Expense"),0)</f>
        <v>0</v>
      </c>
      <c r="H197" s="41"/>
      <c r="I197" s="41"/>
      <c r="J197" s="41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1"/>
      <c r="B198" s="38"/>
      <c r="C198" s="41"/>
      <c r="D198" s="41"/>
      <c r="E198" s="41"/>
      <c r="F198" s="42"/>
      <c r="G198" s="44">
        <f>IFERROR(SUMIFS(Transactions!$F$7:$F$989,Transactions!$G$7:$G$989,A198,Transactions!$D$7:$D$989,"Expense"),0)</f>
        <v>0</v>
      </c>
      <c r="H198" s="41"/>
      <c r="I198" s="41"/>
      <c r="J198" s="41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1"/>
      <c r="B199" s="38"/>
      <c r="C199" s="41"/>
      <c r="D199" s="41"/>
      <c r="E199" s="41"/>
      <c r="F199" s="42"/>
      <c r="G199" s="44">
        <f>IFERROR(SUMIFS(Transactions!$F$7:$F$989,Transactions!$G$7:$G$989,A199,Transactions!$D$7:$D$989,"Expense"),0)</f>
        <v>0</v>
      </c>
      <c r="H199" s="41"/>
      <c r="I199" s="41"/>
      <c r="J199" s="41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1"/>
      <c r="B200" s="38"/>
      <c r="C200" s="41"/>
      <c r="D200" s="41"/>
      <c r="E200" s="41"/>
      <c r="F200" s="42"/>
      <c r="G200" s="44">
        <f>IFERROR(SUMIFS(Transactions!$F$7:$F$989,Transactions!$G$7:$G$989,A200,Transactions!$D$7:$D$989,"Expense"),0)</f>
        <v>0</v>
      </c>
      <c r="H200" s="41"/>
      <c r="I200" s="41"/>
      <c r="J200" s="41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1"/>
      <c r="B201" s="38"/>
      <c r="C201" s="41"/>
      <c r="D201" s="41"/>
      <c r="E201" s="41"/>
      <c r="F201" s="42"/>
      <c r="G201" s="44">
        <f>IFERROR(SUMIFS(Transactions!$F$7:$F$989,Transactions!$G$7:$G$989,A201,Transactions!$D$7:$D$989,"Expense"),0)</f>
        <v>0</v>
      </c>
      <c r="H201" s="41"/>
      <c r="I201" s="41"/>
      <c r="J201" s="41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1"/>
      <c r="B202" s="38"/>
      <c r="C202" s="41"/>
      <c r="D202" s="41"/>
      <c r="E202" s="41"/>
      <c r="F202" s="42"/>
      <c r="G202" s="44">
        <f>IFERROR(SUMIFS(Transactions!$F$7:$F$989,Transactions!$G$7:$G$989,A202,Transactions!$D$7:$D$989,"Expense"),0)</f>
        <v>0</v>
      </c>
      <c r="H202" s="41"/>
      <c r="I202" s="41"/>
      <c r="J202" s="41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1"/>
      <c r="B203" s="38"/>
      <c r="C203" s="41"/>
      <c r="D203" s="41"/>
      <c r="E203" s="41"/>
      <c r="F203" s="42"/>
      <c r="G203" s="44">
        <f>IFERROR(SUMIFS(Transactions!$F$7:$F$989,Transactions!$G$7:$G$989,A203,Transactions!$D$7:$D$989,"Expense"),0)</f>
        <v>0</v>
      </c>
      <c r="H203" s="41"/>
      <c r="I203" s="41"/>
      <c r="J203" s="41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1"/>
      <c r="B204" s="38"/>
      <c r="C204" s="41"/>
      <c r="D204" s="41"/>
      <c r="E204" s="41"/>
      <c r="F204" s="42"/>
      <c r="G204" s="44">
        <f>IFERROR(SUMIFS(Transactions!$F$7:$F$989,Transactions!$G$7:$G$989,A204,Transactions!$D$7:$D$989,"Expense"),0)</f>
        <v>0</v>
      </c>
      <c r="H204" s="41"/>
      <c r="I204" s="41"/>
      <c r="J204" s="41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41"/>
      <c r="B205" s="38"/>
      <c r="C205" s="41"/>
      <c r="D205" s="41"/>
      <c r="E205" s="41"/>
      <c r="F205" s="42"/>
      <c r="G205" s="44">
        <f>IFERROR(SUMIFS(Transactions!$F$7:$F$989,Transactions!$G$7:$G$989,A205,Transactions!$D$7:$D$989,"Expense"),0)</f>
        <v>0</v>
      </c>
      <c r="H205" s="41"/>
      <c r="I205" s="41"/>
      <c r="J205" s="41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1"/>
      <c r="B206" s="38"/>
      <c r="C206" s="41"/>
      <c r="D206" s="41"/>
      <c r="E206" s="41"/>
      <c r="F206" s="42"/>
      <c r="G206" s="44">
        <f>IFERROR(SUMIFS(Transactions!$F$7:$F$989,Transactions!$G$7:$G$989,A206,Transactions!$D$7:$D$989,"Expense"),0)</f>
        <v>0</v>
      </c>
      <c r="H206" s="41"/>
      <c r="I206" s="41"/>
      <c r="J206" s="41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41"/>
      <c r="B207" s="38"/>
      <c r="C207" s="41"/>
      <c r="D207" s="41"/>
      <c r="E207" s="41"/>
      <c r="F207" s="42"/>
      <c r="G207" s="44">
        <f>IFERROR(SUMIFS(Transactions!$F$7:$F$989,Transactions!$G$7:$G$989,A207,Transactions!$D$7:$D$989,"Expense"),0)</f>
        <v>0</v>
      </c>
      <c r="H207" s="41"/>
      <c r="I207" s="41"/>
      <c r="J207" s="41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1"/>
      <c r="B208" s="38"/>
      <c r="C208" s="41"/>
      <c r="D208" s="41"/>
      <c r="E208" s="41"/>
      <c r="F208" s="42"/>
      <c r="G208" s="44">
        <f>IFERROR(SUMIFS(Transactions!$F$7:$F$989,Transactions!$G$7:$G$989,A208,Transactions!$D$7:$D$989,"Expense"),0)</f>
        <v>0</v>
      </c>
      <c r="H208" s="41"/>
      <c r="I208" s="41"/>
      <c r="J208" s="41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41"/>
      <c r="B209" s="38"/>
      <c r="C209" s="41"/>
      <c r="D209" s="41"/>
      <c r="E209" s="41"/>
      <c r="F209" s="42"/>
      <c r="G209" s="44">
        <f>IFERROR(SUMIFS(Transactions!$F$7:$F$989,Transactions!$G$7:$G$989,A209,Transactions!$D$7:$D$989,"Expense"),0)</f>
        <v>0</v>
      </c>
      <c r="H209" s="41"/>
      <c r="I209" s="41"/>
      <c r="J209" s="41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1"/>
      <c r="B210" s="38"/>
      <c r="C210" s="41"/>
      <c r="D210" s="41"/>
      <c r="E210" s="41"/>
      <c r="F210" s="42"/>
      <c r="G210" s="44">
        <f>IFERROR(SUMIFS(Transactions!$F$7:$F$989,Transactions!$G$7:$G$989,A210,Transactions!$D$7:$D$989,"Expense"),0)</f>
        <v>0</v>
      </c>
      <c r="H210" s="41"/>
      <c r="I210" s="41"/>
      <c r="J210" s="41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41"/>
      <c r="B211" s="38"/>
      <c r="C211" s="41"/>
      <c r="D211" s="41"/>
      <c r="E211" s="41"/>
      <c r="F211" s="42"/>
      <c r="G211" s="44">
        <f>IFERROR(SUMIFS(Transactions!$F$7:$F$989,Transactions!$G$7:$G$989,A211,Transactions!$D$7:$D$989,"Expense"),0)</f>
        <v>0</v>
      </c>
      <c r="H211" s="41"/>
      <c r="I211" s="41"/>
      <c r="J211" s="41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1"/>
      <c r="B212" s="38"/>
      <c r="C212" s="41"/>
      <c r="D212" s="41"/>
      <c r="E212" s="41"/>
      <c r="F212" s="42"/>
      <c r="G212" s="44">
        <f>IFERROR(SUMIFS(Transactions!$F$7:$F$989,Transactions!$G$7:$G$989,A212,Transactions!$D$7:$D$989,"Expense"),0)</f>
        <v>0</v>
      </c>
      <c r="H212" s="41"/>
      <c r="I212" s="41"/>
      <c r="J212" s="41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41"/>
      <c r="B213" s="38"/>
      <c r="C213" s="41"/>
      <c r="D213" s="41"/>
      <c r="E213" s="41"/>
      <c r="F213" s="42"/>
      <c r="G213" s="44">
        <f>IFERROR(SUMIFS(Transactions!$F$7:$F$989,Transactions!$G$7:$G$989,A213,Transactions!$D$7:$D$989,"Expense"),0)</f>
        <v>0</v>
      </c>
      <c r="H213" s="41"/>
      <c r="I213" s="41"/>
      <c r="J213" s="41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1"/>
      <c r="B214" s="38"/>
      <c r="C214" s="41"/>
      <c r="D214" s="41"/>
      <c r="E214" s="41"/>
      <c r="F214" s="42"/>
      <c r="G214" s="44">
        <f>IFERROR(SUMIFS(Transactions!$F$7:$F$989,Transactions!$G$7:$G$989,A214,Transactions!$D$7:$D$989,"Expense"),0)</f>
        <v>0</v>
      </c>
      <c r="H214" s="41"/>
      <c r="I214" s="41"/>
      <c r="J214" s="41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41"/>
      <c r="B215" s="38"/>
      <c r="C215" s="41"/>
      <c r="D215" s="41"/>
      <c r="E215" s="41"/>
      <c r="F215" s="42"/>
      <c r="G215" s="44">
        <f>IFERROR(SUMIFS(Transactions!$F$7:$F$989,Transactions!$G$7:$G$989,A215,Transactions!$D$7:$D$989,"Expense"),0)</f>
        <v>0</v>
      </c>
      <c r="H215" s="41"/>
      <c r="I215" s="41"/>
      <c r="J215" s="41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1"/>
      <c r="B216" s="38"/>
      <c r="C216" s="41"/>
      <c r="D216" s="41"/>
      <c r="E216" s="41"/>
      <c r="F216" s="42"/>
      <c r="G216" s="44">
        <f>IFERROR(SUMIFS(Transactions!$F$7:$F$989,Transactions!$G$7:$G$989,A216,Transactions!$D$7:$D$989,"Expense"),0)</f>
        <v>0</v>
      </c>
      <c r="H216" s="41"/>
      <c r="I216" s="41"/>
      <c r="J216" s="41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41"/>
      <c r="B217" s="38"/>
      <c r="C217" s="41"/>
      <c r="D217" s="41"/>
      <c r="E217" s="41"/>
      <c r="F217" s="42"/>
      <c r="G217" s="44">
        <f>IFERROR(SUMIFS(Transactions!$F$7:$F$989,Transactions!$G$7:$G$989,A217,Transactions!$D$7:$D$989,"Expense"),0)</f>
        <v>0</v>
      </c>
      <c r="H217" s="41"/>
      <c r="I217" s="41"/>
      <c r="J217" s="41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1"/>
      <c r="B218" s="38"/>
      <c r="C218" s="41"/>
      <c r="D218" s="41"/>
      <c r="E218" s="41"/>
      <c r="F218" s="42"/>
      <c r="G218" s="44">
        <f>IFERROR(SUMIFS(Transactions!$F$7:$F$989,Transactions!$G$7:$G$989,A218,Transactions!$D$7:$D$989,"Expense"),0)</f>
        <v>0</v>
      </c>
      <c r="H218" s="41"/>
      <c r="I218" s="41"/>
      <c r="J218" s="41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41"/>
      <c r="B219" s="38"/>
      <c r="C219" s="41"/>
      <c r="D219" s="41"/>
      <c r="E219" s="41"/>
      <c r="F219" s="42"/>
      <c r="G219" s="44">
        <f>IFERROR(SUMIFS(Transactions!$F$7:$F$989,Transactions!$G$7:$G$989,A219,Transactions!$D$7:$D$989,"Expense"),0)</f>
        <v>0</v>
      </c>
      <c r="H219" s="41"/>
      <c r="I219" s="41"/>
      <c r="J219" s="41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1"/>
      <c r="B220" s="38"/>
      <c r="C220" s="41"/>
      <c r="D220" s="41"/>
      <c r="E220" s="41"/>
      <c r="F220" s="42"/>
      <c r="G220" s="44">
        <f>IFERROR(SUMIFS(Transactions!$F$7:$F$989,Transactions!$G$7:$G$989,A220,Transactions!$D$7:$D$989,"Expense"),0)</f>
        <v>0</v>
      </c>
      <c r="H220" s="41"/>
      <c r="I220" s="41"/>
      <c r="J220" s="41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41"/>
      <c r="B221" s="38"/>
      <c r="C221" s="41"/>
      <c r="D221" s="41"/>
      <c r="E221" s="41"/>
      <c r="F221" s="42"/>
      <c r="G221" s="44">
        <f>IFERROR(SUMIFS(Transactions!$F$7:$F$989,Transactions!$G$7:$G$989,A221,Transactions!$D$7:$D$989,"Expense"),0)</f>
        <v>0</v>
      </c>
      <c r="H221" s="41"/>
      <c r="I221" s="41"/>
      <c r="J221" s="41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1"/>
      <c r="B222" s="38"/>
      <c r="C222" s="41"/>
      <c r="D222" s="41"/>
      <c r="E222" s="41"/>
      <c r="F222" s="42"/>
      <c r="G222" s="44">
        <f>IFERROR(SUMIFS(Transactions!$F$7:$F$989,Transactions!$G$7:$G$989,A222,Transactions!$D$7:$D$989,"Expense"),0)</f>
        <v>0</v>
      </c>
      <c r="H222" s="41"/>
      <c r="I222" s="41"/>
      <c r="J222" s="41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41"/>
      <c r="B223" s="38"/>
      <c r="C223" s="41"/>
      <c r="D223" s="41"/>
      <c r="E223" s="41"/>
      <c r="F223" s="42"/>
      <c r="G223" s="44">
        <f>IFERROR(SUMIFS(Transactions!$F$7:$F$989,Transactions!$G$7:$G$989,A223,Transactions!$D$7:$D$989,"Expense"),0)</f>
        <v>0</v>
      </c>
      <c r="H223" s="41"/>
      <c r="I223" s="41"/>
      <c r="J223" s="41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1"/>
      <c r="B224" s="38"/>
      <c r="C224" s="41"/>
      <c r="D224" s="41"/>
      <c r="E224" s="41"/>
      <c r="F224" s="42"/>
      <c r="G224" s="44">
        <f>IFERROR(SUMIFS(Transactions!$F$7:$F$989,Transactions!$G$7:$G$989,A224,Transactions!$D$7:$D$989,"Expense"),0)</f>
        <v>0</v>
      </c>
      <c r="H224" s="41"/>
      <c r="I224" s="41"/>
      <c r="J224" s="41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41"/>
      <c r="B225" s="38"/>
      <c r="C225" s="41"/>
      <c r="D225" s="41"/>
      <c r="E225" s="41"/>
      <c r="F225" s="42"/>
      <c r="G225" s="44">
        <f>IFERROR(SUMIFS(Transactions!$F$7:$F$989,Transactions!$G$7:$G$989,A225,Transactions!$D$7:$D$989,"Expense"),0)</f>
        <v>0</v>
      </c>
      <c r="H225" s="41"/>
      <c r="I225" s="41"/>
      <c r="J225" s="41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1"/>
      <c r="B226" s="38"/>
      <c r="C226" s="41"/>
      <c r="D226" s="41"/>
      <c r="E226" s="41"/>
      <c r="F226" s="42"/>
      <c r="G226" s="44">
        <f>IFERROR(SUMIFS(Transactions!$F$7:$F$989,Transactions!$G$7:$G$989,A226,Transactions!$D$7:$D$989,"Expense"),0)</f>
        <v>0</v>
      </c>
      <c r="H226" s="41"/>
      <c r="I226" s="41"/>
      <c r="J226" s="41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41"/>
      <c r="B227" s="38"/>
      <c r="C227" s="41"/>
      <c r="D227" s="41"/>
      <c r="E227" s="41"/>
      <c r="F227" s="42"/>
      <c r="G227" s="44">
        <f>IFERROR(SUMIFS(Transactions!$F$7:$F$989,Transactions!$G$7:$G$989,A227,Transactions!$D$7:$D$989,"Expense"),0)</f>
        <v>0</v>
      </c>
      <c r="H227" s="41"/>
      <c r="I227" s="41"/>
      <c r="J227" s="41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1"/>
      <c r="B228" s="38"/>
      <c r="C228" s="41"/>
      <c r="D228" s="41"/>
      <c r="E228" s="41"/>
      <c r="F228" s="42"/>
      <c r="G228" s="44">
        <f>IFERROR(SUMIFS(Transactions!$F$7:$F$989,Transactions!$G$7:$G$989,A228,Transactions!$D$7:$D$989,"Expense"),0)</f>
        <v>0</v>
      </c>
      <c r="H228" s="41"/>
      <c r="I228" s="41"/>
      <c r="J228" s="41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41"/>
      <c r="B229" s="38"/>
      <c r="C229" s="41"/>
      <c r="D229" s="41"/>
      <c r="E229" s="41"/>
      <c r="F229" s="42"/>
      <c r="G229" s="44">
        <f>IFERROR(SUMIFS(Transactions!$F$7:$F$989,Transactions!$G$7:$G$989,A229,Transactions!$D$7:$D$989,"Expense"),0)</f>
        <v>0</v>
      </c>
      <c r="H229" s="41"/>
      <c r="I229" s="41"/>
      <c r="J229" s="41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1"/>
      <c r="B230" s="38"/>
      <c r="C230" s="41"/>
      <c r="D230" s="41"/>
      <c r="E230" s="41"/>
      <c r="F230" s="42"/>
      <c r="G230" s="44">
        <f>IFERROR(SUMIFS(Transactions!$F$7:$F$989,Transactions!$G$7:$G$989,A230,Transactions!$D$7:$D$989,"Expense"),0)</f>
        <v>0</v>
      </c>
      <c r="H230" s="41"/>
      <c r="I230" s="41"/>
      <c r="J230" s="41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41"/>
      <c r="B231" s="38"/>
      <c r="C231" s="41"/>
      <c r="D231" s="41"/>
      <c r="E231" s="41"/>
      <c r="F231" s="42"/>
      <c r="G231" s="44">
        <f>IFERROR(SUMIFS(Transactions!$F$7:$F$989,Transactions!$G$7:$G$989,A231,Transactions!$D$7:$D$989,"Expense"),0)</f>
        <v>0</v>
      </c>
      <c r="H231" s="41"/>
      <c r="I231" s="41"/>
      <c r="J231" s="41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1"/>
      <c r="B232" s="38"/>
      <c r="C232" s="41"/>
      <c r="D232" s="41"/>
      <c r="E232" s="41"/>
      <c r="F232" s="42"/>
      <c r="G232" s="44">
        <f>IFERROR(SUMIFS(Transactions!$F$7:$F$989,Transactions!$G$7:$G$989,A232,Transactions!$D$7:$D$989,"Expense"),0)</f>
        <v>0</v>
      </c>
      <c r="H232" s="41"/>
      <c r="I232" s="41"/>
      <c r="J232" s="41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41"/>
      <c r="B233" s="38"/>
      <c r="C233" s="41"/>
      <c r="D233" s="41"/>
      <c r="E233" s="41"/>
      <c r="F233" s="42"/>
      <c r="G233" s="44">
        <f>IFERROR(SUMIFS(Transactions!$F$7:$F$989,Transactions!$G$7:$G$989,A233,Transactions!$D$7:$D$989,"Expense"),0)</f>
        <v>0</v>
      </c>
      <c r="H233" s="41"/>
      <c r="I233" s="41"/>
      <c r="J233" s="41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1"/>
      <c r="B234" s="38"/>
      <c r="C234" s="41"/>
      <c r="D234" s="41"/>
      <c r="E234" s="41"/>
      <c r="F234" s="42"/>
      <c r="G234" s="44">
        <f>IFERROR(SUMIFS(Transactions!$F$7:$F$989,Transactions!$G$7:$G$989,A234,Transactions!$D$7:$D$989,"Expense"),0)</f>
        <v>0</v>
      </c>
      <c r="H234" s="41"/>
      <c r="I234" s="41"/>
      <c r="J234" s="41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41"/>
      <c r="B235" s="38"/>
      <c r="C235" s="41"/>
      <c r="D235" s="41"/>
      <c r="E235" s="41"/>
      <c r="F235" s="42"/>
      <c r="G235" s="44">
        <f>IFERROR(SUMIFS(Transactions!$F$7:$F$989,Transactions!$G$7:$G$989,A235,Transactions!$D$7:$D$989,"Expense"),0)</f>
        <v>0</v>
      </c>
      <c r="H235" s="41"/>
      <c r="I235" s="41"/>
      <c r="J235" s="41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1"/>
      <c r="B236" s="38"/>
      <c r="C236" s="41"/>
      <c r="D236" s="41"/>
      <c r="E236" s="41"/>
      <c r="F236" s="42"/>
      <c r="G236" s="44">
        <f>IFERROR(SUMIFS(Transactions!$F$7:$F$989,Transactions!$G$7:$G$989,A236,Transactions!$D$7:$D$989,"Expense"),0)</f>
        <v>0</v>
      </c>
      <c r="H236" s="41"/>
      <c r="I236" s="41"/>
      <c r="J236" s="41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41"/>
      <c r="B237" s="38"/>
      <c r="C237" s="41"/>
      <c r="D237" s="41"/>
      <c r="E237" s="41"/>
      <c r="F237" s="42"/>
      <c r="G237" s="44">
        <f>IFERROR(SUMIFS(Transactions!$F$7:$F$989,Transactions!$G$7:$G$989,A237,Transactions!$D$7:$D$989,"Expense"),0)</f>
        <v>0</v>
      </c>
      <c r="H237" s="41"/>
      <c r="I237" s="41"/>
      <c r="J237" s="41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1"/>
      <c r="B238" s="38"/>
      <c r="C238" s="41"/>
      <c r="D238" s="41"/>
      <c r="E238" s="41"/>
      <c r="F238" s="42"/>
      <c r="G238" s="44">
        <f>IFERROR(SUMIFS(Transactions!$F$7:$F$989,Transactions!$G$7:$G$989,A238,Transactions!$D$7:$D$989,"Expense"),0)</f>
        <v>0</v>
      </c>
      <c r="H238" s="41"/>
      <c r="I238" s="41"/>
      <c r="J238" s="41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41"/>
      <c r="B239" s="38"/>
      <c r="C239" s="41"/>
      <c r="D239" s="41"/>
      <c r="E239" s="41"/>
      <c r="F239" s="42"/>
      <c r="G239" s="44">
        <f>IFERROR(SUMIFS(Transactions!$F$7:$F$989,Transactions!$G$7:$G$989,A239,Transactions!$D$7:$D$989,"Expense"),0)</f>
        <v>0</v>
      </c>
      <c r="H239" s="41"/>
      <c r="I239" s="41"/>
      <c r="J239" s="41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1"/>
      <c r="B240" s="38"/>
      <c r="C240" s="41"/>
      <c r="D240" s="41"/>
      <c r="E240" s="41"/>
      <c r="F240" s="42"/>
      <c r="G240" s="44">
        <f>IFERROR(SUMIFS(Transactions!$F$7:$F$989,Transactions!$G$7:$G$989,A240,Transactions!$D$7:$D$989,"Expense"),0)</f>
        <v>0</v>
      </c>
      <c r="H240" s="41"/>
      <c r="I240" s="41"/>
      <c r="J240" s="41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41"/>
      <c r="B241" s="38"/>
      <c r="C241" s="41"/>
      <c r="D241" s="41"/>
      <c r="E241" s="41"/>
      <c r="F241" s="42"/>
      <c r="G241" s="44">
        <f>IFERROR(SUMIFS(Transactions!$F$7:$F$989,Transactions!$G$7:$G$989,A241,Transactions!$D$7:$D$989,"Expense"),0)</f>
        <v>0</v>
      </c>
      <c r="H241" s="41"/>
      <c r="I241" s="41"/>
      <c r="J241" s="41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1"/>
      <c r="B242" s="38"/>
      <c r="C242" s="41"/>
      <c r="D242" s="41"/>
      <c r="E242" s="41"/>
      <c r="F242" s="42"/>
      <c r="G242" s="44">
        <f>IFERROR(SUMIFS(Transactions!$F$7:$F$989,Transactions!$G$7:$G$989,A242,Transactions!$D$7:$D$989,"Expense"),0)</f>
        <v>0</v>
      </c>
      <c r="H242" s="41"/>
      <c r="I242" s="41"/>
      <c r="J242" s="41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41"/>
      <c r="B243" s="38"/>
      <c r="C243" s="41"/>
      <c r="D243" s="41"/>
      <c r="E243" s="41"/>
      <c r="F243" s="42"/>
      <c r="G243" s="44">
        <f>IFERROR(SUMIFS(Transactions!$F$7:$F$989,Transactions!$G$7:$G$989,A243,Transactions!$D$7:$D$989,"Expense"),0)</f>
        <v>0</v>
      </c>
      <c r="H243" s="41"/>
      <c r="I243" s="41"/>
      <c r="J243" s="41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1"/>
      <c r="B244" s="38"/>
      <c r="C244" s="41"/>
      <c r="D244" s="41"/>
      <c r="E244" s="41"/>
      <c r="F244" s="42"/>
      <c r="G244" s="44">
        <f>IFERROR(SUMIFS(Transactions!$F$7:$F$989,Transactions!$G$7:$G$989,A244,Transactions!$D$7:$D$989,"Expense"),0)</f>
        <v>0</v>
      </c>
      <c r="H244" s="41"/>
      <c r="I244" s="41"/>
      <c r="J244" s="41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41"/>
      <c r="B245" s="38"/>
      <c r="C245" s="41"/>
      <c r="D245" s="41"/>
      <c r="E245" s="41"/>
      <c r="F245" s="42"/>
      <c r="G245" s="44">
        <f>IFERROR(SUMIFS(Transactions!$F$7:$F$989,Transactions!$G$7:$G$989,A245,Transactions!$D$7:$D$989,"Expense"),0)</f>
        <v>0</v>
      </c>
      <c r="H245" s="41"/>
      <c r="I245" s="41"/>
      <c r="J245" s="41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1"/>
      <c r="B246" s="38"/>
      <c r="C246" s="41"/>
      <c r="D246" s="41"/>
      <c r="E246" s="41"/>
      <c r="F246" s="42"/>
      <c r="G246" s="44">
        <f>IFERROR(SUMIFS(Transactions!$F$7:$F$989,Transactions!$G$7:$G$989,A246,Transactions!$D$7:$D$989,"Expense"),0)</f>
        <v>0</v>
      </c>
      <c r="H246" s="41"/>
      <c r="I246" s="41"/>
      <c r="J246" s="41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41"/>
      <c r="B247" s="38"/>
      <c r="C247" s="41"/>
      <c r="D247" s="41"/>
      <c r="E247" s="41"/>
      <c r="F247" s="42"/>
      <c r="G247" s="44">
        <f>IFERROR(SUMIFS(Transactions!$F$7:$F$989,Transactions!$G$7:$G$989,A247,Transactions!$D$7:$D$989,"Expense"),0)</f>
        <v>0</v>
      </c>
      <c r="H247" s="41"/>
      <c r="I247" s="41"/>
      <c r="J247" s="41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1"/>
      <c r="B248" s="38"/>
      <c r="C248" s="41"/>
      <c r="D248" s="41"/>
      <c r="E248" s="41"/>
      <c r="F248" s="42"/>
      <c r="G248" s="44">
        <f>IFERROR(SUMIFS(Transactions!$F$7:$F$989,Transactions!$G$7:$G$989,A248,Transactions!$D$7:$D$989,"Expense"),0)</f>
        <v>0</v>
      </c>
      <c r="H248" s="41"/>
      <c r="I248" s="41"/>
      <c r="J248" s="41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41"/>
      <c r="B249" s="38"/>
      <c r="C249" s="41"/>
      <c r="D249" s="41"/>
      <c r="E249" s="41"/>
      <c r="F249" s="42"/>
      <c r="G249" s="44">
        <f>IFERROR(SUMIFS(Transactions!$F$7:$F$989,Transactions!$G$7:$G$989,A249,Transactions!$D$7:$D$989,"Expense"),0)</f>
        <v>0</v>
      </c>
      <c r="H249" s="41"/>
      <c r="I249" s="41"/>
      <c r="J249" s="41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1"/>
      <c r="B250" s="38"/>
      <c r="C250" s="41"/>
      <c r="D250" s="41"/>
      <c r="E250" s="41"/>
      <c r="F250" s="42"/>
      <c r="G250" s="44">
        <f>IFERROR(SUMIFS(Transactions!$F$7:$F$989,Transactions!$G$7:$G$989,A250,Transactions!$D$7:$D$989,"Expense"),0)</f>
        <v>0</v>
      </c>
      <c r="H250" s="41"/>
      <c r="I250" s="41"/>
      <c r="J250" s="41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41"/>
      <c r="B251" s="38"/>
      <c r="C251" s="41"/>
      <c r="D251" s="41"/>
      <c r="E251" s="41"/>
      <c r="F251" s="42"/>
      <c r="G251" s="44">
        <f>IFERROR(SUMIFS(Transactions!$F$7:$F$989,Transactions!$G$7:$G$989,A251,Transactions!$D$7:$D$989,"Expense"),0)</f>
        <v>0</v>
      </c>
      <c r="H251" s="41"/>
      <c r="I251" s="41"/>
      <c r="J251" s="41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1"/>
      <c r="B252" s="38"/>
      <c r="C252" s="41"/>
      <c r="D252" s="41"/>
      <c r="E252" s="41"/>
      <c r="F252" s="42"/>
      <c r="G252" s="44">
        <f>IFERROR(SUMIFS(Transactions!$F$7:$F$989,Transactions!$G$7:$G$989,A252,Transactions!$D$7:$D$989,"Expense"),0)</f>
        <v>0</v>
      </c>
      <c r="H252" s="41"/>
      <c r="I252" s="41"/>
      <c r="J252" s="41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41"/>
      <c r="B253" s="38"/>
      <c r="C253" s="41"/>
      <c r="D253" s="41"/>
      <c r="E253" s="41"/>
      <c r="F253" s="42"/>
      <c r="G253" s="44">
        <f>IFERROR(SUMIFS(Transactions!$F$7:$F$989,Transactions!$G$7:$G$989,A253,Transactions!$D$7:$D$989,"Expense"),0)</f>
        <v>0</v>
      </c>
      <c r="H253" s="41"/>
      <c r="I253" s="41"/>
      <c r="J253" s="41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1"/>
      <c r="B254" s="38"/>
      <c r="C254" s="41"/>
      <c r="D254" s="41"/>
      <c r="E254" s="41"/>
      <c r="F254" s="42"/>
      <c r="G254" s="44">
        <f>IFERROR(SUMIFS(Transactions!$F$7:$F$989,Transactions!$G$7:$G$989,A254,Transactions!$D$7:$D$989,"Expense"),0)</f>
        <v>0</v>
      </c>
      <c r="H254" s="41"/>
      <c r="I254" s="41"/>
      <c r="J254" s="41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41"/>
      <c r="B255" s="38"/>
      <c r="C255" s="41"/>
      <c r="D255" s="41"/>
      <c r="E255" s="41"/>
      <c r="F255" s="42"/>
      <c r="G255" s="44">
        <f>IFERROR(SUMIFS(Transactions!$F$7:$F$989,Transactions!$G$7:$G$989,A255,Transactions!$D$7:$D$989,"Expense"),0)</f>
        <v>0</v>
      </c>
      <c r="H255" s="41"/>
      <c r="I255" s="41"/>
      <c r="J255" s="41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1"/>
      <c r="B256" s="38"/>
      <c r="C256" s="41"/>
      <c r="D256" s="41"/>
      <c r="E256" s="41"/>
      <c r="F256" s="42"/>
      <c r="G256" s="44">
        <f>IFERROR(SUMIFS(Transactions!$F$7:$F$989,Transactions!$G$7:$G$989,A256,Transactions!$D$7:$D$989,"Expense"),0)</f>
        <v>0</v>
      </c>
      <c r="H256" s="41"/>
      <c r="I256" s="41"/>
      <c r="J256" s="41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41"/>
      <c r="B257" s="38"/>
      <c r="C257" s="41"/>
      <c r="D257" s="41"/>
      <c r="E257" s="41"/>
      <c r="F257" s="42"/>
      <c r="G257" s="44">
        <f>IFERROR(SUMIFS(Transactions!$F$7:$F$989,Transactions!$G$7:$G$989,A257,Transactions!$D$7:$D$989,"Expense"),0)</f>
        <v>0</v>
      </c>
      <c r="H257" s="41"/>
      <c r="I257" s="41"/>
      <c r="J257" s="41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1"/>
      <c r="B258" s="38"/>
      <c r="C258" s="41"/>
      <c r="D258" s="41"/>
      <c r="E258" s="41"/>
      <c r="F258" s="42"/>
      <c r="G258" s="44">
        <f>IFERROR(SUMIFS(Transactions!$F$7:$F$989,Transactions!$G$7:$G$989,A258,Transactions!$D$7:$D$989,"Expense"),0)</f>
        <v>0</v>
      </c>
      <c r="H258" s="41"/>
      <c r="I258" s="41"/>
      <c r="J258" s="41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41"/>
      <c r="B259" s="38"/>
      <c r="C259" s="41"/>
      <c r="D259" s="41"/>
      <c r="E259" s="41"/>
      <c r="F259" s="42"/>
      <c r="G259" s="44">
        <f>IFERROR(SUMIFS(Transactions!$F$7:$F$989,Transactions!$G$7:$G$989,A259,Transactions!$D$7:$D$989,"Expense"),0)</f>
        <v>0</v>
      </c>
      <c r="H259" s="41"/>
      <c r="I259" s="41"/>
      <c r="J259" s="41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1"/>
      <c r="B260" s="38"/>
      <c r="C260" s="41"/>
      <c r="D260" s="41"/>
      <c r="E260" s="41"/>
      <c r="F260" s="42"/>
      <c r="G260" s="44">
        <f>IFERROR(SUMIFS(Transactions!$F$7:$F$989,Transactions!$G$7:$G$989,A260,Transactions!$D$7:$D$989,"Expense"),0)</f>
        <v>0</v>
      </c>
      <c r="H260" s="41"/>
      <c r="I260" s="41"/>
      <c r="J260" s="41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41"/>
      <c r="B261" s="38"/>
      <c r="C261" s="41"/>
      <c r="D261" s="41"/>
      <c r="E261" s="41"/>
      <c r="F261" s="42"/>
      <c r="G261" s="44">
        <f>IFERROR(SUMIFS(Transactions!$F$7:$F$989,Transactions!$G$7:$G$989,A261,Transactions!$D$7:$D$989,"Expense"),0)</f>
        <v>0</v>
      </c>
      <c r="H261" s="41"/>
      <c r="I261" s="41"/>
      <c r="J261" s="41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1"/>
      <c r="B262" s="38"/>
      <c r="C262" s="41"/>
      <c r="D262" s="41"/>
      <c r="E262" s="41"/>
      <c r="F262" s="42"/>
      <c r="G262" s="44">
        <f>IFERROR(SUMIFS(Transactions!$F$7:$F$989,Transactions!$G$7:$G$989,A262,Transactions!$D$7:$D$989,"Expense"),0)</f>
        <v>0</v>
      </c>
      <c r="H262" s="41"/>
      <c r="I262" s="41"/>
      <c r="J262" s="41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41"/>
      <c r="B263" s="38"/>
      <c r="C263" s="41"/>
      <c r="D263" s="41"/>
      <c r="E263" s="41"/>
      <c r="F263" s="42"/>
      <c r="G263" s="44">
        <f>IFERROR(SUMIFS(Transactions!$F$7:$F$989,Transactions!$G$7:$G$989,A263,Transactions!$D$7:$D$989,"Expense"),0)</f>
        <v>0</v>
      </c>
      <c r="H263" s="41"/>
      <c r="I263" s="41"/>
      <c r="J263" s="41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1"/>
      <c r="B264" s="38"/>
      <c r="C264" s="41"/>
      <c r="D264" s="41"/>
      <c r="E264" s="41"/>
      <c r="F264" s="42"/>
      <c r="G264" s="44">
        <f>IFERROR(SUMIFS(Transactions!$F$7:$F$989,Transactions!$G$7:$G$989,A264,Transactions!$D$7:$D$989,"Expense"),0)</f>
        <v>0</v>
      </c>
      <c r="H264" s="41"/>
      <c r="I264" s="41"/>
      <c r="J264" s="41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41"/>
      <c r="B265" s="38"/>
      <c r="C265" s="41"/>
      <c r="D265" s="41"/>
      <c r="E265" s="41"/>
      <c r="F265" s="42"/>
      <c r="G265" s="44">
        <f>IFERROR(SUMIFS(Transactions!$F$7:$F$989,Transactions!$G$7:$G$989,A265,Transactions!$D$7:$D$989,"Expense"),0)</f>
        <v>0</v>
      </c>
      <c r="H265" s="41"/>
      <c r="I265" s="41"/>
      <c r="J265" s="41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1"/>
      <c r="B266" s="38"/>
      <c r="C266" s="41"/>
      <c r="D266" s="41"/>
      <c r="E266" s="41"/>
      <c r="F266" s="42"/>
      <c r="G266" s="44">
        <f>IFERROR(SUMIFS(Transactions!$F$7:$F$989,Transactions!$G$7:$G$989,A266,Transactions!$D$7:$D$989,"Expense"),0)</f>
        <v>0</v>
      </c>
      <c r="H266" s="41"/>
      <c r="I266" s="41"/>
      <c r="J266" s="41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41"/>
      <c r="B267" s="38"/>
      <c r="C267" s="41"/>
      <c r="D267" s="41"/>
      <c r="E267" s="41"/>
      <c r="F267" s="42"/>
      <c r="G267" s="44">
        <f>IFERROR(SUMIFS(Transactions!$F$7:$F$989,Transactions!$G$7:$G$989,A267,Transactions!$D$7:$D$989,"Expense"),0)</f>
        <v>0</v>
      </c>
      <c r="H267" s="41"/>
      <c r="I267" s="41"/>
      <c r="J267" s="41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1"/>
      <c r="B268" s="38"/>
      <c r="C268" s="41"/>
      <c r="D268" s="41"/>
      <c r="E268" s="41"/>
      <c r="F268" s="42"/>
      <c r="G268" s="44">
        <f>IFERROR(SUMIFS(Transactions!$F$7:$F$989,Transactions!$G$7:$G$989,A268,Transactions!$D$7:$D$989,"Expense"),0)</f>
        <v>0</v>
      </c>
      <c r="H268" s="41"/>
      <c r="I268" s="41"/>
      <c r="J268" s="41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41"/>
      <c r="B269" s="38"/>
      <c r="C269" s="41"/>
      <c r="D269" s="41"/>
      <c r="E269" s="41"/>
      <c r="F269" s="42"/>
      <c r="G269" s="44">
        <f>IFERROR(SUMIFS(Transactions!$F$7:$F$989,Transactions!$G$7:$G$989,A269,Transactions!$D$7:$D$989,"Expense"),0)</f>
        <v>0</v>
      </c>
      <c r="H269" s="41"/>
      <c r="I269" s="41"/>
      <c r="J269" s="41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1"/>
      <c r="B270" s="38"/>
      <c r="C270" s="41"/>
      <c r="D270" s="41"/>
      <c r="E270" s="41"/>
      <c r="F270" s="42"/>
      <c r="G270" s="44">
        <f>IFERROR(SUMIFS(Transactions!$F$7:$F$989,Transactions!$G$7:$G$989,A270,Transactions!$D$7:$D$989,"Expense"),0)</f>
        <v>0</v>
      </c>
      <c r="H270" s="41"/>
      <c r="I270" s="41"/>
      <c r="J270" s="41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41"/>
      <c r="B271" s="38"/>
      <c r="C271" s="41"/>
      <c r="D271" s="41"/>
      <c r="E271" s="41"/>
      <c r="F271" s="42"/>
      <c r="G271" s="44">
        <f>IFERROR(SUMIFS(Transactions!$F$7:$F$989,Transactions!$G$7:$G$989,A271,Transactions!$D$7:$D$989,"Expense"),0)</f>
        <v>0</v>
      </c>
      <c r="H271" s="41"/>
      <c r="I271" s="41"/>
      <c r="J271" s="41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1"/>
      <c r="B272" s="38"/>
      <c r="C272" s="41"/>
      <c r="D272" s="41"/>
      <c r="E272" s="41"/>
      <c r="F272" s="42"/>
      <c r="G272" s="44">
        <f>IFERROR(SUMIFS(Transactions!$F$7:$F$989,Transactions!$G$7:$G$989,A272,Transactions!$D$7:$D$989,"Expense"),0)</f>
        <v>0</v>
      </c>
      <c r="H272" s="41"/>
      <c r="I272" s="41"/>
      <c r="J272" s="41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41"/>
      <c r="B273" s="38"/>
      <c r="C273" s="41"/>
      <c r="D273" s="41"/>
      <c r="E273" s="41"/>
      <c r="F273" s="42"/>
      <c r="G273" s="44">
        <f>IFERROR(SUMIFS(Transactions!$F$7:$F$989,Transactions!$G$7:$G$989,A273,Transactions!$D$7:$D$989,"Expense"),0)</f>
        <v>0</v>
      </c>
      <c r="H273" s="41"/>
      <c r="I273" s="41"/>
      <c r="J273" s="41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1"/>
      <c r="B274" s="38"/>
      <c r="C274" s="41"/>
      <c r="D274" s="41"/>
      <c r="E274" s="41"/>
      <c r="F274" s="42"/>
      <c r="G274" s="44">
        <f>IFERROR(SUMIFS(Transactions!$F$7:$F$989,Transactions!$G$7:$G$989,A274,Transactions!$D$7:$D$989,"Expense"),0)</f>
        <v>0</v>
      </c>
      <c r="H274" s="41"/>
      <c r="I274" s="41"/>
      <c r="J274" s="41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41"/>
      <c r="B275" s="38"/>
      <c r="C275" s="41"/>
      <c r="D275" s="41"/>
      <c r="E275" s="41"/>
      <c r="F275" s="42"/>
      <c r="G275" s="44">
        <f>IFERROR(SUMIFS(Transactions!$F$7:$F$989,Transactions!$G$7:$G$989,A275,Transactions!$D$7:$D$989,"Expense"),0)</f>
        <v>0</v>
      </c>
      <c r="H275" s="41"/>
      <c r="I275" s="41"/>
      <c r="J275" s="41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1"/>
      <c r="B276" s="38"/>
      <c r="C276" s="41"/>
      <c r="D276" s="41"/>
      <c r="E276" s="41"/>
      <c r="F276" s="42"/>
      <c r="G276" s="44">
        <f>IFERROR(SUMIFS(Transactions!$F$7:$F$989,Transactions!$G$7:$G$989,A276,Transactions!$D$7:$D$989,"Expense"),0)</f>
        <v>0</v>
      </c>
      <c r="H276" s="41"/>
      <c r="I276" s="41"/>
      <c r="J276" s="41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41"/>
      <c r="B277" s="38"/>
      <c r="C277" s="41"/>
      <c r="D277" s="41"/>
      <c r="E277" s="41"/>
      <c r="F277" s="42"/>
      <c r="G277" s="44">
        <f>IFERROR(SUMIFS(Transactions!$F$7:$F$989,Transactions!$G$7:$G$989,A277,Transactions!$D$7:$D$989,"Expense"),0)</f>
        <v>0</v>
      </c>
      <c r="H277" s="41"/>
      <c r="I277" s="41"/>
      <c r="J277" s="41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1"/>
      <c r="B278" s="38"/>
      <c r="C278" s="41"/>
      <c r="D278" s="41"/>
      <c r="E278" s="41"/>
      <c r="F278" s="42"/>
      <c r="G278" s="44">
        <f>IFERROR(SUMIFS(Transactions!$F$7:$F$989,Transactions!$G$7:$G$989,A278,Transactions!$D$7:$D$989,"Expense"),0)</f>
        <v>0</v>
      </c>
      <c r="H278" s="41"/>
      <c r="I278" s="41"/>
      <c r="J278" s="41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41"/>
      <c r="B279" s="38"/>
      <c r="C279" s="41"/>
      <c r="D279" s="41"/>
      <c r="E279" s="41"/>
      <c r="F279" s="42"/>
      <c r="G279" s="44">
        <f>IFERROR(SUMIFS(Transactions!$F$7:$F$989,Transactions!$G$7:$G$989,A279,Transactions!$D$7:$D$989,"Expense"),0)</f>
        <v>0</v>
      </c>
      <c r="H279" s="41"/>
      <c r="I279" s="41"/>
      <c r="J279" s="41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1"/>
      <c r="B280" s="38"/>
      <c r="C280" s="41"/>
      <c r="D280" s="41"/>
      <c r="E280" s="41"/>
      <c r="F280" s="42"/>
      <c r="G280" s="44">
        <f>IFERROR(SUMIFS(Transactions!$F$7:$F$989,Transactions!$G$7:$G$989,A280,Transactions!$D$7:$D$989,"Expense"),0)</f>
        <v>0</v>
      </c>
      <c r="H280" s="41"/>
      <c r="I280" s="41"/>
      <c r="J280" s="41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41"/>
      <c r="B281" s="38"/>
      <c r="C281" s="41"/>
      <c r="D281" s="41"/>
      <c r="E281" s="41"/>
      <c r="F281" s="42"/>
      <c r="G281" s="44">
        <f>IFERROR(SUMIFS(Transactions!$F$7:$F$989,Transactions!$G$7:$G$989,A281,Transactions!$D$7:$D$989,"Expense"),0)</f>
        <v>0</v>
      </c>
      <c r="H281" s="41"/>
      <c r="I281" s="41"/>
      <c r="J281" s="41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1"/>
      <c r="B282" s="38"/>
      <c r="C282" s="41"/>
      <c r="D282" s="41"/>
      <c r="E282" s="41"/>
      <c r="F282" s="42"/>
      <c r="G282" s="44">
        <f>IFERROR(SUMIFS(Transactions!$F$7:$F$989,Transactions!$G$7:$G$989,A282,Transactions!$D$7:$D$989,"Expense"),0)</f>
        <v>0</v>
      </c>
      <c r="H282" s="41"/>
      <c r="I282" s="41"/>
      <c r="J282" s="41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41"/>
      <c r="B283" s="38"/>
      <c r="C283" s="41"/>
      <c r="D283" s="41"/>
      <c r="E283" s="41"/>
      <c r="F283" s="42"/>
      <c r="G283" s="44">
        <f>IFERROR(SUMIFS(Transactions!$F$7:$F$989,Transactions!$G$7:$G$989,A283,Transactions!$D$7:$D$989,"Expense"),0)</f>
        <v>0</v>
      </c>
      <c r="H283" s="41"/>
      <c r="I283" s="41"/>
      <c r="J283" s="41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1"/>
      <c r="B284" s="38"/>
      <c r="C284" s="41"/>
      <c r="D284" s="41"/>
      <c r="E284" s="41"/>
      <c r="F284" s="42"/>
      <c r="G284" s="44">
        <f>IFERROR(SUMIFS(Transactions!$F$7:$F$989,Transactions!$G$7:$G$989,A284,Transactions!$D$7:$D$989,"Expense"),0)</f>
        <v>0</v>
      </c>
      <c r="H284" s="41"/>
      <c r="I284" s="41"/>
      <c r="J284" s="41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41"/>
      <c r="B285" s="38"/>
      <c r="C285" s="41"/>
      <c r="D285" s="41"/>
      <c r="E285" s="41"/>
      <c r="F285" s="42"/>
      <c r="G285" s="44">
        <f>IFERROR(SUMIFS(Transactions!$F$7:$F$989,Transactions!$G$7:$G$989,A285,Transactions!$D$7:$D$989,"Expense"),0)</f>
        <v>0</v>
      </c>
      <c r="H285" s="41"/>
      <c r="I285" s="41"/>
      <c r="J285" s="41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1"/>
      <c r="B286" s="38"/>
      <c r="C286" s="41"/>
      <c r="D286" s="41"/>
      <c r="E286" s="41"/>
      <c r="F286" s="42"/>
      <c r="G286" s="44">
        <f>IFERROR(SUMIFS(Transactions!$F$7:$F$989,Transactions!$G$7:$G$989,A286,Transactions!$D$7:$D$989,"Expense"),0)</f>
        <v>0</v>
      </c>
      <c r="H286" s="41"/>
      <c r="I286" s="41"/>
      <c r="J286" s="41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41"/>
      <c r="B287" s="38"/>
      <c r="C287" s="41"/>
      <c r="D287" s="41"/>
      <c r="E287" s="41"/>
      <c r="F287" s="42"/>
      <c r="G287" s="44">
        <f>IFERROR(SUMIFS(Transactions!$F$7:$F$989,Transactions!$G$7:$G$989,A287,Transactions!$D$7:$D$989,"Expense"),0)</f>
        <v>0</v>
      </c>
      <c r="H287" s="41"/>
      <c r="I287" s="41"/>
      <c r="J287" s="41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1"/>
      <c r="B288" s="38"/>
      <c r="C288" s="41"/>
      <c r="D288" s="41"/>
      <c r="E288" s="41"/>
      <c r="F288" s="42"/>
      <c r="G288" s="44">
        <f>IFERROR(SUMIFS(Transactions!$F$7:$F$989,Transactions!$G$7:$G$989,A288,Transactions!$D$7:$D$989,"Expense"),0)</f>
        <v>0</v>
      </c>
      <c r="H288" s="41"/>
      <c r="I288" s="41"/>
      <c r="J288" s="41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41"/>
      <c r="B289" s="38"/>
      <c r="C289" s="41"/>
      <c r="D289" s="41"/>
      <c r="E289" s="41"/>
      <c r="F289" s="42"/>
      <c r="G289" s="44">
        <f>IFERROR(SUMIFS(Transactions!$F$7:$F$989,Transactions!$G$7:$G$989,A289,Transactions!$D$7:$D$989,"Expense"),0)</f>
        <v>0</v>
      </c>
      <c r="H289" s="41"/>
      <c r="I289" s="41"/>
      <c r="J289" s="41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1"/>
      <c r="B290" s="38"/>
      <c r="C290" s="41"/>
      <c r="D290" s="41"/>
      <c r="E290" s="41"/>
      <c r="F290" s="42"/>
      <c r="G290" s="44">
        <f>IFERROR(SUMIFS(Transactions!$F$7:$F$989,Transactions!$G$7:$G$989,A290,Transactions!$D$7:$D$989,"Expense"),0)</f>
        <v>0</v>
      </c>
      <c r="H290" s="41"/>
      <c r="I290" s="41"/>
      <c r="J290" s="41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41"/>
      <c r="B291" s="38"/>
      <c r="C291" s="41"/>
      <c r="D291" s="41"/>
      <c r="E291" s="41"/>
      <c r="F291" s="42"/>
      <c r="G291" s="44">
        <f>IFERROR(SUMIFS(Transactions!$F$7:$F$989,Transactions!$G$7:$G$989,A291,Transactions!$D$7:$D$989,"Expense"),0)</f>
        <v>0</v>
      </c>
      <c r="H291" s="41"/>
      <c r="I291" s="41"/>
      <c r="J291" s="41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1"/>
      <c r="B292" s="38"/>
      <c r="C292" s="41"/>
      <c r="D292" s="41"/>
      <c r="E292" s="41"/>
      <c r="F292" s="42"/>
      <c r="G292" s="44">
        <f>IFERROR(SUMIFS(Transactions!$F$7:$F$989,Transactions!$G$7:$G$989,A292,Transactions!$D$7:$D$989,"Expense"),0)</f>
        <v>0</v>
      </c>
      <c r="H292" s="41"/>
      <c r="I292" s="41"/>
      <c r="J292" s="41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41"/>
      <c r="B293" s="38"/>
      <c r="C293" s="41"/>
      <c r="D293" s="41"/>
      <c r="E293" s="41"/>
      <c r="F293" s="42"/>
      <c r="G293" s="44">
        <f>IFERROR(SUMIFS(Transactions!$F$7:$F$989,Transactions!$G$7:$G$989,A293,Transactions!$D$7:$D$989,"Expense"),0)</f>
        <v>0</v>
      </c>
      <c r="H293" s="41"/>
      <c r="I293" s="41"/>
      <c r="J293" s="41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1"/>
      <c r="B294" s="38"/>
      <c r="C294" s="41"/>
      <c r="D294" s="41"/>
      <c r="E294" s="41"/>
      <c r="F294" s="42"/>
      <c r="G294" s="44">
        <f>IFERROR(SUMIFS(Transactions!$F$7:$F$989,Transactions!$G$7:$G$989,A294,Transactions!$D$7:$D$989,"Expense"),0)</f>
        <v>0</v>
      </c>
      <c r="H294" s="41"/>
      <c r="I294" s="41"/>
      <c r="J294" s="41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41"/>
      <c r="B295" s="38"/>
      <c r="C295" s="41"/>
      <c r="D295" s="41"/>
      <c r="E295" s="41"/>
      <c r="F295" s="42"/>
      <c r="G295" s="44">
        <f>IFERROR(SUMIFS(Transactions!$F$7:$F$989,Transactions!$G$7:$G$989,A295,Transactions!$D$7:$D$989,"Expense"),0)</f>
        <v>0</v>
      </c>
      <c r="H295" s="41"/>
      <c r="I295" s="41"/>
      <c r="J295" s="41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1"/>
      <c r="B296" s="38"/>
      <c r="C296" s="41"/>
      <c r="D296" s="41"/>
      <c r="E296" s="41"/>
      <c r="F296" s="42"/>
      <c r="G296" s="44">
        <f>IFERROR(SUMIFS(Transactions!$F$7:$F$989,Transactions!$G$7:$G$989,A296,Transactions!$D$7:$D$989,"Expense"),0)</f>
        <v>0</v>
      </c>
      <c r="H296" s="41"/>
      <c r="I296" s="41"/>
      <c r="J296" s="41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41"/>
      <c r="B297" s="38"/>
      <c r="C297" s="41"/>
      <c r="D297" s="41"/>
      <c r="E297" s="41"/>
      <c r="F297" s="42"/>
      <c r="G297" s="44">
        <f>IFERROR(SUMIFS(Transactions!$F$7:$F$989,Transactions!$G$7:$G$989,A297,Transactions!$D$7:$D$989,"Expense"),0)</f>
        <v>0</v>
      </c>
      <c r="H297" s="41"/>
      <c r="I297" s="41"/>
      <c r="J297" s="41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1"/>
      <c r="B298" s="38"/>
      <c r="C298" s="41"/>
      <c r="D298" s="41"/>
      <c r="E298" s="41"/>
      <c r="F298" s="42"/>
      <c r="G298" s="44">
        <f>IFERROR(SUMIFS(Transactions!$F$7:$F$989,Transactions!$G$7:$G$989,A298,Transactions!$D$7:$D$989,"Expense"),0)</f>
        <v>0</v>
      </c>
      <c r="H298" s="41"/>
      <c r="I298" s="41"/>
      <c r="J298" s="41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41"/>
      <c r="B299" s="38"/>
      <c r="C299" s="41"/>
      <c r="D299" s="41"/>
      <c r="E299" s="41"/>
      <c r="F299" s="42"/>
      <c r="G299" s="44">
        <f>IFERROR(SUMIFS(Transactions!$F$7:$F$989,Transactions!$G$7:$G$989,A299,Transactions!$D$7:$D$989,"Expense"),0)</f>
        <v>0</v>
      </c>
      <c r="H299" s="41"/>
      <c r="I299" s="41"/>
      <c r="J299" s="41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1"/>
      <c r="B300" s="38"/>
      <c r="C300" s="41"/>
      <c r="D300" s="41"/>
      <c r="E300" s="41"/>
      <c r="F300" s="42"/>
      <c r="G300" s="44">
        <f>IFERROR(SUMIFS(Transactions!$F$7:$F$989,Transactions!$G$7:$G$989,A300,Transactions!$D$7:$D$989,"Expense"),0)</f>
        <v>0</v>
      </c>
      <c r="H300" s="41"/>
      <c r="I300" s="41"/>
      <c r="J300" s="41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41"/>
      <c r="B301" s="38"/>
      <c r="C301" s="41"/>
      <c r="D301" s="41"/>
      <c r="E301" s="41"/>
      <c r="F301" s="42"/>
      <c r="G301" s="44">
        <f>IFERROR(SUMIFS(Transactions!$F$7:$F$989,Transactions!$G$7:$G$989,A301,Transactions!$D$7:$D$989,"Expense"),0)</f>
        <v>0</v>
      </c>
      <c r="H301" s="41"/>
      <c r="I301" s="41"/>
      <c r="J301" s="41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1"/>
      <c r="B302" s="38"/>
      <c r="C302" s="41"/>
      <c r="D302" s="41"/>
      <c r="E302" s="41"/>
      <c r="F302" s="42"/>
      <c r="G302" s="44">
        <f>IFERROR(SUMIFS(Transactions!$F$7:$F$989,Transactions!$G$7:$G$989,A302,Transactions!$D$7:$D$989,"Expense"),0)</f>
        <v>0</v>
      </c>
      <c r="H302" s="41"/>
      <c r="I302" s="41"/>
      <c r="J302" s="41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41"/>
      <c r="B303" s="38"/>
      <c r="C303" s="41"/>
      <c r="D303" s="41"/>
      <c r="E303" s="41"/>
      <c r="F303" s="42"/>
      <c r="G303" s="44">
        <f>IFERROR(SUMIFS(Transactions!$F$7:$F$989,Transactions!$G$7:$G$989,A303,Transactions!$D$7:$D$989,"Expense"),0)</f>
        <v>0</v>
      </c>
      <c r="H303" s="41"/>
      <c r="I303" s="41"/>
      <c r="J303" s="41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1"/>
      <c r="B304" s="38"/>
      <c r="C304" s="41"/>
      <c r="D304" s="41"/>
      <c r="E304" s="41"/>
      <c r="F304" s="42"/>
      <c r="G304" s="44">
        <f>IFERROR(SUMIFS(Transactions!$F$7:$F$989,Transactions!$G$7:$G$989,A304,Transactions!$D$7:$D$989,"Expense"),0)</f>
        <v>0</v>
      </c>
      <c r="H304" s="41"/>
      <c r="I304" s="41"/>
      <c r="J304" s="41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41"/>
      <c r="B305" s="38"/>
      <c r="C305" s="41"/>
      <c r="D305" s="41"/>
      <c r="E305" s="41"/>
      <c r="F305" s="42"/>
      <c r="G305" s="44">
        <f>IFERROR(SUMIFS(Transactions!$F$7:$F$989,Transactions!$G$7:$G$989,A305,Transactions!$D$7:$D$989,"Expense"),0)</f>
        <v>0</v>
      </c>
      <c r="H305" s="41"/>
      <c r="I305" s="41"/>
      <c r="J305" s="41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1"/>
      <c r="B306" s="38"/>
      <c r="C306" s="41"/>
      <c r="D306" s="41"/>
      <c r="E306" s="41"/>
      <c r="F306" s="42"/>
      <c r="G306" s="44">
        <f>IFERROR(SUMIFS(Transactions!$F$7:$F$989,Transactions!$G$7:$G$989,A306,Transactions!$D$7:$D$989,"Expense"),0)</f>
        <v>0</v>
      </c>
      <c r="H306" s="41"/>
      <c r="I306" s="41"/>
      <c r="J306" s="41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41"/>
      <c r="B307" s="38"/>
      <c r="C307" s="41"/>
      <c r="D307" s="41"/>
      <c r="E307" s="41"/>
      <c r="F307" s="42"/>
      <c r="G307" s="44">
        <f>IFERROR(SUMIFS(Transactions!$F$7:$F$989,Transactions!$G$7:$G$989,A307,Transactions!$D$7:$D$989,"Expense"),0)</f>
        <v>0</v>
      </c>
      <c r="H307" s="41"/>
      <c r="I307" s="41"/>
      <c r="J307" s="41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1"/>
      <c r="B308" s="38"/>
      <c r="C308" s="41"/>
      <c r="D308" s="41"/>
      <c r="E308" s="41"/>
      <c r="F308" s="42"/>
      <c r="G308" s="44">
        <f>IFERROR(SUMIFS(Transactions!$F$7:$F$989,Transactions!$G$7:$G$989,A308,Transactions!$D$7:$D$989,"Expense"),0)</f>
        <v>0</v>
      </c>
      <c r="H308" s="41"/>
      <c r="I308" s="41"/>
      <c r="J308" s="41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41"/>
      <c r="B309" s="38"/>
      <c r="C309" s="41"/>
      <c r="D309" s="41"/>
      <c r="E309" s="41"/>
      <c r="F309" s="42"/>
      <c r="G309" s="44">
        <f>IFERROR(SUMIFS(Transactions!$F$7:$F$989,Transactions!$G$7:$G$989,A309,Transactions!$D$7:$D$989,"Expense"),0)</f>
        <v>0</v>
      </c>
      <c r="H309" s="41"/>
      <c r="I309" s="41"/>
      <c r="J309" s="41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1"/>
      <c r="B310" s="38"/>
      <c r="C310" s="41"/>
      <c r="D310" s="41"/>
      <c r="E310" s="41"/>
      <c r="F310" s="42"/>
      <c r="G310" s="44">
        <f>IFERROR(SUMIFS(Transactions!$F$7:$F$989,Transactions!$G$7:$G$989,A310,Transactions!$D$7:$D$989,"Expense"),0)</f>
        <v>0</v>
      </c>
      <c r="H310" s="41"/>
      <c r="I310" s="41"/>
      <c r="J310" s="41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41"/>
      <c r="B311" s="38"/>
      <c r="C311" s="41"/>
      <c r="D311" s="41"/>
      <c r="E311" s="41"/>
      <c r="F311" s="42"/>
      <c r="G311" s="44">
        <f>IFERROR(SUMIFS(Transactions!$F$7:$F$989,Transactions!$G$7:$G$989,A311,Transactions!$D$7:$D$989,"Expense"),0)</f>
        <v>0</v>
      </c>
      <c r="H311" s="41"/>
      <c r="I311" s="41"/>
      <c r="J311" s="41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1"/>
      <c r="B312" s="38"/>
      <c r="C312" s="41"/>
      <c r="D312" s="41"/>
      <c r="E312" s="41"/>
      <c r="F312" s="42"/>
      <c r="G312" s="44">
        <f>IFERROR(SUMIFS(Transactions!$F$7:$F$989,Transactions!$G$7:$G$989,A312,Transactions!$D$7:$D$989,"Expense"),0)</f>
        <v>0</v>
      </c>
      <c r="H312" s="41"/>
      <c r="I312" s="41"/>
      <c r="J312" s="41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41"/>
      <c r="B313" s="38"/>
      <c r="C313" s="41"/>
      <c r="D313" s="41"/>
      <c r="E313" s="41"/>
      <c r="F313" s="42"/>
      <c r="G313" s="44">
        <f>IFERROR(SUMIFS(Transactions!$F$7:$F$989,Transactions!$G$7:$G$989,A313,Transactions!$D$7:$D$989,"Expense"),0)</f>
        <v>0</v>
      </c>
      <c r="H313" s="41"/>
      <c r="I313" s="41"/>
      <c r="J313" s="41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1"/>
      <c r="B314" s="38"/>
      <c r="C314" s="41"/>
      <c r="D314" s="41"/>
      <c r="E314" s="41"/>
      <c r="F314" s="42"/>
      <c r="G314" s="44">
        <f>IFERROR(SUMIFS(Transactions!$F$7:$F$989,Transactions!$G$7:$G$989,A314,Transactions!$D$7:$D$989,"Expense"),0)</f>
        <v>0</v>
      </c>
      <c r="H314" s="41"/>
      <c r="I314" s="41"/>
      <c r="J314" s="41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41"/>
      <c r="B315" s="38"/>
      <c r="C315" s="41"/>
      <c r="D315" s="41"/>
      <c r="E315" s="41"/>
      <c r="F315" s="42"/>
      <c r="G315" s="44">
        <f>IFERROR(SUMIFS(Transactions!$F$7:$F$989,Transactions!$G$7:$G$989,A315,Transactions!$D$7:$D$989,"Expense"),0)</f>
        <v>0</v>
      </c>
      <c r="H315" s="41"/>
      <c r="I315" s="41"/>
      <c r="J315" s="41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1"/>
      <c r="B316" s="38"/>
      <c r="C316" s="41"/>
      <c r="D316" s="41"/>
      <c r="E316" s="41"/>
      <c r="F316" s="42"/>
      <c r="G316" s="44">
        <f>IFERROR(SUMIFS(Transactions!$F$7:$F$989,Transactions!$G$7:$G$989,A316,Transactions!$D$7:$D$989,"Expense"),0)</f>
        <v>0</v>
      </c>
      <c r="H316" s="41"/>
      <c r="I316" s="41"/>
      <c r="J316" s="41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41"/>
      <c r="B317" s="38"/>
      <c r="C317" s="41"/>
      <c r="D317" s="41"/>
      <c r="E317" s="41"/>
      <c r="F317" s="42"/>
      <c r="G317" s="44">
        <f>IFERROR(SUMIFS(Transactions!$F$7:$F$989,Transactions!$G$7:$G$989,A317,Transactions!$D$7:$D$989,"Expense"),0)</f>
        <v>0</v>
      </c>
      <c r="H317" s="41"/>
      <c r="I317" s="41"/>
      <c r="J317" s="41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1"/>
      <c r="B318" s="38"/>
      <c r="C318" s="41"/>
      <c r="D318" s="41"/>
      <c r="E318" s="41"/>
      <c r="F318" s="42"/>
      <c r="G318" s="44">
        <f>IFERROR(SUMIFS(Transactions!$F$7:$F$989,Transactions!$G$7:$G$989,A318,Transactions!$D$7:$D$989,"Expense"),0)</f>
        <v>0</v>
      </c>
      <c r="H318" s="41"/>
      <c r="I318" s="41"/>
      <c r="J318" s="41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41"/>
      <c r="B319" s="38"/>
      <c r="C319" s="41"/>
      <c r="D319" s="41"/>
      <c r="E319" s="41"/>
      <c r="F319" s="42"/>
      <c r="G319" s="44">
        <f>IFERROR(SUMIFS(Transactions!$F$7:$F$989,Transactions!$G$7:$G$989,A319,Transactions!$D$7:$D$989,"Expense"),0)</f>
        <v>0</v>
      </c>
      <c r="H319" s="41"/>
      <c r="I319" s="41"/>
      <c r="J319" s="41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1"/>
      <c r="B320" s="38"/>
      <c r="C320" s="41"/>
      <c r="D320" s="41"/>
      <c r="E320" s="41"/>
      <c r="F320" s="42"/>
      <c r="G320" s="44">
        <f>IFERROR(SUMIFS(Transactions!$F$7:$F$989,Transactions!$G$7:$G$989,A320,Transactions!$D$7:$D$989,"Expense"),0)</f>
        <v>0</v>
      </c>
      <c r="H320" s="41"/>
      <c r="I320" s="41"/>
      <c r="J320" s="41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41"/>
      <c r="B321" s="38"/>
      <c r="C321" s="41"/>
      <c r="D321" s="41"/>
      <c r="E321" s="41"/>
      <c r="F321" s="42"/>
      <c r="G321" s="44">
        <f>IFERROR(SUMIFS(Transactions!$F$7:$F$989,Transactions!$G$7:$G$989,A321,Transactions!$D$7:$D$989,"Expense"),0)</f>
        <v>0</v>
      </c>
      <c r="H321" s="41"/>
      <c r="I321" s="41"/>
      <c r="J321" s="41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1"/>
      <c r="B322" s="38"/>
      <c r="C322" s="41"/>
      <c r="D322" s="41"/>
      <c r="E322" s="41"/>
      <c r="F322" s="42"/>
      <c r="G322" s="44">
        <f>IFERROR(SUMIFS(Transactions!$F$7:$F$989,Transactions!$G$7:$G$989,A322,Transactions!$D$7:$D$989,"Expense"),0)</f>
        <v>0</v>
      </c>
      <c r="H322" s="41"/>
      <c r="I322" s="41"/>
      <c r="J322" s="41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41"/>
      <c r="B323" s="38"/>
      <c r="C323" s="41"/>
      <c r="D323" s="41"/>
      <c r="E323" s="41"/>
      <c r="F323" s="42"/>
      <c r="G323" s="44">
        <f>IFERROR(SUMIFS(Transactions!$F$7:$F$989,Transactions!$G$7:$G$989,A323,Transactions!$D$7:$D$989,"Expense"),0)</f>
        <v>0</v>
      </c>
      <c r="H323" s="41"/>
      <c r="I323" s="41"/>
      <c r="J323" s="41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1"/>
      <c r="B324" s="38"/>
      <c r="C324" s="41"/>
      <c r="D324" s="41"/>
      <c r="E324" s="41"/>
      <c r="F324" s="42"/>
      <c r="G324" s="44">
        <f>IFERROR(SUMIFS(Transactions!$F$7:$F$989,Transactions!$G$7:$G$989,A324,Transactions!$D$7:$D$989,"Expense"),0)</f>
        <v>0</v>
      </c>
      <c r="H324" s="41"/>
      <c r="I324" s="41"/>
      <c r="J324" s="41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41"/>
      <c r="B325" s="38"/>
      <c r="C325" s="41"/>
      <c r="D325" s="41"/>
      <c r="E325" s="41"/>
      <c r="F325" s="42"/>
      <c r="G325" s="44">
        <f>IFERROR(SUMIFS(Transactions!$F$7:$F$989,Transactions!$G$7:$G$989,A325,Transactions!$D$7:$D$989,"Expense"),0)</f>
        <v>0</v>
      </c>
      <c r="H325" s="41"/>
      <c r="I325" s="41"/>
      <c r="J325" s="41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1"/>
      <c r="B326" s="38"/>
      <c r="C326" s="41"/>
      <c r="D326" s="41"/>
      <c r="E326" s="41"/>
      <c r="F326" s="42"/>
      <c r="G326" s="44">
        <f>IFERROR(SUMIFS(Transactions!$F$7:$F$989,Transactions!$G$7:$G$989,A326,Transactions!$D$7:$D$989,"Expense"),0)</f>
        <v>0</v>
      </c>
      <c r="H326" s="41"/>
      <c r="I326" s="41"/>
      <c r="J326" s="41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41"/>
      <c r="B327" s="38"/>
      <c r="C327" s="41"/>
      <c r="D327" s="41"/>
      <c r="E327" s="41"/>
      <c r="F327" s="42"/>
      <c r="G327" s="44">
        <f>IFERROR(SUMIFS(Transactions!$F$7:$F$989,Transactions!$G$7:$G$989,A327,Transactions!$D$7:$D$989,"Expense"),0)</f>
        <v>0</v>
      </c>
      <c r="H327" s="41"/>
      <c r="I327" s="41"/>
      <c r="J327" s="41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1"/>
      <c r="B328" s="38"/>
      <c r="C328" s="41"/>
      <c r="D328" s="41"/>
      <c r="E328" s="41"/>
      <c r="F328" s="42"/>
      <c r="G328" s="44">
        <f>IFERROR(SUMIFS(Transactions!$F$7:$F$989,Transactions!$G$7:$G$989,A328,Transactions!$D$7:$D$989,"Expense"),0)</f>
        <v>0</v>
      </c>
      <c r="H328" s="41"/>
      <c r="I328" s="41"/>
      <c r="J328" s="41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41"/>
      <c r="B329" s="38"/>
      <c r="C329" s="41"/>
      <c r="D329" s="41"/>
      <c r="E329" s="41"/>
      <c r="F329" s="42"/>
      <c r="G329" s="44">
        <f>IFERROR(SUMIFS(Transactions!$F$7:$F$989,Transactions!$G$7:$G$989,A329,Transactions!$D$7:$D$989,"Expense"),0)</f>
        <v>0</v>
      </c>
      <c r="H329" s="41"/>
      <c r="I329" s="41"/>
      <c r="J329" s="41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1"/>
      <c r="B330" s="38"/>
      <c r="C330" s="41"/>
      <c r="D330" s="41"/>
      <c r="E330" s="41"/>
      <c r="F330" s="42"/>
      <c r="G330" s="44">
        <f>IFERROR(SUMIFS(Transactions!$F$7:$F$989,Transactions!$G$7:$G$989,A330,Transactions!$D$7:$D$989,"Expense"),0)</f>
        <v>0</v>
      </c>
      <c r="H330" s="41"/>
      <c r="I330" s="41"/>
      <c r="J330" s="41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41"/>
      <c r="B331" s="38"/>
      <c r="C331" s="41"/>
      <c r="D331" s="41"/>
      <c r="E331" s="41"/>
      <c r="F331" s="42"/>
      <c r="G331" s="44">
        <f>IFERROR(SUMIFS(Transactions!$F$7:$F$989,Transactions!$G$7:$G$989,A331,Transactions!$D$7:$D$989,"Expense"),0)</f>
        <v>0</v>
      </c>
      <c r="H331" s="41"/>
      <c r="I331" s="41"/>
      <c r="J331" s="41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1"/>
      <c r="B332" s="38"/>
      <c r="C332" s="41"/>
      <c r="D332" s="41"/>
      <c r="E332" s="41"/>
      <c r="F332" s="42"/>
      <c r="G332" s="44">
        <f>IFERROR(SUMIFS(Transactions!$F$7:$F$989,Transactions!$G$7:$G$989,A332,Transactions!$D$7:$D$989,"Expense"),0)</f>
        <v>0</v>
      </c>
      <c r="H332" s="41"/>
      <c r="I332" s="41"/>
      <c r="J332" s="41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41"/>
      <c r="B333" s="38"/>
      <c r="C333" s="41"/>
      <c r="D333" s="41"/>
      <c r="E333" s="41"/>
      <c r="F333" s="42"/>
      <c r="G333" s="44">
        <f>IFERROR(SUMIFS(Transactions!$F$7:$F$989,Transactions!$G$7:$G$989,A333,Transactions!$D$7:$D$989,"Expense"),0)</f>
        <v>0</v>
      </c>
      <c r="H333" s="41"/>
      <c r="I333" s="41"/>
      <c r="J333" s="41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1"/>
      <c r="B334" s="38"/>
      <c r="C334" s="41"/>
      <c r="D334" s="41"/>
      <c r="E334" s="41"/>
      <c r="F334" s="42"/>
      <c r="G334" s="44">
        <f>IFERROR(SUMIFS(Transactions!$F$7:$F$989,Transactions!$G$7:$G$989,A334,Transactions!$D$7:$D$989,"Expense"),0)</f>
        <v>0</v>
      </c>
      <c r="H334" s="41"/>
      <c r="I334" s="41"/>
      <c r="J334" s="41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41"/>
      <c r="B335" s="38"/>
      <c r="C335" s="41"/>
      <c r="D335" s="41"/>
      <c r="E335" s="41"/>
      <c r="F335" s="42"/>
      <c r="G335" s="44">
        <f>IFERROR(SUMIFS(Transactions!$F$7:$F$989,Transactions!$G$7:$G$989,A335,Transactions!$D$7:$D$989,"Expense"),0)</f>
        <v>0</v>
      </c>
      <c r="H335" s="41"/>
      <c r="I335" s="41"/>
      <c r="J335" s="41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1"/>
      <c r="B336" s="38"/>
      <c r="C336" s="41"/>
      <c r="D336" s="41"/>
      <c r="E336" s="41"/>
      <c r="F336" s="42"/>
      <c r="G336" s="44">
        <f>IFERROR(SUMIFS(Transactions!$F$7:$F$989,Transactions!$G$7:$G$989,A336,Transactions!$D$7:$D$989,"Expense"),0)</f>
        <v>0</v>
      </c>
      <c r="H336" s="41"/>
      <c r="I336" s="41"/>
      <c r="J336" s="41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41"/>
      <c r="B337" s="38"/>
      <c r="C337" s="41"/>
      <c r="D337" s="41"/>
      <c r="E337" s="41"/>
      <c r="F337" s="42"/>
      <c r="G337" s="44">
        <f>IFERROR(SUMIFS(Transactions!$F$7:$F$989,Transactions!$G$7:$G$989,A337,Transactions!$D$7:$D$989,"Expense"),0)</f>
        <v>0</v>
      </c>
      <c r="H337" s="41"/>
      <c r="I337" s="41"/>
      <c r="J337" s="41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1"/>
      <c r="B338" s="38"/>
      <c r="C338" s="41"/>
      <c r="D338" s="41"/>
      <c r="E338" s="41"/>
      <c r="F338" s="42"/>
      <c r="G338" s="44">
        <f>IFERROR(SUMIFS(Transactions!$F$7:$F$989,Transactions!$G$7:$G$989,A338,Transactions!$D$7:$D$989,"Expense"),0)</f>
        <v>0</v>
      </c>
      <c r="H338" s="41"/>
      <c r="I338" s="41"/>
      <c r="J338" s="41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41"/>
      <c r="B339" s="38"/>
      <c r="C339" s="41"/>
      <c r="D339" s="41"/>
      <c r="E339" s="41"/>
      <c r="F339" s="42"/>
      <c r="G339" s="44">
        <f>IFERROR(SUMIFS(Transactions!$F$7:$F$989,Transactions!$G$7:$G$989,A339,Transactions!$D$7:$D$989,"Expense"),0)</f>
        <v>0</v>
      </c>
      <c r="H339" s="41"/>
      <c r="I339" s="41"/>
      <c r="J339" s="41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1"/>
      <c r="B340" s="38"/>
      <c r="C340" s="41"/>
      <c r="D340" s="41"/>
      <c r="E340" s="41"/>
      <c r="F340" s="42"/>
      <c r="G340" s="44">
        <f>IFERROR(SUMIFS(Transactions!$F$7:$F$989,Transactions!$G$7:$G$989,A340,Transactions!$D$7:$D$989,"Expense"),0)</f>
        <v>0</v>
      </c>
      <c r="H340" s="41"/>
      <c r="I340" s="41"/>
      <c r="J340" s="41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41"/>
      <c r="B341" s="38"/>
      <c r="C341" s="41"/>
      <c r="D341" s="41"/>
      <c r="E341" s="41"/>
      <c r="F341" s="42"/>
      <c r="G341" s="44">
        <f>IFERROR(SUMIFS(Transactions!$F$7:$F$989,Transactions!$G$7:$G$989,A341,Transactions!$D$7:$D$989,"Expense"),0)</f>
        <v>0</v>
      </c>
      <c r="H341" s="41"/>
      <c r="I341" s="41"/>
      <c r="J341" s="41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1"/>
      <c r="B342" s="38"/>
      <c r="C342" s="41"/>
      <c r="D342" s="41"/>
      <c r="E342" s="41"/>
      <c r="F342" s="42"/>
      <c r="G342" s="44">
        <f>IFERROR(SUMIFS(Transactions!$F$7:$F$989,Transactions!$G$7:$G$989,A342,Transactions!$D$7:$D$989,"Expense"),0)</f>
        <v>0</v>
      </c>
      <c r="H342" s="41"/>
      <c r="I342" s="41"/>
      <c r="J342" s="41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41"/>
      <c r="B343" s="38"/>
      <c r="C343" s="41"/>
      <c r="D343" s="41"/>
      <c r="E343" s="41"/>
      <c r="F343" s="42"/>
      <c r="G343" s="44">
        <f>IFERROR(SUMIFS(Transactions!$F$7:$F$989,Transactions!$G$7:$G$989,A343,Transactions!$D$7:$D$989,"Expense"),0)</f>
        <v>0</v>
      </c>
      <c r="H343" s="41"/>
      <c r="I343" s="41"/>
      <c r="J343" s="41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1"/>
      <c r="B344" s="38"/>
      <c r="C344" s="41"/>
      <c r="D344" s="41"/>
      <c r="E344" s="41"/>
      <c r="F344" s="42"/>
      <c r="G344" s="44">
        <f>IFERROR(SUMIFS(Transactions!$F$7:$F$989,Transactions!$G$7:$G$989,A344,Transactions!$D$7:$D$989,"Expense"),0)</f>
        <v>0</v>
      </c>
      <c r="H344" s="41"/>
      <c r="I344" s="41"/>
      <c r="J344" s="41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41"/>
      <c r="B345" s="38"/>
      <c r="C345" s="41"/>
      <c r="D345" s="41"/>
      <c r="E345" s="41"/>
      <c r="F345" s="42"/>
      <c r="G345" s="44">
        <f>IFERROR(SUMIFS(Transactions!$F$7:$F$989,Transactions!$G$7:$G$989,A345,Transactions!$D$7:$D$989,"Expense"),0)</f>
        <v>0</v>
      </c>
      <c r="H345" s="41"/>
      <c r="I345" s="41"/>
      <c r="J345" s="41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1"/>
      <c r="B346" s="38"/>
      <c r="C346" s="41"/>
      <c r="D346" s="41"/>
      <c r="E346" s="41"/>
      <c r="F346" s="42"/>
      <c r="G346" s="44">
        <f>IFERROR(SUMIFS(Transactions!$F$7:$F$989,Transactions!$G$7:$G$989,A346,Transactions!$D$7:$D$989,"Expense"),0)</f>
        <v>0</v>
      </c>
      <c r="H346" s="41"/>
      <c r="I346" s="41"/>
      <c r="J346" s="41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41"/>
      <c r="B347" s="38"/>
      <c r="C347" s="41"/>
      <c r="D347" s="41"/>
      <c r="E347" s="41"/>
      <c r="F347" s="42"/>
      <c r="G347" s="44">
        <f>IFERROR(SUMIFS(Transactions!$F$7:$F$989,Transactions!$G$7:$G$989,A347,Transactions!$D$7:$D$989,"Expense"),0)</f>
        <v>0</v>
      </c>
      <c r="H347" s="41"/>
      <c r="I347" s="41"/>
      <c r="J347" s="41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1"/>
      <c r="B348" s="38"/>
      <c r="C348" s="41"/>
      <c r="D348" s="41"/>
      <c r="E348" s="41"/>
      <c r="F348" s="42"/>
      <c r="G348" s="44">
        <f>IFERROR(SUMIFS(Transactions!$F$7:$F$989,Transactions!$G$7:$G$989,A348,Transactions!$D$7:$D$989,"Expense"),0)</f>
        <v>0</v>
      </c>
      <c r="H348" s="41"/>
      <c r="I348" s="41"/>
      <c r="J348" s="41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41"/>
      <c r="B349" s="38"/>
      <c r="C349" s="41"/>
      <c r="D349" s="41"/>
      <c r="E349" s="41"/>
      <c r="F349" s="42"/>
      <c r="G349" s="44">
        <f>IFERROR(SUMIFS(Transactions!$F$7:$F$989,Transactions!$G$7:$G$989,A349,Transactions!$D$7:$D$989,"Expense"),0)</f>
        <v>0</v>
      </c>
      <c r="H349" s="41"/>
      <c r="I349" s="41"/>
      <c r="J349" s="41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1"/>
      <c r="B350" s="38"/>
      <c r="C350" s="41"/>
      <c r="D350" s="41"/>
      <c r="E350" s="41"/>
      <c r="F350" s="42"/>
      <c r="G350" s="44">
        <f>IFERROR(SUMIFS(Transactions!$F$7:$F$989,Transactions!$G$7:$G$989,A350,Transactions!$D$7:$D$989,"Expense"),0)</f>
        <v>0</v>
      </c>
      <c r="H350" s="41"/>
      <c r="I350" s="41"/>
      <c r="J350" s="41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41"/>
      <c r="B351" s="38"/>
      <c r="C351" s="41"/>
      <c r="D351" s="41"/>
      <c r="E351" s="41"/>
      <c r="F351" s="42"/>
      <c r="G351" s="44">
        <f>IFERROR(SUMIFS(Transactions!$F$7:$F$989,Transactions!$G$7:$G$989,A351,Transactions!$D$7:$D$989,"Expense"),0)</f>
        <v>0</v>
      </c>
      <c r="H351" s="41"/>
      <c r="I351" s="41"/>
      <c r="J351" s="41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1"/>
      <c r="B352" s="38"/>
      <c r="C352" s="41"/>
      <c r="D352" s="41"/>
      <c r="E352" s="41"/>
      <c r="F352" s="42"/>
      <c r="G352" s="44">
        <f>IFERROR(SUMIFS(Transactions!$F$7:$F$989,Transactions!$G$7:$G$989,A352,Transactions!$D$7:$D$989,"Expense"),0)</f>
        <v>0</v>
      </c>
      <c r="H352" s="41"/>
      <c r="I352" s="41"/>
      <c r="J352" s="41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41"/>
      <c r="B353" s="38"/>
      <c r="C353" s="41"/>
      <c r="D353" s="41"/>
      <c r="E353" s="41"/>
      <c r="F353" s="42"/>
      <c r="G353" s="44">
        <f>IFERROR(SUMIFS(Transactions!$F$7:$F$989,Transactions!$G$7:$G$989,A353,Transactions!$D$7:$D$989,"Expense"),0)</f>
        <v>0</v>
      </c>
      <c r="H353" s="41"/>
      <c r="I353" s="41"/>
      <c r="J353" s="41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1"/>
      <c r="B354" s="38"/>
      <c r="C354" s="41"/>
      <c r="D354" s="41"/>
      <c r="E354" s="41"/>
      <c r="F354" s="42"/>
      <c r="G354" s="44">
        <f>IFERROR(SUMIFS(Transactions!$F$7:$F$989,Transactions!$G$7:$G$989,A354,Transactions!$D$7:$D$989,"Expense"),0)</f>
        <v>0</v>
      </c>
      <c r="H354" s="41"/>
      <c r="I354" s="41"/>
      <c r="J354" s="41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41"/>
      <c r="B355" s="38"/>
      <c r="C355" s="41"/>
      <c r="D355" s="41"/>
      <c r="E355" s="41"/>
      <c r="F355" s="42"/>
      <c r="G355" s="44">
        <f>IFERROR(SUMIFS(Transactions!$F$7:$F$989,Transactions!$G$7:$G$989,A355,Transactions!$D$7:$D$989,"Expense"),0)</f>
        <v>0</v>
      </c>
      <c r="H355" s="41"/>
      <c r="I355" s="41"/>
      <c r="J355" s="41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1"/>
      <c r="B356" s="38"/>
      <c r="C356" s="41"/>
      <c r="D356" s="41"/>
      <c r="E356" s="41"/>
      <c r="F356" s="42"/>
      <c r="G356" s="44">
        <f>IFERROR(SUMIFS(Transactions!$F$7:$F$989,Transactions!$G$7:$G$989,A356,Transactions!$D$7:$D$989,"Expense"),0)</f>
        <v>0</v>
      </c>
      <c r="H356" s="41"/>
      <c r="I356" s="41"/>
      <c r="J356" s="41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41"/>
      <c r="B357" s="38"/>
      <c r="C357" s="41"/>
      <c r="D357" s="41"/>
      <c r="E357" s="41"/>
      <c r="F357" s="42"/>
      <c r="G357" s="44">
        <f>IFERROR(SUMIFS(Transactions!$F$7:$F$989,Transactions!$G$7:$G$989,A357,Transactions!$D$7:$D$989,"Expense"),0)</f>
        <v>0</v>
      </c>
      <c r="H357" s="41"/>
      <c r="I357" s="41"/>
      <c r="J357" s="41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1"/>
      <c r="B358" s="38"/>
      <c r="C358" s="41"/>
      <c r="D358" s="41"/>
      <c r="E358" s="41"/>
      <c r="F358" s="42"/>
      <c r="G358" s="44">
        <f>IFERROR(SUMIFS(Transactions!$F$7:$F$989,Transactions!$G$7:$G$989,A358,Transactions!$D$7:$D$989,"Expense"),0)</f>
        <v>0</v>
      </c>
      <c r="H358" s="41"/>
      <c r="I358" s="41"/>
      <c r="J358" s="41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41"/>
      <c r="B359" s="38"/>
      <c r="C359" s="41"/>
      <c r="D359" s="41"/>
      <c r="E359" s="41"/>
      <c r="F359" s="42"/>
      <c r="G359" s="44">
        <f>IFERROR(SUMIFS(Transactions!$F$7:$F$989,Transactions!$G$7:$G$989,A359,Transactions!$D$7:$D$989,"Expense"),0)</f>
        <v>0</v>
      </c>
      <c r="H359" s="41"/>
      <c r="I359" s="41"/>
      <c r="J359" s="41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1"/>
      <c r="B360" s="38"/>
      <c r="C360" s="41"/>
      <c r="D360" s="41"/>
      <c r="E360" s="41"/>
      <c r="F360" s="42"/>
      <c r="G360" s="44">
        <f>IFERROR(SUMIFS(Transactions!$F$7:$F$989,Transactions!$G$7:$G$989,A360,Transactions!$D$7:$D$989,"Expense"),0)</f>
        <v>0</v>
      </c>
      <c r="H360" s="41"/>
      <c r="I360" s="41"/>
      <c r="J360" s="41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41"/>
      <c r="B361" s="38"/>
      <c r="C361" s="41"/>
      <c r="D361" s="41"/>
      <c r="E361" s="41"/>
      <c r="F361" s="42"/>
      <c r="G361" s="44">
        <f>IFERROR(SUMIFS(Transactions!$F$7:$F$989,Transactions!$G$7:$G$989,A361,Transactions!$D$7:$D$989,"Expense"),0)</f>
        <v>0</v>
      </c>
      <c r="H361" s="41"/>
      <c r="I361" s="41"/>
      <c r="J361" s="41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1"/>
      <c r="B362" s="38"/>
      <c r="C362" s="41"/>
      <c r="D362" s="41"/>
      <c r="E362" s="41"/>
      <c r="F362" s="42"/>
      <c r="G362" s="44">
        <f>IFERROR(SUMIFS(Transactions!$F$7:$F$989,Transactions!$G$7:$G$989,A362,Transactions!$D$7:$D$989,"Expense"),0)</f>
        <v>0</v>
      </c>
      <c r="H362" s="41"/>
      <c r="I362" s="41"/>
      <c r="J362" s="41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41"/>
      <c r="B363" s="38"/>
      <c r="C363" s="41"/>
      <c r="D363" s="41"/>
      <c r="E363" s="41"/>
      <c r="F363" s="42"/>
      <c r="G363" s="44">
        <f>IFERROR(SUMIFS(Transactions!$F$7:$F$989,Transactions!$G$7:$G$989,A363,Transactions!$D$7:$D$989,"Expense"),0)</f>
        <v>0</v>
      </c>
      <c r="H363" s="41"/>
      <c r="I363" s="41"/>
      <c r="J363" s="41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1"/>
      <c r="B364" s="38"/>
      <c r="C364" s="41"/>
      <c r="D364" s="41"/>
      <c r="E364" s="41"/>
      <c r="F364" s="42"/>
      <c r="G364" s="44">
        <f>IFERROR(SUMIFS(Transactions!$F$7:$F$989,Transactions!$G$7:$G$989,A364,Transactions!$D$7:$D$989,"Expense"),0)</f>
        <v>0</v>
      </c>
      <c r="H364" s="41"/>
      <c r="I364" s="41"/>
      <c r="J364" s="41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41"/>
      <c r="B365" s="38"/>
      <c r="C365" s="41"/>
      <c r="D365" s="41"/>
      <c r="E365" s="41"/>
      <c r="F365" s="42"/>
      <c r="G365" s="44">
        <f>IFERROR(SUMIFS(Transactions!$F$7:$F$989,Transactions!$G$7:$G$989,A365,Transactions!$D$7:$D$989,"Expense"),0)</f>
        <v>0</v>
      </c>
      <c r="H365" s="41"/>
      <c r="I365" s="41"/>
      <c r="J365" s="41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1"/>
      <c r="B366" s="38"/>
      <c r="C366" s="41"/>
      <c r="D366" s="41"/>
      <c r="E366" s="41"/>
      <c r="F366" s="42"/>
      <c r="G366" s="44">
        <f>IFERROR(SUMIFS(Transactions!$F$7:$F$989,Transactions!$G$7:$G$989,A366,Transactions!$D$7:$D$989,"Expense"),0)</f>
        <v>0</v>
      </c>
      <c r="H366" s="41"/>
      <c r="I366" s="41"/>
      <c r="J366" s="41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41"/>
      <c r="B367" s="38"/>
      <c r="C367" s="41"/>
      <c r="D367" s="41"/>
      <c r="E367" s="41"/>
      <c r="F367" s="42"/>
      <c r="G367" s="44">
        <f>IFERROR(SUMIFS(Transactions!$F$7:$F$989,Transactions!$G$7:$G$989,A367,Transactions!$D$7:$D$989,"Expense"),0)</f>
        <v>0</v>
      </c>
      <c r="H367" s="41"/>
      <c r="I367" s="41"/>
      <c r="J367" s="41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1"/>
      <c r="B368" s="38"/>
      <c r="C368" s="41"/>
      <c r="D368" s="41"/>
      <c r="E368" s="41"/>
      <c r="F368" s="42"/>
      <c r="G368" s="44">
        <f>IFERROR(SUMIFS(Transactions!$F$7:$F$989,Transactions!$G$7:$G$989,A368,Transactions!$D$7:$D$989,"Expense"),0)</f>
        <v>0</v>
      </c>
      <c r="H368" s="41"/>
      <c r="I368" s="41"/>
      <c r="J368" s="41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41"/>
      <c r="B369" s="38"/>
      <c r="C369" s="41"/>
      <c r="D369" s="41"/>
      <c r="E369" s="41"/>
      <c r="F369" s="42"/>
      <c r="G369" s="44">
        <f>IFERROR(SUMIFS(Transactions!$F$7:$F$989,Transactions!$G$7:$G$989,A369,Transactions!$D$7:$D$989,"Expense"),0)</f>
        <v>0</v>
      </c>
      <c r="H369" s="41"/>
      <c r="I369" s="41"/>
      <c r="J369" s="41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1"/>
      <c r="B370" s="38"/>
      <c r="C370" s="41"/>
      <c r="D370" s="41"/>
      <c r="E370" s="41"/>
      <c r="F370" s="42"/>
      <c r="G370" s="44">
        <f>IFERROR(SUMIFS(Transactions!$F$7:$F$989,Transactions!$G$7:$G$989,A370,Transactions!$D$7:$D$989,"Expense"),0)</f>
        <v>0</v>
      </c>
      <c r="H370" s="41"/>
      <c r="I370" s="41"/>
      <c r="J370" s="41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41"/>
      <c r="B371" s="38"/>
      <c r="C371" s="41"/>
      <c r="D371" s="41"/>
      <c r="E371" s="41"/>
      <c r="F371" s="42"/>
      <c r="G371" s="44">
        <f>IFERROR(SUMIFS(Transactions!$F$7:$F$989,Transactions!$G$7:$G$989,A371,Transactions!$D$7:$D$989,"Expense"),0)</f>
        <v>0</v>
      </c>
      <c r="H371" s="41"/>
      <c r="I371" s="41"/>
      <c r="J371" s="41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1"/>
      <c r="B372" s="38"/>
      <c r="C372" s="41"/>
      <c r="D372" s="41"/>
      <c r="E372" s="41"/>
      <c r="F372" s="42"/>
      <c r="G372" s="44">
        <f>IFERROR(SUMIFS(Transactions!$F$7:$F$989,Transactions!$G$7:$G$989,A372,Transactions!$D$7:$D$989,"Expense"),0)</f>
        <v>0</v>
      </c>
      <c r="H372" s="41"/>
      <c r="I372" s="41"/>
      <c r="J372" s="41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41"/>
      <c r="B373" s="38"/>
      <c r="C373" s="41"/>
      <c r="D373" s="41"/>
      <c r="E373" s="41"/>
      <c r="F373" s="42"/>
      <c r="G373" s="44">
        <f>IFERROR(SUMIFS(Transactions!$F$7:$F$989,Transactions!$G$7:$G$989,A373,Transactions!$D$7:$D$989,"Expense"),0)</f>
        <v>0</v>
      </c>
      <c r="H373" s="41"/>
      <c r="I373" s="41"/>
      <c r="J373" s="41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1"/>
      <c r="B374" s="38"/>
      <c r="C374" s="41"/>
      <c r="D374" s="41"/>
      <c r="E374" s="41"/>
      <c r="F374" s="42"/>
      <c r="G374" s="44">
        <f>IFERROR(SUMIFS(Transactions!$F$7:$F$989,Transactions!$G$7:$G$989,A374,Transactions!$D$7:$D$989,"Expense"),0)</f>
        <v>0</v>
      </c>
      <c r="H374" s="41"/>
      <c r="I374" s="41"/>
      <c r="J374" s="41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41"/>
      <c r="B375" s="38"/>
      <c r="C375" s="41"/>
      <c r="D375" s="41"/>
      <c r="E375" s="41"/>
      <c r="F375" s="42"/>
      <c r="G375" s="44">
        <f>IFERROR(SUMIFS(Transactions!$F$7:$F$989,Transactions!$G$7:$G$989,A375,Transactions!$D$7:$D$989,"Expense"),0)</f>
        <v>0</v>
      </c>
      <c r="H375" s="41"/>
      <c r="I375" s="41"/>
      <c r="J375" s="41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1"/>
      <c r="B376" s="38"/>
      <c r="C376" s="41"/>
      <c r="D376" s="41"/>
      <c r="E376" s="41"/>
      <c r="F376" s="42"/>
      <c r="G376" s="44">
        <f>IFERROR(SUMIFS(Transactions!$F$7:$F$989,Transactions!$G$7:$G$989,A376,Transactions!$D$7:$D$989,"Expense"),0)</f>
        <v>0</v>
      </c>
      <c r="H376" s="41"/>
      <c r="I376" s="41"/>
      <c r="J376" s="41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41"/>
      <c r="B377" s="38"/>
      <c r="C377" s="41"/>
      <c r="D377" s="41"/>
      <c r="E377" s="41"/>
      <c r="F377" s="42"/>
      <c r="G377" s="44">
        <f>IFERROR(SUMIFS(Transactions!$F$7:$F$989,Transactions!$G$7:$G$989,A377,Transactions!$D$7:$D$989,"Expense"),0)</f>
        <v>0</v>
      </c>
      <c r="H377" s="41"/>
      <c r="I377" s="41"/>
      <c r="J377" s="41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1"/>
      <c r="B378" s="38"/>
      <c r="C378" s="41"/>
      <c r="D378" s="41"/>
      <c r="E378" s="41"/>
      <c r="F378" s="42"/>
      <c r="G378" s="44">
        <f>IFERROR(SUMIFS(Transactions!$F$7:$F$989,Transactions!$G$7:$G$989,A378,Transactions!$D$7:$D$989,"Expense"),0)</f>
        <v>0</v>
      </c>
      <c r="H378" s="41"/>
      <c r="I378" s="41"/>
      <c r="J378" s="41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41"/>
      <c r="B379" s="38"/>
      <c r="C379" s="41"/>
      <c r="D379" s="41"/>
      <c r="E379" s="41"/>
      <c r="F379" s="42"/>
      <c r="G379" s="44">
        <f>IFERROR(SUMIFS(Transactions!$F$7:$F$989,Transactions!$G$7:$G$989,A379,Transactions!$D$7:$D$989,"Expense"),0)</f>
        <v>0</v>
      </c>
      <c r="H379" s="41"/>
      <c r="I379" s="41"/>
      <c r="J379" s="41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1"/>
      <c r="B380" s="38"/>
      <c r="C380" s="41"/>
      <c r="D380" s="41"/>
      <c r="E380" s="41"/>
      <c r="F380" s="42"/>
      <c r="G380" s="44">
        <f>IFERROR(SUMIFS(Transactions!$F$7:$F$989,Transactions!$G$7:$G$989,A380,Transactions!$D$7:$D$989,"Expense"),0)</f>
        <v>0</v>
      </c>
      <c r="H380" s="41"/>
      <c r="I380" s="41"/>
      <c r="J380" s="41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41"/>
      <c r="B381" s="38"/>
      <c r="C381" s="41"/>
      <c r="D381" s="41"/>
      <c r="E381" s="41"/>
      <c r="F381" s="42"/>
      <c r="G381" s="44">
        <f>IFERROR(SUMIFS(Transactions!$F$7:$F$989,Transactions!$G$7:$G$989,A381,Transactions!$D$7:$D$989,"Expense"),0)</f>
        <v>0</v>
      </c>
      <c r="H381" s="41"/>
      <c r="I381" s="41"/>
      <c r="J381" s="41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1"/>
      <c r="B382" s="38"/>
      <c r="C382" s="41"/>
      <c r="D382" s="41"/>
      <c r="E382" s="41"/>
      <c r="F382" s="42"/>
      <c r="G382" s="44">
        <f>IFERROR(SUMIFS(Transactions!$F$7:$F$989,Transactions!$G$7:$G$989,A382,Transactions!$D$7:$D$989,"Expense"),0)</f>
        <v>0</v>
      </c>
      <c r="H382" s="41"/>
      <c r="I382" s="41"/>
      <c r="J382" s="41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41"/>
      <c r="B383" s="38"/>
      <c r="C383" s="41"/>
      <c r="D383" s="41"/>
      <c r="E383" s="41"/>
      <c r="F383" s="42"/>
      <c r="G383" s="44">
        <f>IFERROR(SUMIFS(Transactions!$F$7:$F$989,Transactions!$G$7:$G$989,A383,Transactions!$D$7:$D$989,"Expense"),0)</f>
        <v>0</v>
      </c>
      <c r="H383" s="41"/>
      <c r="I383" s="41"/>
      <c r="J383" s="41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1"/>
      <c r="B384" s="38"/>
      <c r="C384" s="41"/>
      <c r="D384" s="41"/>
      <c r="E384" s="41"/>
      <c r="F384" s="42"/>
      <c r="G384" s="44">
        <f>IFERROR(SUMIFS(Transactions!$F$7:$F$989,Transactions!$G$7:$G$989,A384,Transactions!$D$7:$D$989,"Expense"),0)</f>
        <v>0</v>
      </c>
      <c r="H384" s="41"/>
      <c r="I384" s="41"/>
      <c r="J384" s="41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41"/>
      <c r="B385" s="38"/>
      <c r="C385" s="41"/>
      <c r="D385" s="41"/>
      <c r="E385" s="41"/>
      <c r="F385" s="42"/>
      <c r="G385" s="44">
        <f>IFERROR(SUMIFS(Transactions!$F$7:$F$989,Transactions!$G$7:$G$989,A385,Transactions!$D$7:$D$989,"Expense"),0)</f>
        <v>0</v>
      </c>
      <c r="H385" s="41"/>
      <c r="I385" s="41"/>
      <c r="J385" s="41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1"/>
      <c r="B386" s="38"/>
      <c r="C386" s="41"/>
      <c r="D386" s="41"/>
      <c r="E386" s="41"/>
      <c r="F386" s="42"/>
      <c r="G386" s="44">
        <f>IFERROR(SUMIFS(Transactions!$F$7:$F$989,Transactions!$G$7:$G$989,A386,Transactions!$D$7:$D$989,"Expense"),0)</f>
        <v>0</v>
      </c>
      <c r="H386" s="41"/>
      <c r="I386" s="41"/>
      <c r="J386" s="41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41"/>
      <c r="B387" s="38"/>
      <c r="C387" s="41"/>
      <c r="D387" s="41"/>
      <c r="E387" s="41"/>
      <c r="F387" s="42"/>
      <c r="G387" s="44">
        <f>IFERROR(SUMIFS(Transactions!$F$7:$F$989,Transactions!$G$7:$G$989,A387,Transactions!$D$7:$D$989,"Expense"),0)</f>
        <v>0</v>
      </c>
      <c r="H387" s="41"/>
      <c r="I387" s="41"/>
      <c r="J387" s="41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1"/>
      <c r="B388" s="38"/>
      <c r="C388" s="41"/>
      <c r="D388" s="41"/>
      <c r="E388" s="41"/>
      <c r="F388" s="42"/>
      <c r="G388" s="44">
        <f>IFERROR(SUMIFS(Transactions!$F$7:$F$989,Transactions!$G$7:$G$989,A388,Transactions!$D$7:$D$989,"Expense"),0)</f>
        <v>0</v>
      </c>
      <c r="H388" s="41"/>
      <c r="I388" s="41"/>
      <c r="J388" s="41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41"/>
      <c r="B389" s="38"/>
      <c r="C389" s="41"/>
      <c r="D389" s="41"/>
      <c r="E389" s="41"/>
      <c r="F389" s="42"/>
      <c r="G389" s="44">
        <f>IFERROR(SUMIFS(Transactions!$F$7:$F$989,Transactions!$G$7:$G$989,A389,Transactions!$D$7:$D$989,"Expense"),0)</f>
        <v>0</v>
      </c>
      <c r="H389" s="41"/>
      <c r="I389" s="41"/>
      <c r="J389" s="41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1"/>
      <c r="B390" s="38"/>
      <c r="C390" s="41"/>
      <c r="D390" s="41"/>
      <c r="E390" s="41"/>
      <c r="F390" s="42"/>
      <c r="G390" s="44">
        <f>IFERROR(SUMIFS(Transactions!$F$7:$F$989,Transactions!$G$7:$G$989,A390,Transactions!$D$7:$D$989,"Expense"),0)</f>
        <v>0</v>
      </c>
      <c r="H390" s="41"/>
      <c r="I390" s="41"/>
      <c r="J390" s="41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41"/>
      <c r="B391" s="38"/>
      <c r="C391" s="41"/>
      <c r="D391" s="41"/>
      <c r="E391" s="41"/>
      <c r="F391" s="42"/>
      <c r="G391" s="44">
        <f>IFERROR(SUMIFS(Transactions!$F$7:$F$989,Transactions!$G$7:$G$989,A391,Transactions!$D$7:$D$989,"Expense"),0)</f>
        <v>0</v>
      </c>
      <c r="H391" s="41"/>
      <c r="I391" s="41"/>
      <c r="J391" s="41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1"/>
      <c r="B392" s="38"/>
      <c r="C392" s="41"/>
      <c r="D392" s="41"/>
      <c r="E392" s="41"/>
      <c r="F392" s="42"/>
      <c r="G392" s="44">
        <f>IFERROR(SUMIFS(Transactions!$F$7:$F$989,Transactions!$G$7:$G$989,A392,Transactions!$D$7:$D$989,"Expense"),0)</f>
        <v>0</v>
      </c>
      <c r="H392" s="41"/>
      <c r="I392" s="41"/>
      <c r="J392" s="41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41"/>
      <c r="B393" s="38"/>
      <c r="C393" s="41"/>
      <c r="D393" s="41"/>
      <c r="E393" s="41"/>
      <c r="F393" s="42"/>
      <c r="G393" s="44">
        <f>IFERROR(SUMIFS(Transactions!$F$7:$F$989,Transactions!$G$7:$G$989,A393,Transactions!$D$7:$D$989,"Expense"),0)</f>
        <v>0</v>
      </c>
      <c r="H393" s="41"/>
      <c r="I393" s="41"/>
      <c r="J393" s="41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1"/>
      <c r="B394" s="38"/>
      <c r="C394" s="41"/>
      <c r="D394" s="41"/>
      <c r="E394" s="41"/>
      <c r="F394" s="42"/>
      <c r="G394" s="44">
        <f>IFERROR(SUMIFS(Transactions!$F$7:$F$989,Transactions!$G$7:$G$989,A394,Transactions!$D$7:$D$989,"Expense"),0)</f>
        <v>0</v>
      </c>
      <c r="H394" s="41"/>
      <c r="I394" s="41"/>
      <c r="J394" s="41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41"/>
      <c r="B395" s="38"/>
      <c r="C395" s="41"/>
      <c r="D395" s="41"/>
      <c r="E395" s="41"/>
      <c r="F395" s="42"/>
      <c r="G395" s="44">
        <f>IFERROR(SUMIFS(Transactions!$F$7:$F$989,Transactions!$G$7:$G$989,A395,Transactions!$D$7:$D$989,"Expense"),0)</f>
        <v>0</v>
      </c>
      <c r="H395" s="41"/>
      <c r="I395" s="41"/>
      <c r="J395" s="41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1"/>
      <c r="B396" s="38"/>
      <c r="C396" s="41"/>
      <c r="D396" s="41"/>
      <c r="E396" s="41"/>
      <c r="F396" s="42"/>
      <c r="G396" s="44">
        <f>IFERROR(SUMIFS(Transactions!$F$7:$F$989,Transactions!$G$7:$G$989,A396,Transactions!$D$7:$D$989,"Expense"),0)</f>
        <v>0</v>
      </c>
      <c r="H396" s="41"/>
      <c r="I396" s="41"/>
      <c r="J396" s="41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41"/>
      <c r="B397" s="38"/>
      <c r="C397" s="41"/>
      <c r="D397" s="41"/>
      <c r="E397" s="41"/>
      <c r="F397" s="42"/>
      <c r="G397" s="44">
        <f>IFERROR(SUMIFS(Transactions!$F$7:$F$989,Transactions!$G$7:$G$989,A397,Transactions!$D$7:$D$989,"Expense"),0)</f>
        <v>0</v>
      </c>
      <c r="H397" s="41"/>
      <c r="I397" s="41"/>
      <c r="J397" s="41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1"/>
      <c r="B398" s="38"/>
      <c r="C398" s="41"/>
      <c r="D398" s="41"/>
      <c r="E398" s="41"/>
      <c r="F398" s="42"/>
      <c r="G398" s="44">
        <f>IFERROR(SUMIFS(Transactions!$F$7:$F$989,Transactions!$G$7:$G$989,A398,Transactions!$D$7:$D$989,"Expense"),0)</f>
        <v>0</v>
      </c>
      <c r="H398" s="41"/>
      <c r="I398" s="41"/>
      <c r="J398" s="41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41"/>
      <c r="B399" s="38"/>
      <c r="C399" s="41"/>
      <c r="D399" s="41"/>
      <c r="E399" s="41"/>
      <c r="F399" s="42"/>
      <c r="G399" s="44">
        <f>IFERROR(SUMIFS(Transactions!$F$7:$F$989,Transactions!$G$7:$G$989,A399,Transactions!$D$7:$D$989,"Expense"),0)</f>
        <v>0</v>
      </c>
      <c r="H399" s="41"/>
      <c r="I399" s="41"/>
      <c r="J399" s="41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1"/>
      <c r="B400" s="38"/>
      <c r="C400" s="41"/>
      <c r="D400" s="41"/>
      <c r="E400" s="41"/>
      <c r="F400" s="42"/>
      <c r="G400" s="44">
        <f>IFERROR(SUMIFS(Transactions!$F$7:$F$989,Transactions!$G$7:$G$989,A400,Transactions!$D$7:$D$989,"Expense"),0)</f>
        <v>0</v>
      </c>
      <c r="H400" s="41"/>
      <c r="I400" s="41"/>
      <c r="J400" s="41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41"/>
      <c r="B401" s="38"/>
      <c r="C401" s="41"/>
      <c r="D401" s="41"/>
      <c r="E401" s="41"/>
      <c r="F401" s="42"/>
      <c r="G401" s="44">
        <f>IFERROR(SUMIFS(Transactions!$F$7:$F$989,Transactions!$G$7:$G$989,A401,Transactions!$D$7:$D$989,"Expense"),0)</f>
        <v>0</v>
      </c>
      <c r="H401" s="41"/>
      <c r="I401" s="41"/>
      <c r="J401" s="41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1"/>
      <c r="B402" s="38"/>
      <c r="C402" s="41"/>
      <c r="D402" s="41"/>
      <c r="E402" s="41"/>
      <c r="F402" s="42"/>
      <c r="G402" s="44">
        <f>IFERROR(SUMIFS(Transactions!$F$7:$F$989,Transactions!$G$7:$G$989,A402,Transactions!$D$7:$D$989,"Expense"),0)</f>
        <v>0</v>
      </c>
      <c r="H402" s="41"/>
      <c r="I402" s="41"/>
      <c r="J402" s="41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41"/>
      <c r="B403" s="38"/>
      <c r="C403" s="41"/>
      <c r="D403" s="41"/>
      <c r="E403" s="41"/>
      <c r="F403" s="42"/>
      <c r="G403" s="44">
        <f>IFERROR(SUMIFS(Transactions!$F$7:$F$989,Transactions!$G$7:$G$989,A403,Transactions!$D$7:$D$989,"Expense"),0)</f>
        <v>0</v>
      </c>
      <c r="H403" s="41"/>
      <c r="I403" s="41"/>
      <c r="J403" s="41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1"/>
      <c r="B404" s="38"/>
      <c r="C404" s="41"/>
      <c r="D404" s="41"/>
      <c r="E404" s="41"/>
      <c r="F404" s="42"/>
      <c r="G404" s="44">
        <f>IFERROR(SUMIFS(Transactions!$F$7:$F$989,Transactions!$G$7:$G$989,A404,Transactions!$D$7:$D$989,"Expense"),0)</f>
        <v>0</v>
      </c>
      <c r="H404" s="41"/>
      <c r="I404" s="41"/>
      <c r="J404" s="41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41"/>
      <c r="B405" s="38"/>
      <c r="C405" s="41"/>
      <c r="D405" s="41"/>
      <c r="E405" s="41"/>
      <c r="F405" s="42"/>
      <c r="G405" s="44">
        <f>IFERROR(SUMIFS(Transactions!$F$7:$F$989,Transactions!$G$7:$G$989,A405,Transactions!$D$7:$D$989,"Expense"),0)</f>
        <v>0</v>
      </c>
      <c r="H405" s="41"/>
      <c r="I405" s="41"/>
      <c r="J405" s="41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1"/>
      <c r="B406" s="38"/>
      <c r="C406" s="41"/>
      <c r="D406" s="41"/>
      <c r="E406" s="41"/>
      <c r="F406" s="42"/>
      <c r="G406" s="44">
        <f>IFERROR(SUMIFS(Transactions!$F$7:$F$989,Transactions!$G$7:$G$989,A406,Transactions!$D$7:$D$989,"Expense"),0)</f>
        <v>0</v>
      </c>
      <c r="H406" s="41"/>
      <c r="I406" s="41"/>
      <c r="J406" s="41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41"/>
      <c r="B407" s="38"/>
      <c r="C407" s="41"/>
      <c r="D407" s="41"/>
      <c r="E407" s="41"/>
      <c r="F407" s="42"/>
      <c r="G407" s="44">
        <f>IFERROR(SUMIFS(Transactions!$F$7:$F$989,Transactions!$G$7:$G$989,A407,Transactions!$D$7:$D$989,"Expense"),0)</f>
        <v>0</v>
      </c>
      <c r="H407" s="41"/>
      <c r="I407" s="41"/>
      <c r="J407" s="41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1"/>
      <c r="B408" s="38"/>
      <c r="C408" s="41"/>
      <c r="D408" s="41"/>
      <c r="E408" s="41"/>
      <c r="F408" s="42"/>
      <c r="G408" s="44">
        <f>IFERROR(SUMIFS(Transactions!$F$7:$F$989,Transactions!$G$7:$G$989,A408,Transactions!$D$7:$D$989,"Expense"),0)</f>
        <v>0</v>
      </c>
      <c r="H408" s="41"/>
      <c r="I408" s="41"/>
      <c r="J408" s="41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41"/>
      <c r="B409" s="38"/>
      <c r="C409" s="41"/>
      <c r="D409" s="41"/>
      <c r="E409" s="41"/>
      <c r="F409" s="42"/>
      <c r="G409" s="44">
        <f>IFERROR(SUMIFS(Transactions!$F$7:$F$989,Transactions!$G$7:$G$989,A409,Transactions!$D$7:$D$989,"Expense"),0)</f>
        <v>0</v>
      </c>
      <c r="H409" s="41"/>
      <c r="I409" s="41"/>
      <c r="J409" s="41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1"/>
      <c r="B410" s="38"/>
      <c r="C410" s="41"/>
      <c r="D410" s="41"/>
      <c r="E410" s="41"/>
      <c r="F410" s="42"/>
      <c r="G410" s="44">
        <f>IFERROR(SUMIFS(Transactions!$F$7:$F$989,Transactions!$G$7:$G$989,A410,Transactions!$D$7:$D$989,"Expense"),0)</f>
        <v>0</v>
      </c>
      <c r="H410" s="41"/>
      <c r="I410" s="41"/>
      <c r="J410" s="41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41"/>
      <c r="B411" s="38"/>
      <c r="C411" s="41"/>
      <c r="D411" s="41"/>
      <c r="E411" s="41"/>
      <c r="F411" s="42"/>
      <c r="G411" s="44">
        <f>IFERROR(SUMIFS(Transactions!$F$7:$F$989,Transactions!$G$7:$G$989,A411,Transactions!$D$7:$D$989,"Expense"),0)</f>
        <v>0</v>
      </c>
      <c r="H411" s="41"/>
      <c r="I411" s="41"/>
      <c r="J411" s="41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1"/>
      <c r="B412" s="38"/>
      <c r="C412" s="41"/>
      <c r="D412" s="41"/>
      <c r="E412" s="41"/>
      <c r="F412" s="42"/>
      <c r="G412" s="44">
        <f>IFERROR(SUMIFS(Transactions!$F$7:$F$989,Transactions!$G$7:$G$989,A412,Transactions!$D$7:$D$989,"Expense"),0)</f>
        <v>0</v>
      </c>
      <c r="H412" s="41"/>
      <c r="I412" s="41"/>
      <c r="J412" s="41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41"/>
      <c r="B413" s="38"/>
      <c r="C413" s="41"/>
      <c r="D413" s="41"/>
      <c r="E413" s="41"/>
      <c r="F413" s="42"/>
      <c r="G413" s="44">
        <f>IFERROR(SUMIFS(Transactions!$F$7:$F$989,Transactions!$G$7:$G$989,A413,Transactions!$D$7:$D$989,"Expense"),0)</f>
        <v>0</v>
      </c>
      <c r="H413" s="41"/>
      <c r="I413" s="41"/>
      <c r="J413" s="41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1"/>
      <c r="B414" s="38"/>
      <c r="C414" s="41"/>
      <c r="D414" s="41"/>
      <c r="E414" s="41"/>
      <c r="F414" s="42"/>
      <c r="G414" s="44">
        <f>IFERROR(SUMIFS(Transactions!$F$7:$F$989,Transactions!$G$7:$G$989,A414,Transactions!$D$7:$D$989,"Expense"),0)</f>
        <v>0</v>
      </c>
      <c r="H414" s="41"/>
      <c r="I414" s="41"/>
      <c r="J414" s="41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41"/>
      <c r="B415" s="38"/>
      <c r="C415" s="41"/>
      <c r="D415" s="41"/>
      <c r="E415" s="41"/>
      <c r="F415" s="42"/>
      <c r="G415" s="44">
        <f>IFERROR(SUMIFS(Transactions!$F$7:$F$989,Transactions!$G$7:$G$989,A415,Transactions!$D$7:$D$989,"Expense"),0)</f>
        <v>0</v>
      </c>
      <c r="H415" s="41"/>
      <c r="I415" s="41"/>
      <c r="J415" s="41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1"/>
      <c r="B416" s="38"/>
      <c r="C416" s="41"/>
      <c r="D416" s="41"/>
      <c r="E416" s="41"/>
      <c r="F416" s="42"/>
      <c r="G416" s="44">
        <f>IFERROR(SUMIFS(Transactions!$F$7:$F$989,Transactions!$G$7:$G$989,A416,Transactions!$D$7:$D$989,"Expense"),0)</f>
        <v>0</v>
      </c>
      <c r="H416" s="41"/>
      <c r="I416" s="41"/>
      <c r="J416" s="41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41"/>
      <c r="B417" s="38"/>
      <c r="C417" s="41"/>
      <c r="D417" s="41"/>
      <c r="E417" s="41"/>
      <c r="F417" s="42"/>
      <c r="G417" s="44">
        <f>IFERROR(SUMIFS(Transactions!$F$7:$F$989,Transactions!$G$7:$G$989,A417,Transactions!$D$7:$D$989,"Expense"),0)</f>
        <v>0</v>
      </c>
      <c r="H417" s="41"/>
      <c r="I417" s="41"/>
      <c r="J417" s="41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1"/>
      <c r="B418" s="38"/>
      <c r="C418" s="41"/>
      <c r="D418" s="41"/>
      <c r="E418" s="41"/>
      <c r="F418" s="42"/>
      <c r="G418" s="44">
        <f>IFERROR(SUMIFS(Transactions!$F$7:$F$989,Transactions!$G$7:$G$989,A418,Transactions!$D$7:$D$989,"Expense"),0)</f>
        <v>0</v>
      </c>
      <c r="H418" s="41"/>
      <c r="I418" s="41"/>
      <c r="J418" s="41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41"/>
      <c r="B419" s="38"/>
      <c r="C419" s="41"/>
      <c r="D419" s="41"/>
      <c r="E419" s="41"/>
      <c r="F419" s="42"/>
      <c r="G419" s="44">
        <f>IFERROR(SUMIFS(Transactions!$F$7:$F$989,Transactions!$G$7:$G$989,A419,Transactions!$D$7:$D$989,"Expense"),0)</f>
        <v>0</v>
      </c>
      <c r="H419" s="41"/>
      <c r="I419" s="41"/>
      <c r="J419" s="41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1"/>
      <c r="B420" s="38"/>
      <c r="C420" s="41"/>
      <c r="D420" s="41"/>
      <c r="E420" s="41"/>
      <c r="F420" s="42"/>
      <c r="G420" s="44">
        <f>IFERROR(SUMIFS(Transactions!$F$7:$F$989,Transactions!$G$7:$G$989,A420,Transactions!$D$7:$D$989,"Expense"),0)</f>
        <v>0</v>
      </c>
      <c r="H420" s="41"/>
      <c r="I420" s="41"/>
      <c r="J420" s="41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41"/>
      <c r="B421" s="38"/>
      <c r="C421" s="41"/>
      <c r="D421" s="41"/>
      <c r="E421" s="41"/>
      <c r="F421" s="42"/>
      <c r="G421" s="44">
        <f>IFERROR(SUMIFS(Transactions!$F$7:$F$989,Transactions!$G$7:$G$989,A421,Transactions!$D$7:$D$989,"Expense"),0)</f>
        <v>0</v>
      </c>
      <c r="H421" s="41"/>
      <c r="I421" s="41"/>
      <c r="J421" s="41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1"/>
      <c r="B422" s="38"/>
      <c r="C422" s="41"/>
      <c r="D422" s="41"/>
      <c r="E422" s="41"/>
      <c r="F422" s="42"/>
      <c r="G422" s="44">
        <f>IFERROR(SUMIFS(Transactions!$F$7:$F$989,Transactions!$G$7:$G$989,A422,Transactions!$D$7:$D$989,"Expense"),0)</f>
        <v>0</v>
      </c>
      <c r="H422" s="41"/>
      <c r="I422" s="41"/>
      <c r="J422" s="41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41"/>
      <c r="B423" s="38"/>
      <c r="C423" s="41"/>
      <c r="D423" s="41"/>
      <c r="E423" s="41"/>
      <c r="F423" s="42"/>
      <c r="G423" s="44">
        <f>IFERROR(SUMIFS(Transactions!$F$7:$F$989,Transactions!$G$7:$G$989,A423,Transactions!$D$7:$D$989,"Expense"),0)</f>
        <v>0</v>
      </c>
      <c r="H423" s="41"/>
      <c r="I423" s="41"/>
      <c r="J423" s="41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1"/>
      <c r="B424" s="38"/>
      <c r="C424" s="41"/>
      <c r="D424" s="41"/>
      <c r="E424" s="41"/>
      <c r="F424" s="42"/>
      <c r="G424" s="44">
        <f>IFERROR(SUMIFS(Transactions!$F$7:$F$989,Transactions!$G$7:$G$989,A424,Transactions!$D$7:$D$989,"Expense"),0)</f>
        <v>0</v>
      </c>
      <c r="H424" s="41"/>
      <c r="I424" s="41"/>
      <c r="J424" s="41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41"/>
      <c r="B425" s="38"/>
      <c r="C425" s="41"/>
      <c r="D425" s="41"/>
      <c r="E425" s="41"/>
      <c r="F425" s="42"/>
      <c r="G425" s="44">
        <f>IFERROR(SUMIFS(Transactions!$F$7:$F$989,Transactions!$G$7:$G$989,A425,Transactions!$D$7:$D$989,"Expense"),0)</f>
        <v>0</v>
      </c>
      <c r="H425" s="41"/>
      <c r="I425" s="41"/>
      <c r="J425" s="41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1"/>
      <c r="B426" s="38"/>
      <c r="C426" s="41"/>
      <c r="D426" s="41"/>
      <c r="E426" s="41"/>
      <c r="F426" s="42"/>
      <c r="G426" s="44">
        <f>IFERROR(SUMIFS(Transactions!$F$7:$F$989,Transactions!$G$7:$G$989,A426,Transactions!$D$7:$D$989,"Expense"),0)</f>
        <v>0</v>
      </c>
      <c r="H426" s="41"/>
      <c r="I426" s="41"/>
      <c r="J426" s="41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41"/>
      <c r="B427" s="38"/>
      <c r="C427" s="41"/>
      <c r="D427" s="41"/>
      <c r="E427" s="41"/>
      <c r="F427" s="42"/>
      <c r="G427" s="44">
        <f>IFERROR(SUMIFS(Transactions!$F$7:$F$989,Transactions!$G$7:$G$989,A427,Transactions!$D$7:$D$989,"Expense"),0)</f>
        <v>0</v>
      </c>
      <c r="H427" s="41"/>
      <c r="I427" s="41"/>
      <c r="J427" s="41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1"/>
      <c r="B428" s="38"/>
      <c r="C428" s="41"/>
      <c r="D428" s="41"/>
      <c r="E428" s="41"/>
      <c r="F428" s="42"/>
      <c r="G428" s="44">
        <f>IFERROR(SUMIFS(Transactions!$F$7:$F$989,Transactions!$G$7:$G$989,A428,Transactions!$D$7:$D$989,"Expense"),0)</f>
        <v>0</v>
      </c>
      <c r="H428" s="41"/>
      <c r="I428" s="41"/>
      <c r="J428" s="41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41"/>
      <c r="B429" s="38"/>
      <c r="C429" s="41"/>
      <c r="D429" s="41"/>
      <c r="E429" s="41"/>
      <c r="F429" s="42"/>
      <c r="G429" s="44">
        <f>IFERROR(SUMIFS(Transactions!$F$7:$F$989,Transactions!$G$7:$G$989,A429,Transactions!$D$7:$D$989,"Expense"),0)</f>
        <v>0</v>
      </c>
      <c r="H429" s="41"/>
      <c r="I429" s="41"/>
      <c r="J429" s="41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1"/>
      <c r="B430" s="38"/>
      <c r="C430" s="41"/>
      <c r="D430" s="41"/>
      <c r="E430" s="41"/>
      <c r="F430" s="42"/>
      <c r="G430" s="44">
        <f>IFERROR(SUMIFS(Transactions!$F$7:$F$989,Transactions!$G$7:$G$989,A430,Transactions!$D$7:$D$989,"Expense"),0)</f>
        <v>0</v>
      </c>
      <c r="H430" s="41"/>
      <c r="I430" s="41"/>
      <c r="J430" s="41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41"/>
      <c r="B431" s="38"/>
      <c r="C431" s="41"/>
      <c r="D431" s="41"/>
      <c r="E431" s="41"/>
      <c r="F431" s="42"/>
      <c r="G431" s="44">
        <f>IFERROR(SUMIFS(Transactions!$F$7:$F$989,Transactions!$G$7:$G$989,A431,Transactions!$D$7:$D$989,"Expense"),0)</f>
        <v>0</v>
      </c>
      <c r="H431" s="41"/>
      <c r="I431" s="41"/>
      <c r="J431" s="41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1"/>
      <c r="B432" s="38"/>
      <c r="C432" s="41"/>
      <c r="D432" s="41"/>
      <c r="E432" s="41"/>
      <c r="F432" s="42"/>
      <c r="G432" s="44">
        <f>IFERROR(SUMIFS(Transactions!$F$7:$F$989,Transactions!$G$7:$G$989,A432,Transactions!$D$7:$D$989,"Expense"),0)</f>
        <v>0</v>
      </c>
      <c r="H432" s="41"/>
      <c r="I432" s="41"/>
      <c r="J432" s="41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41"/>
      <c r="B433" s="38"/>
      <c r="C433" s="41"/>
      <c r="D433" s="41"/>
      <c r="E433" s="41"/>
      <c r="F433" s="42"/>
      <c r="G433" s="44">
        <f>IFERROR(SUMIFS(Transactions!$F$7:$F$989,Transactions!$G$7:$G$989,A433,Transactions!$D$7:$D$989,"Expense"),0)</f>
        <v>0</v>
      </c>
      <c r="H433" s="41"/>
      <c r="I433" s="41"/>
      <c r="J433" s="41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1"/>
      <c r="B434" s="38"/>
      <c r="C434" s="41"/>
      <c r="D434" s="41"/>
      <c r="E434" s="41"/>
      <c r="F434" s="42"/>
      <c r="G434" s="44">
        <f>IFERROR(SUMIFS(Transactions!$F$7:$F$989,Transactions!$G$7:$G$989,A434,Transactions!$D$7:$D$989,"Expense"),0)</f>
        <v>0</v>
      </c>
      <c r="H434" s="41"/>
      <c r="I434" s="41"/>
      <c r="J434" s="41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41"/>
      <c r="B435" s="38"/>
      <c r="C435" s="41"/>
      <c r="D435" s="41"/>
      <c r="E435" s="41"/>
      <c r="F435" s="42"/>
      <c r="G435" s="44">
        <f>IFERROR(SUMIFS(Transactions!$F$7:$F$989,Transactions!$G$7:$G$989,A435,Transactions!$D$7:$D$989,"Expense"),0)</f>
        <v>0</v>
      </c>
      <c r="H435" s="41"/>
      <c r="I435" s="41"/>
      <c r="J435" s="41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1"/>
      <c r="B436" s="38"/>
      <c r="C436" s="41"/>
      <c r="D436" s="41"/>
      <c r="E436" s="41"/>
      <c r="F436" s="42"/>
      <c r="G436" s="44">
        <f>IFERROR(SUMIFS(Transactions!$F$7:$F$989,Transactions!$G$7:$G$989,A436,Transactions!$D$7:$D$989,"Expense"),0)</f>
        <v>0</v>
      </c>
      <c r="H436" s="41"/>
      <c r="I436" s="41"/>
      <c r="J436" s="41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41"/>
      <c r="B437" s="38"/>
      <c r="C437" s="41"/>
      <c r="D437" s="41"/>
      <c r="E437" s="41"/>
      <c r="F437" s="42"/>
      <c r="G437" s="44">
        <f>IFERROR(SUMIFS(Transactions!$F$7:$F$989,Transactions!$G$7:$G$989,A437,Transactions!$D$7:$D$989,"Expense"),0)</f>
        <v>0</v>
      </c>
      <c r="H437" s="41"/>
      <c r="I437" s="41"/>
      <c r="J437" s="41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1"/>
      <c r="B438" s="38"/>
      <c r="C438" s="41"/>
      <c r="D438" s="41"/>
      <c r="E438" s="41"/>
      <c r="F438" s="42"/>
      <c r="G438" s="44">
        <f>IFERROR(SUMIFS(Transactions!$F$7:$F$989,Transactions!$G$7:$G$989,A438,Transactions!$D$7:$D$989,"Expense"),0)</f>
        <v>0</v>
      </c>
      <c r="H438" s="41"/>
      <c r="I438" s="41"/>
      <c r="J438" s="41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41"/>
      <c r="B439" s="38"/>
      <c r="C439" s="41"/>
      <c r="D439" s="41"/>
      <c r="E439" s="41"/>
      <c r="F439" s="42"/>
      <c r="G439" s="44">
        <f>IFERROR(SUMIFS(Transactions!$F$7:$F$989,Transactions!$G$7:$G$989,A439,Transactions!$D$7:$D$989,"Expense"),0)</f>
        <v>0</v>
      </c>
      <c r="H439" s="41"/>
      <c r="I439" s="41"/>
      <c r="J439" s="41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1"/>
      <c r="B440" s="38"/>
      <c r="C440" s="41"/>
      <c r="D440" s="41"/>
      <c r="E440" s="41"/>
      <c r="F440" s="42"/>
      <c r="G440" s="44">
        <f>IFERROR(SUMIFS(Transactions!$F$7:$F$989,Transactions!$G$7:$G$989,A440,Transactions!$D$7:$D$989,"Expense"),0)</f>
        <v>0</v>
      </c>
      <c r="H440" s="41"/>
      <c r="I440" s="41"/>
      <c r="J440" s="41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41"/>
      <c r="B441" s="38"/>
      <c r="C441" s="41"/>
      <c r="D441" s="41"/>
      <c r="E441" s="41"/>
      <c r="F441" s="42"/>
      <c r="G441" s="44">
        <f>IFERROR(SUMIFS(Transactions!$F$7:$F$989,Transactions!$G$7:$G$989,A441,Transactions!$D$7:$D$989,"Expense"),0)</f>
        <v>0</v>
      </c>
      <c r="H441" s="41"/>
      <c r="I441" s="41"/>
      <c r="J441" s="41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1"/>
      <c r="B442" s="38"/>
      <c r="C442" s="41"/>
      <c r="D442" s="41"/>
      <c r="E442" s="41"/>
      <c r="F442" s="42"/>
      <c r="G442" s="44">
        <f>IFERROR(SUMIFS(Transactions!$F$7:$F$989,Transactions!$G$7:$G$989,A442,Transactions!$D$7:$D$989,"Expense"),0)</f>
        <v>0</v>
      </c>
      <c r="H442" s="41"/>
      <c r="I442" s="41"/>
      <c r="J442" s="41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41"/>
      <c r="B443" s="38"/>
      <c r="C443" s="41"/>
      <c r="D443" s="41"/>
      <c r="E443" s="41"/>
      <c r="F443" s="42"/>
      <c r="G443" s="44">
        <f>IFERROR(SUMIFS(Transactions!$F$7:$F$989,Transactions!$G$7:$G$989,A443,Transactions!$D$7:$D$989,"Expense"),0)</f>
        <v>0</v>
      </c>
      <c r="H443" s="41"/>
      <c r="I443" s="41"/>
      <c r="J443" s="41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1"/>
      <c r="B444" s="38"/>
      <c r="C444" s="41"/>
      <c r="D444" s="41"/>
      <c r="E444" s="41"/>
      <c r="F444" s="42"/>
      <c r="G444" s="44">
        <f>IFERROR(SUMIFS(Transactions!$F$7:$F$989,Transactions!$G$7:$G$989,A444,Transactions!$D$7:$D$989,"Expense"),0)</f>
        <v>0</v>
      </c>
      <c r="H444" s="41"/>
      <c r="I444" s="41"/>
      <c r="J444" s="41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41"/>
      <c r="B445" s="38"/>
      <c r="C445" s="41"/>
      <c r="D445" s="41"/>
      <c r="E445" s="41"/>
      <c r="F445" s="42"/>
      <c r="G445" s="44">
        <f>IFERROR(SUMIFS(Transactions!$F$7:$F$989,Transactions!$G$7:$G$989,A445,Transactions!$D$7:$D$989,"Expense"),0)</f>
        <v>0</v>
      </c>
      <c r="H445" s="41"/>
      <c r="I445" s="41"/>
      <c r="J445" s="41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1"/>
      <c r="B446" s="38"/>
      <c r="C446" s="41"/>
      <c r="D446" s="41"/>
      <c r="E446" s="41"/>
      <c r="F446" s="42"/>
      <c r="G446" s="44">
        <f>IFERROR(SUMIFS(Transactions!$F$7:$F$989,Transactions!$G$7:$G$989,A446,Transactions!$D$7:$D$989,"Expense"),0)</f>
        <v>0</v>
      </c>
      <c r="H446" s="41"/>
      <c r="I446" s="41"/>
      <c r="J446" s="41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41"/>
      <c r="B447" s="38"/>
      <c r="C447" s="41"/>
      <c r="D447" s="41"/>
      <c r="E447" s="41"/>
      <c r="F447" s="42"/>
      <c r="G447" s="44">
        <f>IFERROR(SUMIFS(Transactions!$F$7:$F$989,Transactions!$G$7:$G$989,A447,Transactions!$D$7:$D$989,"Expense"),0)</f>
        <v>0</v>
      </c>
      <c r="H447" s="41"/>
      <c r="I447" s="41"/>
      <c r="J447" s="41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1"/>
      <c r="B448" s="38"/>
      <c r="C448" s="41"/>
      <c r="D448" s="41"/>
      <c r="E448" s="41"/>
      <c r="F448" s="42"/>
      <c r="G448" s="44">
        <f>IFERROR(SUMIFS(Transactions!$F$7:$F$989,Transactions!$G$7:$G$989,A448,Transactions!$D$7:$D$989,"Expense"),0)</f>
        <v>0</v>
      </c>
      <c r="H448" s="41"/>
      <c r="I448" s="41"/>
      <c r="J448" s="41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41"/>
      <c r="B449" s="38"/>
      <c r="C449" s="41"/>
      <c r="D449" s="41"/>
      <c r="E449" s="41"/>
      <c r="F449" s="42"/>
      <c r="G449" s="44">
        <f>IFERROR(SUMIFS(Transactions!$F$7:$F$989,Transactions!$G$7:$G$989,A449,Transactions!$D$7:$D$989,"Expense"),0)</f>
        <v>0</v>
      </c>
      <c r="H449" s="41"/>
      <c r="I449" s="41"/>
      <c r="J449" s="41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1"/>
      <c r="B450" s="38"/>
      <c r="C450" s="41"/>
      <c r="D450" s="41"/>
      <c r="E450" s="41"/>
      <c r="F450" s="42"/>
      <c r="G450" s="44">
        <f>IFERROR(SUMIFS(Transactions!$F$7:$F$989,Transactions!$G$7:$G$989,A450,Transactions!$D$7:$D$989,"Expense"),0)</f>
        <v>0</v>
      </c>
      <c r="H450" s="41"/>
      <c r="I450" s="41"/>
      <c r="J450" s="41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41"/>
      <c r="B451" s="38"/>
      <c r="C451" s="41"/>
      <c r="D451" s="41"/>
      <c r="E451" s="41"/>
      <c r="F451" s="42"/>
      <c r="G451" s="44">
        <f>IFERROR(SUMIFS(Transactions!$F$7:$F$989,Transactions!$G$7:$G$989,A451,Transactions!$D$7:$D$989,"Expense"),0)</f>
        <v>0</v>
      </c>
      <c r="H451" s="41"/>
      <c r="I451" s="41"/>
      <c r="J451" s="41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1"/>
      <c r="B452" s="38"/>
      <c r="C452" s="41"/>
      <c r="D452" s="41"/>
      <c r="E452" s="41"/>
      <c r="F452" s="42"/>
      <c r="G452" s="44">
        <f>IFERROR(SUMIFS(Transactions!$F$7:$F$989,Transactions!$G$7:$G$989,A452,Transactions!$D$7:$D$989,"Expense"),0)</f>
        <v>0</v>
      </c>
      <c r="H452" s="41"/>
      <c r="I452" s="41"/>
      <c r="J452" s="41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41"/>
      <c r="B453" s="38"/>
      <c r="C453" s="41"/>
      <c r="D453" s="41"/>
      <c r="E453" s="41"/>
      <c r="F453" s="42"/>
      <c r="G453" s="44">
        <f>IFERROR(SUMIFS(Transactions!$F$7:$F$989,Transactions!$G$7:$G$989,A453,Transactions!$D$7:$D$989,"Expense"),0)</f>
        <v>0</v>
      </c>
      <c r="H453" s="41"/>
      <c r="I453" s="41"/>
      <c r="J453" s="41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1"/>
      <c r="B454" s="38"/>
      <c r="C454" s="41"/>
      <c r="D454" s="41"/>
      <c r="E454" s="41"/>
      <c r="F454" s="42"/>
      <c r="G454" s="44">
        <f>IFERROR(SUMIFS(Transactions!$F$7:$F$989,Transactions!$G$7:$G$989,A454,Transactions!$D$7:$D$989,"Expense"),0)</f>
        <v>0</v>
      </c>
      <c r="H454" s="41"/>
      <c r="I454" s="41"/>
      <c r="J454" s="41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41"/>
      <c r="B455" s="38"/>
      <c r="C455" s="41"/>
      <c r="D455" s="41"/>
      <c r="E455" s="41"/>
      <c r="F455" s="42"/>
      <c r="G455" s="44">
        <f>IFERROR(SUMIFS(Transactions!$F$7:$F$989,Transactions!$G$7:$G$989,A455,Transactions!$D$7:$D$989,"Expense"),0)</f>
        <v>0</v>
      </c>
      <c r="H455" s="41"/>
      <c r="I455" s="41"/>
      <c r="J455" s="41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1"/>
      <c r="B456" s="38"/>
      <c r="C456" s="41"/>
      <c r="D456" s="41"/>
      <c r="E456" s="41"/>
      <c r="F456" s="42"/>
      <c r="G456" s="44">
        <f>IFERROR(SUMIFS(Transactions!$F$7:$F$989,Transactions!$G$7:$G$989,A456,Transactions!$D$7:$D$989,"Expense"),0)</f>
        <v>0</v>
      </c>
      <c r="H456" s="41"/>
      <c r="I456" s="41"/>
      <c r="J456" s="41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41"/>
      <c r="B457" s="38"/>
      <c r="C457" s="41"/>
      <c r="D457" s="41"/>
      <c r="E457" s="41"/>
      <c r="F457" s="42"/>
      <c r="G457" s="44">
        <f>IFERROR(SUMIFS(Transactions!$F$7:$F$989,Transactions!$G$7:$G$989,A457,Transactions!$D$7:$D$989,"Expense"),0)</f>
        <v>0</v>
      </c>
      <c r="H457" s="41"/>
      <c r="I457" s="41"/>
      <c r="J457" s="41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1"/>
      <c r="B458" s="38"/>
      <c r="C458" s="41"/>
      <c r="D458" s="41"/>
      <c r="E458" s="41"/>
      <c r="F458" s="42"/>
      <c r="G458" s="44">
        <f>IFERROR(SUMIFS(Transactions!$F$7:$F$989,Transactions!$G$7:$G$989,A458,Transactions!$D$7:$D$989,"Expense"),0)</f>
        <v>0</v>
      </c>
      <c r="H458" s="41"/>
      <c r="I458" s="41"/>
      <c r="J458" s="41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41"/>
      <c r="B459" s="38"/>
      <c r="C459" s="41"/>
      <c r="D459" s="41"/>
      <c r="E459" s="41"/>
      <c r="F459" s="42"/>
      <c r="G459" s="44">
        <f>IFERROR(SUMIFS(Transactions!$F$7:$F$989,Transactions!$G$7:$G$989,A459,Transactions!$D$7:$D$989,"Expense"),0)</f>
        <v>0</v>
      </c>
      <c r="H459" s="41"/>
      <c r="I459" s="41"/>
      <c r="J459" s="41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1"/>
      <c r="B460" s="38"/>
      <c r="C460" s="41"/>
      <c r="D460" s="41"/>
      <c r="E460" s="41"/>
      <c r="F460" s="42"/>
      <c r="G460" s="44">
        <f>IFERROR(SUMIFS(Transactions!$F$7:$F$989,Transactions!$G$7:$G$989,A460,Transactions!$D$7:$D$989,"Expense"),0)</f>
        <v>0</v>
      </c>
      <c r="H460" s="41"/>
      <c r="I460" s="41"/>
      <c r="J460" s="41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41"/>
      <c r="B461" s="38"/>
      <c r="C461" s="41"/>
      <c r="D461" s="41"/>
      <c r="E461" s="41"/>
      <c r="F461" s="42"/>
      <c r="G461" s="44">
        <f>IFERROR(SUMIFS(Transactions!$F$7:$F$989,Transactions!$G$7:$G$989,A461,Transactions!$D$7:$D$989,"Expense"),0)</f>
        <v>0</v>
      </c>
      <c r="H461" s="41"/>
      <c r="I461" s="41"/>
      <c r="J461" s="41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1"/>
      <c r="B462" s="38"/>
      <c r="C462" s="41"/>
      <c r="D462" s="41"/>
      <c r="E462" s="41"/>
      <c r="F462" s="42"/>
      <c r="G462" s="44">
        <f>IFERROR(SUMIFS(Transactions!$F$7:$F$989,Transactions!$G$7:$G$989,A462,Transactions!$D$7:$D$989,"Expense"),0)</f>
        <v>0</v>
      </c>
      <c r="H462" s="41"/>
      <c r="I462" s="41"/>
      <c r="J462" s="41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41"/>
      <c r="B463" s="38"/>
      <c r="C463" s="41"/>
      <c r="D463" s="41"/>
      <c r="E463" s="41"/>
      <c r="F463" s="42"/>
      <c r="G463" s="44">
        <f>IFERROR(SUMIFS(Transactions!$F$7:$F$989,Transactions!$G$7:$G$989,A463,Transactions!$D$7:$D$989,"Expense"),0)</f>
        <v>0</v>
      </c>
      <c r="H463" s="41"/>
      <c r="I463" s="41"/>
      <c r="J463" s="41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1"/>
      <c r="B464" s="38"/>
      <c r="C464" s="41"/>
      <c r="D464" s="41"/>
      <c r="E464" s="41"/>
      <c r="F464" s="42"/>
      <c r="G464" s="44">
        <f>IFERROR(SUMIFS(Transactions!$F$7:$F$989,Transactions!$G$7:$G$989,A464,Transactions!$D$7:$D$989,"Expense"),0)</f>
        <v>0</v>
      </c>
      <c r="H464" s="41"/>
      <c r="I464" s="41"/>
      <c r="J464" s="41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41"/>
      <c r="B465" s="38"/>
      <c r="C465" s="41"/>
      <c r="D465" s="41"/>
      <c r="E465" s="41"/>
      <c r="F465" s="42"/>
      <c r="G465" s="44">
        <f>IFERROR(SUMIFS(Transactions!$F$7:$F$989,Transactions!$G$7:$G$989,A465,Transactions!$D$7:$D$989,"Expense"),0)</f>
        <v>0</v>
      </c>
      <c r="H465" s="41"/>
      <c r="I465" s="41"/>
      <c r="J465" s="41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1"/>
      <c r="B466" s="38"/>
      <c r="C466" s="41"/>
      <c r="D466" s="41"/>
      <c r="E466" s="41"/>
      <c r="F466" s="42"/>
      <c r="G466" s="44">
        <f>IFERROR(SUMIFS(Transactions!$F$7:$F$989,Transactions!$G$7:$G$989,A466,Transactions!$D$7:$D$989,"Expense"),0)</f>
        <v>0</v>
      </c>
      <c r="H466" s="41"/>
      <c r="I466" s="41"/>
      <c r="J466" s="41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41"/>
      <c r="B467" s="38"/>
      <c r="C467" s="41"/>
      <c r="D467" s="41"/>
      <c r="E467" s="41"/>
      <c r="F467" s="42"/>
      <c r="G467" s="44">
        <f>IFERROR(SUMIFS(Transactions!$F$7:$F$989,Transactions!$G$7:$G$989,A467,Transactions!$D$7:$D$989,"Expense"),0)</f>
        <v>0</v>
      </c>
      <c r="H467" s="41"/>
      <c r="I467" s="41"/>
      <c r="J467" s="41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1"/>
      <c r="B468" s="38"/>
      <c r="C468" s="41"/>
      <c r="D468" s="41"/>
      <c r="E468" s="41"/>
      <c r="F468" s="42"/>
      <c r="G468" s="44">
        <f>IFERROR(SUMIFS(Transactions!$F$7:$F$989,Transactions!$G$7:$G$989,A468,Transactions!$D$7:$D$989,"Expense"),0)</f>
        <v>0</v>
      </c>
      <c r="H468" s="41"/>
      <c r="I468" s="41"/>
      <c r="J468" s="41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41"/>
      <c r="B469" s="38"/>
      <c r="C469" s="41"/>
      <c r="D469" s="41"/>
      <c r="E469" s="41"/>
      <c r="F469" s="42"/>
      <c r="G469" s="44">
        <f>IFERROR(SUMIFS(Transactions!$F$7:$F$989,Transactions!$G$7:$G$989,A469,Transactions!$D$7:$D$989,"Expense"),0)</f>
        <v>0</v>
      </c>
      <c r="H469" s="41"/>
      <c r="I469" s="41"/>
      <c r="J469" s="41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1"/>
      <c r="B470" s="38"/>
      <c r="C470" s="41"/>
      <c r="D470" s="41"/>
      <c r="E470" s="41"/>
      <c r="F470" s="42"/>
      <c r="G470" s="44">
        <f>IFERROR(SUMIFS(Transactions!$F$7:$F$989,Transactions!$G$7:$G$989,A470,Transactions!$D$7:$D$989,"Expense"),0)</f>
        <v>0</v>
      </c>
      <c r="H470" s="41"/>
      <c r="I470" s="41"/>
      <c r="J470" s="41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41"/>
      <c r="B471" s="38"/>
      <c r="C471" s="41"/>
      <c r="D471" s="41"/>
      <c r="E471" s="41"/>
      <c r="F471" s="42"/>
      <c r="G471" s="44">
        <f>IFERROR(SUMIFS(Transactions!$F$7:$F$989,Transactions!$G$7:$G$989,A471,Transactions!$D$7:$D$989,"Expense"),0)</f>
        <v>0</v>
      </c>
      <c r="H471" s="41"/>
      <c r="I471" s="41"/>
      <c r="J471" s="41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1"/>
      <c r="B472" s="38"/>
      <c r="C472" s="41"/>
      <c r="D472" s="41"/>
      <c r="E472" s="41"/>
      <c r="F472" s="42"/>
      <c r="G472" s="44">
        <f>IFERROR(SUMIFS(Transactions!$F$7:$F$989,Transactions!$G$7:$G$989,A472,Transactions!$D$7:$D$989,"Expense"),0)</f>
        <v>0</v>
      </c>
      <c r="H472" s="41"/>
      <c r="I472" s="41"/>
      <c r="J472" s="41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41"/>
      <c r="B473" s="38"/>
      <c r="C473" s="41"/>
      <c r="D473" s="41"/>
      <c r="E473" s="41"/>
      <c r="F473" s="42"/>
      <c r="G473" s="44">
        <f>IFERROR(SUMIFS(Transactions!$F$7:$F$989,Transactions!$G$7:$G$989,A473,Transactions!$D$7:$D$989,"Expense"),0)</f>
        <v>0</v>
      </c>
      <c r="H473" s="41"/>
      <c r="I473" s="41"/>
      <c r="J473" s="41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1"/>
      <c r="B474" s="38"/>
      <c r="C474" s="41"/>
      <c r="D474" s="41"/>
      <c r="E474" s="41"/>
      <c r="F474" s="42"/>
      <c r="G474" s="44">
        <f>IFERROR(SUMIFS(Transactions!$F$7:$F$989,Transactions!$G$7:$G$989,A474,Transactions!$D$7:$D$989,"Expense"),0)</f>
        <v>0</v>
      </c>
      <c r="H474" s="41"/>
      <c r="I474" s="41"/>
      <c r="J474" s="41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41"/>
      <c r="B475" s="38"/>
      <c r="C475" s="41"/>
      <c r="D475" s="41"/>
      <c r="E475" s="41"/>
      <c r="F475" s="42"/>
      <c r="G475" s="44">
        <f>IFERROR(SUMIFS(Transactions!$F$7:$F$989,Transactions!$G$7:$G$989,A475,Transactions!$D$7:$D$989,"Expense"),0)</f>
        <v>0</v>
      </c>
      <c r="H475" s="41"/>
      <c r="I475" s="41"/>
      <c r="J475" s="41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1"/>
      <c r="B476" s="38"/>
      <c r="C476" s="41"/>
      <c r="D476" s="41"/>
      <c r="E476" s="41"/>
      <c r="F476" s="42"/>
      <c r="G476" s="44">
        <f>IFERROR(SUMIFS(Transactions!$F$7:$F$989,Transactions!$G$7:$G$989,A476,Transactions!$D$7:$D$989,"Expense"),0)</f>
        <v>0</v>
      </c>
      <c r="H476" s="41"/>
      <c r="I476" s="41"/>
      <c r="J476" s="41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41"/>
      <c r="B477" s="38"/>
      <c r="C477" s="41"/>
      <c r="D477" s="41"/>
      <c r="E477" s="41"/>
      <c r="F477" s="42"/>
      <c r="G477" s="44">
        <f>IFERROR(SUMIFS(Transactions!$F$7:$F$989,Transactions!$G$7:$G$989,A477,Transactions!$D$7:$D$989,"Expense"),0)</f>
        <v>0</v>
      </c>
      <c r="H477" s="41"/>
      <c r="I477" s="41"/>
      <c r="J477" s="41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1"/>
      <c r="B478" s="38"/>
      <c r="C478" s="41"/>
      <c r="D478" s="41"/>
      <c r="E478" s="41"/>
      <c r="F478" s="42"/>
      <c r="G478" s="44">
        <f>IFERROR(SUMIFS(Transactions!$F$7:$F$989,Transactions!$G$7:$G$989,A478,Transactions!$D$7:$D$989,"Expense"),0)</f>
        <v>0</v>
      </c>
      <c r="H478" s="41"/>
      <c r="I478" s="41"/>
      <c r="J478" s="41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41"/>
      <c r="B479" s="38"/>
      <c r="C479" s="41"/>
      <c r="D479" s="41"/>
      <c r="E479" s="41"/>
      <c r="F479" s="42"/>
      <c r="G479" s="44">
        <f>IFERROR(SUMIFS(Transactions!$F$7:$F$989,Transactions!$G$7:$G$989,A479,Transactions!$D$7:$D$989,"Expense"),0)</f>
        <v>0</v>
      </c>
      <c r="H479" s="41"/>
      <c r="I479" s="41"/>
      <c r="J479" s="41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1"/>
      <c r="B480" s="38"/>
      <c r="C480" s="41"/>
      <c r="D480" s="41"/>
      <c r="E480" s="41"/>
      <c r="F480" s="42"/>
      <c r="G480" s="44">
        <f>IFERROR(SUMIFS(Transactions!$F$7:$F$989,Transactions!$G$7:$G$989,A480,Transactions!$D$7:$D$989,"Expense"),0)</f>
        <v>0</v>
      </c>
      <c r="H480" s="41"/>
      <c r="I480" s="41"/>
      <c r="J480" s="41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41"/>
      <c r="B481" s="38"/>
      <c r="C481" s="41"/>
      <c r="D481" s="41"/>
      <c r="E481" s="41"/>
      <c r="F481" s="42"/>
      <c r="G481" s="44">
        <f>IFERROR(SUMIFS(Transactions!$F$7:$F$989,Transactions!$G$7:$G$989,A481,Transactions!$D$7:$D$989,"Expense"),0)</f>
        <v>0</v>
      </c>
      <c r="H481" s="41"/>
      <c r="I481" s="41"/>
      <c r="J481" s="41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1"/>
      <c r="B482" s="38"/>
      <c r="C482" s="41"/>
      <c r="D482" s="41"/>
      <c r="E482" s="41"/>
      <c r="F482" s="42"/>
      <c r="G482" s="44">
        <f>IFERROR(SUMIFS(Transactions!$F$7:$F$989,Transactions!$G$7:$G$989,A482,Transactions!$D$7:$D$989,"Expense"),0)</f>
        <v>0</v>
      </c>
      <c r="H482" s="41"/>
      <c r="I482" s="41"/>
      <c r="J482" s="41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41"/>
      <c r="B483" s="38"/>
      <c r="C483" s="41"/>
      <c r="D483" s="41"/>
      <c r="E483" s="41"/>
      <c r="F483" s="42"/>
      <c r="G483" s="44">
        <f>IFERROR(SUMIFS(Transactions!$F$7:$F$989,Transactions!$G$7:$G$989,A483,Transactions!$D$7:$D$989,"Expense"),0)</f>
        <v>0</v>
      </c>
      <c r="H483" s="41"/>
      <c r="I483" s="41"/>
      <c r="J483" s="41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1"/>
      <c r="B484" s="38"/>
      <c r="C484" s="41"/>
      <c r="D484" s="41"/>
      <c r="E484" s="41"/>
      <c r="F484" s="42"/>
      <c r="G484" s="44">
        <f>IFERROR(SUMIFS(Transactions!$F$7:$F$989,Transactions!$G$7:$G$989,A484,Transactions!$D$7:$D$989,"Expense"),0)</f>
        <v>0</v>
      </c>
      <c r="H484" s="41"/>
      <c r="I484" s="41"/>
      <c r="J484" s="41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41"/>
      <c r="B485" s="38"/>
      <c r="C485" s="41"/>
      <c r="D485" s="41"/>
      <c r="E485" s="41"/>
      <c r="F485" s="42"/>
      <c r="G485" s="44">
        <f>IFERROR(SUMIFS(Transactions!$F$7:$F$989,Transactions!$G$7:$G$989,A485,Transactions!$D$7:$D$989,"Expense"),0)</f>
        <v>0</v>
      </c>
      <c r="H485" s="41"/>
      <c r="I485" s="41"/>
      <c r="J485" s="41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1"/>
      <c r="B486" s="38"/>
      <c r="C486" s="41"/>
      <c r="D486" s="41"/>
      <c r="E486" s="41"/>
      <c r="F486" s="42"/>
      <c r="G486" s="44">
        <f>IFERROR(SUMIFS(Transactions!$F$7:$F$989,Transactions!$G$7:$G$989,A486,Transactions!$D$7:$D$989,"Expense"),0)</f>
        <v>0</v>
      </c>
      <c r="H486" s="41"/>
      <c r="I486" s="41"/>
      <c r="J486" s="41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41"/>
      <c r="B487" s="38"/>
      <c r="C487" s="41"/>
      <c r="D487" s="41"/>
      <c r="E487" s="41"/>
      <c r="F487" s="42"/>
      <c r="G487" s="44">
        <f>IFERROR(SUMIFS(Transactions!$F$7:$F$989,Transactions!$G$7:$G$989,A487,Transactions!$D$7:$D$989,"Expense"),0)</f>
        <v>0</v>
      </c>
      <c r="H487" s="41"/>
      <c r="I487" s="41"/>
      <c r="J487" s="41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1"/>
      <c r="B488" s="38"/>
      <c r="C488" s="41"/>
      <c r="D488" s="41"/>
      <c r="E488" s="41"/>
      <c r="F488" s="42"/>
      <c r="G488" s="44">
        <f>IFERROR(SUMIFS(Transactions!$F$7:$F$989,Transactions!$G$7:$G$989,A488,Transactions!$D$7:$D$989,"Expense"),0)</f>
        <v>0</v>
      </c>
      <c r="H488" s="41"/>
      <c r="I488" s="41"/>
      <c r="J488" s="41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41"/>
      <c r="B489" s="38"/>
      <c r="C489" s="41"/>
      <c r="D489" s="41"/>
      <c r="E489" s="41"/>
      <c r="F489" s="42"/>
      <c r="G489" s="44">
        <f>IFERROR(SUMIFS(Transactions!$F$7:$F$989,Transactions!$G$7:$G$989,A489,Transactions!$D$7:$D$989,"Expense"),0)</f>
        <v>0</v>
      </c>
      <c r="H489" s="41"/>
      <c r="I489" s="41"/>
      <c r="J489" s="41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1"/>
      <c r="B490" s="38"/>
      <c r="C490" s="41"/>
      <c r="D490" s="41"/>
      <c r="E490" s="41"/>
      <c r="F490" s="42"/>
      <c r="G490" s="44">
        <f>IFERROR(SUMIFS(Transactions!$F$7:$F$989,Transactions!$G$7:$G$989,A490,Transactions!$D$7:$D$989,"Expense"),0)</f>
        <v>0</v>
      </c>
      <c r="H490" s="41"/>
      <c r="I490" s="41"/>
      <c r="J490" s="41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41"/>
      <c r="B491" s="38"/>
      <c r="C491" s="41"/>
      <c r="D491" s="41"/>
      <c r="E491" s="41"/>
      <c r="F491" s="42"/>
      <c r="G491" s="44">
        <f>IFERROR(SUMIFS(Transactions!$F$7:$F$989,Transactions!$G$7:$G$989,A491,Transactions!$D$7:$D$989,"Expense"),0)</f>
        <v>0</v>
      </c>
      <c r="H491" s="41"/>
      <c r="I491" s="41"/>
      <c r="J491" s="41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1"/>
      <c r="B492" s="38"/>
      <c r="C492" s="41"/>
      <c r="D492" s="41"/>
      <c r="E492" s="41"/>
      <c r="F492" s="42"/>
      <c r="G492" s="44">
        <f>IFERROR(SUMIFS(Transactions!$F$7:$F$989,Transactions!$G$7:$G$989,A492,Transactions!$D$7:$D$989,"Expense"),0)</f>
        <v>0</v>
      </c>
      <c r="H492" s="41"/>
      <c r="I492" s="41"/>
      <c r="J492" s="41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41"/>
      <c r="B493" s="38"/>
      <c r="C493" s="41"/>
      <c r="D493" s="41"/>
      <c r="E493" s="41"/>
      <c r="F493" s="42"/>
      <c r="G493" s="44">
        <f>IFERROR(SUMIFS(Transactions!$F$7:$F$989,Transactions!$G$7:$G$989,A493,Transactions!$D$7:$D$989,"Expense"),0)</f>
        <v>0</v>
      </c>
      <c r="H493" s="41"/>
      <c r="I493" s="41"/>
      <c r="J493" s="41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1"/>
      <c r="B494" s="38"/>
      <c r="C494" s="41"/>
      <c r="D494" s="41"/>
      <c r="E494" s="41"/>
      <c r="F494" s="42"/>
      <c r="G494" s="44">
        <f>IFERROR(SUMIFS(Transactions!$F$7:$F$989,Transactions!$G$7:$G$989,A494,Transactions!$D$7:$D$989,"Expense"),0)</f>
        <v>0</v>
      </c>
      <c r="H494" s="41"/>
      <c r="I494" s="41"/>
      <c r="J494" s="41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41"/>
      <c r="B495" s="38"/>
      <c r="C495" s="41"/>
      <c r="D495" s="41"/>
      <c r="E495" s="41"/>
      <c r="F495" s="42"/>
      <c r="G495" s="44">
        <f>IFERROR(SUMIFS(Transactions!$F$7:$F$989,Transactions!$G$7:$G$989,A495,Transactions!$D$7:$D$989,"Expense"),0)</f>
        <v>0</v>
      </c>
      <c r="H495" s="41"/>
      <c r="I495" s="41"/>
      <c r="J495" s="41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1"/>
      <c r="B496" s="38"/>
      <c r="C496" s="41"/>
      <c r="D496" s="41"/>
      <c r="E496" s="41"/>
      <c r="F496" s="42"/>
      <c r="G496" s="44">
        <f>IFERROR(SUMIFS(Transactions!$F$7:$F$989,Transactions!$G$7:$G$989,A496,Transactions!$D$7:$D$989,"Expense"),0)</f>
        <v>0</v>
      </c>
      <c r="H496" s="41"/>
      <c r="I496" s="41"/>
      <c r="J496" s="41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41"/>
      <c r="B497" s="38"/>
      <c r="C497" s="41"/>
      <c r="D497" s="41"/>
      <c r="E497" s="41"/>
      <c r="F497" s="42"/>
      <c r="G497" s="44">
        <f>IFERROR(SUMIFS(Transactions!$F$7:$F$989,Transactions!$G$7:$G$989,A497,Transactions!$D$7:$D$989,"Expense"),0)</f>
        <v>0</v>
      </c>
      <c r="H497" s="41"/>
      <c r="I497" s="41"/>
      <c r="J497" s="41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1"/>
      <c r="B498" s="38"/>
      <c r="C498" s="41"/>
      <c r="D498" s="41"/>
      <c r="E498" s="41"/>
      <c r="F498" s="42"/>
      <c r="G498" s="44">
        <f>IFERROR(SUMIFS(Transactions!$F$7:$F$989,Transactions!$G$7:$G$989,A498,Transactions!$D$7:$D$989,"Expense"),0)</f>
        <v>0</v>
      </c>
      <c r="H498" s="41"/>
      <c r="I498" s="41"/>
      <c r="J498" s="41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41"/>
      <c r="B499" s="38"/>
      <c r="C499" s="41"/>
      <c r="D499" s="41"/>
      <c r="E499" s="41"/>
      <c r="F499" s="42"/>
      <c r="G499" s="44">
        <f>IFERROR(SUMIFS(Transactions!$F$7:$F$989,Transactions!$G$7:$G$989,A499,Transactions!$D$7:$D$989,"Expense"),0)</f>
        <v>0</v>
      </c>
      <c r="H499" s="41"/>
      <c r="I499" s="41"/>
      <c r="J499" s="41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1"/>
      <c r="B500" s="38"/>
      <c r="C500" s="41"/>
      <c r="D500" s="41"/>
      <c r="E500" s="41"/>
      <c r="F500" s="42"/>
      <c r="G500" s="44">
        <f>IFERROR(SUMIFS(Transactions!$F$7:$F$989,Transactions!$G$7:$G$989,A500,Transactions!$D$7:$D$989,"Expense"),0)</f>
        <v>0</v>
      </c>
      <c r="H500" s="41"/>
      <c r="I500" s="41"/>
      <c r="J500" s="41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41"/>
      <c r="B501" s="38"/>
      <c r="C501" s="41"/>
      <c r="D501" s="41"/>
      <c r="E501" s="41"/>
      <c r="F501" s="42"/>
      <c r="G501" s="44">
        <f>IFERROR(SUMIFS(Transactions!$F$7:$F$989,Transactions!$G$7:$G$989,A501,Transactions!$D$7:$D$989,"Expense"),0)</f>
        <v>0</v>
      </c>
      <c r="H501" s="41"/>
      <c r="I501" s="41"/>
      <c r="J501" s="41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1"/>
      <c r="B502" s="38"/>
      <c r="C502" s="41"/>
      <c r="D502" s="41"/>
      <c r="E502" s="41"/>
      <c r="F502" s="42"/>
      <c r="G502" s="44">
        <f>IFERROR(SUMIFS(Transactions!$F$7:$F$989,Transactions!$G$7:$G$989,A502,Transactions!$D$7:$D$989,"Expense"),0)</f>
        <v>0</v>
      </c>
      <c r="H502" s="41"/>
      <c r="I502" s="41"/>
      <c r="J502" s="41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41"/>
      <c r="B503" s="38"/>
      <c r="C503" s="41"/>
      <c r="D503" s="41"/>
      <c r="E503" s="41"/>
      <c r="F503" s="42"/>
      <c r="G503" s="44">
        <f>IFERROR(SUMIFS(Transactions!$F$7:$F$989,Transactions!$G$7:$G$989,A503,Transactions!$D$7:$D$989,"Expense"),0)</f>
        <v>0</v>
      </c>
      <c r="H503" s="41"/>
      <c r="I503" s="41"/>
      <c r="J503" s="41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1"/>
      <c r="B504" s="38"/>
      <c r="C504" s="41"/>
      <c r="D504" s="41"/>
      <c r="E504" s="41"/>
      <c r="F504" s="42"/>
      <c r="G504" s="44">
        <f>IFERROR(SUMIFS(Transactions!$F$7:$F$989,Transactions!$G$7:$G$989,A504,Transactions!$D$7:$D$989,"Expense"),0)</f>
        <v>0</v>
      </c>
      <c r="H504" s="41"/>
      <c r="I504" s="41"/>
      <c r="J504" s="41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2</v>
      </c>
      <c r="C1" s="3"/>
      <c r="D1" s="3"/>
      <c r="E1" s="3"/>
      <c r="F1" s="3"/>
      <c r="G1" s="6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"/>
      <c r="AW1" s="13"/>
      <c r="AX1" s="13"/>
      <c r="AY1" s="13"/>
      <c r="AZ1" s="15">
        <v>57.0</v>
      </c>
      <c r="BA1" s="16">
        <v>58.0</v>
      </c>
      <c r="BB1" s="18">
        <v>59.0</v>
      </c>
      <c r="BC1" s="18">
        <v>60.0</v>
      </c>
      <c r="BD1" s="18">
        <v>61.0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8">
        <v>62.0</v>
      </c>
      <c r="BZ1" s="18">
        <v>63.0</v>
      </c>
      <c r="CA1" s="18">
        <v>64.0</v>
      </c>
      <c r="CB1" s="18">
        <v>65.0</v>
      </c>
      <c r="CC1" s="18">
        <v>66.0</v>
      </c>
      <c r="CD1" s="18">
        <v>67.0</v>
      </c>
      <c r="CE1" s="18">
        <v>68.0</v>
      </c>
      <c r="CF1" s="18">
        <v>69.0</v>
      </c>
      <c r="CG1" s="18">
        <v>70.0</v>
      </c>
      <c r="CH1" s="18">
        <v>71.0</v>
      </c>
      <c r="CI1" s="18">
        <v>72.0</v>
      </c>
      <c r="CJ1" s="18">
        <v>73.0</v>
      </c>
      <c r="CK1" s="18">
        <v>74.0</v>
      </c>
      <c r="CL1" s="18">
        <v>75.0</v>
      </c>
      <c r="CM1" s="18">
        <v>76.0</v>
      </c>
      <c r="CN1" s="24">
        <v>77.0</v>
      </c>
      <c r="CO1" s="15">
        <v>78.0</v>
      </c>
      <c r="CP1" s="15">
        <v>79.0</v>
      </c>
      <c r="CQ1" s="15">
        <v>80.0</v>
      </c>
      <c r="CR1" s="15">
        <v>81.0</v>
      </c>
      <c r="CS1" s="15">
        <v>82.0</v>
      </c>
      <c r="CT1" s="15">
        <v>83.0</v>
      </c>
      <c r="CU1" s="15">
        <v>84.0</v>
      </c>
      <c r="CV1" s="15">
        <v>85.0</v>
      </c>
      <c r="CW1" s="15">
        <v>86.0</v>
      </c>
      <c r="CX1" s="15">
        <v>87.0</v>
      </c>
      <c r="CY1" s="15">
        <v>88.0</v>
      </c>
      <c r="CZ1" s="15">
        <v>89.0</v>
      </c>
      <c r="DA1" s="15">
        <v>90.0</v>
      </c>
      <c r="DB1" s="15">
        <v>91.0</v>
      </c>
      <c r="DC1" s="15">
        <v>92.0</v>
      </c>
      <c r="DD1" s="15">
        <v>93.0</v>
      </c>
      <c r="DE1" s="15">
        <v>94.0</v>
      </c>
      <c r="DF1" s="15">
        <v>95.0</v>
      </c>
      <c r="DG1" s="15">
        <v>96.0</v>
      </c>
      <c r="DH1" s="15">
        <v>97.0</v>
      </c>
      <c r="DI1" s="15">
        <v>98.0</v>
      </c>
      <c r="DJ1" s="15">
        <v>99.0</v>
      </c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</row>
    <row r="2" ht="33.0" customHeight="1">
      <c r="A2" s="9"/>
      <c r="B2" s="28" t="str">
        <f>IF(AND(Transactions!$D7="Expense",Transactions!$G7&lt;&gt;""),"-&gt; "&amp;Transactions!$G7,"")</f>
        <v>-&gt; PEC</v>
      </c>
      <c r="C2" s="28" t="str">
        <f>IF(AND(Transactions!$D8="Expense",Transactions!$G8&lt;&gt;""),"-&gt; "&amp;Transactions!$G8,"")</f>
        <v>-&gt; SFI</v>
      </c>
      <c r="D2" s="28" t="str">
        <f>IF(AND(Transactions!$D9="Expense",Transactions!$G9&lt;&gt;""),"-&gt; "&amp;Transactions!$G9,"")</f>
        <v/>
      </c>
      <c r="E2" s="28" t="str">
        <f>IF(AND(Transactions!$D10="Expense",Transactions!$G10&lt;&gt;""),"-&gt; "&amp;Transactions!$G10,"")</f>
        <v/>
      </c>
      <c r="F2" s="28" t="str">
        <f>IF(AND(Transactions!$D11="Expense",Transactions!$G11&lt;&gt;""),"-&gt; "&amp;Transactions!$G11,"")</f>
        <v/>
      </c>
      <c r="G2" s="28" t="str">
        <f>IF(AND(Transactions!$D12="Expense",Transactions!$G12&lt;&gt;""),"-&gt; "&amp;Transactions!$G12,"")</f>
        <v>-&gt; May-July Fields</v>
      </c>
      <c r="H2" s="28" t="str">
        <f>IF(AND(Transactions!$D13="Expense",Transactions!$G13&lt;&gt;""),"-&gt; "&amp;Transactions!$G13,"")</f>
        <v>-&gt; PEC</v>
      </c>
      <c r="I2" s="28" t="str">
        <f>IF(AND(Transactions!$D14="Expense",Transactions!$G14&lt;&gt;""),"-&gt; "&amp;Transactions!$G14,"")</f>
        <v>-&gt; PEC</v>
      </c>
      <c r="J2" s="28" t="str">
        <f>IF(AND(Transactions!$D15="Expense",Transactions!$G15&lt;&gt;""),"-&gt; "&amp;Transactions!$G15,"")</f>
        <v/>
      </c>
      <c r="K2" s="28" t="str">
        <f>IF(AND(Transactions!$D16="Expense",Transactions!$G16&lt;&gt;""),"-&gt; "&amp;Transactions!$G16,"")</f>
        <v/>
      </c>
      <c r="L2" s="28" t="str">
        <f>IF(AND(Transactions!$D17="Expense",Transactions!$G17&lt;&gt;""),"-&gt; "&amp;Transactions!$G17,"")</f>
        <v>-&gt; PEC</v>
      </c>
      <c r="M2" s="28" t="str">
        <f>IF(AND(Transactions!$D18="Expense",Transactions!$G18&lt;&gt;""),"-&gt; "&amp;Transactions!$G18,"")</f>
        <v>-&gt; PEC</v>
      </c>
      <c r="N2" s="28" t="str">
        <f>IF(AND(Transactions!$D19="Expense",Transactions!$G19&lt;&gt;""),"-&gt; "&amp;Transactions!$G19,"")</f>
        <v/>
      </c>
      <c r="O2" s="28" t="str">
        <f>IF(AND(Transactions!$D20="Expense",Transactions!$G20&lt;&gt;""),"-&gt; "&amp;Transactions!$G20,"")</f>
        <v>-&gt; PEC</v>
      </c>
      <c r="P2" s="28" t="str">
        <f>IF(AND(Transactions!$D21="Expense",Transactions!$G21&lt;&gt;""),"-&gt; "&amp;Transactions!$G21,"")</f>
        <v>-&gt; PEC</v>
      </c>
      <c r="Q2" s="28" t="str">
        <f>IF(AND(Transactions!$D22="Expense",Transactions!$G22&lt;&gt;""),"-&gt; "&amp;Transactions!$G22,"")</f>
        <v/>
      </c>
      <c r="R2" s="28" t="str">
        <f>IF(AND(Transactions!$D23="Expense",Transactions!$G23&lt;&gt;""),"-&gt; "&amp;Transactions!$G23,"")</f>
        <v/>
      </c>
      <c r="S2" s="28" t="str">
        <f>IF(AND(Transactions!$D24="Expense",Transactions!$G24&lt;&gt;""),"-&gt; "&amp;Transactions!$G24,"")</f>
        <v/>
      </c>
      <c r="T2" s="28" t="str">
        <f>IF(AND(Transactions!$D25="Expense",Transactions!$G25&lt;&gt;""),"-&gt; "&amp;Transactions!$G25,"")</f>
        <v/>
      </c>
      <c r="U2" s="28" t="str">
        <f>IF(AND(Transactions!$D26="Expense",Transactions!$G26&lt;&gt;""),"-&gt; "&amp;Transactions!$G26,"")</f>
        <v/>
      </c>
      <c r="V2" s="28" t="str">
        <f>IF(AND(Transactions!$D27="Expense",Transactions!$G27&lt;&gt;""),"-&gt; "&amp;Transactions!$G27,"")</f>
        <v/>
      </c>
      <c r="W2" s="28" t="str">
        <f>IF(AND(Transactions!$D28="Expense",Transactions!$G28&lt;&gt;""),"-&gt; "&amp;Transactions!$G28,"")</f>
        <v/>
      </c>
      <c r="X2" s="28" t="str">
        <f>IF(AND(Transactions!$D29="Expense",Transactions!$G29&lt;&gt;""),"-&gt; "&amp;Transactions!$G29,"")</f>
        <v/>
      </c>
      <c r="Y2" s="28" t="str">
        <f>IF(AND(Transactions!$D30="Expense",Transactions!$G30&lt;&gt;""),"-&gt; "&amp;Transactions!$G30,"")</f>
        <v/>
      </c>
      <c r="Z2" s="28" t="str">
        <f>IF(AND(Transactions!$D31="Expense",Transactions!$G31&lt;&gt;""),"-&gt; "&amp;Transactions!$G31,"")</f>
        <v/>
      </c>
      <c r="AA2" s="28" t="str">
        <f>IF(AND(Transactions!$D32="Expense",Transactions!$G32&lt;&gt;""),"-&gt; "&amp;Transactions!$G32,"")</f>
        <v/>
      </c>
      <c r="AB2" s="28" t="str">
        <f>IF(AND(Transactions!$D33="Expense",Transactions!$G33&lt;&gt;""),"-&gt; "&amp;Transactions!$G33,"")</f>
        <v>-&gt; PEC</v>
      </c>
      <c r="AC2" s="28" t="str">
        <f>IF(AND(Transactions!$D34="Expense",Transactions!$G34&lt;&gt;""),"-&gt; "&amp;Transactions!$G34,"")</f>
        <v/>
      </c>
      <c r="AD2" s="28" t="str">
        <f>IF(AND(Transactions!$D35="Expense",Transactions!$G35&lt;&gt;""),"-&gt; "&amp;Transactions!$G35,"")</f>
        <v>-&gt; ESC</v>
      </c>
      <c r="AE2" s="28" t="str">
        <f>IF(AND(Transactions!$D36="Expense",Transactions!$G36&lt;&gt;""),"-&gt; "&amp;Transactions!$G36,"")</f>
        <v/>
      </c>
      <c r="AF2" s="28" t="str">
        <f>IF(AND(Transactions!$D37="Expense",Transactions!$G37&lt;&gt;""),"-&gt; "&amp;Transactions!$G37,"")</f>
        <v/>
      </c>
      <c r="AG2" s="28" t="str">
        <f>IF(AND(Transactions!$D38="Expense",Transactions!$G38&lt;&gt;""),"-&gt; "&amp;Transactions!$G38,"")</f>
        <v/>
      </c>
      <c r="AH2" s="28" t="str">
        <f>IF(AND(Transactions!$D39="Expense",Transactions!$G39&lt;&gt;""),"-&gt; "&amp;Transactions!$G39,"")</f>
        <v/>
      </c>
      <c r="AI2" s="28" t="str">
        <f>IF(AND(Transactions!$D40="Expense",Transactions!$G40&lt;&gt;""),"-&gt; "&amp;Transactions!$G40,"")</f>
        <v>-&gt; SFI</v>
      </c>
      <c r="AJ2" s="28" t="str">
        <f>IF(AND(Transactions!$D41="Expense",Transactions!$G41&lt;&gt;""),"-&gt; "&amp;Transactions!$G41,"")</f>
        <v>-&gt; SFI</v>
      </c>
      <c r="AK2" s="28" t="str">
        <f>IF(AND(Transactions!$D42="Expense",Transactions!$G42&lt;&gt;""),"-&gt; "&amp;Transactions!$G42,"")</f>
        <v>-&gt; PEC</v>
      </c>
      <c r="AL2" s="28" t="str">
        <f>IF(AND(Transactions!$D43="Expense",Transactions!$G43&lt;&gt;""),"-&gt; "&amp;Transactions!$G43,"")</f>
        <v>-&gt; May-July Fields</v>
      </c>
      <c r="AM2" s="28" t="str">
        <f>IF(AND(Transactions!$D44="Expense",Transactions!$G44&lt;&gt;""),"-&gt; "&amp;Transactions!$G44,"")</f>
        <v/>
      </c>
      <c r="AN2" s="28" t="str">
        <f>IF(AND(Transactions!$D45="Expense",Transactions!$G45&lt;&gt;""),"-&gt; "&amp;Transactions!$G45,"")</f>
        <v/>
      </c>
      <c r="AO2" s="28" t="str">
        <f>IF(AND(Transactions!$D46="Expense",Transactions!$G46&lt;&gt;""),"-&gt; "&amp;Transactions!$G46,"")</f>
        <v/>
      </c>
      <c r="AP2" s="28" t="str">
        <f>IF(AND(Transactions!$D47="Expense",Transactions!$G47&lt;&gt;""),"-&gt; "&amp;Transactions!$G47,"")</f>
        <v/>
      </c>
      <c r="AQ2" s="28" t="str">
        <f>IF(AND(Transactions!$D48="Expense",Transactions!$G48&lt;&gt;""),"-&gt; "&amp;Transactions!$G48,"")</f>
        <v/>
      </c>
      <c r="AR2" s="28" t="str">
        <f>IF(AND(Transactions!$D49="Expense",Transactions!$G49&lt;&gt;""),"-&gt; "&amp;Transactions!$G49,"")</f>
        <v>-&gt; Sectionals</v>
      </c>
      <c r="AS2" s="28" t="str">
        <f>IF(AND(Transactions!$D50="Expense",Transactions!$G50&lt;&gt;""),"-&gt; "&amp;Transactions!$G50,"")</f>
        <v>-&gt; ESC</v>
      </c>
      <c r="AT2" s="28" t="str">
        <f>IF(AND(#REF!="Expense",#REF!&lt;&gt;""),"-&gt; "&amp;#REF!,"")</f>
        <v>#REF!</v>
      </c>
      <c r="AU2" s="28" t="str">
        <f>IF(AND(Transactions!$D51="Expense",Transactions!$G51&lt;&gt;""),"-&gt; "&amp;Transactions!$G51,"")</f>
        <v/>
      </c>
      <c r="AV2" s="28" t="str">
        <f>IF(AND(Transactions!$D52="Expense",Transactions!$G52&lt;&gt;""),"-&gt; "&amp;Transactions!$G52,"")</f>
        <v>-&gt; ESC</v>
      </c>
      <c r="AW2" s="28" t="str">
        <f t="array" ref="AW2">IF(AND(INDEX(Transactions!$D:$D, COLUMN()+5)="Expense", INDEX(Transactions!$G:$G, COLUMN()+5)&lt;&gt;""), "-&gt; "&amp;INDEX(Transactions!$G:$G, COLUMN()+5), "")</f>
        <v/>
      </c>
      <c r="AX2" s="28" t="str">
        <f t="array" ref="AX2">IF(AND(INDEX(Transactions!$D:$D, COLUMN()+5)="Expense", INDEX(Transactions!$G:$G, COLUMN()+5)&lt;&gt;""), "-&gt; "&amp;INDEX(Transactions!$G:$G, COLUMN()+5), "")</f>
        <v>-&gt; PEC</v>
      </c>
      <c r="AY2" s="28" t="str">
        <f t="array" ref="AY2">IF(AND(INDEX(Transactions!$D:$D, COLUMN()+5)="Expense", INDEX(Transactions!$G:$G, COLUMN()+5)&lt;&gt;""), "-&gt; "&amp;INDEX(Transactions!$G:$G, COLUMN()+5), "")</f>
        <v>-&gt; PEC</v>
      </c>
      <c r="AZ2" s="28" t="str">
        <f t="array" ref="AZ2">IF(AND(INDEX(Transactions!$D:$D, COLUMN()+5)="Expense", INDEX(Transactions!$G:$G, COLUMN()+5)&lt;&gt;""), "-&gt; "&amp;INDEX(Transactions!$G:$G, COLUMN()+5), "")</f>
        <v>-&gt; PEC</v>
      </c>
      <c r="BA2" s="28" t="str">
        <f t="array" ref="BA2">IF(AND(INDEX(Transactions!$D:$D, COLUMN()+5)="Expense", INDEX(Transactions!$G:$G, COLUMN()+5)&lt;&gt;""), "-&gt; "&amp;INDEX(Transactions!$G:$G, COLUMN()+5), "")</f>
        <v>-&gt; PEC</v>
      </c>
      <c r="BB2" s="28" t="str">
        <f t="array" ref="BB2">IF(AND(INDEX(Transactions!$D:$D, COLUMN()+5)="Expense", INDEX(Transactions!$G:$G, COLUMN()+5)&lt;&gt;""), "-&gt; "&amp;INDEX(Transactions!$G:$G, COLUMN()+5), "")</f>
        <v>-&gt; PEC</v>
      </c>
      <c r="BC2" s="28" t="str">
        <f t="array" ref="BC2">IF(AND(INDEX(Transactions!$D:$D, COLUMN()+5)="Expense", INDEX(Transactions!$G:$G, COLUMN()+5)&lt;&gt;""), "-&gt; "&amp;INDEX(Transactions!$G:$G, COLUMN()+5), "")</f>
        <v>-&gt; SFI</v>
      </c>
      <c r="BD2" s="28" t="str">
        <f t="array" ref="BD2">IF(AND(INDEX(Transactions!$D:$D, COLUMN()+5)="Expense", INDEX(Transactions!$G:$G, COLUMN()+5)&lt;&gt;""), "-&gt; "&amp;INDEX(Transactions!$G:$G, COLUMN()+5), "")</f>
        <v>-&gt; ESC</v>
      </c>
      <c r="BE2" s="28" t="str">
        <f t="array" ref="BE2">IF(AND(INDEX(Transactions!$D:$D, COLUMN()+5)="Expense", INDEX(Transactions!$G:$G, COLUMN()+5)&lt;&gt;""), "-&gt; "&amp;INDEX(Transactions!$G:$G, COLUMN()+5), "")</f>
        <v>-&gt; PEC</v>
      </c>
      <c r="BF2" s="28" t="str">
        <f t="array" ref="BF2">IF(AND(INDEX(Transactions!$D:$D, COLUMN()+5)="Expense", INDEX(Transactions!$G:$G, COLUMN()+5)&lt;&gt;""), "-&gt; "&amp;INDEX(Transactions!$G:$G, COLUMN()+5), "")</f>
        <v>-&gt; SFI</v>
      </c>
      <c r="BG2" s="28" t="str">
        <f t="array" ref="BG2">IF(AND(INDEX(Transactions!$D:$D, COLUMN()+5)="Expense", INDEX(Transactions!$G:$G, COLUMN()+5)&lt;&gt;""), "-&gt; "&amp;INDEX(Transactions!$G:$G, COLUMN()+5), "")</f>
        <v>-&gt; SFI</v>
      </c>
      <c r="BH2" s="28" t="str">
        <f t="array" ref="BH2">IF(AND(INDEX(Transactions!$D:$D, COLUMN()+5)="Expense", INDEX(Transactions!$G:$G, COLUMN()+5)&lt;&gt;""), "-&gt; "&amp;INDEX(Transactions!$G:$G, COLUMN()+5), "")</f>
        <v>-&gt; SFI</v>
      </c>
      <c r="BI2" s="28" t="str">
        <f t="array" ref="BI2">IF(AND(INDEX(Transactions!$D:$D, COLUMN()+5)="Expense", INDEX(Transactions!$G:$G, COLUMN()+5)&lt;&gt;""), "-&gt; "&amp;INDEX(Transactions!$G:$G, COLUMN()+5), "")</f>
        <v>-&gt; SFI</v>
      </c>
      <c r="BJ2" s="28" t="str">
        <f t="array" ref="BJ2">IF(AND(INDEX(Transactions!$D:$D, COLUMN()+5)="Expense", INDEX(Transactions!$G:$G, COLUMN()+5)&lt;&gt;""), "-&gt; "&amp;INDEX(Transactions!$G:$G, COLUMN()+5), "")</f>
        <v>-&gt; ESC</v>
      </c>
      <c r="BK2" s="28" t="str">
        <f t="array" ref="BK2">IF(AND(INDEX(Transactions!$D:$D, COLUMN()+5)="Expense", INDEX(Transactions!$G:$G, COLUMN()+5)&lt;&gt;""), "-&gt; "&amp;INDEX(Transactions!$G:$G, COLUMN()+5), "")</f>
        <v>-&gt; ESC</v>
      </c>
      <c r="BL2" s="28" t="str">
        <f t="array" ref="BL2">IF(AND(INDEX(Transactions!$D:$D, COLUMN()+5)="Expense", INDEX(Transactions!$G:$G, COLUMN()+5)&lt;&gt;""), "-&gt; "&amp;INDEX(Transactions!$G:$G, COLUMN()+5), "")</f>
        <v>-&gt; ESC</v>
      </c>
      <c r="BM2" s="28" t="str">
        <f t="array" ref="BM2">IF(AND(INDEX(Transactions!$D:$D, COLUMN()+5)="Expense", INDEX(Transactions!$G:$G, COLUMN()+5)&lt;&gt;""), "-&gt; "&amp;INDEX(Transactions!$G:$G, COLUMN()+5), "")</f>
        <v>-&gt; ESC</v>
      </c>
      <c r="BN2" s="28" t="str">
        <f t="array" ref="BN2">IF(AND(INDEX(Transactions!$D:$D, COLUMN()+5)="Expense", INDEX(Transactions!$G:$G, COLUMN()+5)&lt;&gt;""), "-&gt; "&amp;INDEX(Transactions!$G:$G, COLUMN()+5), "")</f>
        <v>-&gt; Retreat</v>
      </c>
      <c r="BO2" s="28" t="str">
        <f t="array" ref="BO2">IF(AND(INDEX(Transactions!$D:$D, COLUMN()+5)="Expense", INDEX(Transactions!$G:$G, COLUMN()+5)&lt;&gt;""), "-&gt; "&amp;INDEX(Transactions!$G:$G, COLUMN()+5), "")</f>
        <v>-&gt; Retreat</v>
      </c>
      <c r="BP2" s="28" t="str">
        <f t="array" ref="BP2">IF(AND(INDEX(Transactions!$D:$D, COLUMN()+5)="Expense", INDEX(Transactions!$G:$G, COLUMN()+5)&lt;&gt;""), "-&gt; "&amp;INDEX(Transactions!$G:$G, COLUMN()+5), "")</f>
        <v>-&gt; Retreat</v>
      </c>
      <c r="BQ2" s="28" t="str">
        <f t="array" ref="BQ2">IF(AND(INDEX(Transactions!$D:$D, COLUMN()+5)="Expense", INDEX(Transactions!$G:$G, COLUMN()+5)&lt;&gt;""), "-&gt; "&amp;INDEX(Transactions!$G:$G, COLUMN()+5), "")</f>
        <v>-&gt; Retreat</v>
      </c>
      <c r="BR2" s="28" t="str">
        <f t="array" ref="BR2">IF(AND(INDEX(Transactions!$D:$D, COLUMN()+5)="Expense", INDEX(Transactions!$G:$G, COLUMN()+5)&lt;&gt;""), "-&gt; "&amp;INDEX(Transactions!$G:$G, COLUMN()+5), "")</f>
        <v>-&gt; Retreat</v>
      </c>
      <c r="BS2" s="28" t="str">
        <f t="array" ref="BS2">IF(AND(INDEX(Transactions!$D:$D, COLUMN()+5)="Expense", INDEX(Transactions!$G:$G, COLUMN()+5)&lt;&gt;""), "-&gt; "&amp;INDEX(Transactions!$G:$G, COLUMN()+5), "")</f>
        <v>-&gt; Retreat</v>
      </c>
      <c r="BT2" s="28" t="str">
        <f t="array" ref="BT2">IF(AND(INDEX(Transactions!$D:$D, COLUMN()+5)="Expense", INDEX(Transactions!$G:$G, COLUMN()+5)&lt;&gt;""), "-&gt; "&amp;INDEX(Transactions!$G:$G, COLUMN()+5), "")</f>
        <v>-&gt; Retreat</v>
      </c>
      <c r="BU2" s="28" t="str">
        <f t="array" ref="BU2">IF(AND(INDEX(Transactions!$D:$D, COLUMN()+5)="Expense", INDEX(Transactions!$G:$G, COLUMN()+5)&lt;&gt;""), "-&gt; "&amp;INDEX(Transactions!$G:$G, COLUMN()+5), "")</f>
        <v>-&gt; Retreat</v>
      </c>
      <c r="BV2" s="28" t="str">
        <f t="array" ref="BV2">IF(AND(INDEX(Transactions!$D:$D, COLUMN()+5)="Expense", INDEX(Transactions!$G:$G, COLUMN()+5)&lt;&gt;""), "-&gt; "&amp;INDEX(Transactions!$G:$G, COLUMN()+5), "")</f>
        <v>-&gt; Retreat</v>
      </c>
      <c r="BW2" s="28" t="str">
        <f t="array" ref="BW2">IF(AND(INDEX(Transactions!$D:$D, COLUMN()+5)="Expense", INDEX(Transactions!$G:$G, COLUMN()+5)&lt;&gt;""), "-&gt; "&amp;INDEX(Transactions!$G:$G, COLUMN()+5), "")</f>
        <v>-&gt; Retreat</v>
      </c>
      <c r="BX2" s="28" t="str">
        <f t="array" ref="BX2">IF(AND(INDEX(Transactions!$D:$D, COLUMN()+5)="Expense", INDEX(Transactions!$G:$G, COLUMN()+5)&lt;&gt;""), "-&gt; "&amp;INDEX(Transactions!$G:$G, COLUMN()+5), "")</f>
        <v>-&gt; Retreat</v>
      </c>
      <c r="BY2" s="28" t="str">
        <f t="array" ref="BY2">IF(AND(INDEX(Transactions!$D:$D, COLUMN()+5)="Expense", INDEX(Transactions!$G:$G, COLUMN()+5)&lt;&gt;""), "-&gt; "&amp;INDEX(Transactions!$G:$G, COLUMN()+5), "")</f>
        <v>-&gt; Retreat</v>
      </c>
      <c r="BZ2" s="28" t="str">
        <f t="array" ref="BZ2">IF(AND(INDEX(Transactions!$D:$D, COLUMN()+5)="Expense", INDEX(Transactions!$G:$G, COLUMN()+5)&lt;&gt;""), "-&gt; "&amp;INDEX(Transactions!$G:$G, COLUMN()+5), "")</f>
        <v>-&gt; Retreat</v>
      </c>
      <c r="CA2" s="28" t="str">
        <f t="array" ref="CA2">IF(AND(INDEX(Transactions!$D:$D, COLUMN()+5)="Expense", INDEX(Transactions!$G:$G, COLUMN()+5)&lt;&gt;""), "-&gt; "&amp;INDEX(Transactions!$G:$G, COLUMN()+5), "")</f>
        <v/>
      </c>
      <c r="CB2" s="28" t="str">
        <f t="array" ref="CB2">IF(AND(INDEX(Transactions!$D:$D, COLUMN()+5)="Expense", INDEX(Transactions!$G:$G, COLUMN()+5)&lt;&gt;""), "-&gt; "&amp;INDEX(Transactions!$G:$G, COLUMN()+5), "")</f>
        <v/>
      </c>
      <c r="CC2" s="28" t="str">
        <f t="array" ref="CC2">IF(AND(INDEX(Transactions!$D:$D, COLUMN()+5)="Expense", INDEX(Transactions!$G:$G, COLUMN()+5)&lt;&gt;""), "-&gt; "&amp;INDEX(Transactions!$G:$G, COLUMN()+5), "")</f>
        <v/>
      </c>
      <c r="CD2" s="28" t="str">
        <f t="array" ref="CD2">IF(AND(INDEX(Transactions!$D:$D, COLUMN()+5)="Expense", INDEX(Transactions!$G:$G, COLUMN()+5)&lt;&gt;""), "-&gt; "&amp;INDEX(Transactions!$G:$G, COLUMN()+5), "")</f>
        <v/>
      </c>
      <c r="CE2" s="28" t="str">
        <f t="array" ref="CE2">IF(AND(INDEX(Transactions!$D:$D, COLUMN()+5)="Expense", INDEX(Transactions!$G:$G, COLUMN()+5)&lt;&gt;""), "-&gt; "&amp;INDEX(Transactions!$G:$G, COLUMN()+5), "")</f>
        <v/>
      </c>
      <c r="CF2" s="28" t="str">
        <f t="array" ref="CF2">IF(AND(INDEX(Transactions!$D:$D, COLUMN()+5)="Expense", INDEX(Transactions!$G:$G, COLUMN()+5)&lt;&gt;""), "-&gt; "&amp;INDEX(Transactions!$G:$G, COLUMN()+5), "")</f>
        <v/>
      </c>
      <c r="CG2" s="28" t="str">
        <f t="array" ref="CG2">IF(AND(INDEX(Transactions!$D:$D, COLUMN()+5)="Expense", INDEX(Transactions!$G:$G, COLUMN()+5)&lt;&gt;""), "-&gt; "&amp;INDEX(Transactions!$G:$G, COLUMN()+5), "")</f>
        <v/>
      </c>
      <c r="CH2" s="28" t="str">
        <f t="array" ref="CH2">IF(AND(INDEX(Transactions!$D:$D, COLUMN()+5)="Expense", INDEX(Transactions!$G:$G, COLUMN()+5)&lt;&gt;""), "-&gt; "&amp;INDEX(Transactions!$G:$G, COLUMN()+5), "")</f>
        <v/>
      </c>
      <c r="CI2" s="28" t="str">
        <f t="array" ref="CI2">IF(AND(INDEX(Transactions!$D:$D, COLUMN()+5)="Expense", INDEX(Transactions!$G:$G, COLUMN()+5)&lt;&gt;""), "-&gt; "&amp;INDEX(Transactions!$G:$G, COLUMN()+5), "")</f>
        <v/>
      </c>
      <c r="CJ2" s="28" t="str">
        <f t="array" ref="CJ2">IF(AND(INDEX(Transactions!$D:$D, COLUMN()+5)="Expense", INDEX(Transactions!$G:$G, COLUMN()+5)&lt;&gt;""), "-&gt; "&amp;INDEX(Transactions!$G:$G, COLUMN()+5), "")</f>
        <v/>
      </c>
      <c r="CK2" s="28" t="str">
        <f t="array" ref="CK2">IF(AND(INDEX(Transactions!$D:$D, COLUMN()+5)="Expense", INDEX(Transactions!$G:$G, COLUMN()+5)&lt;&gt;""), "-&gt; "&amp;INDEX(Transactions!$G:$G, COLUMN()+5), "")</f>
        <v/>
      </c>
      <c r="CL2" s="28" t="str">
        <f t="array" ref="CL2">IF(AND(INDEX(Transactions!$D:$D, COLUMN()+5)="Expense", INDEX(Transactions!$G:$G, COLUMN()+5)&lt;&gt;""), "-&gt; "&amp;INDEX(Transactions!$G:$G, COLUMN()+5), "")</f>
        <v/>
      </c>
      <c r="CM2" s="28" t="str">
        <f t="array" ref="CM2">IF(AND(INDEX(Transactions!$D:$D, COLUMN()+5)="Expense", INDEX(Transactions!$G:$G, COLUMN()+5)&lt;&gt;""), "-&gt; "&amp;INDEX(Transactions!$G:$G, COLUMN()+5), "")</f>
        <v/>
      </c>
      <c r="CN2" s="28" t="str">
        <f t="array" ref="CN2">IF(AND(INDEX(Transactions!$D:$D, COLUMN()+5)="Expense", INDEX(Transactions!$G:$G, COLUMN()+5)&lt;&gt;""), "-&gt; "&amp;INDEX(Transactions!$G:$G, COLUMN()+5), "")</f>
        <v/>
      </c>
      <c r="CO2" s="28" t="str">
        <f t="array" ref="CO2">IF(AND(INDEX(Transactions!$D:$D, COLUMN()+5)="Expense", INDEX(Transactions!$G:$G, COLUMN()+5)&lt;&gt;""), "-&gt; "&amp;INDEX(Transactions!$G:$G, COLUMN()+5), "")</f>
        <v/>
      </c>
      <c r="CP2" s="28" t="str">
        <f t="array" ref="CP2">IF(AND(INDEX(Transactions!$D:$D, COLUMN()+5)="Expense", INDEX(Transactions!$G:$G, COLUMN()+5)&lt;&gt;""), "-&gt; "&amp;INDEX(Transactions!$G:$G, COLUMN()+5), "")</f>
        <v/>
      </c>
      <c r="CQ2" s="28" t="str">
        <f t="array" ref="CQ2">IF(AND(INDEX(Transactions!$D:$D, COLUMN()+5)="Expense", INDEX(Transactions!$G:$G, COLUMN()+5)&lt;&gt;""), "-&gt; "&amp;INDEX(Transactions!$G:$G, COLUMN()+5), "")</f>
        <v/>
      </c>
      <c r="CR2" s="28" t="str">
        <f t="array" ref="CR2">IF(AND(INDEX(Transactions!$D:$D, COLUMN()+5)="Expense", INDEX(Transactions!$G:$G, COLUMN()+5)&lt;&gt;""), "-&gt; "&amp;INDEX(Transactions!$G:$G, COLUMN()+5), "")</f>
        <v/>
      </c>
      <c r="CS2" s="28" t="str">
        <f t="array" ref="CS2">IF(AND(INDEX(Transactions!$D:$D, COLUMN()+5)="Expense", INDEX(Transactions!$G:$G, COLUMN()+5)&lt;&gt;""), "-&gt; "&amp;INDEX(Transactions!$G:$G, COLUMN()+5), "")</f>
        <v/>
      </c>
      <c r="CT2" s="28" t="str">
        <f t="array" ref="CT2">IF(AND(INDEX(Transactions!$D:$D, COLUMN()+5)="Expense", INDEX(Transactions!$G:$G, COLUMN()+5)&lt;&gt;""), "-&gt; "&amp;INDEX(Transactions!$G:$G, COLUMN()+5), "")</f>
        <v/>
      </c>
      <c r="CU2" s="28" t="str">
        <f t="array" ref="CU2">IF(AND(INDEX(Transactions!$D:$D, COLUMN()+5)="Expense", INDEX(Transactions!$G:$G, COLUMN()+5)&lt;&gt;""), "-&gt; "&amp;INDEX(Transactions!$G:$G, COLUMN()+5), "")</f>
        <v/>
      </c>
      <c r="CV2" s="28" t="str">
        <f t="array" ref="CV2">IF(AND(INDEX(Transactions!$D:$D, COLUMN()+5)="Expense", INDEX(Transactions!$G:$G, COLUMN()+5)&lt;&gt;""), "-&gt; "&amp;INDEX(Transactions!$G:$G, COLUMN()+5), "")</f>
        <v/>
      </c>
      <c r="CW2" s="28" t="str">
        <f t="array" ref="CW2">IF(AND(INDEX(Transactions!$D:$D, COLUMN()+5)="Expense", INDEX(Transactions!$G:$G, COLUMN()+5)&lt;&gt;""), "-&gt; "&amp;INDEX(Transactions!$G:$G, COLUMN()+5), "")</f>
        <v/>
      </c>
      <c r="CX2" s="28" t="str">
        <f t="array" ref="CX2">IF(AND(INDEX(Transactions!$D:$D, COLUMN()+5)="Expense", INDEX(Transactions!$G:$G, COLUMN()+5)&lt;&gt;""), "-&gt; "&amp;INDEX(Transactions!$G:$G, COLUMN()+5), "")</f>
        <v/>
      </c>
      <c r="CY2" s="28" t="str">
        <f t="array" ref="CY2">IF(AND(INDEX(Transactions!$D:$D, COLUMN()+5)="Expense", INDEX(Transactions!$G:$G, COLUMN()+5)&lt;&gt;""), "-&gt; "&amp;INDEX(Transactions!$G:$G, COLUMN()+5), "")</f>
        <v/>
      </c>
      <c r="CZ2" s="28" t="str">
        <f t="array" ref="CZ2">IF(AND(INDEX(Transactions!$D:$D, COLUMN()+5)="Expense", INDEX(Transactions!$G:$G, COLUMN()+5)&lt;&gt;""), "-&gt; "&amp;INDEX(Transactions!$G:$G, COLUMN()+5), "")</f>
        <v/>
      </c>
      <c r="DA2" s="28" t="str">
        <f t="array" ref="DA2">IF(AND(INDEX(Transactions!$D:$D, COLUMN()+5)="Expense", INDEX(Transactions!$G:$G, COLUMN()+5)&lt;&gt;""), "-&gt; "&amp;INDEX(Transactions!$G:$G, COLUMN()+5), "")</f>
        <v/>
      </c>
      <c r="DB2" s="28" t="str">
        <f t="array" ref="DB2">IF(AND(INDEX(Transactions!$D:$D, COLUMN()+5)="Expense", INDEX(Transactions!$G:$G, COLUMN()+5)&lt;&gt;""), "-&gt; "&amp;INDEX(Transactions!$G:$G, COLUMN()+5), "")</f>
        <v/>
      </c>
      <c r="DC2" s="28" t="str">
        <f t="array" ref="DC2">IF(AND(INDEX(Transactions!$D:$D, COLUMN()+5)="Expense", INDEX(Transactions!$G:$G, COLUMN()+5)&lt;&gt;""), "-&gt; "&amp;INDEX(Transactions!$G:$G, COLUMN()+5), "")</f>
        <v/>
      </c>
      <c r="DD2" s="28" t="str">
        <f t="array" ref="DD2">IF(AND(INDEX(Transactions!$D:$D, COLUMN()+5)="Expense", INDEX(Transactions!$G:$G, COLUMN()+5)&lt;&gt;""), "-&gt; "&amp;INDEX(Transactions!$G:$G, COLUMN()+5), "")</f>
        <v/>
      </c>
      <c r="DE2" s="28" t="str">
        <f t="array" ref="DE2">IF(AND(INDEX(Transactions!$D:$D, COLUMN()+5)="Expense", INDEX(Transactions!$G:$G, COLUMN()+5)&lt;&gt;""), "-&gt; "&amp;INDEX(Transactions!$G:$G, COLUMN()+5), "")</f>
        <v/>
      </c>
      <c r="DF2" s="28" t="str">
        <f t="array" ref="DF2">IF(AND(INDEX(Transactions!$D:$D, COLUMN()+5)="Expense", INDEX(Transactions!$G:$G, COLUMN()+5)&lt;&gt;""), "-&gt; "&amp;INDEX(Transactions!$G:$G, COLUMN()+5), "")</f>
        <v/>
      </c>
      <c r="DG2" s="28" t="str">
        <f t="array" ref="DG2">IF(AND(INDEX(Transactions!$D:$D, COLUMN()+5)="Expense", INDEX(Transactions!$G:$G, COLUMN()+5)&lt;&gt;""), "-&gt; "&amp;INDEX(Transactions!$G:$G, COLUMN()+5), "")</f>
        <v/>
      </c>
      <c r="DH2" s="28" t="str">
        <f t="array" ref="DH2">IF(AND(INDEX(Transactions!$D:$D, COLUMN()+5)="Expense", INDEX(Transactions!$G:$G, COLUMN()+5)&lt;&gt;""), "-&gt; "&amp;INDEX(Transactions!$G:$G, COLUMN()+5), "")</f>
        <v/>
      </c>
      <c r="DI2" s="28" t="str">
        <f t="array" ref="DI2">IF(AND(INDEX(Transactions!$D:$D, COLUMN()+5)="Expense", INDEX(Transactions!$G:$G, COLUMN()+5)&lt;&gt;""), "-&gt; "&amp;INDEX(Transactions!$G:$G, COLUMN()+5), "")</f>
        <v/>
      </c>
      <c r="DJ2" s="28" t="str">
        <f t="array" ref="DJ2">IF(AND(INDEX(Transactions!$D:$D, COLUMN()+5)="Expense", INDEX(Transactions!$G:$G, COLUMN()+5)&lt;&gt;""), "-&gt; "&amp;INDEX(Transactions!$G:$G, COLUMN()+5), "")</f>
        <v/>
      </c>
      <c r="DK2" s="28" t="str">
        <f t="array" ref="DK2">IF(AND(INDEX(Transactions!$D:$D, COLUMN()+5)="Expense", INDEX(Transactions!$G:$G, COLUMN()+5)&lt;&gt;""), "-&gt; "&amp;INDEX(Transactions!$G:$G, COLUMN()+5), "")</f>
        <v/>
      </c>
      <c r="DL2" s="28" t="str">
        <f t="array" ref="DL2">IF(AND(INDEX(Transactions!$D:$D, COLUMN()+5)="Expense", INDEX(Transactions!$G:$G, COLUMN()+5)&lt;&gt;""), "-&gt; "&amp;INDEX(Transactions!$G:$G, COLUMN()+5), "")</f>
        <v/>
      </c>
      <c r="DM2" s="28" t="str">
        <f t="array" ref="DM2">IF(AND(INDEX(Transactions!$D:$D, COLUMN()+5)="Expense", INDEX(Transactions!$G:$G, COLUMN()+5)&lt;&gt;""), "-&gt; "&amp;INDEX(Transactions!$G:$G, COLUMN()+5), "")</f>
        <v/>
      </c>
      <c r="DN2" s="28" t="str">
        <f t="array" ref="DN2">IF(AND(INDEX(Transactions!$D:$D, COLUMN()+5)="Expense", INDEX(Transactions!$G:$G, COLUMN()+5)&lt;&gt;""), "-&gt; "&amp;INDEX(Transactions!$G:$G, COLUMN()+5), "")</f>
        <v/>
      </c>
      <c r="DO2" s="28" t="str">
        <f t="array" ref="DO2">IF(AND(INDEX(Transactions!$D:$D, COLUMN()+5)="Expense", INDEX(Transactions!$G:$G, COLUMN()+5)&lt;&gt;""), "-&gt; "&amp;INDEX(Transactions!$G:$G, COLUMN()+5), "")</f>
        <v/>
      </c>
      <c r="DP2" s="28" t="str">
        <f t="array" ref="DP2">IF(AND(INDEX(Transactions!$D:$D, COLUMN()+5)="Expense", INDEX(Transactions!$G:$G, COLUMN()+5)&lt;&gt;""), "-&gt; "&amp;INDEX(Transactions!$G:$G, COLUMN()+5), "")</f>
        <v/>
      </c>
      <c r="DQ2" s="28" t="str">
        <f t="array" ref="DQ2">IF(AND(INDEX(Transactions!$D:$D, COLUMN()+5)="Expense", INDEX(Transactions!$G:$G, COLUMN()+5)&lt;&gt;""), "-&gt; "&amp;INDEX(Transactions!$G:$G, COLUMN()+5), "")</f>
        <v/>
      </c>
      <c r="DR2" s="28" t="str">
        <f t="array" ref="DR2">IF(AND(INDEX(Transactions!$D:$D, COLUMN()+5)="Expense", INDEX(Transactions!$G:$G, COLUMN()+5)&lt;&gt;""), "-&gt; "&amp;INDEX(Transactions!$G:$G, COLUMN()+5), "")</f>
        <v/>
      </c>
      <c r="DS2" s="28" t="str">
        <f t="array" ref="DS2">IF(AND(INDEX(Transactions!$D:$D, COLUMN()+5)="Expense", INDEX(Transactions!$G:$G, COLUMN()+5)&lt;&gt;""), "-&gt; "&amp;INDEX(Transactions!$G:$G, COLUMN()+5), "")</f>
        <v/>
      </c>
      <c r="DT2" s="28" t="str">
        <f t="array" ref="DT2">IF(AND(INDEX(Transactions!$D:$D, COLUMN()+5)="Expense", INDEX(Transactions!$G:$G, COLUMN()+5)&lt;&gt;""), "-&gt; "&amp;INDEX(Transactions!$G:$G, COLUMN()+5), "")</f>
        <v/>
      </c>
      <c r="DU2" s="28" t="str">
        <f t="array" ref="DU2">IF(AND(INDEX(Transactions!$D:$D, COLUMN()+5)="Expense", INDEX(Transactions!$G:$G, COLUMN()+5)&lt;&gt;""), "-&gt; "&amp;INDEX(Transactions!$G:$G, COLUMN()+5), "")</f>
        <v/>
      </c>
      <c r="DV2" s="28" t="str">
        <f t="array" ref="DV2">IF(AND(INDEX(Transactions!$D:$D, COLUMN()+5)="Expense", INDEX(Transactions!$G:$G, COLUMN()+5)&lt;&gt;""), "-&gt; "&amp;INDEX(Transactions!$G:$G, COLUMN()+5), "")</f>
        <v/>
      </c>
      <c r="DW2" s="28" t="str">
        <f t="array" ref="DW2">IF(AND(INDEX(Transactions!$D:$D, COLUMN()+5)="Expense", INDEX(Transactions!$G:$G, COLUMN()+5)&lt;&gt;""), "-&gt; "&amp;INDEX(Transactions!$G:$G, COLUMN()+5), "")</f>
        <v/>
      </c>
      <c r="DX2" s="28" t="str">
        <f t="array" ref="DX2">IF(AND(INDEX(Transactions!$D:$D, COLUMN()+5)="Expense", INDEX(Transactions!$G:$G, COLUMN()+5)&lt;&gt;""), "-&gt; "&amp;INDEX(Transactions!$G:$G, COLUMN()+5), "")</f>
        <v/>
      </c>
      <c r="DY2" s="28" t="str">
        <f t="array" ref="DY2">IF(AND(INDEX(Transactions!$D:$D, COLUMN()+5)="Expense", INDEX(Transactions!$G:$G, COLUMN()+5)&lt;&gt;""), "-&gt; "&amp;INDEX(Transactions!$G:$G, COLUMN()+5), "")</f>
        <v/>
      </c>
      <c r="DZ2" s="28" t="str">
        <f t="array" ref="DZ2">IF(AND(INDEX(Transactions!$D:$D, COLUMN()+5)="Expense", INDEX(Transactions!$G:$G, COLUMN()+5)&lt;&gt;""), "-&gt; "&amp;INDEX(Transactions!$G:$G, COLUMN()+5), "")</f>
        <v/>
      </c>
      <c r="EA2" s="28" t="str">
        <f t="array" ref="EA2">IF(AND(INDEX(Transactions!$D:$D, COLUMN()+5)="Expense", INDEX(Transactions!$G:$G, COLUMN()+5)&lt;&gt;""), "-&gt; "&amp;INDEX(Transactions!$G:$G, COLUMN()+5), "")</f>
        <v/>
      </c>
      <c r="EB2" s="28" t="str">
        <f t="array" ref="EB2">IF(AND(INDEX(Transactions!$D:$D, COLUMN()+5)="Expense", INDEX(Transactions!$G:$G, COLUMN()+5)&lt;&gt;""), "-&gt; "&amp;INDEX(Transactions!$G:$G, COLUMN()+5), "")</f>
        <v/>
      </c>
      <c r="EC2" s="28" t="str">
        <f t="array" ref="EC2">IF(AND(INDEX(Transactions!$D:$D, COLUMN()+5)="Expense", INDEX(Transactions!$G:$G, COLUMN()+5)&lt;&gt;""), "-&gt; "&amp;INDEX(Transactions!$G:$G, COLUMN()+5), "")</f>
        <v/>
      </c>
      <c r="ED2" s="28" t="str">
        <f t="array" ref="ED2">IF(AND(INDEX(Transactions!$D:$D, COLUMN()+5)="Expense", INDEX(Transactions!$G:$G, COLUMN()+5)&lt;&gt;""), "-&gt; "&amp;INDEX(Transactions!$G:$G, COLUMN()+5), "")</f>
        <v/>
      </c>
      <c r="EE2" s="28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4" t="s">
        <v>86</v>
      </c>
      <c r="B3" s="63" t="str">
        <f>IF(AND(Transactions!$D7="Expense",Transactions!$G7&lt;&gt;""),Transactions!$B7,"")</f>
        <v>PEC Bid Fee</v>
      </c>
      <c r="C3" s="63" t="str">
        <f>IF(AND(Transactions!$D8="Expense",Transactions!$G8&lt;&gt;""),Transactions!$B8,"")</f>
        <v>SFI Bid Fee</v>
      </c>
      <c r="D3" s="63" t="str">
        <f>IF(AND(Transactions!$D9="Expense",Transactions!$G9&lt;&gt;""),Transactions!$B9,"")</f>
        <v/>
      </c>
      <c r="E3" s="63" t="str">
        <f>IF(AND(Transactions!$D10="Expense",Transactions!$G10&lt;&gt;""),Transactions!$B10,"")</f>
        <v/>
      </c>
      <c r="F3" s="63" t="str">
        <f>IF(AND(Transactions!$D11="Expense",Transactions!$G11&lt;&gt;""),Transactions!$B11,"")</f>
        <v/>
      </c>
      <c r="G3" s="63" t="str">
        <f>IF(AND(Transactions!$D12="Expense",Transactions!$G12&lt;&gt;""),Transactions!$B12,"")</f>
        <v>Wednesday Tryout Field</v>
      </c>
      <c r="H3" s="63" t="str">
        <f>IF(AND(Transactions!$D13="Expense",Transactions!$G13&lt;&gt;""),Transactions!$B13,"")</f>
        <v>tshirts and spray paint</v>
      </c>
      <c r="I3" s="63" t="str">
        <f>IF(AND(Transactions!$D14="Expense",Transactions!$G14&lt;&gt;""),Transactions!$B14,"")</f>
        <v>gso airport minivan</v>
      </c>
      <c r="J3" s="63" t="str">
        <f>IF(AND(Transactions!$D15="Expense",Transactions!$G15&lt;&gt;""),Transactions!$B15,"")</f>
        <v/>
      </c>
      <c r="K3" s="63" t="str">
        <f>IF(AND(Transactions!$D16="Expense",Transactions!$G16&lt;&gt;""),Transactions!$B16,"")</f>
        <v/>
      </c>
      <c r="L3" s="63" t="str">
        <f>IF(AND(Transactions!$D17="Expense",Transactions!$G17&lt;&gt;""),Transactions!$B17,"")</f>
        <v>pec megavan</v>
      </c>
      <c r="M3" s="63" t="str">
        <f>IF(AND(Transactions!$D18="Expense",Transactions!$G18&lt;&gt;""),Transactions!$B18,"")</f>
        <v>PEC Hotel</v>
      </c>
      <c r="N3" s="63" t="str">
        <f>IF(AND(Transactions!$D19="Expense",Transactions!$G19&lt;&gt;""),Transactions!$B19,"")</f>
        <v/>
      </c>
      <c r="O3" s="63" t="str">
        <f>IF(AND(Transactions!$D20="Expense",Transactions!$G20&lt;&gt;""),Transactions!$B20,"")</f>
        <v>gso minivan gas</v>
      </c>
      <c r="P3" s="63" t="str">
        <f>IF(AND(Transactions!$D21="Expense",Transactions!$G21&lt;&gt;""),Transactions!$B21,"")</f>
        <v>Jake's Car Airport Parking</v>
      </c>
      <c r="Q3" s="63" t="str">
        <f>IF(AND(Transactions!$D22="Expense",Transactions!$G22&lt;&gt;""),Transactions!$B22,"")</f>
        <v/>
      </c>
      <c r="R3" s="63" t="str">
        <f>IF(AND(Transactions!$D23="Expense",Transactions!$G23&lt;&gt;""),Transactions!$B23,"")</f>
        <v/>
      </c>
      <c r="S3" s="63" t="str">
        <f>IF(AND(Transactions!$D24="Expense",Transactions!$G24&lt;&gt;""),Transactions!$B24,"")</f>
        <v/>
      </c>
      <c r="T3" s="63" t="str">
        <f>IF(AND(Transactions!$D25="Expense",Transactions!$G25&lt;&gt;""),Transactions!$B25,"")</f>
        <v/>
      </c>
      <c r="U3" s="63" t="str">
        <f>IF(AND(Transactions!$D26="Expense",Transactions!$G26&lt;&gt;""),Transactions!$B26,"")</f>
        <v/>
      </c>
      <c r="V3" s="63" t="str">
        <f>IF(AND(Transactions!$D27="Expense",Transactions!$G27&lt;&gt;""),Transactions!$B27,"")</f>
        <v/>
      </c>
      <c r="W3" s="63" t="str">
        <f>IF(AND(Transactions!$D28="Expense",Transactions!$G28&lt;&gt;""),Transactions!$B28,"")</f>
        <v/>
      </c>
      <c r="X3" s="63" t="str">
        <f>IF(AND(Transactions!$D29="Expense",Transactions!$G29&lt;&gt;""),Transactions!$B29,"")</f>
        <v/>
      </c>
      <c r="Y3" s="63" t="str">
        <f>IF(AND(Transactions!$D30="Expense",Transactions!$G30&lt;&gt;""),Transactions!$B30,"")</f>
        <v/>
      </c>
      <c r="Z3" s="63" t="str">
        <f>IF(AND(Transactions!$D31="Expense",Transactions!$G31&lt;&gt;""),Transactions!$B31,"")</f>
        <v/>
      </c>
      <c r="AA3" s="63" t="str">
        <f>IF(AND(Transactions!$D32="Expense",Transactions!$G32&lt;&gt;""),Transactions!$B32,"")</f>
        <v/>
      </c>
      <c r="AB3" s="63" t="str">
        <f>IF(AND(Transactions!$D33="Expense",Transactions!$G33&lt;&gt;""),Transactions!$B33,"")</f>
        <v>PEC Team Snacks</v>
      </c>
      <c r="AC3" s="63" t="str">
        <f>IF(AND(Transactions!$D34="Expense",Transactions!$G34&lt;&gt;""),Transactions!$B34,"")</f>
        <v/>
      </c>
      <c r="AD3" s="63" t="str">
        <f>IF(AND(Transactions!$D35="Expense",Transactions!$G35&lt;&gt;""),Transactions!$B35,"")</f>
        <v>ESC Bid Fee</v>
      </c>
      <c r="AE3" s="63" t="str">
        <f>IF(AND(Transactions!$D36="Expense",Transactions!$G36&lt;&gt;""),Transactions!$B36,"")</f>
        <v/>
      </c>
      <c r="AF3" s="63" t="str">
        <f>IF(AND(Transactions!$D37="Expense",Transactions!$G37&lt;&gt;""),Transactions!$B37,"")</f>
        <v/>
      </c>
      <c r="AG3" s="63" t="str">
        <f>IF(AND(Transactions!$D38="Expense",Transactions!$G38&lt;&gt;""),Transactions!$B38,"")</f>
        <v/>
      </c>
      <c r="AH3" s="63" t="str">
        <f>IF(AND(Transactions!$D39="Expense",Transactions!$G39&lt;&gt;""),Transactions!$B39,"")</f>
        <v/>
      </c>
      <c r="AI3" s="63" t="str">
        <f>IF(AND(Transactions!$D40="Expense",Transactions!$G40&lt;&gt;""),Transactions!$B40,"")</f>
        <v>SFI Team snacks</v>
      </c>
      <c r="AJ3" s="63" t="str">
        <f>IF(AND(Transactions!$D41="Expense",Transactions!$G41&lt;&gt;""),Transactions!$B41,"")</f>
        <v>SFI Hotels</v>
      </c>
      <c r="AK3" s="63" t="str">
        <f>IF(AND(Transactions!$D42="Expense",Transactions!$G42&lt;&gt;""),Transactions!$B42,"")</f>
        <v>Mega Van Tolls</v>
      </c>
      <c r="AL3" s="63" t="str">
        <f>IF(AND(Transactions!$D43="Expense",Transactions!$G43&lt;&gt;""),Transactions!$B43,"")</f>
        <v>Practice Fields thru July</v>
      </c>
      <c r="AM3" s="63" t="str">
        <f>IF(AND(Transactions!$D44="Expense",Transactions!$G44&lt;&gt;""),Transactions!$B44,"")</f>
        <v/>
      </c>
      <c r="AN3" s="63" t="str">
        <f>IF(AND(Transactions!$D45="Expense",Transactions!$G45&lt;&gt;""),Transactions!$B45,"")</f>
        <v/>
      </c>
      <c r="AO3" s="63" t="str">
        <f>IF(AND(Transactions!$D46="Expense",Transactions!$G46&lt;&gt;""),Transactions!$B46,"")</f>
        <v/>
      </c>
      <c r="AP3" s="63" t="str">
        <f>IF(AND(Transactions!$D47="Expense",Transactions!$G47&lt;&gt;""),Transactions!$B47,"")</f>
        <v/>
      </c>
      <c r="AQ3" s="63" t="str">
        <f>IF(AND(Transactions!$D48="Expense",Transactions!$G48&lt;&gt;""),Transactions!$B48,"")</f>
        <v/>
      </c>
      <c r="AR3" s="63" t="str">
        <f>IF(AND(Transactions!$D49="Expense",Transactions!$G49&lt;&gt;""),Transactions!$B49,"")</f>
        <v>Sectionals Bid Fee</v>
      </c>
      <c r="AS3" s="63" t="str">
        <f>IF(AND(Transactions!$D50="Expense",Transactions!$G50&lt;&gt;""),Transactions!$B50,"")</f>
        <v>ESC Hotel</v>
      </c>
      <c r="AT3" s="63" t="str">
        <f>IF(AND(#REF!="Expense",#REF!&lt;&gt;""),#REF!,"")</f>
        <v>#REF!</v>
      </c>
      <c r="AU3" s="63" t="str">
        <f>IF(AND(Transactions!$D51="Expense",Transactions!$G51&lt;&gt;""),Transactions!$B51,"")</f>
        <v/>
      </c>
      <c r="AV3" s="63" t="str">
        <f>IF(AND(Transactions!$D52="Expense",Transactions!$G52&lt;&gt;""),Transactions!$B52,"")</f>
        <v>ESC Team Snacks</v>
      </c>
      <c r="AW3" s="63" t="str">
        <f t="array" ref="AW3">IF(AND(INDEX(Transactions!$D:$D, 5 + COLUMN())="Expense", INDEX(Transactions!$G:$G, 5 + COLUMN())&lt;&gt;""), INDEX(Transactions!$B:$B, 5 + COLUMN()), "")</f>
        <v/>
      </c>
      <c r="AX3" s="63" t="str">
        <f t="array" ref="AX3">IF(AND(INDEX(Transactions!$D:$D, 5 + COLUMN())="Expense", INDEX(Transactions!$G:$G, 5 + COLUMN())&lt;&gt;""), INDEX(Transactions!$B:$B, 5 + COLUMN()), "")</f>
        <v>Sarah KH Car Credit</v>
      </c>
      <c r="AY3" s="63" t="str">
        <f t="array" ref="AY3">IF(AND(INDEX(Transactions!$D:$D, 5 + COLUMN())="Expense", INDEX(Transactions!$G:$G, 5 + COLUMN())&lt;&gt;""), INDEX(Transactions!$B:$B, 5 + COLUMN()), "")</f>
        <v>Sarah KH Car Credit</v>
      </c>
      <c r="AZ3" s="63" t="str">
        <f t="array" ref="AZ3">IF(AND(INDEX(Transactions!$D:$D, 5 + COLUMN())="Expense", INDEX(Transactions!$G:$G, 5 + COLUMN())&lt;&gt;""), INDEX(Transactions!$B:$B, 5 + COLUMN()), "")</f>
        <v>Sarah KH Car Credit</v>
      </c>
      <c r="BA3" s="63" t="str">
        <f t="array" ref="BA3">IF(AND(INDEX(Transactions!$D:$D, 5 + COLUMN())="Expense", INDEX(Transactions!$G:$G, 5 + COLUMN())&lt;&gt;""), INDEX(Transactions!$B:$B, 5 + COLUMN()), "")</f>
        <v>Sarah KH Car Credit</v>
      </c>
      <c r="BB3" s="63" t="str">
        <f t="array" ref="BB3">IF(AND(INDEX(Transactions!$D:$D, 5 + COLUMN())="Expense", INDEX(Transactions!$G:$G, 5 + COLUMN())&lt;&gt;""), INDEX(Transactions!$B:$B, 5 + COLUMN()), "")</f>
        <v>PEC Pooled Car Fees</v>
      </c>
      <c r="BC3" s="63" t="str">
        <f t="array" ref="BC3">IF(AND(INDEX(Transactions!$D:$D, 5 + COLUMN())="Expense", INDEX(Transactions!$G:$G, 5 + COLUMN())&lt;&gt;""), INDEX(Transactions!$B:$B, 5 + COLUMN()), "")</f>
        <v>SFI Pooled Car Fees</v>
      </c>
      <c r="BD3" s="63" t="str">
        <f t="array" ref="BD3">IF(AND(INDEX(Transactions!$D:$D, 5 + COLUMN())="Expense", INDEX(Transactions!$G:$G, 5 + COLUMN())&lt;&gt;""), INDEX(Transactions!$B:$B, 5 + COLUMN()), "")</f>
        <v>ESC Pooled Car Fees</v>
      </c>
      <c r="BE3" s="63" t="str">
        <f t="array" ref="BE3">IF(AND(INDEX(Transactions!$D:$D, 5 + COLUMN())="Expense", INDEX(Transactions!$G:$G, 5 + COLUMN())&lt;&gt;""), INDEX(Transactions!$B:$B, 5 + COLUMN()), "")</f>
        <v>Kindell gas + tolls</v>
      </c>
      <c r="BF3" s="63" t="str">
        <f t="array" ref="BF3">IF(AND(INDEX(Transactions!$D:$D, 5 + COLUMN())="Expense", INDEX(Transactions!$G:$G, 5 + COLUMN())&lt;&gt;""), INDEX(Transactions!$B:$B, 5 + COLUMN()), "")</f>
        <v>Jake's Car Gas &amp; Tolls</v>
      </c>
      <c r="BG3" s="63" t="str">
        <f t="array" ref="BG3">IF(AND(INDEX(Transactions!$D:$D, 5 + COLUMN())="Expense", INDEX(Transactions!$G:$G, 5 + COLUMN())&lt;&gt;""), INDEX(Transactions!$B:$B, 5 + COLUMN()), "")</f>
        <v>Haley Car Gas &amp; tolls</v>
      </c>
      <c r="BH3" s="63" t="str">
        <f t="array" ref="BH3">IF(AND(INDEX(Transactions!$D:$D, 5 + COLUMN())="Expense", INDEX(Transactions!$G:$G, 5 + COLUMN())&lt;&gt;""), INDEX(Transactions!$B:$B, 5 + COLUMN()), "")</f>
        <v>Kasey's car fri only gas &amp; tolls</v>
      </c>
      <c r="BI3" s="63" t="str">
        <f t="array" ref="BI3">IF(AND(INDEX(Transactions!$D:$D, 5 + COLUMN())="Expense", INDEX(Transactions!$G:$G, 5 + COLUMN())&lt;&gt;""), INDEX(Transactions!$B:$B, 5 + COLUMN()), "")</f>
        <v>Griffin Car SFI Gas</v>
      </c>
      <c r="BJ3" s="63" t="str">
        <f t="array" ref="BJ3">IF(AND(INDEX(Transactions!$D:$D, 5 + COLUMN())="Expense", INDEX(Transactions!$G:$G, 5 + COLUMN())&lt;&gt;""), INDEX(Transactions!$B:$B, 5 + COLUMN()), "")</f>
        <v>DB Car ESC Gas</v>
      </c>
      <c r="BK3" s="63" t="str">
        <f t="array" ref="BK3">IF(AND(INDEX(Transactions!$D:$D, 5 + COLUMN())="Expense", INDEX(Transactions!$G:$G, 5 + COLUMN())&lt;&gt;""), INDEX(Transactions!$B:$B, 5 + COLUMN()), "")</f>
        <v>Dick car ESC gas</v>
      </c>
      <c r="BL3" s="63" t="str">
        <f t="array" ref="BL3">IF(AND(INDEX(Transactions!$D:$D, 5 + COLUMN())="Expense", INDEX(Transactions!$G:$G, 5 + COLUMN())&lt;&gt;""), INDEX(Transactions!$B:$B, 5 + COLUMN()), "")</f>
        <v>Harry Gas</v>
      </c>
      <c r="BM3" s="63" t="str">
        <f t="array" ref="BM3">IF(AND(INDEX(Transactions!$D:$D, 5 + COLUMN())="Expense", INDEX(Transactions!$G:$G, 5 + COLUMN())&lt;&gt;""), INDEX(Transactions!$B:$B, 5 + COLUMN()), "")</f>
        <v>Annette car gas ESC</v>
      </c>
      <c r="BN3" s="63" t="str">
        <f t="array" ref="BN3">IF(AND(INDEX(Transactions!$D:$D, 5 + COLUMN())="Expense", INDEX(Transactions!$G:$G, 5 + COLUMN())&lt;&gt;""), INDEX(Transactions!$B:$B, 5 + COLUMN()), "")</f>
        <v>Retreat - AirBNB</v>
      </c>
      <c r="BO3" s="63" t="str">
        <f t="array" ref="BO3">IF(AND(INDEX(Transactions!$D:$D, 5 + COLUMN())="Expense", INDEX(Transactions!$G:$G, 5 + COLUMN())&lt;&gt;""), INDEX(Transactions!$B:$B, 5 + COLUMN()), "")</f>
        <v>Retreat - Duffy</v>
      </c>
      <c r="BP3" s="63" t="str">
        <f t="array" ref="BP3">IF(AND(INDEX(Transactions!$D:$D, 5 + COLUMN())="Expense", INDEX(Transactions!$G:$G, 5 + COLUMN())&lt;&gt;""), INDEX(Transactions!$B:$B, 5 + COLUMN()), "")</f>
        <v>Retreat - Slynch</v>
      </c>
      <c r="BQ3" s="63" t="str">
        <f t="array" ref="BQ3">IF(AND(INDEX(Transactions!$D:$D, 5 + COLUMN())="Expense", INDEX(Transactions!$G:$G, 5 + COLUMN())&lt;&gt;""), INDEX(Transactions!$B:$B, 5 + COLUMN()), "")</f>
        <v>Retreat - Annette</v>
      </c>
      <c r="BR3" s="63" t="str">
        <f t="array" ref="BR3">IF(AND(INDEX(Transactions!$D:$D, 5 + COLUMN())="Expense", INDEX(Transactions!$G:$G, 5 + COLUMN())&lt;&gt;""), INDEX(Transactions!$B:$B, 5 + COLUMN()), "")</f>
        <v>Retreat - Dudley</v>
      </c>
      <c r="BS3" s="63" t="str">
        <f t="array" ref="BS3">IF(AND(INDEX(Transactions!$D:$D, 5 + COLUMN())="Expense", INDEX(Transactions!$G:$G, 5 + COLUMN())&lt;&gt;""), INDEX(Transactions!$B:$B, 5 + COLUMN()), "")</f>
        <v>Retreat - Ian</v>
      </c>
      <c r="BT3" s="63" t="str">
        <f t="array" ref="BT3">IF(AND(INDEX(Transactions!$D:$D, 5 + COLUMN())="Expense", INDEX(Transactions!$G:$G, 5 + COLUMN())&lt;&gt;""), INDEX(Transactions!$B:$B, 5 + COLUMN()), "")</f>
        <v>Retreat - Tofu</v>
      </c>
      <c r="BU3" s="63" t="str">
        <f t="array" ref="BU3">IF(AND(INDEX(Transactions!$D:$D, 5 + COLUMN())="Expense", INDEX(Transactions!$G:$G, 5 + COLUMN())&lt;&gt;""), INDEX(Transactions!$B:$B, 5 + COLUMN()), "")</f>
        <v>Retreat - Griff</v>
      </c>
      <c r="BV3" s="63" t="str">
        <f t="array" ref="BV3">IF(AND(INDEX(Transactions!$D:$D, 5 + COLUMN())="Expense", INDEX(Transactions!$G:$G, 5 + COLUMN())&lt;&gt;""), INDEX(Transactions!$B:$B, 5 + COLUMN()), "")</f>
        <v>Retreat - Full Cost</v>
      </c>
      <c r="BW3" s="63" t="str">
        <f t="array" ref="BW3">IF(AND(INDEX(Transactions!$D:$D, 5 + COLUMN())="Expense", INDEX(Transactions!$G:$G, 5 + COLUMN())&lt;&gt;""), INDEX(Transactions!$B:$B, 5 + COLUMN()), "")</f>
        <v>Retreat - Air Mattress</v>
      </c>
      <c r="BX3" s="63" t="str">
        <f t="array" ref="BX3">IF(AND(INDEX(Transactions!$D:$D, 5 + COLUMN())="Expense", INDEX(Transactions!$G:$G, 5 + COLUMN())&lt;&gt;""), INDEX(Transactions!$B:$B, 5 + COLUMN()), "")</f>
        <v>Retreat - One Night</v>
      </c>
      <c r="BY3" s="63" t="str">
        <f t="array" ref="BY3">IF(AND(INDEX(Transactions!$D:$D, 5 + COLUMN())="Expense", INDEX(Transactions!$G:$G, 5 + COLUMN())&lt;&gt;""), INDEX(Transactions!$B:$B, 5 + COLUMN()), "")</f>
        <v>Retreat - Last Minute Drop</v>
      </c>
      <c r="BZ3" s="63" t="str">
        <f t="array" ref="BZ3">IF(AND(INDEX(Transactions!$D:$D, 5 + COLUMN())="Expense", INDEX(Transactions!$G:$G, 5 + COLUMN())&lt;&gt;""), INDEX(Transactions!$B:$B, 5 + COLUMN()), "")</f>
        <v>Retreat - Drop</v>
      </c>
      <c r="CA3" s="63" t="str">
        <f t="array" ref="CA3">IF(AND(INDEX(Transactions!$D:$D, 5 + COLUMN())="Expense", INDEX(Transactions!$G:$G, 5 + COLUMN())&lt;&gt;""), INDEX(Transactions!$B:$B, 5 + COLUMN()), "")</f>
        <v/>
      </c>
      <c r="CB3" s="63" t="str">
        <f t="array" ref="CB3">IF(AND(INDEX(Transactions!$D:$D, 5 + COLUMN())="Expense", INDEX(Transactions!$G:$G, 5 + COLUMN())&lt;&gt;""), INDEX(Transactions!$B:$B, 5 + COLUMN()), "")</f>
        <v/>
      </c>
      <c r="CC3" s="63" t="str">
        <f t="array" ref="CC3">IF(AND(INDEX(Transactions!$D:$D, 5 + COLUMN())="Expense", INDEX(Transactions!$G:$G, 5 + COLUMN())&lt;&gt;""), INDEX(Transactions!$B:$B, 5 + COLUMN()), "")</f>
        <v/>
      </c>
      <c r="CD3" s="63" t="str">
        <f t="array" ref="CD3">IF(AND(INDEX(Transactions!$D:$D, 5 + COLUMN())="Expense", INDEX(Transactions!$G:$G, 5 + COLUMN())&lt;&gt;""), INDEX(Transactions!$B:$B, 5 + COLUMN()), "")</f>
        <v/>
      </c>
      <c r="CE3" s="63" t="str">
        <f t="array" ref="CE3">IF(AND(INDEX(Transactions!$D:$D, 5 + COLUMN())="Expense", INDEX(Transactions!$G:$G, 5 + COLUMN())&lt;&gt;""), INDEX(Transactions!$B:$B, 5 + COLUMN()), "")</f>
        <v/>
      </c>
      <c r="CF3" s="63" t="str">
        <f t="array" ref="CF3">IF(AND(INDEX(Transactions!$D:$D, 5 + COLUMN())="Expense", INDEX(Transactions!$G:$G, 5 + COLUMN())&lt;&gt;""), INDEX(Transactions!$B:$B, 5 + COLUMN()), "")</f>
        <v/>
      </c>
      <c r="CG3" s="63" t="str">
        <f t="array" ref="CG3">IF(AND(INDEX(Transactions!$D:$D, 5 + COLUMN())="Expense", INDEX(Transactions!$G:$G, 5 + COLUMN())&lt;&gt;""), INDEX(Transactions!$B:$B, 5 + COLUMN()), "")</f>
        <v/>
      </c>
      <c r="CH3" s="63" t="str">
        <f t="array" ref="CH3">IF(AND(INDEX(Transactions!$D:$D, 5 + COLUMN())="Expense", INDEX(Transactions!$G:$G, 5 + COLUMN())&lt;&gt;""), INDEX(Transactions!$B:$B, 5 + COLUMN()), "")</f>
        <v/>
      </c>
      <c r="CI3" s="63" t="str">
        <f t="array" ref="CI3">IF(AND(INDEX(Transactions!$D:$D, 5 + COLUMN())="Expense", INDEX(Transactions!$G:$G, 5 + COLUMN())&lt;&gt;""), INDEX(Transactions!$B:$B, 5 + COLUMN()), "")</f>
        <v/>
      </c>
      <c r="CJ3" s="63" t="str">
        <f t="array" ref="CJ3">IF(AND(INDEX(Transactions!$D:$D, 5 + COLUMN())="Expense", INDEX(Transactions!$G:$G, 5 + COLUMN())&lt;&gt;""), INDEX(Transactions!$B:$B, 5 + COLUMN()), "")</f>
        <v/>
      </c>
      <c r="CK3" s="63" t="str">
        <f t="array" ref="CK3">IF(AND(INDEX(Transactions!$D:$D, 5 + COLUMN())="Expense", INDEX(Transactions!$G:$G, 5 + COLUMN())&lt;&gt;""), INDEX(Transactions!$B:$B, 5 + COLUMN()), "")</f>
        <v/>
      </c>
      <c r="CL3" s="63" t="str">
        <f t="array" ref="CL3">IF(AND(INDEX(Transactions!$D:$D, 5 + COLUMN())="Expense", INDEX(Transactions!$G:$G, 5 + COLUMN())&lt;&gt;""), INDEX(Transactions!$B:$B, 5 + COLUMN()), "")</f>
        <v/>
      </c>
      <c r="CM3" s="63" t="str">
        <f t="array" ref="CM3">IF(AND(INDEX(Transactions!$D:$D, 5 + COLUMN())="Expense", INDEX(Transactions!$G:$G, 5 + COLUMN())&lt;&gt;""), INDEX(Transactions!$B:$B, 5 + COLUMN()), "")</f>
        <v/>
      </c>
      <c r="CN3" s="63" t="str">
        <f t="array" ref="CN3">IF(AND(INDEX(Transactions!$D:$D, 5 + COLUMN())="Expense", INDEX(Transactions!$G:$G, 5 + COLUMN())&lt;&gt;""), INDEX(Transactions!$B:$B, 5 + COLUMN()), "")</f>
        <v/>
      </c>
      <c r="CO3" s="63" t="str">
        <f t="array" ref="CO3">IF(AND(INDEX(Transactions!$D:$D, 5 + COLUMN())="Expense", INDEX(Transactions!$G:$G, 5 + COLUMN())&lt;&gt;""), INDEX(Transactions!$B:$B, 5 + COLUMN()), "")</f>
        <v/>
      </c>
      <c r="CP3" s="63" t="str">
        <f t="array" ref="CP3">IF(AND(INDEX(Transactions!$D:$D, 5 + COLUMN())="Expense", INDEX(Transactions!$G:$G, 5 + COLUMN())&lt;&gt;""), INDEX(Transactions!$B:$B, 5 + COLUMN()), "")</f>
        <v/>
      </c>
      <c r="CQ3" s="63" t="str">
        <f t="array" ref="CQ3">IF(AND(INDEX(Transactions!$D:$D, 5 + COLUMN())="Expense", INDEX(Transactions!$G:$G, 5 + COLUMN())&lt;&gt;""), INDEX(Transactions!$B:$B, 5 + COLUMN()), "")</f>
        <v/>
      </c>
      <c r="CR3" s="63" t="str">
        <f t="array" ref="CR3">IF(AND(INDEX(Transactions!$D:$D, 5 + COLUMN())="Expense", INDEX(Transactions!$G:$G, 5 + COLUMN())&lt;&gt;""), INDEX(Transactions!$B:$B, 5 + COLUMN()), "")</f>
        <v/>
      </c>
      <c r="CS3" s="63" t="str">
        <f t="array" ref="CS3">IF(AND(INDEX(Transactions!$D:$D, 5 + COLUMN())="Expense", INDEX(Transactions!$G:$G, 5 + COLUMN())&lt;&gt;""), INDEX(Transactions!$B:$B, 5 + COLUMN()), "")</f>
        <v/>
      </c>
      <c r="CT3" s="63" t="str">
        <f t="array" ref="CT3">IF(AND(INDEX(Transactions!$D:$D, 5 + COLUMN())="Expense", INDEX(Transactions!$G:$G, 5 + COLUMN())&lt;&gt;""), INDEX(Transactions!$B:$B, 5 + COLUMN()), "")</f>
        <v/>
      </c>
      <c r="CU3" s="63" t="str">
        <f t="array" ref="CU3">IF(AND(INDEX(Transactions!$D:$D, 5 + COLUMN())="Expense", INDEX(Transactions!$G:$G, 5 + COLUMN())&lt;&gt;""), INDEX(Transactions!$B:$B, 5 + COLUMN()), "")</f>
        <v/>
      </c>
      <c r="CV3" s="63" t="str">
        <f t="array" ref="CV3">IF(AND(INDEX(Transactions!$D:$D, 5 + COLUMN())="Expense", INDEX(Transactions!$G:$G, 5 + COLUMN())&lt;&gt;""), INDEX(Transactions!$B:$B, 5 + COLUMN()), "")</f>
        <v/>
      </c>
      <c r="CW3" s="63" t="str">
        <f t="array" ref="CW3">IF(AND(INDEX(Transactions!$D:$D, 5 + COLUMN())="Expense", INDEX(Transactions!$G:$G, 5 + COLUMN())&lt;&gt;""), INDEX(Transactions!$B:$B, 5 + COLUMN()), "")</f>
        <v/>
      </c>
      <c r="CX3" s="63" t="str">
        <f t="array" ref="CX3">IF(AND(INDEX(Transactions!$D:$D, 5 + COLUMN())="Expense", INDEX(Transactions!$G:$G, 5 + COLUMN())&lt;&gt;""), INDEX(Transactions!$B:$B, 5 + COLUMN()), "")</f>
        <v/>
      </c>
      <c r="CY3" s="63" t="str">
        <f t="array" ref="CY3">IF(AND(INDEX(Transactions!$D:$D, 5 + COLUMN())="Expense", INDEX(Transactions!$G:$G, 5 + COLUMN())&lt;&gt;""), INDEX(Transactions!$B:$B, 5 + COLUMN()), "")</f>
        <v/>
      </c>
      <c r="CZ3" s="63" t="str">
        <f t="array" ref="CZ3">IF(AND(INDEX(Transactions!$D:$D, 5 + COLUMN())="Expense", INDEX(Transactions!$G:$G, 5 + COLUMN())&lt;&gt;""), INDEX(Transactions!$B:$B, 5 + COLUMN()), "")</f>
        <v/>
      </c>
      <c r="DA3" s="63" t="str">
        <f t="array" ref="DA3">IF(AND(INDEX(Transactions!$D:$D, 5 + COLUMN())="Expense", INDEX(Transactions!$G:$G, 5 + COLUMN())&lt;&gt;""), INDEX(Transactions!$B:$B, 5 + COLUMN()), "")</f>
        <v/>
      </c>
      <c r="DB3" s="63" t="str">
        <f t="array" ref="DB3">IF(AND(INDEX(Transactions!$D:$D, 5 + COLUMN())="Expense", INDEX(Transactions!$G:$G, 5 + COLUMN())&lt;&gt;""), INDEX(Transactions!$B:$B, 5 + COLUMN()), "")</f>
        <v/>
      </c>
      <c r="DC3" s="63" t="str">
        <f t="array" ref="DC3">IF(AND(INDEX(Transactions!$D:$D, 5 + COLUMN())="Expense", INDEX(Transactions!$G:$G, 5 + COLUMN())&lt;&gt;""), INDEX(Transactions!$B:$B, 5 + COLUMN()), "")</f>
        <v/>
      </c>
      <c r="DD3" s="63" t="str">
        <f t="array" ref="DD3">IF(AND(INDEX(Transactions!$D:$D, 5 + COLUMN())="Expense", INDEX(Transactions!$G:$G, 5 + COLUMN())&lt;&gt;""), INDEX(Transactions!$B:$B, 5 + COLUMN()), "")</f>
        <v/>
      </c>
      <c r="DE3" s="63" t="str">
        <f t="array" ref="DE3">IF(AND(INDEX(Transactions!$D:$D, 5 + COLUMN())="Expense", INDEX(Transactions!$G:$G, 5 + COLUMN())&lt;&gt;""), INDEX(Transactions!$B:$B, 5 + COLUMN()), "")</f>
        <v/>
      </c>
      <c r="DF3" s="63" t="str">
        <f t="array" ref="DF3">IF(AND(INDEX(Transactions!$D:$D, 5 + COLUMN())="Expense", INDEX(Transactions!$G:$G, 5 + COLUMN())&lt;&gt;""), INDEX(Transactions!$B:$B, 5 + COLUMN()), "")</f>
        <v/>
      </c>
      <c r="DG3" s="63" t="str">
        <f t="array" ref="DG3">IF(AND(INDEX(Transactions!$D:$D, 5 + COLUMN())="Expense", INDEX(Transactions!$G:$G, 5 + COLUMN())&lt;&gt;""), INDEX(Transactions!$B:$B, 5 + COLUMN()), "")</f>
        <v/>
      </c>
      <c r="DH3" s="63" t="str">
        <f t="array" ref="DH3">IF(AND(INDEX(Transactions!$D:$D, 5 + COLUMN())="Expense", INDEX(Transactions!$G:$G, 5 + COLUMN())&lt;&gt;""), INDEX(Transactions!$B:$B, 5 + COLUMN()), "")</f>
        <v/>
      </c>
      <c r="DI3" s="63" t="str">
        <f t="array" ref="DI3">IF(AND(INDEX(Transactions!$D:$D, 5 + COLUMN())="Expense", INDEX(Transactions!$G:$G, 5 + COLUMN())&lt;&gt;""), INDEX(Transactions!$B:$B, 5 + COLUMN()), "")</f>
        <v/>
      </c>
      <c r="DJ3" s="63" t="str">
        <f t="array" ref="DJ3">IF(AND(INDEX(Transactions!$D:$D, 5 + COLUMN())="Expense", INDEX(Transactions!$G:$G, 5 + COLUMN())&lt;&gt;""), INDEX(Transactions!$B:$B, 5 + COLUMN()), "")</f>
        <v/>
      </c>
      <c r="DK3" s="63" t="str">
        <f t="array" ref="DK3">IF(AND(INDEX(Transactions!$D:$D, 5 + COLUMN())="Expense", INDEX(Transactions!$G:$G, 5 + COLUMN())&lt;&gt;""), INDEX(Transactions!$B:$B, 5 + COLUMN()), "")</f>
        <v/>
      </c>
      <c r="DL3" s="63" t="str">
        <f t="array" ref="DL3">IF(AND(INDEX(Transactions!$D:$D, 5 + COLUMN())="Expense", INDEX(Transactions!$G:$G, 5 + COLUMN())&lt;&gt;""), INDEX(Transactions!$B:$B, 5 + COLUMN()), "")</f>
        <v/>
      </c>
      <c r="DM3" s="63" t="str">
        <f t="array" ref="DM3">IF(AND(INDEX(Transactions!$D:$D, 5 + COLUMN())="Expense", INDEX(Transactions!$G:$G, 5 + COLUMN())&lt;&gt;""), INDEX(Transactions!$B:$B, 5 + COLUMN()), "")</f>
        <v/>
      </c>
      <c r="DN3" s="63" t="str">
        <f t="array" ref="DN3">IF(AND(INDEX(Transactions!$D:$D, 5 + COLUMN())="Expense", INDEX(Transactions!$G:$G, 5 + COLUMN())&lt;&gt;""), INDEX(Transactions!$B:$B, 5 + COLUMN()), "")</f>
        <v/>
      </c>
      <c r="DO3" s="63" t="str">
        <f t="array" ref="DO3">IF(AND(INDEX(Transactions!$D:$D, 5 + COLUMN())="Expense", INDEX(Transactions!$G:$G, 5 + COLUMN())&lt;&gt;""), INDEX(Transactions!$B:$B, 5 + COLUMN()), "")</f>
        <v/>
      </c>
      <c r="DP3" s="63" t="str">
        <f t="array" ref="DP3">IF(AND(INDEX(Transactions!$D:$D, 5 + COLUMN())="Expense", INDEX(Transactions!$G:$G, 5 + COLUMN())&lt;&gt;""), INDEX(Transactions!$B:$B, 5 + COLUMN()), "")</f>
        <v/>
      </c>
      <c r="DQ3" s="63" t="str">
        <f t="array" ref="DQ3">IF(AND(INDEX(Transactions!$D:$D, 5 + COLUMN())="Expense", INDEX(Transactions!$G:$G, 5 + COLUMN())&lt;&gt;""), INDEX(Transactions!$B:$B, 5 + COLUMN()), "")</f>
        <v/>
      </c>
      <c r="DR3" s="63" t="str">
        <f t="array" ref="DR3">IF(AND(INDEX(Transactions!$D:$D, 5 + COLUMN())="Expense", INDEX(Transactions!$G:$G, 5 + COLUMN())&lt;&gt;""), INDEX(Transactions!$B:$B, 5 + COLUMN()), "")</f>
        <v/>
      </c>
      <c r="DS3" s="63" t="str">
        <f t="array" ref="DS3">IF(AND(INDEX(Transactions!$D:$D, 5 + COLUMN())="Expense", INDEX(Transactions!$G:$G, 5 + COLUMN())&lt;&gt;""), INDEX(Transactions!$B:$B, 5 + COLUMN()), "")</f>
        <v/>
      </c>
      <c r="DT3" s="63" t="str">
        <f t="array" ref="DT3">IF(AND(INDEX(Transactions!$D:$D, 5 + COLUMN())="Expense", INDEX(Transactions!$G:$G, 5 + COLUMN())&lt;&gt;""), INDEX(Transactions!$B:$B, 5 + COLUMN()), "")</f>
        <v/>
      </c>
      <c r="DU3" s="63" t="str">
        <f t="array" ref="DU3">IF(AND(INDEX(Transactions!$D:$D, 5 + COLUMN())="Expense", INDEX(Transactions!$G:$G, 5 + COLUMN())&lt;&gt;""), INDEX(Transactions!$B:$B, 5 + COLUMN()), "")</f>
        <v/>
      </c>
      <c r="DV3" s="63" t="str">
        <f t="array" ref="DV3">IF(AND(INDEX(Transactions!$D:$D, 5 + COLUMN())="Expense", INDEX(Transactions!$G:$G, 5 + COLUMN())&lt;&gt;""), INDEX(Transactions!$B:$B, 5 + COLUMN()), "")</f>
        <v/>
      </c>
      <c r="DW3" s="63" t="str">
        <f t="array" ref="DW3">IF(AND(INDEX(Transactions!$D:$D, 5 + COLUMN())="Expense", INDEX(Transactions!$G:$G, 5 + COLUMN())&lt;&gt;""), INDEX(Transactions!$B:$B, 5 + COLUMN()), "")</f>
        <v/>
      </c>
      <c r="DX3" s="63" t="str">
        <f t="array" ref="DX3">IF(AND(INDEX(Transactions!$D:$D, 5 + COLUMN())="Expense", INDEX(Transactions!$G:$G, 5 + COLUMN())&lt;&gt;""), INDEX(Transactions!$B:$B, 5 + COLUMN()), "")</f>
        <v/>
      </c>
      <c r="DY3" s="63" t="str">
        <f t="array" ref="DY3">IF(AND(INDEX(Transactions!$D:$D, 5 + COLUMN())="Expense", INDEX(Transactions!$G:$G, 5 + COLUMN())&lt;&gt;""), INDEX(Transactions!$B:$B, 5 + COLUMN()), "")</f>
        <v/>
      </c>
      <c r="DZ3" s="63" t="str">
        <f t="array" ref="DZ3">IF(AND(INDEX(Transactions!$D:$D, 5 + COLUMN())="Expense", INDEX(Transactions!$G:$G, 5 + COLUMN())&lt;&gt;""), INDEX(Transactions!$B:$B, 5 + COLUMN()), "")</f>
        <v/>
      </c>
      <c r="EA3" s="63" t="str">
        <f t="array" ref="EA3">IF(AND(INDEX(Transactions!$D:$D, 5 + COLUMN())="Expense", INDEX(Transactions!$G:$G, 5 + COLUMN())&lt;&gt;""), INDEX(Transactions!$B:$B, 5 + COLUMN()), "")</f>
        <v/>
      </c>
      <c r="EB3" s="63" t="str">
        <f t="array" ref="EB3">IF(AND(INDEX(Transactions!$D:$D, 5 + COLUMN())="Expense", INDEX(Transactions!$G:$G, 5 + COLUMN())&lt;&gt;""), INDEX(Transactions!$B:$B, 5 + COLUMN()), "")</f>
        <v/>
      </c>
      <c r="EC3" s="63" t="str">
        <f t="array" ref="EC3">IF(AND(INDEX(Transactions!$D:$D, 5 + COLUMN())="Expense", INDEX(Transactions!$G:$G, 5 + COLUMN())&lt;&gt;""), INDEX(Transactions!$B:$B, 5 + COLUMN()), "")</f>
        <v/>
      </c>
      <c r="ED3" s="63" t="str">
        <f t="array" ref="ED3">IF(AND(INDEX(Transactions!$D:$D, 5 + COLUMN())="Expense", INDEX(Transactions!$G:$G, 5 + COLUMN())&lt;&gt;""), INDEX(Transactions!$B:$B, 5 + COLUMN()), "")</f>
        <v/>
      </c>
      <c r="EE3" s="63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67" t="s">
        <v>119</v>
      </c>
      <c r="B4" s="70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0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0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0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0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0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0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0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0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0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0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0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0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0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0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0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0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0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0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0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0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0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0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0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0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0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0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0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0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0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0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0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0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0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0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0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3.046666667</v>
      </c>
      <c r="AL4" s="70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0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0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0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0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0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0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0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0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#REF!</v>
      </c>
      <c r="AU4" s="70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0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</v>
      </c>
      <c r="AW4" s="70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0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Y4" s="70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0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0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0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184.8</v>
      </c>
      <c r="BC4" s="70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39.79444444</v>
      </c>
      <c r="BD4" s="70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20.7795</v>
      </c>
      <c r="BE4" s="70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4.8</v>
      </c>
      <c r="BF4" s="70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G4" s="70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H4" s="70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I4" s="70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J4" s="70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K4" s="70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L4" s="70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M4" s="70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N4" s="70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O4" s="70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P4" s="70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Q4" s="70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R4" s="70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S4" s="70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T4" s="70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U4" s="70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V4" s="70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3417.82</v>
      </c>
      <c r="BW4" s="70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43.91684211</v>
      </c>
      <c r="BX4" s="70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21.588</v>
      </c>
      <c r="BY4" s="70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140</v>
      </c>
      <c r="BZ4" s="70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12.5</v>
      </c>
      <c r="CA4" s="70" t="str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B4" s="70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0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0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0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0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0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0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0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0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0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0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0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0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0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0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0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0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0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0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0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0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0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0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0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0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0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0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0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0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0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0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0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0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0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0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0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0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0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0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0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0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0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0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0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0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0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0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0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0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0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0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0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0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0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0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0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67" t="s">
        <v>229</v>
      </c>
      <c r="B5" s="102">
        <f t="shared" ref="B5:EE5" si="1">COUNTIF(B7:B206,"1")</f>
        <v>25</v>
      </c>
      <c r="C5" s="102">
        <f t="shared" si="1"/>
        <v>23</v>
      </c>
      <c r="D5" s="102">
        <f t="shared" si="1"/>
        <v>0</v>
      </c>
      <c r="E5" s="102">
        <f t="shared" si="1"/>
        <v>0</v>
      </c>
      <c r="F5" s="102">
        <f t="shared" si="1"/>
        <v>0</v>
      </c>
      <c r="G5" s="102">
        <f t="shared" si="1"/>
        <v>30</v>
      </c>
      <c r="H5" s="102">
        <f t="shared" si="1"/>
        <v>26</v>
      </c>
      <c r="I5" s="102">
        <f t="shared" si="1"/>
        <v>6</v>
      </c>
      <c r="J5" s="102">
        <f t="shared" si="1"/>
        <v>33</v>
      </c>
      <c r="K5" s="102">
        <f t="shared" si="1"/>
        <v>0</v>
      </c>
      <c r="L5" s="102">
        <f t="shared" si="1"/>
        <v>9</v>
      </c>
      <c r="M5" s="102">
        <f t="shared" si="1"/>
        <v>27</v>
      </c>
      <c r="N5" s="102">
        <f t="shared" si="1"/>
        <v>0</v>
      </c>
      <c r="O5" s="102">
        <f t="shared" si="1"/>
        <v>6</v>
      </c>
      <c r="P5" s="102">
        <f t="shared" si="1"/>
        <v>4</v>
      </c>
      <c r="Q5" s="102">
        <f t="shared" si="1"/>
        <v>0</v>
      </c>
      <c r="R5" s="102">
        <f t="shared" si="1"/>
        <v>0</v>
      </c>
      <c r="S5" s="102">
        <f t="shared" si="1"/>
        <v>0</v>
      </c>
      <c r="T5" s="102">
        <f t="shared" si="1"/>
        <v>0</v>
      </c>
      <c r="U5" s="102">
        <f t="shared" si="1"/>
        <v>0</v>
      </c>
      <c r="V5" s="102">
        <f t="shared" si="1"/>
        <v>0</v>
      </c>
      <c r="W5" s="102">
        <f t="shared" si="1"/>
        <v>0</v>
      </c>
      <c r="X5" s="102">
        <f t="shared" si="1"/>
        <v>0</v>
      </c>
      <c r="Y5" s="102">
        <f t="shared" si="1"/>
        <v>0</v>
      </c>
      <c r="Z5" s="102">
        <f t="shared" si="1"/>
        <v>0</v>
      </c>
      <c r="AA5" s="102">
        <f t="shared" si="1"/>
        <v>0</v>
      </c>
      <c r="AB5" s="102">
        <f t="shared" si="1"/>
        <v>21</v>
      </c>
      <c r="AC5" s="102">
        <f t="shared" si="1"/>
        <v>0</v>
      </c>
      <c r="AD5" s="102">
        <f t="shared" si="1"/>
        <v>24</v>
      </c>
      <c r="AE5" s="102">
        <f t="shared" si="1"/>
        <v>0</v>
      </c>
      <c r="AF5" s="102">
        <f t="shared" si="1"/>
        <v>0</v>
      </c>
      <c r="AG5" s="102">
        <f t="shared" si="1"/>
        <v>0</v>
      </c>
      <c r="AH5" s="102">
        <f t="shared" si="1"/>
        <v>0</v>
      </c>
      <c r="AI5" s="102">
        <f t="shared" si="1"/>
        <v>16</v>
      </c>
      <c r="AJ5" s="102">
        <f t="shared" si="1"/>
        <v>24</v>
      </c>
      <c r="AK5" s="102">
        <f t="shared" si="1"/>
        <v>9</v>
      </c>
      <c r="AL5" s="102">
        <f t="shared" si="1"/>
        <v>30</v>
      </c>
      <c r="AM5" s="102">
        <f t="shared" si="1"/>
        <v>0</v>
      </c>
      <c r="AN5" s="102">
        <f t="shared" si="1"/>
        <v>0</v>
      </c>
      <c r="AO5" s="102">
        <f t="shared" si="1"/>
        <v>0</v>
      </c>
      <c r="AP5" s="102">
        <f t="shared" si="1"/>
        <v>0</v>
      </c>
      <c r="AQ5" s="102">
        <f t="shared" si="1"/>
        <v>0</v>
      </c>
      <c r="AR5" s="102">
        <f t="shared" si="1"/>
        <v>0</v>
      </c>
      <c r="AS5" s="102">
        <f t="shared" si="1"/>
        <v>25</v>
      </c>
      <c r="AT5" s="102">
        <f t="shared" si="1"/>
        <v>0</v>
      </c>
      <c r="AU5" s="102">
        <f t="shared" si="1"/>
        <v>0</v>
      </c>
      <c r="AV5" s="102">
        <f t="shared" si="1"/>
        <v>19</v>
      </c>
      <c r="AW5" s="102">
        <f t="shared" si="1"/>
        <v>0</v>
      </c>
      <c r="AX5" s="102">
        <f t="shared" si="1"/>
        <v>0</v>
      </c>
      <c r="AY5" s="102">
        <f t="shared" si="1"/>
        <v>0</v>
      </c>
      <c r="AZ5" s="102">
        <f t="shared" si="1"/>
        <v>0</v>
      </c>
      <c r="BA5" s="102">
        <f t="shared" si="1"/>
        <v>0</v>
      </c>
      <c r="BB5" s="102">
        <f t="shared" si="1"/>
        <v>0</v>
      </c>
      <c r="BC5" s="102">
        <f t="shared" si="1"/>
        <v>9</v>
      </c>
      <c r="BD5" s="102">
        <f t="shared" si="1"/>
        <v>20</v>
      </c>
      <c r="BE5" s="102">
        <f t="shared" si="1"/>
        <v>21</v>
      </c>
      <c r="BF5" s="102">
        <f t="shared" si="1"/>
        <v>0</v>
      </c>
      <c r="BG5" s="102">
        <f t="shared" si="1"/>
        <v>0</v>
      </c>
      <c r="BH5" s="102">
        <f t="shared" si="1"/>
        <v>0</v>
      </c>
      <c r="BI5" s="102">
        <f t="shared" si="1"/>
        <v>0</v>
      </c>
      <c r="BJ5" s="102">
        <f t="shared" si="1"/>
        <v>0</v>
      </c>
      <c r="BK5" s="102">
        <f t="shared" si="1"/>
        <v>0</v>
      </c>
      <c r="BL5" s="102">
        <f t="shared" si="1"/>
        <v>0</v>
      </c>
      <c r="BM5" s="102">
        <f t="shared" si="1"/>
        <v>0</v>
      </c>
      <c r="BN5" s="102">
        <f t="shared" si="1"/>
        <v>0</v>
      </c>
      <c r="BO5" s="102">
        <f t="shared" si="1"/>
        <v>0</v>
      </c>
      <c r="BP5" s="102">
        <f t="shared" si="1"/>
        <v>0</v>
      </c>
      <c r="BQ5" s="102">
        <f t="shared" si="1"/>
        <v>0</v>
      </c>
      <c r="BR5" s="102">
        <f t="shared" si="1"/>
        <v>0</v>
      </c>
      <c r="BS5" s="102">
        <f t="shared" si="1"/>
        <v>0</v>
      </c>
      <c r="BT5" s="102">
        <f t="shared" si="1"/>
        <v>0</v>
      </c>
      <c r="BU5" s="102">
        <f t="shared" si="1"/>
        <v>0</v>
      </c>
      <c r="BV5" s="102">
        <f t="shared" si="1"/>
        <v>0</v>
      </c>
      <c r="BW5" s="102">
        <f t="shared" si="1"/>
        <v>19</v>
      </c>
      <c r="BX5" s="102">
        <f t="shared" si="1"/>
        <v>5</v>
      </c>
      <c r="BY5" s="102">
        <f t="shared" si="1"/>
        <v>1</v>
      </c>
      <c r="BZ5" s="102">
        <f t="shared" si="1"/>
        <v>2</v>
      </c>
      <c r="CA5" s="102">
        <f t="shared" si="1"/>
        <v>1</v>
      </c>
      <c r="CB5" s="102">
        <f t="shared" si="1"/>
        <v>0</v>
      </c>
      <c r="CC5" s="102">
        <f t="shared" si="1"/>
        <v>0</v>
      </c>
      <c r="CD5" s="102">
        <f t="shared" si="1"/>
        <v>0</v>
      </c>
      <c r="CE5" s="102">
        <f t="shared" si="1"/>
        <v>0</v>
      </c>
      <c r="CF5" s="102">
        <f t="shared" si="1"/>
        <v>0</v>
      </c>
      <c r="CG5" s="102">
        <f t="shared" si="1"/>
        <v>0</v>
      </c>
      <c r="CH5" s="102">
        <f t="shared" si="1"/>
        <v>0</v>
      </c>
      <c r="CI5" s="102">
        <f t="shared" si="1"/>
        <v>0</v>
      </c>
      <c r="CJ5" s="102">
        <f t="shared" si="1"/>
        <v>0</v>
      </c>
      <c r="CK5" s="102">
        <f t="shared" si="1"/>
        <v>0</v>
      </c>
      <c r="CL5" s="102">
        <f t="shared" si="1"/>
        <v>0</v>
      </c>
      <c r="CM5" s="102">
        <f t="shared" si="1"/>
        <v>0</v>
      </c>
      <c r="CN5" s="102">
        <f t="shared" si="1"/>
        <v>0</v>
      </c>
      <c r="CO5" s="102">
        <f t="shared" si="1"/>
        <v>0</v>
      </c>
      <c r="CP5" s="102">
        <f t="shared" si="1"/>
        <v>0</v>
      </c>
      <c r="CQ5" s="102">
        <f t="shared" si="1"/>
        <v>0</v>
      </c>
      <c r="CR5" s="102">
        <f t="shared" si="1"/>
        <v>0</v>
      </c>
      <c r="CS5" s="102">
        <f t="shared" si="1"/>
        <v>0</v>
      </c>
      <c r="CT5" s="102">
        <f t="shared" si="1"/>
        <v>0</v>
      </c>
      <c r="CU5" s="102">
        <f t="shared" si="1"/>
        <v>0</v>
      </c>
      <c r="CV5" s="102">
        <f t="shared" si="1"/>
        <v>0</v>
      </c>
      <c r="CW5" s="102">
        <f t="shared" si="1"/>
        <v>0</v>
      </c>
      <c r="CX5" s="102">
        <f t="shared" si="1"/>
        <v>0</v>
      </c>
      <c r="CY5" s="102">
        <f t="shared" si="1"/>
        <v>0</v>
      </c>
      <c r="CZ5" s="102">
        <f t="shared" si="1"/>
        <v>0</v>
      </c>
      <c r="DA5" s="102">
        <f t="shared" si="1"/>
        <v>0</v>
      </c>
      <c r="DB5" s="102">
        <f t="shared" si="1"/>
        <v>0</v>
      </c>
      <c r="DC5" s="102">
        <f t="shared" si="1"/>
        <v>0</v>
      </c>
      <c r="DD5" s="102">
        <f t="shared" si="1"/>
        <v>0</v>
      </c>
      <c r="DE5" s="102">
        <f t="shared" si="1"/>
        <v>0</v>
      </c>
      <c r="DF5" s="102">
        <f t="shared" si="1"/>
        <v>0</v>
      </c>
      <c r="DG5" s="102">
        <f t="shared" si="1"/>
        <v>0</v>
      </c>
      <c r="DH5" s="102">
        <f t="shared" si="1"/>
        <v>0</v>
      </c>
      <c r="DI5" s="102">
        <f t="shared" si="1"/>
        <v>0</v>
      </c>
      <c r="DJ5" s="102">
        <f t="shared" si="1"/>
        <v>0</v>
      </c>
      <c r="DK5" s="102">
        <f t="shared" si="1"/>
        <v>0</v>
      </c>
      <c r="DL5" s="102">
        <f t="shared" si="1"/>
        <v>0</v>
      </c>
      <c r="DM5" s="102">
        <f t="shared" si="1"/>
        <v>0</v>
      </c>
      <c r="DN5" s="102">
        <f t="shared" si="1"/>
        <v>0</v>
      </c>
      <c r="DO5" s="102">
        <f t="shared" si="1"/>
        <v>0</v>
      </c>
      <c r="DP5" s="102">
        <f t="shared" si="1"/>
        <v>0</v>
      </c>
      <c r="DQ5" s="102">
        <f t="shared" si="1"/>
        <v>0</v>
      </c>
      <c r="DR5" s="102">
        <f t="shared" si="1"/>
        <v>0</v>
      </c>
      <c r="DS5" s="102">
        <f t="shared" si="1"/>
        <v>0</v>
      </c>
      <c r="DT5" s="102">
        <f t="shared" si="1"/>
        <v>0</v>
      </c>
      <c r="DU5" s="102">
        <f t="shared" si="1"/>
        <v>0</v>
      </c>
      <c r="DV5" s="102">
        <f t="shared" si="1"/>
        <v>0</v>
      </c>
      <c r="DW5" s="102">
        <f t="shared" si="1"/>
        <v>0</v>
      </c>
      <c r="DX5" s="102">
        <f t="shared" si="1"/>
        <v>0</v>
      </c>
      <c r="DY5" s="102">
        <f t="shared" si="1"/>
        <v>0</v>
      </c>
      <c r="DZ5" s="102">
        <f t="shared" si="1"/>
        <v>0</v>
      </c>
      <c r="EA5" s="102">
        <f t="shared" si="1"/>
        <v>0</v>
      </c>
      <c r="EB5" s="102">
        <f t="shared" si="1"/>
        <v>0</v>
      </c>
      <c r="EC5" s="102">
        <f t="shared" si="1"/>
        <v>0</v>
      </c>
      <c r="ED5" s="102">
        <f t="shared" si="1"/>
        <v>0</v>
      </c>
      <c r="EE5" s="102">
        <f t="shared" si="1"/>
        <v>0</v>
      </c>
    </row>
    <row r="6" ht="18.0" customHeight="1">
      <c r="A6" s="67" t="s">
        <v>230</v>
      </c>
      <c r="B6" s="102">
        <f t="shared" ref="B6:EE6" si="2">B4*B5</f>
        <v>920</v>
      </c>
      <c r="C6" s="102">
        <f t="shared" si="2"/>
        <v>1150</v>
      </c>
      <c r="D6" s="102">
        <f t="shared" si="2"/>
        <v>0</v>
      </c>
      <c r="E6" s="102">
        <f t="shared" si="2"/>
        <v>0</v>
      </c>
      <c r="F6" s="102">
        <f t="shared" si="2"/>
        <v>0</v>
      </c>
      <c r="G6" s="102">
        <f t="shared" si="2"/>
        <v>69</v>
      </c>
      <c r="H6" s="102">
        <f t="shared" si="2"/>
        <v>185.69</v>
      </c>
      <c r="I6" s="102">
        <f t="shared" si="2"/>
        <v>228.44</v>
      </c>
      <c r="J6" s="102">
        <f t="shared" si="2"/>
        <v>0</v>
      </c>
      <c r="K6" s="102">
        <f t="shared" si="2"/>
        <v>0</v>
      </c>
      <c r="L6" s="102">
        <f t="shared" si="2"/>
        <v>0</v>
      </c>
      <c r="M6" s="102">
        <f t="shared" si="2"/>
        <v>3487.59</v>
      </c>
      <c r="N6" s="102">
        <f t="shared" si="2"/>
        <v>0</v>
      </c>
      <c r="O6" s="102">
        <f t="shared" si="2"/>
        <v>15.26</v>
      </c>
      <c r="P6" s="102">
        <f t="shared" si="2"/>
        <v>83.64</v>
      </c>
      <c r="Q6" s="102">
        <f t="shared" si="2"/>
        <v>0</v>
      </c>
      <c r="R6" s="102">
        <f t="shared" si="2"/>
        <v>0</v>
      </c>
      <c r="S6" s="102">
        <f t="shared" si="2"/>
        <v>0</v>
      </c>
      <c r="T6" s="102">
        <f t="shared" si="2"/>
        <v>0</v>
      </c>
      <c r="U6" s="102">
        <f t="shared" si="2"/>
        <v>0</v>
      </c>
      <c r="V6" s="102">
        <f t="shared" si="2"/>
        <v>0</v>
      </c>
      <c r="W6" s="102">
        <f t="shared" si="2"/>
        <v>0</v>
      </c>
      <c r="X6" s="102">
        <f t="shared" si="2"/>
        <v>0</v>
      </c>
      <c r="Y6" s="102">
        <f t="shared" si="2"/>
        <v>0</v>
      </c>
      <c r="Z6" s="102">
        <f t="shared" si="2"/>
        <v>0</v>
      </c>
      <c r="AA6" s="102">
        <f t="shared" si="2"/>
        <v>0</v>
      </c>
      <c r="AB6" s="102">
        <f t="shared" si="2"/>
        <v>152.13</v>
      </c>
      <c r="AC6" s="102">
        <f t="shared" si="2"/>
        <v>0</v>
      </c>
      <c r="AD6" s="102">
        <f t="shared" si="2"/>
        <v>1000</v>
      </c>
      <c r="AE6" s="102">
        <f t="shared" si="2"/>
        <v>0</v>
      </c>
      <c r="AF6" s="102">
        <f t="shared" si="2"/>
        <v>0</v>
      </c>
      <c r="AG6" s="102">
        <f t="shared" si="2"/>
        <v>0</v>
      </c>
      <c r="AH6" s="102">
        <f t="shared" si="2"/>
        <v>0</v>
      </c>
      <c r="AI6" s="102">
        <f t="shared" si="2"/>
        <v>202.26</v>
      </c>
      <c r="AJ6" s="102">
        <f t="shared" si="2"/>
        <v>2389.2</v>
      </c>
      <c r="AK6" s="102">
        <f t="shared" si="2"/>
        <v>27.42</v>
      </c>
      <c r="AL6" s="102">
        <f t="shared" si="2"/>
        <v>2257</v>
      </c>
      <c r="AM6" s="102">
        <f t="shared" si="2"/>
        <v>0</v>
      </c>
      <c r="AN6" s="102">
        <f t="shared" si="2"/>
        <v>0</v>
      </c>
      <c r="AO6" s="102">
        <f t="shared" si="2"/>
        <v>0</v>
      </c>
      <c r="AP6" s="102">
        <f t="shared" si="2"/>
        <v>0</v>
      </c>
      <c r="AQ6" s="102">
        <f t="shared" si="2"/>
        <v>0</v>
      </c>
      <c r="AR6" s="102">
        <f t="shared" si="2"/>
        <v>0</v>
      </c>
      <c r="AS6" s="102">
        <f t="shared" si="2"/>
        <v>3027.12</v>
      </c>
      <c r="AT6" s="102" t="str">
        <f t="shared" si="2"/>
        <v>#REF!</v>
      </c>
      <c r="AU6" s="102">
        <f t="shared" si="2"/>
        <v>0</v>
      </c>
      <c r="AV6" s="102">
        <f t="shared" si="2"/>
        <v>0</v>
      </c>
      <c r="AW6" s="102">
        <f t="shared" si="2"/>
        <v>0</v>
      </c>
      <c r="AX6" s="102">
        <f t="shared" si="2"/>
        <v>0</v>
      </c>
      <c r="AY6" s="102">
        <f t="shared" si="2"/>
        <v>0</v>
      </c>
      <c r="AZ6" s="102">
        <f t="shared" si="2"/>
        <v>0</v>
      </c>
      <c r="BA6" s="102">
        <f t="shared" si="2"/>
        <v>0</v>
      </c>
      <c r="BB6" s="102">
        <f t="shared" si="2"/>
        <v>0</v>
      </c>
      <c r="BC6" s="102">
        <f t="shared" si="2"/>
        <v>358.15</v>
      </c>
      <c r="BD6" s="102">
        <f t="shared" si="2"/>
        <v>415.59</v>
      </c>
      <c r="BE6" s="102">
        <f t="shared" si="2"/>
        <v>100.8</v>
      </c>
      <c r="BF6" s="102">
        <f t="shared" si="2"/>
        <v>0</v>
      </c>
      <c r="BG6" s="102">
        <f t="shared" si="2"/>
        <v>0</v>
      </c>
      <c r="BH6" s="102">
        <f t="shared" si="2"/>
        <v>0</v>
      </c>
      <c r="BI6" s="102">
        <f t="shared" si="2"/>
        <v>0</v>
      </c>
      <c r="BJ6" s="102">
        <f t="shared" si="2"/>
        <v>0</v>
      </c>
      <c r="BK6" s="102">
        <f t="shared" si="2"/>
        <v>0</v>
      </c>
      <c r="BL6" s="102">
        <f t="shared" si="2"/>
        <v>0</v>
      </c>
      <c r="BM6" s="102">
        <f t="shared" si="2"/>
        <v>0</v>
      </c>
      <c r="BN6" s="102">
        <f t="shared" si="2"/>
        <v>0</v>
      </c>
      <c r="BO6" s="102">
        <f t="shared" si="2"/>
        <v>0</v>
      </c>
      <c r="BP6" s="102">
        <f t="shared" si="2"/>
        <v>0</v>
      </c>
      <c r="BQ6" s="102">
        <f t="shared" si="2"/>
        <v>0</v>
      </c>
      <c r="BR6" s="102">
        <f t="shared" si="2"/>
        <v>0</v>
      </c>
      <c r="BS6" s="102">
        <f t="shared" si="2"/>
        <v>0</v>
      </c>
      <c r="BT6" s="102">
        <f t="shared" si="2"/>
        <v>0</v>
      </c>
      <c r="BU6" s="102">
        <f t="shared" si="2"/>
        <v>0</v>
      </c>
      <c r="BV6" s="102">
        <f t="shared" si="2"/>
        <v>0</v>
      </c>
      <c r="BW6" s="102">
        <f t="shared" si="2"/>
        <v>834.42</v>
      </c>
      <c r="BX6" s="102">
        <f t="shared" si="2"/>
        <v>107.94</v>
      </c>
      <c r="BY6" s="102">
        <f t="shared" si="2"/>
        <v>140</v>
      </c>
      <c r="BZ6" s="102">
        <f t="shared" si="2"/>
        <v>25</v>
      </c>
      <c r="CA6" s="102">
        <f t="shared" si="2"/>
        <v>0</v>
      </c>
      <c r="CB6" s="102">
        <f t="shared" si="2"/>
        <v>0</v>
      </c>
      <c r="CC6" s="102">
        <f t="shared" si="2"/>
        <v>0</v>
      </c>
      <c r="CD6" s="102">
        <f t="shared" si="2"/>
        <v>0</v>
      </c>
      <c r="CE6" s="102">
        <f t="shared" si="2"/>
        <v>0</v>
      </c>
      <c r="CF6" s="102">
        <f t="shared" si="2"/>
        <v>0</v>
      </c>
      <c r="CG6" s="102">
        <f t="shared" si="2"/>
        <v>0</v>
      </c>
      <c r="CH6" s="102">
        <f t="shared" si="2"/>
        <v>0</v>
      </c>
      <c r="CI6" s="102">
        <f t="shared" si="2"/>
        <v>0</v>
      </c>
      <c r="CJ6" s="102">
        <f t="shared" si="2"/>
        <v>0</v>
      </c>
      <c r="CK6" s="102">
        <f t="shared" si="2"/>
        <v>0</v>
      </c>
      <c r="CL6" s="102">
        <f t="shared" si="2"/>
        <v>0</v>
      </c>
      <c r="CM6" s="102">
        <f t="shared" si="2"/>
        <v>0</v>
      </c>
      <c r="CN6" s="102">
        <f t="shared" si="2"/>
        <v>0</v>
      </c>
      <c r="CO6" s="102">
        <f t="shared" si="2"/>
        <v>0</v>
      </c>
      <c r="CP6" s="102">
        <f t="shared" si="2"/>
        <v>0</v>
      </c>
      <c r="CQ6" s="102">
        <f t="shared" si="2"/>
        <v>0</v>
      </c>
      <c r="CR6" s="102">
        <f t="shared" si="2"/>
        <v>0</v>
      </c>
      <c r="CS6" s="102">
        <f t="shared" si="2"/>
        <v>0</v>
      </c>
      <c r="CT6" s="102">
        <f t="shared" si="2"/>
        <v>0</v>
      </c>
      <c r="CU6" s="102">
        <f t="shared" si="2"/>
        <v>0</v>
      </c>
      <c r="CV6" s="102">
        <f t="shared" si="2"/>
        <v>0</v>
      </c>
      <c r="CW6" s="102">
        <f t="shared" si="2"/>
        <v>0</v>
      </c>
      <c r="CX6" s="102">
        <f t="shared" si="2"/>
        <v>0</v>
      </c>
      <c r="CY6" s="102">
        <f t="shared" si="2"/>
        <v>0</v>
      </c>
      <c r="CZ6" s="102">
        <f t="shared" si="2"/>
        <v>0</v>
      </c>
      <c r="DA6" s="102">
        <f t="shared" si="2"/>
        <v>0</v>
      </c>
      <c r="DB6" s="102">
        <f t="shared" si="2"/>
        <v>0</v>
      </c>
      <c r="DC6" s="102">
        <f t="shared" si="2"/>
        <v>0</v>
      </c>
      <c r="DD6" s="102">
        <f t="shared" si="2"/>
        <v>0</v>
      </c>
      <c r="DE6" s="102">
        <f t="shared" si="2"/>
        <v>0</v>
      </c>
      <c r="DF6" s="102">
        <f t="shared" si="2"/>
        <v>0</v>
      </c>
      <c r="DG6" s="102">
        <f t="shared" si="2"/>
        <v>0</v>
      </c>
      <c r="DH6" s="102">
        <f t="shared" si="2"/>
        <v>0</v>
      </c>
      <c r="DI6" s="102">
        <f t="shared" si="2"/>
        <v>0</v>
      </c>
      <c r="DJ6" s="102">
        <f t="shared" si="2"/>
        <v>0</v>
      </c>
      <c r="DK6" s="102">
        <f t="shared" si="2"/>
        <v>0</v>
      </c>
      <c r="DL6" s="102">
        <f t="shared" si="2"/>
        <v>0</v>
      </c>
      <c r="DM6" s="102">
        <f t="shared" si="2"/>
        <v>0</v>
      </c>
      <c r="DN6" s="102">
        <f t="shared" si="2"/>
        <v>0</v>
      </c>
      <c r="DO6" s="102">
        <f t="shared" si="2"/>
        <v>0</v>
      </c>
      <c r="DP6" s="102">
        <f t="shared" si="2"/>
        <v>0</v>
      </c>
      <c r="DQ6" s="102">
        <f t="shared" si="2"/>
        <v>0</v>
      </c>
      <c r="DR6" s="102">
        <f t="shared" si="2"/>
        <v>0</v>
      </c>
      <c r="DS6" s="102">
        <f t="shared" si="2"/>
        <v>0</v>
      </c>
      <c r="DT6" s="102">
        <f t="shared" si="2"/>
        <v>0</v>
      </c>
      <c r="DU6" s="102">
        <f t="shared" si="2"/>
        <v>0</v>
      </c>
      <c r="DV6" s="102">
        <f t="shared" si="2"/>
        <v>0</v>
      </c>
      <c r="DW6" s="102">
        <f t="shared" si="2"/>
        <v>0</v>
      </c>
      <c r="DX6" s="102">
        <f t="shared" si="2"/>
        <v>0</v>
      </c>
      <c r="DY6" s="102">
        <f t="shared" si="2"/>
        <v>0</v>
      </c>
      <c r="DZ6" s="102">
        <f t="shared" si="2"/>
        <v>0</v>
      </c>
      <c r="EA6" s="102">
        <f t="shared" si="2"/>
        <v>0</v>
      </c>
      <c r="EB6" s="102">
        <f t="shared" si="2"/>
        <v>0</v>
      </c>
      <c r="EC6" s="102">
        <f t="shared" si="2"/>
        <v>0</v>
      </c>
      <c r="ED6" s="102">
        <f t="shared" si="2"/>
        <v>0</v>
      </c>
      <c r="EE6" s="102">
        <f t="shared" si="2"/>
        <v>0</v>
      </c>
    </row>
    <row r="7" ht="18.0" customHeight="1">
      <c r="A7" s="78" t="str">
        <f>IF(Roster!$A$5&lt;&gt;"",Roster!$A$5,"")</f>
        <v>At</v>
      </c>
      <c r="B7" s="103">
        <v>1.0</v>
      </c>
      <c r="C7" s="104">
        <v>1.0</v>
      </c>
      <c r="D7" s="103"/>
      <c r="E7" s="103"/>
      <c r="F7" s="103"/>
      <c r="G7" s="103">
        <v>1.0</v>
      </c>
      <c r="H7" s="103">
        <v>1.0</v>
      </c>
      <c r="I7" s="103">
        <v>1.0</v>
      </c>
      <c r="J7" s="103">
        <v>1.0</v>
      </c>
      <c r="K7" s="103"/>
      <c r="L7" s="103">
        <v>0.0</v>
      </c>
      <c r="M7" s="103">
        <v>1.0</v>
      </c>
      <c r="N7" s="103"/>
      <c r="O7" s="103">
        <v>1.0</v>
      </c>
      <c r="P7" s="103">
        <v>1.0</v>
      </c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>
        <v>1.0</v>
      </c>
      <c r="AC7" s="103"/>
      <c r="AD7" s="104">
        <v>1.0</v>
      </c>
      <c r="AE7" s="103"/>
      <c r="AF7" s="103"/>
      <c r="AG7" s="103"/>
      <c r="AH7" s="103"/>
      <c r="AI7" s="104">
        <v>1.0</v>
      </c>
      <c r="AJ7" s="104">
        <v>1.0</v>
      </c>
      <c r="AK7" s="103">
        <v>0.0</v>
      </c>
      <c r="AL7" s="104">
        <v>1.0</v>
      </c>
      <c r="AM7" s="103"/>
      <c r="AN7" s="103"/>
      <c r="AO7" s="103"/>
      <c r="AP7" s="103"/>
      <c r="AQ7" s="103"/>
      <c r="AR7" s="103"/>
      <c r="AS7" s="105">
        <v>1.0</v>
      </c>
      <c r="AT7" s="103"/>
      <c r="AU7" s="103"/>
      <c r="AV7" s="103">
        <v>1.0</v>
      </c>
      <c r="AW7" s="103"/>
      <c r="AX7" s="103"/>
      <c r="AY7" s="103"/>
      <c r="AZ7" s="103"/>
      <c r="BA7" s="103"/>
      <c r="BB7" s="103"/>
      <c r="BC7" s="103">
        <v>0.0</v>
      </c>
      <c r="BD7" s="104">
        <v>1.0</v>
      </c>
      <c r="BE7" s="106">
        <v>1.0</v>
      </c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4">
        <v>1.0</v>
      </c>
      <c r="BX7" s="104">
        <v>0.0</v>
      </c>
      <c r="BY7" s="104">
        <v>0.0</v>
      </c>
      <c r="BZ7" s="104">
        <v>0.0</v>
      </c>
      <c r="CA7" s="104">
        <v>0.0</v>
      </c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</row>
    <row r="8" ht="18.0" customHeight="1">
      <c r="A8" s="78" t="str">
        <f>IF(Roster!$A$6&lt;&gt;"",Roster!$A$6,"")</f>
        <v>Alex Warrington</v>
      </c>
      <c r="B8" s="103">
        <v>1.0</v>
      </c>
      <c r="C8" s="104">
        <v>1.0</v>
      </c>
      <c r="D8" s="103"/>
      <c r="E8" s="103"/>
      <c r="F8" s="103"/>
      <c r="G8" s="103">
        <v>1.0</v>
      </c>
      <c r="H8" s="103">
        <v>1.0</v>
      </c>
      <c r="I8" s="103">
        <v>0.0</v>
      </c>
      <c r="J8" s="103">
        <v>1.0</v>
      </c>
      <c r="K8" s="103"/>
      <c r="L8" s="103">
        <v>0.0</v>
      </c>
      <c r="M8" s="103">
        <v>1.0</v>
      </c>
      <c r="N8" s="103"/>
      <c r="O8" s="103">
        <v>0.0</v>
      </c>
      <c r="P8" s="103">
        <v>0.0</v>
      </c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4">
        <v>0.0</v>
      </c>
      <c r="AC8" s="103"/>
      <c r="AD8" s="104">
        <v>1.0</v>
      </c>
      <c r="AE8" s="103"/>
      <c r="AF8" s="103"/>
      <c r="AG8" s="103"/>
      <c r="AH8" s="103"/>
      <c r="AI8" s="104">
        <v>0.0</v>
      </c>
      <c r="AJ8" s="104">
        <v>1.0</v>
      </c>
      <c r="AK8" s="103">
        <v>0.0</v>
      </c>
      <c r="AL8" s="103">
        <v>1.0</v>
      </c>
      <c r="AM8" s="103"/>
      <c r="AN8" s="103"/>
      <c r="AO8" s="103"/>
      <c r="AP8" s="103"/>
      <c r="AQ8" s="103"/>
      <c r="AR8" s="103"/>
      <c r="AS8" s="106">
        <v>1.0</v>
      </c>
      <c r="AT8" s="103"/>
      <c r="AU8" s="103"/>
      <c r="AV8" s="103">
        <v>0.0</v>
      </c>
      <c r="AW8" s="103"/>
      <c r="AX8" s="103"/>
      <c r="AY8" s="103"/>
      <c r="AZ8" s="103"/>
      <c r="BA8" s="103"/>
      <c r="BB8" s="103"/>
      <c r="BC8" s="103">
        <v>1.0</v>
      </c>
      <c r="BD8" s="104">
        <v>1.0</v>
      </c>
      <c r="BE8" s="106">
        <v>1.0</v>
      </c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4"/>
      <c r="BW8" s="104">
        <v>1.0</v>
      </c>
      <c r="BX8" s="104">
        <v>0.0</v>
      </c>
      <c r="BY8" s="104">
        <v>0.0</v>
      </c>
      <c r="BZ8" s="104">
        <v>0.0</v>
      </c>
      <c r="CA8" s="104">
        <v>0.0</v>
      </c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</row>
    <row r="9" ht="21.75" customHeight="1">
      <c r="A9" s="78" t="str">
        <f>IF(Roster!$A$7&lt;&gt;"",Roster!$A$7,"")</f>
        <v>Chris Wohl</v>
      </c>
      <c r="B9" s="103">
        <v>1.0</v>
      </c>
      <c r="C9" s="104">
        <v>1.0</v>
      </c>
      <c r="D9" s="103"/>
      <c r="E9" s="103"/>
      <c r="F9" s="103"/>
      <c r="G9" s="103">
        <v>1.0</v>
      </c>
      <c r="H9" s="103">
        <v>1.0</v>
      </c>
      <c r="I9" s="103">
        <v>0.0</v>
      </c>
      <c r="J9" s="103">
        <v>1.0</v>
      </c>
      <c r="K9" s="103"/>
      <c r="L9" s="103">
        <v>1.0</v>
      </c>
      <c r="M9" s="103">
        <v>1.0</v>
      </c>
      <c r="N9" s="103"/>
      <c r="O9" s="103">
        <v>0.0</v>
      </c>
      <c r="P9" s="103">
        <v>0.0</v>
      </c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>
        <v>1.0</v>
      </c>
      <c r="AC9" s="103"/>
      <c r="AD9" s="104">
        <v>1.0</v>
      </c>
      <c r="AE9" s="103"/>
      <c r="AF9" s="103"/>
      <c r="AG9" s="103"/>
      <c r="AH9" s="103"/>
      <c r="AI9" s="104">
        <v>1.0</v>
      </c>
      <c r="AJ9" s="104">
        <v>1.0</v>
      </c>
      <c r="AK9" s="103">
        <v>1.0</v>
      </c>
      <c r="AL9" s="103">
        <v>1.0</v>
      </c>
      <c r="AM9" s="103"/>
      <c r="AN9" s="103"/>
      <c r="AO9" s="103"/>
      <c r="AP9" s="103"/>
      <c r="AQ9" s="103"/>
      <c r="AR9" s="103"/>
      <c r="AS9" s="106">
        <v>1.0</v>
      </c>
      <c r="AT9" s="103"/>
      <c r="AU9" s="103"/>
      <c r="AV9" s="103">
        <v>1.0</v>
      </c>
      <c r="AW9" s="103"/>
      <c r="AX9" s="103"/>
      <c r="AY9" s="103"/>
      <c r="AZ9" s="103"/>
      <c r="BA9" s="103"/>
      <c r="BB9" s="103"/>
      <c r="BC9" s="103">
        <v>0.0</v>
      </c>
      <c r="BD9" s="104">
        <v>1.0</v>
      </c>
      <c r="BE9" s="106">
        <v>1.0</v>
      </c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4">
        <v>1.0</v>
      </c>
      <c r="BX9" s="104">
        <v>0.0</v>
      </c>
      <c r="BY9" s="104">
        <v>0.0</v>
      </c>
      <c r="BZ9" s="104">
        <v>0.0</v>
      </c>
      <c r="CA9" s="104">
        <v>0.0</v>
      </c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</row>
    <row r="10" ht="19.5" customHeight="1">
      <c r="A10" s="78" t="str">
        <f>IF(Roster!$A$8&lt;&gt;"",Roster!$A$8,"")</f>
        <v>Darra Reppermund</v>
      </c>
      <c r="B10" s="103">
        <v>1.0</v>
      </c>
      <c r="C10" s="104">
        <v>1.0</v>
      </c>
      <c r="D10" s="103"/>
      <c r="E10" s="103"/>
      <c r="F10" s="103"/>
      <c r="G10" s="103">
        <v>1.0</v>
      </c>
      <c r="H10" s="103">
        <v>1.0</v>
      </c>
      <c r="I10" s="103">
        <v>0.0</v>
      </c>
      <c r="J10" s="103">
        <v>1.0</v>
      </c>
      <c r="K10" s="103"/>
      <c r="L10" s="103">
        <v>0.0</v>
      </c>
      <c r="M10" s="103">
        <v>1.0</v>
      </c>
      <c r="N10" s="103"/>
      <c r="O10" s="103">
        <v>0.0</v>
      </c>
      <c r="P10" s="103">
        <v>0.0</v>
      </c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>
        <v>1.0</v>
      </c>
      <c r="AC10" s="103"/>
      <c r="AD10" s="104">
        <v>1.0</v>
      </c>
      <c r="AE10" s="103"/>
      <c r="AF10" s="103"/>
      <c r="AG10" s="103"/>
      <c r="AH10" s="103"/>
      <c r="AI10" s="104">
        <v>1.0</v>
      </c>
      <c r="AJ10" s="104">
        <v>0.0</v>
      </c>
      <c r="AK10" s="103">
        <v>0.0</v>
      </c>
      <c r="AL10" s="103">
        <v>1.0</v>
      </c>
      <c r="AM10" s="103"/>
      <c r="AN10" s="103"/>
      <c r="AO10" s="103"/>
      <c r="AP10" s="103"/>
      <c r="AQ10" s="103"/>
      <c r="AR10" s="103"/>
      <c r="AS10" s="106">
        <v>1.0</v>
      </c>
      <c r="AT10" s="103"/>
      <c r="AU10" s="103"/>
      <c r="AV10" s="103">
        <v>1.0</v>
      </c>
      <c r="AW10" s="103"/>
      <c r="AX10" s="103"/>
      <c r="AY10" s="103"/>
      <c r="AZ10" s="103"/>
      <c r="BA10" s="103"/>
      <c r="BB10" s="103"/>
      <c r="BC10" s="103">
        <v>1.0</v>
      </c>
      <c r="BD10" s="104">
        <v>0.0</v>
      </c>
      <c r="BE10" s="106">
        <v>1.0</v>
      </c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4">
        <v>1.0</v>
      </c>
      <c r="BX10" s="104">
        <v>0.0</v>
      </c>
      <c r="BY10" s="104">
        <v>0.0</v>
      </c>
      <c r="BZ10" s="104">
        <v>0.0</v>
      </c>
      <c r="CA10" s="104">
        <v>0.0</v>
      </c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</row>
    <row r="11" ht="19.5" customHeight="1">
      <c r="A11" s="78" t="str">
        <f>IF(Roster!$A$9&lt;&gt;"",Roster!$A$9,"")</f>
        <v>Dylan Best</v>
      </c>
      <c r="B11" s="103">
        <v>1.0</v>
      </c>
      <c r="C11" s="104">
        <v>1.0</v>
      </c>
      <c r="D11" s="103"/>
      <c r="E11" s="103"/>
      <c r="F11" s="103"/>
      <c r="G11" s="103">
        <v>1.0</v>
      </c>
      <c r="H11" s="103">
        <v>1.0</v>
      </c>
      <c r="I11" s="103">
        <v>1.0</v>
      </c>
      <c r="J11" s="103">
        <v>1.0</v>
      </c>
      <c r="K11" s="103"/>
      <c r="L11" s="103">
        <v>0.0</v>
      </c>
      <c r="M11" s="103">
        <v>1.0</v>
      </c>
      <c r="N11" s="103"/>
      <c r="O11" s="103">
        <v>1.0</v>
      </c>
      <c r="P11" s="103">
        <v>1.0</v>
      </c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>
        <v>1.0</v>
      </c>
      <c r="AC11" s="103"/>
      <c r="AD11" s="104">
        <v>1.0</v>
      </c>
      <c r="AE11" s="103"/>
      <c r="AF11" s="103"/>
      <c r="AG11" s="103"/>
      <c r="AH11" s="103"/>
      <c r="AI11" s="104">
        <v>1.0</v>
      </c>
      <c r="AJ11" s="104">
        <v>1.0</v>
      </c>
      <c r="AK11" s="103">
        <v>0.0</v>
      </c>
      <c r="AL11" s="103">
        <v>1.0</v>
      </c>
      <c r="AM11" s="103"/>
      <c r="AN11" s="103"/>
      <c r="AO11" s="103"/>
      <c r="AP11" s="103"/>
      <c r="AQ11" s="103"/>
      <c r="AR11" s="103"/>
      <c r="AS11" s="106">
        <v>1.0</v>
      </c>
      <c r="AT11" s="103"/>
      <c r="AU11" s="103"/>
      <c r="AV11" s="103">
        <v>1.0</v>
      </c>
      <c r="AW11" s="103"/>
      <c r="AX11" s="103"/>
      <c r="AY11" s="103"/>
      <c r="AZ11" s="103"/>
      <c r="BA11" s="103"/>
      <c r="BB11" s="103"/>
      <c r="BC11" s="103">
        <v>0.0</v>
      </c>
      <c r="BD11" s="104">
        <v>1.0</v>
      </c>
      <c r="BE11" s="105" t="s">
        <v>231</v>
      </c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4">
        <v>1.0</v>
      </c>
      <c r="BX11" s="104">
        <v>0.0</v>
      </c>
      <c r="BY11" s="104">
        <v>0.0</v>
      </c>
      <c r="BZ11" s="104">
        <v>0.0</v>
      </c>
      <c r="CA11" s="104">
        <v>0.0</v>
      </c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</row>
    <row r="12" ht="19.5" customHeight="1">
      <c r="A12" s="78" t="str">
        <f>IF(Roster!$A$10&lt;&gt;"",Roster!$A$10,"")</f>
        <v>Griffin O'Neal-Freeman</v>
      </c>
      <c r="B12" s="103">
        <v>1.0</v>
      </c>
      <c r="C12" s="104">
        <v>1.0</v>
      </c>
      <c r="D12" s="103"/>
      <c r="E12" s="103"/>
      <c r="F12" s="103"/>
      <c r="G12" s="103">
        <v>1.0</v>
      </c>
      <c r="H12" s="103">
        <v>1.0</v>
      </c>
      <c r="I12" s="103">
        <v>0.0</v>
      </c>
      <c r="J12" s="103">
        <v>1.0</v>
      </c>
      <c r="K12" s="103"/>
      <c r="L12" s="103">
        <v>1.0</v>
      </c>
      <c r="M12" s="103">
        <v>1.0</v>
      </c>
      <c r="N12" s="103"/>
      <c r="O12" s="103">
        <v>0.0</v>
      </c>
      <c r="P12" s="103">
        <v>0.0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>
        <v>1.0</v>
      </c>
      <c r="AC12" s="103"/>
      <c r="AD12" s="104">
        <v>1.0</v>
      </c>
      <c r="AE12" s="103"/>
      <c r="AF12" s="103"/>
      <c r="AG12" s="103"/>
      <c r="AH12" s="103"/>
      <c r="AI12" s="104">
        <v>1.0</v>
      </c>
      <c r="AJ12" s="104">
        <v>1.0</v>
      </c>
      <c r="AK12" s="103">
        <v>1.0</v>
      </c>
      <c r="AL12" s="103">
        <v>1.0</v>
      </c>
      <c r="AM12" s="103"/>
      <c r="AN12" s="103"/>
      <c r="AO12" s="103"/>
      <c r="AP12" s="103"/>
      <c r="AQ12" s="103"/>
      <c r="AR12" s="103"/>
      <c r="AS12" s="106">
        <v>1.0</v>
      </c>
      <c r="AT12" s="103"/>
      <c r="AU12" s="103"/>
      <c r="AV12" s="103">
        <v>1.0</v>
      </c>
      <c r="AW12" s="103"/>
      <c r="AX12" s="103"/>
      <c r="AY12" s="103"/>
      <c r="AZ12" s="103"/>
      <c r="BA12" s="103"/>
      <c r="BB12" s="103"/>
      <c r="BC12" s="103">
        <v>0.0</v>
      </c>
      <c r="BD12" s="104" t="s">
        <v>231</v>
      </c>
      <c r="BE12" s="106">
        <v>1.0</v>
      </c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4">
        <v>0.0</v>
      </c>
      <c r="BX12" s="104">
        <v>1.0</v>
      </c>
      <c r="BY12" s="104">
        <v>0.0</v>
      </c>
      <c r="BZ12" s="104">
        <v>0.0</v>
      </c>
      <c r="CA12" s="104">
        <v>0.0</v>
      </c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</row>
    <row r="13" ht="19.5" customHeight="1">
      <c r="A13" s="78" t="str">
        <f>IF(Roster!$A$11&lt;&gt;"",Roster!$A$11,"")</f>
        <v>Haley Young</v>
      </c>
      <c r="B13" s="103">
        <v>1.0</v>
      </c>
      <c r="C13" s="104">
        <v>1.0</v>
      </c>
      <c r="D13" s="103"/>
      <c r="E13" s="103"/>
      <c r="F13" s="103"/>
      <c r="G13" s="103">
        <v>1.0</v>
      </c>
      <c r="H13" s="103">
        <v>1.0</v>
      </c>
      <c r="I13" s="103">
        <v>0.0</v>
      </c>
      <c r="J13" s="103">
        <v>1.0</v>
      </c>
      <c r="K13" s="103"/>
      <c r="L13" s="103">
        <v>0.0</v>
      </c>
      <c r="M13" s="103">
        <v>1.0</v>
      </c>
      <c r="N13" s="103"/>
      <c r="O13" s="103">
        <v>0.0</v>
      </c>
      <c r="P13" s="103">
        <v>0.0</v>
      </c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4">
        <v>0.0</v>
      </c>
      <c r="AC13" s="103"/>
      <c r="AD13" s="104">
        <v>1.0</v>
      </c>
      <c r="AE13" s="103"/>
      <c r="AF13" s="103"/>
      <c r="AG13" s="103"/>
      <c r="AH13" s="103"/>
      <c r="AI13" s="104">
        <v>0.0</v>
      </c>
      <c r="AJ13" s="104">
        <v>1.0</v>
      </c>
      <c r="AK13" s="103">
        <v>0.0</v>
      </c>
      <c r="AL13" s="103">
        <v>1.0</v>
      </c>
      <c r="AM13" s="103"/>
      <c r="AN13" s="103"/>
      <c r="AO13" s="103"/>
      <c r="AP13" s="103"/>
      <c r="AQ13" s="103"/>
      <c r="AR13" s="103"/>
      <c r="AS13" s="106">
        <v>1.0</v>
      </c>
      <c r="AT13" s="103"/>
      <c r="AU13" s="103"/>
      <c r="AV13" s="103">
        <v>1.0</v>
      </c>
      <c r="AW13" s="103"/>
      <c r="AX13" s="103"/>
      <c r="AY13" s="103"/>
      <c r="AZ13" s="103"/>
      <c r="BA13" s="103"/>
      <c r="BB13" s="103"/>
      <c r="BC13" s="103">
        <v>1.0</v>
      </c>
      <c r="BD13" s="104" t="s">
        <v>231</v>
      </c>
      <c r="BE13" s="106">
        <v>1.0</v>
      </c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4"/>
      <c r="BW13" s="104">
        <v>0.0</v>
      </c>
      <c r="BX13" s="104">
        <v>1.0</v>
      </c>
      <c r="BY13" s="104">
        <v>0.0</v>
      </c>
      <c r="BZ13" s="104">
        <v>0.0</v>
      </c>
      <c r="CA13" s="104">
        <v>0.0</v>
      </c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</row>
    <row r="14" ht="19.5" customHeight="1">
      <c r="A14" s="78" t="str">
        <f>IF(Roster!$A$12&lt;&gt;"",Roster!$A$12,"")</f>
        <v>Harry Park</v>
      </c>
      <c r="B14" s="103">
        <v>1.0</v>
      </c>
      <c r="C14" s="104">
        <v>1.0</v>
      </c>
      <c r="D14" s="103"/>
      <c r="E14" s="103"/>
      <c r="F14" s="103"/>
      <c r="G14" s="103">
        <v>1.0</v>
      </c>
      <c r="H14" s="103">
        <v>1.0</v>
      </c>
      <c r="I14" s="103">
        <v>0.0</v>
      </c>
      <c r="J14" s="103">
        <v>1.0</v>
      </c>
      <c r="K14" s="103"/>
      <c r="L14" s="103">
        <v>1.0</v>
      </c>
      <c r="M14" s="103">
        <v>1.0</v>
      </c>
      <c r="N14" s="103"/>
      <c r="O14" s="103">
        <v>0.0</v>
      </c>
      <c r="P14" s="103">
        <v>0.0</v>
      </c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>
        <v>1.0</v>
      </c>
      <c r="AC14" s="103"/>
      <c r="AD14" s="104">
        <v>1.0</v>
      </c>
      <c r="AE14" s="103"/>
      <c r="AF14" s="103"/>
      <c r="AG14" s="103"/>
      <c r="AH14" s="103"/>
      <c r="AI14" s="104">
        <v>1.0</v>
      </c>
      <c r="AJ14" s="104">
        <v>1.0</v>
      </c>
      <c r="AK14" s="103">
        <v>1.0</v>
      </c>
      <c r="AL14" s="103">
        <v>1.0</v>
      </c>
      <c r="AM14" s="103"/>
      <c r="AN14" s="103"/>
      <c r="AO14" s="103"/>
      <c r="AP14" s="103"/>
      <c r="AQ14" s="103"/>
      <c r="AR14" s="103"/>
      <c r="AS14" s="106">
        <v>1.0</v>
      </c>
      <c r="AT14" s="103"/>
      <c r="AU14" s="103"/>
      <c r="AV14" s="103">
        <v>1.0</v>
      </c>
      <c r="AW14" s="103"/>
      <c r="AX14" s="103"/>
      <c r="AY14" s="103"/>
      <c r="AZ14" s="103"/>
      <c r="BA14" s="103"/>
      <c r="BB14" s="103"/>
      <c r="BC14" s="103">
        <v>0.0</v>
      </c>
      <c r="BD14" s="104">
        <v>1.0</v>
      </c>
      <c r="BE14" s="105" t="s">
        <v>231</v>
      </c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4">
        <v>0.0</v>
      </c>
      <c r="BX14" s="104">
        <v>0.0</v>
      </c>
      <c r="BY14" s="104">
        <v>0.0</v>
      </c>
      <c r="BZ14" s="104">
        <v>0.0</v>
      </c>
      <c r="CA14" s="104">
        <v>0.0</v>
      </c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</row>
    <row r="15" ht="19.5" customHeight="1">
      <c r="A15" s="78" t="str">
        <f>IF(Roster!$A$13&lt;&gt;"",Roster!$A$13,"")</f>
        <v>Ian Piper</v>
      </c>
      <c r="B15" s="103" t="s">
        <v>231</v>
      </c>
      <c r="C15" s="104">
        <v>1.0</v>
      </c>
      <c r="D15" s="103"/>
      <c r="E15" s="103"/>
      <c r="F15" s="103"/>
      <c r="G15" s="103">
        <v>1.0</v>
      </c>
      <c r="H15" s="103">
        <v>1.0</v>
      </c>
      <c r="I15" s="103">
        <v>0.0</v>
      </c>
      <c r="J15" s="103">
        <v>1.0</v>
      </c>
      <c r="K15" s="103"/>
      <c r="L15" s="103">
        <v>1.0</v>
      </c>
      <c r="M15" s="103">
        <v>1.0</v>
      </c>
      <c r="N15" s="103"/>
      <c r="O15" s="103">
        <v>0.0</v>
      </c>
      <c r="P15" s="103">
        <v>0.0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>
        <v>1.0</v>
      </c>
      <c r="AC15" s="103"/>
      <c r="AD15" s="104">
        <v>1.0</v>
      </c>
      <c r="AE15" s="103"/>
      <c r="AF15" s="103"/>
      <c r="AG15" s="103"/>
      <c r="AH15" s="103"/>
      <c r="AI15" s="104">
        <v>1.0</v>
      </c>
      <c r="AJ15" s="104">
        <v>1.0</v>
      </c>
      <c r="AK15" s="103">
        <v>1.0</v>
      </c>
      <c r="AL15" s="103">
        <v>1.0</v>
      </c>
      <c r="AM15" s="103"/>
      <c r="AN15" s="103"/>
      <c r="AO15" s="103"/>
      <c r="AP15" s="103"/>
      <c r="AQ15" s="103"/>
      <c r="AR15" s="103"/>
      <c r="AS15" s="106">
        <v>1.0</v>
      </c>
      <c r="AT15" s="103"/>
      <c r="AU15" s="103"/>
      <c r="AV15" s="103">
        <v>1.0</v>
      </c>
      <c r="AW15" s="103"/>
      <c r="AX15" s="103"/>
      <c r="AY15" s="103"/>
      <c r="AZ15" s="103"/>
      <c r="BA15" s="103"/>
      <c r="BB15" s="103"/>
      <c r="BC15" s="103">
        <v>0.0</v>
      </c>
      <c r="BD15" s="104">
        <v>1.0</v>
      </c>
      <c r="BE15" s="106">
        <v>1.0</v>
      </c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4">
        <v>0.0</v>
      </c>
      <c r="BX15" s="104">
        <v>1.0</v>
      </c>
      <c r="BY15" s="104">
        <v>0.0</v>
      </c>
      <c r="BZ15" s="104">
        <v>0.0</v>
      </c>
      <c r="CA15" s="104">
        <v>0.0</v>
      </c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</row>
    <row r="16" ht="19.5" customHeight="1">
      <c r="A16" s="78" t="str">
        <f>IF(Roster!$A$14&lt;&gt;"",Roster!$A$14,"")</f>
        <v>Jake Murray</v>
      </c>
      <c r="B16" s="103">
        <v>1.0</v>
      </c>
      <c r="C16" s="104">
        <v>1.0</v>
      </c>
      <c r="D16" s="103"/>
      <c r="E16" s="103"/>
      <c r="F16" s="103"/>
      <c r="G16" s="103">
        <v>1.0</v>
      </c>
      <c r="H16" s="103">
        <v>1.0</v>
      </c>
      <c r="I16" s="103">
        <v>1.0</v>
      </c>
      <c r="J16" s="103">
        <v>1.0</v>
      </c>
      <c r="K16" s="103"/>
      <c r="L16" s="103">
        <v>0.0</v>
      </c>
      <c r="M16" s="103">
        <v>1.0</v>
      </c>
      <c r="N16" s="103"/>
      <c r="O16" s="103">
        <v>1.0</v>
      </c>
      <c r="P16" s="103">
        <v>1.0</v>
      </c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>
        <v>1.0</v>
      </c>
      <c r="AC16" s="103"/>
      <c r="AD16" s="104">
        <v>1.0</v>
      </c>
      <c r="AE16" s="103"/>
      <c r="AF16" s="103"/>
      <c r="AG16" s="103"/>
      <c r="AH16" s="103"/>
      <c r="AI16" s="104">
        <v>1.0</v>
      </c>
      <c r="AJ16" s="104">
        <v>1.0</v>
      </c>
      <c r="AK16" s="103">
        <v>0.0</v>
      </c>
      <c r="AL16" s="103">
        <v>1.0</v>
      </c>
      <c r="AM16" s="103"/>
      <c r="AN16" s="103"/>
      <c r="AO16" s="103"/>
      <c r="AP16" s="103"/>
      <c r="AQ16" s="103"/>
      <c r="AR16" s="103"/>
      <c r="AS16" s="106">
        <v>1.0</v>
      </c>
      <c r="AT16" s="103"/>
      <c r="AU16" s="103"/>
      <c r="AV16" s="103">
        <v>1.0</v>
      </c>
      <c r="AW16" s="103"/>
      <c r="AX16" s="103"/>
      <c r="AY16" s="103"/>
      <c r="AZ16" s="103"/>
      <c r="BA16" s="103"/>
      <c r="BB16" s="103"/>
      <c r="BC16" s="103">
        <v>0.0</v>
      </c>
      <c r="BD16" s="104" t="s">
        <v>231</v>
      </c>
      <c r="BE16" s="106">
        <v>1.0</v>
      </c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4">
        <v>1.0</v>
      </c>
      <c r="BX16" s="104">
        <v>0.0</v>
      </c>
      <c r="BY16" s="104">
        <v>0.0</v>
      </c>
      <c r="BZ16" s="104">
        <v>0.0</v>
      </c>
      <c r="CA16" s="104">
        <v>0.0</v>
      </c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</row>
    <row r="17" ht="19.5" customHeight="1">
      <c r="A17" s="78" t="str">
        <f>IF(Roster!$A$15&lt;&gt;"",Roster!$A$15,"")</f>
        <v>Jenna Nold</v>
      </c>
      <c r="B17" s="103">
        <v>1.0</v>
      </c>
      <c r="C17" s="104">
        <v>1.0</v>
      </c>
      <c r="D17" s="103"/>
      <c r="E17" s="103"/>
      <c r="F17" s="103"/>
      <c r="G17" s="103">
        <v>1.0</v>
      </c>
      <c r="H17" s="103">
        <v>1.0</v>
      </c>
      <c r="I17" s="103">
        <v>0.0</v>
      </c>
      <c r="J17" s="103">
        <v>1.0</v>
      </c>
      <c r="K17" s="103"/>
      <c r="L17" s="103">
        <v>1.0</v>
      </c>
      <c r="M17" s="103">
        <v>1.0</v>
      </c>
      <c r="N17" s="103"/>
      <c r="O17" s="103">
        <v>0.0</v>
      </c>
      <c r="P17" s="103">
        <v>0.0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>
        <v>1.0</v>
      </c>
      <c r="AC17" s="103"/>
      <c r="AD17" s="104">
        <v>1.0</v>
      </c>
      <c r="AE17" s="103"/>
      <c r="AF17" s="103"/>
      <c r="AG17" s="103"/>
      <c r="AH17" s="103"/>
      <c r="AI17" s="104">
        <v>1.0</v>
      </c>
      <c r="AJ17" s="104">
        <v>1.0</v>
      </c>
      <c r="AK17" s="103">
        <v>1.0</v>
      </c>
      <c r="AL17" s="103">
        <v>1.0</v>
      </c>
      <c r="AM17" s="103"/>
      <c r="AN17" s="103"/>
      <c r="AO17" s="103"/>
      <c r="AP17" s="103"/>
      <c r="AQ17" s="103"/>
      <c r="AR17" s="103"/>
      <c r="AS17" s="106">
        <v>1.0</v>
      </c>
      <c r="AT17" s="103"/>
      <c r="AU17" s="103"/>
      <c r="AV17" s="103">
        <v>1.0</v>
      </c>
      <c r="AW17" s="103"/>
      <c r="AX17" s="103"/>
      <c r="AY17" s="103"/>
      <c r="AZ17" s="103"/>
      <c r="BA17" s="103"/>
      <c r="BB17" s="103"/>
      <c r="BC17" s="103">
        <v>0.0</v>
      </c>
      <c r="BD17" s="104">
        <v>1.0</v>
      </c>
      <c r="BE17" s="106">
        <v>1.0</v>
      </c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4">
        <v>0.0</v>
      </c>
      <c r="BX17" s="104">
        <v>0.0</v>
      </c>
      <c r="BY17" s="104">
        <v>0.0</v>
      </c>
      <c r="BZ17" s="104">
        <v>0.0</v>
      </c>
      <c r="CA17" s="104">
        <v>0.0</v>
      </c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</row>
    <row r="18" ht="19.5" customHeight="1">
      <c r="A18" s="78" t="str">
        <f>IF(Roster!$A$16&lt;&gt;"",Roster!$A$16,"")</f>
        <v>Jimmy Towle</v>
      </c>
      <c r="B18" s="103">
        <v>0.0</v>
      </c>
      <c r="C18" s="104">
        <v>0.0</v>
      </c>
      <c r="D18" s="103"/>
      <c r="E18" s="103"/>
      <c r="F18" s="103"/>
      <c r="G18" s="103">
        <v>1.0</v>
      </c>
      <c r="H18" s="103">
        <v>0.0</v>
      </c>
      <c r="I18" s="103">
        <v>0.0</v>
      </c>
      <c r="J18" s="103">
        <v>1.0</v>
      </c>
      <c r="K18" s="103"/>
      <c r="L18" s="103">
        <v>0.0</v>
      </c>
      <c r="M18" s="103">
        <v>0.0</v>
      </c>
      <c r="N18" s="103"/>
      <c r="O18" s="103">
        <v>0.0</v>
      </c>
      <c r="P18" s="103">
        <v>0.0</v>
      </c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>
        <v>0.0</v>
      </c>
      <c r="AC18" s="103"/>
      <c r="AD18" s="104">
        <v>1.0</v>
      </c>
      <c r="AE18" s="103"/>
      <c r="AF18" s="103"/>
      <c r="AG18" s="103"/>
      <c r="AH18" s="103"/>
      <c r="AI18" s="104">
        <v>0.0</v>
      </c>
      <c r="AJ18" s="104">
        <v>0.0</v>
      </c>
      <c r="AK18" s="103">
        <v>0.0</v>
      </c>
      <c r="AL18" s="103">
        <v>1.0</v>
      </c>
      <c r="AM18" s="103"/>
      <c r="AN18" s="103"/>
      <c r="AO18" s="103"/>
      <c r="AP18" s="103"/>
      <c r="AQ18" s="103"/>
      <c r="AR18" s="103"/>
      <c r="AS18" s="106">
        <v>1.0</v>
      </c>
      <c r="AT18" s="103"/>
      <c r="AU18" s="103"/>
      <c r="AV18" s="103">
        <v>1.0</v>
      </c>
      <c r="AW18" s="103"/>
      <c r="AX18" s="103"/>
      <c r="AY18" s="103"/>
      <c r="AZ18" s="103"/>
      <c r="BA18" s="103"/>
      <c r="BB18" s="103"/>
      <c r="BC18" s="103">
        <v>0.0</v>
      </c>
      <c r="BD18" s="104">
        <v>0.0</v>
      </c>
      <c r="BE18" s="106">
        <v>1.0</v>
      </c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4">
        <v>1.0</v>
      </c>
      <c r="BX18" s="104">
        <v>0.0</v>
      </c>
      <c r="BY18" s="104">
        <v>0.0</v>
      </c>
      <c r="BZ18" s="104">
        <v>0.0</v>
      </c>
      <c r="CA18" s="104">
        <v>0.0</v>
      </c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</row>
    <row r="19" ht="19.5" customHeight="1">
      <c r="A19" s="78" t="str">
        <f>IF(Roster!$A$17&lt;&gt;"",Roster!$A$17,"")</f>
        <v>Kailey Rugani</v>
      </c>
      <c r="B19" s="103">
        <v>1.0</v>
      </c>
      <c r="C19" s="104">
        <v>1.0</v>
      </c>
      <c r="D19" s="103"/>
      <c r="E19" s="103"/>
      <c r="F19" s="103"/>
      <c r="G19" s="103">
        <v>1.0</v>
      </c>
      <c r="H19" s="103">
        <v>1.0</v>
      </c>
      <c r="I19" s="103">
        <v>0.0</v>
      </c>
      <c r="J19" s="103">
        <v>1.0</v>
      </c>
      <c r="K19" s="103"/>
      <c r="L19" s="103">
        <v>1.0</v>
      </c>
      <c r="M19" s="103">
        <v>1.0</v>
      </c>
      <c r="N19" s="103"/>
      <c r="O19" s="103">
        <v>0.0</v>
      </c>
      <c r="P19" s="103">
        <v>0.0</v>
      </c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>
        <v>1.0</v>
      </c>
      <c r="AC19" s="103"/>
      <c r="AD19" s="104">
        <v>1.0</v>
      </c>
      <c r="AE19" s="103"/>
      <c r="AF19" s="103"/>
      <c r="AG19" s="103"/>
      <c r="AH19" s="103"/>
      <c r="AI19" s="104">
        <v>1.0</v>
      </c>
      <c r="AJ19" s="104">
        <v>1.0</v>
      </c>
      <c r="AK19" s="103">
        <v>1.0</v>
      </c>
      <c r="AL19" s="103">
        <v>1.0</v>
      </c>
      <c r="AM19" s="103"/>
      <c r="AN19" s="103"/>
      <c r="AO19" s="103"/>
      <c r="AP19" s="103"/>
      <c r="AQ19" s="103"/>
      <c r="AR19" s="103"/>
      <c r="AS19" s="106">
        <v>1.0</v>
      </c>
      <c r="AT19" s="103"/>
      <c r="AU19" s="103"/>
      <c r="AV19" s="103">
        <v>1.0</v>
      </c>
      <c r="AW19" s="103"/>
      <c r="AX19" s="103"/>
      <c r="AY19" s="103"/>
      <c r="AZ19" s="103"/>
      <c r="BA19" s="103"/>
      <c r="BB19" s="103"/>
      <c r="BC19" s="103">
        <v>0.0</v>
      </c>
      <c r="BD19" s="104">
        <v>1.0</v>
      </c>
      <c r="BE19" s="106">
        <v>1.0</v>
      </c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4">
        <v>0.0</v>
      </c>
      <c r="BX19" s="104">
        <v>0.0</v>
      </c>
      <c r="BY19" s="104">
        <v>0.0</v>
      </c>
      <c r="BZ19" s="104">
        <v>1.0</v>
      </c>
      <c r="CA19" s="104">
        <v>0.0</v>
      </c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</row>
    <row r="20" ht="19.5" customHeight="1">
      <c r="A20" s="78" t="str">
        <f>IF(Roster!$A$18&lt;&gt;"",Roster!$A$18,"")</f>
        <v>Kasey Schock</v>
      </c>
      <c r="B20" s="103">
        <v>1.0</v>
      </c>
      <c r="C20" s="104">
        <v>1.0</v>
      </c>
      <c r="D20" s="103"/>
      <c r="E20" s="103"/>
      <c r="F20" s="103"/>
      <c r="G20" s="103">
        <v>1.0</v>
      </c>
      <c r="H20" s="103">
        <v>1.0</v>
      </c>
      <c r="I20" s="103">
        <v>0.0</v>
      </c>
      <c r="J20" s="103">
        <v>1.0</v>
      </c>
      <c r="K20" s="103"/>
      <c r="L20" s="103">
        <v>1.0</v>
      </c>
      <c r="M20" s="103">
        <v>1.0</v>
      </c>
      <c r="N20" s="103"/>
      <c r="O20" s="103">
        <v>0.0</v>
      </c>
      <c r="P20" s="103">
        <v>0.0</v>
      </c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>
        <v>1.0</v>
      </c>
      <c r="AC20" s="103"/>
      <c r="AD20" s="104">
        <v>1.0</v>
      </c>
      <c r="AE20" s="103"/>
      <c r="AF20" s="103"/>
      <c r="AG20" s="103"/>
      <c r="AH20" s="103"/>
      <c r="AI20" s="104">
        <v>0.0</v>
      </c>
      <c r="AJ20" s="104">
        <v>1.0</v>
      </c>
      <c r="AK20" s="103">
        <v>1.0</v>
      </c>
      <c r="AL20" s="103">
        <v>1.0</v>
      </c>
      <c r="AM20" s="103"/>
      <c r="AN20" s="103"/>
      <c r="AO20" s="103"/>
      <c r="AP20" s="103"/>
      <c r="AQ20" s="103"/>
      <c r="AR20" s="103"/>
      <c r="AS20" s="106">
        <v>1.0</v>
      </c>
      <c r="AT20" s="103"/>
      <c r="AU20" s="103"/>
      <c r="AV20" s="103">
        <v>1.0</v>
      </c>
      <c r="AW20" s="103"/>
      <c r="AX20" s="103"/>
      <c r="AY20" s="103"/>
      <c r="AZ20" s="103"/>
      <c r="BA20" s="103"/>
      <c r="BB20" s="103"/>
      <c r="BC20" s="103">
        <v>0.0</v>
      </c>
      <c r="BD20" s="104" t="s">
        <v>231</v>
      </c>
      <c r="BE20" s="106">
        <v>1.0</v>
      </c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4">
        <v>0.0</v>
      </c>
      <c r="BX20" s="104">
        <v>0.0</v>
      </c>
      <c r="BY20" s="104">
        <v>0.0</v>
      </c>
      <c r="BZ20" s="104">
        <v>0.0</v>
      </c>
      <c r="CA20" s="104">
        <v>0.0</v>
      </c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</row>
    <row r="21" ht="19.5" customHeight="1">
      <c r="A21" s="78" t="str">
        <f>IF(Roster!$A$19&lt;&gt;"",Roster!$A$19,"")</f>
        <v>Kevin Nicholl</v>
      </c>
      <c r="B21" s="103">
        <v>1.0</v>
      </c>
      <c r="C21" s="104">
        <v>1.0</v>
      </c>
      <c r="D21" s="103"/>
      <c r="E21" s="103"/>
      <c r="F21" s="103"/>
      <c r="G21" s="103">
        <v>1.0</v>
      </c>
      <c r="H21" s="103">
        <v>1.0</v>
      </c>
      <c r="I21" s="103">
        <v>0.0</v>
      </c>
      <c r="J21" s="103">
        <v>1.0</v>
      </c>
      <c r="K21" s="103"/>
      <c r="L21" s="103">
        <v>0.0</v>
      </c>
      <c r="M21" s="103">
        <v>1.0</v>
      </c>
      <c r="N21" s="103"/>
      <c r="O21" s="103">
        <v>0.0</v>
      </c>
      <c r="P21" s="103">
        <v>0.0</v>
      </c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>
        <v>1.0</v>
      </c>
      <c r="AC21" s="103"/>
      <c r="AD21" s="104">
        <v>1.0</v>
      </c>
      <c r="AE21" s="103"/>
      <c r="AF21" s="103"/>
      <c r="AG21" s="103"/>
      <c r="AH21" s="103"/>
      <c r="AI21" s="104">
        <v>1.0</v>
      </c>
      <c r="AJ21" s="104">
        <v>1.0</v>
      </c>
      <c r="AK21" s="103">
        <v>0.0</v>
      </c>
      <c r="AL21" s="103">
        <v>1.0</v>
      </c>
      <c r="AM21" s="103"/>
      <c r="AN21" s="103"/>
      <c r="AO21" s="103"/>
      <c r="AP21" s="103"/>
      <c r="AQ21" s="103"/>
      <c r="AR21" s="103"/>
      <c r="AS21" s="106">
        <v>1.0</v>
      </c>
      <c r="AT21" s="103"/>
      <c r="AU21" s="103"/>
      <c r="AV21" s="103">
        <v>1.0</v>
      </c>
      <c r="AW21" s="103"/>
      <c r="AX21" s="103"/>
      <c r="AY21" s="103"/>
      <c r="AZ21" s="103"/>
      <c r="BA21" s="103"/>
      <c r="BB21" s="103"/>
      <c r="BC21" s="103">
        <v>1.0</v>
      </c>
      <c r="BD21" s="104">
        <v>1.0</v>
      </c>
      <c r="BE21" s="106">
        <v>1.0</v>
      </c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4">
        <v>0.0</v>
      </c>
      <c r="BX21" s="104">
        <v>0.0</v>
      </c>
      <c r="BY21" s="104">
        <v>0.0</v>
      </c>
      <c r="BZ21" s="104">
        <v>0.0</v>
      </c>
      <c r="CA21" s="104">
        <v>0.0</v>
      </c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</row>
    <row r="22" ht="19.5" customHeight="1">
      <c r="A22" s="78" t="str">
        <f>IF(Roster!$A$20&lt;&gt;"",Roster!$A$20,"")</f>
        <v>Kit Asterin</v>
      </c>
      <c r="B22" s="103">
        <v>1.0</v>
      </c>
      <c r="C22" s="104">
        <v>1.0</v>
      </c>
      <c r="D22" s="103"/>
      <c r="E22" s="103"/>
      <c r="F22" s="103"/>
      <c r="G22" s="103">
        <v>1.0</v>
      </c>
      <c r="H22" s="103">
        <v>1.0</v>
      </c>
      <c r="I22" s="103">
        <v>0.0</v>
      </c>
      <c r="J22" s="103">
        <v>1.0</v>
      </c>
      <c r="K22" s="103"/>
      <c r="L22" s="103">
        <v>1.0</v>
      </c>
      <c r="M22" s="103">
        <v>1.0</v>
      </c>
      <c r="N22" s="103"/>
      <c r="O22" s="103">
        <v>0.0</v>
      </c>
      <c r="P22" s="103">
        <v>0.0</v>
      </c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4">
        <v>0.0</v>
      </c>
      <c r="AC22" s="103"/>
      <c r="AD22" s="104">
        <v>1.0</v>
      </c>
      <c r="AE22" s="103"/>
      <c r="AF22" s="103"/>
      <c r="AG22" s="103"/>
      <c r="AH22" s="103"/>
      <c r="AI22" s="104">
        <v>0.0</v>
      </c>
      <c r="AJ22" s="104">
        <v>1.0</v>
      </c>
      <c r="AK22" s="103">
        <v>1.0</v>
      </c>
      <c r="AL22" s="103">
        <v>1.0</v>
      </c>
      <c r="AM22" s="103"/>
      <c r="AN22" s="103"/>
      <c r="AO22" s="103"/>
      <c r="AP22" s="103"/>
      <c r="AQ22" s="103"/>
      <c r="AR22" s="103"/>
      <c r="AS22" s="106">
        <v>1.0</v>
      </c>
      <c r="AT22" s="103"/>
      <c r="AU22" s="103"/>
      <c r="AV22" s="103">
        <v>0.0</v>
      </c>
      <c r="AW22" s="103"/>
      <c r="AX22" s="103"/>
      <c r="AY22" s="103"/>
      <c r="AZ22" s="103"/>
      <c r="BA22" s="103"/>
      <c r="BB22" s="103"/>
      <c r="BC22" s="103">
        <v>0.0</v>
      </c>
      <c r="BD22" s="104">
        <v>1.0</v>
      </c>
      <c r="BE22" s="106">
        <v>1.0</v>
      </c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4"/>
      <c r="BW22" s="104">
        <v>1.0</v>
      </c>
      <c r="BX22" s="104">
        <v>0.0</v>
      </c>
      <c r="BY22" s="104">
        <v>0.0</v>
      </c>
      <c r="BZ22" s="104">
        <v>0.0</v>
      </c>
      <c r="CA22" s="104">
        <v>0.0</v>
      </c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/>
      <c r="EE22" s="103"/>
    </row>
    <row r="23" ht="19.5" customHeight="1">
      <c r="A23" s="78" t="str">
        <f>IF(Roster!$A$21&lt;&gt;"",Roster!$A$21,"")</f>
        <v>Kristin Dudley</v>
      </c>
      <c r="B23" s="103">
        <v>1.0</v>
      </c>
      <c r="C23" s="104">
        <v>1.0</v>
      </c>
      <c r="D23" s="103"/>
      <c r="E23" s="103"/>
      <c r="F23" s="103"/>
      <c r="G23" s="103">
        <v>1.0</v>
      </c>
      <c r="H23" s="103">
        <v>1.0</v>
      </c>
      <c r="I23" s="103">
        <v>1.0</v>
      </c>
      <c r="J23" s="103">
        <v>1.0</v>
      </c>
      <c r="K23" s="103"/>
      <c r="L23" s="103">
        <v>0.0</v>
      </c>
      <c r="M23" s="103">
        <v>1.0</v>
      </c>
      <c r="N23" s="103"/>
      <c r="O23" s="103">
        <v>1.0</v>
      </c>
      <c r="P23" s="103">
        <v>0.0</v>
      </c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4">
        <v>0.0</v>
      </c>
      <c r="AC23" s="103"/>
      <c r="AD23" s="104">
        <v>1.0</v>
      </c>
      <c r="AE23" s="103"/>
      <c r="AF23" s="103"/>
      <c r="AG23" s="103"/>
      <c r="AH23" s="103"/>
      <c r="AI23" s="104">
        <v>0.0</v>
      </c>
      <c r="AJ23" s="104">
        <v>1.0</v>
      </c>
      <c r="AK23" s="103">
        <v>0.0</v>
      </c>
      <c r="AL23" s="103">
        <v>1.0</v>
      </c>
      <c r="AM23" s="103"/>
      <c r="AN23" s="103"/>
      <c r="AO23" s="103"/>
      <c r="AP23" s="103"/>
      <c r="AQ23" s="103"/>
      <c r="AR23" s="103"/>
      <c r="AS23" s="106">
        <v>1.0</v>
      </c>
      <c r="AT23" s="103"/>
      <c r="AU23" s="103"/>
      <c r="AV23" s="103">
        <v>0.0</v>
      </c>
      <c r="AW23" s="103"/>
      <c r="AX23" s="103"/>
      <c r="AY23" s="103"/>
      <c r="AZ23" s="103"/>
      <c r="BA23" s="103"/>
      <c r="BB23" s="103"/>
      <c r="BC23" s="103">
        <v>0.0</v>
      </c>
      <c r="BD23" s="104">
        <v>1.0</v>
      </c>
      <c r="BE23" s="105">
        <v>0.0</v>
      </c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4"/>
      <c r="BW23" s="104">
        <v>1.0</v>
      </c>
      <c r="BX23" s="104">
        <v>0.0</v>
      </c>
      <c r="BY23" s="104">
        <v>0.0</v>
      </c>
      <c r="BZ23" s="104">
        <v>0.0</v>
      </c>
      <c r="CA23" s="104">
        <v>0.0</v>
      </c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/>
      <c r="EC23" s="103"/>
      <c r="ED23" s="103"/>
      <c r="EE23" s="103"/>
    </row>
    <row r="24" ht="19.5" customHeight="1">
      <c r="A24" s="78" t="str">
        <f>IF(Roster!$A$22&lt;&gt;"",Roster!$A$22,"")</f>
        <v>Lexie Thomas</v>
      </c>
      <c r="B24" s="103">
        <v>1.0</v>
      </c>
      <c r="C24" s="104">
        <v>1.0</v>
      </c>
      <c r="D24" s="103"/>
      <c r="E24" s="103"/>
      <c r="F24" s="103"/>
      <c r="G24" s="103">
        <v>1.0</v>
      </c>
      <c r="H24" s="103">
        <v>1.0</v>
      </c>
      <c r="I24" s="103">
        <v>0.0</v>
      </c>
      <c r="J24" s="103">
        <v>1.0</v>
      </c>
      <c r="K24" s="103"/>
      <c r="L24" s="103">
        <v>0.0</v>
      </c>
      <c r="M24" s="103">
        <v>1.0</v>
      </c>
      <c r="N24" s="103"/>
      <c r="O24" s="103">
        <v>0.0</v>
      </c>
      <c r="P24" s="103">
        <v>0.0</v>
      </c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>
        <v>1.0</v>
      </c>
      <c r="AC24" s="103"/>
      <c r="AD24" s="104">
        <v>1.0</v>
      </c>
      <c r="AE24" s="103"/>
      <c r="AF24" s="103"/>
      <c r="AG24" s="103"/>
      <c r="AH24" s="103"/>
      <c r="AI24" s="104">
        <v>0.0</v>
      </c>
      <c r="AJ24" s="104">
        <v>1.0</v>
      </c>
      <c r="AK24" s="103">
        <v>0.0</v>
      </c>
      <c r="AL24" s="103">
        <v>1.0</v>
      </c>
      <c r="AM24" s="103"/>
      <c r="AN24" s="103"/>
      <c r="AO24" s="103"/>
      <c r="AP24" s="103"/>
      <c r="AQ24" s="103"/>
      <c r="AR24" s="103"/>
      <c r="AS24" s="106">
        <v>1.0</v>
      </c>
      <c r="AT24" s="103"/>
      <c r="AU24" s="103"/>
      <c r="AV24" s="103">
        <v>0.0</v>
      </c>
      <c r="AW24" s="103"/>
      <c r="AX24" s="103"/>
      <c r="AY24" s="103"/>
      <c r="AZ24" s="103"/>
      <c r="BA24" s="103"/>
      <c r="BB24" s="103"/>
      <c r="BC24" s="103">
        <v>1.0</v>
      </c>
      <c r="BD24" s="104">
        <v>1.0</v>
      </c>
      <c r="BE24" s="106">
        <v>1.0</v>
      </c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4">
        <v>1.0</v>
      </c>
      <c r="BX24" s="104">
        <v>0.0</v>
      </c>
      <c r="BY24" s="104">
        <v>0.0</v>
      </c>
      <c r="BZ24" s="104">
        <v>0.0</v>
      </c>
      <c r="CA24" s="104">
        <v>0.0</v>
      </c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</row>
    <row r="25" ht="19.5" customHeight="1">
      <c r="A25" s="78" t="str">
        <f>IF(Roster!$A$23&lt;&gt;"",Roster!$A$23,"")</f>
        <v>Lucas Jones</v>
      </c>
      <c r="B25" s="103">
        <v>0.0</v>
      </c>
      <c r="C25" s="104">
        <v>0.0</v>
      </c>
      <c r="D25" s="103"/>
      <c r="E25" s="103"/>
      <c r="F25" s="103"/>
      <c r="G25" s="103">
        <v>1.0</v>
      </c>
      <c r="H25" s="103">
        <v>0.0</v>
      </c>
      <c r="I25" s="103">
        <v>0.0</v>
      </c>
      <c r="J25" s="103">
        <v>1.0</v>
      </c>
      <c r="K25" s="103"/>
      <c r="L25" s="103">
        <v>0.0</v>
      </c>
      <c r="M25" s="103">
        <v>0.0</v>
      </c>
      <c r="N25" s="103"/>
      <c r="O25" s="103">
        <v>0.0</v>
      </c>
      <c r="P25" s="103">
        <v>0.0</v>
      </c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>
        <v>0.0</v>
      </c>
      <c r="AC25" s="103"/>
      <c r="AD25" s="104">
        <v>0.0</v>
      </c>
      <c r="AE25" s="103"/>
      <c r="AF25" s="103"/>
      <c r="AG25" s="103"/>
      <c r="AH25" s="103"/>
      <c r="AI25" s="104">
        <v>0.0</v>
      </c>
      <c r="AJ25" s="104">
        <v>0.0</v>
      </c>
      <c r="AK25" s="103">
        <v>0.0</v>
      </c>
      <c r="AL25" s="103">
        <v>1.0</v>
      </c>
      <c r="AM25" s="103"/>
      <c r="AN25" s="103"/>
      <c r="AO25" s="103"/>
      <c r="AP25" s="103"/>
      <c r="AQ25" s="103"/>
      <c r="AR25" s="103"/>
      <c r="AS25" s="106">
        <v>0.0</v>
      </c>
      <c r="AT25" s="103"/>
      <c r="AU25" s="103"/>
      <c r="AV25" s="103">
        <v>0.0</v>
      </c>
      <c r="AW25" s="103"/>
      <c r="AX25" s="103"/>
      <c r="AY25" s="103"/>
      <c r="AZ25" s="103"/>
      <c r="BA25" s="103"/>
      <c r="BB25" s="103"/>
      <c r="BC25" s="103">
        <v>0.0</v>
      </c>
      <c r="BD25" s="104">
        <v>0.0</v>
      </c>
      <c r="BE25" s="106">
        <v>0.0</v>
      </c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4">
        <v>1.0</v>
      </c>
      <c r="BX25" s="104">
        <v>0.0</v>
      </c>
      <c r="BY25" s="104">
        <v>0.0</v>
      </c>
      <c r="BZ25" s="104">
        <v>0.0</v>
      </c>
      <c r="CA25" s="104">
        <v>0.0</v>
      </c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</row>
    <row r="26" ht="19.5" customHeight="1">
      <c r="A26" s="78" t="str">
        <f>IF(Roster!$A$24&lt;&gt;"",Roster!$A$24,"")</f>
        <v>Max Sheppard</v>
      </c>
      <c r="B26" s="103">
        <v>1.0</v>
      </c>
      <c r="C26" s="104">
        <v>0.0</v>
      </c>
      <c r="D26" s="103"/>
      <c r="E26" s="103"/>
      <c r="F26" s="103"/>
      <c r="G26" s="103" t="s">
        <v>231</v>
      </c>
      <c r="H26" s="103">
        <v>1.0</v>
      </c>
      <c r="I26" s="103">
        <v>0.0</v>
      </c>
      <c r="J26" s="103" t="s">
        <v>231</v>
      </c>
      <c r="K26" s="103"/>
      <c r="L26" s="103">
        <v>0.0</v>
      </c>
      <c r="M26" s="103">
        <v>1.0</v>
      </c>
      <c r="N26" s="103"/>
      <c r="O26" s="103">
        <v>0.0</v>
      </c>
      <c r="P26" s="103">
        <v>0.0</v>
      </c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>
        <v>1.0</v>
      </c>
      <c r="AC26" s="103"/>
      <c r="AD26" s="104">
        <v>0.0</v>
      </c>
      <c r="AE26" s="103"/>
      <c r="AF26" s="103"/>
      <c r="AG26" s="103"/>
      <c r="AH26" s="103"/>
      <c r="AI26" s="104">
        <v>0.0</v>
      </c>
      <c r="AJ26" s="104">
        <v>0.0</v>
      </c>
      <c r="AK26" s="103">
        <v>0.0</v>
      </c>
      <c r="AL26" s="103" t="s">
        <v>231</v>
      </c>
      <c r="AM26" s="103"/>
      <c r="AN26" s="103"/>
      <c r="AO26" s="103"/>
      <c r="AP26" s="103"/>
      <c r="AQ26" s="103"/>
      <c r="AR26" s="103"/>
      <c r="AS26" s="106">
        <v>0.0</v>
      </c>
      <c r="AT26" s="103"/>
      <c r="AU26" s="103"/>
      <c r="AV26" s="103">
        <v>0.0</v>
      </c>
      <c r="AW26" s="103"/>
      <c r="AX26" s="103"/>
      <c r="AY26" s="103"/>
      <c r="AZ26" s="103"/>
      <c r="BA26" s="103"/>
      <c r="BB26" s="103"/>
      <c r="BC26" s="103">
        <v>1.0</v>
      </c>
      <c r="BD26" s="104">
        <v>0.0</v>
      </c>
      <c r="BE26" s="106">
        <v>0.0</v>
      </c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4">
        <v>0.0</v>
      </c>
      <c r="BX26" s="104">
        <v>0.0</v>
      </c>
      <c r="BY26" s="104">
        <v>0.0</v>
      </c>
      <c r="BZ26" s="104">
        <v>0.0</v>
      </c>
      <c r="CA26" s="104">
        <v>0.0</v>
      </c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</row>
    <row r="27" ht="19.5" customHeight="1">
      <c r="A27" s="78" t="str">
        <f>IF(Roster!$A$25&lt;&gt;"",Roster!$A$25,"")</f>
        <v>Lucius Christie</v>
      </c>
      <c r="B27" s="103">
        <v>1.0</v>
      </c>
      <c r="C27" s="104">
        <v>1.0</v>
      </c>
      <c r="D27" s="103"/>
      <c r="E27" s="103"/>
      <c r="F27" s="103"/>
      <c r="G27" s="103">
        <v>1.0</v>
      </c>
      <c r="H27" s="103">
        <v>1.0</v>
      </c>
      <c r="I27" s="103">
        <v>0.0</v>
      </c>
      <c r="J27" s="103">
        <v>1.0</v>
      </c>
      <c r="K27" s="103"/>
      <c r="L27" s="103">
        <v>0.0</v>
      </c>
      <c r="M27" s="103">
        <v>1.0</v>
      </c>
      <c r="N27" s="103"/>
      <c r="O27" s="103">
        <v>0.0</v>
      </c>
      <c r="P27" s="103">
        <v>0.0</v>
      </c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>
        <v>1.0</v>
      </c>
      <c r="AC27" s="103"/>
      <c r="AD27" s="104">
        <v>1.0</v>
      </c>
      <c r="AE27" s="103"/>
      <c r="AF27" s="103"/>
      <c r="AG27" s="103"/>
      <c r="AH27" s="103"/>
      <c r="AI27" s="104">
        <v>1.0</v>
      </c>
      <c r="AJ27" s="104">
        <v>1.0</v>
      </c>
      <c r="AK27" s="103">
        <v>0.0</v>
      </c>
      <c r="AL27" s="103">
        <v>1.0</v>
      </c>
      <c r="AM27" s="103"/>
      <c r="AN27" s="103"/>
      <c r="AO27" s="103"/>
      <c r="AP27" s="103"/>
      <c r="AQ27" s="103"/>
      <c r="AR27" s="103"/>
      <c r="AS27" s="106">
        <v>1.0</v>
      </c>
      <c r="AT27" s="103"/>
      <c r="AU27" s="103"/>
      <c r="AV27" s="103">
        <v>1.0</v>
      </c>
      <c r="AW27" s="103"/>
      <c r="AX27" s="103"/>
      <c r="AY27" s="103"/>
      <c r="AZ27" s="103"/>
      <c r="BA27" s="103"/>
      <c r="BB27" s="103"/>
      <c r="BC27" s="103">
        <v>1.0</v>
      </c>
      <c r="BD27" s="104">
        <v>1.0</v>
      </c>
      <c r="BE27" s="106">
        <v>1.0</v>
      </c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4">
        <v>1.0</v>
      </c>
      <c r="BX27" s="104">
        <v>0.0</v>
      </c>
      <c r="BY27" s="104">
        <v>0.0</v>
      </c>
      <c r="BZ27" s="104">
        <v>0.0</v>
      </c>
      <c r="CA27" s="104">
        <v>0.0</v>
      </c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</row>
    <row r="28" ht="19.5" customHeight="1">
      <c r="A28" s="78" t="str">
        <f>IF(Roster!$A$26&lt;&gt;"",Roster!$A$26,"")</f>
        <v>Patrick McMullen</v>
      </c>
      <c r="B28" s="103">
        <v>1.0</v>
      </c>
      <c r="C28" s="104">
        <v>1.0</v>
      </c>
      <c r="D28" s="103"/>
      <c r="E28" s="103"/>
      <c r="F28" s="103"/>
      <c r="G28" s="103">
        <v>1.0</v>
      </c>
      <c r="H28" s="103">
        <v>1.0</v>
      </c>
      <c r="I28" s="103">
        <v>0.0</v>
      </c>
      <c r="J28" s="103">
        <v>1.0</v>
      </c>
      <c r="K28" s="103"/>
      <c r="L28" s="103">
        <v>1.0</v>
      </c>
      <c r="M28" s="103">
        <v>1.0</v>
      </c>
      <c r="N28" s="103"/>
      <c r="O28" s="103">
        <v>0.0</v>
      </c>
      <c r="P28" s="103">
        <v>0.0</v>
      </c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>
        <v>1.0</v>
      </c>
      <c r="AC28" s="103"/>
      <c r="AD28" s="104">
        <v>1.0</v>
      </c>
      <c r="AE28" s="103"/>
      <c r="AF28" s="103"/>
      <c r="AG28" s="103"/>
      <c r="AH28" s="103"/>
      <c r="AI28" s="104">
        <v>1.0</v>
      </c>
      <c r="AJ28" s="104">
        <v>1.0</v>
      </c>
      <c r="AK28" s="103">
        <v>1.0</v>
      </c>
      <c r="AL28" s="103">
        <v>1.0</v>
      </c>
      <c r="AM28" s="103"/>
      <c r="AN28" s="103"/>
      <c r="AO28" s="103"/>
      <c r="AP28" s="103"/>
      <c r="AQ28" s="103"/>
      <c r="AR28" s="103"/>
      <c r="AS28" s="106">
        <v>1.0</v>
      </c>
      <c r="AT28" s="103"/>
      <c r="AU28" s="103"/>
      <c r="AV28" s="103">
        <v>1.0</v>
      </c>
      <c r="AW28" s="103"/>
      <c r="AX28" s="103"/>
      <c r="AY28" s="103"/>
      <c r="AZ28" s="103"/>
      <c r="BA28" s="103"/>
      <c r="BB28" s="103"/>
      <c r="BC28" s="103">
        <v>0.0</v>
      </c>
      <c r="BD28" s="104">
        <v>1.0</v>
      </c>
      <c r="BE28" s="106">
        <v>1.0</v>
      </c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4">
        <v>1.0</v>
      </c>
      <c r="BX28" s="104">
        <v>0.0</v>
      </c>
      <c r="BY28" s="104">
        <v>0.0</v>
      </c>
      <c r="BZ28" s="104">
        <v>0.0</v>
      </c>
      <c r="CA28" s="104">
        <v>0.0</v>
      </c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</row>
    <row r="29" ht="19.5" customHeight="1">
      <c r="A29" s="78" t="str">
        <f>IF(Roster!$A$27&lt;&gt;"",Roster!$A$27,"")</f>
        <v>Rachel Graber</v>
      </c>
      <c r="B29" s="103">
        <v>1.0</v>
      </c>
      <c r="C29" s="104">
        <v>1.0</v>
      </c>
      <c r="D29" s="103"/>
      <c r="E29" s="103"/>
      <c r="F29" s="103"/>
      <c r="G29" s="103">
        <v>1.0</v>
      </c>
      <c r="H29" s="103">
        <v>1.0</v>
      </c>
      <c r="I29" s="103">
        <v>0.0</v>
      </c>
      <c r="J29" s="103">
        <v>1.0</v>
      </c>
      <c r="K29" s="103"/>
      <c r="L29" s="103">
        <v>0.0</v>
      </c>
      <c r="M29" s="103">
        <v>1.0</v>
      </c>
      <c r="N29" s="103"/>
      <c r="O29" s="103">
        <v>0.0</v>
      </c>
      <c r="P29" s="103">
        <v>0.0</v>
      </c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4">
        <v>0.0</v>
      </c>
      <c r="AC29" s="103"/>
      <c r="AD29" s="104">
        <v>1.0</v>
      </c>
      <c r="AE29" s="103"/>
      <c r="AF29" s="103"/>
      <c r="AG29" s="103"/>
      <c r="AH29" s="103"/>
      <c r="AI29" s="104">
        <v>0.0</v>
      </c>
      <c r="AJ29" s="104">
        <v>1.0</v>
      </c>
      <c r="AK29" s="103">
        <v>0.0</v>
      </c>
      <c r="AL29" s="103">
        <v>1.0</v>
      </c>
      <c r="AM29" s="103"/>
      <c r="AN29" s="103"/>
      <c r="AO29" s="103"/>
      <c r="AP29" s="103"/>
      <c r="AQ29" s="103"/>
      <c r="AR29" s="103"/>
      <c r="AS29" s="106">
        <v>1.0</v>
      </c>
      <c r="AT29" s="103"/>
      <c r="AU29" s="103"/>
      <c r="AV29" s="103">
        <v>0.0</v>
      </c>
      <c r="AW29" s="103"/>
      <c r="AX29" s="103"/>
      <c r="AY29" s="103"/>
      <c r="AZ29" s="103"/>
      <c r="BA29" s="103"/>
      <c r="BB29" s="103"/>
      <c r="BC29" s="103">
        <v>1.0</v>
      </c>
      <c r="BD29" s="104">
        <v>1.0</v>
      </c>
      <c r="BE29" s="106">
        <v>1.0</v>
      </c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>
        <v>0.0</v>
      </c>
      <c r="BX29" s="104">
        <v>0.0</v>
      </c>
      <c r="BY29" s="104">
        <v>1.0</v>
      </c>
      <c r="BZ29" s="104">
        <v>0.0</v>
      </c>
      <c r="CA29" s="104">
        <v>0.0</v>
      </c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</row>
    <row r="30" ht="19.5" customHeight="1">
      <c r="A30" s="78" t="str">
        <f>IF(Roster!$A$28&lt;&gt;"",Roster!$A$28,"")</f>
        <v>Ryan Kindell</v>
      </c>
      <c r="B30" s="103">
        <v>1.0</v>
      </c>
      <c r="C30" s="104">
        <v>1.0</v>
      </c>
      <c r="D30" s="103"/>
      <c r="E30" s="103"/>
      <c r="F30" s="103"/>
      <c r="G30" s="103">
        <v>1.0</v>
      </c>
      <c r="H30" s="103">
        <v>1.0</v>
      </c>
      <c r="I30" s="103">
        <v>0.0</v>
      </c>
      <c r="J30" s="103">
        <v>1.0</v>
      </c>
      <c r="K30" s="103"/>
      <c r="L30" s="103">
        <v>0.0</v>
      </c>
      <c r="M30" s="103">
        <v>1.0</v>
      </c>
      <c r="N30" s="103"/>
      <c r="O30" s="103">
        <v>0.0</v>
      </c>
      <c r="P30" s="103">
        <v>0.0</v>
      </c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>
        <v>1.0</v>
      </c>
      <c r="AC30" s="103"/>
      <c r="AD30" s="104">
        <v>1.0</v>
      </c>
      <c r="AE30" s="103"/>
      <c r="AF30" s="103"/>
      <c r="AG30" s="103"/>
      <c r="AH30" s="103"/>
      <c r="AI30" s="104">
        <v>1.0</v>
      </c>
      <c r="AJ30" s="104">
        <v>1.0</v>
      </c>
      <c r="AK30" s="103">
        <v>0.0</v>
      </c>
      <c r="AL30" s="103">
        <v>1.0</v>
      </c>
      <c r="AM30" s="103"/>
      <c r="AN30" s="103"/>
      <c r="AO30" s="103"/>
      <c r="AP30" s="103"/>
      <c r="AQ30" s="103"/>
      <c r="AR30" s="103"/>
      <c r="AS30" s="106">
        <v>1.0</v>
      </c>
      <c r="AT30" s="103"/>
      <c r="AU30" s="103"/>
      <c r="AV30" s="103">
        <v>1.0</v>
      </c>
      <c r="AW30" s="103"/>
      <c r="AX30" s="103"/>
      <c r="AY30" s="103"/>
      <c r="AZ30" s="103"/>
      <c r="BA30" s="103"/>
      <c r="BB30" s="103"/>
      <c r="BC30" s="103" t="s">
        <v>231</v>
      </c>
      <c r="BD30" s="104">
        <v>1.0</v>
      </c>
      <c r="BE30" s="106">
        <v>1.0</v>
      </c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4">
        <v>0.0</v>
      </c>
      <c r="BX30" s="104">
        <v>0.0</v>
      </c>
      <c r="BY30" s="104">
        <v>0.0</v>
      </c>
      <c r="BZ30" s="104">
        <v>0.0</v>
      </c>
      <c r="CA30" s="104">
        <v>0.0</v>
      </c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3"/>
      <c r="DT30" s="103"/>
      <c r="DU30" s="103"/>
      <c r="DV30" s="103"/>
      <c r="DW30" s="103"/>
      <c r="DX30" s="103"/>
      <c r="DY30" s="103"/>
      <c r="DZ30" s="103"/>
      <c r="EA30" s="103"/>
      <c r="EB30" s="103"/>
      <c r="EC30" s="103"/>
      <c r="ED30" s="103"/>
      <c r="EE30" s="103"/>
    </row>
    <row r="31" ht="19.5" customHeight="1">
      <c r="A31" s="78" t="str">
        <f>IF(Roster!$A$29&lt;&gt;"",Roster!$A$29,"")</f>
        <v>Ryan Ward</v>
      </c>
      <c r="B31" s="103">
        <v>1.0</v>
      </c>
      <c r="C31" s="104">
        <v>1.0</v>
      </c>
      <c r="D31" s="103"/>
      <c r="E31" s="103"/>
      <c r="F31" s="103"/>
      <c r="G31" s="103">
        <v>1.0</v>
      </c>
      <c r="H31" s="103">
        <v>1.0</v>
      </c>
      <c r="I31" s="103">
        <v>0.0</v>
      </c>
      <c r="J31" s="103">
        <v>1.0</v>
      </c>
      <c r="K31" s="103"/>
      <c r="L31" s="103">
        <v>0.0</v>
      </c>
      <c r="M31" s="103">
        <v>1.0</v>
      </c>
      <c r="N31" s="103"/>
      <c r="O31" s="103">
        <v>0.0</v>
      </c>
      <c r="P31" s="103">
        <v>0.0</v>
      </c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>
        <v>1.0</v>
      </c>
      <c r="AC31" s="103"/>
      <c r="AD31" s="104">
        <v>0.0</v>
      </c>
      <c r="AE31" s="103"/>
      <c r="AF31" s="103"/>
      <c r="AG31" s="103"/>
      <c r="AH31" s="103"/>
      <c r="AI31" s="104">
        <v>1.0</v>
      </c>
      <c r="AJ31" s="104">
        <v>1.0</v>
      </c>
      <c r="AK31" s="103">
        <v>0.0</v>
      </c>
      <c r="AL31" s="103">
        <v>1.0</v>
      </c>
      <c r="AM31" s="103"/>
      <c r="AN31" s="103"/>
      <c r="AO31" s="103"/>
      <c r="AP31" s="103"/>
      <c r="AQ31" s="103"/>
      <c r="AR31" s="103"/>
      <c r="AS31" s="106">
        <v>0.0</v>
      </c>
      <c r="AT31" s="103"/>
      <c r="AU31" s="103"/>
      <c r="AV31" s="103">
        <v>0.0</v>
      </c>
      <c r="AW31" s="103"/>
      <c r="AX31" s="103"/>
      <c r="AY31" s="103"/>
      <c r="AZ31" s="103"/>
      <c r="BA31" s="103"/>
      <c r="BB31" s="103"/>
      <c r="BC31" s="103">
        <v>1.0</v>
      </c>
      <c r="BD31" s="104">
        <v>1.0</v>
      </c>
      <c r="BE31" s="106">
        <v>0.0</v>
      </c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4">
        <v>0.0</v>
      </c>
      <c r="BX31" s="104">
        <v>0.0</v>
      </c>
      <c r="BY31" s="104">
        <v>0.0</v>
      </c>
      <c r="BZ31" s="104">
        <v>0.0</v>
      </c>
      <c r="CA31" s="104">
        <v>0.0</v>
      </c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  <c r="DC31" s="103"/>
      <c r="DD31" s="103"/>
      <c r="DE31" s="103"/>
      <c r="DF31" s="103"/>
      <c r="DG31" s="103"/>
      <c r="DH31" s="103"/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3"/>
      <c r="DT31" s="103"/>
      <c r="DU31" s="103"/>
      <c r="DV31" s="103"/>
      <c r="DW31" s="103"/>
      <c r="DX31" s="103"/>
      <c r="DY31" s="103"/>
      <c r="DZ31" s="103"/>
      <c r="EA31" s="103"/>
      <c r="EB31" s="103"/>
      <c r="EC31" s="103"/>
      <c r="ED31" s="103"/>
      <c r="EE31" s="103"/>
    </row>
    <row r="32" ht="19.5" customHeight="1">
      <c r="A32" s="78" t="str">
        <f>IF(Roster!$A$30&lt;&gt;"",Roster!$A$30,"")</f>
        <v>Sam Gombiner</v>
      </c>
      <c r="B32" s="103">
        <v>0.0</v>
      </c>
      <c r="C32" s="104">
        <v>0.0</v>
      </c>
      <c r="D32" s="103"/>
      <c r="E32" s="103"/>
      <c r="F32" s="103"/>
      <c r="G32" s="103">
        <v>1.0</v>
      </c>
      <c r="H32" s="103">
        <v>0.0</v>
      </c>
      <c r="I32" s="103">
        <v>0.0</v>
      </c>
      <c r="J32" s="103">
        <v>1.0</v>
      </c>
      <c r="K32" s="103"/>
      <c r="L32" s="103">
        <v>0.0</v>
      </c>
      <c r="M32" s="103">
        <v>0.0</v>
      </c>
      <c r="N32" s="103"/>
      <c r="O32" s="103">
        <v>0.0</v>
      </c>
      <c r="P32" s="103">
        <v>0.0</v>
      </c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>
        <v>0.0</v>
      </c>
      <c r="AC32" s="103"/>
      <c r="AD32" s="104">
        <v>0.0</v>
      </c>
      <c r="AE32" s="103"/>
      <c r="AF32" s="103"/>
      <c r="AG32" s="103"/>
      <c r="AH32" s="103"/>
      <c r="AI32" s="104">
        <v>0.0</v>
      </c>
      <c r="AJ32" s="104">
        <v>0.0</v>
      </c>
      <c r="AK32" s="103">
        <v>0.0</v>
      </c>
      <c r="AL32" s="103">
        <v>1.0</v>
      </c>
      <c r="AM32" s="103"/>
      <c r="AN32" s="103"/>
      <c r="AO32" s="103"/>
      <c r="AP32" s="103"/>
      <c r="AQ32" s="103"/>
      <c r="AR32" s="103"/>
      <c r="AS32" s="106">
        <v>0.0</v>
      </c>
      <c r="AT32" s="103"/>
      <c r="AU32" s="103"/>
      <c r="AV32" s="103">
        <v>0.0</v>
      </c>
      <c r="AW32" s="103"/>
      <c r="AX32" s="103"/>
      <c r="AY32" s="103"/>
      <c r="AZ32" s="103"/>
      <c r="BA32" s="103"/>
      <c r="BB32" s="103"/>
      <c r="BC32" s="103">
        <v>0.0</v>
      </c>
      <c r="BD32" s="104">
        <v>0.0</v>
      </c>
      <c r="BE32" s="106">
        <v>0.0</v>
      </c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4">
        <v>0.0</v>
      </c>
      <c r="BX32" s="104">
        <v>0.0</v>
      </c>
      <c r="BY32" s="104">
        <v>0.0</v>
      </c>
      <c r="BZ32" s="104">
        <v>0.0</v>
      </c>
      <c r="CA32" s="104">
        <v>0.0</v>
      </c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</row>
    <row r="33" ht="19.5" customHeight="1">
      <c r="A33" s="78" t="str">
        <f>IF(Roster!$A$31&lt;&gt;"",Roster!$A$31,"")</f>
        <v>Sarah Kingsley-Hart</v>
      </c>
      <c r="B33" s="103">
        <v>1.0</v>
      </c>
      <c r="C33" s="104">
        <v>0.0</v>
      </c>
      <c r="D33" s="103"/>
      <c r="E33" s="103"/>
      <c r="F33" s="103"/>
      <c r="G33" s="103">
        <v>1.0</v>
      </c>
      <c r="H33" s="103">
        <v>1.0</v>
      </c>
      <c r="I33" s="103">
        <v>0.0</v>
      </c>
      <c r="J33" s="103">
        <v>1.0</v>
      </c>
      <c r="K33" s="103"/>
      <c r="L33" s="103">
        <v>0.0</v>
      </c>
      <c r="M33" s="103">
        <v>1.0</v>
      </c>
      <c r="N33" s="103"/>
      <c r="O33" s="103">
        <v>0.0</v>
      </c>
      <c r="P33" s="103">
        <v>0.0</v>
      </c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>
        <v>1.0</v>
      </c>
      <c r="AC33" s="103"/>
      <c r="AD33" s="104">
        <v>0.0</v>
      </c>
      <c r="AE33" s="103"/>
      <c r="AF33" s="103"/>
      <c r="AG33" s="103"/>
      <c r="AH33" s="103"/>
      <c r="AI33" s="104">
        <v>0.0</v>
      </c>
      <c r="AJ33" s="104">
        <v>0.0</v>
      </c>
      <c r="AK33" s="103">
        <v>0.0</v>
      </c>
      <c r="AL33" s="103">
        <v>1.0</v>
      </c>
      <c r="AM33" s="103"/>
      <c r="AN33" s="103"/>
      <c r="AO33" s="103"/>
      <c r="AP33" s="103"/>
      <c r="AQ33" s="103"/>
      <c r="AR33" s="103"/>
      <c r="AS33" s="106">
        <v>0.0</v>
      </c>
      <c r="AT33" s="103"/>
      <c r="AU33" s="103"/>
      <c r="AV33" s="103">
        <v>0.0</v>
      </c>
      <c r="AW33" s="103"/>
      <c r="AX33" s="103"/>
      <c r="AY33" s="103"/>
      <c r="AZ33" s="103"/>
      <c r="BA33" s="103"/>
      <c r="BB33" s="103"/>
      <c r="BC33" s="103" t="s">
        <v>231</v>
      </c>
      <c r="BD33" s="104">
        <v>0.0</v>
      </c>
      <c r="BE33" s="106">
        <v>0.0</v>
      </c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4">
        <v>0.0</v>
      </c>
      <c r="BX33" s="104">
        <v>0.0</v>
      </c>
      <c r="BY33" s="104">
        <v>0.0</v>
      </c>
      <c r="BZ33" s="104">
        <v>0.0</v>
      </c>
      <c r="CA33" s="104">
        <v>1.0</v>
      </c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</row>
    <row r="34" ht="19.5" customHeight="1">
      <c r="A34" s="78" t="str">
        <f>IF(Roster!$A$32&lt;&gt;"",Roster!$A$32,"")</f>
        <v>Sarah Lynch</v>
      </c>
      <c r="B34" s="103">
        <v>0.0</v>
      </c>
      <c r="C34" s="104">
        <v>0.0</v>
      </c>
      <c r="D34" s="103"/>
      <c r="E34" s="103"/>
      <c r="F34" s="103"/>
      <c r="G34" s="103">
        <v>1.0</v>
      </c>
      <c r="H34" s="103">
        <v>0.0</v>
      </c>
      <c r="I34" s="103">
        <v>0.0</v>
      </c>
      <c r="J34" s="103">
        <v>1.0</v>
      </c>
      <c r="K34" s="103"/>
      <c r="L34" s="103">
        <v>0.0</v>
      </c>
      <c r="M34" s="103">
        <v>0.0</v>
      </c>
      <c r="N34" s="103"/>
      <c r="O34" s="103">
        <v>0.0</v>
      </c>
      <c r="P34" s="103">
        <v>0.0</v>
      </c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>
        <v>0.0</v>
      </c>
      <c r="AC34" s="103"/>
      <c r="AD34" s="104">
        <v>1.0</v>
      </c>
      <c r="AE34" s="103"/>
      <c r="AF34" s="103"/>
      <c r="AG34" s="103"/>
      <c r="AH34" s="103"/>
      <c r="AI34" s="104">
        <v>0.0</v>
      </c>
      <c r="AJ34" s="104">
        <v>0.0</v>
      </c>
      <c r="AK34" s="103">
        <v>0.0</v>
      </c>
      <c r="AL34" s="103">
        <v>1.0</v>
      </c>
      <c r="AM34" s="103"/>
      <c r="AN34" s="103"/>
      <c r="AO34" s="103"/>
      <c r="AP34" s="103"/>
      <c r="AQ34" s="103"/>
      <c r="AR34" s="103"/>
      <c r="AS34" s="106">
        <v>1.0</v>
      </c>
      <c r="AT34" s="103"/>
      <c r="AU34" s="103"/>
      <c r="AV34" s="103">
        <v>1.0</v>
      </c>
      <c r="AW34" s="103"/>
      <c r="AX34" s="103"/>
      <c r="AY34" s="103"/>
      <c r="AZ34" s="103"/>
      <c r="BA34" s="103"/>
      <c r="BB34" s="103"/>
      <c r="BC34" s="103">
        <v>0.0</v>
      </c>
      <c r="BD34" s="104">
        <v>0.0</v>
      </c>
      <c r="BE34" s="105" t="s">
        <v>231</v>
      </c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4">
        <v>1.0</v>
      </c>
      <c r="BX34" s="104">
        <v>0.0</v>
      </c>
      <c r="BY34" s="104">
        <v>0.0</v>
      </c>
      <c r="BZ34" s="104">
        <v>0.0</v>
      </c>
      <c r="CA34" s="104">
        <v>0.0</v>
      </c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  <c r="DC34" s="103"/>
      <c r="DD34" s="103"/>
      <c r="DE34" s="103"/>
      <c r="DF34" s="103"/>
      <c r="DG34" s="103"/>
      <c r="DH34" s="103"/>
      <c r="DI34" s="103"/>
      <c r="DJ34" s="103"/>
      <c r="DK34" s="103"/>
      <c r="DL34" s="103"/>
      <c r="DM34" s="103"/>
      <c r="DN34" s="103"/>
      <c r="DO34" s="103"/>
      <c r="DP34" s="103"/>
      <c r="DQ34" s="103"/>
      <c r="DR34" s="103"/>
      <c r="DS34" s="103"/>
      <c r="DT34" s="103"/>
      <c r="DU34" s="103"/>
      <c r="DV34" s="103"/>
      <c r="DW34" s="103"/>
      <c r="DX34" s="103"/>
      <c r="DY34" s="103"/>
      <c r="DZ34" s="103"/>
      <c r="EA34" s="103"/>
      <c r="EB34" s="103"/>
      <c r="EC34" s="103"/>
      <c r="ED34" s="103"/>
      <c r="EE34" s="103"/>
    </row>
    <row r="35" ht="19.5" customHeight="1">
      <c r="A35" s="78" t="str">
        <f>IF(Roster!$A$33&lt;&gt;"",Roster!$A$33,"")</f>
        <v>Shani Rosenthal</v>
      </c>
      <c r="B35" s="103">
        <v>1.0</v>
      </c>
      <c r="C35" s="104">
        <v>1.0</v>
      </c>
      <c r="D35" s="103"/>
      <c r="E35" s="103"/>
      <c r="F35" s="103"/>
      <c r="G35" s="103">
        <v>1.0</v>
      </c>
      <c r="H35" s="103">
        <v>1.0</v>
      </c>
      <c r="I35" s="103">
        <v>1.0</v>
      </c>
      <c r="J35" s="103">
        <v>1.0</v>
      </c>
      <c r="K35" s="103"/>
      <c r="L35" s="103">
        <v>0.0</v>
      </c>
      <c r="M35" s="103">
        <v>1.0</v>
      </c>
      <c r="N35" s="103"/>
      <c r="O35" s="103">
        <v>1.0</v>
      </c>
      <c r="P35" s="103">
        <v>0.0</v>
      </c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4">
        <v>0.0</v>
      </c>
      <c r="AC35" s="103"/>
      <c r="AD35" s="104">
        <v>1.0</v>
      </c>
      <c r="AE35" s="103"/>
      <c r="AF35" s="103"/>
      <c r="AG35" s="103"/>
      <c r="AH35" s="103"/>
      <c r="AI35" s="104">
        <v>0.0</v>
      </c>
      <c r="AJ35" s="104">
        <v>1.0</v>
      </c>
      <c r="AK35" s="103">
        <v>0.0</v>
      </c>
      <c r="AL35" s="103">
        <v>1.0</v>
      </c>
      <c r="AM35" s="103"/>
      <c r="AN35" s="103"/>
      <c r="AO35" s="103"/>
      <c r="AP35" s="103"/>
      <c r="AQ35" s="103"/>
      <c r="AR35" s="103"/>
      <c r="AS35" s="106">
        <v>1.0</v>
      </c>
      <c r="AT35" s="103"/>
      <c r="AU35" s="103"/>
      <c r="AV35" s="103">
        <v>0.0</v>
      </c>
      <c r="AW35" s="103"/>
      <c r="AX35" s="103"/>
      <c r="AY35" s="103"/>
      <c r="AZ35" s="103"/>
      <c r="BA35" s="103"/>
      <c r="BB35" s="103"/>
      <c r="BC35" s="103">
        <v>0.0</v>
      </c>
      <c r="BD35" s="104">
        <v>1.0</v>
      </c>
      <c r="BE35" s="106">
        <v>1.0</v>
      </c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4"/>
      <c r="BW35" s="104">
        <v>0.0</v>
      </c>
      <c r="BX35" s="104">
        <v>0.0</v>
      </c>
      <c r="BY35" s="104">
        <v>0.0</v>
      </c>
      <c r="BZ35" s="104">
        <v>1.0</v>
      </c>
      <c r="CA35" s="104">
        <v>0.0</v>
      </c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</row>
    <row r="36" ht="19.5" customHeight="1">
      <c r="A36" s="78" t="str">
        <f>IF(Roster!$A$34&lt;&gt;"",Roster!$A$34,"")</f>
        <v>Vivian Shen</v>
      </c>
      <c r="B36" s="103">
        <v>1.0</v>
      </c>
      <c r="C36" s="103" t="s">
        <v>231</v>
      </c>
      <c r="D36" s="103"/>
      <c r="E36" s="103"/>
      <c r="F36" s="103"/>
      <c r="G36" s="103">
        <v>1.0</v>
      </c>
      <c r="H36" s="103">
        <v>1.0</v>
      </c>
      <c r="I36" s="103">
        <v>1.0</v>
      </c>
      <c r="J36" s="103">
        <v>1.0</v>
      </c>
      <c r="K36" s="103"/>
      <c r="L36" s="103">
        <v>0.0</v>
      </c>
      <c r="M36" s="103">
        <v>1.0</v>
      </c>
      <c r="N36" s="103"/>
      <c r="O36" s="103">
        <v>1.0</v>
      </c>
      <c r="P36" s="103">
        <v>1.0</v>
      </c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>
        <v>1.0</v>
      </c>
      <c r="AC36" s="103"/>
      <c r="AD36" s="104">
        <v>0.0</v>
      </c>
      <c r="AE36" s="103"/>
      <c r="AF36" s="103"/>
      <c r="AG36" s="103"/>
      <c r="AH36" s="103"/>
      <c r="AI36" s="104">
        <v>1.0</v>
      </c>
      <c r="AJ36" s="104">
        <v>1.0</v>
      </c>
      <c r="AK36" s="103">
        <v>0.0</v>
      </c>
      <c r="AL36" s="103">
        <v>1.0</v>
      </c>
      <c r="AM36" s="103"/>
      <c r="AN36" s="103"/>
      <c r="AO36" s="103"/>
      <c r="AP36" s="103"/>
      <c r="AQ36" s="103"/>
      <c r="AR36" s="103"/>
      <c r="AS36" s="106">
        <v>0.0</v>
      </c>
      <c r="AT36" s="103"/>
      <c r="AU36" s="103"/>
      <c r="AV36" s="103">
        <v>0.0</v>
      </c>
      <c r="AW36" s="103"/>
      <c r="AX36" s="103"/>
      <c r="AY36" s="103"/>
      <c r="AZ36" s="103"/>
      <c r="BA36" s="103"/>
      <c r="BB36" s="103"/>
      <c r="BC36" s="103">
        <v>0.0</v>
      </c>
      <c r="BD36" s="104">
        <v>1.0</v>
      </c>
      <c r="BE36" s="106">
        <v>0.0</v>
      </c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4">
        <v>1.0</v>
      </c>
      <c r="BX36" s="104">
        <v>0.0</v>
      </c>
      <c r="BY36" s="104">
        <v>0.0</v>
      </c>
      <c r="BZ36" s="104">
        <v>0.0</v>
      </c>
      <c r="CA36" s="104">
        <v>0.0</v>
      </c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</row>
    <row r="37" ht="19.5" customHeight="1">
      <c r="A37" s="78" t="str">
        <f>IF(Roster!$A$35&lt;&gt;"",Roster!$A$35,"")</f>
        <v>Zach Esakof</v>
      </c>
      <c r="B37" s="103" t="s">
        <v>231</v>
      </c>
      <c r="C37" s="104">
        <v>0.0</v>
      </c>
      <c r="D37" s="103"/>
      <c r="E37" s="103"/>
      <c r="F37" s="103"/>
      <c r="G37" s="103">
        <v>1.0</v>
      </c>
      <c r="H37" s="103">
        <v>0.0</v>
      </c>
      <c r="I37" s="103">
        <v>0.0</v>
      </c>
      <c r="J37" s="103">
        <v>1.0</v>
      </c>
      <c r="K37" s="103"/>
      <c r="L37" s="103">
        <v>0.0</v>
      </c>
      <c r="M37" s="103">
        <v>1.0</v>
      </c>
      <c r="N37" s="103"/>
      <c r="O37" s="103">
        <v>0.0</v>
      </c>
      <c r="P37" s="103">
        <v>0.0</v>
      </c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>
        <v>1.0</v>
      </c>
      <c r="AC37" s="103"/>
      <c r="AD37" s="104" t="s">
        <v>231</v>
      </c>
      <c r="AE37" s="103"/>
      <c r="AF37" s="103"/>
      <c r="AG37" s="103"/>
      <c r="AH37" s="103"/>
      <c r="AI37" s="104">
        <v>0.0</v>
      </c>
      <c r="AJ37" s="104">
        <v>0.0</v>
      </c>
      <c r="AK37" s="103">
        <v>0.0</v>
      </c>
      <c r="AL37" s="103">
        <v>1.0</v>
      </c>
      <c r="AM37" s="103"/>
      <c r="AN37" s="103"/>
      <c r="AO37" s="103"/>
      <c r="AP37" s="103"/>
      <c r="AQ37" s="103"/>
      <c r="AR37" s="103"/>
      <c r="AS37" s="105">
        <v>1.0</v>
      </c>
      <c r="AT37" s="103"/>
      <c r="AU37" s="103"/>
      <c r="AV37" s="103">
        <v>1.0</v>
      </c>
      <c r="AW37" s="103"/>
      <c r="AX37" s="103"/>
      <c r="AY37" s="103"/>
      <c r="AZ37" s="103"/>
      <c r="BA37" s="103"/>
      <c r="BB37" s="103"/>
      <c r="BC37" s="103" t="s">
        <v>231</v>
      </c>
      <c r="BD37" s="104">
        <v>0.0</v>
      </c>
      <c r="BE37" s="105">
        <v>1.0</v>
      </c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4">
        <v>1.0</v>
      </c>
      <c r="BX37" s="104">
        <v>0.0</v>
      </c>
      <c r="BY37" s="104">
        <v>0.0</v>
      </c>
      <c r="BZ37" s="104">
        <v>0.0</v>
      </c>
      <c r="CA37" s="104">
        <v>0.0</v>
      </c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</row>
    <row r="38" ht="19.5" customHeight="1">
      <c r="A38" s="78" t="str">
        <f>IF(Roster!$A$36&lt;&gt;"",Roster!$A$36,"")</f>
        <v>Annette Kukunas-Piper</v>
      </c>
      <c r="B38" s="103" t="s">
        <v>231</v>
      </c>
      <c r="C38" s="103" t="s">
        <v>231</v>
      </c>
      <c r="D38" s="103"/>
      <c r="E38" s="103"/>
      <c r="F38" s="103"/>
      <c r="G38" s="104" t="s">
        <v>231</v>
      </c>
      <c r="H38" s="103" t="s">
        <v>231</v>
      </c>
      <c r="I38" s="103">
        <v>0.0</v>
      </c>
      <c r="J38" s="103">
        <v>1.0</v>
      </c>
      <c r="K38" s="103"/>
      <c r="L38" s="104" t="s">
        <v>231</v>
      </c>
      <c r="M38" s="103" t="s">
        <v>231</v>
      </c>
      <c r="N38" s="103"/>
      <c r="O38" s="103">
        <v>0.0</v>
      </c>
      <c r="P38" s="103">
        <v>0.0</v>
      </c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 t="s">
        <v>231</v>
      </c>
      <c r="AC38" s="103"/>
      <c r="AD38" s="104" t="s">
        <v>231</v>
      </c>
      <c r="AE38" s="103"/>
      <c r="AF38" s="103"/>
      <c r="AG38" s="103"/>
      <c r="AH38" s="103"/>
      <c r="AI38" s="104" t="s">
        <v>231</v>
      </c>
      <c r="AJ38" s="103" t="s">
        <v>231</v>
      </c>
      <c r="AK38" s="104" t="s">
        <v>231</v>
      </c>
      <c r="AL38" s="104" t="s">
        <v>231</v>
      </c>
      <c r="AM38" s="103"/>
      <c r="AN38" s="103"/>
      <c r="AO38" s="103"/>
      <c r="AP38" s="103"/>
      <c r="AQ38" s="103"/>
      <c r="AR38" s="103"/>
      <c r="AS38" s="106" t="s">
        <v>231</v>
      </c>
      <c r="AT38" s="103"/>
      <c r="AU38" s="103"/>
      <c r="AV38" s="103" t="s">
        <v>231</v>
      </c>
      <c r="AW38" s="103"/>
      <c r="AX38" s="103"/>
      <c r="AY38" s="103"/>
      <c r="AZ38" s="103"/>
      <c r="BA38" s="103"/>
      <c r="BB38" s="103"/>
      <c r="BC38" s="103" t="s">
        <v>231</v>
      </c>
      <c r="BD38" s="103" t="s">
        <v>231</v>
      </c>
      <c r="BE38" s="106" t="s">
        <v>231</v>
      </c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4">
        <v>0.0</v>
      </c>
      <c r="BX38" s="104">
        <v>1.0</v>
      </c>
      <c r="BY38" s="104">
        <v>0.0</v>
      </c>
      <c r="BZ38" s="104">
        <v>0.0</v>
      </c>
      <c r="CA38" s="104">
        <v>0.0</v>
      </c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</row>
    <row r="39" ht="19.5" customHeight="1">
      <c r="A39" s="78" t="str">
        <f>IF(Roster!$A$37&lt;&gt;"",Roster!$A$37,"")</f>
        <v>Matt Duffy</v>
      </c>
      <c r="B39" s="103" t="s">
        <v>231</v>
      </c>
      <c r="C39" s="103" t="s">
        <v>231</v>
      </c>
      <c r="D39" s="103"/>
      <c r="E39" s="103"/>
      <c r="F39" s="103"/>
      <c r="G39" s="104" t="s">
        <v>231</v>
      </c>
      <c r="H39" s="103" t="s">
        <v>231</v>
      </c>
      <c r="I39" s="103">
        <v>0.0</v>
      </c>
      <c r="J39" s="103">
        <v>1.0</v>
      </c>
      <c r="K39" s="103"/>
      <c r="L39" s="104" t="s">
        <v>231</v>
      </c>
      <c r="M39" s="103" t="s">
        <v>231</v>
      </c>
      <c r="N39" s="103"/>
      <c r="O39" s="103">
        <v>0.0</v>
      </c>
      <c r="P39" s="103">
        <v>0.0</v>
      </c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 t="s">
        <v>231</v>
      </c>
      <c r="AC39" s="103"/>
      <c r="AD39" s="104" t="s">
        <v>231</v>
      </c>
      <c r="AE39" s="103"/>
      <c r="AF39" s="103"/>
      <c r="AG39" s="103"/>
      <c r="AH39" s="103"/>
      <c r="AI39" s="104" t="s">
        <v>231</v>
      </c>
      <c r="AJ39" s="103" t="s">
        <v>231</v>
      </c>
      <c r="AK39" s="104" t="s">
        <v>231</v>
      </c>
      <c r="AL39" s="104" t="s">
        <v>231</v>
      </c>
      <c r="AM39" s="103"/>
      <c r="AN39" s="103"/>
      <c r="AO39" s="103"/>
      <c r="AP39" s="103"/>
      <c r="AQ39" s="103"/>
      <c r="AR39" s="103"/>
      <c r="AS39" s="106" t="s">
        <v>231</v>
      </c>
      <c r="AT39" s="103"/>
      <c r="AU39" s="103"/>
      <c r="AV39" s="103" t="s">
        <v>231</v>
      </c>
      <c r="AW39" s="103"/>
      <c r="AX39" s="103"/>
      <c r="AY39" s="103"/>
      <c r="AZ39" s="103"/>
      <c r="BA39" s="103"/>
      <c r="BB39" s="103"/>
      <c r="BC39" s="103" t="s">
        <v>231</v>
      </c>
      <c r="BD39" s="103" t="s">
        <v>231</v>
      </c>
      <c r="BE39" s="106" t="s">
        <v>231</v>
      </c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4">
        <v>1.0</v>
      </c>
      <c r="BX39" s="104">
        <v>0.0</v>
      </c>
      <c r="BY39" s="104">
        <v>0.0</v>
      </c>
      <c r="BZ39" s="104">
        <v>0.0</v>
      </c>
      <c r="CA39" s="104">
        <v>0.0</v>
      </c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</row>
    <row r="40" ht="19.5" customHeight="1">
      <c r="A40" s="78" t="str">
        <f>IF(Roster!$A$38&lt;&gt;"",Roster!$A$38,"")</f>
        <v>Ryan Birchard</v>
      </c>
      <c r="B40" s="103" t="s">
        <v>231</v>
      </c>
      <c r="C40" s="103" t="s">
        <v>231</v>
      </c>
      <c r="D40" s="103"/>
      <c r="E40" s="103"/>
      <c r="F40" s="103"/>
      <c r="G40" s="104" t="s">
        <v>231</v>
      </c>
      <c r="H40" s="103" t="s">
        <v>231</v>
      </c>
      <c r="I40" s="103">
        <v>0.0</v>
      </c>
      <c r="J40" s="103">
        <v>1.0</v>
      </c>
      <c r="K40" s="103"/>
      <c r="L40" s="104" t="s">
        <v>231</v>
      </c>
      <c r="M40" s="103" t="s">
        <v>231</v>
      </c>
      <c r="N40" s="103"/>
      <c r="O40" s="103">
        <v>0.0</v>
      </c>
      <c r="P40" s="103">
        <v>0.0</v>
      </c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 t="s">
        <v>231</v>
      </c>
      <c r="AC40" s="103"/>
      <c r="AD40" s="104" t="s">
        <v>231</v>
      </c>
      <c r="AE40" s="103"/>
      <c r="AF40" s="103"/>
      <c r="AG40" s="103"/>
      <c r="AH40" s="103"/>
      <c r="AI40" s="104" t="s">
        <v>231</v>
      </c>
      <c r="AJ40" s="103" t="s">
        <v>231</v>
      </c>
      <c r="AK40" s="104" t="s">
        <v>231</v>
      </c>
      <c r="AL40" s="104" t="s">
        <v>231</v>
      </c>
      <c r="AM40" s="103"/>
      <c r="AN40" s="103"/>
      <c r="AO40" s="103"/>
      <c r="AP40" s="103"/>
      <c r="AQ40" s="103"/>
      <c r="AR40" s="103"/>
      <c r="AS40" s="106" t="s">
        <v>231</v>
      </c>
      <c r="AT40" s="103"/>
      <c r="AU40" s="103"/>
      <c r="AV40" s="103">
        <v>0.0</v>
      </c>
      <c r="AW40" s="103"/>
      <c r="AX40" s="103"/>
      <c r="AY40" s="103"/>
      <c r="AZ40" s="103"/>
      <c r="BA40" s="103"/>
      <c r="BB40" s="103"/>
      <c r="BC40" s="103" t="s">
        <v>231</v>
      </c>
      <c r="BD40" s="103" t="s">
        <v>231</v>
      </c>
      <c r="BE40" s="106" t="s">
        <v>231</v>
      </c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4">
        <v>0.0</v>
      </c>
      <c r="BX40" s="104">
        <v>0.0</v>
      </c>
      <c r="BY40" s="104">
        <v>0.0</v>
      </c>
      <c r="BZ40" s="104">
        <v>0.0</v>
      </c>
      <c r="CA40" s="104">
        <v>0.0</v>
      </c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</row>
    <row r="41" ht="19.5" customHeight="1">
      <c r="A41" s="78" t="str">
        <f>IF(Roster!$A$39&lt;&gt;"",Roster!$A$39,"")</f>
        <v>Nick Blair</v>
      </c>
      <c r="B41" s="103" t="s">
        <v>231</v>
      </c>
      <c r="C41" s="103" t="s">
        <v>231</v>
      </c>
      <c r="D41" s="103"/>
      <c r="E41" s="103"/>
      <c r="F41" s="103"/>
      <c r="G41" s="103" t="s">
        <v>231</v>
      </c>
      <c r="H41" s="103" t="s">
        <v>231</v>
      </c>
      <c r="I41" s="103">
        <v>0.0</v>
      </c>
      <c r="J41" s="103" t="s">
        <v>231</v>
      </c>
      <c r="K41" s="103"/>
      <c r="L41" s="103" t="s">
        <v>231</v>
      </c>
      <c r="M41" s="103" t="s">
        <v>231</v>
      </c>
      <c r="N41" s="103"/>
      <c r="O41" s="103">
        <v>0.0</v>
      </c>
      <c r="P41" s="103">
        <v>0.0</v>
      </c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 t="s">
        <v>231</v>
      </c>
      <c r="AC41" s="103"/>
      <c r="AD41" s="104">
        <v>0.0</v>
      </c>
      <c r="AE41" s="103"/>
      <c r="AF41" s="103"/>
      <c r="AG41" s="103"/>
      <c r="AH41" s="103"/>
      <c r="AI41" s="104" t="s">
        <v>231</v>
      </c>
      <c r="AJ41" s="103" t="s">
        <v>231</v>
      </c>
      <c r="AK41" s="103" t="s">
        <v>231</v>
      </c>
      <c r="AL41" s="103" t="s">
        <v>231</v>
      </c>
      <c r="AM41" s="103"/>
      <c r="AN41" s="103"/>
      <c r="AO41" s="103"/>
      <c r="AP41" s="103"/>
      <c r="AQ41" s="103"/>
      <c r="AR41" s="103"/>
      <c r="AS41" s="106">
        <v>0.0</v>
      </c>
      <c r="AT41" s="103"/>
      <c r="AU41" s="103"/>
      <c r="AV41" s="103">
        <v>0.0</v>
      </c>
      <c r="AW41" s="103"/>
      <c r="AX41" s="103"/>
      <c r="AY41" s="103"/>
      <c r="AZ41" s="103"/>
      <c r="BA41" s="103"/>
      <c r="BB41" s="103"/>
      <c r="BC41" s="103" t="s">
        <v>231</v>
      </c>
      <c r="BD41" s="103" t="s">
        <v>231</v>
      </c>
      <c r="BE41" s="106">
        <v>0.0</v>
      </c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4">
        <v>1.0</v>
      </c>
      <c r="BX41" s="104">
        <v>0.0</v>
      </c>
      <c r="BY41" s="104">
        <v>0.0</v>
      </c>
      <c r="BZ41" s="104">
        <v>0.0</v>
      </c>
      <c r="CA41" s="104">
        <v>0.0</v>
      </c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</row>
    <row r="42" ht="19.5" customHeight="1">
      <c r="A42" s="78" t="str">
        <f>IF(Roster!$A$40&lt;&gt;"",Roster!$A$40,"")</f>
        <v>Lily Nguyen</v>
      </c>
      <c r="B42" s="103">
        <v>0.0</v>
      </c>
      <c r="C42" s="103" t="s">
        <v>231</v>
      </c>
      <c r="D42" s="103"/>
      <c r="E42" s="103"/>
      <c r="F42" s="103"/>
      <c r="G42" s="103">
        <v>0.0</v>
      </c>
      <c r="H42" s="103">
        <v>0.0</v>
      </c>
      <c r="I42" s="103">
        <v>0.0</v>
      </c>
      <c r="J42" s="103">
        <v>0.0</v>
      </c>
      <c r="K42" s="103"/>
      <c r="L42" s="103">
        <v>0.0</v>
      </c>
      <c r="M42" s="103">
        <v>0.0</v>
      </c>
      <c r="N42" s="103"/>
      <c r="O42" s="103">
        <v>0.0</v>
      </c>
      <c r="P42" s="103">
        <v>0.0</v>
      </c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>
        <v>0.0</v>
      </c>
      <c r="AC42" s="103"/>
      <c r="AD42" s="104">
        <v>0.0</v>
      </c>
      <c r="AE42" s="103"/>
      <c r="AF42" s="103"/>
      <c r="AG42" s="103"/>
      <c r="AH42" s="103"/>
      <c r="AI42" s="104" t="s">
        <v>231</v>
      </c>
      <c r="AJ42" s="104">
        <v>1.0</v>
      </c>
      <c r="AK42" s="103">
        <v>0.0</v>
      </c>
      <c r="AL42" s="103">
        <v>0.0</v>
      </c>
      <c r="AM42" s="103"/>
      <c r="AN42" s="103"/>
      <c r="AO42" s="103"/>
      <c r="AP42" s="103"/>
      <c r="AQ42" s="103"/>
      <c r="AR42" s="103"/>
      <c r="AS42" s="106">
        <v>0.0</v>
      </c>
      <c r="AT42" s="103"/>
      <c r="AU42" s="103"/>
      <c r="AV42" s="103">
        <v>0.0</v>
      </c>
      <c r="AW42" s="103"/>
      <c r="AX42" s="103"/>
      <c r="AY42" s="103"/>
      <c r="AZ42" s="103"/>
      <c r="BA42" s="103"/>
      <c r="BB42" s="103"/>
      <c r="BC42" s="103">
        <v>0.0</v>
      </c>
      <c r="BD42" s="104">
        <v>1.0</v>
      </c>
      <c r="BE42" s="106">
        <v>0.0</v>
      </c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4">
        <v>0.0</v>
      </c>
      <c r="BX42" s="104">
        <v>0.0</v>
      </c>
      <c r="BY42" s="104">
        <v>0.0</v>
      </c>
      <c r="BZ42" s="104">
        <v>0.0</v>
      </c>
      <c r="CA42" s="104">
        <v>0.0</v>
      </c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</row>
    <row r="43" ht="19.5" customHeight="1">
      <c r="A43" s="78" t="str">
        <f>IF(Roster!$A$41&lt;&gt;"",Roster!$A$41,"")</f>
        <v>Griff Soren</v>
      </c>
      <c r="B43" s="104">
        <v>0.0</v>
      </c>
      <c r="C43" s="104">
        <v>0.0</v>
      </c>
      <c r="D43" s="104">
        <v>0.0</v>
      </c>
      <c r="E43" s="104">
        <v>0.0</v>
      </c>
      <c r="F43" s="104">
        <v>0.0</v>
      </c>
      <c r="G43" s="104">
        <v>0.0</v>
      </c>
      <c r="H43" s="104">
        <v>0.0</v>
      </c>
      <c r="I43" s="104">
        <v>0.0</v>
      </c>
      <c r="J43" s="104">
        <v>0.0</v>
      </c>
      <c r="K43" s="104">
        <v>0.0</v>
      </c>
      <c r="L43" s="104">
        <v>0.0</v>
      </c>
      <c r="M43" s="104">
        <v>0.0</v>
      </c>
      <c r="N43" s="104">
        <v>0.0</v>
      </c>
      <c r="O43" s="104">
        <v>0.0</v>
      </c>
      <c r="P43" s="104">
        <v>0.0</v>
      </c>
      <c r="Q43" s="104">
        <v>0.0</v>
      </c>
      <c r="R43" s="104">
        <v>0.0</v>
      </c>
      <c r="S43" s="104">
        <v>0.0</v>
      </c>
      <c r="T43" s="104">
        <v>0.0</v>
      </c>
      <c r="U43" s="104">
        <v>0.0</v>
      </c>
      <c r="V43" s="104">
        <v>0.0</v>
      </c>
      <c r="W43" s="104">
        <v>0.0</v>
      </c>
      <c r="X43" s="104">
        <v>0.0</v>
      </c>
      <c r="Y43" s="104">
        <v>0.0</v>
      </c>
      <c r="Z43" s="104">
        <v>0.0</v>
      </c>
      <c r="AA43" s="104">
        <v>0.0</v>
      </c>
      <c r="AB43" s="104">
        <v>0.0</v>
      </c>
      <c r="AC43" s="104">
        <v>0.0</v>
      </c>
      <c r="AD43" s="104">
        <v>0.0</v>
      </c>
      <c r="AE43" s="104">
        <v>0.0</v>
      </c>
      <c r="AF43" s="104">
        <v>0.0</v>
      </c>
      <c r="AG43" s="104">
        <v>0.0</v>
      </c>
      <c r="AH43" s="104">
        <v>0.0</v>
      </c>
      <c r="AI43" s="104">
        <v>0.0</v>
      </c>
      <c r="AJ43" s="104">
        <v>0.0</v>
      </c>
      <c r="AK43" s="104">
        <v>0.0</v>
      </c>
      <c r="AL43" s="104">
        <v>0.0</v>
      </c>
      <c r="AM43" s="103"/>
      <c r="AN43" s="103"/>
      <c r="AO43" s="103"/>
      <c r="AP43" s="103"/>
      <c r="AQ43" s="103"/>
      <c r="AR43" s="103"/>
      <c r="AS43" s="104">
        <v>0.0</v>
      </c>
      <c r="AT43" s="103"/>
      <c r="AU43" s="103"/>
      <c r="AV43" s="104">
        <v>0.0</v>
      </c>
      <c r="AW43" s="103"/>
      <c r="AX43" s="103"/>
      <c r="AY43" s="103"/>
      <c r="AZ43" s="103"/>
      <c r="BA43" s="103"/>
      <c r="BB43" s="103"/>
      <c r="BC43" s="104">
        <v>0.0</v>
      </c>
      <c r="BD43" s="104">
        <v>0.0</v>
      </c>
      <c r="BE43" s="104">
        <v>0.0</v>
      </c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>
        <v>0.0</v>
      </c>
      <c r="BX43" s="104">
        <v>1.0</v>
      </c>
      <c r="BY43" s="104">
        <v>0.0</v>
      </c>
      <c r="BZ43" s="104">
        <v>0.0</v>
      </c>
      <c r="CA43" s="104">
        <v>0.0</v>
      </c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</row>
    <row r="44" ht="19.5" customHeight="1">
      <c r="A44" s="78" t="str">
        <f>IF(Roster!$A$42&lt;&gt;"",Roster!$A$42,"")</f>
        <v>Griff Alice</v>
      </c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4">
        <v>1.0</v>
      </c>
      <c r="BX44" s="104">
        <v>0.0</v>
      </c>
      <c r="BY44" s="104">
        <v>0.0</v>
      </c>
      <c r="BZ44" s="104">
        <v>0.0</v>
      </c>
      <c r="CA44" s="104">
        <v>0.0</v>
      </c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</row>
    <row r="45" ht="19.5" customHeight="1">
      <c r="A45" s="78" t="str">
        <f>IF(Roster!$A$43&lt;&gt;"",Roster!$A$43,"")</f>
        <v/>
      </c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4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  <c r="DC45" s="103"/>
      <c r="DD45" s="103"/>
      <c r="DE45" s="103"/>
      <c r="DF45" s="103"/>
      <c r="DG45" s="103"/>
      <c r="DH45" s="103"/>
      <c r="DI45" s="103"/>
      <c r="DJ45" s="103"/>
      <c r="DK45" s="103"/>
      <c r="DL45" s="103"/>
      <c r="DM45" s="103"/>
      <c r="DN45" s="103"/>
      <c r="DO45" s="103"/>
      <c r="DP45" s="103"/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</row>
    <row r="46" ht="19.5" customHeight="1">
      <c r="A46" s="78" t="str">
        <f>IF(Roster!$A$44&lt;&gt;"",Roster!$A$44,"")</f>
        <v/>
      </c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103"/>
      <c r="DT46" s="103"/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</row>
    <row r="47" ht="19.5" customHeight="1">
      <c r="A47" s="78" t="str">
        <f>IF(Roster!$A$45&lt;&gt;"",Roster!$A$45,"")</f>
        <v/>
      </c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/>
      <c r="DN47" s="103"/>
      <c r="DO47" s="103"/>
      <c r="DP47" s="103"/>
      <c r="DQ47" s="103"/>
      <c r="DR47" s="103"/>
      <c r="DS47" s="103"/>
      <c r="DT47" s="103"/>
      <c r="DU47" s="103"/>
      <c r="DV47" s="103"/>
      <c r="DW47" s="103"/>
      <c r="DX47" s="103"/>
      <c r="DY47" s="103"/>
      <c r="DZ47" s="103"/>
      <c r="EA47" s="103"/>
      <c r="EB47" s="103"/>
      <c r="EC47" s="103"/>
      <c r="ED47" s="103"/>
      <c r="EE47" s="103"/>
    </row>
    <row r="48" ht="19.5" customHeight="1">
      <c r="A48" s="78" t="str">
        <f>IF(Roster!$A$46&lt;&gt;"",Roster!$A$46,"")</f>
        <v/>
      </c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</row>
    <row r="49" ht="19.5" customHeight="1">
      <c r="A49" s="78" t="str">
        <f>IF(Roster!$A$47&lt;&gt;"",Roster!$A$47,"")</f>
        <v/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</row>
    <row r="50" ht="19.5" customHeight="1">
      <c r="A50" s="78" t="str">
        <f>IF(Roster!$A$48&lt;&gt;"",Roster!$A$48,"")</f>
        <v/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</row>
    <row r="51" ht="19.5" customHeight="1">
      <c r="A51" s="78" t="str">
        <f>IF(Roster!$A$49&lt;&gt;"",Roster!$A$49,"")</f>
        <v/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</row>
    <row r="52" ht="19.5" customHeight="1">
      <c r="A52" s="78" t="str">
        <f>IF(Roster!$A$50&lt;&gt;"",Roster!$A$50,"")</f>
        <v/>
      </c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</row>
    <row r="53" ht="19.5" customHeight="1">
      <c r="A53" s="78" t="str">
        <f>IF(Roster!$A$51&lt;&gt;"",Roster!$A$51,"")</f>
        <v/>
      </c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</row>
    <row r="54" ht="19.5" customHeight="1">
      <c r="A54" s="78" t="str">
        <f>IF(Roster!$A$52&lt;&gt;"",Roster!$A$52,"")</f>
        <v/>
      </c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</row>
    <row r="55" ht="19.5" customHeight="1">
      <c r="A55" s="78" t="str">
        <f>IF(Roster!$A$53&lt;&gt;"",Roster!$A$53,"")</f>
        <v/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  <c r="DC55" s="103"/>
      <c r="DD55" s="103"/>
      <c r="DE55" s="103"/>
      <c r="DF55" s="103"/>
      <c r="DG55" s="103"/>
      <c r="DH55" s="103"/>
      <c r="DI55" s="103"/>
      <c r="DJ55" s="103"/>
      <c r="DK55" s="103"/>
      <c r="DL55" s="103"/>
      <c r="DM55" s="103"/>
      <c r="DN55" s="103"/>
      <c r="DO55" s="103"/>
      <c r="DP55" s="103"/>
      <c r="DQ55" s="103"/>
      <c r="DR55" s="103"/>
      <c r="DS55" s="103"/>
      <c r="DT55" s="103"/>
      <c r="DU55" s="103"/>
      <c r="DV55" s="103"/>
      <c r="DW55" s="103"/>
      <c r="DX55" s="103"/>
      <c r="DY55" s="103"/>
      <c r="DZ55" s="103"/>
      <c r="EA55" s="103"/>
      <c r="EB55" s="103"/>
      <c r="EC55" s="103"/>
      <c r="ED55" s="103"/>
      <c r="EE55" s="103"/>
    </row>
    <row r="56" ht="19.5" customHeight="1">
      <c r="A56" s="78" t="str">
        <f>IF(Roster!$A$54&lt;&gt;"",Roster!$A$54,"")</f>
        <v/>
      </c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</row>
    <row r="57" ht="19.5" customHeight="1">
      <c r="A57" s="78" t="str">
        <f>IF(Roster!$A$55&lt;&gt;"",Roster!$A$55,"")</f>
        <v/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</row>
    <row r="58" ht="19.5" customHeight="1">
      <c r="A58" s="78" t="str">
        <f>IF(Roster!$A$56&lt;&gt;"",Roster!$A$56,"")</f>
        <v/>
      </c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</row>
    <row r="59" ht="19.5" customHeight="1">
      <c r="A59" s="78" t="str">
        <f>IF(Roster!$A$57&lt;&gt;"",Roster!$A$57,"")</f>
        <v/>
      </c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</row>
    <row r="60" ht="19.5" customHeight="1">
      <c r="A60" s="78" t="str">
        <f>IF(Roster!$A$58&lt;&gt;"",Roster!$A$58,"")</f>
        <v/>
      </c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</row>
    <row r="61" ht="19.5" customHeight="1">
      <c r="A61" s="78" t="str">
        <f>IF(Roster!$A$59&lt;&gt;"",Roster!$A$59,"")</f>
        <v/>
      </c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</row>
    <row r="62" ht="19.5" customHeight="1">
      <c r="A62" s="78" t="str">
        <f>IF(Roster!$A$60&lt;&gt;"",Roster!$A$60,"")</f>
        <v/>
      </c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103"/>
      <c r="DZ62" s="103"/>
      <c r="EA62" s="103"/>
      <c r="EB62" s="103"/>
      <c r="EC62" s="103"/>
      <c r="ED62" s="103"/>
      <c r="EE62" s="103"/>
    </row>
    <row r="63" ht="19.5" customHeight="1">
      <c r="A63" s="78" t="str">
        <f>IF(Roster!$A$61&lt;&gt;"",Roster!$A$61,"")</f>
        <v/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3"/>
      <c r="DT63" s="103"/>
      <c r="DU63" s="103"/>
      <c r="DV63" s="103"/>
      <c r="DW63" s="103"/>
      <c r="DX63" s="103"/>
      <c r="DY63" s="103"/>
      <c r="DZ63" s="103"/>
      <c r="EA63" s="103"/>
      <c r="EB63" s="103"/>
      <c r="EC63" s="103"/>
      <c r="ED63" s="103"/>
      <c r="EE63" s="103"/>
    </row>
    <row r="64" ht="19.5" customHeight="1">
      <c r="A64" s="78" t="str">
        <f>IF(Roster!$A$62&lt;&gt;"",Roster!$A$62,"")</f>
        <v/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3"/>
      <c r="DT64" s="103"/>
      <c r="DU64" s="103"/>
      <c r="DV64" s="103"/>
      <c r="DW64" s="103"/>
      <c r="DX64" s="103"/>
      <c r="DY64" s="103"/>
      <c r="DZ64" s="103"/>
      <c r="EA64" s="103"/>
      <c r="EB64" s="103"/>
      <c r="EC64" s="103"/>
      <c r="ED64" s="103"/>
      <c r="EE64" s="103"/>
    </row>
    <row r="65" ht="19.5" customHeight="1">
      <c r="A65" s="78" t="str">
        <f>IF(Roster!$A$63&lt;&gt;"",Roster!$A$63,"")</f>
        <v/>
      </c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</row>
    <row r="66" ht="19.5" customHeight="1">
      <c r="A66" s="78" t="str">
        <f>IF(Roster!$A$64&lt;&gt;"",Roster!$A$64,"")</f>
        <v/>
      </c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3"/>
      <c r="DT66" s="103"/>
      <c r="DU66" s="103"/>
      <c r="DV66" s="103"/>
      <c r="DW66" s="103"/>
      <c r="DX66" s="103"/>
      <c r="DY66" s="103"/>
      <c r="DZ66" s="103"/>
      <c r="EA66" s="103"/>
      <c r="EB66" s="103"/>
      <c r="EC66" s="103"/>
      <c r="ED66" s="103"/>
      <c r="EE66" s="103"/>
    </row>
    <row r="67" ht="19.5" customHeight="1">
      <c r="A67" s="78" t="str">
        <f>IF(Roster!$A$65&lt;&gt;"",Roster!$A$65,"")</f>
        <v/>
      </c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3"/>
      <c r="DT67" s="103"/>
      <c r="DU67" s="103"/>
      <c r="DV67" s="103"/>
      <c r="DW67" s="103"/>
      <c r="DX67" s="103"/>
      <c r="DY67" s="103"/>
      <c r="DZ67" s="103"/>
      <c r="EA67" s="103"/>
      <c r="EB67" s="103"/>
      <c r="EC67" s="103"/>
      <c r="ED67" s="103"/>
      <c r="EE67" s="103"/>
    </row>
    <row r="68" ht="19.5" customHeight="1">
      <c r="A68" s="78" t="str">
        <f>IF(Roster!$A$66&lt;&gt;"",Roster!$A$66,"")</f>
        <v/>
      </c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103"/>
      <c r="DZ68" s="103"/>
      <c r="EA68" s="103"/>
      <c r="EB68" s="103"/>
      <c r="EC68" s="103"/>
      <c r="ED68" s="103"/>
      <c r="EE68" s="103"/>
    </row>
    <row r="69" ht="19.5" customHeight="1">
      <c r="A69" s="78" t="str">
        <f>IF(Roster!$A$67&lt;&gt;"",Roster!$A$67,"")</f>
        <v/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3"/>
      <c r="DT69" s="103"/>
      <c r="DU69" s="103"/>
      <c r="DV69" s="103"/>
      <c r="DW69" s="103"/>
      <c r="DX69" s="103"/>
      <c r="DY69" s="103"/>
      <c r="DZ69" s="103"/>
      <c r="EA69" s="103"/>
      <c r="EB69" s="103"/>
      <c r="EC69" s="103"/>
      <c r="ED69" s="103"/>
      <c r="EE69" s="103"/>
    </row>
    <row r="70" ht="19.5" customHeight="1">
      <c r="A70" s="78" t="str">
        <f>IF(Roster!$A$68&lt;&gt;"",Roster!$A$68,"")</f>
        <v/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  <c r="DC70" s="103"/>
      <c r="DD70" s="103"/>
      <c r="DE70" s="103"/>
      <c r="DF70" s="103"/>
      <c r="DG70" s="103"/>
      <c r="DH70" s="103"/>
      <c r="DI70" s="103"/>
      <c r="DJ70" s="103"/>
      <c r="DK70" s="103"/>
      <c r="DL70" s="103"/>
      <c r="DM70" s="103"/>
      <c r="DN70" s="103"/>
      <c r="DO70" s="103"/>
      <c r="DP70" s="103"/>
      <c r="DQ70" s="103"/>
      <c r="DR70" s="103"/>
      <c r="DS70" s="103"/>
      <c r="DT70" s="103"/>
      <c r="DU70" s="103"/>
      <c r="DV70" s="103"/>
      <c r="DW70" s="103"/>
      <c r="DX70" s="103"/>
      <c r="DY70" s="103"/>
      <c r="DZ70" s="103"/>
      <c r="EA70" s="103"/>
      <c r="EB70" s="103"/>
      <c r="EC70" s="103"/>
      <c r="ED70" s="103"/>
      <c r="EE70" s="103"/>
    </row>
    <row r="71" ht="19.5" customHeight="1">
      <c r="A71" s="78" t="str">
        <f>IF(Roster!$A$69&lt;&gt;"",Roster!$A$69,"")</f>
        <v/>
      </c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3"/>
      <c r="DT71" s="103"/>
      <c r="DU71" s="103"/>
      <c r="DV71" s="103"/>
      <c r="DW71" s="103"/>
      <c r="DX71" s="103"/>
      <c r="DY71" s="103"/>
      <c r="DZ71" s="103"/>
      <c r="EA71" s="103"/>
      <c r="EB71" s="103"/>
      <c r="EC71" s="103"/>
      <c r="ED71" s="103"/>
      <c r="EE71" s="103"/>
    </row>
    <row r="72" ht="19.5" customHeight="1">
      <c r="A72" s="78" t="str">
        <f>IF(Roster!$A$70&lt;&gt;"",Roster!$A$70,"")</f>
        <v/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/>
      <c r="DZ72" s="103"/>
      <c r="EA72" s="103"/>
      <c r="EB72" s="103"/>
      <c r="EC72" s="103"/>
      <c r="ED72" s="103"/>
      <c r="EE72" s="103"/>
    </row>
    <row r="73" ht="19.5" customHeight="1">
      <c r="A73" s="78" t="str">
        <f>IF(Roster!$A$71&lt;&gt;"",Roster!$A$71,"")</f>
        <v/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3"/>
      <c r="DT73" s="103"/>
      <c r="DU73" s="103"/>
      <c r="DV73" s="103"/>
      <c r="DW73" s="103"/>
      <c r="DX73" s="103"/>
      <c r="DY73" s="103"/>
      <c r="DZ73" s="103"/>
      <c r="EA73" s="103"/>
      <c r="EB73" s="103"/>
      <c r="EC73" s="103"/>
      <c r="ED73" s="103"/>
      <c r="EE73" s="103"/>
    </row>
    <row r="74" ht="19.5" customHeight="1">
      <c r="A74" s="78" t="str">
        <f>IF(Roster!$A$72&lt;&gt;"",Roster!$A$72,"")</f>
        <v/>
      </c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103"/>
      <c r="DZ74" s="103"/>
      <c r="EA74" s="103"/>
      <c r="EB74" s="103"/>
      <c r="EC74" s="103"/>
      <c r="ED74" s="103"/>
      <c r="EE74" s="103"/>
    </row>
    <row r="75" ht="19.5" customHeight="1">
      <c r="A75" s="78" t="str">
        <f>IF(Roster!$A$73&lt;&gt;"",Roster!$A$73,"")</f>
        <v/>
      </c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</row>
    <row r="76" ht="19.5" customHeight="1">
      <c r="A76" s="78" t="str">
        <f>IF(Roster!$A$74&lt;&gt;"",Roster!$A$74,"")</f>
        <v/>
      </c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</row>
    <row r="77" ht="19.5" customHeight="1">
      <c r="A77" s="78" t="str">
        <f>IF(Roster!$A$75&lt;&gt;"",Roster!$A$75,"")</f>
        <v/>
      </c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  <c r="DC77" s="103"/>
      <c r="DD77" s="103"/>
      <c r="DE77" s="103"/>
      <c r="DF77" s="103"/>
      <c r="DG77" s="103"/>
      <c r="DH77" s="103"/>
      <c r="DI77" s="103"/>
      <c r="DJ77" s="103"/>
      <c r="DK77" s="103"/>
      <c r="DL77" s="103"/>
      <c r="DM77" s="103"/>
      <c r="DN77" s="103"/>
      <c r="DO77" s="103"/>
      <c r="DP77" s="103"/>
      <c r="DQ77" s="103"/>
      <c r="DR77" s="103"/>
      <c r="DS77" s="103"/>
      <c r="DT77" s="103"/>
      <c r="DU77" s="103"/>
      <c r="DV77" s="103"/>
      <c r="DW77" s="103"/>
      <c r="DX77" s="103"/>
      <c r="DY77" s="103"/>
      <c r="DZ77" s="103"/>
      <c r="EA77" s="103"/>
      <c r="EB77" s="103"/>
      <c r="EC77" s="103"/>
      <c r="ED77" s="103"/>
      <c r="EE77" s="103"/>
    </row>
    <row r="78" ht="19.5" customHeight="1">
      <c r="A78" s="78" t="str">
        <f>IF(Roster!$A$76&lt;&gt;"",Roster!$A$76,"")</f>
        <v/>
      </c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  <c r="DC78" s="103"/>
      <c r="DD78" s="103"/>
      <c r="DE78" s="103"/>
      <c r="DF78" s="103"/>
      <c r="DG78" s="103"/>
      <c r="DH78" s="103"/>
      <c r="DI78" s="103"/>
      <c r="DJ78" s="103"/>
      <c r="DK78" s="103"/>
      <c r="DL78" s="103"/>
      <c r="DM78" s="103"/>
      <c r="DN78" s="103"/>
      <c r="DO78" s="103"/>
      <c r="DP78" s="103"/>
      <c r="DQ78" s="103"/>
      <c r="DR78" s="103"/>
      <c r="DS78" s="103"/>
      <c r="DT78" s="103"/>
      <c r="DU78" s="103"/>
      <c r="DV78" s="103"/>
      <c r="DW78" s="103"/>
      <c r="DX78" s="103"/>
      <c r="DY78" s="103"/>
      <c r="DZ78" s="103"/>
      <c r="EA78" s="103"/>
      <c r="EB78" s="103"/>
      <c r="EC78" s="103"/>
      <c r="ED78" s="103"/>
      <c r="EE78" s="103"/>
    </row>
    <row r="79" ht="19.5" customHeight="1">
      <c r="A79" s="78" t="str">
        <f>IF(Roster!$A$77&lt;&gt;"",Roster!$A$77,"")</f>
        <v/>
      </c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  <c r="DC79" s="103"/>
      <c r="DD79" s="103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3"/>
      <c r="DT79" s="103"/>
      <c r="DU79" s="103"/>
      <c r="DV79" s="103"/>
      <c r="DW79" s="103"/>
      <c r="DX79" s="103"/>
      <c r="DY79" s="103"/>
      <c r="DZ79" s="103"/>
      <c r="EA79" s="103"/>
      <c r="EB79" s="103"/>
      <c r="EC79" s="103"/>
      <c r="ED79" s="103"/>
      <c r="EE79" s="103"/>
    </row>
    <row r="80" ht="19.5" customHeight="1">
      <c r="A80" s="78" t="str">
        <f>IF(Roster!$A$78&lt;&gt;"",Roster!$A$78,"")</f>
        <v/>
      </c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  <c r="DC80" s="103"/>
      <c r="DD80" s="103"/>
      <c r="DE80" s="103"/>
      <c r="DF80" s="103"/>
      <c r="DG80" s="103"/>
      <c r="DH80" s="103"/>
      <c r="DI80" s="103"/>
      <c r="DJ80" s="103"/>
      <c r="DK80" s="103"/>
      <c r="DL80" s="103"/>
      <c r="DM80" s="103"/>
      <c r="DN80" s="103"/>
      <c r="DO80" s="103"/>
      <c r="DP80" s="103"/>
      <c r="DQ80" s="103"/>
      <c r="DR80" s="103"/>
      <c r="DS80" s="103"/>
      <c r="DT80" s="103"/>
      <c r="DU80" s="103"/>
      <c r="DV80" s="103"/>
      <c r="DW80" s="103"/>
      <c r="DX80" s="103"/>
      <c r="DY80" s="103"/>
      <c r="DZ80" s="103"/>
      <c r="EA80" s="103"/>
      <c r="EB80" s="103"/>
      <c r="EC80" s="103"/>
      <c r="ED80" s="103"/>
      <c r="EE80" s="103"/>
    </row>
    <row r="81" ht="19.5" customHeight="1">
      <c r="A81" s="78" t="str">
        <f>IF(Roster!$A$79&lt;&gt;"",Roster!$A$79,"")</f>
        <v/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  <c r="DC81" s="103"/>
      <c r="DD81" s="103"/>
      <c r="DE81" s="103"/>
      <c r="DF81" s="103"/>
      <c r="DG81" s="103"/>
      <c r="DH81" s="103"/>
      <c r="DI81" s="103"/>
      <c r="DJ81" s="103"/>
      <c r="DK81" s="103"/>
      <c r="DL81" s="103"/>
      <c r="DM81" s="103"/>
      <c r="DN81" s="103"/>
      <c r="DO81" s="103"/>
      <c r="DP81" s="103"/>
      <c r="DQ81" s="103"/>
      <c r="DR81" s="103"/>
      <c r="DS81" s="103"/>
      <c r="DT81" s="103"/>
      <c r="DU81" s="103"/>
      <c r="DV81" s="103"/>
      <c r="DW81" s="103"/>
      <c r="DX81" s="103"/>
      <c r="DY81" s="103"/>
      <c r="DZ81" s="103"/>
      <c r="EA81" s="103"/>
      <c r="EB81" s="103"/>
      <c r="EC81" s="103"/>
      <c r="ED81" s="103"/>
      <c r="EE81" s="103"/>
    </row>
    <row r="82" ht="19.5" customHeight="1">
      <c r="A82" s="78" t="str">
        <f>IF(Roster!$A$80&lt;&gt;"",Roster!$A$80,"")</f>
        <v/>
      </c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3"/>
      <c r="DT82" s="103"/>
      <c r="DU82" s="103"/>
      <c r="DV82" s="103"/>
      <c r="DW82" s="103"/>
      <c r="DX82" s="103"/>
      <c r="DY82" s="103"/>
      <c r="DZ82" s="103"/>
      <c r="EA82" s="103"/>
      <c r="EB82" s="103"/>
      <c r="EC82" s="103"/>
      <c r="ED82" s="103"/>
      <c r="EE82" s="103"/>
    </row>
    <row r="83" ht="19.5" customHeight="1">
      <c r="A83" s="78" t="str">
        <f>IF(Roster!$A$81&lt;&gt;"",Roster!$A$81,"")</f>
        <v/>
      </c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</row>
    <row r="84" ht="19.5" customHeight="1">
      <c r="A84" s="78" t="str">
        <f>IF(Roster!$A$82&lt;&gt;"",Roster!$A$82,"")</f>
        <v/>
      </c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3"/>
      <c r="DT84" s="103"/>
      <c r="DU84" s="103"/>
      <c r="DV84" s="103"/>
      <c r="DW84" s="103"/>
      <c r="DX84" s="103"/>
      <c r="DY84" s="103"/>
      <c r="DZ84" s="103"/>
      <c r="EA84" s="103"/>
      <c r="EB84" s="103"/>
      <c r="EC84" s="103"/>
      <c r="ED84" s="103"/>
      <c r="EE84" s="103"/>
    </row>
    <row r="85" ht="19.5" customHeight="1">
      <c r="A85" s="78" t="str">
        <f>IF(Roster!$A$83&lt;&gt;"",Roster!$A$83,"")</f>
        <v/>
      </c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3"/>
      <c r="DT85" s="103"/>
      <c r="DU85" s="103"/>
      <c r="DV85" s="103"/>
      <c r="DW85" s="103"/>
      <c r="DX85" s="103"/>
      <c r="DY85" s="103"/>
      <c r="DZ85" s="103"/>
      <c r="EA85" s="103"/>
      <c r="EB85" s="103"/>
      <c r="EC85" s="103"/>
      <c r="ED85" s="103"/>
      <c r="EE85" s="103"/>
    </row>
    <row r="86" ht="19.5" customHeight="1">
      <c r="A86" s="78" t="str">
        <f>IF(Roster!$A$84&lt;&gt;"",Roster!$A$84,"")</f>
        <v/>
      </c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/>
    </row>
    <row r="87" ht="19.5" customHeight="1">
      <c r="A87" s="78" t="str">
        <f>IF(Roster!$A$85&lt;&gt;"",Roster!$A$85,"")</f>
        <v/>
      </c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</row>
    <row r="88" ht="19.5" customHeight="1">
      <c r="A88" s="78" t="str">
        <f>IF(Roster!$A$86&lt;&gt;"",Roster!$A$86,"")</f>
        <v/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3"/>
      <c r="DT88" s="103"/>
      <c r="DU88" s="103"/>
      <c r="DV88" s="103"/>
      <c r="DW88" s="103"/>
      <c r="DX88" s="103"/>
      <c r="DY88" s="103"/>
      <c r="DZ88" s="103"/>
      <c r="EA88" s="103"/>
      <c r="EB88" s="103"/>
      <c r="EC88" s="103"/>
      <c r="ED88" s="103"/>
      <c r="EE88" s="103"/>
    </row>
    <row r="89" ht="19.5" customHeight="1">
      <c r="A89" s="78" t="str">
        <f>IF(Roster!$A$87&lt;&gt;"",Roster!$A$87,"")</f>
        <v/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</row>
    <row r="90" ht="19.5" customHeight="1">
      <c r="A90" s="78" t="str">
        <f>IF(Roster!$A$88&lt;&gt;"",Roster!$A$88,"")</f>
        <v/>
      </c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</row>
    <row r="91" ht="19.5" customHeight="1">
      <c r="A91" s="78" t="str">
        <f>IF(Roster!$A$89&lt;&gt;"",Roster!$A$89,"")</f>
        <v/>
      </c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</row>
    <row r="92" ht="19.5" customHeight="1">
      <c r="A92" s="78" t="str">
        <f>IF(Roster!$A$90&lt;&gt;"",Roster!$A$90,"")</f>
        <v/>
      </c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</row>
    <row r="93" ht="19.5" customHeight="1">
      <c r="A93" s="78" t="str">
        <f>IF(Roster!$A$91&lt;&gt;"",Roster!$A$91,"")</f>
        <v/>
      </c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/>
      <c r="DQ93" s="103"/>
      <c r="DR93" s="103"/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</row>
    <row r="94" ht="19.5" customHeight="1">
      <c r="A94" s="78" t="str">
        <f>IF(Roster!$A$92&lt;&gt;"",Roster!$A$92,"")</f>
        <v/>
      </c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/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</row>
    <row r="95" ht="19.5" customHeight="1">
      <c r="A95" s="78" t="str">
        <f>IF(Roster!$A$93&lt;&gt;"",Roster!$A$93,"")</f>
        <v/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</row>
    <row r="96" ht="19.5" customHeight="1">
      <c r="A96" s="78" t="str">
        <f>IF(Roster!$A$94&lt;&gt;"",Roster!$A$94,"")</f>
        <v/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</row>
    <row r="97" ht="19.5" customHeight="1">
      <c r="A97" s="78" t="str">
        <f>IF(Roster!$A$95&lt;&gt;"",Roster!$A$95,"")</f>
        <v/>
      </c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  <c r="DC97" s="103"/>
      <c r="DD97" s="103"/>
      <c r="DE97" s="103"/>
      <c r="DF97" s="103"/>
      <c r="DG97" s="103"/>
      <c r="DH97" s="103"/>
      <c r="DI97" s="103"/>
      <c r="DJ97" s="103"/>
      <c r="DK97" s="103"/>
      <c r="DL97" s="103"/>
      <c r="DM97" s="103"/>
      <c r="DN97" s="103"/>
      <c r="DO97" s="103"/>
      <c r="DP97" s="103"/>
      <c r="DQ97" s="103"/>
      <c r="DR97" s="103"/>
      <c r="DS97" s="103"/>
      <c r="DT97" s="103"/>
      <c r="DU97" s="103"/>
      <c r="DV97" s="103"/>
      <c r="DW97" s="103"/>
      <c r="DX97" s="103"/>
      <c r="DY97" s="103"/>
      <c r="DZ97" s="103"/>
      <c r="EA97" s="103"/>
      <c r="EB97" s="103"/>
      <c r="EC97" s="103"/>
      <c r="ED97" s="103"/>
      <c r="EE97" s="103"/>
    </row>
    <row r="98" ht="19.5" customHeight="1">
      <c r="A98" s="78" t="str">
        <f>IF(Roster!$A$96&lt;&gt;"",Roster!$A$96,"")</f>
        <v/>
      </c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</row>
    <row r="99" ht="19.5" customHeight="1">
      <c r="A99" s="78" t="str">
        <f>IF(Roster!$A$97&lt;&gt;"",Roster!$A$97,"")</f>
        <v/>
      </c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  <c r="DC99" s="103"/>
      <c r="DD99" s="103"/>
      <c r="DE99" s="103"/>
      <c r="DF99" s="103"/>
      <c r="DG99" s="103"/>
      <c r="DH99" s="103"/>
      <c r="DI99" s="103"/>
      <c r="DJ99" s="103"/>
      <c r="DK99" s="103"/>
      <c r="DL99" s="103"/>
      <c r="DM99" s="103"/>
      <c r="DN99" s="103"/>
      <c r="DO99" s="103"/>
      <c r="DP99" s="103"/>
      <c r="DQ99" s="103"/>
      <c r="DR99" s="103"/>
      <c r="DS99" s="103"/>
      <c r="DT99" s="103"/>
      <c r="DU99" s="103"/>
      <c r="DV99" s="103"/>
      <c r="DW99" s="103"/>
      <c r="DX99" s="103"/>
      <c r="DY99" s="103"/>
      <c r="DZ99" s="103"/>
      <c r="EA99" s="103"/>
      <c r="EB99" s="103"/>
      <c r="EC99" s="103"/>
      <c r="ED99" s="103"/>
      <c r="EE99" s="103"/>
    </row>
    <row r="100" ht="19.5" customHeight="1">
      <c r="A100" s="78" t="str">
        <f>IF(Roster!$A$98&lt;&gt;"",Roster!$A$98,"")</f>
        <v/>
      </c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</row>
    <row r="101" ht="19.5" customHeight="1">
      <c r="A101" s="78" t="str">
        <f>IF(Roster!$A$99&lt;&gt;"",Roster!$A$99,"")</f>
        <v/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</row>
    <row r="102" ht="19.5" customHeight="1">
      <c r="A102" s="78" t="str">
        <f>IF(Roster!$A$100&lt;&gt;"",Roster!$A$100,"")</f>
        <v/>
      </c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</row>
    <row r="103" ht="19.5" customHeight="1">
      <c r="A103" s="78" t="str">
        <f>IF(Roster!$A$101&lt;&gt;"",Roster!$A$101,"")</f>
        <v/>
      </c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</row>
    <row r="104" ht="19.5" customHeight="1">
      <c r="A104" s="78" t="str">
        <f>IF(Roster!$A$102&lt;&gt;"",Roster!$A$102,"")</f>
        <v/>
      </c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  <c r="DC104" s="103"/>
      <c r="DD104" s="103"/>
      <c r="DE104" s="103"/>
      <c r="DF104" s="103"/>
      <c r="DG104" s="103"/>
      <c r="DH104" s="103"/>
      <c r="DI104" s="103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3"/>
      <c r="DT104" s="103"/>
      <c r="DU104" s="103"/>
      <c r="DV104" s="103"/>
      <c r="DW104" s="103"/>
      <c r="DX104" s="103"/>
      <c r="DY104" s="103"/>
      <c r="DZ104" s="103"/>
      <c r="EA104" s="103"/>
      <c r="EB104" s="103"/>
      <c r="EC104" s="103"/>
      <c r="ED104" s="103"/>
      <c r="EE104" s="103"/>
    </row>
    <row r="105" ht="19.5" customHeight="1">
      <c r="A105" s="78" t="str">
        <f>IF(Roster!$A$103&lt;&gt;"",Roster!$A$103,"")</f>
        <v/>
      </c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</row>
    <row r="106" ht="19.5" customHeight="1">
      <c r="A106" s="78" t="str">
        <f>IF(Roster!$A$104&lt;&gt;"",Roster!$A$104,"")</f>
        <v/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  <c r="DC106" s="103"/>
      <c r="DD106" s="103"/>
      <c r="DE106" s="103"/>
      <c r="DF106" s="103"/>
      <c r="DG106" s="103"/>
      <c r="DH106" s="103"/>
      <c r="DI106" s="103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/>
      <c r="DT106" s="103"/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</row>
    <row r="107" ht="19.5" customHeight="1">
      <c r="A107" s="78" t="str">
        <f>IF(Roster!$A$105&lt;&gt;"",Roster!$A$105,"")</f>
        <v/>
      </c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  <c r="DC107" s="103"/>
      <c r="DD107" s="103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</row>
    <row r="108" ht="19.5" customHeight="1">
      <c r="A108" s="78" t="str">
        <f>IF(Roster!$A$106&lt;&gt;"",Roster!$A$106,"")</f>
        <v/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  <c r="DC108" s="103"/>
      <c r="DD108" s="103"/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</row>
    <row r="109" ht="19.5" customHeight="1">
      <c r="A109" s="78" t="str">
        <f>IF(Roster!$A$107&lt;&gt;"",Roster!$A$107,"")</f>
        <v/>
      </c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</row>
    <row r="110" ht="19.5" customHeight="1">
      <c r="A110" s="78" t="str">
        <f>IF(Roster!$A$108&lt;&gt;"",Roster!$A$108,"")</f>
        <v/>
      </c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</row>
    <row r="111" ht="19.5" customHeight="1">
      <c r="A111" s="78" t="str">
        <f>IF(Roster!$A$109&lt;&gt;"",Roster!$A$109,"")</f>
        <v/>
      </c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  <c r="DC111" s="103"/>
      <c r="DD111" s="103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3"/>
      <c r="DT111" s="103"/>
      <c r="DU111" s="103"/>
      <c r="DV111" s="103"/>
      <c r="DW111" s="103"/>
      <c r="DX111" s="103"/>
      <c r="DY111" s="103"/>
      <c r="DZ111" s="103"/>
      <c r="EA111" s="103"/>
      <c r="EB111" s="103"/>
      <c r="EC111" s="103"/>
      <c r="ED111" s="103"/>
      <c r="EE111" s="103"/>
    </row>
    <row r="112" ht="19.5" customHeight="1">
      <c r="A112" s="78" t="str">
        <f>IF(Roster!$A$110&lt;&gt;"",Roster!$A$110,"")</f>
        <v/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/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</row>
    <row r="113" ht="19.5" customHeight="1">
      <c r="A113" s="78" t="str">
        <f>IF(Roster!$A$111&lt;&gt;"",Roster!$A$111,"")</f>
        <v/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3"/>
      <c r="DF113" s="103"/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</row>
    <row r="114" ht="19.5" customHeight="1">
      <c r="A114" s="78" t="str">
        <f>IF(Roster!$A$112&lt;&gt;"",Roster!$A$112,"")</f>
        <v/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/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</row>
    <row r="115" ht="19.5" customHeight="1">
      <c r="A115" s="78" t="str">
        <f>IF(Roster!$A$113&lt;&gt;"",Roster!$A$113,"")</f>
        <v/>
      </c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  <c r="DC115" s="103"/>
      <c r="DD115" s="103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</row>
    <row r="116" ht="19.5" customHeight="1">
      <c r="A116" s="78" t="str">
        <f>IF(Roster!$A$114&lt;&gt;"",Roster!$A$114,"")</f>
        <v/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  <c r="DC116" s="103"/>
      <c r="DD116" s="103"/>
      <c r="DE116" s="103"/>
      <c r="DF116" s="103"/>
      <c r="DG116" s="103"/>
      <c r="DH116" s="103"/>
      <c r="DI116" s="103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</row>
    <row r="117" ht="19.5" customHeight="1">
      <c r="A117" s="78" t="str">
        <f>IF(Roster!$A$115&lt;&gt;"",Roster!$A$115,"")</f>
        <v/>
      </c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</row>
    <row r="118" ht="19.5" customHeight="1">
      <c r="A118" s="78" t="str">
        <f>IF(Roster!$A$116&lt;&gt;"",Roster!$A$116,"")</f>
        <v/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3"/>
      <c r="DT118" s="103"/>
      <c r="DU118" s="103"/>
      <c r="DV118" s="103"/>
      <c r="DW118" s="103"/>
      <c r="DX118" s="103"/>
      <c r="DY118" s="103"/>
      <c r="DZ118" s="103"/>
      <c r="EA118" s="103"/>
      <c r="EB118" s="103"/>
      <c r="EC118" s="103"/>
      <c r="ED118" s="103"/>
      <c r="EE118" s="103"/>
    </row>
    <row r="119" ht="19.5" customHeight="1">
      <c r="A119" s="78" t="str">
        <f>IF(Roster!$A$117&lt;&gt;"",Roster!$A$117,"")</f>
        <v/>
      </c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  <c r="DC119" s="103"/>
      <c r="DD119" s="103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3"/>
      <c r="DT119" s="103"/>
      <c r="DU119" s="103"/>
      <c r="DV119" s="103"/>
      <c r="DW119" s="103"/>
      <c r="DX119" s="103"/>
      <c r="DY119" s="103"/>
      <c r="DZ119" s="103"/>
      <c r="EA119" s="103"/>
      <c r="EB119" s="103"/>
      <c r="EC119" s="103"/>
      <c r="ED119" s="103"/>
      <c r="EE119" s="103"/>
    </row>
    <row r="120" ht="19.5" customHeight="1">
      <c r="A120" s="78" t="str">
        <f>IF(Roster!$A$118&lt;&gt;"",Roster!$A$118,"")</f>
        <v/>
      </c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3"/>
      <c r="DT120" s="103"/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</row>
    <row r="121" ht="19.5" customHeight="1">
      <c r="A121" s="78" t="str">
        <f>IF(Roster!$A$119&lt;&gt;"",Roster!$A$119,"")</f>
        <v/>
      </c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3"/>
      <c r="DT121" s="103"/>
      <c r="DU121" s="103"/>
      <c r="DV121" s="103"/>
      <c r="DW121" s="103"/>
      <c r="DX121" s="103"/>
      <c r="DY121" s="103"/>
      <c r="DZ121" s="103"/>
      <c r="EA121" s="103"/>
      <c r="EB121" s="103"/>
      <c r="EC121" s="103"/>
      <c r="ED121" s="103"/>
      <c r="EE121" s="103"/>
    </row>
    <row r="122" ht="19.5" customHeight="1">
      <c r="A122" s="78" t="str">
        <f>IF(Roster!$A$120&lt;&gt;"",Roster!$A$120,"")</f>
        <v/>
      </c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</row>
    <row r="123" ht="19.5" customHeight="1">
      <c r="A123" s="78" t="str">
        <f>IF(Roster!$A$121&lt;&gt;"",Roster!$A$121,"")</f>
        <v/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103"/>
      <c r="DU123" s="103"/>
      <c r="DV123" s="103"/>
      <c r="DW123" s="103"/>
      <c r="DX123" s="103"/>
      <c r="DY123" s="103"/>
      <c r="DZ123" s="103"/>
      <c r="EA123" s="103"/>
      <c r="EB123" s="103"/>
      <c r="EC123" s="103"/>
      <c r="ED123" s="103"/>
      <c r="EE123" s="103"/>
    </row>
    <row r="124" ht="19.5" customHeight="1">
      <c r="A124" s="78" t="str">
        <f>IF(Roster!$A$122&lt;&gt;"",Roster!$A$122,"")</f>
        <v/>
      </c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103"/>
      <c r="DU124" s="103"/>
      <c r="DV124" s="103"/>
      <c r="DW124" s="103"/>
      <c r="DX124" s="103"/>
      <c r="DY124" s="103"/>
      <c r="DZ124" s="103"/>
      <c r="EA124" s="103"/>
      <c r="EB124" s="103"/>
      <c r="EC124" s="103"/>
      <c r="ED124" s="103"/>
      <c r="EE124" s="103"/>
    </row>
    <row r="125" ht="19.5" customHeight="1">
      <c r="A125" s="78" t="str">
        <f>IF(Roster!$A$123&lt;&gt;"",Roster!$A$123,"")</f>
        <v/>
      </c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3"/>
      <c r="DT125" s="103"/>
      <c r="DU125" s="103"/>
      <c r="DV125" s="103"/>
      <c r="DW125" s="103"/>
      <c r="DX125" s="103"/>
      <c r="DY125" s="103"/>
      <c r="DZ125" s="103"/>
      <c r="EA125" s="103"/>
      <c r="EB125" s="103"/>
      <c r="EC125" s="103"/>
      <c r="ED125" s="103"/>
      <c r="EE125" s="103"/>
    </row>
    <row r="126" ht="19.5" customHeight="1">
      <c r="A126" s="78" t="str">
        <f>IF(Roster!$A$124&lt;&gt;"",Roster!$A$124,"")</f>
        <v/>
      </c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/>
      <c r="DT126" s="103"/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</row>
    <row r="127" ht="19.5" customHeight="1">
      <c r="A127" s="78" t="str">
        <f>IF(Roster!$A$125&lt;&gt;"",Roster!$A$125,"")</f>
        <v/>
      </c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/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</row>
    <row r="128" ht="19.5" customHeight="1">
      <c r="A128" s="78" t="str">
        <f>IF(Roster!$A$126&lt;&gt;"",Roster!$A$126,"")</f>
        <v/>
      </c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/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</row>
    <row r="129" ht="19.5" customHeight="1">
      <c r="A129" s="78" t="str">
        <f>IF(Roster!$A$127&lt;&gt;"",Roster!$A$127,"")</f>
        <v/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  <c r="DC129" s="103"/>
      <c r="DD129" s="103"/>
      <c r="DE129" s="103"/>
      <c r="DF129" s="103"/>
      <c r="DG129" s="103"/>
      <c r="DH129" s="103"/>
      <c r="DI129" s="103"/>
      <c r="DJ129" s="103"/>
      <c r="DK129" s="103"/>
      <c r="DL129" s="103"/>
      <c r="DM129" s="103"/>
      <c r="DN129" s="103"/>
      <c r="DO129" s="103"/>
      <c r="DP129" s="103"/>
      <c r="DQ129" s="103"/>
      <c r="DR129" s="103"/>
      <c r="DS129" s="103"/>
      <c r="DT129" s="103"/>
      <c r="DU129" s="103"/>
      <c r="DV129" s="103"/>
      <c r="DW129" s="103"/>
      <c r="DX129" s="103"/>
      <c r="DY129" s="103"/>
      <c r="DZ129" s="103"/>
      <c r="EA129" s="103"/>
      <c r="EB129" s="103"/>
      <c r="EC129" s="103"/>
      <c r="ED129" s="103"/>
      <c r="EE129" s="103"/>
    </row>
    <row r="130" ht="19.5" customHeight="1">
      <c r="A130" s="78" t="str">
        <f>IF(Roster!$A$128&lt;&gt;"",Roster!$A$128,"")</f>
        <v/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/>
      <c r="DU130" s="103"/>
      <c r="DV130" s="103"/>
      <c r="DW130" s="103"/>
      <c r="DX130" s="103"/>
      <c r="DY130" s="103"/>
      <c r="DZ130" s="103"/>
      <c r="EA130" s="103"/>
      <c r="EB130" s="103"/>
      <c r="EC130" s="103"/>
      <c r="ED130" s="103"/>
      <c r="EE130" s="103"/>
    </row>
    <row r="131" ht="19.5" customHeight="1">
      <c r="A131" s="78" t="str">
        <f>IF(Roster!$A$129&lt;&gt;"",Roster!$A$129,"")</f>
        <v/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3"/>
      <c r="DT131" s="103"/>
      <c r="DU131" s="103"/>
      <c r="DV131" s="103"/>
      <c r="DW131" s="103"/>
      <c r="DX131" s="103"/>
      <c r="DY131" s="103"/>
      <c r="DZ131" s="103"/>
      <c r="EA131" s="103"/>
      <c r="EB131" s="103"/>
      <c r="EC131" s="103"/>
      <c r="ED131" s="103"/>
      <c r="EE131" s="103"/>
    </row>
    <row r="132" ht="19.5" customHeight="1">
      <c r="A132" s="78" t="str">
        <f>IF(Roster!$A$130&lt;&gt;"",Roster!$A$130,"")</f>
        <v/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/>
      <c r="DU132" s="103"/>
      <c r="DV132" s="103"/>
      <c r="DW132" s="103"/>
      <c r="DX132" s="103"/>
      <c r="DY132" s="103"/>
      <c r="DZ132" s="103"/>
      <c r="EA132" s="103"/>
      <c r="EB132" s="103"/>
      <c r="EC132" s="103"/>
      <c r="ED132" s="103"/>
      <c r="EE132" s="103"/>
    </row>
    <row r="133" ht="19.5" customHeight="1">
      <c r="A133" s="78" t="str">
        <f>IF(Roster!$A$131&lt;&gt;"",Roster!$A$131,"")</f>
        <v/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/>
      <c r="DU133" s="103"/>
      <c r="DV133" s="103"/>
      <c r="DW133" s="103"/>
      <c r="DX133" s="103"/>
      <c r="DY133" s="103"/>
      <c r="DZ133" s="103"/>
      <c r="EA133" s="103"/>
      <c r="EB133" s="103"/>
      <c r="EC133" s="103"/>
      <c r="ED133" s="103"/>
      <c r="EE133" s="103"/>
    </row>
    <row r="134" ht="19.5" customHeight="1">
      <c r="A134" s="78" t="str">
        <f>IF(Roster!$A$132&lt;&gt;"",Roster!$A$132,"")</f>
        <v/>
      </c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/>
      <c r="DU134" s="103"/>
      <c r="DV134" s="103"/>
      <c r="DW134" s="103"/>
      <c r="DX134" s="103"/>
      <c r="DY134" s="103"/>
      <c r="DZ134" s="103"/>
      <c r="EA134" s="103"/>
      <c r="EB134" s="103"/>
      <c r="EC134" s="103"/>
      <c r="ED134" s="103"/>
      <c r="EE134" s="103"/>
    </row>
    <row r="135" ht="19.5" customHeight="1">
      <c r="A135" s="78" t="str">
        <f>IF(Roster!$A$133&lt;&gt;"",Roster!$A$133,"")</f>
        <v/>
      </c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3"/>
      <c r="DT135" s="103"/>
      <c r="DU135" s="103"/>
      <c r="DV135" s="103"/>
      <c r="DW135" s="103"/>
      <c r="DX135" s="103"/>
      <c r="DY135" s="103"/>
      <c r="DZ135" s="103"/>
      <c r="EA135" s="103"/>
      <c r="EB135" s="103"/>
      <c r="EC135" s="103"/>
      <c r="ED135" s="103"/>
      <c r="EE135" s="103"/>
    </row>
    <row r="136" ht="19.5" customHeight="1">
      <c r="A136" s="78" t="str">
        <f>IF(Roster!$A$134&lt;&gt;"",Roster!$A$134,"")</f>
        <v/>
      </c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/>
      <c r="DK136" s="103"/>
      <c r="DL136" s="103"/>
      <c r="DM136" s="103"/>
      <c r="DN136" s="103"/>
      <c r="DO136" s="103"/>
      <c r="DP136" s="103"/>
      <c r="DQ136" s="103"/>
      <c r="DR136" s="103"/>
      <c r="DS136" s="103"/>
      <c r="DT136" s="103"/>
      <c r="DU136" s="103"/>
      <c r="DV136" s="103"/>
      <c r="DW136" s="103"/>
      <c r="DX136" s="103"/>
      <c r="DY136" s="103"/>
      <c r="DZ136" s="103"/>
      <c r="EA136" s="103"/>
      <c r="EB136" s="103"/>
      <c r="EC136" s="103"/>
      <c r="ED136" s="103"/>
      <c r="EE136" s="103"/>
    </row>
    <row r="137" ht="19.5" customHeight="1">
      <c r="A137" s="78" t="str">
        <f>IF(Roster!$A$135&lt;&gt;"",Roster!$A$135,"")</f>
        <v/>
      </c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/>
      <c r="EE137" s="103"/>
    </row>
    <row r="138" ht="19.5" customHeight="1">
      <c r="A138" s="78" t="str">
        <f>IF(Roster!$A$136&lt;&gt;"",Roster!$A$136,"")</f>
        <v/>
      </c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/>
    </row>
    <row r="139" ht="19.5" customHeight="1">
      <c r="A139" s="78" t="str">
        <f>IF(Roster!$A$137&lt;&gt;"",Roster!$A$137,"")</f>
        <v/>
      </c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</row>
    <row r="140" ht="19.5" customHeight="1">
      <c r="A140" s="78" t="str">
        <f>IF(Roster!$A$138&lt;&gt;"",Roster!$A$138,"")</f>
        <v/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</row>
    <row r="141" ht="19.5" customHeight="1">
      <c r="A141" s="78" t="str">
        <f>IF(Roster!$A$139&lt;&gt;"",Roster!$A$139,"")</f>
        <v/>
      </c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</row>
    <row r="142" ht="19.5" customHeight="1">
      <c r="A142" s="78" t="str">
        <f>IF(Roster!$A$140&lt;&gt;"",Roster!$A$140,"")</f>
        <v/>
      </c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</row>
    <row r="143" ht="19.5" customHeight="1">
      <c r="A143" s="78" t="str">
        <f>IF(Roster!$A$141&lt;&gt;"",Roster!$A$141,"")</f>
        <v/>
      </c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</row>
    <row r="144" ht="19.5" customHeight="1">
      <c r="A144" s="78" t="str">
        <f>IF(Roster!$A$142&lt;&gt;"",Roster!$A$142,"")</f>
        <v/>
      </c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  <c r="DC144" s="103"/>
      <c r="DD144" s="103"/>
      <c r="DE144" s="103"/>
      <c r="DF144" s="103"/>
      <c r="DG144" s="103"/>
      <c r="DH144" s="103"/>
      <c r="DI144" s="103"/>
      <c r="DJ144" s="103"/>
      <c r="DK144" s="103"/>
      <c r="DL144" s="103"/>
      <c r="DM144" s="103"/>
      <c r="DN144" s="103"/>
      <c r="DO144" s="103"/>
      <c r="DP144" s="103"/>
      <c r="DQ144" s="103"/>
      <c r="DR144" s="103"/>
      <c r="DS144" s="103"/>
      <c r="DT144" s="103"/>
      <c r="DU144" s="103"/>
      <c r="DV144" s="103"/>
      <c r="DW144" s="103"/>
      <c r="DX144" s="103"/>
      <c r="DY144" s="103"/>
      <c r="DZ144" s="103"/>
      <c r="EA144" s="103"/>
      <c r="EB144" s="103"/>
      <c r="EC144" s="103"/>
      <c r="ED144" s="103"/>
      <c r="EE144" s="103"/>
    </row>
    <row r="145" ht="19.5" customHeight="1">
      <c r="A145" s="78" t="str">
        <f>IF(Roster!$A$143&lt;&gt;"",Roster!$A$143,"")</f>
        <v/>
      </c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3"/>
      <c r="DT145" s="103"/>
      <c r="DU145" s="103"/>
      <c r="DV145" s="103"/>
      <c r="DW145" s="103"/>
      <c r="DX145" s="103"/>
      <c r="DY145" s="103"/>
      <c r="DZ145" s="103"/>
      <c r="EA145" s="103"/>
      <c r="EB145" s="103"/>
      <c r="EC145" s="103"/>
      <c r="ED145" s="103"/>
      <c r="EE145" s="103"/>
    </row>
    <row r="146" ht="19.5" customHeight="1">
      <c r="A146" s="78" t="str">
        <f>IF(Roster!$A$144&lt;&gt;"",Roster!$A$144,"")</f>
        <v/>
      </c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3"/>
      <c r="DT146" s="103"/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</row>
    <row r="147" ht="19.5" customHeight="1">
      <c r="A147" s="78" t="str">
        <f>IF(Roster!$A$145&lt;&gt;"",Roster!$A$145,"")</f>
        <v/>
      </c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3"/>
      <c r="DT147" s="103"/>
      <c r="DU147" s="103"/>
      <c r="DV147" s="103"/>
      <c r="DW147" s="103"/>
      <c r="DX147" s="103"/>
      <c r="DY147" s="103"/>
      <c r="DZ147" s="103"/>
      <c r="EA147" s="103"/>
      <c r="EB147" s="103"/>
      <c r="EC147" s="103"/>
      <c r="ED147" s="103"/>
      <c r="EE147" s="103"/>
    </row>
    <row r="148" ht="19.5" customHeight="1">
      <c r="A148" s="78" t="str">
        <f>IF(Roster!$A$146&lt;&gt;"",Roster!$A$146,"")</f>
        <v/>
      </c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</row>
    <row r="149" ht="19.5" customHeight="1">
      <c r="A149" s="78" t="str">
        <f>IF(Roster!$A$147&lt;&gt;"",Roster!$A$147,"")</f>
        <v/>
      </c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/>
      <c r="DK149" s="103"/>
      <c r="DL149" s="103"/>
      <c r="DM149" s="103"/>
      <c r="DN149" s="103"/>
      <c r="DO149" s="103"/>
      <c r="DP149" s="103"/>
      <c r="DQ149" s="103"/>
      <c r="DR149" s="103"/>
      <c r="DS149" s="103"/>
      <c r="DT149" s="103"/>
      <c r="DU149" s="103"/>
      <c r="DV149" s="103"/>
      <c r="DW149" s="103"/>
      <c r="DX149" s="103"/>
      <c r="DY149" s="103"/>
      <c r="DZ149" s="103"/>
      <c r="EA149" s="103"/>
      <c r="EB149" s="103"/>
      <c r="EC149" s="103"/>
      <c r="ED149" s="103"/>
      <c r="EE149" s="103"/>
    </row>
    <row r="150" ht="19.5" customHeight="1">
      <c r="A150" s="78" t="str">
        <f>IF(Roster!$A$148&lt;&gt;"",Roster!$A$148,"")</f>
        <v/>
      </c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/>
      <c r="DY150" s="103"/>
      <c r="DZ150" s="103"/>
      <c r="EA150" s="103"/>
      <c r="EB150" s="103"/>
      <c r="EC150" s="103"/>
      <c r="ED150" s="103"/>
      <c r="EE150" s="103"/>
    </row>
    <row r="151" ht="19.5" customHeight="1">
      <c r="A151" s="78" t="str">
        <f>IF(Roster!$A$149&lt;&gt;"",Roster!$A$149,"")</f>
        <v/>
      </c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  <c r="DC151" s="103"/>
      <c r="DD151" s="103"/>
      <c r="DE151" s="103"/>
      <c r="DF151" s="103"/>
      <c r="DG151" s="103"/>
      <c r="DH151" s="103"/>
      <c r="DI151" s="103"/>
      <c r="DJ151" s="103"/>
      <c r="DK151" s="103"/>
      <c r="DL151" s="103"/>
      <c r="DM151" s="103"/>
      <c r="DN151" s="103"/>
      <c r="DO151" s="103"/>
      <c r="DP151" s="103"/>
      <c r="DQ151" s="103"/>
      <c r="DR151" s="103"/>
      <c r="DS151" s="103"/>
      <c r="DT151" s="103"/>
      <c r="DU151" s="103"/>
      <c r="DV151" s="103"/>
      <c r="DW151" s="103"/>
      <c r="DX151" s="103"/>
      <c r="DY151" s="103"/>
      <c r="DZ151" s="103"/>
      <c r="EA151" s="103"/>
      <c r="EB151" s="103"/>
      <c r="EC151" s="103"/>
      <c r="ED151" s="103"/>
      <c r="EE151" s="103"/>
    </row>
    <row r="152" ht="19.5" customHeight="1">
      <c r="A152" s="78" t="str">
        <f>IF(Roster!$A$150&lt;&gt;"",Roster!$A$150,"")</f>
        <v/>
      </c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</row>
    <row r="153" ht="19.5" customHeight="1">
      <c r="A153" s="78" t="str">
        <f>IF(Roster!$A$151&lt;&gt;"",Roster!$A$151,"")</f>
        <v/>
      </c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3"/>
      <c r="DT153" s="103"/>
      <c r="DU153" s="103"/>
      <c r="DV153" s="103"/>
      <c r="DW153" s="103"/>
      <c r="DX153" s="103"/>
      <c r="DY153" s="103"/>
      <c r="DZ153" s="103"/>
      <c r="EA153" s="103"/>
      <c r="EB153" s="103"/>
      <c r="EC153" s="103"/>
      <c r="ED153" s="103"/>
      <c r="EE153" s="103"/>
    </row>
    <row r="154" ht="19.5" customHeight="1">
      <c r="A154" s="78" t="str">
        <f>IF(Roster!$A$152&lt;&gt;"",Roster!$A$152,"")</f>
        <v/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</row>
    <row r="155" ht="19.5" customHeight="1">
      <c r="A155" s="78" t="str">
        <f>IF(Roster!$A$153&lt;&gt;"",Roster!$A$153,"")</f>
        <v/>
      </c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</row>
    <row r="156" ht="19.5" customHeight="1">
      <c r="A156" s="78" t="str">
        <f>IF(Roster!$A$154&lt;&gt;"",Roster!$A$154,"")</f>
        <v/>
      </c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</row>
    <row r="157" ht="19.5" customHeight="1">
      <c r="A157" s="78" t="str">
        <f>IF(Roster!$A$155&lt;&gt;"",Roster!$A$155,"")</f>
        <v/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</row>
    <row r="158" ht="19.5" customHeight="1">
      <c r="A158" s="78" t="str">
        <f>IF(Roster!$A$156&lt;&gt;"",Roster!$A$156,"")</f>
        <v/>
      </c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</row>
    <row r="159" ht="19.5" customHeight="1">
      <c r="A159" s="78" t="str">
        <f>IF(Roster!$A$157&lt;&gt;"",Roster!$A$157,"")</f>
        <v/>
      </c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</row>
    <row r="160" ht="19.5" customHeight="1">
      <c r="A160" s="78" t="str">
        <f>IF(Roster!$A$158&lt;&gt;"",Roster!$A$158,"")</f>
        <v/>
      </c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</row>
    <row r="161" ht="19.5" customHeight="1">
      <c r="A161" s="78" t="str">
        <f>IF(Roster!$A$159&lt;&gt;"",Roster!$A$159,"")</f>
        <v/>
      </c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  <c r="DC161" s="103"/>
      <c r="DD161" s="103"/>
      <c r="DE161" s="103"/>
      <c r="DF161" s="103"/>
      <c r="DG161" s="103"/>
      <c r="DH161" s="103"/>
      <c r="DI161" s="103"/>
      <c r="DJ161" s="103"/>
      <c r="DK161" s="103"/>
      <c r="DL161" s="103"/>
      <c r="DM161" s="103"/>
      <c r="DN161" s="103"/>
      <c r="DO161" s="103"/>
      <c r="DP161" s="103"/>
      <c r="DQ161" s="103"/>
      <c r="DR161" s="103"/>
      <c r="DS161" s="103"/>
      <c r="DT161" s="103"/>
      <c r="DU161" s="103"/>
      <c r="DV161" s="103"/>
      <c r="DW161" s="103"/>
      <c r="DX161" s="103"/>
      <c r="DY161" s="103"/>
      <c r="DZ161" s="103"/>
      <c r="EA161" s="103"/>
      <c r="EB161" s="103"/>
      <c r="EC161" s="103"/>
      <c r="ED161" s="103"/>
      <c r="EE161" s="103"/>
    </row>
    <row r="162" ht="19.5" customHeight="1">
      <c r="A162" s="78" t="str">
        <f>IF(Roster!$A$160&lt;&gt;"",Roster!$A$160,"")</f>
        <v/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  <c r="DC162" s="103"/>
      <c r="DD162" s="103"/>
      <c r="DE162" s="103"/>
      <c r="DF162" s="103"/>
      <c r="DG162" s="103"/>
      <c r="DH162" s="103"/>
      <c r="DI162" s="103"/>
      <c r="DJ162" s="103"/>
      <c r="DK162" s="103"/>
      <c r="DL162" s="103"/>
      <c r="DM162" s="103"/>
      <c r="DN162" s="103"/>
      <c r="DO162" s="103"/>
      <c r="DP162" s="103"/>
      <c r="DQ162" s="103"/>
      <c r="DR162" s="103"/>
      <c r="DS162" s="103"/>
      <c r="DT162" s="103"/>
      <c r="DU162" s="103"/>
      <c r="DV162" s="103"/>
      <c r="DW162" s="103"/>
      <c r="DX162" s="103"/>
      <c r="DY162" s="103"/>
      <c r="DZ162" s="103"/>
      <c r="EA162" s="103"/>
      <c r="EB162" s="103"/>
      <c r="EC162" s="103"/>
      <c r="ED162" s="103"/>
      <c r="EE162" s="103"/>
    </row>
    <row r="163" ht="19.5" customHeight="1">
      <c r="A163" s="78" t="str">
        <f>IF(Roster!$A$161&lt;&gt;"",Roster!$A$161,"")</f>
        <v/>
      </c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3"/>
      <c r="DT163" s="103"/>
      <c r="DU163" s="103"/>
      <c r="DV163" s="103"/>
      <c r="DW163" s="103"/>
      <c r="DX163" s="103"/>
      <c r="DY163" s="103"/>
      <c r="DZ163" s="103"/>
      <c r="EA163" s="103"/>
      <c r="EB163" s="103"/>
      <c r="EC163" s="103"/>
      <c r="ED163" s="103"/>
      <c r="EE163" s="103"/>
    </row>
    <row r="164" ht="19.5" customHeight="1">
      <c r="A164" s="78" t="str">
        <f>IF(Roster!$A$162&lt;&gt;"",Roster!$A$162,"")</f>
        <v/>
      </c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</row>
    <row r="165" ht="19.5" customHeight="1">
      <c r="A165" s="78" t="str">
        <f>IF(Roster!$A$163&lt;&gt;"",Roster!$A$163,"")</f>
        <v/>
      </c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</row>
    <row r="166" ht="19.5" customHeight="1">
      <c r="A166" s="78" t="str">
        <f>IF(Roster!$A$164&lt;&gt;"",Roster!$A$164,"")</f>
        <v/>
      </c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3"/>
      <c r="DT166" s="103"/>
      <c r="DU166" s="103"/>
      <c r="DV166" s="103"/>
      <c r="DW166" s="103"/>
      <c r="DX166" s="103"/>
      <c r="DY166" s="103"/>
      <c r="DZ166" s="103"/>
      <c r="EA166" s="103"/>
      <c r="EB166" s="103"/>
      <c r="EC166" s="103"/>
      <c r="ED166" s="103"/>
      <c r="EE166" s="103"/>
    </row>
    <row r="167" ht="19.5" customHeight="1">
      <c r="A167" s="78" t="str">
        <f>IF(Roster!$A$165&lt;&gt;"",Roster!$A$165,"")</f>
        <v/>
      </c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  <c r="DC167" s="103"/>
      <c r="DD167" s="103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3"/>
      <c r="DT167" s="103"/>
      <c r="DU167" s="103"/>
      <c r="DV167" s="103"/>
      <c r="DW167" s="103"/>
      <c r="DX167" s="103"/>
      <c r="DY167" s="103"/>
      <c r="DZ167" s="103"/>
      <c r="EA167" s="103"/>
      <c r="EB167" s="103"/>
      <c r="EC167" s="103"/>
      <c r="ED167" s="103"/>
      <c r="EE167" s="103"/>
    </row>
    <row r="168" ht="19.5" customHeight="1">
      <c r="A168" s="78" t="str">
        <f>IF(Roster!$A$166&lt;&gt;"",Roster!$A$166,"")</f>
        <v/>
      </c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</row>
    <row r="169" ht="19.5" customHeight="1">
      <c r="A169" s="78" t="str">
        <f>IF(Roster!$A$167&lt;&gt;"",Roster!$A$167,"")</f>
        <v/>
      </c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</row>
    <row r="170" ht="19.5" customHeight="1">
      <c r="A170" s="78" t="str">
        <f>IF(Roster!$A$168&lt;&gt;"",Roster!$A$168,"")</f>
        <v/>
      </c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</row>
    <row r="171" ht="19.5" customHeight="1">
      <c r="A171" s="78" t="str">
        <f>IF(Roster!$A$169&lt;&gt;"",Roster!$A$169,"")</f>
        <v/>
      </c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</row>
    <row r="172" ht="19.5" customHeight="1">
      <c r="A172" s="78" t="str">
        <f>IF(Roster!$A$170&lt;&gt;"",Roster!$A$170,"")</f>
        <v/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</row>
    <row r="173" ht="19.5" customHeight="1">
      <c r="A173" s="78" t="str">
        <f>IF(Roster!$A$171&lt;&gt;"",Roster!$A$171,"")</f>
        <v/>
      </c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</row>
    <row r="174" ht="19.5" customHeight="1">
      <c r="A174" s="78" t="str">
        <f>IF(Roster!$A$172&lt;&gt;"",Roster!$A$172,"")</f>
        <v/>
      </c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</row>
    <row r="175" ht="19.5" customHeight="1">
      <c r="A175" s="78" t="str">
        <f>IF(Roster!$A$173&lt;&gt;"",Roster!$A$173,"")</f>
        <v/>
      </c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</row>
    <row r="176" ht="19.5" customHeight="1">
      <c r="A176" s="78" t="str">
        <f>IF(Roster!$A$174&lt;&gt;"",Roster!$A$174,"")</f>
        <v/>
      </c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</row>
    <row r="177" ht="19.5" customHeight="1">
      <c r="A177" s="78" t="str">
        <f>IF(Roster!$A$175&lt;&gt;"",Roster!$A$175,"")</f>
        <v/>
      </c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</row>
    <row r="178" ht="19.5" customHeight="1">
      <c r="A178" s="78" t="str">
        <f>IF(Roster!$A$176&lt;&gt;"",Roster!$A$176,"")</f>
        <v/>
      </c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</row>
    <row r="179" ht="19.5" customHeight="1">
      <c r="A179" s="78" t="str">
        <f>IF(Roster!$A$177&lt;&gt;"",Roster!$A$177,"")</f>
        <v/>
      </c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</row>
    <row r="180" ht="19.5" customHeight="1">
      <c r="A180" s="78" t="str">
        <f>IF(Roster!$A$178&lt;&gt;"",Roster!$A$178,"")</f>
        <v/>
      </c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</row>
    <row r="181" ht="19.5" customHeight="1">
      <c r="A181" s="78" t="str">
        <f>IF(Roster!$A$179&lt;&gt;"",Roster!$A$179,"")</f>
        <v/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</row>
    <row r="182" ht="19.5" customHeight="1">
      <c r="A182" s="78" t="str">
        <f>IF(Roster!$A$180&lt;&gt;"",Roster!$A$180,"")</f>
        <v/>
      </c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</row>
    <row r="183" ht="19.5" customHeight="1">
      <c r="A183" s="78" t="str">
        <f>IF(Roster!$A$181&lt;&gt;"",Roster!$A$181,"")</f>
        <v/>
      </c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3"/>
      <c r="DT183" s="103"/>
      <c r="DU183" s="103"/>
      <c r="DV183" s="103"/>
      <c r="DW183" s="103"/>
      <c r="DX183" s="103"/>
      <c r="DY183" s="103"/>
      <c r="DZ183" s="103"/>
      <c r="EA183" s="103"/>
      <c r="EB183" s="103"/>
      <c r="EC183" s="103"/>
      <c r="ED183" s="103"/>
      <c r="EE183" s="103"/>
    </row>
    <row r="184" ht="19.5" customHeight="1">
      <c r="A184" s="78" t="str">
        <f>IF(Roster!$A$182&lt;&gt;"",Roster!$A$182,"")</f>
        <v/>
      </c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</row>
    <row r="185" ht="19.5" customHeight="1">
      <c r="A185" s="78" t="str">
        <f>IF(Roster!$A$183&lt;&gt;"",Roster!$A$183,"")</f>
        <v/>
      </c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</row>
    <row r="186" ht="19.5" customHeight="1">
      <c r="A186" s="78" t="str">
        <f>IF(Roster!$A$184&lt;&gt;"",Roster!$A$184,"")</f>
        <v/>
      </c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</row>
    <row r="187" ht="19.5" customHeight="1">
      <c r="A187" s="78" t="str">
        <f>IF(Roster!$A$185&lt;&gt;"",Roster!$A$185,"")</f>
        <v/>
      </c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</row>
    <row r="188" ht="19.5" customHeight="1">
      <c r="A188" s="78" t="str">
        <f>IF(Roster!$A$186&lt;&gt;"",Roster!$A$186,"")</f>
        <v/>
      </c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/>
    </row>
    <row r="189" ht="19.5" customHeight="1">
      <c r="A189" s="78" t="str">
        <f>IF(Roster!$A$187&lt;&gt;"",Roster!$A$187,"")</f>
        <v/>
      </c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</row>
    <row r="190" ht="19.5" customHeight="1">
      <c r="A190" s="78" t="str">
        <f>IF(Roster!$A$188&lt;&gt;"",Roster!$A$188,"")</f>
        <v/>
      </c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</row>
    <row r="191" ht="19.5" customHeight="1">
      <c r="A191" s="78" t="str">
        <f>IF(Roster!$A$189&lt;&gt;"",Roster!$A$189,"")</f>
        <v/>
      </c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</row>
    <row r="192" ht="19.5" customHeight="1">
      <c r="A192" s="78" t="str">
        <f>IF(Roster!$A$190&lt;&gt;"",Roster!$A$190,"")</f>
        <v/>
      </c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</row>
    <row r="193" ht="19.5" customHeight="1">
      <c r="A193" s="78" t="str">
        <f>IF(Roster!$A$191&lt;&gt;"",Roster!$A$191,"")</f>
        <v/>
      </c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</row>
    <row r="194" ht="19.5" customHeight="1">
      <c r="A194" s="78" t="str">
        <f>IF(Roster!$A$192&lt;&gt;"",Roster!$A$192,"")</f>
        <v/>
      </c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</row>
    <row r="195" ht="19.5" customHeight="1">
      <c r="A195" s="78" t="str">
        <f>IF(Roster!$A$193&lt;&gt;"",Roster!$A$193,"")</f>
        <v/>
      </c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</row>
    <row r="196" ht="19.5" customHeight="1">
      <c r="A196" s="78" t="str">
        <f>IF(Roster!$A$194&lt;&gt;"",Roster!$A$194,"")</f>
        <v/>
      </c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</row>
    <row r="197" ht="19.5" customHeight="1">
      <c r="A197" s="78" t="str">
        <f>IF(Roster!$A$195&lt;&gt;"",Roster!$A$195,"")</f>
        <v/>
      </c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</row>
    <row r="198" ht="19.5" customHeight="1">
      <c r="A198" s="78" t="str">
        <f>IF(Roster!$A$196&lt;&gt;"",Roster!$A$196,"")</f>
        <v/>
      </c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</row>
    <row r="199" ht="19.5" customHeight="1">
      <c r="A199" s="78" t="str">
        <f>IF(Roster!$A$197&lt;&gt;"",Roster!$A$197,"")</f>
        <v/>
      </c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</row>
    <row r="200" ht="19.5" customHeight="1">
      <c r="A200" s="78" t="str">
        <f>IF(Roster!$A$198&lt;&gt;"",Roster!$A$198,"")</f>
        <v/>
      </c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</row>
    <row r="201" ht="19.5" customHeight="1">
      <c r="A201" s="78" t="str">
        <f>IF(Roster!$A$199&lt;&gt;"",Roster!$A$199,"")</f>
        <v/>
      </c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</row>
    <row r="202" ht="19.5" customHeight="1">
      <c r="A202" s="78" t="str">
        <f>IF(Roster!$A$200&lt;&gt;"",Roster!$A$200,"")</f>
        <v/>
      </c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</row>
    <row r="203" ht="19.5" customHeight="1">
      <c r="A203" s="78" t="str">
        <f>IF(Roster!$A$201&lt;&gt;"",Roster!$A$201,"")</f>
        <v/>
      </c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</row>
    <row r="204" ht="19.5" customHeight="1">
      <c r="A204" s="78" t="str">
        <f>IF(Roster!$A$202&lt;&gt;"",Roster!$A$202,"")</f>
        <v/>
      </c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</row>
    <row r="205" ht="19.5" customHeight="1">
      <c r="A205" s="78" t="str">
        <f>IF(Roster!$A$203&lt;&gt;"",Roster!$A$203,"")</f>
        <v/>
      </c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</row>
    <row r="206" ht="19.5" customHeight="1">
      <c r="A206" s="78" t="str">
        <f>IF(Roster!$A$204&lt;&gt;"",Roster!$A$204,"")</f>
        <v/>
      </c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</row>
    <row r="207" ht="19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</row>
    <row r="208" ht="19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</row>
    <row r="209" ht="19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5" t="s">
        <v>3</v>
      </c>
      <c r="B1" s="8"/>
      <c r="C1" s="8"/>
      <c r="D1" s="8"/>
      <c r="E1" s="8"/>
      <c r="F1" s="8"/>
      <c r="G1" s="8"/>
      <c r="H1" s="8"/>
      <c r="I1" s="11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9" t="s">
        <v>15</v>
      </c>
      <c r="B3" s="19" t="s">
        <v>21</v>
      </c>
      <c r="C3" s="19" t="s">
        <v>23</v>
      </c>
      <c r="D3" s="19" t="s">
        <v>24</v>
      </c>
      <c r="E3" s="19" t="s">
        <v>26</v>
      </c>
      <c r="F3" s="22"/>
      <c r="G3" s="19"/>
      <c r="H3" s="19"/>
      <c r="I3" s="1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25">
        <f>SUMIF(D7:D989,"Income",F7:F989)+SUMIF(D7:D989,"Fundraiser",F7:F989)</f>
        <v>7138.66</v>
      </c>
      <c r="B4" s="29">
        <f>SUMIF(D7:D989,"Expense",F7:F989)</f>
        <v>26886.7</v>
      </c>
      <c r="C4" s="30">
        <f>A4-B4</f>
        <v>-19748.04</v>
      </c>
      <c r="D4" s="32">
        <f>IFERROR(AVERAGE(F7:F989),0)</f>
        <v>374.3167949</v>
      </c>
      <c r="E4" s="33">
        <f>COUNTIF(I7:I989,"Pending")</f>
        <v>0</v>
      </c>
      <c r="F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12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34" t="s">
        <v>46</v>
      </c>
      <c r="B6" s="34" t="s">
        <v>47</v>
      </c>
      <c r="C6" s="34" t="s">
        <v>7</v>
      </c>
      <c r="D6" s="34" t="s">
        <v>48</v>
      </c>
      <c r="E6" s="34" t="s">
        <v>49</v>
      </c>
      <c r="F6" s="35" t="s">
        <v>50</v>
      </c>
      <c r="G6" s="34" t="s">
        <v>51</v>
      </c>
      <c r="H6" s="34" t="s">
        <v>52</v>
      </c>
      <c r="I6" s="34" t="s">
        <v>18</v>
      </c>
      <c r="J6" s="14" t="s">
        <v>53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37"/>
      <c r="B7" s="40" t="s">
        <v>55</v>
      </c>
      <c r="C7" s="40" t="s">
        <v>56</v>
      </c>
      <c r="D7" s="40" t="s">
        <v>57</v>
      </c>
      <c r="E7" s="40" t="s">
        <v>58</v>
      </c>
      <c r="F7" s="43">
        <v>920.0</v>
      </c>
      <c r="G7" s="40" t="s">
        <v>31</v>
      </c>
      <c r="H7" s="40"/>
      <c r="I7" s="40" t="s">
        <v>59</v>
      </c>
      <c r="J7" s="47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37"/>
      <c r="B8" s="40" t="s">
        <v>64</v>
      </c>
      <c r="C8" s="40" t="s">
        <v>56</v>
      </c>
      <c r="D8" s="40" t="s">
        <v>57</v>
      </c>
      <c r="E8" s="40" t="s">
        <v>58</v>
      </c>
      <c r="F8" s="43">
        <v>1150.0</v>
      </c>
      <c r="G8" s="40" t="s">
        <v>34</v>
      </c>
      <c r="H8" s="40"/>
      <c r="I8" s="40" t="s">
        <v>59</v>
      </c>
      <c r="J8" s="47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37"/>
      <c r="B9" s="40" t="s">
        <v>40</v>
      </c>
      <c r="C9" s="40" t="s">
        <v>66</v>
      </c>
      <c r="D9" s="40" t="s">
        <v>37</v>
      </c>
      <c r="E9" s="40" t="s">
        <v>58</v>
      </c>
      <c r="F9" s="43">
        <v>956.0</v>
      </c>
      <c r="G9" s="40" t="s">
        <v>40</v>
      </c>
      <c r="H9" s="40"/>
      <c r="I9" s="40" t="s">
        <v>59</v>
      </c>
      <c r="J9" s="47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58</v>
      </c>
      <c r="F10" s="51">
        <v>123.0</v>
      </c>
      <c r="G10" s="50" t="s">
        <v>36</v>
      </c>
      <c r="H10" s="50"/>
      <c r="I10" s="50" t="s">
        <v>59</v>
      </c>
      <c r="J10" s="47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58</v>
      </c>
      <c r="F11" s="51">
        <v>1030.0</v>
      </c>
      <c r="G11" s="53" t="s">
        <v>41</v>
      </c>
      <c r="H11" s="53"/>
      <c r="I11" s="53" t="s">
        <v>59</v>
      </c>
      <c r="J11" s="47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9"/>
      <c r="B12" s="50" t="s">
        <v>68</v>
      </c>
      <c r="C12" s="50" t="s">
        <v>69</v>
      </c>
      <c r="D12" s="50" t="s">
        <v>57</v>
      </c>
      <c r="E12" s="50" t="s">
        <v>58</v>
      </c>
      <c r="F12" s="51">
        <v>69.0</v>
      </c>
      <c r="G12" s="50" t="s">
        <v>22</v>
      </c>
      <c r="H12" s="50"/>
      <c r="I12" s="50" t="s">
        <v>59</v>
      </c>
      <c r="J12" s="47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57</v>
      </c>
      <c r="E13" s="55" t="s">
        <v>72</v>
      </c>
      <c r="F13" s="56">
        <v>185.69</v>
      </c>
      <c r="G13" s="53" t="s">
        <v>31</v>
      </c>
      <c r="H13" s="53"/>
      <c r="I13" s="53" t="s">
        <v>59</v>
      </c>
      <c r="J13" s="47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57</v>
      </c>
      <c r="E14" s="58" t="s">
        <v>58</v>
      </c>
      <c r="F14" s="59">
        <v>228.44</v>
      </c>
      <c r="G14" s="50" t="s">
        <v>31</v>
      </c>
      <c r="H14" s="50"/>
      <c r="I14" s="50" t="s">
        <v>59</v>
      </c>
      <c r="J14" s="47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59</v>
      </c>
      <c r="J15" s="47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58</v>
      </c>
      <c r="I16" s="50" t="s">
        <v>59</v>
      </c>
      <c r="J16" s="47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57</v>
      </c>
      <c r="E17" s="53" t="s">
        <v>81</v>
      </c>
      <c r="F17" s="61"/>
      <c r="G17" s="53" t="s">
        <v>31</v>
      </c>
      <c r="H17" s="53"/>
      <c r="I17" s="53" t="s">
        <v>59</v>
      </c>
      <c r="J17" s="47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57</v>
      </c>
      <c r="E18" s="50" t="s">
        <v>85</v>
      </c>
      <c r="F18" s="51">
        <v>3487.59</v>
      </c>
      <c r="G18" s="50" t="s">
        <v>31</v>
      </c>
      <c r="H18" s="50"/>
      <c r="I18" s="50" t="s">
        <v>59</v>
      </c>
      <c r="J18" s="47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52"/>
      <c r="B19" s="53" t="s">
        <v>87</v>
      </c>
      <c r="C19" s="53" t="s">
        <v>74</v>
      </c>
      <c r="D19" s="55" t="s">
        <v>88</v>
      </c>
      <c r="E19" s="53" t="s">
        <v>58</v>
      </c>
      <c r="F19" s="64">
        <v>59.99</v>
      </c>
      <c r="G19" s="53" t="s">
        <v>31</v>
      </c>
      <c r="H19" s="53" t="s">
        <v>89</v>
      </c>
      <c r="I19" s="53" t="s">
        <v>59</v>
      </c>
      <c r="J19" s="47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9" t="s">
        <v>90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65">
        <v>46201.0</v>
      </c>
      <c r="B20" s="50" t="s">
        <v>91</v>
      </c>
      <c r="C20" s="50" t="s">
        <v>74</v>
      </c>
      <c r="D20" s="50" t="s">
        <v>57</v>
      </c>
      <c r="E20" s="50" t="s">
        <v>92</v>
      </c>
      <c r="F20" s="51">
        <v>15.26</v>
      </c>
      <c r="G20" s="50" t="s">
        <v>31</v>
      </c>
      <c r="H20" s="50"/>
      <c r="I20" s="50" t="s">
        <v>59</v>
      </c>
      <c r="J20" s="47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66">
        <v>46201.0</v>
      </c>
      <c r="B21" s="53" t="s">
        <v>93</v>
      </c>
      <c r="C21" s="53" t="s">
        <v>74</v>
      </c>
      <c r="D21" s="53" t="s">
        <v>57</v>
      </c>
      <c r="E21" s="53" t="s">
        <v>92</v>
      </c>
      <c r="F21" s="61">
        <v>83.64</v>
      </c>
      <c r="G21" s="53" t="s">
        <v>31</v>
      </c>
      <c r="H21" s="53"/>
      <c r="I21" s="53" t="s">
        <v>59</v>
      </c>
      <c r="J21" s="47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9">
        <v>46930.0</v>
      </c>
      <c r="B22" s="50" t="s">
        <v>94</v>
      </c>
      <c r="C22" s="50" t="s">
        <v>78</v>
      </c>
      <c r="D22" s="50" t="s">
        <v>76</v>
      </c>
      <c r="E22" s="50" t="s">
        <v>95</v>
      </c>
      <c r="F22" s="51">
        <v>68.75</v>
      </c>
      <c r="G22" s="50"/>
      <c r="H22" s="50" t="s">
        <v>58</v>
      </c>
      <c r="I22" s="50" t="s">
        <v>59</v>
      </c>
      <c r="J22" s="47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52">
        <v>46201.0</v>
      </c>
      <c r="B23" s="53" t="s">
        <v>96</v>
      </c>
      <c r="C23" s="53" t="s">
        <v>78</v>
      </c>
      <c r="D23" s="53" t="s">
        <v>76</v>
      </c>
      <c r="E23" s="53" t="s">
        <v>97</v>
      </c>
      <c r="F23" s="61">
        <v>400.0</v>
      </c>
      <c r="G23" s="53"/>
      <c r="H23" s="53" t="s">
        <v>58</v>
      </c>
      <c r="I23" s="53" t="s">
        <v>59</v>
      </c>
      <c r="J23" s="47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52">
        <v>46201.0</v>
      </c>
      <c r="B24" s="53" t="s">
        <v>98</v>
      </c>
      <c r="C24" s="53" t="s">
        <v>78</v>
      </c>
      <c r="D24" s="53" t="s">
        <v>76</v>
      </c>
      <c r="E24" s="53" t="s">
        <v>99</v>
      </c>
      <c r="F24" s="61">
        <v>400.0</v>
      </c>
      <c r="G24" s="53"/>
      <c r="H24" s="53" t="s">
        <v>58</v>
      </c>
      <c r="I24" s="50" t="s">
        <v>59</v>
      </c>
      <c r="J24" s="47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52">
        <v>46203.0</v>
      </c>
      <c r="B25" s="53" t="s">
        <v>100</v>
      </c>
      <c r="C25" s="53" t="s">
        <v>78</v>
      </c>
      <c r="D25" s="53" t="s">
        <v>76</v>
      </c>
      <c r="E25" s="53" t="s">
        <v>101</v>
      </c>
      <c r="F25" s="61">
        <v>202.89</v>
      </c>
      <c r="G25" s="53"/>
      <c r="H25" s="53" t="s">
        <v>58</v>
      </c>
      <c r="I25" s="53" t="s">
        <v>59</v>
      </c>
      <c r="J25" s="47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52">
        <v>46203.0</v>
      </c>
      <c r="B26" s="53" t="s">
        <v>102</v>
      </c>
      <c r="C26" s="53" t="s">
        <v>78</v>
      </c>
      <c r="D26" s="53" t="s">
        <v>76</v>
      </c>
      <c r="E26" s="53" t="s">
        <v>103</v>
      </c>
      <c r="F26" s="61">
        <v>202.89</v>
      </c>
      <c r="G26" s="53"/>
      <c r="H26" s="53" t="s">
        <v>58</v>
      </c>
      <c r="I26" s="50" t="s">
        <v>59</v>
      </c>
      <c r="J26" s="47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58</v>
      </c>
      <c r="I27" s="53" t="s">
        <v>59</v>
      </c>
      <c r="J27" s="47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58</v>
      </c>
      <c r="I28" s="50" t="s">
        <v>59</v>
      </c>
      <c r="J28" s="47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58</v>
      </c>
      <c r="I29" s="53" t="s">
        <v>59</v>
      </c>
      <c r="J29" s="47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58</v>
      </c>
      <c r="I30" s="50" t="s">
        <v>59</v>
      </c>
      <c r="J30" s="47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113</v>
      </c>
      <c r="F31" s="61">
        <v>202.89</v>
      </c>
      <c r="G31" s="53"/>
      <c r="H31" s="53" t="s">
        <v>58</v>
      </c>
      <c r="I31" s="50" t="s">
        <v>59</v>
      </c>
      <c r="J31" s="47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9">
        <v>46203.0</v>
      </c>
      <c r="B32" s="50" t="s">
        <v>114</v>
      </c>
      <c r="C32" s="50" t="s">
        <v>78</v>
      </c>
      <c r="D32" s="50" t="s">
        <v>76</v>
      </c>
      <c r="E32" s="50" t="s">
        <v>115</v>
      </c>
      <c r="F32" s="51">
        <v>202.89</v>
      </c>
      <c r="G32" s="50"/>
      <c r="H32" s="50" t="s">
        <v>58</v>
      </c>
      <c r="I32" s="50" t="s">
        <v>59</v>
      </c>
      <c r="J32" s="47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66">
        <v>46198.0</v>
      </c>
      <c r="B33" s="53" t="s">
        <v>117</v>
      </c>
      <c r="C33" s="53" t="s">
        <v>71</v>
      </c>
      <c r="D33" s="53" t="s">
        <v>57</v>
      </c>
      <c r="E33" s="53" t="s">
        <v>118</v>
      </c>
      <c r="F33" s="61">
        <v>152.13</v>
      </c>
      <c r="G33" s="53" t="s">
        <v>31</v>
      </c>
      <c r="H33" s="53"/>
      <c r="I33" s="53" t="s">
        <v>59</v>
      </c>
      <c r="J33" s="47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68">
        <v>46209.0</v>
      </c>
      <c r="B34" s="58" t="s">
        <v>120</v>
      </c>
      <c r="C34" s="58" t="s">
        <v>74</v>
      </c>
      <c r="D34" s="58" t="s">
        <v>88</v>
      </c>
      <c r="E34" s="58" t="s">
        <v>121</v>
      </c>
      <c r="F34" s="69">
        <f>17.1+19.7</f>
        <v>36.8</v>
      </c>
      <c r="G34" s="50"/>
      <c r="H34" s="58" t="s">
        <v>95</v>
      </c>
      <c r="I34" s="58" t="s">
        <v>59</v>
      </c>
      <c r="J34" s="47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71">
        <v>46209.0</v>
      </c>
      <c r="B35" s="55" t="s">
        <v>122</v>
      </c>
      <c r="C35" s="55" t="s">
        <v>56</v>
      </c>
      <c r="D35" s="55" t="s">
        <v>57</v>
      </c>
      <c r="E35" s="55" t="s">
        <v>121</v>
      </c>
      <c r="F35" s="64">
        <v>1000.0</v>
      </c>
      <c r="G35" s="55" t="s">
        <v>54</v>
      </c>
      <c r="H35" s="53"/>
      <c r="I35" s="55" t="s">
        <v>59</v>
      </c>
      <c r="J35" s="47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72">
        <v>46208.0</v>
      </c>
      <c r="B36" s="58" t="s">
        <v>123</v>
      </c>
      <c r="C36" s="58" t="s">
        <v>78</v>
      </c>
      <c r="D36" s="58" t="s">
        <v>76</v>
      </c>
      <c r="E36" s="58" t="s">
        <v>112</v>
      </c>
      <c r="F36" s="69">
        <v>500.0</v>
      </c>
      <c r="G36" s="50"/>
      <c r="H36" s="58" t="s">
        <v>58</v>
      </c>
      <c r="I36" s="58" t="s">
        <v>59</v>
      </c>
      <c r="J36" s="47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71">
        <v>46209.0</v>
      </c>
      <c r="B37" s="55" t="s">
        <v>124</v>
      </c>
      <c r="C37" s="55" t="s">
        <v>78</v>
      </c>
      <c r="D37" s="55" t="s">
        <v>76</v>
      </c>
      <c r="E37" s="55" t="s">
        <v>118</v>
      </c>
      <c r="F37" s="64">
        <v>56.24</v>
      </c>
      <c r="G37" s="53"/>
      <c r="H37" s="55" t="s">
        <v>58</v>
      </c>
      <c r="I37" s="55" t="s">
        <v>59</v>
      </c>
      <c r="J37" s="47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72">
        <v>46218.0</v>
      </c>
      <c r="B38" s="58" t="s">
        <v>125</v>
      </c>
      <c r="C38" s="58" t="s">
        <v>71</v>
      </c>
      <c r="D38" s="58" t="s">
        <v>88</v>
      </c>
      <c r="E38" s="58" t="s">
        <v>121</v>
      </c>
      <c r="F38" s="69">
        <v>58.84</v>
      </c>
      <c r="G38" s="50"/>
      <c r="H38" s="58" t="s">
        <v>58</v>
      </c>
      <c r="I38" s="58" t="s">
        <v>59</v>
      </c>
      <c r="J38" s="47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71">
        <v>46230.0</v>
      </c>
      <c r="B39" s="55" t="s">
        <v>126</v>
      </c>
      <c r="C39" s="55" t="s">
        <v>78</v>
      </c>
      <c r="D39" s="55" t="s">
        <v>76</v>
      </c>
      <c r="E39" s="55" t="s">
        <v>79</v>
      </c>
      <c r="F39" s="64">
        <v>139.61</v>
      </c>
      <c r="G39" s="53"/>
      <c r="H39" s="55" t="s">
        <v>58</v>
      </c>
      <c r="I39" s="55" t="s">
        <v>59</v>
      </c>
      <c r="J39" s="47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65">
        <v>46227.0</v>
      </c>
      <c r="B40" s="50" t="s">
        <v>127</v>
      </c>
      <c r="C40" s="58" t="s">
        <v>71</v>
      </c>
      <c r="D40" s="50" t="s">
        <v>57</v>
      </c>
      <c r="E40" s="58" t="s">
        <v>115</v>
      </c>
      <c r="F40" s="51">
        <v>202.26</v>
      </c>
      <c r="G40" s="50" t="s">
        <v>34</v>
      </c>
      <c r="H40" s="50"/>
      <c r="I40" s="58" t="s">
        <v>59</v>
      </c>
      <c r="J40" s="47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66">
        <v>46227.0</v>
      </c>
      <c r="B41" s="53" t="s">
        <v>128</v>
      </c>
      <c r="C41" s="53" t="s">
        <v>84</v>
      </c>
      <c r="D41" s="53" t="s">
        <v>57</v>
      </c>
      <c r="E41" s="53" t="s">
        <v>81</v>
      </c>
      <c r="F41" s="73">
        <v>2389.2</v>
      </c>
      <c r="G41" s="53" t="s">
        <v>34</v>
      </c>
      <c r="H41" s="53"/>
      <c r="I41" s="55" t="s">
        <v>59</v>
      </c>
      <c r="J41" s="47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65">
        <v>46201.0</v>
      </c>
      <c r="B42" s="50" t="s">
        <v>129</v>
      </c>
      <c r="C42" s="50" t="s">
        <v>74</v>
      </c>
      <c r="D42" s="50" t="s">
        <v>57</v>
      </c>
      <c r="E42" s="50" t="s">
        <v>81</v>
      </c>
      <c r="F42" s="51">
        <v>27.42</v>
      </c>
      <c r="G42" s="50" t="s">
        <v>31</v>
      </c>
      <c r="H42" s="50"/>
      <c r="I42" s="58" t="s">
        <v>59</v>
      </c>
      <c r="J42" s="47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71">
        <v>46238.0</v>
      </c>
      <c r="B43" s="55" t="s">
        <v>130</v>
      </c>
      <c r="C43" s="55" t="s">
        <v>69</v>
      </c>
      <c r="D43" s="55" t="s">
        <v>57</v>
      </c>
      <c r="E43" s="55" t="s">
        <v>58</v>
      </c>
      <c r="F43" s="64">
        <v>2257.0</v>
      </c>
      <c r="G43" s="55" t="s">
        <v>22</v>
      </c>
      <c r="H43" s="53"/>
      <c r="I43" s="55" t="s">
        <v>59</v>
      </c>
      <c r="J43" s="47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72">
        <v>46238.0</v>
      </c>
      <c r="B44" s="58" t="s">
        <v>131</v>
      </c>
      <c r="C44" s="58" t="s">
        <v>78</v>
      </c>
      <c r="D44" s="58" t="s">
        <v>88</v>
      </c>
      <c r="E44" s="58" t="s">
        <v>58</v>
      </c>
      <c r="F44" s="69">
        <v>-2005.28</v>
      </c>
      <c r="G44" s="50"/>
      <c r="H44" s="58" t="s">
        <v>81</v>
      </c>
      <c r="I44" s="58" t="s">
        <v>59</v>
      </c>
      <c r="J44" s="47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71">
        <v>46239.0</v>
      </c>
      <c r="B45" s="55" t="s">
        <v>132</v>
      </c>
      <c r="C45" s="55" t="s">
        <v>78</v>
      </c>
      <c r="D45" s="55" t="s">
        <v>76</v>
      </c>
      <c r="E45" s="53" t="s">
        <v>116</v>
      </c>
      <c r="F45" s="64">
        <v>411.34</v>
      </c>
      <c r="G45" s="53"/>
      <c r="H45" s="55" t="s">
        <v>58</v>
      </c>
      <c r="I45" s="55" t="s">
        <v>59</v>
      </c>
      <c r="J45" s="47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72">
        <v>46244.0</v>
      </c>
      <c r="B46" s="58" t="s">
        <v>100</v>
      </c>
      <c r="C46" s="58" t="s">
        <v>78</v>
      </c>
      <c r="D46" s="58" t="s">
        <v>76</v>
      </c>
      <c r="E46" s="58" t="s">
        <v>101</v>
      </c>
      <c r="F46" s="69">
        <v>200.0</v>
      </c>
      <c r="G46" s="50"/>
      <c r="H46" s="58" t="s">
        <v>58</v>
      </c>
      <c r="I46" s="58" t="s">
        <v>59</v>
      </c>
      <c r="J46" s="47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71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4">
        <v>470.58</v>
      </c>
      <c r="G47" s="53"/>
      <c r="H47" s="55" t="s">
        <v>58</v>
      </c>
      <c r="I47" s="55" t="s">
        <v>59</v>
      </c>
      <c r="J47" s="47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72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9">
        <v>206.16</v>
      </c>
      <c r="G48" s="50"/>
      <c r="H48" s="58" t="s">
        <v>58</v>
      </c>
      <c r="I48" s="58" t="s">
        <v>59</v>
      </c>
      <c r="J48" s="47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71">
        <v>46266.0</v>
      </c>
      <c r="B49" s="55" t="s">
        <v>136</v>
      </c>
      <c r="C49" s="55" t="s">
        <v>56</v>
      </c>
      <c r="D49" s="55" t="s">
        <v>57</v>
      </c>
      <c r="E49" s="55" t="s">
        <v>58</v>
      </c>
      <c r="F49" s="64">
        <v>550.0</v>
      </c>
      <c r="G49" s="55" t="s">
        <v>60</v>
      </c>
      <c r="H49" s="53"/>
      <c r="I49" s="55" t="s">
        <v>59</v>
      </c>
      <c r="J49" s="47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72">
        <v>46255.0</v>
      </c>
      <c r="B50" s="58" t="s">
        <v>137</v>
      </c>
      <c r="C50" s="58" t="s">
        <v>84</v>
      </c>
      <c r="D50" s="58" t="s">
        <v>57</v>
      </c>
      <c r="E50" s="58" t="s">
        <v>81</v>
      </c>
      <c r="F50" s="69">
        <v>3027.12</v>
      </c>
      <c r="G50" s="58" t="s">
        <v>54</v>
      </c>
      <c r="H50" s="50"/>
      <c r="I50" s="58" t="s">
        <v>59</v>
      </c>
      <c r="J50" s="47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71">
        <v>46255.0</v>
      </c>
      <c r="B51" s="55" t="s">
        <v>138</v>
      </c>
      <c r="C51" s="55" t="s">
        <v>71</v>
      </c>
      <c r="D51" s="55" t="s">
        <v>88</v>
      </c>
      <c r="E51" s="55" t="s">
        <v>58</v>
      </c>
      <c r="F51" s="64">
        <v>20.12</v>
      </c>
      <c r="G51" s="50"/>
      <c r="H51" s="58" t="s">
        <v>81</v>
      </c>
      <c r="I51" s="58" t="s">
        <v>59</v>
      </c>
      <c r="J51" s="47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71">
        <v>46253.0</v>
      </c>
      <c r="B52" s="55" t="s">
        <v>139</v>
      </c>
      <c r="C52" s="55" t="s">
        <v>71</v>
      </c>
      <c r="D52" s="55" t="s">
        <v>57</v>
      </c>
      <c r="E52" s="55" t="s">
        <v>118</v>
      </c>
      <c r="F52" s="64">
        <v>170.28</v>
      </c>
      <c r="G52" s="55" t="s">
        <v>54</v>
      </c>
      <c r="H52" s="53"/>
      <c r="I52" s="58" t="s">
        <v>59</v>
      </c>
      <c r="J52" s="47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>5028.58</v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65">
        <v>46259.0</v>
      </c>
      <c r="B53" s="50" t="s">
        <v>140</v>
      </c>
      <c r="C53" s="58" t="s">
        <v>141</v>
      </c>
      <c r="D53" s="58" t="s">
        <v>88</v>
      </c>
      <c r="E53" s="58" t="s">
        <v>58</v>
      </c>
      <c r="F53" s="51">
        <v>28.0</v>
      </c>
      <c r="G53" s="50"/>
      <c r="H53" s="58" t="s">
        <v>142</v>
      </c>
      <c r="I53" s="58" t="s">
        <v>59</v>
      </c>
      <c r="J53" s="47" t="str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/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71">
        <v>46260.0</v>
      </c>
      <c r="B54" s="55" t="s">
        <v>143</v>
      </c>
      <c r="C54" s="55" t="s">
        <v>66</v>
      </c>
      <c r="D54" s="55" t="s">
        <v>76</v>
      </c>
      <c r="E54" s="55" t="s">
        <v>58</v>
      </c>
      <c r="F54" s="64">
        <v>359.25</v>
      </c>
      <c r="G54" s="55" t="s">
        <v>63</v>
      </c>
      <c r="H54" s="55"/>
      <c r="I54" s="58" t="s">
        <v>59</v>
      </c>
      <c r="J54" s="47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>0</v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71">
        <v>46236.0</v>
      </c>
      <c r="B55" s="55" t="s">
        <v>144</v>
      </c>
      <c r="C55" s="55" t="s">
        <v>74</v>
      </c>
      <c r="D55" s="55" t="s">
        <v>57</v>
      </c>
      <c r="E55" s="55" t="s">
        <v>107</v>
      </c>
      <c r="F55" s="64">
        <v>21.0</v>
      </c>
      <c r="G55" s="55" t="s">
        <v>31</v>
      </c>
      <c r="H55" s="55"/>
      <c r="I55" s="58" t="s">
        <v>59</v>
      </c>
      <c r="J55" s="47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1310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72">
        <v>46236.0</v>
      </c>
      <c r="B56" s="55" t="s">
        <v>144</v>
      </c>
      <c r="C56" s="58" t="s">
        <v>74</v>
      </c>
      <c r="D56" s="58" t="s">
        <v>57</v>
      </c>
      <c r="E56" s="58" t="s">
        <v>145</v>
      </c>
      <c r="F56" s="69">
        <v>21.0</v>
      </c>
      <c r="G56" s="58" t="s">
        <v>31</v>
      </c>
      <c r="H56" s="58"/>
      <c r="I56" s="58" t="s">
        <v>59</v>
      </c>
      <c r="J56" s="47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2">
        <v>46236.0</v>
      </c>
      <c r="B57" s="55" t="s">
        <v>144</v>
      </c>
      <c r="C57" s="58" t="s">
        <v>74</v>
      </c>
      <c r="D57" s="58" t="s">
        <v>57</v>
      </c>
      <c r="E57" s="58" t="s">
        <v>105</v>
      </c>
      <c r="F57" s="69">
        <v>21.0</v>
      </c>
      <c r="G57" s="58" t="s">
        <v>31</v>
      </c>
      <c r="H57" s="58"/>
      <c r="I57" s="58" t="s">
        <v>59</v>
      </c>
      <c r="J57" s="47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72">
        <v>46236.0</v>
      </c>
      <c r="B58" s="55" t="s">
        <v>144</v>
      </c>
      <c r="C58" s="58" t="s">
        <v>74</v>
      </c>
      <c r="D58" s="58" t="s">
        <v>57</v>
      </c>
      <c r="E58" s="58" t="s">
        <v>118</v>
      </c>
      <c r="F58" s="69">
        <v>21.0</v>
      </c>
      <c r="G58" s="58" t="s">
        <v>31</v>
      </c>
      <c r="H58" s="58"/>
      <c r="I58" s="58" t="s">
        <v>59</v>
      </c>
      <c r="J58" s="47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1">
        <v>46267.0</v>
      </c>
      <c r="B59" s="55" t="s">
        <v>146</v>
      </c>
      <c r="C59" s="55" t="s">
        <v>74</v>
      </c>
      <c r="D59" s="55" t="s">
        <v>57</v>
      </c>
      <c r="E59" s="53"/>
      <c r="F59" s="64">
        <v>184.8</v>
      </c>
      <c r="G59" s="55" t="s">
        <v>31</v>
      </c>
      <c r="H59" s="53"/>
      <c r="I59" s="58" t="s">
        <v>59</v>
      </c>
      <c r="J59" s="47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71">
        <v>46267.0</v>
      </c>
      <c r="B60" s="55" t="s">
        <v>147</v>
      </c>
      <c r="C60" s="55" t="s">
        <v>74</v>
      </c>
      <c r="D60" s="55" t="s">
        <v>57</v>
      </c>
      <c r="E60" s="53"/>
      <c r="F60" s="64">
        <v>358.15</v>
      </c>
      <c r="G60" s="55" t="s">
        <v>34</v>
      </c>
      <c r="H60" s="53"/>
      <c r="I60" s="58" t="s">
        <v>59</v>
      </c>
      <c r="J60" s="47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1050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71">
        <v>46267.0</v>
      </c>
      <c r="B61" s="55" t="s">
        <v>148</v>
      </c>
      <c r="C61" s="55" t="s">
        <v>74</v>
      </c>
      <c r="D61" s="55" t="s">
        <v>57</v>
      </c>
      <c r="E61" s="53"/>
      <c r="F61" s="64">
        <v>415.59</v>
      </c>
      <c r="G61" s="55" t="s">
        <v>54</v>
      </c>
      <c r="H61" s="53"/>
      <c r="I61" s="58" t="s">
        <v>59</v>
      </c>
      <c r="J61" s="47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5028.58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66">
        <v>46199.0</v>
      </c>
      <c r="B62" s="53" t="s">
        <v>149</v>
      </c>
      <c r="C62" s="53" t="s">
        <v>74</v>
      </c>
      <c r="D62" s="53" t="s">
        <v>57</v>
      </c>
      <c r="E62" s="55" t="s">
        <v>112</v>
      </c>
      <c r="F62" s="61">
        <v>100.8</v>
      </c>
      <c r="G62" s="53" t="s">
        <v>31</v>
      </c>
      <c r="H62" s="53"/>
      <c r="I62" s="58" t="s">
        <v>59</v>
      </c>
      <c r="J62" s="47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1310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65">
        <v>46228.0</v>
      </c>
      <c r="B63" s="50" t="s">
        <v>150</v>
      </c>
      <c r="C63" s="50" t="s">
        <v>74</v>
      </c>
      <c r="D63" s="50" t="s">
        <v>57</v>
      </c>
      <c r="E63" s="50" t="s">
        <v>58</v>
      </c>
      <c r="F63" s="51">
        <v>116.63</v>
      </c>
      <c r="G63" s="50" t="s">
        <v>34</v>
      </c>
      <c r="H63" s="50"/>
      <c r="I63" s="58" t="s">
        <v>59</v>
      </c>
      <c r="J63" s="47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1050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66">
        <v>46228.0</v>
      </c>
      <c r="B64" s="53" t="s">
        <v>151</v>
      </c>
      <c r="C64" s="58" t="s">
        <v>74</v>
      </c>
      <c r="D64" s="58" t="s">
        <v>57</v>
      </c>
      <c r="E64" s="58" t="s">
        <v>105</v>
      </c>
      <c r="F64" s="61">
        <v>106.02</v>
      </c>
      <c r="G64" s="53" t="s">
        <v>34</v>
      </c>
      <c r="H64" s="53"/>
      <c r="I64" s="58" t="s">
        <v>59</v>
      </c>
      <c r="J64" s="47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65">
        <v>46227.0</v>
      </c>
      <c r="B65" s="50" t="s">
        <v>152</v>
      </c>
      <c r="C65" s="50" t="s">
        <v>74</v>
      </c>
      <c r="D65" s="50" t="s">
        <v>57</v>
      </c>
      <c r="E65" s="58" t="s">
        <v>103</v>
      </c>
      <c r="F65" s="51">
        <v>55.5</v>
      </c>
      <c r="G65" s="50" t="s">
        <v>34</v>
      </c>
      <c r="H65" s="50"/>
      <c r="I65" s="58" t="s">
        <v>59</v>
      </c>
      <c r="J65" s="47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66">
        <v>46239.0</v>
      </c>
      <c r="B66" s="53" t="s">
        <v>153</v>
      </c>
      <c r="C66" s="53" t="s">
        <v>74</v>
      </c>
      <c r="D66" s="53" t="s">
        <v>57</v>
      </c>
      <c r="E66" s="55" t="s">
        <v>154</v>
      </c>
      <c r="F66" s="61">
        <v>80.0</v>
      </c>
      <c r="G66" s="53" t="s">
        <v>34</v>
      </c>
      <c r="H66" s="53"/>
      <c r="I66" s="58" t="s">
        <v>59</v>
      </c>
      <c r="J66" s="47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65">
        <v>46258.0</v>
      </c>
      <c r="B67" s="50" t="s">
        <v>155</v>
      </c>
      <c r="C67" s="50" t="s">
        <v>74</v>
      </c>
      <c r="D67" s="50" t="s">
        <v>57</v>
      </c>
      <c r="E67" s="58" t="s">
        <v>142</v>
      </c>
      <c r="F67" s="51">
        <v>90.0</v>
      </c>
      <c r="G67" s="50" t="s">
        <v>54</v>
      </c>
      <c r="H67" s="50"/>
      <c r="I67" s="58" t="s">
        <v>59</v>
      </c>
      <c r="J67" s="47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5028.58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66">
        <v>46258.0</v>
      </c>
      <c r="B68" s="53" t="s">
        <v>167</v>
      </c>
      <c r="C68" s="53" t="s">
        <v>74</v>
      </c>
      <c r="D68" s="53" t="s">
        <v>57</v>
      </c>
      <c r="E68" s="53" t="s">
        <v>168</v>
      </c>
      <c r="F68" s="61">
        <v>95.83</v>
      </c>
      <c r="G68" s="53" t="s">
        <v>54</v>
      </c>
      <c r="H68" s="53"/>
      <c r="I68" s="58" t="s">
        <v>59</v>
      </c>
      <c r="J68" s="47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65">
        <v>46255.0</v>
      </c>
      <c r="B69" s="50" t="s">
        <v>169</v>
      </c>
      <c r="C69" s="50" t="s">
        <v>74</v>
      </c>
      <c r="D69" s="50" t="s">
        <v>57</v>
      </c>
      <c r="E69" s="50" t="s">
        <v>81</v>
      </c>
      <c r="F69" s="51">
        <v>133.19</v>
      </c>
      <c r="G69" s="50" t="s">
        <v>54</v>
      </c>
      <c r="H69" s="50"/>
      <c r="I69" s="58" t="s">
        <v>59</v>
      </c>
      <c r="J69" s="47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66">
        <v>46260.0</v>
      </c>
      <c r="B70" s="53" t="s">
        <v>170</v>
      </c>
      <c r="C70" s="53" t="s">
        <v>74</v>
      </c>
      <c r="D70" s="53" t="s">
        <v>57</v>
      </c>
      <c r="E70" s="55" t="s">
        <v>171</v>
      </c>
      <c r="F70" s="61">
        <v>96.57</v>
      </c>
      <c r="G70" s="53" t="s">
        <v>54</v>
      </c>
      <c r="H70" s="53"/>
      <c r="I70" s="58" t="s">
        <v>59</v>
      </c>
      <c r="J70" s="47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72">
        <v>46267.0</v>
      </c>
      <c r="B71" s="58" t="s">
        <v>172</v>
      </c>
      <c r="C71" s="58" t="s">
        <v>173</v>
      </c>
      <c r="D71" s="58" t="s">
        <v>57</v>
      </c>
      <c r="E71" s="58" t="s">
        <v>97</v>
      </c>
      <c r="F71" s="69">
        <v>3780.0</v>
      </c>
      <c r="G71" s="58" t="s">
        <v>62</v>
      </c>
      <c r="H71" s="50"/>
      <c r="I71" s="58" t="s">
        <v>59</v>
      </c>
      <c r="J71" s="47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9054.59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72">
        <v>46267.0</v>
      </c>
      <c r="B72" s="58" t="s">
        <v>174</v>
      </c>
      <c r="C72" s="58" t="s">
        <v>173</v>
      </c>
      <c r="D72" s="58" t="s">
        <v>57</v>
      </c>
      <c r="E72" s="55" t="s">
        <v>175</v>
      </c>
      <c r="F72" s="64">
        <v>51.0</v>
      </c>
      <c r="G72" s="58" t="s">
        <v>62</v>
      </c>
      <c r="H72" s="53"/>
      <c r="I72" s="58" t="s">
        <v>59</v>
      </c>
      <c r="J72" s="47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2">
        <v>46267.0</v>
      </c>
      <c r="B73" s="58" t="s">
        <v>176</v>
      </c>
      <c r="C73" s="58" t="s">
        <v>173</v>
      </c>
      <c r="D73" s="58" t="s">
        <v>57</v>
      </c>
      <c r="E73" s="58" t="s">
        <v>177</v>
      </c>
      <c r="F73" s="69">
        <v>92.39</v>
      </c>
      <c r="G73" s="58" t="s">
        <v>62</v>
      </c>
      <c r="H73" s="50"/>
      <c r="I73" s="58" t="s">
        <v>59</v>
      </c>
      <c r="J73" s="47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72">
        <v>46267.0</v>
      </c>
      <c r="B74" s="58" t="s">
        <v>178</v>
      </c>
      <c r="C74" s="58" t="s">
        <v>173</v>
      </c>
      <c r="D74" s="58" t="s">
        <v>57</v>
      </c>
      <c r="E74" s="53" t="s">
        <v>171</v>
      </c>
      <c r="F74" s="64">
        <v>43.75</v>
      </c>
      <c r="G74" s="58" t="s">
        <v>62</v>
      </c>
      <c r="H74" s="53"/>
      <c r="I74" s="58" t="s">
        <v>59</v>
      </c>
      <c r="J74" s="47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2">
        <v>46267.0</v>
      </c>
      <c r="B75" s="58" t="s">
        <v>179</v>
      </c>
      <c r="C75" s="58" t="s">
        <v>173</v>
      </c>
      <c r="D75" s="58" t="s">
        <v>57</v>
      </c>
      <c r="E75" s="58" t="s">
        <v>99</v>
      </c>
      <c r="F75" s="51">
        <f>38.41+198.54</f>
        <v>236.95</v>
      </c>
      <c r="G75" s="58" t="s">
        <v>62</v>
      </c>
      <c r="H75" s="50"/>
      <c r="I75" s="58" t="s">
        <v>59</v>
      </c>
      <c r="J75" s="47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72">
        <v>46267.0</v>
      </c>
      <c r="B76" s="58" t="s">
        <v>180</v>
      </c>
      <c r="C76" s="58" t="s">
        <v>173</v>
      </c>
      <c r="D76" s="58" t="s">
        <v>57</v>
      </c>
      <c r="E76" s="55" t="s">
        <v>181</v>
      </c>
      <c r="F76" s="64">
        <v>23.87</v>
      </c>
      <c r="G76" s="58" t="s">
        <v>62</v>
      </c>
      <c r="H76" s="53"/>
      <c r="I76" s="58" t="s">
        <v>59</v>
      </c>
      <c r="J76" s="47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2">
        <v>46267.0</v>
      </c>
      <c r="B77" s="58" t="s">
        <v>182</v>
      </c>
      <c r="C77" s="58" t="s">
        <v>173</v>
      </c>
      <c r="D77" s="58" t="s">
        <v>57</v>
      </c>
      <c r="E77" s="58" t="s">
        <v>183</v>
      </c>
      <c r="F77" s="69">
        <v>180.0</v>
      </c>
      <c r="G77" s="58" t="s">
        <v>62</v>
      </c>
      <c r="H77" s="50"/>
      <c r="I77" s="58" t="s">
        <v>59</v>
      </c>
      <c r="J77" s="47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72">
        <v>46267.0</v>
      </c>
      <c r="B78" s="58" t="s">
        <v>184</v>
      </c>
      <c r="C78" s="58" t="s">
        <v>173</v>
      </c>
      <c r="D78" s="58" t="s">
        <v>57</v>
      </c>
      <c r="E78" s="55" t="s">
        <v>154</v>
      </c>
      <c r="F78" s="64">
        <v>121.45</v>
      </c>
      <c r="G78" s="58" t="s">
        <v>62</v>
      </c>
      <c r="H78" s="53"/>
      <c r="I78" s="58" t="s">
        <v>59</v>
      </c>
      <c r="J78" s="47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2">
        <v>46267.0</v>
      </c>
      <c r="B79" s="58" t="s">
        <v>185</v>
      </c>
      <c r="C79" s="58" t="s">
        <v>173</v>
      </c>
      <c r="D79" s="58" t="s">
        <v>57</v>
      </c>
      <c r="E79" s="50"/>
      <c r="F79" s="69">
        <v>3417.82</v>
      </c>
      <c r="G79" s="58" t="s">
        <v>62</v>
      </c>
      <c r="H79" s="50"/>
      <c r="I79" s="58" t="s">
        <v>59</v>
      </c>
      <c r="J79" s="47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72">
        <v>46267.0</v>
      </c>
      <c r="B80" s="58" t="s">
        <v>186</v>
      </c>
      <c r="C80" s="58" t="s">
        <v>173</v>
      </c>
      <c r="D80" s="58" t="s">
        <v>57</v>
      </c>
      <c r="E80" s="50"/>
      <c r="F80" s="69">
        <v>834.42</v>
      </c>
      <c r="G80" s="58" t="s">
        <v>62</v>
      </c>
      <c r="H80" s="53"/>
      <c r="I80" s="58" t="s">
        <v>59</v>
      </c>
      <c r="J80" s="47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2">
        <v>46267.0</v>
      </c>
      <c r="B81" s="58" t="s">
        <v>187</v>
      </c>
      <c r="C81" s="58" t="s">
        <v>173</v>
      </c>
      <c r="D81" s="58" t="s">
        <v>57</v>
      </c>
      <c r="E81" s="50"/>
      <c r="F81" s="69">
        <v>107.94</v>
      </c>
      <c r="G81" s="58" t="s">
        <v>62</v>
      </c>
      <c r="H81" s="50"/>
      <c r="I81" s="58" t="s">
        <v>59</v>
      </c>
      <c r="J81" s="47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72">
        <v>46267.0</v>
      </c>
      <c r="B82" s="58" t="s">
        <v>188</v>
      </c>
      <c r="C82" s="58" t="s">
        <v>173</v>
      </c>
      <c r="D82" s="58" t="s">
        <v>57</v>
      </c>
      <c r="E82" s="50"/>
      <c r="F82" s="69">
        <v>140.0</v>
      </c>
      <c r="G82" s="58" t="s">
        <v>62</v>
      </c>
      <c r="H82" s="53"/>
      <c r="I82" s="58" t="s">
        <v>59</v>
      </c>
      <c r="J82" s="47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2">
        <v>46267.0</v>
      </c>
      <c r="B83" s="58" t="s">
        <v>189</v>
      </c>
      <c r="C83" s="58" t="s">
        <v>173</v>
      </c>
      <c r="D83" s="58" t="s">
        <v>57</v>
      </c>
      <c r="E83" s="50"/>
      <c r="F83" s="69">
        <v>25.0</v>
      </c>
      <c r="G83" s="58" t="s">
        <v>62</v>
      </c>
      <c r="H83" s="50"/>
      <c r="I83" s="58" t="s">
        <v>59</v>
      </c>
      <c r="J83" s="47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71">
        <v>46267.0</v>
      </c>
      <c r="B84" s="55" t="s">
        <v>190</v>
      </c>
      <c r="C84" s="55" t="s">
        <v>78</v>
      </c>
      <c r="D84" s="55" t="s">
        <v>76</v>
      </c>
      <c r="E84" s="55" t="s">
        <v>72</v>
      </c>
      <c r="F84" s="64">
        <v>300.0</v>
      </c>
      <c r="G84" s="53"/>
      <c r="H84" s="53"/>
      <c r="I84" s="55" t="s">
        <v>59</v>
      </c>
      <c r="J84" s="47" t="str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/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72">
        <v>46267.0</v>
      </c>
      <c r="B85" s="58" t="s">
        <v>191</v>
      </c>
      <c r="C85" s="58" t="s">
        <v>78</v>
      </c>
      <c r="D85" s="58" t="s">
        <v>88</v>
      </c>
      <c r="E85" s="58" t="s">
        <v>58</v>
      </c>
      <c r="F85" s="69">
        <v>-3027.12</v>
      </c>
      <c r="G85" s="50"/>
      <c r="H85" s="58" t="s">
        <v>81</v>
      </c>
      <c r="I85" s="58" t="s">
        <v>59</v>
      </c>
      <c r="J85" s="47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52"/>
      <c r="B86" s="53"/>
      <c r="C86" s="53"/>
      <c r="D86" s="53"/>
      <c r="E86" s="53"/>
      <c r="F86" s="61"/>
      <c r="G86" s="53"/>
      <c r="H86" s="53"/>
      <c r="I86" s="53"/>
      <c r="J86" s="47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9"/>
      <c r="B87" s="50"/>
      <c r="C87" s="50"/>
      <c r="D87" s="50"/>
      <c r="E87" s="50"/>
      <c r="F87" s="51"/>
      <c r="G87" s="50"/>
      <c r="H87" s="50"/>
      <c r="I87" s="50"/>
      <c r="J87" s="47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52"/>
      <c r="B88" s="53"/>
      <c r="C88" s="53"/>
      <c r="D88" s="53"/>
      <c r="E88" s="53"/>
      <c r="F88" s="61"/>
      <c r="G88" s="53"/>
      <c r="H88" s="53"/>
      <c r="I88" s="53"/>
      <c r="J88" s="47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9"/>
      <c r="B89" s="50"/>
      <c r="C89" s="50"/>
      <c r="D89" s="50"/>
      <c r="E89" s="50"/>
      <c r="F89" s="51"/>
      <c r="G89" s="50"/>
      <c r="H89" s="50"/>
      <c r="I89" s="50"/>
      <c r="J89" s="47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52"/>
      <c r="B90" s="53"/>
      <c r="C90" s="53"/>
      <c r="D90" s="53"/>
      <c r="E90" s="53"/>
      <c r="F90" s="61"/>
      <c r="G90" s="53"/>
      <c r="H90" s="53"/>
      <c r="I90" s="53"/>
      <c r="J90" s="47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9"/>
      <c r="B91" s="50"/>
      <c r="C91" s="50"/>
      <c r="D91" s="50"/>
      <c r="E91" s="50"/>
      <c r="F91" s="51"/>
      <c r="G91" s="50"/>
      <c r="H91" s="50"/>
      <c r="I91" s="50"/>
      <c r="J91" s="47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52"/>
      <c r="B92" s="53"/>
      <c r="C92" s="53"/>
      <c r="D92" s="53"/>
      <c r="E92" s="53"/>
      <c r="F92" s="61"/>
      <c r="G92" s="53"/>
      <c r="H92" s="53"/>
      <c r="I92" s="53"/>
      <c r="J92" s="47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9"/>
      <c r="B93" s="50"/>
      <c r="C93" s="50"/>
      <c r="D93" s="50"/>
      <c r="E93" s="50"/>
      <c r="F93" s="51"/>
      <c r="G93" s="50"/>
      <c r="H93" s="50"/>
      <c r="I93" s="50"/>
      <c r="J93" s="47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52"/>
      <c r="B94" s="53"/>
      <c r="C94" s="53"/>
      <c r="D94" s="53"/>
      <c r="E94" s="53"/>
      <c r="F94" s="61"/>
      <c r="G94" s="53"/>
      <c r="H94" s="53"/>
      <c r="I94" s="53"/>
      <c r="J94" s="47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9"/>
      <c r="B95" s="50"/>
      <c r="C95" s="50"/>
      <c r="D95" s="50"/>
      <c r="E95" s="50"/>
      <c r="F95" s="51"/>
      <c r="G95" s="50"/>
      <c r="H95" s="50"/>
      <c r="I95" s="50"/>
      <c r="J95" s="47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52"/>
      <c r="B96" s="53"/>
      <c r="C96" s="53"/>
      <c r="D96" s="53"/>
      <c r="E96" s="53"/>
      <c r="F96" s="61"/>
      <c r="G96" s="53"/>
      <c r="H96" s="53"/>
      <c r="I96" s="53"/>
      <c r="J96" s="47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9"/>
      <c r="B97" s="50"/>
      <c r="C97" s="50"/>
      <c r="D97" s="50"/>
      <c r="E97" s="50"/>
      <c r="F97" s="51"/>
      <c r="G97" s="50"/>
      <c r="H97" s="50"/>
      <c r="I97" s="50"/>
      <c r="J97" s="47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52"/>
      <c r="B98" s="53"/>
      <c r="C98" s="53"/>
      <c r="D98" s="53"/>
      <c r="E98" s="53"/>
      <c r="F98" s="61"/>
      <c r="G98" s="53"/>
      <c r="H98" s="53"/>
      <c r="I98" s="53"/>
      <c r="J98" s="47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9"/>
      <c r="B99" s="50"/>
      <c r="C99" s="50"/>
      <c r="D99" s="50"/>
      <c r="E99" s="50"/>
      <c r="F99" s="51"/>
      <c r="G99" s="50"/>
      <c r="H99" s="50"/>
      <c r="I99" s="50"/>
      <c r="J99" s="47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52"/>
      <c r="B100" s="53"/>
      <c r="C100" s="53"/>
      <c r="D100" s="53"/>
      <c r="E100" s="53"/>
      <c r="F100" s="61"/>
      <c r="G100" s="53"/>
      <c r="H100" s="53"/>
      <c r="I100" s="53"/>
      <c r="J100" s="47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9"/>
      <c r="B101" s="50"/>
      <c r="C101" s="50"/>
      <c r="D101" s="50"/>
      <c r="E101" s="50"/>
      <c r="F101" s="51"/>
      <c r="G101" s="50"/>
      <c r="H101" s="50"/>
      <c r="I101" s="50"/>
      <c r="J101" s="47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52"/>
      <c r="B102" s="53"/>
      <c r="C102" s="53"/>
      <c r="D102" s="53"/>
      <c r="E102" s="53"/>
      <c r="F102" s="61"/>
      <c r="G102" s="53"/>
      <c r="H102" s="53"/>
      <c r="I102" s="53"/>
      <c r="J102" s="47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9"/>
      <c r="B103" s="50"/>
      <c r="C103" s="50"/>
      <c r="D103" s="50"/>
      <c r="E103" s="50"/>
      <c r="F103" s="51"/>
      <c r="G103" s="50"/>
      <c r="H103" s="50"/>
      <c r="I103" s="50"/>
      <c r="J103" s="47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52"/>
      <c r="B104" s="53"/>
      <c r="C104" s="53"/>
      <c r="D104" s="53"/>
      <c r="E104" s="53"/>
      <c r="F104" s="61"/>
      <c r="G104" s="53"/>
      <c r="H104" s="53"/>
      <c r="I104" s="53"/>
      <c r="J104" s="47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9"/>
      <c r="B105" s="50"/>
      <c r="C105" s="50"/>
      <c r="D105" s="50"/>
      <c r="E105" s="50"/>
      <c r="F105" s="51"/>
      <c r="G105" s="50"/>
      <c r="H105" s="50"/>
      <c r="I105" s="50"/>
      <c r="J105" s="47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52"/>
      <c r="B106" s="53"/>
      <c r="C106" s="53"/>
      <c r="D106" s="53"/>
      <c r="E106" s="53"/>
      <c r="F106" s="61"/>
      <c r="G106" s="53"/>
      <c r="H106" s="53"/>
      <c r="I106" s="53"/>
      <c r="J106" s="47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9"/>
      <c r="B107" s="50"/>
      <c r="C107" s="50"/>
      <c r="D107" s="50"/>
      <c r="E107" s="50"/>
      <c r="F107" s="51"/>
      <c r="G107" s="50"/>
      <c r="H107" s="50"/>
      <c r="I107" s="50"/>
      <c r="J107" s="47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52"/>
      <c r="B108" s="53"/>
      <c r="C108" s="53"/>
      <c r="D108" s="53"/>
      <c r="E108" s="53"/>
      <c r="F108" s="61"/>
      <c r="G108" s="53"/>
      <c r="H108" s="53"/>
      <c r="I108" s="53"/>
      <c r="J108" s="47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9"/>
      <c r="B109" s="50"/>
      <c r="C109" s="50"/>
      <c r="D109" s="50"/>
      <c r="E109" s="50"/>
      <c r="F109" s="51"/>
      <c r="G109" s="50"/>
      <c r="H109" s="50"/>
      <c r="I109" s="50"/>
      <c r="J109" s="47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52"/>
      <c r="B110" s="53"/>
      <c r="C110" s="53"/>
      <c r="D110" s="53"/>
      <c r="E110" s="53"/>
      <c r="F110" s="61"/>
      <c r="G110" s="53"/>
      <c r="H110" s="53"/>
      <c r="I110" s="53"/>
      <c r="J110" s="47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9"/>
      <c r="B111" s="50"/>
      <c r="C111" s="50"/>
      <c r="D111" s="50"/>
      <c r="E111" s="50"/>
      <c r="F111" s="51"/>
      <c r="G111" s="50"/>
      <c r="H111" s="50"/>
      <c r="I111" s="50"/>
      <c r="J111" s="47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52"/>
      <c r="B112" s="53"/>
      <c r="C112" s="53"/>
      <c r="D112" s="53"/>
      <c r="E112" s="53"/>
      <c r="F112" s="61"/>
      <c r="G112" s="53"/>
      <c r="H112" s="53"/>
      <c r="I112" s="53"/>
      <c r="J112" s="47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9"/>
      <c r="B113" s="50"/>
      <c r="C113" s="50"/>
      <c r="D113" s="50"/>
      <c r="E113" s="50"/>
      <c r="F113" s="51"/>
      <c r="G113" s="50"/>
      <c r="H113" s="50"/>
      <c r="I113" s="50"/>
      <c r="J113" s="47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52"/>
      <c r="B114" s="53"/>
      <c r="C114" s="53"/>
      <c r="D114" s="53"/>
      <c r="E114" s="53"/>
      <c r="F114" s="61"/>
      <c r="G114" s="53"/>
      <c r="H114" s="53"/>
      <c r="I114" s="53"/>
      <c r="J114" s="47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9"/>
      <c r="B115" s="50"/>
      <c r="C115" s="50"/>
      <c r="D115" s="50"/>
      <c r="E115" s="50"/>
      <c r="F115" s="51"/>
      <c r="G115" s="50"/>
      <c r="H115" s="50"/>
      <c r="I115" s="50"/>
      <c r="J115" s="47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52"/>
      <c r="B116" s="53"/>
      <c r="C116" s="53"/>
      <c r="D116" s="53"/>
      <c r="E116" s="53"/>
      <c r="F116" s="61"/>
      <c r="G116" s="53"/>
      <c r="H116" s="53"/>
      <c r="I116" s="53"/>
      <c r="J116" s="47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9"/>
      <c r="B117" s="50"/>
      <c r="C117" s="50"/>
      <c r="D117" s="50"/>
      <c r="E117" s="50"/>
      <c r="F117" s="51"/>
      <c r="G117" s="50"/>
      <c r="H117" s="50"/>
      <c r="I117" s="50"/>
      <c r="J117" s="47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52"/>
      <c r="B118" s="53"/>
      <c r="C118" s="53"/>
      <c r="D118" s="53"/>
      <c r="E118" s="53"/>
      <c r="F118" s="61"/>
      <c r="G118" s="53"/>
      <c r="H118" s="53"/>
      <c r="I118" s="53"/>
      <c r="J118" s="47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9"/>
      <c r="B119" s="50"/>
      <c r="C119" s="50"/>
      <c r="D119" s="50"/>
      <c r="E119" s="50"/>
      <c r="F119" s="51"/>
      <c r="G119" s="50"/>
      <c r="H119" s="50"/>
      <c r="I119" s="50"/>
      <c r="J119" s="47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52"/>
      <c r="B120" s="53"/>
      <c r="C120" s="53"/>
      <c r="D120" s="53"/>
      <c r="E120" s="53"/>
      <c r="F120" s="61"/>
      <c r="G120" s="53"/>
      <c r="H120" s="53"/>
      <c r="I120" s="53"/>
      <c r="J120" s="47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9"/>
      <c r="B121" s="50"/>
      <c r="C121" s="50"/>
      <c r="D121" s="50"/>
      <c r="E121" s="50"/>
      <c r="F121" s="51"/>
      <c r="G121" s="50"/>
      <c r="H121" s="50"/>
      <c r="I121" s="50"/>
      <c r="J121" s="47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52"/>
      <c r="B122" s="53"/>
      <c r="C122" s="53"/>
      <c r="D122" s="53"/>
      <c r="E122" s="53"/>
      <c r="F122" s="61"/>
      <c r="G122" s="53"/>
      <c r="H122" s="53"/>
      <c r="I122" s="53"/>
      <c r="J122" s="47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9"/>
      <c r="B123" s="50"/>
      <c r="C123" s="50"/>
      <c r="D123" s="50"/>
      <c r="E123" s="50"/>
      <c r="F123" s="51"/>
      <c r="G123" s="50"/>
      <c r="H123" s="50"/>
      <c r="I123" s="50"/>
      <c r="J123" s="47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52"/>
      <c r="B124" s="53"/>
      <c r="C124" s="53"/>
      <c r="D124" s="53"/>
      <c r="E124" s="53"/>
      <c r="F124" s="61"/>
      <c r="G124" s="53"/>
      <c r="H124" s="53"/>
      <c r="I124" s="53"/>
      <c r="J124" s="47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9"/>
      <c r="B125" s="50"/>
      <c r="C125" s="50"/>
      <c r="D125" s="50"/>
      <c r="E125" s="50"/>
      <c r="F125" s="51"/>
      <c r="G125" s="50"/>
      <c r="H125" s="50"/>
      <c r="I125" s="50"/>
      <c r="J125" s="47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52"/>
      <c r="B126" s="53"/>
      <c r="C126" s="53"/>
      <c r="D126" s="53"/>
      <c r="E126" s="53"/>
      <c r="F126" s="61"/>
      <c r="G126" s="53"/>
      <c r="H126" s="53"/>
      <c r="I126" s="53"/>
      <c r="J126" s="47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9"/>
      <c r="B127" s="50"/>
      <c r="C127" s="50"/>
      <c r="D127" s="50"/>
      <c r="E127" s="50"/>
      <c r="F127" s="51"/>
      <c r="G127" s="50"/>
      <c r="H127" s="50"/>
      <c r="I127" s="50"/>
      <c r="J127" s="47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52"/>
      <c r="B128" s="53"/>
      <c r="C128" s="53"/>
      <c r="D128" s="53"/>
      <c r="E128" s="53"/>
      <c r="F128" s="61"/>
      <c r="G128" s="53"/>
      <c r="H128" s="53"/>
      <c r="I128" s="53"/>
      <c r="J128" s="47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9"/>
      <c r="B129" s="50"/>
      <c r="C129" s="50"/>
      <c r="D129" s="50"/>
      <c r="E129" s="50"/>
      <c r="F129" s="51"/>
      <c r="G129" s="50"/>
      <c r="H129" s="50"/>
      <c r="I129" s="50"/>
      <c r="J129" s="47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52"/>
      <c r="B130" s="53"/>
      <c r="C130" s="53"/>
      <c r="D130" s="53"/>
      <c r="E130" s="53"/>
      <c r="F130" s="61"/>
      <c r="G130" s="53"/>
      <c r="H130" s="53"/>
      <c r="I130" s="53"/>
      <c r="J130" s="47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9"/>
      <c r="B131" s="50"/>
      <c r="C131" s="50"/>
      <c r="D131" s="50"/>
      <c r="E131" s="50"/>
      <c r="F131" s="51"/>
      <c r="G131" s="50"/>
      <c r="H131" s="50"/>
      <c r="I131" s="50"/>
      <c r="J131" s="47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52"/>
      <c r="B132" s="53"/>
      <c r="C132" s="53"/>
      <c r="D132" s="53"/>
      <c r="E132" s="53"/>
      <c r="F132" s="61"/>
      <c r="G132" s="53"/>
      <c r="H132" s="53"/>
      <c r="I132" s="53"/>
      <c r="J132" s="47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9"/>
      <c r="B133" s="50"/>
      <c r="C133" s="50"/>
      <c r="D133" s="50"/>
      <c r="E133" s="50"/>
      <c r="F133" s="51"/>
      <c r="G133" s="50"/>
      <c r="H133" s="50"/>
      <c r="I133" s="50"/>
      <c r="J133" s="47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52"/>
      <c r="B134" s="53"/>
      <c r="C134" s="53"/>
      <c r="D134" s="53"/>
      <c r="E134" s="53"/>
      <c r="F134" s="61"/>
      <c r="G134" s="53"/>
      <c r="H134" s="53"/>
      <c r="I134" s="53"/>
      <c r="J134" s="47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9"/>
      <c r="B135" s="50"/>
      <c r="C135" s="50"/>
      <c r="D135" s="50"/>
      <c r="E135" s="50"/>
      <c r="F135" s="51"/>
      <c r="G135" s="50"/>
      <c r="H135" s="50"/>
      <c r="I135" s="50"/>
      <c r="J135" s="47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52"/>
      <c r="B136" s="53"/>
      <c r="C136" s="53"/>
      <c r="D136" s="53"/>
      <c r="E136" s="53"/>
      <c r="F136" s="61"/>
      <c r="G136" s="53"/>
      <c r="H136" s="53"/>
      <c r="I136" s="53"/>
      <c r="J136" s="47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9"/>
      <c r="B137" s="50"/>
      <c r="C137" s="50"/>
      <c r="D137" s="50"/>
      <c r="E137" s="50"/>
      <c r="F137" s="51"/>
      <c r="G137" s="50"/>
      <c r="H137" s="50"/>
      <c r="I137" s="50"/>
      <c r="J137" s="47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52"/>
      <c r="B138" s="53"/>
      <c r="C138" s="53"/>
      <c r="D138" s="53"/>
      <c r="E138" s="53"/>
      <c r="F138" s="61"/>
      <c r="G138" s="53"/>
      <c r="H138" s="53"/>
      <c r="I138" s="53"/>
      <c r="J138" s="47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9"/>
      <c r="B139" s="50"/>
      <c r="C139" s="50"/>
      <c r="D139" s="50"/>
      <c r="E139" s="50"/>
      <c r="F139" s="51"/>
      <c r="G139" s="50"/>
      <c r="H139" s="50"/>
      <c r="I139" s="50"/>
      <c r="J139" s="47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52"/>
      <c r="B140" s="53"/>
      <c r="C140" s="53"/>
      <c r="D140" s="53"/>
      <c r="E140" s="53"/>
      <c r="F140" s="61"/>
      <c r="G140" s="53"/>
      <c r="H140" s="53"/>
      <c r="I140" s="53"/>
      <c r="J140" s="47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9"/>
      <c r="B141" s="50"/>
      <c r="C141" s="50"/>
      <c r="D141" s="50"/>
      <c r="E141" s="50"/>
      <c r="F141" s="51"/>
      <c r="G141" s="50"/>
      <c r="H141" s="50"/>
      <c r="I141" s="50"/>
      <c r="J141" s="47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52"/>
      <c r="B142" s="53"/>
      <c r="C142" s="53"/>
      <c r="D142" s="53"/>
      <c r="E142" s="53"/>
      <c r="F142" s="61"/>
      <c r="G142" s="53"/>
      <c r="H142" s="53"/>
      <c r="I142" s="53"/>
      <c r="J142" s="47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9"/>
      <c r="B143" s="50"/>
      <c r="C143" s="50"/>
      <c r="D143" s="50"/>
      <c r="E143" s="50"/>
      <c r="F143" s="51"/>
      <c r="G143" s="50"/>
      <c r="H143" s="50"/>
      <c r="I143" s="50"/>
      <c r="J143" s="47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52"/>
      <c r="B144" s="53"/>
      <c r="C144" s="53"/>
      <c r="D144" s="53"/>
      <c r="E144" s="53"/>
      <c r="F144" s="61"/>
      <c r="G144" s="53"/>
      <c r="H144" s="53"/>
      <c r="I144" s="53"/>
      <c r="J144" s="47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9"/>
      <c r="B145" s="50"/>
      <c r="C145" s="50"/>
      <c r="D145" s="50"/>
      <c r="E145" s="50"/>
      <c r="F145" s="51"/>
      <c r="G145" s="50"/>
      <c r="H145" s="50"/>
      <c r="I145" s="50"/>
      <c r="J145" s="47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52"/>
      <c r="B146" s="53"/>
      <c r="C146" s="53"/>
      <c r="D146" s="53"/>
      <c r="E146" s="53"/>
      <c r="F146" s="61"/>
      <c r="G146" s="53"/>
      <c r="H146" s="53"/>
      <c r="I146" s="53"/>
      <c r="J146" s="47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9"/>
      <c r="B147" s="50"/>
      <c r="C147" s="50"/>
      <c r="D147" s="50"/>
      <c r="E147" s="50"/>
      <c r="F147" s="51"/>
      <c r="G147" s="50"/>
      <c r="H147" s="50"/>
      <c r="I147" s="50"/>
      <c r="J147" s="47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52"/>
      <c r="B148" s="53"/>
      <c r="C148" s="53"/>
      <c r="D148" s="53"/>
      <c r="E148" s="53"/>
      <c r="F148" s="61"/>
      <c r="G148" s="53"/>
      <c r="H148" s="53"/>
      <c r="I148" s="53"/>
      <c r="J148" s="47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9"/>
      <c r="B149" s="50"/>
      <c r="C149" s="50"/>
      <c r="D149" s="50"/>
      <c r="E149" s="50"/>
      <c r="F149" s="51"/>
      <c r="G149" s="50"/>
      <c r="H149" s="50"/>
      <c r="I149" s="50"/>
      <c r="J149" s="47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52"/>
      <c r="B150" s="53"/>
      <c r="C150" s="53"/>
      <c r="D150" s="53"/>
      <c r="E150" s="53"/>
      <c r="F150" s="61"/>
      <c r="G150" s="53"/>
      <c r="H150" s="53"/>
      <c r="I150" s="53"/>
      <c r="J150" s="47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9"/>
      <c r="B151" s="50"/>
      <c r="C151" s="50"/>
      <c r="D151" s="50"/>
      <c r="E151" s="50"/>
      <c r="F151" s="51"/>
      <c r="G151" s="50"/>
      <c r="H151" s="50"/>
      <c r="I151" s="50"/>
      <c r="J151" s="47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52"/>
      <c r="B152" s="53"/>
      <c r="C152" s="53"/>
      <c r="D152" s="53"/>
      <c r="E152" s="53"/>
      <c r="F152" s="61"/>
      <c r="G152" s="53"/>
      <c r="H152" s="53"/>
      <c r="I152" s="53"/>
      <c r="J152" s="47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9"/>
      <c r="B153" s="50"/>
      <c r="C153" s="50"/>
      <c r="D153" s="50"/>
      <c r="E153" s="50"/>
      <c r="F153" s="51"/>
      <c r="G153" s="50"/>
      <c r="H153" s="50"/>
      <c r="I153" s="50"/>
      <c r="J153" s="47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52"/>
      <c r="B154" s="53"/>
      <c r="C154" s="53"/>
      <c r="D154" s="53"/>
      <c r="E154" s="53"/>
      <c r="F154" s="61"/>
      <c r="G154" s="53"/>
      <c r="H154" s="53"/>
      <c r="I154" s="53"/>
      <c r="J154" s="47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9"/>
      <c r="B155" s="50"/>
      <c r="C155" s="50"/>
      <c r="D155" s="50"/>
      <c r="E155" s="50"/>
      <c r="F155" s="51"/>
      <c r="G155" s="50"/>
      <c r="H155" s="50"/>
      <c r="I155" s="50"/>
      <c r="J155" s="47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52"/>
      <c r="B156" s="53"/>
      <c r="C156" s="53"/>
      <c r="D156" s="53"/>
      <c r="E156" s="53"/>
      <c r="F156" s="61"/>
      <c r="G156" s="53"/>
      <c r="H156" s="53"/>
      <c r="I156" s="53"/>
      <c r="J156" s="47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9"/>
      <c r="B157" s="50"/>
      <c r="C157" s="50"/>
      <c r="D157" s="50"/>
      <c r="E157" s="50"/>
      <c r="F157" s="51"/>
      <c r="G157" s="50"/>
      <c r="H157" s="50"/>
      <c r="I157" s="50"/>
      <c r="J157" s="47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52"/>
      <c r="B158" s="53"/>
      <c r="C158" s="53"/>
      <c r="D158" s="53"/>
      <c r="E158" s="53"/>
      <c r="F158" s="61"/>
      <c r="G158" s="53"/>
      <c r="H158" s="53"/>
      <c r="I158" s="53"/>
      <c r="J158" s="47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9"/>
      <c r="B159" s="50"/>
      <c r="C159" s="50"/>
      <c r="D159" s="50"/>
      <c r="E159" s="50"/>
      <c r="F159" s="51"/>
      <c r="G159" s="50"/>
      <c r="H159" s="50"/>
      <c r="I159" s="50"/>
      <c r="J159" s="47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52"/>
      <c r="B160" s="53"/>
      <c r="C160" s="53"/>
      <c r="D160" s="53"/>
      <c r="E160" s="53"/>
      <c r="F160" s="61"/>
      <c r="G160" s="53"/>
      <c r="H160" s="53"/>
      <c r="I160" s="53"/>
      <c r="J160" s="47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9"/>
      <c r="B161" s="50"/>
      <c r="C161" s="50"/>
      <c r="D161" s="50"/>
      <c r="E161" s="50"/>
      <c r="F161" s="51"/>
      <c r="G161" s="50"/>
      <c r="H161" s="50"/>
      <c r="I161" s="50"/>
      <c r="J161" s="47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52"/>
      <c r="B162" s="53"/>
      <c r="C162" s="53"/>
      <c r="D162" s="53"/>
      <c r="E162" s="53"/>
      <c r="F162" s="61"/>
      <c r="G162" s="53"/>
      <c r="H162" s="53"/>
      <c r="I162" s="53"/>
      <c r="J162" s="47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9"/>
      <c r="B163" s="50"/>
      <c r="C163" s="50"/>
      <c r="D163" s="50"/>
      <c r="E163" s="50"/>
      <c r="F163" s="51"/>
      <c r="G163" s="50"/>
      <c r="H163" s="50"/>
      <c r="I163" s="50"/>
      <c r="J163" s="47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52"/>
      <c r="B164" s="53"/>
      <c r="C164" s="53"/>
      <c r="D164" s="53"/>
      <c r="E164" s="53"/>
      <c r="F164" s="61"/>
      <c r="G164" s="53"/>
      <c r="H164" s="53"/>
      <c r="I164" s="53"/>
      <c r="J164" s="47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9"/>
      <c r="B165" s="50"/>
      <c r="C165" s="50"/>
      <c r="D165" s="50"/>
      <c r="E165" s="50"/>
      <c r="F165" s="51"/>
      <c r="G165" s="50"/>
      <c r="H165" s="50"/>
      <c r="I165" s="50"/>
      <c r="J165" s="47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52"/>
      <c r="B166" s="53"/>
      <c r="C166" s="53"/>
      <c r="D166" s="53"/>
      <c r="E166" s="53"/>
      <c r="F166" s="61"/>
      <c r="G166" s="53"/>
      <c r="H166" s="53"/>
      <c r="I166" s="53"/>
      <c r="J166" s="47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9"/>
      <c r="B167" s="50"/>
      <c r="C167" s="50"/>
      <c r="D167" s="50"/>
      <c r="E167" s="50"/>
      <c r="F167" s="51"/>
      <c r="G167" s="50"/>
      <c r="H167" s="50"/>
      <c r="I167" s="50"/>
      <c r="J167" s="47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52"/>
      <c r="B168" s="53"/>
      <c r="C168" s="53"/>
      <c r="D168" s="53"/>
      <c r="E168" s="53"/>
      <c r="F168" s="61"/>
      <c r="G168" s="53"/>
      <c r="H168" s="53"/>
      <c r="I168" s="53"/>
      <c r="J168" s="47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9"/>
      <c r="B169" s="50"/>
      <c r="C169" s="50"/>
      <c r="D169" s="50"/>
      <c r="E169" s="50"/>
      <c r="F169" s="51"/>
      <c r="G169" s="50"/>
      <c r="H169" s="50"/>
      <c r="I169" s="50"/>
      <c r="J169" s="47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52"/>
      <c r="B170" s="53"/>
      <c r="C170" s="53"/>
      <c r="D170" s="53"/>
      <c r="E170" s="53"/>
      <c r="F170" s="61"/>
      <c r="G170" s="53"/>
      <c r="H170" s="53"/>
      <c r="I170" s="53"/>
      <c r="J170" s="47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9"/>
      <c r="B171" s="50"/>
      <c r="C171" s="50"/>
      <c r="D171" s="50"/>
      <c r="E171" s="50"/>
      <c r="F171" s="51"/>
      <c r="G171" s="50"/>
      <c r="H171" s="50"/>
      <c r="I171" s="50"/>
      <c r="J171" s="47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52"/>
      <c r="B172" s="53"/>
      <c r="C172" s="53"/>
      <c r="D172" s="53"/>
      <c r="E172" s="53"/>
      <c r="F172" s="61"/>
      <c r="G172" s="53"/>
      <c r="H172" s="53"/>
      <c r="I172" s="53"/>
      <c r="J172" s="47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9"/>
      <c r="B173" s="50"/>
      <c r="C173" s="50"/>
      <c r="D173" s="50"/>
      <c r="E173" s="50"/>
      <c r="F173" s="51"/>
      <c r="G173" s="50"/>
      <c r="H173" s="50"/>
      <c r="I173" s="50"/>
      <c r="J173" s="47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52"/>
      <c r="B174" s="53"/>
      <c r="C174" s="53"/>
      <c r="D174" s="53"/>
      <c r="E174" s="53"/>
      <c r="F174" s="61"/>
      <c r="G174" s="53"/>
      <c r="H174" s="53"/>
      <c r="I174" s="53"/>
      <c r="J174" s="47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9"/>
      <c r="B175" s="50"/>
      <c r="C175" s="50"/>
      <c r="D175" s="50"/>
      <c r="E175" s="50"/>
      <c r="F175" s="51"/>
      <c r="G175" s="50"/>
      <c r="H175" s="50"/>
      <c r="I175" s="50"/>
      <c r="J175" s="47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52"/>
      <c r="B176" s="53"/>
      <c r="C176" s="53"/>
      <c r="D176" s="53"/>
      <c r="E176" s="53"/>
      <c r="F176" s="61"/>
      <c r="G176" s="53"/>
      <c r="H176" s="53"/>
      <c r="I176" s="53"/>
      <c r="J176" s="47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9"/>
      <c r="B177" s="50"/>
      <c r="C177" s="50"/>
      <c r="D177" s="50"/>
      <c r="E177" s="50"/>
      <c r="F177" s="51"/>
      <c r="G177" s="50"/>
      <c r="H177" s="50"/>
      <c r="I177" s="50"/>
      <c r="J177" s="47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52"/>
      <c r="B178" s="53"/>
      <c r="C178" s="53"/>
      <c r="D178" s="53"/>
      <c r="E178" s="53"/>
      <c r="F178" s="61"/>
      <c r="G178" s="53"/>
      <c r="H178" s="53"/>
      <c r="I178" s="53"/>
      <c r="J178" s="47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9"/>
      <c r="B179" s="50"/>
      <c r="C179" s="50"/>
      <c r="D179" s="50"/>
      <c r="E179" s="50"/>
      <c r="F179" s="51"/>
      <c r="G179" s="50"/>
      <c r="H179" s="50"/>
      <c r="I179" s="50"/>
      <c r="J179" s="47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52"/>
      <c r="B180" s="53"/>
      <c r="C180" s="53"/>
      <c r="D180" s="53"/>
      <c r="E180" s="53"/>
      <c r="F180" s="61"/>
      <c r="G180" s="53"/>
      <c r="H180" s="53"/>
      <c r="I180" s="53"/>
      <c r="J180" s="47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9"/>
      <c r="B181" s="50"/>
      <c r="C181" s="50"/>
      <c r="D181" s="50"/>
      <c r="E181" s="50"/>
      <c r="F181" s="51"/>
      <c r="G181" s="50"/>
      <c r="H181" s="50"/>
      <c r="I181" s="50"/>
      <c r="J181" s="47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52"/>
      <c r="B182" s="53"/>
      <c r="C182" s="53"/>
      <c r="D182" s="53"/>
      <c r="E182" s="53"/>
      <c r="F182" s="61"/>
      <c r="G182" s="53"/>
      <c r="H182" s="53"/>
      <c r="I182" s="53"/>
      <c r="J182" s="47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9"/>
      <c r="B183" s="50"/>
      <c r="C183" s="50"/>
      <c r="D183" s="50"/>
      <c r="E183" s="50"/>
      <c r="F183" s="51"/>
      <c r="G183" s="50"/>
      <c r="H183" s="50"/>
      <c r="I183" s="50"/>
      <c r="J183" s="47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52"/>
      <c r="B184" s="53"/>
      <c r="C184" s="53"/>
      <c r="D184" s="53"/>
      <c r="E184" s="53"/>
      <c r="F184" s="61"/>
      <c r="G184" s="53"/>
      <c r="H184" s="53"/>
      <c r="I184" s="53"/>
      <c r="J184" s="47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9"/>
      <c r="B185" s="50"/>
      <c r="C185" s="50"/>
      <c r="D185" s="50"/>
      <c r="E185" s="50"/>
      <c r="F185" s="51"/>
      <c r="G185" s="50"/>
      <c r="H185" s="50"/>
      <c r="I185" s="50"/>
      <c r="J185" s="47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52"/>
      <c r="B186" s="53"/>
      <c r="C186" s="53"/>
      <c r="D186" s="53"/>
      <c r="E186" s="53"/>
      <c r="F186" s="61"/>
      <c r="G186" s="53"/>
      <c r="H186" s="53"/>
      <c r="I186" s="53"/>
      <c r="J186" s="47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9"/>
      <c r="B187" s="50"/>
      <c r="C187" s="50"/>
      <c r="D187" s="50"/>
      <c r="E187" s="50"/>
      <c r="F187" s="51"/>
      <c r="G187" s="50"/>
      <c r="H187" s="50"/>
      <c r="I187" s="50"/>
      <c r="J187" s="47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52"/>
      <c r="B188" s="53"/>
      <c r="C188" s="53"/>
      <c r="D188" s="53"/>
      <c r="E188" s="53"/>
      <c r="F188" s="61"/>
      <c r="G188" s="53"/>
      <c r="H188" s="53"/>
      <c r="I188" s="53"/>
      <c r="J188" s="47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9"/>
      <c r="B189" s="50"/>
      <c r="C189" s="50"/>
      <c r="D189" s="50"/>
      <c r="E189" s="50"/>
      <c r="F189" s="51"/>
      <c r="G189" s="50"/>
      <c r="H189" s="50"/>
      <c r="I189" s="50"/>
      <c r="J189" s="47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52"/>
      <c r="B190" s="53"/>
      <c r="C190" s="53"/>
      <c r="D190" s="53"/>
      <c r="E190" s="53"/>
      <c r="F190" s="61"/>
      <c r="G190" s="53"/>
      <c r="H190" s="53"/>
      <c r="I190" s="53"/>
      <c r="J190" s="47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9"/>
      <c r="B191" s="50"/>
      <c r="C191" s="50"/>
      <c r="D191" s="50"/>
      <c r="E191" s="50"/>
      <c r="F191" s="51"/>
      <c r="G191" s="50"/>
      <c r="H191" s="50"/>
      <c r="I191" s="50"/>
      <c r="J191" s="47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52"/>
      <c r="B192" s="53"/>
      <c r="C192" s="53"/>
      <c r="D192" s="53"/>
      <c r="E192" s="53"/>
      <c r="F192" s="61"/>
      <c r="G192" s="53"/>
      <c r="H192" s="53"/>
      <c r="I192" s="53"/>
      <c r="J192" s="47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9"/>
      <c r="B193" s="50"/>
      <c r="C193" s="50"/>
      <c r="D193" s="50"/>
      <c r="E193" s="50"/>
      <c r="F193" s="51"/>
      <c r="G193" s="50"/>
      <c r="H193" s="50"/>
      <c r="I193" s="50"/>
      <c r="J193" s="47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52"/>
      <c r="B194" s="53"/>
      <c r="C194" s="53"/>
      <c r="D194" s="53"/>
      <c r="E194" s="53"/>
      <c r="F194" s="61"/>
      <c r="G194" s="53"/>
      <c r="H194" s="53"/>
      <c r="I194" s="53"/>
      <c r="J194" s="47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9"/>
      <c r="B195" s="50"/>
      <c r="C195" s="50"/>
      <c r="D195" s="50"/>
      <c r="E195" s="50"/>
      <c r="F195" s="51"/>
      <c r="G195" s="50"/>
      <c r="H195" s="50"/>
      <c r="I195" s="50"/>
      <c r="J195" s="47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52"/>
      <c r="B196" s="53"/>
      <c r="C196" s="53"/>
      <c r="D196" s="53"/>
      <c r="E196" s="53"/>
      <c r="F196" s="61"/>
      <c r="G196" s="53"/>
      <c r="H196" s="53"/>
      <c r="I196" s="53"/>
      <c r="J196" s="47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9"/>
      <c r="B197" s="50"/>
      <c r="C197" s="50"/>
      <c r="D197" s="50"/>
      <c r="E197" s="50"/>
      <c r="F197" s="51"/>
      <c r="G197" s="50"/>
      <c r="H197" s="50"/>
      <c r="I197" s="50"/>
      <c r="J197" s="47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52"/>
      <c r="B198" s="53"/>
      <c r="C198" s="53"/>
      <c r="D198" s="53"/>
      <c r="E198" s="53"/>
      <c r="F198" s="61"/>
      <c r="G198" s="53"/>
      <c r="H198" s="53"/>
      <c r="I198" s="53"/>
      <c r="J198" s="47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9"/>
      <c r="B199" s="50"/>
      <c r="C199" s="50"/>
      <c r="D199" s="50"/>
      <c r="E199" s="50"/>
      <c r="F199" s="51"/>
      <c r="G199" s="50"/>
      <c r="H199" s="50"/>
      <c r="I199" s="50"/>
      <c r="J199" s="47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52"/>
      <c r="B200" s="53"/>
      <c r="C200" s="53"/>
      <c r="D200" s="53"/>
      <c r="E200" s="53"/>
      <c r="F200" s="61"/>
      <c r="G200" s="53"/>
      <c r="H200" s="53"/>
      <c r="I200" s="53"/>
      <c r="J200" s="47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9"/>
      <c r="B201" s="50"/>
      <c r="C201" s="50"/>
      <c r="D201" s="50"/>
      <c r="E201" s="50"/>
      <c r="F201" s="51"/>
      <c r="G201" s="50"/>
      <c r="H201" s="50"/>
      <c r="I201" s="50"/>
      <c r="J201" s="47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52"/>
      <c r="B202" s="53"/>
      <c r="C202" s="53"/>
      <c r="D202" s="53"/>
      <c r="E202" s="53"/>
      <c r="F202" s="61"/>
      <c r="G202" s="53"/>
      <c r="H202" s="53"/>
      <c r="I202" s="53"/>
      <c r="J202" s="47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9"/>
      <c r="B203" s="50"/>
      <c r="C203" s="50"/>
      <c r="D203" s="50"/>
      <c r="E203" s="50"/>
      <c r="F203" s="51"/>
      <c r="G203" s="50"/>
      <c r="H203" s="50"/>
      <c r="I203" s="50"/>
      <c r="J203" s="47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52"/>
      <c r="B204" s="53"/>
      <c r="C204" s="53"/>
      <c r="D204" s="53"/>
      <c r="E204" s="53"/>
      <c r="F204" s="61"/>
      <c r="G204" s="53"/>
      <c r="H204" s="53"/>
      <c r="I204" s="53"/>
      <c r="J204" s="47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49"/>
      <c r="B205" s="50"/>
      <c r="C205" s="50"/>
      <c r="D205" s="50"/>
      <c r="E205" s="50"/>
      <c r="F205" s="51"/>
      <c r="G205" s="50"/>
      <c r="H205" s="50"/>
      <c r="I205" s="50"/>
      <c r="J205" s="47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52"/>
      <c r="B206" s="53"/>
      <c r="C206" s="53"/>
      <c r="D206" s="53"/>
      <c r="E206" s="53"/>
      <c r="F206" s="61"/>
      <c r="G206" s="53"/>
      <c r="H206" s="53"/>
      <c r="I206" s="53"/>
      <c r="J206" s="47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49"/>
      <c r="B207" s="50"/>
      <c r="C207" s="50"/>
      <c r="D207" s="50"/>
      <c r="E207" s="50"/>
      <c r="F207" s="51"/>
      <c r="G207" s="50"/>
      <c r="H207" s="50"/>
      <c r="I207" s="50"/>
      <c r="J207" s="47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52"/>
      <c r="B208" s="53"/>
      <c r="C208" s="53"/>
      <c r="D208" s="53"/>
      <c r="E208" s="53"/>
      <c r="F208" s="61"/>
      <c r="G208" s="53"/>
      <c r="H208" s="53"/>
      <c r="I208" s="53"/>
      <c r="J208" s="47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49"/>
      <c r="B209" s="50"/>
      <c r="C209" s="50"/>
      <c r="D209" s="50"/>
      <c r="E209" s="50"/>
      <c r="F209" s="51"/>
      <c r="G209" s="50"/>
      <c r="H209" s="50"/>
      <c r="I209" s="50"/>
      <c r="J209" s="47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52"/>
      <c r="B210" s="53"/>
      <c r="C210" s="53"/>
      <c r="D210" s="53"/>
      <c r="E210" s="53"/>
      <c r="F210" s="61"/>
      <c r="G210" s="53"/>
      <c r="H210" s="53"/>
      <c r="I210" s="53"/>
      <c r="J210" s="47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49"/>
      <c r="B211" s="50"/>
      <c r="C211" s="50"/>
      <c r="D211" s="50"/>
      <c r="E211" s="50"/>
      <c r="F211" s="51"/>
      <c r="G211" s="50"/>
      <c r="H211" s="50"/>
      <c r="I211" s="50"/>
      <c r="J211" s="47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52"/>
      <c r="B212" s="53"/>
      <c r="C212" s="53"/>
      <c r="D212" s="53"/>
      <c r="E212" s="53"/>
      <c r="F212" s="61"/>
      <c r="G212" s="53"/>
      <c r="H212" s="53"/>
      <c r="I212" s="53"/>
      <c r="J212" s="47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49"/>
      <c r="B213" s="50"/>
      <c r="C213" s="50"/>
      <c r="D213" s="50"/>
      <c r="E213" s="50"/>
      <c r="F213" s="51"/>
      <c r="G213" s="50"/>
      <c r="H213" s="50"/>
      <c r="I213" s="50"/>
      <c r="J213" s="47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52"/>
      <c r="B214" s="53"/>
      <c r="C214" s="53"/>
      <c r="D214" s="53"/>
      <c r="E214" s="53"/>
      <c r="F214" s="61"/>
      <c r="G214" s="53"/>
      <c r="H214" s="53"/>
      <c r="I214" s="53"/>
      <c r="J214" s="47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49"/>
      <c r="B215" s="50"/>
      <c r="C215" s="50"/>
      <c r="D215" s="50"/>
      <c r="E215" s="50"/>
      <c r="F215" s="51"/>
      <c r="G215" s="50"/>
      <c r="H215" s="50"/>
      <c r="I215" s="50"/>
      <c r="J215" s="47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52"/>
      <c r="B216" s="53"/>
      <c r="C216" s="53"/>
      <c r="D216" s="53"/>
      <c r="E216" s="53"/>
      <c r="F216" s="61"/>
      <c r="G216" s="53"/>
      <c r="H216" s="53"/>
      <c r="I216" s="53"/>
      <c r="J216" s="47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49"/>
      <c r="B217" s="50"/>
      <c r="C217" s="50"/>
      <c r="D217" s="50"/>
      <c r="E217" s="50"/>
      <c r="F217" s="51"/>
      <c r="G217" s="50"/>
      <c r="H217" s="50"/>
      <c r="I217" s="50"/>
      <c r="J217" s="47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52"/>
      <c r="B218" s="53"/>
      <c r="C218" s="53"/>
      <c r="D218" s="53"/>
      <c r="E218" s="53"/>
      <c r="F218" s="61"/>
      <c r="G218" s="53"/>
      <c r="H218" s="53"/>
      <c r="I218" s="53"/>
      <c r="J218" s="47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49"/>
      <c r="B219" s="50"/>
      <c r="C219" s="50"/>
      <c r="D219" s="50"/>
      <c r="E219" s="50"/>
      <c r="F219" s="51"/>
      <c r="G219" s="50"/>
      <c r="H219" s="50"/>
      <c r="I219" s="50"/>
      <c r="J219" s="47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52"/>
      <c r="B220" s="53"/>
      <c r="C220" s="53"/>
      <c r="D220" s="53"/>
      <c r="E220" s="53"/>
      <c r="F220" s="61"/>
      <c r="G220" s="53"/>
      <c r="H220" s="53"/>
      <c r="I220" s="53"/>
      <c r="J220" s="47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49"/>
      <c r="B221" s="50"/>
      <c r="C221" s="50"/>
      <c r="D221" s="50"/>
      <c r="E221" s="50"/>
      <c r="F221" s="51"/>
      <c r="G221" s="50"/>
      <c r="H221" s="50"/>
      <c r="I221" s="50"/>
      <c r="J221" s="47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52"/>
      <c r="B222" s="53"/>
      <c r="C222" s="53"/>
      <c r="D222" s="53"/>
      <c r="E222" s="53"/>
      <c r="F222" s="61"/>
      <c r="G222" s="53"/>
      <c r="H222" s="53"/>
      <c r="I222" s="53"/>
      <c r="J222" s="47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49"/>
      <c r="B223" s="50"/>
      <c r="C223" s="50"/>
      <c r="D223" s="50"/>
      <c r="E223" s="50"/>
      <c r="F223" s="51"/>
      <c r="G223" s="50"/>
      <c r="H223" s="50"/>
      <c r="I223" s="50"/>
      <c r="J223" s="47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52"/>
      <c r="B224" s="53"/>
      <c r="C224" s="53"/>
      <c r="D224" s="53"/>
      <c r="E224" s="53"/>
      <c r="F224" s="61"/>
      <c r="G224" s="53"/>
      <c r="H224" s="53"/>
      <c r="I224" s="53"/>
      <c r="J224" s="47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49"/>
      <c r="B225" s="50"/>
      <c r="C225" s="50"/>
      <c r="D225" s="50"/>
      <c r="E225" s="50"/>
      <c r="F225" s="51"/>
      <c r="G225" s="50"/>
      <c r="H225" s="50"/>
      <c r="I225" s="50"/>
      <c r="J225" s="47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52"/>
      <c r="B226" s="53"/>
      <c r="C226" s="53"/>
      <c r="D226" s="53"/>
      <c r="E226" s="53"/>
      <c r="F226" s="61"/>
      <c r="G226" s="53"/>
      <c r="H226" s="53"/>
      <c r="I226" s="53"/>
      <c r="J226" s="47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49"/>
      <c r="B227" s="50"/>
      <c r="C227" s="50"/>
      <c r="D227" s="50"/>
      <c r="E227" s="50"/>
      <c r="F227" s="51"/>
      <c r="G227" s="50"/>
      <c r="H227" s="50"/>
      <c r="I227" s="50"/>
      <c r="J227" s="47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52"/>
      <c r="B228" s="53"/>
      <c r="C228" s="53"/>
      <c r="D228" s="53"/>
      <c r="E228" s="53"/>
      <c r="F228" s="61"/>
      <c r="G228" s="53"/>
      <c r="H228" s="53"/>
      <c r="I228" s="53"/>
      <c r="J228" s="47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49"/>
      <c r="B229" s="50"/>
      <c r="C229" s="50"/>
      <c r="D229" s="50"/>
      <c r="E229" s="50"/>
      <c r="F229" s="51"/>
      <c r="G229" s="50"/>
      <c r="H229" s="50"/>
      <c r="I229" s="50"/>
      <c r="J229" s="47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52"/>
      <c r="B230" s="53"/>
      <c r="C230" s="53"/>
      <c r="D230" s="53"/>
      <c r="E230" s="53"/>
      <c r="F230" s="61"/>
      <c r="G230" s="53"/>
      <c r="H230" s="53"/>
      <c r="I230" s="53"/>
      <c r="J230" s="47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49"/>
      <c r="B231" s="50"/>
      <c r="C231" s="50"/>
      <c r="D231" s="50"/>
      <c r="E231" s="50"/>
      <c r="F231" s="51"/>
      <c r="G231" s="50"/>
      <c r="H231" s="50"/>
      <c r="I231" s="50"/>
      <c r="J231" s="47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52"/>
      <c r="B232" s="53"/>
      <c r="C232" s="53"/>
      <c r="D232" s="53"/>
      <c r="E232" s="53"/>
      <c r="F232" s="61"/>
      <c r="G232" s="53"/>
      <c r="H232" s="53"/>
      <c r="I232" s="53"/>
      <c r="J232" s="47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49"/>
      <c r="B233" s="50"/>
      <c r="C233" s="50"/>
      <c r="D233" s="50"/>
      <c r="E233" s="50"/>
      <c r="F233" s="51"/>
      <c r="G233" s="50"/>
      <c r="H233" s="50"/>
      <c r="I233" s="50"/>
      <c r="J233" s="47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52"/>
      <c r="B234" s="53"/>
      <c r="C234" s="53"/>
      <c r="D234" s="53"/>
      <c r="E234" s="53"/>
      <c r="F234" s="61"/>
      <c r="G234" s="53"/>
      <c r="H234" s="53"/>
      <c r="I234" s="53"/>
      <c r="J234" s="47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49"/>
      <c r="B235" s="50"/>
      <c r="C235" s="50"/>
      <c r="D235" s="50"/>
      <c r="E235" s="50"/>
      <c r="F235" s="51"/>
      <c r="G235" s="50"/>
      <c r="H235" s="50"/>
      <c r="I235" s="50"/>
      <c r="J235" s="47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52"/>
      <c r="B236" s="53"/>
      <c r="C236" s="53"/>
      <c r="D236" s="53"/>
      <c r="E236" s="53"/>
      <c r="F236" s="61"/>
      <c r="G236" s="53"/>
      <c r="H236" s="53"/>
      <c r="I236" s="53"/>
      <c r="J236" s="47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49"/>
      <c r="B237" s="50"/>
      <c r="C237" s="50"/>
      <c r="D237" s="50"/>
      <c r="E237" s="50"/>
      <c r="F237" s="51"/>
      <c r="G237" s="50"/>
      <c r="H237" s="50"/>
      <c r="I237" s="50"/>
      <c r="J237" s="47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52"/>
      <c r="B238" s="53"/>
      <c r="C238" s="53"/>
      <c r="D238" s="53"/>
      <c r="E238" s="53"/>
      <c r="F238" s="61"/>
      <c r="G238" s="53"/>
      <c r="H238" s="53"/>
      <c r="I238" s="53"/>
      <c r="J238" s="47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49"/>
      <c r="B239" s="50"/>
      <c r="C239" s="50"/>
      <c r="D239" s="50"/>
      <c r="E239" s="50"/>
      <c r="F239" s="51"/>
      <c r="G239" s="50"/>
      <c r="H239" s="50"/>
      <c r="I239" s="50"/>
      <c r="J239" s="47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52"/>
      <c r="B240" s="53"/>
      <c r="C240" s="53"/>
      <c r="D240" s="53"/>
      <c r="E240" s="53"/>
      <c r="F240" s="61"/>
      <c r="G240" s="53"/>
      <c r="H240" s="53"/>
      <c r="I240" s="53"/>
      <c r="J240" s="47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49"/>
      <c r="B241" s="50"/>
      <c r="C241" s="50"/>
      <c r="D241" s="50"/>
      <c r="E241" s="50"/>
      <c r="F241" s="51"/>
      <c r="G241" s="50"/>
      <c r="H241" s="50"/>
      <c r="I241" s="50"/>
      <c r="J241" s="47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52"/>
      <c r="B242" s="53"/>
      <c r="C242" s="53"/>
      <c r="D242" s="53"/>
      <c r="E242" s="53"/>
      <c r="F242" s="61"/>
      <c r="G242" s="53"/>
      <c r="H242" s="53"/>
      <c r="I242" s="53"/>
      <c r="J242" s="47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49"/>
      <c r="B243" s="50"/>
      <c r="C243" s="50"/>
      <c r="D243" s="50"/>
      <c r="E243" s="50"/>
      <c r="F243" s="51"/>
      <c r="G243" s="50"/>
      <c r="H243" s="50"/>
      <c r="I243" s="50"/>
      <c r="J243" s="47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52"/>
      <c r="B244" s="53"/>
      <c r="C244" s="53"/>
      <c r="D244" s="53"/>
      <c r="E244" s="53"/>
      <c r="F244" s="61"/>
      <c r="G244" s="53"/>
      <c r="H244" s="53"/>
      <c r="I244" s="53"/>
      <c r="J244" s="47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49"/>
      <c r="B245" s="50"/>
      <c r="C245" s="50"/>
      <c r="D245" s="50"/>
      <c r="E245" s="50"/>
      <c r="F245" s="51"/>
      <c r="G245" s="50"/>
      <c r="H245" s="50"/>
      <c r="I245" s="50"/>
      <c r="J245" s="47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52"/>
      <c r="B246" s="53"/>
      <c r="C246" s="53"/>
      <c r="D246" s="53"/>
      <c r="E246" s="53"/>
      <c r="F246" s="61"/>
      <c r="G246" s="53"/>
      <c r="H246" s="53"/>
      <c r="I246" s="53"/>
      <c r="J246" s="47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49"/>
      <c r="B247" s="50"/>
      <c r="C247" s="50"/>
      <c r="D247" s="50"/>
      <c r="E247" s="50"/>
      <c r="F247" s="51"/>
      <c r="G247" s="50"/>
      <c r="H247" s="50"/>
      <c r="I247" s="50"/>
      <c r="J247" s="47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52"/>
      <c r="B248" s="53"/>
      <c r="C248" s="53"/>
      <c r="D248" s="53"/>
      <c r="E248" s="53"/>
      <c r="F248" s="61"/>
      <c r="G248" s="53"/>
      <c r="H248" s="53"/>
      <c r="I248" s="53"/>
      <c r="J248" s="47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49"/>
      <c r="B249" s="50"/>
      <c r="C249" s="50"/>
      <c r="D249" s="50"/>
      <c r="E249" s="50"/>
      <c r="F249" s="51"/>
      <c r="G249" s="50"/>
      <c r="H249" s="50"/>
      <c r="I249" s="50"/>
      <c r="J249" s="47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52"/>
      <c r="B250" s="53"/>
      <c r="C250" s="53"/>
      <c r="D250" s="53"/>
      <c r="E250" s="53"/>
      <c r="F250" s="61"/>
      <c r="G250" s="53"/>
      <c r="H250" s="53"/>
      <c r="I250" s="53"/>
      <c r="J250" s="47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49"/>
      <c r="B251" s="50"/>
      <c r="C251" s="50"/>
      <c r="D251" s="50"/>
      <c r="E251" s="50"/>
      <c r="F251" s="51"/>
      <c r="G251" s="50"/>
      <c r="H251" s="50"/>
      <c r="I251" s="50"/>
      <c r="J251" s="47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52"/>
      <c r="B252" s="53"/>
      <c r="C252" s="53"/>
      <c r="D252" s="53"/>
      <c r="E252" s="53"/>
      <c r="F252" s="61"/>
      <c r="G252" s="53"/>
      <c r="H252" s="53"/>
      <c r="I252" s="53"/>
      <c r="J252" s="47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49"/>
      <c r="B253" s="50"/>
      <c r="C253" s="50"/>
      <c r="D253" s="50"/>
      <c r="E253" s="50"/>
      <c r="F253" s="51"/>
      <c r="G253" s="50"/>
      <c r="H253" s="50"/>
      <c r="I253" s="50"/>
      <c r="J253" s="47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52"/>
      <c r="B254" s="53"/>
      <c r="C254" s="53"/>
      <c r="D254" s="53"/>
      <c r="E254" s="53"/>
      <c r="F254" s="61"/>
      <c r="G254" s="53"/>
      <c r="H254" s="53"/>
      <c r="I254" s="53"/>
      <c r="J254" s="47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49"/>
      <c r="B255" s="50"/>
      <c r="C255" s="50"/>
      <c r="D255" s="50"/>
      <c r="E255" s="50"/>
      <c r="F255" s="51"/>
      <c r="G255" s="50"/>
      <c r="H255" s="50"/>
      <c r="I255" s="50"/>
      <c r="J255" s="47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52"/>
      <c r="B256" s="53"/>
      <c r="C256" s="53"/>
      <c r="D256" s="53"/>
      <c r="E256" s="53"/>
      <c r="F256" s="61"/>
      <c r="G256" s="53"/>
      <c r="H256" s="53"/>
      <c r="I256" s="53"/>
      <c r="J256" s="47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49"/>
      <c r="B257" s="50"/>
      <c r="C257" s="50"/>
      <c r="D257" s="50"/>
      <c r="E257" s="50"/>
      <c r="F257" s="51"/>
      <c r="G257" s="50"/>
      <c r="H257" s="50"/>
      <c r="I257" s="50"/>
      <c r="J257" s="47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52"/>
      <c r="B258" s="53"/>
      <c r="C258" s="53"/>
      <c r="D258" s="53"/>
      <c r="E258" s="53"/>
      <c r="F258" s="61"/>
      <c r="G258" s="53"/>
      <c r="H258" s="53"/>
      <c r="I258" s="53"/>
      <c r="J258" s="47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49"/>
      <c r="B259" s="50"/>
      <c r="C259" s="50"/>
      <c r="D259" s="50"/>
      <c r="E259" s="50"/>
      <c r="F259" s="51"/>
      <c r="G259" s="50"/>
      <c r="H259" s="50"/>
      <c r="I259" s="50"/>
      <c r="J259" s="47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52"/>
      <c r="B260" s="53"/>
      <c r="C260" s="53"/>
      <c r="D260" s="53"/>
      <c r="E260" s="53"/>
      <c r="F260" s="61"/>
      <c r="G260" s="53"/>
      <c r="H260" s="53"/>
      <c r="I260" s="53"/>
      <c r="J260" s="47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49"/>
      <c r="B261" s="50"/>
      <c r="C261" s="50"/>
      <c r="D261" s="50"/>
      <c r="E261" s="50"/>
      <c r="F261" s="51"/>
      <c r="G261" s="50"/>
      <c r="H261" s="50"/>
      <c r="I261" s="50"/>
      <c r="J261" s="47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52"/>
      <c r="B262" s="53"/>
      <c r="C262" s="53"/>
      <c r="D262" s="53"/>
      <c r="E262" s="53"/>
      <c r="F262" s="61"/>
      <c r="G262" s="53"/>
      <c r="H262" s="53"/>
      <c r="I262" s="53"/>
      <c r="J262" s="47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49"/>
      <c r="B263" s="50"/>
      <c r="C263" s="50"/>
      <c r="D263" s="50"/>
      <c r="E263" s="50"/>
      <c r="F263" s="51"/>
      <c r="G263" s="50"/>
      <c r="H263" s="50"/>
      <c r="I263" s="50"/>
      <c r="J263" s="47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52"/>
      <c r="B264" s="53"/>
      <c r="C264" s="53"/>
      <c r="D264" s="53"/>
      <c r="E264" s="53"/>
      <c r="F264" s="61"/>
      <c r="G264" s="53"/>
      <c r="H264" s="53"/>
      <c r="I264" s="53"/>
      <c r="J264" s="47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49"/>
      <c r="B265" s="50"/>
      <c r="C265" s="50"/>
      <c r="D265" s="50"/>
      <c r="E265" s="50"/>
      <c r="F265" s="51"/>
      <c r="G265" s="50"/>
      <c r="H265" s="50"/>
      <c r="I265" s="50"/>
      <c r="J265" s="47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52"/>
      <c r="B266" s="53"/>
      <c r="C266" s="53"/>
      <c r="D266" s="53"/>
      <c r="E266" s="53"/>
      <c r="F266" s="61"/>
      <c r="G266" s="53"/>
      <c r="H266" s="53"/>
      <c r="I266" s="53"/>
      <c r="J266" s="47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49"/>
      <c r="B267" s="50"/>
      <c r="C267" s="50"/>
      <c r="D267" s="50"/>
      <c r="E267" s="50"/>
      <c r="F267" s="51"/>
      <c r="G267" s="50"/>
      <c r="H267" s="50"/>
      <c r="I267" s="50"/>
      <c r="J267" s="47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52"/>
      <c r="B268" s="53"/>
      <c r="C268" s="53"/>
      <c r="D268" s="53"/>
      <c r="E268" s="53"/>
      <c r="F268" s="61"/>
      <c r="G268" s="53"/>
      <c r="H268" s="53"/>
      <c r="I268" s="53"/>
      <c r="J268" s="47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49"/>
      <c r="B269" s="50"/>
      <c r="C269" s="50"/>
      <c r="D269" s="50"/>
      <c r="E269" s="50"/>
      <c r="F269" s="51"/>
      <c r="G269" s="50"/>
      <c r="H269" s="50"/>
      <c r="I269" s="50"/>
      <c r="J269" s="47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52"/>
      <c r="B270" s="53"/>
      <c r="C270" s="53"/>
      <c r="D270" s="53"/>
      <c r="E270" s="53"/>
      <c r="F270" s="61"/>
      <c r="G270" s="53"/>
      <c r="H270" s="53"/>
      <c r="I270" s="53"/>
      <c r="J270" s="47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49"/>
      <c r="B271" s="50"/>
      <c r="C271" s="50"/>
      <c r="D271" s="50"/>
      <c r="E271" s="50"/>
      <c r="F271" s="51"/>
      <c r="G271" s="50"/>
      <c r="H271" s="50"/>
      <c r="I271" s="50"/>
      <c r="J271" s="47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52"/>
      <c r="B272" s="53"/>
      <c r="C272" s="53"/>
      <c r="D272" s="53"/>
      <c r="E272" s="53"/>
      <c r="F272" s="61"/>
      <c r="G272" s="53"/>
      <c r="H272" s="53"/>
      <c r="I272" s="53"/>
      <c r="J272" s="47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49"/>
      <c r="B273" s="50"/>
      <c r="C273" s="50"/>
      <c r="D273" s="50"/>
      <c r="E273" s="50"/>
      <c r="F273" s="51"/>
      <c r="G273" s="50"/>
      <c r="H273" s="50"/>
      <c r="I273" s="50"/>
      <c r="J273" s="47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52"/>
      <c r="B274" s="53"/>
      <c r="C274" s="53"/>
      <c r="D274" s="53"/>
      <c r="E274" s="53"/>
      <c r="F274" s="61"/>
      <c r="G274" s="53"/>
      <c r="H274" s="53"/>
      <c r="I274" s="53"/>
      <c r="J274" s="47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49"/>
      <c r="B275" s="50"/>
      <c r="C275" s="50"/>
      <c r="D275" s="50"/>
      <c r="E275" s="50"/>
      <c r="F275" s="51"/>
      <c r="G275" s="50"/>
      <c r="H275" s="50"/>
      <c r="I275" s="50"/>
      <c r="J275" s="47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52"/>
      <c r="B276" s="53"/>
      <c r="C276" s="53"/>
      <c r="D276" s="53"/>
      <c r="E276" s="53"/>
      <c r="F276" s="61"/>
      <c r="G276" s="53"/>
      <c r="H276" s="53"/>
      <c r="I276" s="53"/>
      <c r="J276" s="47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49"/>
      <c r="B277" s="50"/>
      <c r="C277" s="50"/>
      <c r="D277" s="50"/>
      <c r="E277" s="50"/>
      <c r="F277" s="51"/>
      <c r="G277" s="50"/>
      <c r="H277" s="50"/>
      <c r="I277" s="50"/>
      <c r="J277" s="47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52"/>
      <c r="B278" s="53"/>
      <c r="C278" s="53"/>
      <c r="D278" s="53"/>
      <c r="E278" s="53"/>
      <c r="F278" s="61"/>
      <c r="G278" s="53"/>
      <c r="H278" s="53"/>
      <c r="I278" s="53"/>
      <c r="J278" s="47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49"/>
      <c r="B279" s="50"/>
      <c r="C279" s="50"/>
      <c r="D279" s="50"/>
      <c r="E279" s="50"/>
      <c r="F279" s="51"/>
      <c r="G279" s="50"/>
      <c r="H279" s="50"/>
      <c r="I279" s="50"/>
      <c r="J279" s="47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52"/>
      <c r="B280" s="53"/>
      <c r="C280" s="53"/>
      <c r="D280" s="53"/>
      <c r="E280" s="53"/>
      <c r="F280" s="61"/>
      <c r="G280" s="53"/>
      <c r="H280" s="53"/>
      <c r="I280" s="53"/>
      <c r="J280" s="47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49"/>
      <c r="B281" s="50"/>
      <c r="C281" s="50"/>
      <c r="D281" s="50"/>
      <c r="E281" s="50"/>
      <c r="F281" s="51"/>
      <c r="G281" s="50"/>
      <c r="H281" s="50"/>
      <c r="I281" s="50"/>
      <c r="J281" s="47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52"/>
      <c r="B282" s="53"/>
      <c r="C282" s="53"/>
      <c r="D282" s="53"/>
      <c r="E282" s="53"/>
      <c r="F282" s="61"/>
      <c r="G282" s="53"/>
      <c r="H282" s="53"/>
      <c r="I282" s="53"/>
      <c r="J282" s="47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49"/>
      <c r="B283" s="50"/>
      <c r="C283" s="50"/>
      <c r="D283" s="50"/>
      <c r="E283" s="50"/>
      <c r="F283" s="51"/>
      <c r="G283" s="50"/>
      <c r="H283" s="50"/>
      <c r="I283" s="50"/>
      <c r="J283" s="47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52"/>
      <c r="B284" s="53"/>
      <c r="C284" s="53"/>
      <c r="D284" s="53"/>
      <c r="E284" s="53"/>
      <c r="F284" s="61"/>
      <c r="G284" s="53"/>
      <c r="H284" s="53"/>
      <c r="I284" s="53"/>
      <c r="J284" s="47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49"/>
      <c r="B285" s="50"/>
      <c r="C285" s="50"/>
      <c r="D285" s="50"/>
      <c r="E285" s="50"/>
      <c r="F285" s="51"/>
      <c r="G285" s="50"/>
      <c r="H285" s="50"/>
      <c r="I285" s="50"/>
      <c r="J285" s="47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52"/>
      <c r="B286" s="53"/>
      <c r="C286" s="53"/>
      <c r="D286" s="53"/>
      <c r="E286" s="53"/>
      <c r="F286" s="61"/>
      <c r="G286" s="53"/>
      <c r="H286" s="53"/>
      <c r="I286" s="53"/>
      <c r="J286" s="47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49"/>
      <c r="B287" s="50"/>
      <c r="C287" s="50"/>
      <c r="D287" s="50"/>
      <c r="E287" s="50"/>
      <c r="F287" s="51"/>
      <c r="G287" s="50"/>
      <c r="H287" s="50"/>
      <c r="I287" s="50"/>
      <c r="J287" s="47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52"/>
      <c r="B288" s="53"/>
      <c r="C288" s="53"/>
      <c r="D288" s="53"/>
      <c r="E288" s="53"/>
      <c r="F288" s="61"/>
      <c r="G288" s="53"/>
      <c r="H288" s="53"/>
      <c r="I288" s="53"/>
      <c r="J288" s="47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49"/>
      <c r="B289" s="50"/>
      <c r="C289" s="50"/>
      <c r="D289" s="50"/>
      <c r="E289" s="50"/>
      <c r="F289" s="51"/>
      <c r="G289" s="50"/>
      <c r="H289" s="50"/>
      <c r="I289" s="50"/>
      <c r="J289" s="47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52"/>
      <c r="B290" s="53"/>
      <c r="C290" s="53"/>
      <c r="D290" s="53"/>
      <c r="E290" s="53"/>
      <c r="F290" s="61"/>
      <c r="G290" s="53"/>
      <c r="H290" s="53"/>
      <c r="I290" s="53"/>
      <c r="J290" s="47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49"/>
      <c r="B291" s="50"/>
      <c r="C291" s="50"/>
      <c r="D291" s="50"/>
      <c r="E291" s="50"/>
      <c r="F291" s="51"/>
      <c r="G291" s="50"/>
      <c r="H291" s="50"/>
      <c r="I291" s="50"/>
      <c r="J291" s="47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52"/>
      <c r="B292" s="53"/>
      <c r="C292" s="53"/>
      <c r="D292" s="53"/>
      <c r="E292" s="53"/>
      <c r="F292" s="61"/>
      <c r="G292" s="53"/>
      <c r="H292" s="53"/>
      <c r="I292" s="53"/>
      <c r="J292" s="47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49"/>
      <c r="B293" s="50"/>
      <c r="C293" s="50"/>
      <c r="D293" s="50"/>
      <c r="E293" s="50"/>
      <c r="F293" s="51"/>
      <c r="G293" s="50"/>
      <c r="H293" s="50"/>
      <c r="I293" s="50"/>
      <c r="J293" s="47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52"/>
      <c r="B294" s="53"/>
      <c r="C294" s="53"/>
      <c r="D294" s="53"/>
      <c r="E294" s="53"/>
      <c r="F294" s="61"/>
      <c r="G294" s="53"/>
      <c r="H294" s="53"/>
      <c r="I294" s="53"/>
      <c r="J294" s="47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49"/>
      <c r="B295" s="50"/>
      <c r="C295" s="50"/>
      <c r="D295" s="50"/>
      <c r="E295" s="50"/>
      <c r="F295" s="51"/>
      <c r="G295" s="50"/>
      <c r="H295" s="50"/>
      <c r="I295" s="50"/>
      <c r="J295" s="47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52"/>
      <c r="B296" s="53"/>
      <c r="C296" s="53"/>
      <c r="D296" s="53"/>
      <c r="E296" s="53"/>
      <c r="F296" s="61"/>
      <c r="G296" s="53"/>
      <c r="H296" s="53"/>
      <c r="I296" s="53"/>
      <c r="J296" s="47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49"/>
      <c r="B297" s="50"/>
      <c r="C297" s="50"/>
      <c r="D297" s="50"/>
      <c r="E297" s="50"/>
      <c r="F297" s="51"/>
      <c r="G297" s="50"/>
      <c r="H297" s="50"/>
      <c r="I297" s="50"/>
      <c r="J297" s="47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52"/>
      <c r="B298" s="53"/>
      <c r="C298" s="53"/>
      <c r="D298" s="53"/>
      <c r="E298" s="53"/>
      <c r="F298" s="61"/>
      <c r="G298" s="53"/>
      <c r="H298" s="53"/>
      <c r="I298" s="53"/>
      <c r="J298" s="47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49"/>
      <c r="B299" s="50"/>
      <c r="C299" s="50"/>
      <c r="D299" s="50"/>
      <c r="E299" s="50"/>
      <c r="F299" s="51"/>
      <c r="G299" s="50"/>
      <c r="H299" s="50"/>
      <c r="I299" s="50"/>
      <c r="J299" s="47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52"/>
      <c r="B300" s="53"/>
      <c r="C300" s="53"/>
      <c r="D300" s="53"/>
      <c r="E300" s="53"/>
      <c r="F300" s="61"/>
      <c r="G300" s="53"/>
      <c r="H300" s="53"/>
      <c r="I300" s="53"/>
      <c r="J300" s="47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49"/>
      <c r="B301" s="50"/>
      <c r="C301" s="50"/>
      <c r="D301" s="50"/>
      <c r="E301" s="50"/>
      <c r="F301" s="51"/>
      <c r="G301" s="50"/>
      <c r="H301" s="50"/>
      <c r="I301" s="50"/>
      <c r="J301" s="47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52"/>
      <c r="B302" s="53"/>
      <c r="C302" s="53"/>
      <c r="D302" s="53"/>
      <c r="E302" s="53"/>
      <c r="F302" s="61"/>
      <c r="G302" s="53"/>
      <c r="H302" s="53"/>
      <c r="I302" s="53"/>
      <c r="J302" s="47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49"/>
      <c r="B303" s="50"/>
      <c r="C303" s="50"/>
      <c r="D303" s="50"/>
      <c r="E303" s="50"/>
      <c r="F303" s="51"/>
      <c r="G303" s="50"/>
      <c r="H303" s="50"/>
      <c r="I303" s="50"/>
      <c r="J303" s="47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52"/>
      <c r="B304" s="53"/>
      <c r="C304" s="53"/>
      <c r="D304" s="53"/>
      <c r="E304" s="53"/>
      <c r="F304" s="61"/>
      <c r="G304" s="53"/>
      <c r="H304" s="53"/>
      <c r="I304" s="53"/>
      <c r="J304" s="47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49"/>
      <c r="B305" s="50"/>
      <c r="C305" s="50"/>
      <c r="D305" s="50"/>
      <c r="E305" s="50"/>
      <c r="F305" s="51"/>
      <c r="G305" s="50"/>
      <c r="H305" s="50"/>
      <c r="I305" s="50"/>
      <c r="J305" s="47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52"/>
      <c r="B306" s="53"/>
      <c r="C306" s="53"/>
      <c r="D306" s="53"/>
      <c r="E306" s="53"/>
      <c r="F306" s="61"/>
      <c r="G306" s="53"/>
      <c r="H306" s="53"/>
      <c r="I306" s="53"/>
      <c r="J306" s="47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49"/>
      <c r="B307" s="50"/>
      <c r="C307" s="50"/>
      <c r="D307" s="50"/>
      <c r="E307" s="50"/>
      <c r="F307" s="51"/>
      <c r="G307" s="50"/>
      <c r="H307" s="50"/>
      <c r="I307" s="50"/>
      <c r="J307" s="47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52"/>
      <c r="B308" s="53"/>
      <c r="C308" s="53"/>
      <c r="D308" s="53"/>
      <c r="E308" s="53"/>
      <c r="F308" s="61"/>
      <c r="G308" s="53"/>
      <c r="H308" s="53"/>
      <c r="I308" s="53"/>
      <c r="J308" s="47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49"/>
      <c r="B309" s="50"/>
      <c r="C309" s="50"/>
      <c r="D309" s="50"/>
      <c r="E309" s="50"/>
      <c r="F309" s="51"/>
      <c r="G309" s="50"/>
      <c r="H309" s="50"/>
      <c r="I309" s="50"/>
      <c r="J309" s="47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52"/>
      <c r="B310" s="53"/>
      <c r="C310" s="53"/>
      <c r="D310" s="53"/>
      <c r="E310" s="53"/>
      <c r="F310" s="61"/>
      <c r="G310" s="53"/>
      <c r="H310" s="53"/>
      <c r="I310" s="53"/>
      <c r="J310" s="47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49"/>
      <c r="B311" s="50"/>
      <c r="C311" s="50"/>
      <c r="D311" s="50"/>
      <c r="E311" s="50"/>
      <c r="F311" s="51"/>
      <c r="G311" s="50"/>
      <c r="H311" s="50"/>
      <c r="I311" s="50"/>
      <c r="J311" s="47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52"/>
      <c r="B312" s="53"/>
      <c r="C312" s="53"/>
      <c r="D312" s="53"/>
      <c r="E312" s="53"/>
      <c r="F312" s="61"/>
      <c r="G312" s="53"/>
      <c r="H312" s="53"/>
      <c r="I312" s="53"/>
      <c r="J312" s="47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49"/>
      <c r="B313" s="50"/>
      <c r="C313" s="50"/>
      <c r="D313" s="50"/>
      <c r="E313" s="50"/>
      <c r="F313" s="51"/>
      <c r="G313" s="50"/>
      <c r="H313" s="50"/>
      <c r="I313" s="50"/>
      <c r="J313" s="47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52"/>
      <c r="B314" s="53"/>
      <c r="C314" s="53"/>
      <c r="D314" s="53"/>
      <c r="E314" s="53"/>
      <c r="F314" s="61"/>
      <c r="G314" s="53"/>
      <c r="H314" s="53"/>
      <c r="I314" s="53"/>
      <c r="J314" s="47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49"/>
      <c r="B315" s="50"/>
      <c r="C315" s="50"/>
      <c r="D315" s="50"/>
      <c r="E315" s="50"/>
      <c r="F315" s="51"/>
      <c r="G315" s="50"/>
      <c r="H315" s="50"/>
      <c r="I315" s="50"/>
      <c r="J315" s="47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52"/>
      <c r="B316" s="53"/>
      <c r="C316" s="53"/>
      <c r="D316" s="53"/>
      <c r="E316" s="53"/>
      <c r="F316" s="61"/>
      <c r="G316" s="53"/>
      <c r="H316" s="53"/>
      <c r="I316" s="53"/>
      <c r="J316" s="47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49"/>
      <c r="B317" s="50"/>
      <c r="C317" s="50"/>
      <c r="D317" s="50"/>
      <c r="E317" s="50"/>
      <c r="F317" s="51"/>
      <c r="G317" s="50"/>
      <c r="H317" s="50"/>
      <c r="I317" s="50"/>
      <c r="J317" s="47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52"/>
      <c r="B318" s="53"/>
      <c r="C318" s="53"/>
      <c r="D318" s="53"/>
      <c r="E318" s="53"/>
      <c r="F318" s="61"/>
      <c r="G318" s="53"/>
      <c r="H318" s="53"/>
      <c r="I318" s="53"/>
      <c r="J318" s="47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49"/>
      <c r="B319" s="50"/>
      <c r="C319" s="50"/>
      <c r="D319" s="50"/>
      <c r="E319" s="50"/>
      <c r="F319" s="51"/>
      <c r="G319" s="50"/>
      <c r="H319" s="50"/>
      <c r="I319" s="50"/>
      <c r="J319" s="47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52"/>
      <c r="B320" s="53"/>
      <c r="C320" s="53"/>
      <c r="D320" s="53"/>
      <c r="E320" s="53"/>
      <c r="F320" s="61"/>
      <c r="G320" s="53"/>
      <c r="H320" s="53"/>
      <c r="I320" s="53"/>
      <c r="J320" s="47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49"/>
      <c r="B321" s="50"/>
      <c r="C321" s="50"/>
      <c r="D321" s="50"/>
      <c r="E321" s="50"/>
      <c r="F321" s="51"/>
      <c r="G321" s="50"/>
      <c r="H321" s="50"/>
      <c r="I321" s="50"/>
      <c r="J321" s="47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52"/>
      <c r="B322" s="53"/>
      <c r="C322" s="53"/>
      <c r="D322" s="53"/>
      <c r="E322" s="53"/>
      <c r="F322" s="61"/>
      <c r="G322" s="53"/>
      <c r="H322" s="53"/>
      <c r="I322" s="53"/>
      <c r="J322" s="47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49"/>
      <c r="B323" s="50"/>
      <c r="C323" s="50"/>
      <c r="D323" s="50"/>
      <c r="E323" s="50"/>
      <c r="F323" s="51"/>
      <c r="G323" s="50"/>
      <c r="H323" s="50"/>
      <c r="I323" s="50"/>
      <c r="J323" s="47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52"/>
      <c r="B324" s="53"/>
      <c r="C324" s="53"/>
      <c r="D324" s="53"/>
      <c r="E324" s="53"/>
      <c r="F324" s="61"/>
      <c r="G324" s="53"/>
      <c r="H324" s="53"/>
      <c r="I324" s="53"/>
      <c r="J324" s="47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49"/>
      <c r="B325" s="50"/>
      <c r="C325" s="50"/>
      <c r="D325" s="50"/>
      <c r="E325" s="50"/>
      <c r="F325" s="51"/>
      <c r="G325" s="50"/>
      <c r="H325" s="50"/>
      <c r="I325" s="50"/>
      <c r="J325" s="47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52"/>
      <c r="B326" s="53"/>
      <c r="C326" s="53"/>
      <c r="D326" s="53"/>
      <c r="E326" s="53"/>
      <c r="F326" s="61"/>
      <c r="G326" s="53"/>
      <c r="H326" s="53"/>
      <c r="I326" s="53"/>
      <c r="J326" s="47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49"/>
      <c r="B327" s="50"/>
      <c r="C327" s="50"/>
      <c r="D327" s="50"/>
      <c r="E327" s="50"/>
      <c r="F327" s="51"/>
      <c r="G327" s="50"/>
      <c r="H327" s="50"/>
      <c r="I327" s="50"/>
      <c r="J327" s="47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52"/>
      <c r="B328" s="53"/>
      <c r="C328" s="53"/>
      <c r="D328" s="53"/>
      <c r="E328" s="53"/>
      <c r="F328" s="61"/>
      <c r="G328" s="53"/>
      <c r="H328" s="53"/>
      <c r="I328" s="53"/>
      <c r="J328" s="47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49"/>
      <c r="B329" s="50"/>
      <c r="C329" s="50"/>
      <c r="D329" s="50"/>
      <c r="E329" s="50"/>
      <c r="F329" s="51"/>
      <c r="G329" s="50"/>
      <c r="H329" s="50"/>
      <c r="I329" s="50"/>
      <c r="J329" s="47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52"/>
      <c r="B330" s="53"/>
      <c r="C330" s="53"/>
      <c r="D330" s="53"/>
      <c r="E330" s="53"/>
      <c r="F330" s="61"/>
      <c r="G330" s="53"/>
      <c r="H330" s="53"/>
      <c r="I330" s="53"/>
      <c r="J330" s="47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49"/>
      <c r="B331" s="50"/>
      <c r="C331" s="50"/>
      <c r="D331" s="50"/>
      <c r="E331" s="50"/>
      <c r="F331" s="51"/>
      <c r="G331" s="50"/>
      <c r="H331" s="50"/>
      <c r="I331" s="50"/>
      <c r="J331" s="47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52"/>
      <c r="B332" s="53"/>
      <c r="C332" s="53"/>
      <c r="D332" s="53"/>
      <c r="E332" s="53"/>
      <c r="F332" s="61"/>
      <c r="G332" s="53"/>
      <c r="H332" s="53"/>
      <c r="I332" s="53"/>
      <c r="J332" s="47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49"/>
      <c r="B333" s="50"/>
      <c r="C333" s="50"/>
      <c r="D333" s="50"/>
      <c r="E333" s="50"/>
      <c r="F333" s="51"/>
      <c r="G333" s="50"/>
      <c r="H333" s="50"/>
      <c r="I333" s="50"/>
      <c r="J333" s="47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52"/>
      <c r="B334" s="53"/>
      <c r="C334" s="53"/>
      <c r="D334" s="53"/>
      <c r="E334" s="53"/>
      <c r="F334" s="61"/>
      <c r="G334" s="53"/>
      <c r="H334" s="53"/>
      <c r="I334" s="53"/>
      <c r="J334" s="47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49"/>
      <c r="B335" s="50"/>
      <c r="C335" s="50"/>
      <c r="D335" s="50"/>
      <c r="E335" s="50"/>
      <c r="F335" s="51"/>
      <c r="G335" s="50"/>
      <c r="H335" s="50"/>
      <c r="I335" s="50"/>
      <c r="J335" s="47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52"/>
      <c r="B336" s="53"/>
      <c r="C336" s="53"/>
      <c r="D336" s="53"/>
      <c r="E336" s="53"/>
      <c r="F336" s="61"/>
      <c r="G336" s="53"/>
      <c r="H336" s="53"/>
      <c r="I336" s="53"/>
      <c r="J336" s="47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49"/>
      <c r="B337" s="50"/>
      <c r="C337" s="50"/>
      <c r="D337" s="50"/>
      <c r="E337" s="50"/>
      <c r="F337" s="51"/>
      <c r="G337" s="50"/>
      <c r="H337" s="50"/>
      <c r="I337" s="50"/>
      <c r="J337" s="47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52"/>
      <c r="B338" s="53"/>
      <c r="C338" s="53"/>
      <c r="D338" s="53"/>
      <c r="E338" s="53"/>
      <c r="F338" s="61"/>
      <c r="G338" s="53"/>
      <c r="H338" s="53"/>
      <c r="I338" s="53"/>
      <c r="J338" s="47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49"/>
      <c r="B339" s="50"/>
      <c r="C339" s="50"/>
      <c r="D339" s="50"/>
      <c r="E339" s="50"/>
      <c r="F339" s="51"/>
      <c r="G339" s="50"/>
      <c r="H339" s="50"/>
      <c r="I339" s="50"/>
      <c r="J339" s="47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52"/>
      <c r="B340" s="53"/>
      <c r="C340" s="53"/>
      <c r="D340" s="53"/>
      <c r="E340" s="53"/>
      <c r="F340" s="61"/>
      <c r="G340" s="53"/>
      <c r="H340" s="53"/>
      <c r="I340" s="53"/>
      <c r="J340" s="47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49"/>
      <c r="B341" s="50"/>
      <c r="C341" s="50"/>
      <c r="D341" s="50"/>
      <c r="E341" s="50"/>
      <c r="F341" s="51"/>
      <c r="G341" s="50"/>
      <c r="H341" s="50"/>
      <c r="I341" s="50"/>
      <c r="J341" s="47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52"/>
      <c r="B342" s="53"/>
      <c r="C342" s="53"/>
      <c r="D342" s="53"/>
      <c r="E342" s="53"/>
      <c r="F342" s="61"/>
      <c r="G342" s="53"/>
      <c r="H342" s="53"/>
      <c r="I342" s="53"/>
      <c r="J342" s="47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49"/>
      <c r="B343" s="50"/>
      <c r="C343" s="50"/>
      <c r="D343" s="50"/>
      <c r="E343" s="50"/>
      <c r="F343" s="51"/>
      <c r="G343" s="50"/>
      <c r="H343" s="50"/>
      <c r="I343" s="50"/>
      <c r="J343" s="47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52"/>
      <c r="B344" s="53"/>
      <c r="C344" s="53"/>
      <c r="D344" s="53"/>
      <c r="E344" s="53"/>
      <c r="F344" s="61"/>
      <c r="G344" s="53"/>
      <c r="H344" s="53"/>
      <c r="I344" s="53"/>
      <c r="J344" s="47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49"/>
      <c r="B345" s="50"/>
      <c r="C345" s="50"/>
      <c r="D345" s="50"/>
      <c r="E345" s="50"/>
      <c r="F345" s="51"/>
      <c r="G345" s="50"/>
      <c r="H345" s="50"/>
      <c r="I345" s="50"/>
      <c r="J345" s="47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52"/>
      <c r="B346" s="53"/>
      <c r="C346" s="53"/>
      <c r="D346" s="53"/>
      <c r="E346" s="53"/>
      <c r="F346" s="61"/>
      <c r="G346" s="53"/>
      <c r="H346" s="53"/>
      <c r="I346" s="53"/>
      <c r="J346" s="47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49"/>
      <c r="B347" s="50"/>
      <c r="C347" s="50"/>
      <c r="D347" s="50"/>
      <c r="E347" s="50"/>
      <c r="F347" s="51"/>
      <c r="G347" s="50"/>
      <c r="H347" s="50"/>
      <c r="I347" s="50"/>
      <c r="J347" s="47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52"/>
      <c r="B348" s="53"/>
      <c r="C348" s="53"/>
      <c r="D348" s="53"/>
      <c r="E348" s="53"/>
      <c r="F348" s="61"/>
      <c r="G348" s="53"/>
      <c r="H348" s="53"/>
      <c r="I348" s="53"/>
      <c r="J348" s="47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49"/>
      <c r="B349" s="50"/>
      <c r="C349" s="50"/>
      <c r="D349" s="50"/>
      <c r="E349" s="50"/>
      <c r="F349" s="51"/>
      <c r="G349" s="50"/>
      <c r="H349" s="50"/>
      <c r="I349" s="50"/>
      <c r="J349" s="47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52"/>
      <c r="B350" s="53"/>
      <c r="C350" s="53"/>
      <c r="D350" s="53"/>
      <c r="E350" s="53"/>
      <c r="F350" s="61"/>
      <c r="G350" s="53"/>
      <c r="H350" s="53"/>
      <c r="I350" s="53"/>
      <c r="J350" s="47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49"/>
      <c r="B351" s="50"/>
      <c r="C351" s="50"/>
      <c r="D351" s="50"/>
      <c r="E351" s="50"/>
      <c r="F351" s="51"/>
      <c r="G351" s="50"/>
      <c r="H351" s="50"/>
      <c r="I351" s="50"/>
      <c r="J351" s="47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52"/>
      <c r="B352" s="53"/>
      <c r="C352" s="53"/>
      <c r="D352" s="53"/>
      <c r="E352" s="53"/>
      <c r="F352" s="61"/>
      <c r="G352" s="53"/>
      <c r="H352" s="53"/>
      <c r="I352" s="53"/>
      <c r="J352" s="47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49"/>
      <c r="B353" s="50"/>
      <c r="C353" s="50"/>
      <c r="D353" s="50"/>
      <c r="E353" s="50"/>
      <c r="F353" s="51"/>
      <c r="G353" s="50"/>
      <c r="H353" s="50"/>
      <c r="I353" s="50"/>
      <c r="J353" s="47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52"/>
      <c r="B354" s="53"/>
      <c r="C354" s="53"/>
      <c r="D354" s="53"/>
      <c r="E354" s="53"/>
      <c r="F354" s="61"/>
      <c r="G354" s="53"/>
      <c r="H354" s="53"/>
      <c r="I354" s="53"/>
      <c r="J354" s="47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49"/>
      <c r="B355" s="50"/>
      <c r="C355" s="50"/>
      <c r="D355" s="50"/>
      <c r="E355" s="50"/>
      <c r="F355" s="51"/>
      <c r="G355" s="50"/>
      <c r="H355" s="50"/>
      <c r="I355" s="50"/>
      <c r="J355" s="47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52"/>
      <c r="B356" s="53"/>
      <c r="C356" s="53"/>
      <c r="D356" s="53"/>
      <c r="E356" s="53"/>
      <c r="F356" s="61"/>
      <c r="G356" s="53"/>
      <c r="H356" s="53"/>
      <c r="I356" s="53"/>
      <c r="J356" s="47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49"/>
      <c r="B357" s="50"/>
      <c r="C357" s="50"/>
      <c r="D357" s="50"/>
      <c r="E357" s="50"/>
      <c r="F357" s="51"/>
      <c r="G357" s="50"/>
      <c r="H357" s="50"/>
      <c r="I357" s="50"/>
      <c r="J357" s="47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52"/>
      <c r="B358" s="53"/>
      <c r="C358" s="53"/>
      <c r="D358" s="53"/>
      <c r="E358" s="53"/>
      <c r="F358" s="61"/>
      <c r="G358" s="53"/>
      <c r="H358" s="53"/>
      <c r="I358" s="53"/>
      <c r="J358" s="47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49"/>
      <c r="B359" s="50"/>
      <c r="C359" s="50"/>
      <c r="D359" s="50"/>
      <c r="E359" s="50"/>
      <c r="F359" s="51"/>
      <c r="G359" s="50"/>
      <c r="H359" s="50"/>
      <c r="I359" s="50"/>
      <c r="J359" s="47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52"/>
      <c r="B360" s="53"/>
      <c r="C360" s="53"/>
      <c r="D360" s="53"/>
      <c r="E360" s="53"/>
      <c r="F360" s="61"/>
      <c r="G360" s="53"/>
      <c r="H360" s="53"/>
      <c r="I360" s="53"/>
      <c r="J360" s="47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49"/>
      <c r="B361" s="50"/>
      <c r="C361" s="50"/>
      <c r="D361" s="50"/>
      <c r="E361" s="50"/>
      <c r="F361" s="51"/>
      <c r="G361" s="50"/>
      <c r="H361" s="50"/>
      <c r="I361" s="50"/>
      <c r="J361" s="47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52"/>
      <c r="B362" s="53"/>
      <c r="C362" s="53"/>
      <c r="D362" s="53"/>
      <c r="E362" s="53"/>
      <c r="F362" s="61"/>
      <c r="G362" s="53"/>
      <c r="H362" s="53"/>
      <c r="I362" s="53"/>
      <c r="J362" s="47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49"/>
      <c r="B363" s="50"/>
      <c r="C363" s="50"/>
      <c r="D363" s="50"/>
      <c r="E363" s="50"/>
      <c r="F363" s="51"/>
      <c r="G363" s="50"/>
      <c r="H363" s="50"/>
      <c r="I363" s="50"/>
      <c r="J363" s="47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52"/>
      <c r="B364" s="53"/>
      <c r="C364" s="53"/>
      <c r="D364" s="53"/>
      <c r="E364" s="53"/>
      <c r="F364" s="61"/>
      <c r="G364" s="53"/>
      <c r="H364" s="53"/>
      <c r="I364" s="53"/>
      <c r="J364" s="47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49"/>
      <c r="B365" s="50"/>
      <c r="C365" s="50"/>
      <c r="D365" s="50"/>
      <c r="E365" s="50"/>
      <c r="F365" s="51"/>
      <c r="G365" s="50"/>
      <c r="H365" s="50"/>
      <c r="I365" s="50"/>
      <c r="J365" s="47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52"/>
      <c r="B366" s="53"/>
      <c r="C366" s="53"/>
      <c r="D366" s="53"/>
      <c r="E366" s="53"/>
      <c r="F366" s="61"/>
      <c r="G366" s="53"/>
      <c r="H366" s="53"/>
      <c r="I366" s="53"/>
      <c r="J366" s="47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49"/>
      <c r="B367" s="50"/>
      <c r="C367" s="50"/>
      <c r="D367" s="50"/>
      <c r="E367" s="50"/>
      <c r="F367" s="51"/>
      <c r="G367" s="50"/>
      <c r="H367" s="50"/>
      <c r="I367" s="50"/>
      <c r="J367" s="47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52"/>
      <c r="B368" s="53"/>
      <c r="C368" s="53"/>
      <c r="D368" s="53"/>
      <c r="E368" s="53"/>
      <c r="F368" s="61"/>
      <c r="G368" s="53"/>
      <c r="H368" s="53"/>
      <c r="I368" s="53"/>
      <c r="J368" s="47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49"/>
      <c r="B369" s="50"/>
      <c r="C369" s="50"/>
      <c r="D369" s="50"/>
      <c r="E369" s="50"/>
      <c r="F369" s="51"/>
      <c r="G369" s="50"/>
      <c r="H369" s="50"/>
      <c r="I369" s="50"/>
      <c r="J369" s="47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52"/>
      <c r="B370" s="53"/>
      <c r="C370" s="53"/>
      <c r="D370" s="53"/>
      <c r="E370" s="53"/>
      <c r="F370" s="61"/>
      <c r="G370" s="53"/>
      <c r="H370" s="53"/>
      <c r="I370" s="53"/>
      <c r="J370" s="47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49"/>
      <c r="B371" s="50"/>
      <c r="C371" s="50"/>
      <c r="D371" s="50"/>
      <c r="E371" s="50"/>
      <c r="F371" s="51"/>
      <c r="G371" s="50"/>
      <c r="H371" s="50"/>
      <c r="I371" s="50"/>
      <c r="J371" s="47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52"/>
      <c r="B372" s="53"/>
      <c r="C372" s="53"/>
      <c r="D372" s="53"/>
      <c r="E372" s="53"/>
      <c r="F372" s="61"/>
      <c r="G372" s="53"/>
      <c r="H372" s="53"/>
      <c r="I372" s="53"/>
      <c r="J372" s="47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49"/>
      <c r="B373" s="50"/>
      <c r="C373" s="50"/>
      <c r="D373" s="50"/>
      <c r="E373" s="50"/>
      <c r="F373" s="51"/>
      <c r="G373" s="50"/>
      <c r="H373" s="50"/>
      <c r="I373" s="50"/>
      <c r="J373" s="47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52"/>
      <c r="B374" s="53"/>
      <c r="C374" s="53"/>
      <c r="D374" s="53"/>
      <c r="E374" s="53"/>
      <c r="F374" s="61"/>
      <c r="G374" s="53"/>
      <c r="H374" s="53"/>
      <c r="I374" s="53"/>
      <c r="J374" s="47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49"/>
      <c r="B375" s="50"/>
      <c r="C375" s="50"/>
      <c r="D375" s="50"/>
      <c r="E375" s="50"/>
      <c r="F375" s="51"/>
      <c r="G375" s="50"/>
      <c r="H375" s="50"/>
      <c r="I375" s="50"/>
      <c r="J375" s="47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52"/>
      <c r="B376" s="53"/>
      <c r="C376" s="53"/>
      <c r="D376" s="53"/>
      <c r="E376" s="53"/>
      <c r="F376" s="61"/>
      <c r="G376" s="53"/>
      <c r="H376" s="53"/>
      <c r="I376" s="53"/>
      <c r="J376" s="47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49"/>
      <c r="B377" s="50"/>
      <c r="C377" s="50"/>
      <c r="D377" s="50"/>
      <c r="E377" s="50"/>
      <c r="F377" s="51"/>
      <c r="G377" s="50"/>
      <c r="H377" s="50"/>
      <c r="I377" s="50"/>
      <c r="J377" s="47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52"/>
      <c r="B378" s="53"/>
      <c r="C378" s="53"/>
      <c r="D378" s="53"/>
      <c r="E378" s="53"/>
      <c r="F378" s="61"/>
      <c r="G378" s="53"/>
      <c r="H378" s="53"/>
      <c r="I378" s="53"/>
      <c r="J378" s="47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49"/>
      <c r="B379" s="50"/>
      <c r="C379" s="50"/>
      <c r="D379" s="50"/>
      <c r="E379" s="50"/>
      <c r="F379" s="51"/>
      <c r="G379" s="50"/>
      <c r="H379" s="50"/>
      <c r="I379" s="50"/>
      <c r="J379" s="47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52"/>
      <c r="B380" s="53"/>
      <c r="C380" s="53"/>
      <c r="D380" s="53"/>
      <c r="E380" s="53"/>
      <c r="F380" s="61"/>
      <c r="G380" s="53"/>
      <c r="H380" s="53"/>
      <c r="I380" s="53"/>
      <c r="J380" s="47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49"/>
      <c r="B381" s="50"/>
      <c r="C381" s="50"/>
      <c r="D381" s="50"/>
      <c r="E381" s="50"/>
      <c r="F381" s="51"/>
      <c r="G381" s="50"/>
      <c r="H381" s="50"/>
      <c r="I381" s="50"/>
      <c r="J381" s="47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52"/>
      <c r="B382" s="53"/>
      <c r="C382" s="53"/>
      <c r="D382" s="53"/>
      <c r="E382" s="53"/>
      <c r="F382" s="61"/>
      <c r="G382" s="53"/>
      <c r="H382" s="53"/>
      <c r="I382" s="53"/>
      <c r="J382" s="47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49"/>
      <c r="B383" s="50"/>
      <c r="C383" s="50"/>
      <c r="D383" s="50"/>
      <c r="E383" s="50"/>
      <c r="F383" s="51"/>
      <c r="G383" s="50"/>
      <c r="H383" s="50"/>
      <c r="I383" s="50"/>
      <c r="J383" s="47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52"/>
      <c r="B384" s="53"/>
      <c r="C384" s="53"/>
      <c r="D384" s="53"/>
      <c r="E384" s="53"/>
      <c r="F384" s="61"/>
      <c r="G384" s="53"/>
      <c r="H384" s="53"/>
      <c r="I384" s="53"/>
      <c r="J384" s="47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49"/>
      <c r="B385" s="50"/>
      <c r="C385" s="50"/>
      <c r="D385" s="50"/>
      <c r="E385" s="50"/>
      <c r="F385" s="51"/>
      <c r="G385" s="50"/>
      <c r="H385" s="50"/>
      <c r="I385" s="50"/>
      <c r="J385" s="47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52"/>
      <c r="B386" s="53"/>
      <c r="C386" s="53"/>
      <c r="D386" s="53"/>
      <c r="E386" s="53"/>
      <c r="F386" s="61"/>
      <c r="G386" s="53"/>
      <c r="H386" s="53"/>
      <c r="I386" s="53"/>
      <c r="J386" s="47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49"/>
      <c r="B387" s="50"/>
      <c r="C387" s="50"/>
      <c r="D387" s="50"/>
      <c r="E387" s="50"/>
      <c r="F387" s="51"/>
      <c r="G387" s="50"/>
      <c r="H387" s="50"/>
      <c r="I387" s="50"/>
      <c r="J387" s="47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52"/>
      <c r="B388" s="53"/>
      <c r="C388" s="53"/>
      <c r="D388" s="53"/>
      <c r="E388" s="53"/>
      <c r="F388" s="61"/>
      <c r="G388" s="53"/>
      <c r="H388" s="53"/>
      <c r="I388" s="53"/>
      <c r="J388" s="47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49"/>
      <c r="B389" s="50"/>
      <c r="C389" s="50"/>
      <c r="D389" s="50"/>
      <c r="E389" s="50"/>
      <c r="F389" s="51"/>
      <c r="G389" s="50"/>
      <c r="H389" s="50"/>
      <c r="I389" s="50"/>
      <c r="J389" s="47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52"/>
      <c r="B390" s="53"/>
      <c r="C390" s="53"/>
      <c r="D390" s="53"/>
      <c r="E390" s="53"/>
      <c r="F390" s="61"/>
      <c r="G390" s="53"/>
      <c r="H390" s="53"/>
      <c r="I390" s="53"/>
      <c r="J390" s="47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49"/>
      <c r="B391" s="50"/>
      <c r="C391" s="50"/>
      <c r="D391" s="50"/>
      <c r="E391" s="50"/>
      <c r="F391" s="51"/>
      <c r="G391" s="50"/>
      <c r="H391" s="50"/>
      <c r="I391" s="50"/>
      <c r="J391" s="47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52"/>
      <c r="B392" s="53"/>
      <c r="C392" s="53"/>
      <c r="D392" s="53"/>
      <c r="E392" s="53"/>
      <c r="F392" s="61"/>
      <c r="G392" s="53"/>
      <c r="H392" s="53"/>
      <c r="I392" s="53"/>
      <c r="J392" s="47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49"/>
      <c r="B393" s="50"/>
      <c r="C393" s="50"/>
      <c r="D393" s="50"/>
      <c r="E393" s="50"/>
      <c r="F393" s="51"/>
      <c r="G393" s="50"/>
      <c r="H393" s="50"/>
      <c r="I393" s="50"/>
      <c r="J393" s="47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52"/>
      <c r="B394" s="53"/>
      <c r="C394" s="53"/>
      <c r="D394" s="53"/>
      <c r="E394" s="53"/>
      <c r="F394" s="61"/>
      <c r="G394" s="53"/>
      <c r="H394" s="53"/>
      <c r="I394" s="53"/>
      <c r="J394" s="47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49"/>
      <c r="B395" s="50"/>
      <c r="C395" s="50"/>
      <c r="D395" s="50"/>
      <c r="E395" s="50"/>
      <c r="F395" s="51"/>
      <c r="G395" s="50"/>
      <c r="H395" s="50"/>
      <c r="I395" s="50"/>
      <c r="J395" s="47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52"/>
      <c r="B396" s="53"/>
      <c r="C396" s="53"/>
      <c r="D396" s="53"/>
      <c r="E396" s="53"/>
      <c r="F396" s="61"/>
      <c r="G396" s="53"/>
      <c r="H396" s="53"/>
      <c r="I396" s="53"/>
      <c r="J396" s="47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49"/>
      <c r="B397" s="50"/>
      <c r="C397" s="50"/>
      <c r="D397" s="50"/>
      <c r="E397" s="50"/>
      <c r="F397" s="51"/>
      <c r="G397" s="50"/>
      <c r="H397" s="50"/>
      <c r="I397" s="50"/>
      <c r="J397" s="47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52"/>
      <c r="B398" s="53"/>
      <c r="C398" s="53"/>
      <c r="D398" s="53"/>
      <c r="E398" s="53"/>
      <c r="F398" s="61"/>
      <c r="G398" s="53"/>
      <c r="H398" s="53"/>
      <c r="I398" s="53"/>
      <c r="J398" s="47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49"/>
      <c r="B399" s="50"/>
      <c r="C399" s="50"/>
      <c r="D399" s="50"/>
      <c r="E399" s="50"/>
      <c r="F399" s="51"/>
      <c r="G399" s="50"/>
      <c r="H399" s="50"/>
      <c r="I399" s="50"/>
      <c r="J399" s="47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52"/>
      <c r="B400" s="53"/>
      <c r="C400" s="53"/>
      <c r="D400" s="53"/>
      <c r="E400" s="53"/>
      <c r="F400" s="61"/>
      <c r="G400" s="53"/>
      <c r="H400" s="53"/>
      <c r="I400" s="53"/>
      <c r="J400" s="47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49"/>
      <c r="B401" s="50"/>
      <c r="C401" s="50"/>
      <c r="D401" s="50"/>
      <c r="E401" s="50"/>
      <c r="F401" s="51"/>
      <c r="G401" s="50"/>
      <c r="H401" s="50"/>
      <c r="I401" s="50"/>
      <c r="J401" s="47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52"/>
      <c r="B402" s="53"/>
      <c r="C402" s="53"/>
      <c r="D402" s="53"/>
      <c r="E402" s="53"/>
      <c r="F402" s="61"/>
      <c r="G402" s="53"/>
      <c r="H402" s="53"/>
      <c r="I402" s="53"/>
      <c r="J402" s="47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49"/>
      <c r="B403" s="50"/>
      <c r="C403" s="50"/>
      <c r="D403" s="50"/>
      <c r="E403" s="50"/>
      <c r="F403" s="51"/>
      <c r="G403" s="50"/>
      <c r="H403" s="50"/>
      <c r="I403" s="50"/>
      <c r="J403" s="47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52"/>
      <c r="B404" s="53"/>
      <c r="C404" s="53"/>
      <c r="D404" s="53"/>
      <c r="E404" s="53"/>
      <c r="F404" s="61"/>
      <c r="G404" s="53"/>
      <c r="H404" s="53"/>
      <c r="I404" s="53"/>
      <c r="J404" s="47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49"/>
      <c r="B405" s="50"/>
      <c r="C405" s="50"/>
      <c r="D405" s="50"/>
      <c r="E405" s="50"/>
      <c r="F405" s="51"/>
      <c r="G405" s="50"/>
      <c r="H405" s="50"/>
      <c r="I405" s="50"/>
      <c r="J405" s="47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52"/>
      <c r="B406" s="53"/>
      <c r="C406" s="53"/>
      <c r="D406" s="53"/>
      <c r="E406" s="53"/>
      <c r="F406" s="61"/>
      <c r="G406" s="53"/>
      <c r="H406" s="53"/>
      <c r="I406" s="53"/>
      <c r="J406" s="47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49"/>
      <c r="B407" s="50"/>
      <c r="C407" s="50"/>
      <c r="D407" s="50"/>
      <c r="E407" s="50"/>
      <c r="F407" s="51"/>
      <c r="G407" s="50"/>
      <c r="H407" s="50"/>
      <c r="I407" s="50"/>
      <c r="J407" s="47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52"/>
      <c r="B408" s="53"/>
      <c r="C408" s="53"/>
      <c r="D408" s="53"/>
      <c r="E408" s="53"/>
      <c r="F408" s="61"/>
      <c r="G408" s="53"/>
      <c r="H408" s="53"/>
      <c r="I408" s="53"/>
      <c r="J408" s="47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49"/>
      <c r="B409" s="50"/>
      <c r="C409" s="50"/>
      <c r="D409" s="50"/>
      <c r="E409" s="50"/>
      <c r="F409" s="51"/>
      <c r="G409" s="50"/>
      <c r="H409" s="50"/>
      <c r="I409" s="50"/>
      <c r="J409" s="47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52"/>
      <c r="B410" s="53"/>
      <c r="C410" s="53"/>
      <c r="D410" s="53"/>
      <c r="E410" s="53"/>
      <c r="F410" s="61"/>
      <c r="G410" s="53"/>
      <c r="H410" s="53"/>
      <c r="I410" s="53"/>
      <c r="J410" s="47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49"/>
      <c r="B411" s="50"/>
      <c r="C411" s="50"/>
      <c r="D411" s="50"/>
      <c r="E411" s="50"/>
      <c r="F411" s="51"/>
      <c r="G411" s="50"/>
      <c r="H411" s="50"/>
      <c r="I411" s="50"/>
      <c r="J411" s="47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52"/>
      <c r="B412" s="53"/>
      <c r="C412" s="53"/>
      <c r="D412" s="53"/>
      <c r="E412" s="53"/>
      <c r="F412" s="61"/>
      <c r="G412" s="53"/>
      <c r="H412" s="53"/>
      <c r="I412" s="53"/>
      <c r="J412" s="47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49"/>
      <c r="B413" s="50"/>
      <c r="C413" s="50"/>
      <c r="D413" s="50"/>
      <c r="E413" s="50"/>
      <c r="F413" s="51"/>
      <c r="G413" s="50"/>
      <c r="H413" s="50"/>
      <c r="I413" s="50"/>
      <c r="J413" s="47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52"/>
      <c r="B414" s="53"/>
      <c r="C414" s="53"/>
      <c r="D414" s="53"/>
      <c r="E414" s="53"/>
      <c r="F414" s="61"/>
      <c r="G414" s="53"/>
      <c r="H414" s="53"/>
      <c r="I414" s="53"/>
      <c r="J414" s="47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49"/>
      <c r="B415" s="50"/>
      <c r="C415" s="50"/>
      <c r="D415" s="50"/>
      <c r="E415" s="50"/>
      <c r="F415" s="51"/>
      <c r="G415" s="50"/>
      <c r="H415" s="50"/>
      <c r="I415" s="50"/>
      <c r="J415" s="47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52"/>
      <c r="B416" s="53"/>
      <c r="C416" s="53"/>
      <c r="D416" s="53"/>
      <c r="E416" s="53"/>
      <c r="F416" s="61"/>
      <c r="G416" s="53"/>
      <c r="H416" s="53"/>
      <c r="I416" s="53"/>
      <c r="J416" s="47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49"/>
      <c r="B417" s="50"/>
      <c r="C417" s="50"/>
      <c r="D417" s="50"/>
      <c r="E417" s="50"/>
      <c r="F417" s="51"/>
      <c r="G417" s="50"/>
      <c r="H417" s="50"/>
      <c r="I417" s="50"/>
      <c r="J417" s="47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52"/>
      <c r="B418" s="53"/>
      <c r="C418" s="53"/>
      <c r="D418" s="53"/>
      <c r="E418" s="53"/>
      <c r="F418" s="61"/>
      <c r="G418" s="53"/>
      <c r="H418" s="53"/>
      <c r="I418" s="53"/>
      <c r="J418" s="47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49"/>
      <c r="B419" s="50"/>
      <c r="C419" s="50"/>
      <c r="D419" s="50"/>
      <c r="E419" s="50"/>
      <c r="F419" s="51"/>
      <c r="G419" s="50"/>
      <c r="H419" s="50"/>
      <c r="I419" s="50"/>
      <c r="J419" s="47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52"/>
      <c r="B420" s="53"/>
      <c r="C420" s="53"/>
      <c r="D420" s="53"/>
      <c r="E420" s="53"/>
      <c r="F420" s="61"/>
      <c r="G420" s="53"/>
      <c r="H420" s="53"/>
      <c r="I420" s="53"/>
      <c r="J420" s="47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49"/>
      <c r="B421" s="50"/>
      <c r="C421" s="50"/>
      <c r="D421" s="50"/>
      <c r="E421" s="50"/>
      <c r="F421" s="51"/>
      <c r="G421" s="50"/>
      <c r="H421" s="50"/>
      <c r="I421" s="50"/>
      <c r="J421" s="47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52"/>
      <c r="B422" s="53"/>
      <c r="C422" s="53"/>
      <c r="D422" s="53"/>
      <c r="E422" s="53"/>
      <c r="F422" s="61"/>
      <c r="G422" s="53"/>
      <c r="H422" s="53"/>
      <c r="I422" s="53"/>
      <c r="J422" s="47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49"/>
      <c r="B423" s="50"/>
      <c r="C423" s="50"/>
      <c r="D423" s="50"/>
      <c r="E423" s="50"/>
      <c r="F423" s="51"/>
      <c r="G423" s="50"/>
      <c r="H423" s="50"/>
      <c r="I423" s="50"/>
      <c r="J423" s="47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52"/>
      <c r="B424" s="53"/>
      <c r="C424" s="53"/>
      <c r="D424" s="53"/>
      <c r="E424" s="53"/>
      <c r="F424" s="61"/>
      <c r="G424" s="53"/>
      <c r="H424" s="53"/>
      <c r="I424" s="53"/>
      <c r="J424" s="47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49"/>
      <c r="B425" s="50"/>
      <c r="C425" s="50"/>
      <c r="D425" s="50"/>
      <c r="E425" s="50"/>
      <c r="F425" s="51"/>
      <c r="G425" s="50"/>
      <c r="H425" s="50"/>
      <c r="I425" s="50"/>
      <c r="J425" s="47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52"/>
      <c r="B426" s="53"/>
      <c r="C426" s="53"/>
      <c r="D426" s="53"/>
      <c r="E426" s="53"/>
      <c r="F426" s="61"/>
      <c r="G426" s="53"/>
      <c r="H426" s="53"/>
      <c r="I426" s="53"/>
      <c r="J426" s="47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49"/>
      <c r="B427" s="50"/>
      <c r="C427" s="50"/>
      <c r="D427" s="50"/>
      <c r="E427" s="50"/>
      <c r="F427" s="51"/>
      <c r="G427" s="50"/>
      <c r="H427" s="50"/>
      <c r="I427" s="50"/>
      <c r="J427" s="47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52"/>
      <c r="B428" s="53"/>
      <c r="C428" s="53"/>
      <c r="D428" s="53"/>
      <c r="E428" s="53"/>
      <c r="F428" s="61"/>
      <c r="G428" s="53"/>
      <c r="H428" s="53"/>
      <c r="I428" s="53"/>
      <c r="J428" s="47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49"/>
      <c r="B429" s="50"/>
      <c r="C429" s="50"/>
      <c r="D429" s="50"/>
      <c r="E429" s="50"/>
      <c r="F429" s="51"/>
      <c r="G429" s="50"/>
      <c r="H429" s="50"/>
      <c r="I429" s="50"/>
      <c r="J429" s="47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52"/>
      <c r="B430" s="53"/>
      <c r="C430" s="53"/>
      <c r="D430" s="53"/>
      <c r="E430" s="53"/>
      <c r="F430" s="61"/>
      <c r="G430" s="53"/>
      <c r="H430" s="53"/>
      <c r="I430" s="53"/>
      <c r="J430" s="47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49"/>
      <c r="B431" s="50"/>
      <c r="C431" s="50"/>
      <c r="D431" s="50"/>
      <c r="E431" s="50"/>
      <c r="F431" s="51"/>
      <c r="G431" s="50"/>
      <c r="H431" s="50"/>
      <c r="I431" s="50"/>
      <c r="J431" s="47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52"/>
      <c r="B432" s="53"/>
      <c r="C432" s="53"/>
      <c r="D432" s="53"/>
      <c r="E432" s="53"/>
      <c r="F432" s="61"/>
      <c r="G432" s="53"/>
      <c r="H432" s="53"/>
      <c r="I432" s="53"/>
      <c r="J432" s="47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49"/>
      <c r="B433" s="50"/>
      <c r="C433" s="50"/>
      <c r="D433" s="50"/>
      <c r="E433" s="50"/>
      <c r="F433" s="51"/>
      <c r="G433" s="50"/>
      <c r="H433" s="50"/>
      <c r="I433" s="50"/>
      <c r="J433" s="47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52"/>
      <c r="B434" s="53"/>
      <c r="C434" s="53"/>
      <c r="D434" s="53"/>
      <c r="E434" s="53"/>
      <c r="F434" s="61"/>
      <c r="G434" s="53"/>
      <c r="H434" s="53"/>
      <c r="I434" s="53"/>
      <c r="J434" s="47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49"/>
      <c r="B435" s="50"/>
      <c r="C435" s="50"/>
      <c r="D435" s="50"/>
      <c r="E435" s="50"/>
      <c r="F435" s="51"/>
      <c r="G435" s="50"/>
      <c r="H435" s="50"/>
      <c r="I435" s="50"/>
      <c r="J435" s="47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52"/>
      <c r="B436" s="53"/>
      <c r="C436" s="53"/>
      <c r="D436" s="53"/>
      <c r="E436" s="53"/>
      <c r="F436" s="61"/>
      <c r="G436" s="53"/>
      <c r="H436" s="53"/>
      <c r="I436" s="53"/>
      <c r="J436" s="47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49"/>
      <c r="B437" s="50"/>
      <c r="C437" s="50"/>
      <c r="D437" s="50"/>
      <c r="E437" s="50"/>
      <c r="F437" s="51"/>
      <c r="G437" s="50"/>
      <c r="H437" s="50"/>
      <c r="I437" s="50"/>
      <c r="J437" s="47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52"/>
      <c r="B438" s="53"/>
      <c r="C438" s="53"/>
      <c r="D438" s="53"/>
      <c r="E438" s="53"/>
      <c r="F438" s="61"/>
      <c r="G438" s="53"/>
      <c r="H438" s="53"/>
      <c r="I438" s="53"/>
      <c r="J438" s="47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49"/>
      <c r="B439" s="50"/>
      <c r="C439" s="50"/>
      <c r="D439" s="50"/>
      <c r="E439" s="50"/>
      <c r="F439" s="51"/>
      <c r="G439" s="50"/>
      <c r="H439" s="50"/>
      <c r="I439" s="50"/>
      <c r="J439" s="47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52"/>
      <c r="B440" s="53"/>
      <c r="C440" s="53"/>
      <c r="D440" s="53"/>
      <c r="E440" s="53"/>
      <c r="F440" s="61"/>
      <c r="G440" s="53"/>
      <c r="H440" s="53"/>
      <c r="I440" s="53"/>
      <c r="J440" s="47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49"/>
      <c r="B441" s="50"/>
      <c r="C441" s="50"/>
      <c r="D441" s="50"/>
      <c r="E441" s="50"/>
      <c r="F441" s="51"/>
      <c r="G441" s="50"/>
      <c r="H441" s="50"/>
      <c r="I441" s="50"/>
      <c r="J441" s="47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52"/>
      <c r="B442" s="53"/>
      <c r="C442" s="53"/>
      <c r="D442" s="53"/>
      <c r="E442" s="53"/>
      <c r="F442" s="61"/>
      <c r="G442" s="53"/>
      <c r="H442" s="53"/>
      <c r="I442" s="53"/>
      <c r="J442" s="47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49"/>
      <c r="B443" s="50"/>
      <c r="C443" s="50"/>
      <c r="D443" s="50"/>
      <c r="E443" s="50"/>
      <c r="F443" s="51"/>
      <c r="G443" s="50"/>
      <c r="H443" s="50"/>
      <c r="I443" s="50"/>
      <c r="J443" s="47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52"/>
      <c r="B444" s="53"/>
      <c r="C444" s="53"/>
      <c r="D444" s="53"/>
      <c r="E444" s="53"/>
      <c r="F444" s="61"/>
      <c r="G444" s="53"/>
      <c r="H444" s="53"/>
      <c r="I444" s="53"/>
      <c r="J444" s="47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49"/>
      <c r="B445" s="50"/>
      <c r="C445" s="50"/>
      <c r="D445" s="50"/>
      <c r="E445" s="50"/>
      <c r="F445" s="51"/>
      <c r="G445" s="50"/>
      <c r="H445" s="50"/>
      <c r="I445" s="50"/>
      <c r="J445" s="47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52"/>
      <c r="B446" s="53"/>
      <c r="C446" s="53"/>
      <c r="D446" s="53"/>
      <c r="E446" s="53"/>
      <c r="F446" s="61"/>
      <c r="G446" s="53"/>
      <c r="H446" s="53"/>
      <c r="I446" s="53"/>
      <c r="J446" s="47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49"/>
      <c r="B447" s="50"/>
      <c r="C447" s="50"/>
      <c r="D447" s="50"/>
      <c r="E447" s="50"/>
      <c r="F447" s="51"/>
      <c r="G447" s="50"/>
      <c r="H447" s="50"/>
      <c r="I447" s="50"/>
      <c r="J447" s="47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52"/>
      <c r="B448" s="53"/>
      <c r="C448" s="53"/>
      <c r="D448" s="53"/>
      <c r="E448" s="53"/>
      <c r="F448" s="61"/>
      <c r="G448" s="53"/>
      <c r="H448" s="53"/>
      <c r="I448" s="53"/>
      <c r="J448" s="47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49"/>
      <c r="B449" s="50"/>
      <c r="C449" s="50"/>
      <c r="D449" s="50"/>
      <c r="E449" s="50"/>
      <c r="F449" s="51"/>
      <c r="G449" s="50"/>
      <c r="H449" s="50"/>
      <c r="I449" s="50"/>
      <c r="J449" s="47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52"/>
      <c r="B450" s="53"/>
      <c r="C450" s="53"/>
      <c r="D450" s="53"/>
      <c r="E450" s="53"/>
      <c r="F450" s="61"/>
      <c r="G450" s="53"/>
      <c r="H450" s="53"/>
      <c r="I450" s="53"/>
      <c r="J450" s="47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49"/>
      <c r="B451" s="50"/>
      <c r="C451" s="50"/>
      <c r="D451" s="50"/>
      <c r="E451" s="50"/>
      <c r="F451" s="51"/>
      <c r="G451" s="50"/>
      <c r="H451" s="50"/>
      <c r="I451" s="50"/>
      <c r="J451" s="47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52"/>
      <c r="B452" s="53"/>
      <c r="C452" s="53"/>
      <c r="D452" s="53"/>
      <c r="E452" s="53"/>
      <c r="F452" s="61"/>
      <c r="G452" s="53"/>
      <c r="H452" s="53"/>
      <c r="I452" s="53"/>
      <c r="J452" s="47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49"/>
      <c r="B453" s="50"/>
      <c r="C453" s="50"/>
      <c r="D453" s="50"/>
      <c r="E453" s="50"/>
      <c r="F453" s="51"/>
      <c r="G453" s="50"/>
      <c r="H453" s="50"/>
      <c r="I453" s="50"/>
      <c r="J453" s="47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52"/>
      <c r="B454" s="53"/>
      <c r="C454" s="53"/>
      <c r="D454" s="53"/>
      <c r="E454" s="53"/>
      <c r="F454" s="61"/>
      <c r="G454" s="53"/>
      <c r="H454" s="53"/>
      <c r="I454" s="53"/>
      <c r="J454" s="47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49"/>
      <c r="B455" s="50"/>
      <c r="C455" s="50"/>
      <c r="D455" s="50"/>
      <c r="E455" s="50"/>
      <c r="F455" s="51"/>
      <c r="G455" s="50"/>
      <c r="H455" s="50"/>
      <c r="I455" s="50"/>
      <c r="J455" s="47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52"/>
      <c r="B456" s="53"/>
      <c r="C456" s="53"/>
      <c r="D456" s="53"/>
      <c r="E456" s="53"/>
      <c r="F456" s="61"/>
      <c r="G456" s="53"/>
      <c r="H456" s="53"/>
      <c r="I456" s="53"/>
      <c r="J456" s="47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49"/>
      <c r="B457" s="50"/>
      <c r="C457" s="50"/>
      <c r="D457" s="50"/>
      <c r="E457" s="50"/>
      <c r="F457" s="51"/>
      <c r="G457" s="50"/>
      <c r="H457" s="50"/>
      <c r="I457" s="50"/>
      <c r="J457" s="47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52"/>
      <c r="B458" s="53"/>
      <c r="C458" s="53"/>
      <c r="D458" s="53"/>
      <c r="E458" s="53"/>
      <c r="F458" s="61"/>
      <c r="G458" s="53"/>
      <c r="H458" s="53"/>
      <c r="I458" s="53"/>
      <c r="J458" s="47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49"/>
      <c r="B459" s="50"/>
      <c r="C459" s="50"/>
      <c r="D459" s="50"/>
      <c r="E459" s="50"/>
      <c r="F459" s="51"/>
      <c r="G459" s="50"/>
      <c r="H459" s="50"/>
      <c r="I459" s="50"/>
      <c r="J459" s="47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52"/>
      <c r="B460" s="53"/>
      <c r="C460" s="53"/>
      <c r="D460" s="53"/>
      <c r="E460" s="53"/>
      <c r="F460" s="61"/>
      <c r="G460" s="53"/>
      <c r="H460" s="53"/>
      <c r="I460" s="53"/>
      <c r="J460" s="47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49"/>
      <c r="B461" s="50"/>
      <c r="C461" s="50"/>
      <c r="D461" s="50"/>
      <c r="E461" s="50"/>
      <c r="F461" s="51"/>
      <c r="G461" s="50"/>
      <c r="H461" s="50"/>
      <c r="I461" s="50"/>
      <c r="J461" s="47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52"/>
      <c r="B462" s="53"/>
      <c r="C462" s="53"/>
      <c r="D462" s="53"/>
      <c r="E462" s="53"/>
      <c r="F462" s="61"/>
      <c r="G462" s="53"/>
      <c r="H462" s="53"/>
      <c r="I462" s="53"/>
      <c r="J462" s="47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49"/>
      <c r="B463" s="50"/>
      <c r="C463" s="50"/>
      <c r="D463" s="50"/>
      <c r="E463" s="50"/>
      <c r="F463" s="51"/>
      <c r="G463" s="50"/>
      <c r="H463" s="50"/>
      <c r="I463" s="50"/>
      <c r="J463" s="47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52"/>
      <c r="B464" s="53"/>
      <c r="C464" s="53"/>
      <c r="D464" s="53"/>
      <c r="E464" s="53"/>
      <c r="F464" s="61"/>
      <c r="G464" s="53"/>
      <c r="H464" s="53"/>
      <c r="I464" s="53"/>
      <c r="J464" s="47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49"/>
      <c r="B465" s="50"/>
      <c r="C465" s="50"/>
      <c r="D465" s="50"/>
      <c r="E465" s="50"/>
      <c r="F465" s="51"/>
      <c r="G465" s="50"/>
      <c r="H465" s="50"/>
      <c r="I465" s="50"/>
      <c r="J465" s="47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52"/>
      <c r="B466" s="53"/>
      <c r="C466" s="53"/>
      <c r="D466" s="53"/>
      <c r="E466" s="53"/>
      <c r="F466" s="61"/>
      <c r="G466" s="53"/>
      <c r="H466" s="53"/>
      <c r="I466" s="53"/>
      <c r="J466" s="47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49"/>
      <c r="B467" s="50"/>
      <c r="C467" s="50"/>
      <c r="D467" s="50"/>
      <c r="E467" s="50"/>
      <c r="F467" s="51"/>
      <c r="G467" s="50"/>
      <c r="H467" s="50"/>
      <c r="I467" s="50"/>
      <c r="J467" s="47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52"/>
      <c r="B468" s="53"/>
      <c r="C468" s="53"/>
      <c r="D468" s="53"/>
      <c r="E468" s="53"/>
      <c r="F468" s="61"/>
      <c r="G468" s="53"/>
      <c r="H468" s="53"/>
      <c r="I468" s="53"/>
      <c r="J468" s="47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49"/>
      <c r="B469" s="50"/>
      <c r="C469" s="50"/>
      <c r="D469" s="50"/>
      <c r="E469" s="50"/>
      <c r="F469" s="51"/>
      <c r="G469" s="50"/>
      <c r="H469" s="50"/>
      <c r="I469" s="50"/>
      <c r="J469" s="47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52"/>
      <c r="B470" s="53"/>
      <c r="C470" s="53"/>
      <c r="D470" s="53"/>
      <c r="E470" s="53"/>
      <c r="F470" s="61"/>
      <c r="G470" s="53"/>
      <c r="H470" s="53"/>
      <c r="I470" s="53"/>
      <c r="J470" s="47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49"/>
      <c r="B471" s="50"/>
      <c r="C471" s="50"/>
      <c r="D471" s="50"/>
      <c r="E471" s="50"/>
      <c r="F471" s="51"/>
      <c r="G471" s="50"/>
      <c r="H471" s="50"/>
      <c r="I471" s="50"/>
      <c r="J471" s="47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52"/>
      <c r="B472" s="53"/>
      <c r="C472" s="53"/>
      <c r="D472" s="53"/>
      <c r="E472" s="53"/>
      <c r="F472" s="61"/>
      <c r="G472" s="53"/>
      <c r="H472" s="53"/>
      <c r="I472" s="53"/>
      <c r="J472" s="47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49"/>
      <c r="B473" s="50"/>
      <c r="C473" s="50"/>
      <c r="D473" s="50"/>
      <c r="E473" s="50"/>
      <c r="F473" s="51"/>
      <c r="G473" s="50"/>
      <c r="H473" s="50"/>
      <c r="I473" s="50"/>
      <c r="J473" s="47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52"/>
      <c r="B474" s="53"/>
      <c r="C474" s="53"/>
      <c r="D474" s="53"/>
      <c r="E474" s="53"/>
      <c r="F474" s="61"/>
      <c r="G474" s="53"/>
      <c r="H474" s="53"/>
      <c r="I474" s="53"/>
      <c r="J474" s="47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49"/>
      <c r="B475" s="50"/>
      <c r="C475" s="50"/>
      <c r="D475" s="50"/>
      <c r="E475" s="50"/>
      <c r="F475" s="51"/>
      <c r="G475" s="50"/>
      <c r="H475" s="50"/>
      <c r="I475" s="50"/>
      <c r="J475" s="47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52"/>
      <c r="B476" s="53"/>
      <c r="C476" s="53"/>
      <c r="D476" s="53"/>
      <c r="E476" s="53"/>
      <c r="F476" s="61"/>
      <c r="G476" s="53"/>
      <c r="H476" s="53"/>
      <c r="I476" s="53"/>
      <c r="J476" s="47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49"/>
      <c r="B477" s="50"/>
      <c r="C477" s="50"/>
      <c r="D477" s="50"/>
      <c r="E477" s="50"/>
      <c r="F477" s="51"/>
      <c r="G477" s="50"/>
      <c r="H477" s="50"/>
      <c r="I477" s="50"/>
      <c r="J477" s="47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52"/>
      <c r="B478" s="53"/>
      <c r="C478" s="53"/>
      <c r="D478" s="53"/>
      <c r="E478" s="53"/>
      <c r="F478" s="61"/>
      <c r="G478" s="53"/>
      <c r="H478" s="53"/>
      <c r="I478" s="53"/>
      <c r="J478" s="47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49"/>
      <c r="B479" s="50"/>
      <c r="C479" s="50"/>
      <c r="D479" s="50"/>
      <c r="E479" s="50"/>
      <c r="F479" s="51"/>
      <c r="G479" s="50"/>
      <c r="H479" s="50"/>
      <c r="I479" s="50"/>
      <c r="J479" s="47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52"/>
      <c r="B480" s="53"/>
      <c r="C480" s="53"/>
      <c r="D480" s="53"/>
      <c r="E480" s="53"/>
      <c r="F480" s="61"/>
      <c r="G480" s="53"/>
      <c r="H480" s="53"/>
      <c r="I480" s="53"/>
      <c r="J480" s="47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49"/>
      <c r="B481" s="50"/>
      <c r="C481" s="50"/>
      <c r="D481" s="50"/>
      <c r="E481" s="50"/>
      <c r="F481" s="51"/>
      <c r="G481" s="50"/>
      <c r="H481" s="50"/>
      <c r="I481" s="50"/>
      <c r="J481" s="47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52"/>
      <c r="B482" s="53"/>
      <c r="C482" s="53"/>
      <c r="D482" s="53"/>
      <c r="E482" s="53"/>
      <c r="F482" s="61"/>
      <c r="G482" s="53"/>
      <c r="H482" s="53"/>
      <c r="I482" s="53"/>
      <c r="J482" s="47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49"/>
      <c r="B483" s="50"/>
      <c r="C483" s="50"/>
      <c r="D483" s="50"/>
      <c r="E483" s="50"/>
      <c r="F483" s="51"/>
      <c r="G483" s="50"/>
      <c r="H483" s="50"/>
      <c r="I483" s="50"/>
      <c r="J483" s="47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52"/>
      <c r="B484" s="53"/>
      <c r="C484" s="53"/>
      <c r="D484" s="53"/>
      <c r="E484" s="53"/>
      <c r="F484" s="61"/>
      <c r="G484" s="53"/>
      <c r="H484" s="53"/>
      <c r="I484" s="53"/>
      <c r="J484" s="47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49"/>
      <c r="B485" s="50"/>
      <c r="C485" s="50"/>
      <c r="D485" s="50"/>
      <c r="E485" s="50"/>
      <c r="F485" s="51"/>
      <c r="G485" s="50"/>
      <c r="H485" s="50"/>
      <c r="I485" s="50"/>
      <c r="J485" s="47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52"/>
      <c r="B486" s="53"/>
      <c r="C486" s="53"/>
      <c r="D486" s="53"/>
      <c r="E486" s="53"/>
      <c r="F486" s="61"/>
      <c r="G486" s="53"/>
      <c r="H486" s="53"/>
      <c r="I486" s="53"/>
      <c r="J486" s="47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49"/>
      <c r="B487" s="50"/>
      <c r="C487" s="50"/>
      <c r="D487" s="50"/>
      <c r="E487" s="50"/>
      <c r="F487" s="51"/>
      <c r="G487" s="50"/>
      <c r="H487" s="50"/>
      <c r="I487" s="50"/>
      <c r="J487" s="47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52"/>
      <c r="B488" s="53"/>
      <c r="C488" s="53"/>
      <c r="D488" s="53"/>
      <c r="E488" s="53"/>
      <c r="F488" s="61"/>
      <c r="G488" s="53"/>
      <c r="H488" s="53"/>
      <c r="I488" s="53"/>
      <c r="J488" s="47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49"/>
      <c r="B489" s="50"/>
      <c r="C489" s="50"/>
      <c r="D489" s="50"/>
      <c r="E489" s="50"/>
      <c r="F489" s="51"/>
      <c r="G489" s="50"/>
      <c r="H489" s="50"/>
      <c r="I489" s="50"/>
      <c r="J489" s="47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52"/>
      <c r="B490" s="53"/>
      <c r="C490" s="53"/>
      <c r="D490" s="53"/>
      <c r="E490" s="53"/>
      <c r="F490" s="61"/>
      <c r="G490" s="53"/>
      <c r="H490" s="53"/>
      <c r="I490" s="53"/>
      <c r="J490" s="47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49"/>
      <c r="B491" s="50"/>
      <c r="C491" s="50"/>
      <c r="D491" s="50"/>
      <c r="E491" s="50"/>
      <c r="F491" s="51"/>
      <c r="G491" s="50"/>
      <c r="H491" s="50"/>
      <c r="I491" s="50"/>
      <c r="J491" s="47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52"/>
      <c r="B492" s="53"/>
      <c r="C492" s="53"/>
      <c r="D492" s="53"/>
      <c r="E492" s="53"/>
      <c r="F492" s="61"/>
      <c r="G492" s="53"/>
      <c r="H492" s="53"/>
      <c r="I492" s="53"/>
      <c r="J492" s="47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49"/>
      <c r="B493" s="50"/>
      <c r="C493" s="50"/>
      <c r="D493" s="50"/>
      <c r="E493" s="50"/>
      <c r="F493" s="51"/>
      <c r="G493" s="50"/>
      <c r="H493" s="50"/>
      <c r="I493" s="50"/>
      <c r="J493" s="47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52"/>
      <c r="B494" s="53"/>
      <c r="C494" s="53"/>
      <c r="D494" s="53"/>
      <c r="E494" s="53"/>
      <c r="F494" s="61"/>
      <c r="G494" s="53"/>
      <c r="H494" s="53"/>
      <c r="I494" s="53"/>
      <c r="J494" s="47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49"/>
      <c r="B495" s="50"/>
      <c r="C495" s="50"/>
      <c r="D495" s="50"/>
      <c r="E495" s="50"/>
      <c r="F495" s="51"/>
      <c r="G495" s="50"/>
      <c r="H495" s="50"/>
      <c r="I495" s="50"/>
      <c r="J495" s="47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52"/>
      <c r="B496" s="53"/>
      <c r="C496" s="53"/>
      <c r="D496" s="53"/>
      <c r="E496" s="53"/>
      <c r="F496" s="61"/>
      <c r="G496" s="53"/>
      <c r="H496" s="53"/>
      <c r="I496" s="53"/>
      <c r="J496" s="47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49"/>
      <c r="B497" s="50"/>
      <c r="C497" s="50"/>
      <c r="D497" s="50"/>
      <c r="E497" s="50"/>
      <c r="F497" s="51"/>
      <c r="G497" s="50"/>
      <c r="H497" s="50"/>
      <c r="I497" s="50"/>
      <c r="J497" s="47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52"/>
      <c r="B498" s="53"/>
      <c r="C498" s="53"/>
      <c r="D498" s="53"/>
      <c r="E498" s="53"/>
      <c r="F498" s="61"/>
      <c r="G498" s="53"/>
      <c r="H498" s="53"/>
      <c r="I498" s="53"/>
      <c r="J498" s="47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49"/>
      <c r="B499" s="50"/>
      <c r="C499" s="50"/>
      <c r="D499" s="50"/>
      <c r="E499" s="50"/>
      <c r="F499" s="51"/>
      <c r="G499" s="50"/>
      <c r="H499" s="50"/>
      <c r="I499" s="50"/>
      <c r="J499" s="47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52"/>
      <c r="B500" s="53"/>
      <c r="C500" s="53"/>
      <c r="D500" s="53"/>
      <c r="E500" s="53"/>
      <c r="F500" s="61"/>
      <c r="G500" s="53"/>
      <c r="H500" s="53"/>
      <c r="I500" s="53"/>
      <c r="J500" s="47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49"/>
      <c r="B501" s="50"/>
      <c r="C501" s="50"/>
      <c r="D501" s="50"/>
      <c r="E501" s="50"/>
      <c r="F501" s="51"/>
      <c r="G501" s="50"/>
      <c r="H501" s="50"/>
      <c r="I501" s="50"/>
      <c r="J501" s="47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52"/>
      <c r="B502" s="53"/>
      <c r="C502" s="53"/>
      <c r="D502" s="53"/>
      <c r="E502" s="53"/>
      <c r="F502" s="61"/>
      <c r="G502" s="53"/>
      <c r="H502" s="53"/>
      <c r="I502" s="53"/>
      <c r="J502" s="47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49"/>
      <c r="B503" s="50"/>
      <c r="C503" s="50"/>
      <c r="D503" s="50"/>
      <c r="E503" s="50"/>
      <c r="F503" s="51"/>
      <c r="G503" s="50"/>
      <c r="H503" s="50"/>
      <c r="I503" s="50"/>
      <c r="J503" s="47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52"/>
      <c r="B504" s="53"/>
      <c r="C504" s="53"/>
      <c r="D504" s="53"/>
      <c r="E504" s="53"/>
      <c r="F504" s="61"/>
      <c r="G504" s="53"/>
      <c r="H504" s="53"/>
      <c r="I504" s="53"/>
      <c r="J504" s="47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49"/>
      <c r="B505" s="50"/>
      <c r="C505" s="50"/>
      <c r="D505" s="50"/>
      <c r="E505" s="50"/>
      <c r="F505" s="51"/>
      <c r="G505" s="50"/>
      <c r="H505" s="50"/>
      <c r="I505" s="50"/>
      <c r="J505" s="47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52"/>
      <c r="B506" s="53"/>
      <c r="C506" s="53"/>
      <c r="D506" s="53"/>
      <c r="E506" s="53"/>
      <c r="F506" s="61"/>
      <c r="G506" s="53"/>
      <c r="H506" s="53"/>
      <c r="I506" s="53"/>
      <c r="J506" s="47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9.5" customHeight="1">
      <c r="A507" s="49"/>
      <c r="B507" s="50"/>
      <c r="C507" s="50"/>
      <c r="D507" s="50"/>
      <c r="E507" s="50"/>
      <c r="F507" s="51"/>
      <c r="G507" s="50"/>
      <c r="H507" s="50"/>
      <c r="I507" s="50"/>
      <c r="J507" s="47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9.5" customHeight="1">
      <c r="A508" s="52"/>
      <c r="B508" s="53"/>
      <c r="C508" s="53"/>
      <c r="D508" s="53"/>
      <c r="E508" s="53"/>
      <c r="F508" s="61"/>
      <c r="G508" s="53"/>
      <c r="H508" s="53"/>
      <c r="I508" s="53"/>
      <c r="J508" s="47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9.5" customHeight="1">
      <c r="A509" s="49"/>
      <c r="B509" s="50"/>
      <c r="C509" s="50"/>
      <c r="D509" s="50"/>
      <c r="E509" s="50"/>
      <c r="F509" s="51"/>
      <c r="G509" s="50"/>
      <c r="H509" s="50"/>
      <c r="I509" s="50"/>
      <c r="J509" s="47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9.5" customHeight="1">
      <c r="A510" s="52"/>
      <c r="B510" s="53"/>
      <c r="C510" s="53"/>
      <c r="D510" s="53"/>
      <c r="E510" s="53"/>
      <c r="F510" s="61"/>
      <c r="G510" s="53"/>
      <c r="H510" s="53"/>
      <c r="I510" s="53"/>
      <c r="J510" s="47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9.5" customHeight="1">
      <c r="A511" s="49"/>
      <c r="B511" s="50"/>
      <c r="C511" s="50"/>
      <c r="D511" s="50"/>
      <c r="E511" s="50"/>
      <c r="F511" s="51"/>
      <c r="G511" s="50"/>
      <c r="H511" s="50"/>
      <c r="I511" s="50"/>
      <c r="J511" s="47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9.5" customHeight="1">
      <c r="A512" s="52"/>
      <c r="B512" s="53"/>
      <c r="C512" s="53"/>
      <c r="D512" s="53"/>
      <c r="E512" s="53"/>
      <c r="F512" s="61"/>
      <c r="G512" s="53"/>
      <c r="H512" s="53"/>
      <c r="I512" s="53"/>
      <c r="J512" s="47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9.5" customHeight="1">
      <c r="A513" s="49"/>
      <c r="B513" s="50"/>
      <c r="C513" s="50"/>
      <c r="D513" s="50"/>
      <c r="E513" s="50"/>
      <c r="F513" s="51"/>
      <c r="G513" s="50"/>
      <c r="H513" s="50"/>
      <c r="I513" s="50"/>
      <c r="J513" s="47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9.5" customHeight="1">
      <c r="A514" s="52"/>
      <c r="B514" s="53"/>
      <c r="C514" s="53"/>
      <c r="D514" s="53"/>
      <c r="E514" s="53"/>
      <c r="F514" s="61"/>
      <c r="G514" s="53"/>
      <c r="H514" s="53"/>
      <c r="I514" s="53"/>
      <c r="J514" s="47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9.5" customHeight="1">
      <c r="A515" s="49"/>
      <c r="B515" s="50"/>
      <c r="C515" s="50"/>
      <c r="D515" s="50"/>
      <c r="E515" s="50"/>
      <c r="F515" s="51"/>
      <c r="G515" s="50"/>
      <c r="H515" s="50"/>
      <c r="I515" s="50"/>
      <c r="J515" s="47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9.5" customHeight="1">
      <c r="A516" s="52"/>
      <c r="B516" s="53"/>
      <c r="C516" s="53"/>
      <c r="D516" s="53"/>
      <c r="E516" s="53"/>
      <c r="F516" s="61"/>
      <c r="G516" s="53"/>
      <c r="H516" s="53"/>
      <c r="I516" s="53"/>
      <c r="J516" s="47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9.5" customHeight="1">
      <c r="A517" s="49"/>
      <c r="B517" s="50"/>
      <c r="C517" s="50"/>
      <c r="D517" s="50"/>
      <c r="E517" s="50"/>
      <c r="F517" s="51"/>
      <c r="G517" s="50"/>
      <c r="H517" s="50"/>
      <c r="I517" s="50"/>
      <c r="J517" s="47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9.5" customHeight="1">
      <c r="A518" s="52"/>
      <c r="B518" s="53"/>
      <c r="C518" s="53"/>
      <c r="D518" s="53"/>
      <c r="E518" s="53"/>
      <c r="F518" s="61"/>
      <c r="G518" s="53"/>
      <c r="H518" s="53"/>
      <c r="I518" s="53"/>
      <c r="J518" s="47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9.5" customHeight="1">
      <c r="A519" s="49"/>
      <c r="B519" s="50"/>
      <c r="C519" s="50"/>
      <c r="D519" s="50"/>
      <c r="E519" s="50"/>
      <c r="F519" s="51"/>
      <c r="G519" s="50"/>
      <c r="H519" s="50"/>
      <c r="I519" s="50"/>
      <c r="J519" s="47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9.5" customHeight="1">
      <c r="A520" s="52"/>
      <c r="B520" s="53"/>
      <c r="C520" s="53"/>
      <c r="D520" s="53"/>
      <c r="E520" s="53"/>
      <c r="F520" s="61"/>
      <c r="G520" s="53"/>
      <c r="H520" s="53"/>
      <c r="I520" s="53"/>
      <c r="J520" s="47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9.5" customHeight="1">
      <c r="A521" s="49"/>
      <c r="B521" s="50"/>
      <c r="C521" s="50"/>
      <c r="D521" s="50"/>
      <c r="E521" s="50"/>
      <c r="F521" s="51"/>
      <c r="G521" s="50"/>
      <c r="H521" s="50"/>
      <c r="I521" s="50"/>
      <c r="J521" s="47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9.5" customHeight="1">
      <c r="A522" s="52"/>
      <c r="B522" s="53"/>
      <c r="C522" s="53"/>
      <c r="D522" s="53"/>
      <c r="E522" s="53"/>
      <c r="F522" s="61"/>
      <c r="G522" s="53"/>
      <c r="H522" s="53"/>
      <c r="I522" s="53"/>
      <c r="J522" s="47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9.5" customHeight="1">
      <c r="A523" s="49"/>
      <c r="B523" s="50"/>
      <c r="C523" s="50"/>
      <c r="D523" s="50"/>
      <c r="E523" s="50"/>
      <c r="F523" s="51"/>
      <c r="G523" s="50"/>
      <c r="H523" s="50"/>
      <c r="I523" s="50"/>
      <c r="J523" s="47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9.5" customHeight="1">
      <c r="A524" s="52"/>
      <c r="B524" s="53"/>
      <c r="C524" s="53"/>
      <c r="D524" s="53"/>
      <c r="E524" s="53"/>
      <c r="F524" s="61"/>
      <c r="G524" s="53"/>
      <c r="H524" s="53"/>
      <c r="I524" s="53"/>
      <c r="J524" s="47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9.5" customHeight="1">
      <c r="A525" s="49"/>
      <c r="B525" s="50"/>
      <c r="C525" s="50"/>
      <c r="D525" s="50"/>
      <c r="E525" s="50"/>
      <c r="F525" s="51"/>
      <c r="G525" s="50"/>
      <c r="H525" s="50"/>
      <c r="I525" s="50"/>
      <c r="J525" s="47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9.5" customHeight="1">
      <c r="A526" s="52"/>
      <c r="B526" s="53"/>
      <c r="C526" s="53"/>
      <c r="D526" s="53"/>
      <c r="E526" s="53"/>
      <c r="F526" s="61"/>
      <c r="G526" s="53"/>
      <c r="H526" s="53"/>
      <c r="I526" s="53"/>
      <c r="J526" s="47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9.5" customHeight="1">
      <c r="A527" s="49"/>
      <c r="B527" s="50"/>
      <c r="C527" s="50"/>
      <c r="D527" s="50"/>
      <c r="E527" s="50"/>
      <c r="F527" s="51"/>
      <c r="G527" s="50"/>
      <c r="H527" s="50"/>
      <c r="I527" s="50"/>
      <c r="J527" s="47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9.5" customHeight="1">
      <c r="A528" s="52"/>
      <c r="B528" s="53"/>
      <c r="C528" s="53"/>
      <c r="D528" s="53"/>
      <c r="E528" s="53"/>
      <c r="F528" s="61"/>
      <c r="G528" s="53"/>
      <c r="H528" s="53"/>
      <c r="I528" s="53"/>
      <c r="J528" s="47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9.5" customHeight="1">
      <c r="A529" s="49"/>
      <c r="B529" s="50"/>
      <c r="C529" s="50"/>
      <c r="D529" s="50"/>
      <c r="E529" s="50"/>
      <c r="F529" s="51"/>
      <c r="G529" s="50"/>
      <c r="H529" s="50"/>
      <c r="I529" s="50"/>
      <c r="J529" s="47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9.5" customHeight="1">
      <c r="A530" s="52"/>
      <c r="B530" s="53"/>
      <c r="C530" s="53"/>
      <c r="D530" s="53"/>
      <c r="E530" s="53"/>
      <c r="F530" s="61"/>
      <c r="G530" s="53"/>
      <c r="H530" s="53"/>
      <c r="I530" s="53"/>
      <c r="J530" s="47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9.5" customHeight="1">
      <c r="A531" s="49"/>
      <c r="B531" s="50"/>
      <c r="C531" s="50"/>
      <c r="D531" s="50"/>
      <c r="E531" s="50"/>
      <c r="F531" s="51"/>
      <c r="G531" s="50"/>
      <c r="H531" s="50"/>
      <c r="I531" s="50"/>
      <c r="J531" s="47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9.5" customHeight="1">
      <c r="A532" s="52"/>
      <c r="B532" s="53"/>
      <c r="C532" s="53"/>
      <c r="D532" s="53"/>
      <c r="E532" s="53"/>
      <c r="F532" s="61"/>
      <c r="G532" s="53"/>
      <c r="H532" s="53"/>
      <c r="I532" s="53"/>
      <c r="J532" s="47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9.5" customHeight="1">
      <c r="A533" s="49"/>
      <c r="B533" s="50"/>
      <c r="C533" s="50"/>
      <c r="D533" s="50"/>
      <c r="E533" s="50"/>
      <c r="F533" s="51"/>
      <c r="G533" s="50"/>
      <c r="H533" s="50"/>
      <c r="I533" s="50"/>
      <c r="J533" s="47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9.5" customHeight="1">
      <c r="A534" s="52"/>
      <c r="B534" s="53"/>
      <c r="C534" s="53"/>
      <c r="D534" s="53"/>
      <c r="E534" s="53"/>
      <c r="F534" s="61"/>
      <c r="G534" s="53"/>
      <c r="H534" s="53"/>
      <c r="I534" s="53"/>
      <c r="J534" s="47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9.5" customHeight="1">
      <c r="A535" s="49"/>
      <c r="B535" s="50"/>
      <c r="C535" s="50"/>
      <c r="D535" s="50"/>
      <c r="E535" s="50"/>
      <c r="F535" s="51"/>
      <c r="G535" s="50"/>
      <c r="H535" s="50"/>
      <c r="I535" s="50"/>
      <c r="J535" s="47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9.5" customHeight="1">
      <c r="A536" s="52"/>
      <c r="B536" s="53"/>
      <c r="C536" s="53"/>
      <c r="D536" s="53"/>
      <c r="E536" s="53"/>
      <c r="F536" s="61"/>
      <c r="G536" s="53"/>
      <c r="H536" s="53"/>
      <c r="I536" s="53"/>
      <c r="J536" s="47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9.5" customHeight="1">
      <c r="A537" s="49"/>
      <c r="B537" s="50"/>
      <c r="C537" s="50"/>
      <c r="D537" s="50"/>
      <c r="E537" s="50"/>
      <c r="F537" s="51"/>
      <c r="G537" s="50"/>
      <c r="H537" s="50"/>
      <c r="I537" s="50"/>
      <c r="J537" s="47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9.5" customHeight="1">
      <c r="A538" s="52"/>
      <c r="B538" s="53"/>
      <c r="C538" s="53"/>
      <c r="D538" s="53"/>
      <c r="E538" s="53"/>
      <c r="F538" s="61"/>
      <c r="G538" s="53"/>
      <c r="H538" s="53"/>
      <c r="I538" s="53"/>
      <c r="J538" s="47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9.5" customHeight="1">
      <c r="A539" s="49"/>
      <c r="B539" s="50"/>
      <c r="C539" s="50"/>
      <c r="D539" s="50"/>
      <c r="E539" s="50"/>
      <c r="F539" s="51"/>
      <c r="G539" s="50"/>
      <c r="H539" s="50"/>
      <c r="I539" s="50"/>
      <c r="J539" s="47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9.5" customHeight="1">
      <c r="A540" s="52"/>
      <c r="B540" s="53"/>
      <c r="C540" s="53"/>
      <c r="D540" s="53"/>
      <c r="E540" s="53"/>
      <c r="F540" s="61"/>
      <c r="G540" s="53"/>
      <c r="H540" s="53"/>
      <c r="I540" s="53"/>
      <c r="J540" s="47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9.5" customHeight="1">
      <c r="A541" s="49"/>
      <c r="B541" s="50"/>
      <c r="C541" s="50"/>
      <c r="D541" s="50"/>
      <c r="E541" s="50"/>
      <c r="F541" s="51"/>
      <c r="G541" s="50"/>
      <c r="H541" s="50"/>
      <c r="I541" s="50"/>
      <c r="J541" s="47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9.5" customHeight="1">
      <c r="A542" s="52"/>
      <c r="B542" s="53"/>
      <c r="C542" s="53"/>
      <c r="D542" s="53"/>
      <c r="E542" s="53"/>
      <c r="F542" s="61"/>
      <c r="G542" s="53"/>
      <c r="H542" s="53"/>
      <c r="I542" s="53"/>
      <c r="J542" s="47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9.5" customHeight="1">
      <c r="A543" s="49"/>
      <c r="B543" s="50"/>
      <c r="C543" s="50"/>
      <c r="D543" s="50"/>
      <c r="E543" s="50"/>
      <c r="F543" s="51"/>
      <c r="G543" s="50"/>
      <c r="H543" s="50"/>
      <c r="I543" s="50"/>
      <c r="J543" s="47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9.5" customHeight="1">
      <c r="A544" s="52"/>
      <c r="B544" s="53"/>
      <c r="C544" s="53"/>
      <c r="D544" s="53"/>
      <c r="E544" s="53"/>
      <c r="F544" s="61"/>
      <c r="G544" s="53"/>
      <c r="H544" s="53"/>
      <c r="I544" s="53"/>
      <c r="J544" s="47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9.5" customHeight="1">
      <c r="A545" s="49"/>
      <c r="B545" s="50"/>
      <c r="C545" s="50"/>
      <c r="D545" s="50"/>
      <c r="E545" s="50"/>
      <c r="F545" s="51"/>
      <c r="G545" s="50"/>
      <c r="H545" s="50"/>
      <c r="I545" s="50"/>
      <c r="J545" s="47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9.5" customHeight="1">
      <c r="A546" s="52"/>
      <c r="B546" s="53"/>
      <c r="C546" s="53"/>
      <c r="D546" s="53"/>
      <c r="E546" s="53"/>
      <c r="F546" s="61"/>
      <c r="G546" s="53"/>
      <c r="H546" s="53"/>
      <c r="I546" s="53"/>
      <c r="J546" s="47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9.5" customHeight="1">
      <c r="A547" s="49"/>
      <c r="B547" s="50"/>
      <c r="C547" s="50"/>
      <c r="D547" s="50"/>
      <c r="E547" s="50"/>
      <c r="F547" s="51"/>
      <c r="G547" s="50"/>
      <c r="H547" s="50"/>
      <c r="I547" s="50"/>
      <c r="J547" s="47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9.5" customHeight="1">
      <c r="A548" s="52"/>
      <c r="B548" s="53"/>
      <c r="C548" s="53"/>
      <c r="D548" s="53"/>
      <c r="E548" s="53"/>
      <c r="F548" s="61"/>
      <c r="G548" s="53"/>
      <c r="H548" s="53"/>
      <c r="I548" s="53"/>
      <c r="J548" s="47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9.5" customHeight="1">
      <c r="A549" s="49"/>
      <c r="B549" s="50"/>
      <c r="C549" s="50"/>
      <c r="D549" s="50"/>
      <c r="E549" s="50"/>
      <c r="F549" s="51"/>
      <c r="G549" s="50"/>
      <c r="H549" s="50"/>
      <c r="I549" s="50"/>
      <c r="J549" s="47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9.5" customHeight="1">
      <c r="A550" s="52"/>
      <c r="B550" s="53"/>
      <c r="C550" s="53"/>
      <c r="D550" s="53"/>
      <c r="E550" s="53"/>
      <c r="F550" s="61"/>
      <c r="G550" s="53"/>
      <c r="H550" s="53"/>
      <c r="I550" s="53"/>
      <c r="J550" s="47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9.5" customHeight="1">
      <c r="A551" s="49"/>
      <c r="B551" s="50"/>
      <c r="C551" s="50"/>
      <c r="D551" s="50"/>
      <c r="E551" s="50"/>
      <c r="F551" s="51"/>
      <c r="G551" s="50"/>
      <c r="H551" s="50"/>
      <c r="I551" s="50"/>
      <c r="J551" s="47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9.5" customHeight="1">
      <c r="A552" s="52"/>
      <c r="B552" s="53"/>
      <c r="C552" s="53"/>
      <c r="D552" s="53"/>
      <c r="E552" s="53"/>
      <c r="F552" s="61"/>
      <c r="G552" s="53"/>
      <c r="H552" s="53"/>
      <c r="I552" s="53"/>
      <c r="J552" s="47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9.5" customHeight="1">
      <c r="A553" s="49"/>
      <c r="B553" s="50"/>
      <c r="C553" s="50"/>
      <c r="D553" s="50"/>
      <c r="E553" s="50"/>
      <c r="F553" s="51"/>
      <c r="G553" s="50"/>
      <c r="H553" s="50"/>
      <c r="I553" s="50"/>
      <c r="J553" s="47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9.5" customHeight="1">
      <c r="A554" s="52"/>
      <c r="B554" s="53"/>
      <c r="C554" s="53"/>
      <c r="D554" s="53"/>
      <c r="E554" s="53"/>
      <c r="F554" s="61"/>
      <c r="G554" s="53"/>
      <c r="H554" s="53"/>
      <c r="I554" s="53"/>
      <c r="J554" s="47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9.5" customHeight="1">
      <c r="A555" s="49"/>
      <c r="B555" s="50"/>
      <c r="C555" s="50"/>
      <c r="D555" s="50"/>
      <c r="E555" s="50"/>
      <c r="F555" s="51"/>
      <c r="G555" s="50"/>
      <c r="H555" s="50"/>
      <c r="I555" s="50"/>
      <c r="J555" s="47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9.5" customHeight="1">
      <c r="A556" s="52"/>
      <c r="B556" s="53"/>
      <c r="C556" s="53"/>
      <c r="D556" s="53"/>
      <c r="E556" s="53"/>
      <c r="F556" s="61"/>
      <c r="G556" s="53"/>
      <c r="H556" s="53"/>
      <c r="I556" s="53"/>
      <c r="J556" s="47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9.5" customHeight="1">
      <c r="A557" s="49"/>
      <c r="B557" s="50"/>
      <c r="C557" s="50"/>
      <c r="D557" s="50"/>
      <c r="E557" s="50"/>
      <c r="F557" s="51"/>
      <c r="G557" s="50"/>
      <c r="H557" s="50"/>
      <c r="I557" s="50"/>
      <c r="J557" s="47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9.5" customHeight="1">
      <c r="A558" s="52"/>
      <c r="B558" s="53"/>
      <c r="C558" s="53"/>
      <c r="D558" s="53"/>
      <c r="E558" s="53"/>
      <c r="F558" s="61"/>
      <c r="G558" s="53"/>
      <c r="H558" s="53"/>
      <c r="I558" s="53"/>
      <c r="J558" s="47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9.5" customHeight="1">
      <c r="A559" s="49"/>
      <c r="B559" s="50"/>
      <c r="C559" s="50"/>
      <c r="D559" s="50"/>
      <c r="E559" s="50"/>
      <c r="F559" s="51"/>
      <c r="G559" s="50"/>
      <c r="H559" s="50"/>
      <c r="I559" s="50"/>
      <c r="J559" s="47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9.5" customHeight="1">
      <c r="A560" s="52"/>
      <c r="B560" s="53"/>
      <c r="C560" s="53"/>
      <c r="D560" s="53"/>
      <c r="E560" s="53"/>
      <c r="F560" s="61"/>
      <c r="G560" s="53"/>
      <c r="H560" s="53"/>
      <c r="I560" s="53"/>
      <c r="J560" s="47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9.5" customHeight="1">
      <c r="A561" s="49"/>
      <c r="B561" s="50"/>
      <c r="C561" s="50"/>
      <c r="D561" s="50"/>
      <c r="E561" s="50"/>
      <c r="F561" s="51"/>
      <c r="G561" s="50"/>
      <c r="H561" s="50"/>
      <c r="I561" s="50"/>
      <c r="J561" s="47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9.5" customHeight="1">
      <c r="A562" s="52"/>
      <c r="B562" s="53"/>
      <c r="C562" s="53"/>
      <c r="D562" s="53"/>
      <c r="E562" s="53"/>
      <c r="F562" s="61"/>
      <c r="G562" s="53"/>
      <c r="H562" s="53"/>
      <c r="I562" s="53"/>
      <c r="J562" s="47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9.5" customHeight="1">
      <c r="A563" s="49"/>
      <c r="B563" s="50"/>
      <c r="C563" s="50"/>
      <c r="D563" s="50"/>
      <c r="E563" s="50"/>
      <c r="F563" s="51"/>
      <c r="G563" s="50"/>
      <c r="H563" s="50"/>
      <c r="I563" s="50"/>
      <c r="J563" s="47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9.5" customHeight="1">
      <c r="A564" s="52"/>
      <c r="B564" s="53"/>
      <c r="C564" s="53"/>
      <c r="D564" s="53"/>
      <c r="E564" s="53"/>
      <c r="F564" s="61"/>
      <c r="G564" s="53"/>
      <c r="H564" s="53"/>
      <c r="I564" s="53"/>
      <c r="J564" s="47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9.5" customHeight="1">
      <c r="A565" s="49"/>
      <c r="B565" s="50"/>
      <c r="C565" s="50"/>
      <c r="D565" s="50"/>
      <c r="E565" s="50"/>
      <c r="F565" s="51"/>
      <c r="G565" s="50"/>
      <c r="H565" s="50"/>
      <c r="I565" s="50"/>
      <c r="J565" s="47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9.5" customHeight="1">
      <c r="A566" s="52"/>
      <c r="B566" s="53"/>
      <c r="C566" s="53"/>
      <c r="D566" s="53"/>
      <c r="E566" s="53"/>
      <c r="F566" s="61"/>
      <c r="G566" s="53"/>
      <c r="H566" s="53"/>
      <c r="I566" s="53"/>
      <c r="J566" s="47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9.5" customHeight="1">
      <c r="A567" s="49"/>
      <c r="B567" s="50"/>
      <c r="C567" s="50"/>
      <c r="D567" s="50"/>
      <c r="E567" s="50"/>
      <c r="F567" s="51"/>
      <c r="G567" s="50"/>
      <c r="H567" s="50"/>
      <c r="I567" s="50"/>
      <c r="J567" s="47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9.5" customHeight="1">
      <c r="A568" s="52"/>
      <c r="B568" s="53"/>
      <c r="C568" s="53"/>
      <c r="D568" s="53"/>
      <c r="E568" s="53"/>
      <c r="F568" s="61"/>
      <c r="G568" s="53"/>
      <c r="H568" s="53"/>
      <c r="I568" s="53"/>
      <c r="J568" s="47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9.5" customHeight="1">
      <c r="A569" s="49"/>
      <c r="B569" s="50"/>
      <c r="C569" s="50"/>
      <c r="D569" s="50"/>
      <c r="E569" s="50"/>
      <c r="F569" s="51"/>
      <c r="G569" s="50"/>
      <c r="H569" s="50"/>
      <c r="I569" s="50"/>
      <c r="J569" s="47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9.5" customHeight="1">
      <c r="A570" s="52"/>
      <c r="B570" s="53"/>
      <c r="C570" s="53"/>
      <c r="D570" s="53"/>
      <c r="E570" s="53"/>
      <c r="F570" s="61"/>
      <c r="G570" s="53"/>
      <c r="H570" s="53"/>
      <c r="I570" s="53"/>
      <c r="J570" s="47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9.5" customHeight="1">
      <c r="A571" s="49"/>
      <c r="B571" s="50"/>
      <c r="C571" s="50"/>
      <c r="D571" s="50"/>
      <c r="E571" s="50"/>
      <c r="F571" s="51"/>
      <c r="G571" s="50"/>
      <c r="H571" s="50"/>
      <c r="I571" s="50"/>
      <c r="J571" s="47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9.5" customHeight="1">
      <c r="A572" s="52"/>
      <c r="B572" s="53"/>
      <c r="C572" s="53"/>
      <c r="D572" s="53"/>
      <c r="E572" s="53"/>
      <c r="F572" s="61"/>
      <c r="G572" s="53"/>
      <c r="H572" s="53"/>
      <c r="I572" s="53"/>
      <c r="J572" s="47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9.5" customHeight="1">
      <c r="A573" s="49"/>
      <c r="B573" s="50"/>
      <c r="C573" s="50"/>
      <c r="D573" s="50"/>
      <c r="E573" s="50"/>
      <c r="F573" s="51"/>
      <c r="G573" s="50"/>
      <c r="H573" s="50"/>
      <c r="I573" s="50"/>
      <c r="J573" s="47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9.5" customHeight="1">
      <c r="A574" s="52"/>
      <c r="B574" s="53"/>
      <c r="C574" s="53"/>
      <c r="D574" s="53"/>
      <c r="E574" s="53"/>
      <c r="F574" s="61"/>
      <c r="G574" s="53"/>
      <c r="H574" s="53"/>
      <c r="I574" s="53"/>
      <c r="J574" s="47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9.5" customHeight="1">
      <c r="A575" s="49"/>
      <c r="B575" s="50"/>
      <c r="C575" s="50"/>
      <c r="D575" s="50"/>
      <c r="E575" s="50"/>
      <c r="F575" s="51"/>
      <c r="G575" s="50"/>
      <c r="H575" s="50"/>
      <c r="I575" s="50"/>
      <c r="J575" s="47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9.5" customHeight="1">
      <c r="A576" s="52"/>
      <c r="B576" s="53"/>
      <c r="C576" s="53"/>
      <c r="D576" s="53"/>
      <c r="E576" s="53"/>
      <c r="F576" s="61"/>
      <c r="G576" s="53"/>
      <c r="H576" s="53"/>
      <c r="I576" s="53"/>
      <c r="J576" s="47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9.5" customHeight="1">
      <c r="A577" s="49"/>
      <c r="B577" s="50"/>
      <c r="C577" s="50"/>
      <c r="D577" s="50"/>
      <c r="E577" s="50"/>
      <c r="F577" s="51"/>
      <c r="G577" s="50"/>
      <c r="H577" s="50"/>
      <c r="I577" s="50"/>
      <c r="J577" s="47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9.5" customHeight="1">
      <c r="A578" s="52"/>
      <c r="B578" s="53"/>
      <c r="C578" s="53"/>
      <c r="D578" s="53"/>
      <c r="E578" s="53"/>
      <c r="F578" s="61"/>
      <c r="G578" s="53"/>
      <c r="H578" s="53"/>
      <c r="I578" s="53"/>
      <c r="J578" s="47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9.5" customHeight="1">
      <c r="A579" s="49"/>
      <c r="B579" s="50"/>
      <c r="C579" s="50"/>
      <c r="D579" s="50"/>
      <c r="E579" s="50"/>
      <c r="F579" s="51"/>
      <c r="G579" s="50"/>
      <c r="H579" s="50"/>
      <c r="I579" s="50"/>
      <c r="J579" s="47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9.5" customHeight="1">
      <c r="A580" s="52"/>
      <c r="B580" s="53"/>
      <c r="C580" s="53"/>
      <c r="D580" s="53"/>
      <c r="E580" s="53"/>
      <c r="F580" s="61"/>
      <c r="G580" s="53"/>
      <c r="H580" s="53"/>
      <c r="I580" s="53"/>
      <c r="J580" s="47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9.5" customHeight="1">
      <c r="A581" s="49"/>
      <c r="B581" s="50"/>
      <c r="C581" s="50"/>
      <c r="D581" s="50"/>
      <c r="E581" s="50"/>
      <c r="F581" s="51"/>
      <c r="G581" s="50"/>
      <c r="H581" s="50"/>
      <c r="I581" s="50"/>
      <c r="J581" s="47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9.5" customHeight="1">
      <c r="A582" s="52"/>
      <c r="B582" s="53"/>
      <c r="C582" s="53"/>
      <c r="D582" s="53"/>
      <c r="E582" s="53"/>
      <c r="F582" s="61"/>
      <c r="G582" s="53"/>
      <c r="H582" s="53"/>
      <c r="I582" s="53"/>
      <c r="J582" s="47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9.5" customHeight="1">
      <c r="A583" s="49"/>
      <c r="B583" s="50"/>
      <c r="C583" s="50"/>
      <c r="D583" s="50"/>
      <c r="E583" s="50"/>
      <c r="F583" s="51"/>
      <c r="G583" s="50"/>
      <c r="H583" s="50"/>
      <c r="I583" s="50"/>
      <c r="J583" s="47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9.5" customHeight="1">
      <c r="A584" s="52"/>
      <c r="B584" s="53"/>
      <c r="C584" s="53"/>
      <c r="D584" s="53"/>
      <c r="E584" s="53"/>
      <c r="F584" s="61"/>
      <c r="G584" s="53"/>
      <c r="H584" s="53"/>
      <c r="I584" s="53"/>
      <c r="J584" s="47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9.5" customHeight="1">
      <c r="A585" s="49"/>
      <c r="B585" s="50"/>
      <c r="C585" s="50"/>
      <c r="D585" s="50"/>
      <c r="E585" s="50"/>
      <c r="F585" s="51"/>
      <c r="G585" s="50"/>
      <c r="H585" s="50"/>
      <c r="I585" s="50"/>
      <c r="J585" s="47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9.5" customHeight="1">
      <c r="A586" s="52"/>
      <c r="B586" s="53"/>
      <c r="C586" s="53"/>
      <c r="D586" s="53"/>
      <c r="E586" s="53"/>
      <c r="F586" s="61"/>
      <c r="G586" s="53"/>
      <c r="H586" s="53"/>
      <c r="I586" s="53"/>
      <c r="J586" s="47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9.5" customHeight="1">
      <c r="A587" s="49"/>
      <c r="B587" s="50"/>
      <c r="C587" s="50"/>
      <c r="D587" s="50"/>
      <c r="E587" s="50"/>
      <c r="F587" s="51"/>
      <c r="G587" s="50"/>
      <c r="H587" s="50"/>
      <c r="I587" s="50"/>
      <c r="J587" s="47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9.5" customHeight="1">
      <c r="A588" s="52"/>
      <c r="B588" s="53"/>
      <c r="C588" s="53"/>
      <c r="D588" s="53"/>
      <c r="E588" s="53"/>
      <c r="F588" s="61"/>
      <c r="G588" s="53"/>
      <c r="H588" s="53"/>
      <c r="I588" s="53"/>
      <c r="J588" s="47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9.5" customHeight="1">
      <c r="A589" s="49"/>
      <c r="B589" s="50"/>
      <c r="C589" s="50"/>
      <c r="D589" s="50"/>
      <c r="E589" s="50"/>
      <c r="F589" s="51"/>
      <c r="G589" s="50"/>
      <c r="H589" s="50"/>
      <c r="I589" s="50"/>
      <c r="J589" s="47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9.5" customHeight="1">
      <c r="A590" s="52"/>
      <c r="B590" s="53"/>
      <c r="C590" s="53"/>
      <c r="D590" s="53"/>
      <c r="E590" s="53"/>
      <c r="F590" s="61"/>
      <c r="G590" s="53"/>
      <c r="H590" s="53"/>
      <c r="I590" s="53"/>
      <c r="J590" s="47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9.5" customHeight="1">
      <c r="A591" s="49"/>
      <c r="B591" s="50"/>
      <c r="C591" s="50"/>
      <c r="D591" s="50"/>
      <c r="E591" s="50"/>
      <c r="F591" s="51"/>
      <c r="G591" s="50"/>
      <c r="H591" s="50"/>
      <c r="I591" s="50"/>
      <c r="J591" s="47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9.5" customHeight="1">
      <c r="A592" s="52"/>
      <c r="B592" s="53"/>
      <c r="C592" s="53"/>
      <c r="D592" s="53"/>
      <c r="E592" s="53"/>
      <c r="F592" s="61"/>
      <c r="G592" s="53"/>
      <c r="H592" s="53"/>
      <c r="I592" s="53"/>
      <c r="J592" s="47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9.5" customHeight="1">
      <c r="A593" s="49"/>
      <c r="B593" s="50"/>
      <c r="C593" s="50"/>
      <c r="D593" s="50"/>
      <c r="E593" s="50"/>
      <c r="F593" s="51"/>
      <c r="G593" s="50"/>
      <c r="H593" s="50"/>
      <c r="I593" s="50"/>
      <c r="J593" s="47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9.5" customHeight="1">
      <c r="A594" s="52"/>
      <c r="B594" s="53"/>
      <c r="C594" s="53"/>
      <c r="D594" s="53"/>
      <c r="E594" s="53"/>
      <c r="F594" s="61"/>
      <c r="G594" s="53"/>
      <c r="H594" s="53"/>
      <c r="I594" s="53"/>
      <c r="J594" s="47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9.5" customHeight="1">
      <c r="A595" s="49"/>
      <c r="B595" s="50"/>
      <c r="C595" s="50"/>
      <c r="D595" s="50"/>
      <c r="E595" s="50"/>
      <c r="F595" s="51"/>
      <c r="G595" s="50"/>
      <c r="H595" s="50"/>
      <c r="I595" s="50"/>
      <c r="J595" s="47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9.5" customHeight="1">
      <c r="A596" s="52"/>
      <c r="B596" s="53"/>
      <c r="C596" s="53"/>
      <c r="D596" s="53"/>
      <c r="E596" s="53"/>
      <c r="F596" s="61"/>
      <c r="G596" s="53"/>
      <c r="H596" s="53"/>
      <c r="I596" s="53"/>
      <c r="J596" s="47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9.5" customHeight="1">
      <c r="A597" s="49"/>
      <c r="B597" s="50"/>
      <c r="C597" s="50"/>
      <c r="D597" s="50"/>
      <c r="E597" s="50"/>
      <c r="F597" s="51"/>
      <c r="G597" s="50"/>
      <c r="H597" s="50"/>
      <c r="I597" s="50"/>
      <c r="J597" s="47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9.5" customHeight="1">
      <c r="A598" s="52"/>
      <c r="B598" s="53"/>
      <c r="C598" s="53"/>
      <c r="D598" s="53"/>
      <c r="E598" s="53"/>
      <c r="F598" s="61"/>
      <c r="G598" s="53"/>
      <c r="H598" s="53"/>
      <c r="I598" s="53"/>
      <c r="J598" s="47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9.5" customHeight="1">
      <c r="A599" s="49"/>
      <c r="B599" s="50"/>
      <c r="C599" s="50"/>
      <c r="D599" s="50"/>
      <c r="E599" s="50"/>
      <c r="F599" s="51"/>
      <c r="G599" s="50"/>
      <c r="H599" s="50"/>
      <c r="I599" s="50"/>
      <c r="J599" s="47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9.5" customHeight="1">
      <c r="A600" s="52"/>
      <c r="B600" s="53"/>
      <c r="C600" s="53"/>
      <c r="D600" s="53"/>
      <c r="E600" s="53"/>
      <c r="F600" s="61"/>
      <c r="G600" s="53"/>
      <c r="H600" s="53"/>
      <c r="I600" s="53"/>
      <c r="J600" s="47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9.5" customHeight="1">
      <c r="A601" s="49"/>
      <c r="B601" s="50"/>
      <c r="C601" s="50"/>
      <c r="D601" s="50"/>
      <c r="E601" s="50"/>
      <c r="F601" s="51"/>
      <c r="G601" s="50"/>
      <c r="H601" s="50"/>
      <c r="I601" s="50"/>
      <c r="J601" s="47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9.5" customHeight="1">
      <c r="A602" s="52"/>
      <c r="B602" s="53"/>
      <c r="C602" s="53"/>
      <c r="D602" s="53"/>
      <c r="E602" s="53"/>
      <c r="F602" s="61"/>
      <c r="G602" s="53"/>
      <c r="H602" s="53"/>
      <c r="I602" s="53"/>
      <c r="J602" s="47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9.5" customHeight="1">
      <c r="A603" s="49"/>
      <c r="B603" s="50"/>
      <c r="C603" s="50"/>
      <c r="D603" s="50"/>
      <c r="E603" s="50"/>
      <c r="F603" s="51"/>
      <c r="G603" s="50"/>
      <c r="H603" s="50"/>
      <c r="I603" s="50"/>
      <c r="J603" s="47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9.5" customHeight="1">
      <c r="A604" s="52"/>
      <c r="B604" s="53"/>
      <c r="C604" s="53"/>
      <c r="D604" s="53"/>
      <c r="E604" s="53"/>
      <c r="F604" s="61"/>
      <c r="G604" s="53"/>
      <c r="H604" s="53"/>
      <c r="I604" s="53"/>
      <c r="J604" s="47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9.5" customHeight="1">
      <c r="A605" s="49"/>
      <c r="B605" s="50"/>
      <c r="C605" s="50"/>
      <c r="D605" s="50"/>
      <c r="E605" s="50"/>
      <c r="F605" s="51"/>
      <c r="G605" s="50"/>
      <c r="H605" s="50"/>
      <c r="I605" s="50"/>
      <c r="J605" s="47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9.5" customHeight="1">
      <c r="A606" s="52"/>
      <c r="B606" s="53"/>
      <c r="C606" s="53"/>
      <c r="D606" s="53"/>
      <c r="E606" s="53"/>
      <c r="F606" s="61"/>
      <c r="G606" s="53"/>
      <c r="H606" s="53"/>
      <c r="I606" s="53"/>
      <c r="J606" s="47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9.5" customHeight="1">
      <c r="A607" s="49"/>
      <c r="B607" s="50"/>
      <c r="C607" s="50"/>
      <c r="D607" s="50"/>
      <c r="E607" s="50"/>
      <c r="F607" s="51"/>
      <c r="G607" s="50"/>
      <c r="H607" s="50"/>
      <c r="I607" s="50"/>
      <c r="J607" s="47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9.5" customHeight="1">
      <c r="A608" s="52"/>
      <c r="B608" s="53"/>
      <c r="C608" s="53"/>
      <c r="D608" s="53"/>
      <c r="E608" s="53"/>
      <c r="F608" s="61"/>
      <c r="G608" s="53"/>
      <c r="H608" s="53"/>
      <c r="I608" s="53"/>
      <c r="J608" s="47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9.5" customHeight="1">
      <c r="A609" s="49"/>
      <c r="B609" s="50"/>
      <c r="C609" s="50"/>
      <c r="D609" s="50"/>
      <c r="E609" s="50"/>
      <c r="F609" s="51"/>
      <c r="G609" s="50"/>
      <c r="H609" s="50"/>
      <c r="I609" s="50"/>
      <c r="J609" s="47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9.5" customHeight="1">
      <c r="A610" s="52"/>
      <c r="B610" s="53"/>
      <c r="C610" s="53"/>
      <c r="D610" s="53"/>
      <c r="E610" s="53"/>
      <c r="F610" s="61"/>
      <c r="G610" s="53"/>
      <c r="H610" s="53"/>
      <c r="I610" s="53"/>
      <c r="J610" s="47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9.5" customHeight="1">
      <c r="A611" s="49"/>
      <c r="B611" s="50"/>
      <c r="C611" s="50"/>
      <c r="D611" s="50"/>
      <c r="E611" s="50"/>
      <c r="F611" s="51"/>
      <c r="G611" s="50"/>
      <c r="H611" s="50"/>
      <c r="I611" s="50"/>
      <c r="J611" s="47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9.5" customHeight="1">
      <c r="A612" s="52"/>
      <c r="B612" s="53"/>
      <c r="C612" s="53"/>
      <c r="D612" s="53"/>
      <c r="E612" s="53"/>
      <c r="F612" s="61"/>
      <c r="G612" s="53"/>
      <c r="H612" s="53"/>
      <c r="I612" s="53"/>
      <c r="J612" s="47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9.5" customHeight="1">
      <c r="A613" s="49"/>
      <c r="B613" s="50"/>
      <c r="C613" s="50"/>
      <c r="D613" s="50"/>
      <c r="E613" s="50"/>
      <c r="F613" s="51"/>
      <c r="G613" s="50"/>
      <c r="H613" s="50"/>
      <c r="I613" s="50"/>
      <c r="J613" s="47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9.5" customHeight="1">
      <c r="A614" s="52"/>
      <c r="B614" s="53"/>
      <c r="C614" s="53"/>
      <c r="D614" s="53"/>
      <c r="E614" s="53"/>
      <c r="F614" s="61"/>
      <c r="G614" s="53"/>
      <c r="H614" s="53"/>
      <c r="I614" s="53"/>
      <c r="J614" s="47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9.5" customHeight="1">
      <c r="A615" s="49"/>
      <c r="B615" s="50"/>
      <c r="C615" s="50"/>
      <c r="D615" s="50"/>
      <c r="E615" s="50"/>
      <c r="F615" s="51"/>
      <c r="G615" s="50"/>
      <c r="H615" s="50"/>
      <c r="I615" s="50"/>
      <c r="J615" s="47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9.5" customHeight="1">
      <c r="A616" s="52"/>
      <c r="B616" s="53"/>
      <c r="C616" s="53"/>
      <c r="D616" s="53"/>
      <c r="E616" s="53"/>
      <c r="F616" s="61"/>
      <c r="G616" s="53"/>
      <c r="H616" s="53"/>
      <c r="I616" s="53"/>
      <c r="J616" s="47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9.5" customHeight="1">
      <c r="A617" s="49"/>
      <c r="B617" s="50"/>
      <c r="C617" s="50"/>
      <c r="D617" s="50"/>
      <c r="E617" s="50"/>
      <c r="F617" s="51"/>
      <c r="G617" s="50"/>
      <c r="H617" s="50"/>
      <c r="I617" s="50"/>
      <c r="J617" s="47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9.5" customHeight="1">
      <c r="A618" s="52"/>
      <c r="B618" s="53"/>
      <c r="C618" s="53"/>
      <c r="D618" s="53"/>
      <c r="E618" s="53"/>
      <c r="F618" s="61"/>
      <c r="G618" s="53"/>
      <c r="H618" s="53"/>
      <c r="I618" s="53"/>
      <c r="J618" s="47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9.5" customHeight="1">
      <c r="A619" s="49"/>
      <c r="B619" s="50"/>
      <c r="C619" s="50"/>
      <c r="D619" s="50"/>
      <c r="E619" s="50"/>
      <c r="F619" s="51"/>
      <c r="G619" s="50"/>
      <c r="H619" s="50"/>
      <c r="I619" s="50"/>
      <c r="J619" s="47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9.5" customHeight="1">
      <c r="A620" s="52"/>
      <c r="B620" s="53"/>
      <c r="C620" s="53"/>
      <c r="D620" s="53"/>
      <c r="E620" s="53"/>
      <c r="F620" s="61"/>
      <c r="G620" s="53"/>
      <c r="H620" s="53"/>
      <c r="I620" s="53"/>
      <c r="J620" s="47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9.5" customHeight="1">
      <c r="A621" s="49"/>
      <c r="B621" s="50"/>
      <c r="C621" s="50"/>
      <c r="D621" s="50"/>
      <c r="E621" s="50"/>
      <c r="F621" s="51"/>
      <c r="G621" s="50"/>
      <c r="H621" s="50"/>
      <c r="I621" s="50"/>
      <c r="J621" s="47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9.5" customHeight="1">
      <c r="A622" s="52"/>
      <c r="B622" s="53"/>
      <c r="C622" s="53"/>
      <c r="D622" s="53"/>
      <c r="E622" s="53"/>
      <c r="F622" s="61"/>
      <c r="G622" s="53"/>
      <c r="H622" s="53"/>
      <c r="I622" s="53"/>
      <c r="J622" s="47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9.5" customHeight="1">
      <c r="A623" s="49"/>
      <c r="B623" s="50"/>
      <c r="C623" s="50"/>
      <c r="D623" s="50"/>
      <c r="E623" s="50"/>
      <c r="F623" s="51"/>
      <c r="G623" s="50"/>
      <c r="H623" s="50"/>
      <c r="I623" s="50"/>
      <c r="J623" s="47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9.5" customHeight="1">
      <c r="A624" s="52"/>
      <c r="B624" s="53"/>
      <c r="C624" s="53"/>
      <c r="D624" s="53"/>
      <c r="E624" s="53"/>
      <c r="F624" s="61"/>
      <c r="G624" s="53"/>
      <c r="H624" s="53"/>
      <c r="I624" s="53"/>
      <c r="J624" s="47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9.5" customHeight="1">
      <c r="A625" s="49"/>
      <c r="B625" s="50"/>
      <c r="C625" s="50"/>
      <c r="D625" s="50"/>
      <c r="E625" s="50"/>
      <c r="F625" s="51"/>
      <c r="G625" s="50"/>
      <c r="H625" s="50"/>
      <c r="I625" s="50"/>
      <c r="J625" s="47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9.5" customHeight="1">
      <c r="A626" s="52"/>
      <c r="B626" s="53"/>
      <c r="C626" s="53"/>
      <c r="D626" s="53"/>
      <c r="E626" s="53"/>
      <c r="F626" s="61"/>
      <c r="G626" s="53"/>
      <c r="H626" s="53"/>
      <c r="I626" s="53"/>
      <c r="J626" s="47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9.5" customHeight="1">
      <c r="A627" s="49"/>
      <c r="B627" s="50"/>
      <c r="C627" s="50"/>
      <c r="D627" s="50"/>
      <c r="E627" s="50"/>
      <c r="F627" s="51"/>
      <c r="G627" s="50"/>
      <c r="H627" s="50"/>
      <c r="I627" s="50"/>
      <c r="J627" s="47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9.5" customHeight="1">
      <c r="A628" s="52"/>
      <c r="B628" s="53"/>
      <c r="C628" s="53"/>
      <c r="D628" s="53"/>
      <c r="E628" s="53"/>
      <c r="F628" s="61"/>
      <c r="G628" s="53"/>
      <c r="H628" s="53"/>
      <c r="I628" s="53"/>
      <c r="J628" s="47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9.5" customHeight="1">
      <c r="A629" s="49"/>
      <c r="B629" s="50"/>
      <c r="C629" s="50"/>
      <c r="D629" s="50"/>
      <c r="E629" s="50"/>
      <c r="F629" s="51"/>
      <c r="G629" s="50"/>
      <c r="H629" s="50"/>
      <c r="I629" s="50"/>
      <c r="J629" s="47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9.5" customHeight="1">
      <c r="A630" s="52"/>
      <c r="B630" s="53"/>
      <c r="C630" s="53"/>
      <c r="D630" s="53"/>
      <c r="E630" s="53"/>
      <c r="F630" s="61"/>
      <c r="G630" s="53"/>
      <c r="H630" s="53"/>
      <c r="I630" s="53"/>
      <c r="J630" s="47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9.5" customHeight="1">
      <c r="A631" s="49"/>
      <c r="B631" s="50"/>
      <c r="C631" s="50"/>
      <c r="D631" s="50"/>
      <c r="E631" s="50"/>
      <c r="F631" s="51"/>
      <c r="G631" s="50"/>
      <c r="H631" s="50"/>
      <c r="I631" s="50"/>
      <c r="J631" s="47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9.5" customHeight="1">
      <c r="A632" s="52"/>
      <c r="B632" s="53"/>
      <c r="C632" s="53"/>
      <c r="D632" s="53"/>
      <c r="E632" s="53"/>
      <c r="F632" s="61"/>
      <c r="G632" s="53"/>
      <c r="H632" s="53"/>
      <c r="I632" s="53"/>
      <c r="J632" s="47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9.5" customHeight="1">
      <c r="A633" s="49"/>
      <c r="B633" s="50"/>
      <c r="C633" s="50"/>
      <c r="D633" s="50"/>
      <c r="E633" s="50"/>
      <c r="F633" s="51"/>
      <c r="G633" s="50"/>
      <c r="H633" s="50"/>
      <c r="I633" s="50"/>
      <c r="J633" s="47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9.5" customHeight="1">
      <c r="A634" s="52"/>
      <c r="B634" s="53"/>
      <c r="C634" s="53"/>
      <c r="D634" s="53"/>
      <c r="E634" s="53"/>
      <c r="F634" s="61"/>
      <c r="G634" s="53"/>
      <c r="H634" s="53"/>
      <c r="I634" s="53"/>
      <c r="J634" s="47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9.5" customHeight="1">
      <c r="A635" s="49"/>
      <c r="B635" s="50"/>
      <c r="C635" s="50"/>
      <c r="D635" s="50"/>
      <c r="E635" s="50"/>
      <c r="F635" s="51"/>
      <c r="G635" s="50"/>
      <c r="H635" s="50"/>
      <c r="I635" s="50"/>
      <c r="J635" s="47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9.5" customHeight="1">
      <c r="A636" s="52"/>
      <c r="B636" s="53"/>
      <c r="C636" s="53"/>
      <c r="D636" s="53"/>
      <c r="E636" s="53"/>
      <c r="F636" s="61"/>
      <c r="G636" s="53"/>
      <c r="H636" s="53"/>
      <c r="I636" s="53"/>
      <c r="J636" s="47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9.5" customHeight="1">
      <c r="A637" s="49"/>
      <c r="B637" s="50"/>
      <c r="C637" s="50"/>
      <c r="D637" s="50"/>
      <c r="E637" s="50"/>
      <c r="F637" s="51"/>
      <c r="G637" s="50"/>
      <c r="H637" s="50"/>
      <c r="I637" s="50"/>
      <c r="J637" s="47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9.5" customHeight="1">
      <c r="A638" s="52"/>
      <c r="B638" s="53"/>
      <c r="C638" s="53"/>
      <c r="D638" s="53"/>
      <c r="E638" s="53"/>
      <c r="F638" s="61"/>
      <c r="G638" s="53"/>
      <c r="H638" s="53"/>
      <c r="I638" s="53"/>
      <c r="J638" s="47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9.5" customHeight="1">
      <c r="A639" s="49"/>
      <c r="B639" s="50"/>
      <c r="C639" s="50"/>
      <c r="D639" s="50"/>
      <c r="E639" s="50"/>
      <c r="F639" s="51"/>
      <c r="G639" s="50"/>
      <c r="H639" s="50"/>
      <c r="I639" s="50"/>
      <c r="J639" s="47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9.5" customHeight="1">
      <c r="A640" s="52"/>
      <c r="B640" s="53"/>
      <c r="C640" s="53"/>
      <c r="D640" s="53"/>
      <c r="E640" s="53"/>
      <c r="F640" s="61"/>
      <c r="G640" s="53"/>
      <c r="H640" s="53"/>
      <c r="I640" s="53"/>
      <c r="J640" s="47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9.5" customHeight="1">
      <c r="A641" s="49"/>
      <c r="B641" s="50"/>
      <c r="C641" s="50"/>
      <c r="D641" s="50"/>
      <c r="E641" s="50"/>
      <c r="F641" s="51"/>
      <c r="G641" s="50"/>
      <c r="H641" s="50"/>
      <c r="I641" s="50"/>
      <c r="J641" s="47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9.5" customHeight="1">
      <c r="A642" s="52"/>
      <c r="B642" s="53"/>
      <c r="C642" s="53"/>
      <c r="D642" s="53"/>
      <c r="E642" s="53"/>
      <c r="F642" s="61"/>
      <c r="G642" s="53"/>
      <c r="H642" s="53"/>
      <c r="I642" s="53"/>
      <c r="J642" s="47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9.5" customHeight="1">
      <c r="A643" s="49"/>
      <c r="B643" s="50"/>
      <c r="C643" s="50"/>
      <c r="D643" s="50"/>
      <c r="E643" s="50"/>
      <c r="F643" s="51"/>
      <c r="G643" s="50"/>
      <c r="H643" s="50"/>
      <c r="I643" s="50"/>
      <c r="J643" s="47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9.5" customHeight="1">
      <c r="A644" s="52"/>
      <c r="B644" s="53"/>
      <c r="C644" s="53"/>
      <c r="D644" s="53"/>
      <c r="E644" s="53"/>
      <c r="F644" s="61"/>
      <c r="G644" s="53"/>
      <c r="H644" s="53"/>
      <c r="I644" s="53"/>
      <c r="J644" s="47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9.5" customHeight="1">
      <c r="A645" s="49"/>
      <c r="B645" s="50"/>
      <c r="C645" s="50"/>
      <c r="D645" s="50"/>
      <c r="E645" s="50"/>
      <c r="F645" s="51"/>
      <c r="G645" s="50"/>
      <c r="H645" s="50"/>
      <c r="I645" s="50"/>
      <c r="J645" s="47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9.5" customHeight="1">
      <c r="A646" s="52"/>
      <c r="B646" s="53"/>
      <c r="C646" s="53"/>
      <c r="D646" s="53"/>
      <c r="E646" s="53"/>
      <c r="F646" s="61"/>
      <c r="G646" s="53"/>
      <c r="H646" s="53"/>
      <c r="I646" s="53"/>
      <c r="J646" s="47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9.5" customHeight="1">
      <c r="A647" s="49"/>
      <c r="B647" s="50"/>
      <c r="C647" s="50"/>
      <c r="D647" s="50"/>
      <c r="E647" s="50"/>
      <c r="F647" s="51"/>
      <c r="G647" s="50"/>
      <c r="H647" s="50"/>
      <c r="I647" s="50"/>
      <c r="J647" s="47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9.5" customHeight="1">
      <c r="A648" s="52"/>
      <c r="B648" s="53"/>
      <c r="C648" s="53"/>
      <c r="D648" s="53"/>
      <c r="E648" s="53"/>
      <c r="F648" s="61"/>
      <c r="G648" s="53"/>
      <c r="H648" s="53"/>
      <c r="I648" s="53"/>
      <c r="J648" s="47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9.5" customHeight="1">
      <c r="A649" s="49"/>
      <c r="B649" s="50"/>
      <c r="C649" s="50"/>
      <c r="D649" s="50"/>
      <c r="E649" s="50"/>
      <c r="F649" s="51"/>
      <c r="G649" s="50"/>
      <c r="H649" s="50"/>
      <c r="I649" s="50"/>
      <c r="J649" s="47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9.5" customHeight="1">
      <c r="A650" s="52"/>
      <c r="B650" s="53"/>
      <c r="C650" s="53"/>
      <c r="D650" s="53"/>
      <c r="E650" s="53"/>
      <c r="F650" s="61"/>
      <c r="G650" s="53"/>
      <c r="H650" s="53"/>
      <c r="I650" s="53"/>
      <c r="J650" s="47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9.5" customHeight="1">
      <c r="A651" s="49"/>
      <c r="B651" s="50"/>
      <c r="C651" s="50"/>
      <c r="D651" s="50"/>
      <c r="E651" s="50"/>
      <c r="F651" s="51"/>
      <c r="G651" s="50"/>
      <c r="H651" s="50"/>
      <c r="I651" s="50"/>
      <c r="J651" s="47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9.5" customHeight="1">
      <c r="A652" s="52"/>
      <c r="B652" s="53"/>
      <c r="C652" s="53"/>
      <c r="D652" s="53"/>
      <c r="E652" s="53"/>
      <c r="F652" s="61"/>
      <c r="G652" s="53"/>
      <c r="H652" s="53"/>
      <c r="I652" s="53"/>
      <c r="J652" s="47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9.5" customHeight="1">
      <c r="A653" s="49"/>
      <c r="B653" s="50"/>
      <c r="C653" s="50"/>
      <c r="D653" s="50"/>
      <c r="E653" s="50"/>
      <c r="F653" s="51"/>
      <c r="G653" s="50"/>
      <c r="H653" s="50"/>
      <c r="I653" s="50"/>
      <c r="J653" s="47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9.5" customHeight="1">
      <c r="A654" s="52"/>
      <c r="B654" s="53"/>
      <c r="C654" s="53"/>
      <c r="D654" s="53"/>
      <c r="E654" s="53"/>
      <c r="F654" s="61"/>
      <c r="G654" s="53"/>
      <c r="H654" s="53"/>
      <c r="I654" s="53"/>
      <c r="J654" s="47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9.5" customHeight="1">
      <c r="A655" s="49"/>
      <c r="B655" s="50"/>
      <c r="C655" s="50"/>
      <c r="D655" s="50"/>
      <c r="E655" s="50"/>
      <c r="F655" s="51"/>
      <c r="G655" s="50"/>
      <c r="H655" s="50"/>
      <c r="I655" s="50"/>
      <c r="J655" s="47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9.5" customHeight="1">
      <c r="A656" s="52"/>
      <c r="B656" s="53"/>
      <c r="C656" s="53"/>
      <c r="D656" s="53"/>
      <c r="E656" s="53"/>
      <c r="F656" s="61"/>
      <c r="G656" s="53"/>
      <c r="H656" s="53"/>
      <c r="I656" s="53"/>
      <c r="J656" s="47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9.5" customHeight="1">
      <c r="A657" s="49"/>
      <c r="B657" s="50"/>
      <c r="C657" s="50"/>
      <c r="D657" s="50"/>
      <c r="E657" s="50"/>
      <c r="F657" s="51"/>
      <c r="G657" s="50"/>
      <c r="H657" s="50"/>
      <c r="I657" s="50"/>
      <c r="J657" s="47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9.5" customHeight="1">
      <c r="A658" s="52"/>
      <c r="B658" s="53"/>
      <c r="C658" s="53"/>
      <c r="D658" s="53"/>
      <c r="E658" s="53"/>
      <c r="F658" s="61"/>
      <c r="G658" s="53"/>
      <c r="H658" s="53"/>
      <c r="I658" s="53"/>
      <c r="J658" s="47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9.5" customHeight="1">
      <c r="A659" s="49"/>
      <c r="B659" s="50"/>
      <c r="C659" s="50"/>
      <c r="D659" s="50"/>
      <c r="E659" s="50"/>
      <c r="F659" s="51"/>
      <c r="G659" s="50"/>
      <c r="H659" s="50"/>
      <c r="I659" s="50"/>
      <c r="J659" s="47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9.5" customHeight="1">
      <c r="A660" s="52"/>
      <c r="B660" s="53"/>
      <c r="C660" s="53"/>
      <c r="D660" s="53"/>
      <c r="E660" s="53"/>
      <c r="F660" s="61"/>
      <c r="G660" s="53"/>
      <c r="H660" s="53"/>
      <c r="I660" s="53"/>
      <c r="J660" s="47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9.5" customHeight="1">
      <c r="A661" s="49"/>
      <c r="B661" s="50"/>
      <c r="C661" s="50"/>
      <c r="D661" s="50"/>
      <c r="E661" s="50"/>
      <c r="F661" s="51"/>
      <c r="G661" s="50"/>
      <c r="H661" s="50"/>
      <c r="I661" s="50"/>
      <c r="J661" s="47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9.5" customHeight="1">
      <c r="A662" s="52"/>
      <c r="B662" s="53"/>
      <c r="C662" s="53"/>
      <c r="D662" s="53"/>
      <c r="E662" s="53"/>
      <c r="F662" s="61"/>
      <c r="G662" s="53"/>
      <c r="H662" s="53"/>
      <c r="I662" s="53"/>
      <c r="J662" s="47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9.5" customHeight="1">
      <c r="A663" s="49"/>
      <c r="B663" s="50"/>
      <c r="C663" s="50"/>
      <c r="D663" s="50"/>
      <c r="E663" s="50"/>
      <c r="F663" s="51"/>
      <c r="G663" s="50"/>
      <c r="H663" s="50"/>
      <c r="I663" s="50"/>
      <c r="J663" s="47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9.5" customHeight="1">
      <c r="A664" s="52"/>
      <c r="B664" s="53"/>
      <c r="C664" s="53"/>
      <c r="D664" s="53"/>
      <c r="E664" s="53"/>
      <c r="F664" s="61"/>
      <c r="G664" s="53"/>
      <c r="H664" s="53"/>
      <c r="I664" s="53"/>
      <c r="J664" s="47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9.5" customHeight="1">
      <c r="A665" s="49"/>
      <c r="B665" s="50"/>
      <c r="C665" s="50"/>
      <c r="D665" s="50"/>
      <c r="E665" s="50"/>
      <c r="F665" s="51"/>
      <c r="G665" s="50"/>
      <c r="H665" s="50"/>
      <c r="I665" s="50"/>
      <c r="J665" s="47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9.5" customHeight="1">
      <c r="A666" s="52"/>
      <c r="B666" s="53"/>
      <c r="C666" s="53"/>
      <c r="D666" s="53"/>
      <c r="E666" s="53"/>
      <c r="F666" s="61"/>
      <c r="G666" s="53"/>
      <c r="H666" s="53"/>
      <c r="I666" s="53"/>
      <c r="J666" s="47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9.5" customHeight="1">
      <c r="A667" s="49"/>
      <c r="B667" s="50"/>
      <c r="C667" s="50"/>
      <c r="D667" s="50"/>
      <c r="E667" s="50"/>
      <c r="F667" s="51"/>
      <c r="G667" s="50"/>
      <c r="H667" s="50"/>
      <c r="I667" s="50"/>
      <c r="J667" s="47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9.5" customHeight="1">
      <c r="A668" s="52"/>
      <c r="B668" s="53"/>
      <c r="C668" s="53"/>
      <c r="D668" s="53"/>
      <c r="E668" s="53"/>
      <c r="F668" s="61"/>
      <c r="G668" s="53"/>
      <c r="H668" s="53"/>
      <c r="I668" s="53"/>
      <c r="J668" s="47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9.5" customHeight="1">
      <c r="A669" s="49"/>
      <c r="B669" s="50"/>
      <c r="C669" s="50"/>
      <c r="D669" s="50"/>
      <c r="E669" s="50"/>
      <c r="F669" s="51"/>
      <c r="G669" s="50"/>
      <c r="H669" s="50"/>
      <c r="I669" s="50"/>
      <c r="J669" s="47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9.5" customHeight="1">
      <c r="A670" s="52"/>
      <c r="B670" s="53"/>
      <c r="C670" s="53"/>
      <c r="D670" s="53"/>
      <c r="E670" s="53"/>
      <c r="F670" s="61"/>
      <c r="G670" s="53"/>
      <c r="H670" s="53"/>
      <c r="I670" s="53"/>
      <c r="J670" s="47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9.5" customHeight="1">
      <c r="A671" s="49"/>
      <c r="B671" s="50"/>
      <c r="C671" s="50"/>
      <c r="D671" s="50"/>
      <c r="E671" s="50"/>
      <c r="F671" s="51"/>
      <c r="G671" s="50"/>
      <c r="H671" s="50"/>
      <c r="I671" s="50"/>
      <c r="J671" s="47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9.5" customHeight="1">
      <c r="A672" s="52"/>
      <c r="B672" s="53"/>
      <c r="C672" s="53"/>
      <c r="D672" s="53"/>
      <c r="E672" s="53"/>
      <c r="F672" s="61"/>
      <c r="G672" s="53"/>
      <c r="H672" s="53"/>
      <c r="I672" s="53"/>
      <c r="J672" s="47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9.5" customHeight="1">
      <c r="A673" s="49"/>
      <c r="B673" s="50"/>
      <c r="C673" s="50"/>
      <c r="D673" s="50"/>
      <c r="E673" s="50"/>
      <c r="F673" s="51"/>
      <c r="G673" s="50"/>
      <c r="H673" s="50"/>
      <c r="I673" s="50"/>
      <c r="J673" s="47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9.5" customHeight="1">
      <c r="A674" s="52"/>
      <c r="B674" s="53"/>
      <c r="C674" s="53"/>
      <c r="D674" s="53"/>
      <c r="E674" s="53"/>
      <c r="F674" s="61"/>
      <c r="G674" s="53"/>
      <c r="H674" s="53"/>
      <c r="I674" s="53"/>
      <c r="J674" s="47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9.5" customHeight="1">
      <c r="A675" s="49"/>
      <c r="B675" s="50"/>
      <c r="C675" s="50"/>
      <c r="D675" s="50"/>
      <c r="E675" s="50"/>
      <c r="F675" s="51"/>
      <c r="G675" s="50"/>
      <c r="H675" s="50"/>
      <c r="I675" s="50"/>
      <c r="J675" s="47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9.5" customHeight="1">
      <c r="A676" s="52"/>
      <c r="B676" s="53"/>
      <c r="C676" s="53"/>
      <c r="D676" s="53"/>
      <c r="E676" s="53"/>
      <c r="F676" s="61"/>
      <c r="G676" s="53"/>
      <c r="H676" s="53"/>
      <c r="I676" s="53"/>
      <c r="J676" s="47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9.5" customHeight="1">
      <c r="A677" s="49"/>
      <c r="B677" s="50"/>
      <c r="C677" s="50"/>
      <c r="D677" s="50"/>
      <c r="E677" s="50"/>
      <c r="F677" s="51"/>
      <c r="G677" s="50"/>
      <c r="H677" s="50"/>
      <c r="I677" s="50"/>
      <c r="J677" s="47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9.5" customHeight="1">
      <c r="A678" s="52"/>
      <c r="B678" s="53"/>
      <c r="C678" s="53"/>
      <c r="D678" s="53"/>
      <c r="E678" s="53"/>
      <c r="F678" s="61"/>
      <c r="G678" s="53"/>
      <c r="H678" s="53"/>
      <c r="I678" s="53"/>
      <c r="J678" s="47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9.5" customHeight="1">
      <c r="A679" s="49"/>
      <c r="B679" s="50"/>
      <c r="C679" s="50"/>
      <c r="D679" s="50"/>
      <c r="E679" s="50"/>
      <c r="F679" s="51"/>
      <c r="G679" s="50"/>
      <c r="H679" s="50"/>
      <c r="I679" s="50"/>
      <c r="J679" s="47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9.5" customHeight="1">
      <c r="A680" s="52"/>
      <c r="B680" s="53"/>
      <c r="C680" s="53"/>
      <c r="D680" s="53"/>
      <c r="E680" s="53"/>
      <c r="F680" s="61"/>
      <c r="G680" s="53"/>
      <c r="H680" s="53"/>
      <c r="I680" s="53"/>
      <c r="J680" s="47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9.5" customHeight="1">
      <c r="A681" s="49"/>
      <c r="B681" s="50"/>
      <c r="C681" s="50"/>
      <c r="D681" s="50"/>
      <c r="E681" s="50"/>
      <c r="F681" s="51"/>
      <c r="G681" s="50"/>
      <c r="H681" s="50"/>
      <c r="I681" s="50"/>
      <c r="J681" s="47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9.5" customHeight="1">
      <c r="A682" s="52"/>
      <c r="B682" s="53"/>
      <c r="C682" s="53"/>
      <c r="D682" s="53"/>
      <c r="E682" s="53"/>
      <c r="F682" s="61"/>
      <c r="G682" s="53"/>
      <c r="H682" s="53"/>
      <c r="I682" s="53"/>
      <c r="J682" s="47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9.5" customHeight="1">
      <c r="A683" s="49"/>
      <c r="B683" s="50"/>
      <c r="C683" s="50"/>
      <c r="D683" s="50"/>
      <c r="E683" s="50"/>
      <c r="F683" s="51"/>
      <c r="G683" s="50"/>
      <c r="H683" s="50"/>
      <c r="I683" s="50"/>
      <c r="J683" s="47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9.5" customHeight="1">
      <c r="A684" s="52"/>
      <c r="B684" s="53"/>
      <c r="C684" s="53"/>
      <c r="D684" s="53"/>
      <c r="E684" s="53"/>
      <c r="F684" s="61"/>
      <c r="G684" s="53"/>
      <c r="H684" s="53"/>
      <c r="I684" s="53"/>
      <c r="J684" s="47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9.5" customHeight="1">
      <c r="A685" s="49"/>
      <c r="B685" s="50"/>
      <c r="C685" s="50"/>
      <c r="D685" s="50"/>
      <c r="E685" s="50"/>
      <c r="F685" s="51"/>
      <c r="G685" s="50"/>
      <c r="H685" s="50"/>
      <c r="I685" s="50"/>
      <c r="J685" s="47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9.5" customHeight="1">
      <c r="A686" s="52"/>
      <c r="B686" s="53"/>
      <c r="C686" s="53"/>
      <c r="D686" s="53"/>
      <c r="E686" s="53"/>
      <c r="F686" s="61"/>
      <c r="G686" s="53"/>
      <c r="H686" s="53"/>
      <c r="I686" s="53"/>
      <c r="J686" s="47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9.5" customHeight="1">
      <c r="A687" s="49"/>
      <c r="B687" s="50"/>
      <c r="C687" s="50"/>
      <c r="D687" s="50"/>
      <c r="E687" s="50"/>
      <c r="F687" s="51"/>
      <c r="G687" s="50"/>
      <c r="H687" s="50"/>
      <c r="I687" s="50"/>
      <c r="J687" s="47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9.5" customHeight="1">
      <c r="A688" s="52"/>
      <c r="B688" s="53"/>
      <c r="C688" s="53"/>
      <c r="D688" s="53"/>
      <c r="E688" s="53"/>
      <c r="F688" s="61"/>
      <c r="G688" s="53"/>
      <c r="H688" s="53"/>
      <c r="I688" s="53"/>
      <c r="J688" s="47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9.5" customHeight="1">
      <c r="A689" s="49"/>
      <c r="B689" s="50"/>
      <c r="C689" s="50"/>
      <c r="D689" s="50"/>
      <c r="E689" s="50"/>
      <c r="F689" s="51"/>
      <c r="G689" s="50"/>
      <c r="H689" s="50"/>
      <c r="I689" s="50"/>
      <c r="J689" s="47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9.5" customHeight="1">
      <c r="A690" s="52"/>
      <c r="B690" s="53"/>
      <c r="C690" s="53"/>
      <c r="D690" s="53"/>
      <c r="E690" s="53"/>
      <c r="F690" s="61"/>
      <c r="G690" s="53"/>
      <c r="H690" s="53"/>
      <c r="I690" s="53"/>
      <c r="J690" s="47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9.5" customHeight="1">
      <c r="A691" s="49"/>
      <c r="B691" s="50"/>
      <c r="C691" s="50"/>
      <c r="D691" s="50"/>
      <c r="E691" s="50"/>
      <c r="F691" s="51"/>
      <c r="G691" s="50"/>
      <c r="H691" s="50"/>
      <c r="I691" s="50"/>
      <c r="J691" s="47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9.5" customHeight="1">
      <c r="A692" s="52"/>
      <c r="B692" s="53"/>
      <c r="C692" s="53"/>
      <c r="D692" s="53"/>
      <c r="E692" s="53"/>
      <c r="F692" s="61"/>
      <c r="G692" s="53"/>
      <c r="H692" s="53"/>
      <c r="I692" s="53"/>
      <c r="J692" s="47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9.5" customHeight="1">
      <c r="A693" s="49"/>
      <c r="B693" s="50"/>
      <c r="C693" s="50"/>
      <c r="D693" s="50"/>
      <c r="E693" s="50"/>
      <c r="F693" s="51"/>
      <c r="G693" s="50"/>
      <c r="H693" s="50"/>
      <c r="I693" s="50"/>
      <c r="J693" s="47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9.5" customHeight="1">
      <c r="A694" s="52"/>
      <c r="B694" s="53"/>
      <c r="C694" s="53"/>
      <c r="D694" s="53"/>
      <c r="E694" s="53"/>
      <c r="F694" s="61"/>
      <c r="G694" s="53"/>
      <c r="H694" s="53"/>
      <c r="I694" s="53"/>
      <c r="J694" s="47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9.5" customHeight="1">
      <c r="A695" s="49"/>
      <c r="B695" s="50"/>
      <c r="C695" s="50"/>
      <c r="D695" s="50"/>
      <c r="E695" s="50"/>
      <c r="F695" s="51"/>
      <c r="G695" s="50"/>
      <c r="H695" s="50"/>
      <c r="I695" s="50"/>
      <c r="J695" s="47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9.5" customHeight="1">
      <c r="A696" s="52"/>
      <c r="B696" s="53"/>
      <c r="C696" s="53"/>
      <c r="D696" s="53"/>
      <c r="E696" s="53"/>
      <c r="F696" s="61"/>
      <c r="G696" s="53"/>
      <c r="H696" s="53"/>
      <c r="I696" s="53"/>
      <c r="J696" s="47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9.5" customHeight="1">
      <c r="A697" s="49"/>
      <c r="B697" s="50"/>
      <c r="C697" s="50"/>
      <c r="D697" s="50"/>
      <c r="E697" s="50"/>
      <c r="F697" s="51"/>
      <c r="G697" s="50"/>
      <c r="H697" s="50"/>
      <c r="I697" s="50"/>
      <c r="J697" s="47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9.5" customHeight="1">
      <c r="A698" s="52"/>
      <c r="B698" s="53"/>
      <c r="C698" s="53"/>
      <c r="D698" s="53"/>
      <c r="E698" s="53"/>
      <c r="F698" s="61"/>
      <c r="G698" s="53"/>
      <c r="H698" s="53"/>
      <c r="I698" s="53"/>
      <c r="J698" s="47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9.5" customHeight="1">
      <c r="A699" s="49"/>
      <c r="B699" s="50"/>
      <c r="C699" s="50"/>
      <c r="D699" s="50"/>
      <c r="E699" s="50"/>
      <c r="F699" s="51"/>
      <c r="G699" s="50"/>
      <c r="H699" s="50"/>
      <c r="I699" s="50"/>
      <c r="J699" s="47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9.5" customHeight="1">
      <c r="A700" s="52"/>
      <c r="B700" s="53"/>
      <c r="C700" s="53"/>
      <c r="D700" s="53"/>
      <c r="E700" s="53"/>
      <c r="F700" s="61"/>
      <c r="G700" s="53"/>
      <c r="H700" s="53"/>
      <c r="I700" s="53"/>
      <c r="J700" s="47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9.5" customHeight="1">
      <c r="A701" s="49"/>
      <c r="B701" s="50"/>
      <c r="C701" s="50"/>
      <c r="D701" s="50"/>
      <c r="E701" s="50"/>
      <c r="F701" s="51"/>
      <c r="G701" s="50"/>
      <c r="H701" s="50"/>
      <c r="I701" s="50"/>
      <c r="J701" s="47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9.5" customHeight="1">
      <c r="A702" s="52"/>
      <c r="B702" s="53"/>
      <c r="C702" s="53"/>
      <c r="D702" s="53"/>
      <c r="E702" s="53"/>
      <c r="F702" s="61"/>
      <c r="G702" s="53"/>
      <c r="H702" s="53"/>
      <c r="I702" s="53"/>
      <c r="J702" s="47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9.5" customHeight="1">
      <c r="A703" s="49"/>
      <c r="B703" s="50"/>
      <c r="C703" s="50"/>
      <c r="D703" s="50"/>
      <c r="E703" s="50"/>
      <c r="F703" s="51"/>
      <c r="G703" s="50"/>
      <c r="H703" s="50"/>
      <c r="I703" s="50"/>
      <c r="J703" s="47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9.5" customHeight="1">
      <c r="A704" s="52"/>
      <c r="B704" s="53"/>
      <c r="C704" s="53"/>
      <c r="D704" s="53"/>
      <c r="E704" s="53"/>
      <c r="F704" s="61"/>
      <c r="G704" s="53"/>
      <c r="H704" s="53"/>
      <c r="I704" s="53"/>
      <c r="J704" s="47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9.5" customHeight="1">
      <c r="A705" s="49"/>
      <c r="B705" s="50"/>
      <c r="C705" s="50"/>
      <c r="D705" s="50"/>
      <c r="E705" s="50"/>
      <c r="F705" s="51"/>
      <c r="G705" s="50"/>
      <c r="H705" s="50"/>
      <c r="I705" s="50"/>
      <c r="J705" s="47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9.5" customHeight="1">
      <c r="A706" s="52"/>
      <c r="B706" s="53"/>
      <c r="C706" s="53"/>
      <c r="D706" s="53"/>
      <c r="E706" s="53"/>
      <c r="F706" s="61"/>
      <c r="G706" s="53"/>
      <c r="H706" s="53"/>
      <c r="I706" s="53"/>
      <c r="J706" s="47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9.5" customHeight="1">
      <c r="A707" s="49"/>
      <c r="B707" s="50"/>
      <c r="C707" s="50"/>
      <c r="D707" s="50"/>
      <c r="E707" s="50"/>
      <c r="F707" s="51"/>
      <c r="G707" s="50"/>
      <c r="H707" s="50"/>
      <c r="I707" s="50"/>
      <c r="J707" s="47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9.5" customHeight="1">
      <c r="A708" s="52"/>
      <c r="B708" s="53"/>
      <c r="C708" s="53"/>
      <c r="D708" s="53"/>
      <c r="E708" s="53"/>
      <c r="F708" s="61"/>
      <c r="G708" s="53"/>
      <c r="H708" s="53"/>
      <c r="I708" s="53"/>
      <c r="J708" s="47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9.5" customHeight="1">
      <c r="A709" s="49"/>
      <c r="B709" s="50"/>
      <c r="C709" s="50"/>
      <c r="D709" s="50"/>
      <c r="E709" s="50"/>
      <c r="F709" s="51"/>
      <c r="G709" s="50"/>
      <c r="H709" s="50"/>
      <c r="I709" s="50"/>
      <c r="J709" s="47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9.5" customHeight="1">
      <c r="A710" s="52"/>
      <c r="B710" s="53"/>
      <c r="C710" s="53"/>
      <c r="D710" s="53"/>
      <c r="E710" s="53"/>
      <c r="F710" s="61"/>
      <c r="G710" s="53"/>
      <c r="H710" s="53"/>
      <c r="I710" s="53"/>
      <c r="J710" s="47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9.5" customHeight="1">
      <c r="A711" s="49"/>
      <c r="B711" s="50"/>
      <c r="C711" s="50"/>
      <c r="D711" s="50"/>
      <c r="E711" s="50"/>
      <c r="F711" s="51"/>
      <c r="G711" s="50"/>
      <c r="H711" s="50"/>
      <c r="I711" s="50"/>
      <c r="J711" s="47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9.5" customHeight="1">
      <c r="A712" s="52"/>
      <c r="B712" s="53"/>
      <c r="C712" s="53"/>
      <c r="D712" s="53"/>
      <c r="E712" s="53"/>
      <c r="F712" s="61"/>
      <c r="G712" s="53"/>
      <c r="H712" s="53"/>
      <c r="I712" s="53"/>
      <c r="J712" s="47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9.5" customHeight="1">
      <c r="A713" s="49"/>
      <c r="B713" s="50"/>
      <c r="C713" s="50"/>
      <c r="D713" s="50"/>
      <c r="E713" s="50"/>
      <c r="F713" s="51"/>
      <c r="G713" s="50"/>
      <c r="H713" s="50"/>
      <c r="I713" s="50"/>
      <c r="J713" s="47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9.5" customHeight="1">
      <c r="A714" s="52"/>
      <c r="B714" s="53"/>
      <c r="C714" s="53"/>
      <c r="D714" s="53"/>
      <c r="E714" s="53"/>
      <c r="F714" s="61"/>
      <c r="G714" s="53"/>
      <c r="H714" s="53"/>
      <c r="I714" s="53"/>
      <c r="J714" s="47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9.5" customHeight="1">
      <c r="A715" s="49"/>
      <c r="B715" s="50"/>
      <c r="C715" s="50"/>
      <c r="D715" s="50"/>
      <c r="E715" s="50"/>
      <c r="F715" s="51"/>
      <c r="G715" s="50"/>
      <c r="H715" s="50"/>
      <c r="I715" s="50"/>
      <c r="J715" s="47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9.5" customHeight="1">
      <c r="A716" s="52"/>
      <c r="B716" s="53"/>
      <c r="C716" s="53"/>
      <c r="D716" s="53"/>
      <c r="E716" s="53"/>
      <c r="F716" s="61"/>
      <c r="G716" s="53"/>
      <c r="H716" s="53"/>
      <c r="I716" s="53"/>
      <c r="J716" s="47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9.5" customHeight="1">
      <c r="A717" s="49"/>
      <c r="B717" s="50"/>
      <c r="C717" s="50"/>
      <c r="D717" s="50"/>
      <c r="E717" s="50"/>
      <c r="F717" s="51"/>
      <c r="G717" s="50"/>
      <c r="H717" s="50"/>
      <c r="I717" s="50"/>
      <c r="J717" s="47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9.5" customHeight="1">
      <c r="A718" s="52"/>
      <c r="B718" s="53"/>
      <c r="C718" s="53"/>
      <c r="D718" s="53"/>
      <c r="E718" s="53"/>
      <c r="F718" s="61"/>
      <c r="G718" s="53"/>
      <c r="H718" s="53"/>
      <c r="I718" s="53"/>
      <c r="J718" s="47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9.5" customHeight="1">
      <c r="A719" s="49"/>
      <c r="B719" s="50"/>
      <c r="C719" s="50"/>
      <c r="D719" s="50"/>
      <c r="E719" s="50"/>
      <c r="F719" s="51"/>
      <c r="G719" s="50"/>
      <c r="H719" s="50"/>
      <c r="I719" s="50"/>
      <c r="J719" s="47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9.5" customHeight="1">
      <c r="A720" s="52"/>
      <c r="B720" s="53"/>
      <c r="C720" s="53"/>
      <c r="D720" s="53"/>
      <c r="E720" s="53"/>
      <c r="F720" s="61"/>
      <c r="G720" s="53"/>
      <c r="H720" s="53"/>
      <c r="I720" s="53"/>
      <c r="J720" s="47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9.5" customHeight="1">
      <c r="A721" s="49"/>
      <c r="B721" s="50"/>
      <c r="C721" s="50"/>
      <c r="D721" s="50"/>
      <c r="E721" s="50"/>
      <c r="F721" s="51"/>
      <c r="G721" s="50"/>
      <c r="H721" s="50"/>
      <c r="I721" s="50"/>
      <c r="J721" s="47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9.5" customHeight="1">
      <c r="A722" s="52"/>
      <c r="B722" s="53"/>
      <c r="C722" s="53"/>
      <c r="D722" s="53"/>
      <c r="E722" s="53"/>
      <c r="F722" s="61"/>
      <c r="G722" s="53"/>
      <c r="H722" s="53"/>
      <c r="I722" s="53"/>
      <c r="J722" s="47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9.5" customHeight="1">
      <c r="A723" s="49"/>
      <c r="B723" s="50"/>
      <c r="C723" s="50"/>
      <c r="D723" s="50"/>
      <c r="E723" s="50"/>
      <c r="F723" s="51"/>
      <c r="G723" s="50"/>
      <c r="H723" s="50"/>
      <c r="I723" s="50"/>
      <c r="J723" s="47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9.5" customHeight="1">
      <c r="A724" s="52"/>
      <c r="B724" s="53"/>
      <c r="C724" s="53"/>
      <c r="D724" s="53"/>
      <c r="E724" s="53"/>
      <c r="F724" s="61"/>
      <c r="G724" s="53"/>
      <c r="H724" s="53"/>
      <c r="I724" s="53"/>
      <c r="J724" s="47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9.5" customHeight="1">
      <c r="A725" s="49"/>
      <c r="B725" s="50"/>
      <c r="C725" s="50"/>
      <c r="D725" s="50"/>
      <c r="E725" s="50"/>
      <c r="F725" s="51"/>
      <c r="G725" s="50"/>
      <c r="H725" s="50"/>
      <c r="I725" s="50"/>
      <c r="J725" s="47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9.5" customHeight="1">
      <c r="A726" s="52"/>
      <c r="B726" s="53"/>
      <c r="C726" s="53"/>
      <c r="D726" s="53"/>
      <c r="E726" s="53"/>
      <c r="F726" s="61"/>
      <c r="G726" s="53"/>
      <c r="H726" s="53"/>
      <c r="I726" s="53"/>
      <c r="J726" s="47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9.5" customHeight="1">
      <c r="A727" s="49"/>
      <c r="B727" s="50"/>
      <c r="C727" s="50"/>
      <c r="D727" s="50"/>
      <c r="E727" s="50"/>
      <c r="F727" s="51"/>
      <c r="G727" s="50"/>
      <c r="H727" s="50"/>
      <c r="I727" s="50"/>
      <c r="J727" s="47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9.5" customHeight="1">
      <c r="A728" s="52"/>
      <c r="B728" s="53"/>
      <c r="C728" s="53"/>
      <c r="D728" s="53"/>
      <c r="E728" s="53"/>
      <c r="F728" s="61"/>
      <c r="G728" s="53"/>
      <c r="H728" s="53"/>
      <c r="I728" s="53"/>
      <c r="J728" s="47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9.5" customHeight="1">
      <c r="A729" s="49"/>
      <c r="B729" s="50"/>
      <c r="C729" s="50"/>
      <c r="D729" s="50"/>
      <c r="E729" s="50"/>
      <c r="F729" s="51"/>
      <c r="G729" s="50"/>
      <c r="H729" s="50"/>
      <c r="I729" s="50"/>
      <c r="J729" s="47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9.5" customHeight="1">
      <c r="A730" s="52"/>
      <c r="B730" s="53"/>
      <c r="C730" s="53"/>
      <c r="D730" s="53"/>
      <c r="E730" s="53"/>
      <c r="F730" s="61"/>
      <c r="G730" s="53"/>
      <c r="H730" s="53"/>
      <c r="I730" s="53"/>
      <c r="J730" s="47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9.5" customHeight="1">
      <c r="A731" s="49"/>
      <c r="B731" s="50"/>
      <c r="C731" s="50"/>
      <c r="D731" s="50"/>
      <c r="E731" s="50"/>
      <c r="F731" s="51"/>
      <c r="G731" s="50"/>
      <c r="H731" s="50"/>
      <c r="I731" s="50"/>
      <c r="J731" s="47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9.5" customHeight="1">
      <c r="A732" s="52"/>
      <c r="B732" s="53"/>
      <c r="C732" s="53"/>
      <c r="D732" s="53"/>
      <c r="E732" s="53"/>
      <c r="F732" s="61"/>
      <c r="G732" s="53"/>
      <c r="H732" s="53"/>
      <c r="I732" s="53"/>
      <c r="J732" s="47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9.5" customHeight="1">
      <c r="A733" s="49"/>
      <c r="B733" s="50"/>
      <c r="C733" s="50"/>
      <c r="D733" s="50"/>
      <c r="E733" s="50"/>
      <c r="F733" s="51"/>
      <c r="G733" s="50"/>
      <c r="H733" s="50"/>
      <c r="I733" s="50"/>
      <c r="J733" s="47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9.5" customHeight="1">
      <c r="A734" s="52"/>
      <c r="B734" s="53"/>
      <c r="C734" s="53"/>
      <c r="D734" s="53"/>
      <c r="E734" s="53"/>
      <c r="F734" s="61"/>
      <c r="G734" s="53"/>
      <c r="H734" s="53"/>
      <c r="I734" s="53"/>
      <c r="J734" s="47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9.5" customHeight="1">
      <c r="A735" s="49"/>
      <c r="B735" s="50"/>
      <c r="C735" s="50"/>
      <c r="D735" s="50"/>
      <c r="E735" s="50"/>
      <c r="F735" s="51"/>
      <c r="G735" s="50"/>
      <c r="H735" s="50"/>
      <c r="I735" s="50"/>
      <c r="J735" s="47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9.5" customHeight="1">
      <c r="A736" s="52"/>
      <c r="B736" s="53"/>
      <c r="C736" s="53"/>
      <c r="D736" s="53"/>
      <c r="E736" s="53"/>
      <c r="F736" s="61"/>
      <c r="G736" s="53"/>
      <c r="H736" s="53"/>
      <c r="I736" s="53"/>
      <c r="J736" s="47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9.5" customHeight="1">
      <c r="A737" s="49"/>
      <c r="B737" s="50"/>
      <c r="C737" s="50"/>
      <c r="D737" s="50"/>
      <c r="E737" s="50"/>
      <c r="F737" s="51"/>
      <c r="G737" s="50"/>
      <c r="H737" s="50"/>
      <c r="I737" s="50"/>
      <c r="J737" s="47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9.5" customHeight="1">
      <c r="A738" s="52"/>
      <c r="B738" s="53"/>
      <c r="C738" s="53"/>
      <c r="D738" s="53"/>
      <c r="E738" s="53"/>
      <c r="F738" s="61"/>
      <c r="G738" s="53"/>
      <c r="H738" s="53"/>
      <c r="I738" s="53"/>
      <c r="J738" s="47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9.5" customHeight="1">
      <c r="A739" s="49"/>
      <c r="B739" s="50"/>
      <c r="C739" s="50"/>
      <c r="D739" s="50"/>
      <c r="E739" s="50"/>
      <c r="F739" s="51"/>
      <c r="G739" s="50"/>
      <c r="H739" s="50"/>
      <c r="I739" s="50"/>
      <c r="J739" s="47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9.5" customHeight="1">
      <c r="A740" s="52"/>
      <c r="B740" s="53"/>
      <c r="C740" s="53"/>
      <c r="D740" s="53"/>
      <c r="E740" s="53"/>
      <c r="F740" s="61"/>
      <c r="G740" s="53"/>
      <c r="H740" s="53"/>
      <c r="I740" s="53"/>
      <c r="J740" s="47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9.5" customHeight="1">
      <c r="A741" s="49"/>
      <c r="B741" s="50"/>
      <c r="C741" s="50"/>
      <c r="D741" s="50"/>
      <c r="E741" s="50"/>
      <c r="F741" s="51"/>
      <c r="G741" s="50"/>
      <c r="H741" s="50"/>
      <c r="I741" s="50"/>
      <c r="J741" s="47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9.5" customHeight="1">
      <c r="A742" s="52"/>
      <c r="B742" s="53"/>
      <c r="C742" s="53"/>
      <c r="D742" s="53"/>
      <c r="E742" s="53"/>
      <c r="F742" s="61"/>
      <c r="G742" s="53"/>
      <c r="H742" s="53"/>
      <c r="I742" s="53"/>
      <c r="J742" s="47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9.5" customHeight="1">
      <c r="A743" s="49"/>
      <c r="B743" s="50"/>
      <c r="C743" s="50"/>
      <c r="D743" s="50"/>
      <c r="E743" s="50"/>
      <c r="F743" s="51"/>
      <c r="G743" s="50"/>
      <c r="H743" s="50"/>
      <c r="I743" s="50"/>
      <c r="J743" s="47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9.5" customHeight="1">
      <c r="A744" s="52"/>
      <c r="B744" s="53"/>
      <c r="C744" s="53"/>
      <c r="D744" s="53"/>
      <c r="E744" s="53"/>
      <c r="F744" s="61"/>
      <c r="G744" s="53"/>
      <c r="H744" s="53"/>
      <c r="I744" s="53"/>
      <c r="J744" s="47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9.5" customHeight="1">
      <c r="A745" s="49"/>
      <c r="B745" s="50"/>
      <c r="C745" s="50"/>
      <c r="D745" s="50"/>
      <c r="E745" s="50"/>
      <c r="F745" s="51"/>
      <c r="G745" s="50"/>
      <c r="H745" s="50"/>
      <c r="I745" s="50"/>
      <c r="J745" s="47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9.5" customHeight="1">
      <c r="A746" s="52"/>
      <c r="B746" s="53"/>
      <c r="C746" s="53"/>
      <c r="D746" s="53"/>
      <c r="E746" s="53"/>
      <c r="F746" s="61"/>
      <c r="G746" s="53"/>
      <c r="H746" s="53"/>
      <c r="I746" s="53"/>
      <c r="J746" s="47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9.5" customHeight="1">
      <c r="A747" s="49"/>
      <c r="B747" s="50"/>
      <c r="C747" s="50"/>
      <c r="D747" s="50"/>
      <c r="E747" s="50"/>
      <c r="F747" s="51"/>
      <c r="G747" s="50"/>
      <c r="H747" s="50"/>
      <c r="I747" s="50"/>
      <c r="J747" s="47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9.5" customHeight="1">
      <c r="A748" s="52"/>
      <c r="B748" s="53"/>
      <c r="C748" s="53"/>
      <c r="D748" s="53"/>
      <c r="E748" s="53"/>
      <c r="F748" s="61"/>
      <c r="G748" s="53"/>
      <c r="H748" s="53"/>
      <c r="I748" s="53"/>
      <c r="J748" s="47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9.5" customHeight="1">
      <c r="A749" s="49"/>
      <c r="B749" s="50"/>
      <c r="C749" s="50"/>
      <c r="D749" s="50"/>
      <c r="E749" s="50"/>
      <c r="F749" s="51"/>
      <c r="G749" s="50"/>
      <c r="H749" s="50"/>
      <c r="I749" s="50"/>
      <c r="J749" s="47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9.5" customHeight="1">
      <c r="A750" s="52"/>
      <c r="B750" s="53"/>
      <c r="C750" s="53"/>
      <c r="D750" s="53"/>
      <c r="E750" s="53"/>
      <c r="F750" s="61"/>
      <c r="G750" s="53"/>
      <c r="H750" s="53"/>
      <c r="I750" s="53"/>
      <c r="J750" s="47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9.5" customHeight="1">
      <c r="A751" s="49"/>
      <c r="B751" s="50"/>
      <c r="C751" s="50"/>
      <c r="D751" s="50"/>
      <c r="E751" s="50"/>
      <c r="F751" s="51"/>
      <c r="G751" s="50"/>
      <c r="H751" s="50"/>
      <c r="I751" s="50"/>
      <c r="J751" s="47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9.5" customHeight="1">
      <c r="A752" s="52"/>
      <c r="B752" s="53"/>
      <c r="C752" s="53"/>
      <c r="D752" s="53"/>
      <c r="E752" s="53"/>
      <c r="F752" s="61"/>
      <c r="G752" s="53"/>
      <c r="H752" s="53"/>
      <c r="I752" s="53"/>
      <c r="J752" s="47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9.5" customHeight="1">
      <c r="A753" s="49"/>
      <c r="B753" s="50"/>
      <c r="C753" s="50"/>
      <c r="D753" s="50"/>
      <c r="E753" s="50"/>
      <c r="F753" s="51"/>
      <c r="G753" s="50"/>
      <c r="H753" s="50"/>
      <c r="I753" s="50"/>
      <c r="J753" s="47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9.5" customHeight="1">
      <c r="A754" s="52"/>
      <c r="B754" s="53"/>
      <c r="C754" s="53"/>
      <c r="D754" s="53"/>
      <c r="E754" s="53"/>
      <c r="F754" s="61"/>
      <c r="G754" s="53"/>
      <c r="H754" s="53"/>
      <c r="I754" s="53"/>
      <c r="J754" s="47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9.5" customHeight="1">
      <c r="A755" s="49"/>
      <c r="B755" s="50"/>
      <c r="C755" s="50"/>
      <c r="D755" s="50"/>
      <c r="E755" s="50"/>
      <c r="F755" s="51"/>
      <c r="G755" s="50"/>
      <c r="H755" s="50"/>
      <c r="I755" s="50"/>
      <c r="J755" s="47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9.5" customHeight="1">
      <c r="A756" s="52"/>
      <c r="B756" s="53"/>
      <c r="C756" s="53"/>
      <c r="D756" s="53"/>
      <c r="E756" s="53"/>
      <c r="F756" s="61"/>
      <c r="G756" s="53"/>
      <c r="H756" s="53"/>
      <c r="I756" s="53"/>
      <c r="J756" s="47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9.5" customHeight="1">
      <c r="A757" s="49"/>
      <c r="B757" s="50"/>
      <c r="C757" s="50"/>
      <c r="D757" s="50"/>
      <c r="E757" s="50"/>
      <c r="F757" s="51"/>
      <c r="G757" s="50"/>
      <c r="H757" s="50"/>
      <c r="I757" s="50"/>
      <c r="J757" s="47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9.5" customHeight="1">
      <c r="A758" s="52"/>
      <c r="B758" s="53"/>
      <c r="C758" s="53"/>
      <c r="D758" s="53"/>
      <c r="E758" s="53"/>
      <c r="F758" s="61"/>
      <c r="G758" s="53"/>
      <c r="H758" s="53"/>
      <c r="I758" s="53"/>
      <c r="J758" s="47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9.5" customHeight="1">
      <c r="A759" s="49"/>
      <c r="B759" s="50"/>
      <c r="C759" s="50"/>
      <c r="D759" s="50"/>
      <c r="E759" s="50"/>
      <c r="F759" s="51"/>
      <c r="G759" s="50"/>
      <c r="H759" s="50"/>
      <c r="I759" s="50"/>
      <c r="J759" s="47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9.5" customHeight="1">
      <c r="A760" s="52"/>
      <c r="B760" s="53"/>
      <c r="C760" s="53"/>
      <c r="D760" s="53"/>
      <c r="E760" s="53"/>
      <c r="F760" s="61"/>
      <c r="G760" s="53"/>
      <c r="H760" s="53"/>
      <c r="I760" s="53"/>
      <c r="J760" s="47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9.5" customHeight="1">
      <c r="A761" s="49"/>
      <c r="B761" s="50"/>
      <c r="C761" s="50"/>
      <c r="D761" s="50"/>
      <c r="E761" s="50"/>
      <c r="F761" s="51"/>
      <c r="G761" s="50"/>
      <c r="H761" s="50"/>
      <c r="I761" s="50"/>
      <c r="J761" s="47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9.5" customHeight="1">
      <c r="A762" s="52"/>
      <c r="B762" s="53"/>
      <c r="C762" s="53"/>
      <c r="D762" s="53"/>
      <c r="E762" s="53"/>
      <c r="F762" s="61"/>
      <c r="G762" s="53"/>
      <c r="H762" s="53"/>
      <c r="I762" s="53"/>
      <c r="J762" s="47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9.5" customHeight="1">
      <c r="A763" s="49"/>
      <c r="B763" s="50"/>
      <c r="C763" s="50"/>
      <c r="D763" s="50"/>
      <c r="E763" s="50"/>
      <c r="F763" s="51"/>
      <c r="G763" s="50"/>
      <c r="H763" s="50"/>
      <c r="I763" s="50"/>
      <c r="J763" s="47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9.5" customHeight="1">
      <c r="A764" s="52"/>
      <c r="B764" s="53"/>
      <c r="C764" s="53"/>
      <c r="D764" s="53"/>
      <c r="E764" s="53"/>
      <c r="F764" s="61"/>
      <c r="G764" s="53"/>
      <c r="H764" s="53"/>
      <c r="I764" s="53"/>
      <c r="J764" s="47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9.5" customHeight="1">
      <c r="A765" s="49"/>
      <c r="B765" s="50"/>
      <c r="C765" s="50"/>
      <c r="D765" s="50"/>
      <c r="E765" s="50"/>
      <c r="F765" s="51"/>
      <c r="G765" s="50"/>
      <c r="H765" s="50"/>
      <c r="I765" s="50"/>
      <c r="J765" s="47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9.5" customHeight="1">
      <c r="A766" s="52"/>
      <c r="B766" s="53"/>
      <c r="C766" s="53"/>
      <c r="D766" s="53"/>
      <c r="E766" s="53"/>
      <c r="F766" s="61"/>
      <c r="G766" s="53"/>
      <c r="H766" s="53"/>
      <c r="I766" s="53"/>
      <c r="J766" s="47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9.5" customHeight="1">
      <c r="A767" s="49"/>
      <c r="B767" s="50"/>
      <c r="C767" s="50"/>
      <c r="D767" s="50"/>
      <c r="E767" s="50"/>
      <c r="F767" s="51"/>
      <c r="G767" s="50"/>
      <c r="H767" s="50"/>
      <c r="I767" s="50"/>
      <c r="J767" s="47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9.5" customHeight="1">
      <c r="A768" s="52"/>
      <c r="B768" s="53"/>
      <c r="C768" s="53"/>
      <c r="D768" s="53"/>
      <c r="E768" s="53"/>
      <c r="F768" s="61"/>
      <c r="G768" s="53"/>
      <c r="H768" s="53"/>
      <c r="I768" s="53"/>
      <c r="J768" s="47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9.5" customHeight="1">
      <c r="A769" s="49"/>
      <c r="B769" s="50"/>
      <c r="C769" s="50"/>
      <c r="D769" s="50"/>
      <c r="E769" s="50"/>
      <c r="F769" s="51"/>
      <c r="G769" s="50"/>
      <c r="H769" s="50"/>
      <c r="I769" s="50"/>
      <c r="J769" s="47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9.5" customHeight="1">
      <c r="A770" s="52"/>
      <c r="B770" s="53"/>
      <c r="C770" s="53"/>
      <c r="D770" s="53"/>
      <c r="E770" s="53"/>
      <c r="F770" s="61"/>
      <c r="G770" s="53"/>
      <c r="H770" s="53"/>
      <c r="I770" s="53"/>
      <c r="J770" s="47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9.5" customHeight="1">
      <c r="A771" s="49"/>
      <c r="B771" s="50"/>
      <c r="C771" s="50"/>
      <c r="D771" s="50"/>
      <c r="E771" s="50"/>
      <c r="F771" s="51"/>
      <c r="G771" s="50"/>
      <c r="H771" s="50"/>
      <c r="I771" s="50"/>
      <c r="J771" s="47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9.5" customHeight="1">
      <c r="A772" s="52"/>
      <c r="B772" s="53"/>
      <c r="C772" s="53"/>
      <c r="D772" s="53"/>
      <c r="E772" s="53"/>
      <c r="F772" s="61"/>
      <c r="G772" s="53"/>
      <c r="H772" s="53"/>
      <c r="I772" s="53"/>
      <c r="J772" s="47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9.5" customHeight="1">
      <c r="A773" s="49"/>
      <c r="B773" s="50"/>
      <c r="C773" s="50"/>
      <c r="D773" s="50"/>
      <c r="E773" s="50"/>
      <c r="F773" s="51"/>
      <c r="G773" s="50"/>
      <c r="H773" s="50"/>
      <c r="I773" s="50"/>
      <c r="J773" s="47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9.5" customHeight="1">
      <c r="A774" s="52"/>
      <c r="B774" s="53"/>
      <c r="C774" s="53"/>
      <c r="D774" s="53"/>
      <c r="E774" s="53"/>
      <c r="F774" s="61"/>
      <c r="G774" s="53"/>
      <c r="H774" s="53"/>
      <c r="I774" s="53"/>
      <c r="J774" s="47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9.5" customHeight="1">
      <c r="A775" s="49"/>
      <c r="B775" s="50"/>
      <c r="C775" s="50"/>
      <c r="D775" s="50"/>
      <c r="E775" s="50"/>
      <c r="F775" s="51"/>
      <c r="G775" s="50"/>
      <c r="H775" s="50"/>
      <c r="I775" s="50"/>
      <c r="J775" s="47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9.5" customHeight="1">
      <c r="A776" s="52"/>
      <c r="B776" s="53"/>
      <c r="C776" s="53"/>
      <c r="D776" s="53"/>
      <c r="E776" s="53"/>
      <c r="F776" s="61"/>
      <c r="G776" s="53"/>
      <c r="H776" s="53"/>
      <c r="I776" s="53"/>
      <c r="J776" s="47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9.5" customHeight="1">
      <c r="A777" s="49"/>
      <c r="B777" s="50"/>
      <c r="C777" s="50"/>
      <c r="D777" s="50"/>
      <c r="E777" s="50"/>
      <c r="F777" s="51"/>
      <c r="G777" s="50"/>
      <c r="H777" s="50"/>
      <c r="I777" s="50"/>
      <c r="J777" s="47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9.5" customHeight="1">
      <c r="A778" s="52"/>
      <c r="B778" s="53"/>
      <c r="C778" s="53"/>
      <c r="D778" s="53"/>
      <c r="E778" s="53"/>
      <c r="F778" s="61"/>
      <c r="G778" s="53"/>
      <c r="H778" s="53"/>
      <c r="I778" s="53"/>
      <c r="J778" s="47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9.5" customHeight="1">
      <c r="A779" s="49"/>
      <c r="B779" s="50"/>
      <c r="C779" s="50"/>
      <c r="D779" s="50"/>
      <c r="E779" s="50"/>
      <c r="F779" s="51"/>
      <c r="G779" s="50"/>
      <c r="H779" s="50"/>
      <c r="I779" s="50"/>
      <c r="J779" s="47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9.5" customHeight="1">
      <c r="A780" s="52"/>
      <c r="B780" s="53"/>
      <c r="C780" s="53"/>
      <c r="D780" s="53"/>
      <c r="E780" s="53"/>
      <c r="F780" s="61"/>
      <c r="G780" s="53"/>
      <c r="H780" s="53"/>
      <c r="I780" s="53"/>
      <c r="J780" s="47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9.5" customHeight="1">
      <c r="A781" s="49"/>
      <c r="B781" s="50"/>
      <c r="C781" s="50"/>
      <c r="D781" s="50"/>
      <c r="E781" s="50"/>
      <c r="F781" s="51"/>
      <c r="G781" s="50"/>
      <c r="H781" s="50"/>
      <c r="I781" s="50"/>
      <c r="J781" s="47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9.5" customHeight="1">
      <c r="A782" s="52"/>
      <c r="B782" s="53"/>
      <c r="C782" s="53"/>
      <c r="D782" s="53"/>
      <c r="E782" s="53"/>
      <c r="F782" s="61"/>
      <c r="G782" s="53"/>
      <c r="H782" s="53"/>
      <c r="I782" s="53"/>
      <c r="J782" s="47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9.5" customHeight="1">
      <c r="A783" s="49"/>
      <c r="B783" s="50"/>
      <c r="C783" s="50"/>
      <c r="D783" s="50"/>
      <c r="E783" s="50"/>
      <c r="F783" s="51"/>
      <c r="G783" s="50"/>
      <c r="H783" s="50"/>
      <c r="I783" s="50"/>
      <c r="J783" s="47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9.5" customHeight="1">
      <c r="A784" s="52"/>
      <c r="B784" s="53"/>
      <c r="C784" s="53"/>
      <c r="D784" s="53"/>
      <c r="E784" s="53"/>
      <c r="F784" s="61"/>
      <c r="G784" s="53"/>
      <c r="H784" s="53"/>
      <c r="I784" s="53"/>
      <c r="J784" s="47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9.5" customHeight="1">
      <c r="A785" s="49"/>
      <c r="B785" s="50"/>
      <c r="C785" s="50"/>
      <c r="D785" s="50"/>
      <c r="E785" s="50"/>
      <c r="F785" s="51"/>
      <c r="G785" s="50"/>
      <c r="H785" s="50"/>
      <c r="I785" s="50"/>
      <c r="J785" s="47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9.5" customHeight="1">
      <c r="A786" s="52"/>
      <c r="B786" s="53"/>
      <c r="C786" s="53"/>
      <c r="D786" s="53"/>
      <c r="E786" s="53"/>
      <c r="F786" s="61"/>
      <c r="G786" s="53"/>
      <c r="H786" s="53"/>
      <c r="I786" s="53"/>
      <c r="J786" s="47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9.5" customHeight="1">
      <c r="A787" s="49"/>
      <c r="B787" s="50"/>
      <c r="C787" s="50"/>
      <c r="D787" s="50"/>
      <c r="E787" s="50"/>
      <c r="F787" s="51"/>
      <c r="G787" s="50"/>
      <c r="H787" s="50"/>
      <c r="I787" s="50"/>
      <c r="J787" s="47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9.5" customHeight="1">
      <c r="A788" s="52"/>
      <c r="B788" s="53"/>
      <c r="C788" s="53"/>
      <c r="D788" s="53"/>
      <c r="E788" s="53"/>
      <c r="F788" s="61"/>
      <c r="G788" s="53"/>
      <c r="H788" s="53"/>
      <c r="I788" s="53"/>
      <c r="J788" s="47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9.5" customHeight="1">
      <c r="A789" s="49"/>
      <c r="B789" s="50"/>
      <c r="C789" s="50"/>
      <c r="D789" s="50"/>
      <c r="E789" s="50"/>
      <c r="F789" s="51"/>
      <c r="G789" s="50"/>
      <c r="H789" s="50"/>
      <c r="I789" s="50"/>
      <c r="J789" s="47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9.5" customHeight="1">
      <c r="A790" s="52"/>
      <c r="B790" s="53"/>
      <c r="C790" s="53"/>
      <c r="D790" s="53"/>
      <c r="E790" s="53"/>
      <c r="F790" s="61"/>
      <c r="G790" s="53"/>
      <c r="H790" s="53"/>
      <c r="I790" s="53"/>
      <c r="J790" s="47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9.5" customHeight="1">
      <c r="A791" s="49"/>
      <c r="B791" s="50"/>
      <c r="C791" s="50"/>
      <c r="D791" s="50"/>
      <c r="E791" s="50"/>
      <c r="F791" s="51"/>
      <c r="G791" s="50"/>
      <c r="H791" s="50"/>
      <c r="I791" s="50"/>
      <c r="J791" s="47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9.5" customHeight="1">
      <c r="A792" s="52"/>
      <c r="B792" s="53"/>
      <c r="C792" s="53"/>
      <c r="D792" s="53"/>
      <c r="E792" s="53"/>
      <c r="F792" s="61"/>
      <c r="G792" s="53"/>
      <c r="H792" s="53"/>
      <c r="I792" s="53"/>
      <c r="J792" s="47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9.5" customHeight="1">
      <c r="A793" s="49"/>
      <c r="B793" s="50"/>
      <c r="C793" s="50"/>
      <c r="D793" s="50"/>
      <c r="E793" s="50"/>
      <c r="F793" s="51"/>
      <c r="G793" s="50"/>
      <c r="H793" s="50"/>
      <c r="I793" s="50"/>
      <c r="J793" s="47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9.5" customHeight="1">
      <c r="A794" s="52"/>
      <c r="B794" s="53"/>
      <c r="C794" s="53"/>
      <c r="D794" s="53"/>
      <c r="E794" s="53"/>
      <c r="F794" s="61"/>
      <c r="G794" s="53"/>
      <c r="H794" s="53"/>
      <c r="I794" s="53"/>
      <c r="J794" s="47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9.5" customHeight="1">
      <c r="A795" s="49"/>
      <c r="B795" s="50"/>
      <c r="C795" s="50"/>
      <c r="D795" s="50"/>
      <c r="E795" s="50"/>
      <c r="F795" s="51"/>
      <c r="G795" s="50"/>
      <c r="H795" s="50"/>
      <c r="I795" s="50"/>
      <c r="J795" s="47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9.5" customHeight="1">
      <c r="A796" s="52"/>
      <c r="B796" s="53"/>
      <c r="C796" s="53"/>
      <c r="D796" s="53"/>
      <c r="E796" s="53"/>
      <c r="F796" s="61"/>
      <c r="G796" s="53"/>
      <c r="H796" s="53"/>
      <c r="I796" s="53"/>
      <c r="J796" s="47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9.5" customHeight="1">
      <c r="A797" s="49"/>
      <c r="B797" s="50"/>
      <c r="C797" s="50"/>
      <c r="D797" s="50"/>
      <c r="E797" s="50"/>
      <c r="F797" s="51"/>
      <c r="G797" s="50"/>
      <c r="H797" s="50"/>
      <c r="I797" s="50"/>
      <c r="J797" s="47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9.5" customHeight="1">
      <c r="A798" s="52"/>
      <c r="B798" s="53"/>
      <c r="C798" s="53"/>
      <c r="D798" s="53"/>
      <c r="E798" s="53"/>
      <c r="F798" s="61"/>
      <c r="G798" s="53"/>
      <c r="H798" s="53"/>
      <c r="I798" s="53"/>
      <c r="J798" s="47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9.5" customHeight="1">
      <c r="A799" s="49"/>
      <c r="B799" s="50"/>
      <c r="C799" s="50"/>
      <c r="D799" s="50"/>
      <c r="E799" s="50"/>
      <c r="F799" s="51"/>
      <c r="G799" s="50"/>
      <c r="H799" s="50"/>
      <c r="I799" s="50"/>
      <c r="J799" s="47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9.5" customHeight="1">
      <c r="A800" s="52"/>
      <c r="B800" s="53"/>
      <c r="C800" s="53"/>
      <c r="D800" s="53"/>
      <c r="E800" s="53"/>
      <c r="F800" s="61"/>
      <c r="G800" s="53"/>
      <c r="H800" s="53"/>
      <c r="I800" s="53"/>
      <c r="J800" s="47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9.5" customHeight="1">
      <c r="A801" s="49"/>
      <c r="B801" s="50"/>
      <c r="C801" s="50"/>
      <c r="D801" s="50"/>
      <c r="E801" s="50"/>
      <c r="F801" s="51"/>
      <c r="G801" s="50"/>
      <c r="H801" s="50"/>
      <c r="I801" s="50"/>
      <c r="J801" s="47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9.5" customHeight="1">
      <c r="A802" s="52"/>
      <c r="B802" s="53"/>
      <c r="C802" s="53"/>
      <c r="D802" s="53"/>
      <c r="E802" s="53"/>
      <c r="F802" s="61"/>
      <c r="G802" s="53"/>
      <c r="H802" s="53"/>
      <c r="I802" s="53"/>
      <c r="J802" s="47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9.5" customHeight="1">
      <c r="A803" s="49"/>
      <c r="B803" s="50"/>
      <c r="C803" s="50"/>
      <c r="D803" s="50"/>
      <c r="E803" s="50"/>
      <c r="F803" s="51"/>
      <c r="G803" s="50"/>
      <c r="H803" s="50"/>
      <c r="I803" s="50"/>
      <c r="J803" s="47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9.5" customHeight="1">
      <c r="A804" s="52"/>
      <c r="B804" s="53"/>
      <c r="C804" s="53"/>
      <c r="D804" s="53"/>
      <c r="E804" s="53"/>
      <c r="F804" s="61"/>
      <c r="G804" s="53"/>
      <c r="H804" s="53"/>
      <c r="I804" s="53"/>
      <c r="J804" s="47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9.5" customHeight="1">
      <c r="A805" s="49"/>
      <c r="B805" s="50"/>
      <c r="C805" s="50"/>
      <c r="D805" s="50"/>
      <c r="E805" s="50"/>
      <c r="F805" s="51"/>
      <c r="G805" s="50"/>
      <c r="H805" s="50"/>
      <c r="I805" s="50"/>
      <c r="J805" s="47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9.5" customHeight="1">
      <c r="A806" s="52"/>
      <c r="B806" s="53"/>
      <c r="C806" s="53"/>
      <c r="D806" s="53"/>
      <c r="E806" s="53"/>
      <c r="F806" s="61"/>
      <c r="G806" s="53"/>
      <c r="H806" s="53"/>
      <c r="I806" s="53"/>
      <c r="J806" s="47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9.5" customHeight="1">
      <c r="A807" s="49"/>
      <c r="B807" s="50"/>
      <c r="C807" s="50"/>
      <c r="D807" s="50"/>
      <c r="E807" s="50"/>
      <c r="F807" s="51"/>
      <c r="G807" s="50"/>
      <c r="H807" s="50"/>
      <c r="I807" s="50"/>
      <c r="J807" s="47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9.5" customHeight="1">
      <c r="A808" s="52"/>
      <c r="B808" s="53"/>
      <c r="C808" s="53"/>
      <c r="D808" s="53"/>
      <c r="E808" s="53"/>
      <c r="F808" s="61"/>
      <c r="G808" s="53"/>
      <c r="H808" s="53"/>
      <c r="I808" s="53"/>
      <c r="J808" s="47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9.5" customHeight="1">
      <c r="A809" s="49"/>
      <c r="B809" s="50"/>
      <c r="C809" s="50"/>
      <c r="D809" s="50"/>
      <c r="E809" s="50"/>
      <c r="F809" s="51"/>
      <c r="G809" s="50"/>
      <c r="H809" s="50"/>
      <c r="I809" s="50"/>
      <c r="J809" s="47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9.5" customHeight="1">
      <c r="A810" s="52"/>
      <c r="B810" s="53"/>
      <c r="C810" s="53"/>
      <c r="D810" s="53"/>
      <c r="E810" s="53"/>
      <c r="F810" s="61"/>
      <c r="G810" s="53"/>
      <c r="H810" s="53"/>
      <c r="I810" s="53"/>
      <c r="J810" s="47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9.5" customHeight="1">
      <c r="A811" s="49"/>
      <c r="B811" s="50"/>
      <c r="C811" s="50"/>
      <c r="D811" s="50"/>
      <c r="E811" s="50"/>
      <c r="F811" s="51"/>
      <c r="G811" s="50"/>
      <c r="H811" s="50"/>
      <c r="I811" s="50"/>
      <c r="J811" s="47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9.5" customHeight="1">
      <c r="A812" s="52"/>
      <c r="B812" s="53"/>
      <c r="C812" s="53"/>
      <c r="D812" s="53"/>
      <c r="E812" s="53"/>
      <c r="F812" s="61"/>
      <c r="G812" s="53"/>
      <c r="H812" s="53"/>
      <c r="I812" s="53"/>
      <c r="J812" s="47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9.5" customHeight="1">
      <c r="A813" s="49"/>
      <c r="B813" s="50"/>
      <c r="C813" s="50"/>
      <c r="D813" s="50"/>
      <c r="E813" s="50"/>
      <c r="F813" s="51"/>
      <c r="G813" s="50"/>
      <c r="H813" s="50"/>
      <c r="I813" s="50"/>
      <c r="J813" s="47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9.5" customHeight="1">
      <c r="A814" s="52"/>
      <c r="B814" s="53"/>
      <c r="C814" s="53"/>
      <c r="D814" s="53"/>
      <c r="E814" s="53"/>
      <c r="F814" s="61"/>
      <c r="G814" s="53"/>
      <c r="H814" s="53"/>
      <c r="I814" s="53"/>
      <c r="J814" s="47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9.5" customHeight="1">
      <c r="A815" s="49"/>
      <c r="B815" s="50"/>
      <c r="C815" s="50"/>
      <c r="D815" s="50"/>
      <c r="E815" s="50"/>
      <c r="F815" s="51"/>
      <c r="G815" s="50"/>
      <c r="H815" s="50"/>
      <c r="I815" s="50"/>
      <c r="J815" s="47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9.5" customHeight="1">
      <c r="A816" s="52"/>
      <c r="B816" s="53"/>
      <c r="C816" s="53"/>
      <c r="D816" s="53"/>
      <c r="E816" s="53"/>
      <c r="F816" s="61"/>
      <c r="G816" s="53"/>
      <c r="H816" s="53"/>
      <c r="I816" s="53"/>
      <c r="J816" s="47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9.5" customHeight="1">
      <c r="A817" s="49"/>
      <c r="B817" s="50"/>
      <c r="C817" s="50"/>
      <c r="D817" s="50"/>
      <c r="E817" s="50"/>
      <c r="F817" s="51"/>
      <c r="G817" s="50"/>
      <c r="H817" s="50"/>
      <c r="I817" s="50"/>
      <c r="J817" s="47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9.5" customHeight="1">
      <c r="A818" s="52"/>
      <c r="B818" s="53"/>
      <c r="C818" s="53"/>
      <c r="D818" s="53"/>
      <c r="E818" s="53"/>
      <c r="F818" s="61"/>
      <c r="G818" s="53"/>
      <c r="H818" s="53"/>
      <c r="I818" s="53"/>
      <c r="J818" s="47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9.5" customHeight="1">
      <c r="A819" s="49"/>
      <c r="B819" s="50"/>
      <c r="C819" s="50"/>
      <c r="D819" s="50"/>
      <c r="E819" s="50"/>
      <c r="F819" s="51"/>
      <c r="G819" s="50"/>
      <c r="H819" s="50"/>
      <c r="I819" s="50"/>
      <c r="J819" s="47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9.5" customHeight="1">
      <c r="A820" s="52"/>
      <c r="B820" s="53"/>
      <c r="C820" s="53"/>
      <c r="D820" s="53"/>
      <c r="E820" s="53"/>
      <c r="F820" s="61"/>
      <c r="G820" s="53"/>
      <c r="H820" s="53"/>
      <c r="I820" s="53"/>
      <c r="J820" s="47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9.5" customHeight="1">
      <c r="A821" s="49"/>
      <c r="B821" s="50"/>
      <c r="C821" s="50"/>
      <c r="D821" s="50"/>
      <c r="E821" s="50"/>
      <c r="F821" s="51"/>
      <c r="G821" s="50"/>
      <c r="H821" s="50"/>
      <c r="I821" s="50"/>
      <c r="J821" s="47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9.5" customHeight="1">
      <c r="A822" s="52"/>
      <c r="B822" s="53"/>
      <c r="C822" s="53"/>
      <c r="D822" s="53"/>
      <c r="E822" s="53"/>
      <c r="F822" s="61"/>
      <c r="G822" s="53"/>
      <c r="H822" s="53"/>
      <c r="I822" s="53"/>
      <c r="J822" s="47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9.5" customHeight="1">
      <c r="A823" s="49"/>
      <c r="B823" s="50"/>
      <c r="C823" s="50"/>
      <c r="D823" s="50"/>
      <c r="E823" s="50"/>
      <c r="F823" s="51"/>
      <c r="G823" s="50"/>
      <c r="H823" s="50"/>
      <c r="I823" s="50"/>
      <c r="J823" s="47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9.5" customHeight="1">
      <c r="A824" s="52"/>
      <c r="B824" s="53"/>
      <c r="C824" s="53"/>
      <c r="D824" s="53"/>
      <c r="E824" s="53"/>
      <c r="F824" s="61"/>
      <c r="G824" s="53"/>
      <c r="H824" s="53"/>
      <c r="I824" s="53"/>
      <c r="J824" s="47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9.5" customHeight="1">
      <c r="A825" s="49"/>
      <c r="B825" s="50"/>
      <c r="C825" s="50"/>
      <c r="D825" s="50"/>
      <c r="E825" s="50"/>
      <c r="F825" s="51"/>
      <c r="G825" s="50"/>
      <c r="H825" s="50"/>
      <c r="I825" s="50"/>
      <c r="J825" s="47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9.5" customHeight="1">
      <c r="A826" s="52"/>
      <c r="B826" s="53"/>
      <c r="C826" s="53"/>
      <c r="D826" s="53"/>
      <c r="E826" s="53"/>
      <c r="F826" s="61"/>
      <c r="G826" s="53"/>
      <c r="H826" s="53"/>
      <c r="I826" s="53"/>
      <c r="J826" s="47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9.5" customHeight="1">
      <c r="A827" s="49"/>
      <c r="B827" s="50"/>
      <c r="C827" s="50"/>
      <c r="D827" s="50"/>
      <c r="E827" s="50"/>
      <c r="F827" s="51"/>
      <c r="G827" s="50"/>
      <c r="H827" s="50"/>
      <c r="I827" s="50"/>
      <c r="J827" s="47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9.5" customHeight="1">
      <c r="A828" s="52"/>
      <c r="B828" s="53"/>
      <c r="C828" s="53"/>
      <c r="D828" s="53"/>
      <c r="E828" s="53"/>
      <c r="F828" s="61"/>
      <c r="G828" s="53"/>
      <c r="H828" s="53"/>
      <c r="I828" s="53"/>
      <c r="J828" s="47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9.5" customHeight="1">
      <c r="A829" s="49"/>
      <c r="B829" s="50"/>
      <c r="C829" s="50"/>
      <c r="D829" s="50"/>
      <c r="E829" s="50"/>
      <c r="F829" s="51"/>
      <c r="G829" s="50"/>
      <c r="H829" s="50"/>
      <c r="I829" s="50"/>
      <c r="J829" s="47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9.5" customHeight="1">
      <c r="A830" s="52"/>
      <c r="B830" s="53"/>
      <c r="C830" s="53"/>
      <c r="D830" s="53"/>
      <c r="E830" s="53"/>
      <c r="F830" s="61"/>
      <c r="G830" s="53"/>
      <c r="H830" s="53"/>
      <c r="I830" s="53"/>
      <c r="J830" s="47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9.5" customHeight="1">
      <c r="A831" s="49"/>
      <c r="B831" s="50"/>
      <c r="C831" s="50"/>
      <c r="D831" s="50"/>
      <c r="E831" s="50"/>
      <c r="F831" s="51"/>
      <c r="G831" s="50"/>
      <c r="H831" s="50"/>
      <c r="I831" s="50"/>
      <c r="J831" s="47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9.5" customHeight="1">
      <c r="A832" s="52"/>
      <c r="B832" s="53"/>
      <c r="C832" s="53"/>
      <c r="D832" s="53"/>
      <c r="E832" s="53"/>
      <c r="F832" s="61"/>
      <c r="G832" s="53"/>
      <c r="H832" s="53"/>
      <c r="I832" s="53"/>
      <c r="J832" s="47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9.5" customHeight="1">
      <c r="A833" s="49"/>
      <c r="B833" s="50"/>
      <c r="C833" s="50"/>
      <c r="D833" s="50"/>
      <c r="E833" s="50"/>
      <c r="F833" s="51"/>
      <c r="G833" s="50"/>
      <c r="H833" s="50"/>
      <c r="I833" s="50"/>
      <c r="J833" s="47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9.5" customHeight="1">
      <c r="A834" s="52"/>
      <c r="B834" s="53"/>
      <c r="C834" s="53"/>
      <c r="D834" s="53"/>
      <c r="E834" s="53"/>
      <c r="F834" s="61"/>
      <c r="G834" s="53"/>
      <c r="H834" s="53"/>
      <c r="I834" s="53"/>
      <c r="J834" s="47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9.5" customHeight="1">
      <c r="A835" s="49"/>
      <c r="B835" s="50"/>
      <c r="C835" s="50"/>
      <c r="D835" s="50"/>
      <c r="E835" s="50"/>
      <c r="F835" s="51"/>
      <c r="G835" s="50"/>
      <c r="H835" s="50"/>
      <c r="I835" s="50"/>
      <c r="J835" s="47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9.5" customHeight="1">
      <c r="A836" s="52"/>
      <c r="B836" s="53"/>
      <c r="C836" s="53"/>
      <c r="D836" s="53"/>
      <c r="E836" s="53"/>
      <c r="F836" s="61"/>
      <c r="G836" s="53"/>
      <c r="H836" s="53"/>
      <c r="I836" s="53"/>
      <c r="J836" s="47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9.5" customHeight="1">
      <c r="A837" s="49"/>
      <c r="B837" s="50"/>
      <c r="C837" s="50"/>
      <c r="D837" s="50"/>
      <c r="E837" s="50"/>
      <c r="F837" s="51"/>
      <c r="G837" s="50"/>
      <c r="H837" s="50"/>
      <c r="I837" s="50"/>
      <c r="J837" s="47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9.5" customHeight="1">
      <c r="A838" s="52"/>
      <c r="B838" s="53"/>
      <c r="C838" s="53"/>
      <c r="D838" s="53"/>
      <c r="E838" s="53"/>
      <c r="F838" s="61"/>
      <c r="G838" s="53"/>
      <c r="H838" s="53"/>
      <c r="I838" s="53"/>
      <c r="J838" s="47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9.5" customHeight="1">
      <c r="A839" s="49"/>
      <c r="B839" s="50"/>
      <c r="C839" s="50"/>
      <c r="D839" s="50"/>
      <c r="E839" s="50"/>
      <c r="F839" s="51"/>
      <c r="G839" s="50"/>
      <c r="H839" s="50"/>
      <c r="I839" s="50"/>
      <c r="J839" s="47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9.5" customHeight="1">
      <c r="A840" s="52"/>
      <c r="B840" s="53"/>
      <c r="C840" s="53"/>
      <c r="D840" s="53"/>
      <c r="E840" s="53"/>
      <c r="F840" s="61"/>
      <c r="G840" s="53"/>
      <c r="H840" s="53"/>
      <c r="I840" s="53"/>
      <c r="J840" s="47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9.5" customHeight="1">
      <c r="A841" s="49"/>
      <c r="B841" s="50"/>
      <c r="C841" s="50"/>
      <c r="D841" s="50"/>
      <c r="E841" s="50"/>
      <c r="F841" s="51"/>
      <c r="G841" s="50"/>
      <c r="H841" s="50"/>
      <c r="I841" s="50"/>
      <c r="J841" s="47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9.5" customHeight="1">
      <c r="A842" s="52"/>
      <c r="B842" s="53"/>
      <c r="C842" s="53"/>
      <c r="D842" s="53"/>
      <c r="E842" s="53"/>
      <c r="F842" s="61"/>
      <c r="G842" s="53"/>
      <c r="H842" s="53"/>
      <c r="I842" s="53"/>
      <c r="J842" s="47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9.5" customHeight="1">
      <c r="A843" s="49"/>
      <c r="B843" s="50"/>
      <c r="C843" s="50"/>
      <c r="D843" s="50"/>
      <c r="E843" s="50"/>
      <c r="F843" s="51"/>
      <c r="G843" s="50"/>
      <c r="H843" s="50"/>
      <c r="I843" s="50"/>
      <c r="J843" s="47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9.5" customHeight="1">
      <c r="A844" s="52"/>
      <c r="B844" s="53"/>
      <c r="C844" s="53"/>
      <c r="D844" s="53"/>
      <c r="E844" s="53"/>
      <c r="F844" s="61"/>
      <c r="G844" s="53"/>
      <c r="H844" s="53"/>
      <c r="I844" s="53"/>
      <c r="J844" s="47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9.5" customHeight="1">
      <c r="A845" s="49"/>
      <c r="B845" s="50"/>
      <c r="C845" s="50"/>
      <c r="D845" s="50"/>
      <c r="E845" s="50"/>
      <c r="F845" s="51"/>
      <c r="G845" s="50"/>
      <c r="H845" s="50"/>
      <c r="I845" s="50"/>
      <c r="J845" s="47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9.5" customHeight="1">
      <c r="A846" s="52"/>
      <c r="B846" s="53"/>
      <c r="C846" s="53"/>
      <c r="D846" s="53"/>
      <c r="E846" s="53"/>
      <c r="F846" s="61"/>
      <c r="G846" s="53"/>
      <c r="H846" s="53"/>
      <c r="I846" s="53"/>
      <c r="J846" s="47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9.5" customHeight="1">
      <c r="A847" s="49"/>
      <c r="B847" s="50"/>
      <c r="C847" s="50"/>
      <c r="D847" s="50"/>
      <c r="E847" s="50"/>
      <c r="F847" s="51"/>
      <c r="G847" s="50"/>
      <c r="H847" s="50"/>
      <c r="I847" s="50"/>
      <c r="J847" s="47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9.5" customHeight="1">
      <c r="A848" s="52"/>
      <c r="B848" s="53"/>
      <c r="C848" s="53"/>
      <c r="D848" s="53"/>
      <c r="E848" s="53"/>
      <c r="F848" s="61"/>
      <c r="G848" s="53"/>
      <c r="H848" s="53"/>
      <c r="I848" s="53"/>
      <c r="J848" s="47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9.5" customHeight="1">
      <c r="A849" s="49"/>
      <c r="B849" s="50"/>
      <c r="C849" s="50"/>
      <c r="D849" s="50"/>
      <c r="E849" s="50"/>
      <c r="F849" s="51"/>
      <c r="G849" s="50"/>
      <c r="H849" s="50"/>
      <c r="I849" s="50"/>
      <c r="J849" s="47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9.5" customHeight="1">
      <c r="A850" s="52"/>
      <c r="B850" s="53"/>
      <c r="C850" s="53"/>
      <c r="D850" s="53"/>
      <c r="E850" s="53"/>
      <c r="F850" s="61"/>
      <c r="G850" s="53"/>
      <c r="H850" s="53"/>
      <c r="I850" s="53"/>
      <c r="J850" s="47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9.5" customHeight="1">
      <c r="A851" s="49"/>
      <c r="B851" s="50"/>
      <c r="C851" s="50"/>
      <c r="D851" s="50"/>
      <c r="E851" s="50"/>
      <c r="F851" s="51"/>
      <c r="G851" s="50"/>
      <c r="H851" s="50"/>
      <c r="I851" s="50"/>
      <c r="J851" s="47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9.5" customHeight="1">
      <c r="A852" s="52"/>
      <c r="B852" s="53"/>
      <c r="C852" s="53"/>
      <c r="D852" s="53"/>
      <c r="E852" s="53"/>
      <c r="F852" s="61"/>
      <c r="G852" s="53"/>
      <c r="H852" s="53"/>
      <c r="I852" s="53"/>
      <c r="J852" s="47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9.5" customHeight="1">
      <c r="A853" s="49"/>
      <c r="B853" s="50"/>
      <c r="C853" s="50"/>
      <c r="D853" s="50"/>
      <c r="E853" s="50"/>
      <c r="F853" s="51"/>
      <c r="G853" s="50"/>
      <c r="H853" s="50"/>
      <c r="I853" s="50"/>
      <c r="J853" s="47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9.5" customHeight="1">
      <c r="A854" s="52"/>
      <c r="B854" s="53"/>
      <c r="C854" s="53"/>
      <c r="D854" s="53"/>
      <c r="E854" s="53"/>
      <c r="F854" s="61"/>
      <c r="G854" s="53"/>
      <c r="H854" s="53"/>
      <c r="I854" s="53"/>
      <c r="J854" s="47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9.5" customHeight="1">
      <c r="A855" s="49"/>
      <c r="B855" s="50"/>
      <c r="C855" s="50"/>
      <c r="D855" s="50"/>
      <c r="E855" s="50"/>
      <c r="F855" s="51"/>
      <c r="G855" s="50"/>
      <c r="H855" s="50"/>
      <c r="I855" s="50"/>
      <c r="J855" s="47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9.5" customHeight="1">
      <c r="A856" s="52"/>
      <c r="B856" s="53"/>
      <c r="C856" s="53"/>
      <c r="D856" s="53"/>
      <c r="E856" s="53"/>
      <c r="F856" s="61"/>
      <c r="G856" s="53"/>
      <c r="H856" s="53"/>
      <c r="I856" s="53"/>
      <c r="J856" s="47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9.5" customHeight="1">
      <c r="A857" s="49"/>
      <c r="B857" s="50"/>
      <c r="C857" s="50"/>
      <c r="D857" s="50"/>
      <c r="E857" s="50"/>
      <c r="F857" s="51"/>
      <c r="G857" s="50"/>
      <c r="H857" s="50"/>
      <c r="I857" s="50"/>
      <c r="J857" s="47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9.5" customHeight="1">
      <c r="A858" s="52"/>
      <c r="B858" s="53"/>
      <c r="C858" s="53"/>
      <c r="D858" s="53"/>
      <c r="E858" s="53"/>
      <c r="F858" s="61"/>
      <c r="G858" s="53"/>
      <c r="H858" s="53"/>
      <c r="I858" s="53"/>
      <c r="J858" s="47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9.5" customHeight="1">
      <c r="A859" s="49"/>
      <c r="B859" s="50"/>
      <c r="C859" s="50"/>
      <c r="D859" s="50"/>
      <c r="E859" s="50"/>
      <c r="F859" s="51"/>
      <c r="G859" s="50"/>
      <c r="H859" s="50"/>
      <c r="I859" s="50"/>
      <c r="J859" s="47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9.5" customHeight="1">
      <c r="A860" s="52"/>
      <c r="B860" s="53"/>
      <c r="C860" s="53"/>
      <c r="D860" s="53"/>
      <c r="E860" s="53"/>
      <c r="F860" s="61"/>
      <c r="G860" s="53"/>
      <c r="H860" s="53"/>
      <c r="I860" s="53"/>
      <c r="J860" s="47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9.5" customHeight="1">
      <c r="A861" s="49"/>
      <c r="B861" s="50"/>
      <c r="C861" s="50"/>
      <c r="D861" s="50"/>
      <c r="E861" s="50"/>
      <c r="F861" s="51"/>
      <c r="G861" s="50"/>
      <c r="H861" s="50"/>
      <c r="I861" s="50"/>
      <c r="J861" s="47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9.5" customHeight="1">
      <c r="A862" s="52"/>
      <c r="B862" s="53"/>
      <c r="C862" s="53"/>
      <c r="D862" s="53"/>
      <c r="E862" s="53"/>
      <c r="F862" s="61"/>
      <c r="G862" s="53"/>
      <c r="H862" s="53"/>
      <c r="I862" s="53"/>
      <c r="J862" s="47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9.5" customHeight="1">
      <c r="A863" s="49"/>
      <c r="B863" s="50"/>
      <c r="C863" s="50"/>
      <c r="D863" s="50"/>
      <c r="E863" s="50"/>
      <c r="F863" s="51"/>
      <c r="G863" s="50"/>
      <c r="H863" s="50"/>
      <c r="I863" s="50"/>
      <c r="J863" s="47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9.5" customHeight="1">
      <c r="A864" s="52"/>
      <c r="B864" s="53"/>
      <c r="C864" s="53"/>
      <c r="D864" s="53"/>
      <c r="E864" s="53"/>
      <c r="F864" s="61"/>
      <c r="G864" s="53"/>
      <c r="H864" s="53"/>
      <c r="I864" s="53"/>
      <c r="J864" s="47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9.5" customHeight="1">
      <c r="A865" s="49"/>
      <c r="B865" s="50"/>
      <c r="C865" s="50"/>
      <c r="D865" s="50"/>
      <c r="E865" s="50"/>
      <c r="F865" s="51"/>
      <c r="G865" s="50"/>
      <c r="H865" s="50"/>
      <c r="I865" s="50"/>
      <c r="J865" s="47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9.5" customHeight="1">
      <c r="A866" s="52"/>
      <c r="B866" s="53"/>
      <c r="C866" s="53"/>
      <c r="D866" s="53"/>
      <c r="E866" s="53"/>
      <c r="F866" s="61"/>
      <c r="G866" s="53"/>
      <c r="H866" s="53"/>
      <c r="I866" s="53"/>
      <c r="J866" s="47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9.5" customHeight="1">
      <c r="A867" s="49"/>
      <c r="B867" s="50"/>
      <c r="C867" s="50"/>
      <c r="D867" s="50"/>
      <c r="E867" s="50"/>
      <c r="F867" s="51"/>
      <c r="G867" s="50"/>
      <c r="H867" s="50"/>
      <c r="I867" s="50"/>
      <c r="J867" s="47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9.5" customHeight="1">
      <c r="A868" s="52"/>
      <c r="B868" s="53"/>
      <c r="C868" s="53"/>
      <c r="D868" s="53"/>
      <c r="E868" s="53"/>
      <c r="F868" s="61"/>
      <c r="G868" s="53"/>
      <c r="H868" s="53"/>
      <c r="I868" s="53"/>
      <c r="J868" s="47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9.5" customHeight="1">
      <c r="A869" s="49"/>
      <c r="B869" s="50"/>
      <c r="C869" s="50"/>
      <c r="D869" s="50"/>
      <c r="E869" s="50"/>
      <c r="F869" s="51"/>
      <c r="G869" s="50"/>
      <c r="H869" s="50"/>
      <c r="I869" s="50"/>
      <c r="J869" s="47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9.5" customHeight="1">
      <c r="A870" s="52"/>
      <c r="B870" s="53"/>
      <c r="C870" s="53"/>
      <c r="D870" s="53"/>
      <c r="E870" s="53"/>
      <c r="F870" s="61"/>
      <c r="G870" s="53"/>
      <c r="H870" s="53"/>
      <c r="I870" s="53"/>
      <c r="J870" s="47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9.5" customHeight="1">
      <c r="A871" s="49"/>
      <c r="B871" s="50"/>
      <c r="C871" s="50"/>
      <c r="D871" s="50"/>
      <c r="E871" s="50"/>
      <c r="F871" s="51"/>
      <c r="G871" s="50"/>
      <c r="H871" s="50"/>
      <c r="I871" s="50"/>
      <c r="J871" s="47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9.5" customHeight="1">
      <c r="A872" s="52"/>
      <c r="B872" s="53"/>
      <c r="C872" s="53"/>
      <c r="D872" s="53"/>
      <c r="E872" s="53"/>
      <c r="F872" s="61"/>
      <c r="G872" s="53"/>
      <c r="H872" s="53"/>
      <c r="I872" s="53"/>
      <c r="J872" s="47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9.5" customHeight="1">
      <c r="A873" s="49"/>
      <c r="B873" s="50"/>
      <c r="C873" s="50"/>
      <c r="D873" s="50"/>
      <c r="E873" s="50"/>
      <c r="F873" s="51"/>
      <c r="G873" s="50"/>
      <c r="H873" s="50"/>
      <c r="I873" s="50"/>
      <c r="J873" s="47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9.5" customHeight="1">
      <c r="A874" s="52"/>
      <c r="B874" s="53"/>
      <c r="C874" s="53"/>
      <c r="D874" s="53"/>
      <c r="E874" s="53"/>
      <c r="F874" s="61"/>
      <c r="G874" s="53"/>
      <c r="H874" s="53"/>
      <c r="I874" s="53"/>
      <c r="J874" s="47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9.5" customHeight="1">
      <c r="A875" s="49"/>
      <c r="B875" s="50"/>
      <c r="C875" s="50"/>
      <c r="D875" s="50"/>
      <c r="E875" s="50"/>
      <c r="F875" s="51"/>
      <c r="G875" s="50"/>
      <c r="H875" s="50"/>
      <c r="I875" s="50"/>
      <c r="J875" s="47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9.5" customHeight="1">
      <c r="A876" s="52"/>
      <c r="B876" s="53"/>
      <c r="C876" s="53"/>
      <c r="D876" s="53"/>
      <c r="E876" s="53"/>
      <c r="F876" s="61"/>
      <c r="G876" s="53"/>
      <c r="H876" s="53"/>
      <c r="I876" s="53"/>
      <c r="J876" s="47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9.5" customHeight="1">
      <c r="A877" s="49"/>
      <c r="B877" s="50"/>
      <c r="C877" s="50"/>
      <c r="D877" s="50"/>
      <c r="E877" s="50"/>
      <c r="F877" s="51"/>
      <c r="G877" s="50"/>
      <c r="H877" s="50"/>
      <c r="I877" s="50"/>
      <c r="J877" s="47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9.5" customHeight="1">
      <c r="A878" s="52"/>
      <c r="B878" s="53"/>
      <c r="C878" s="53"/>
      <c r="D878" s="53"/>
      <c r="E878" s="53"/>
      <c r="F878" s="61"/>
      <c r="G878" s="53"/>
      <c r="H878" s="53"/>
      <c r="I878" s="53"/>
      <c r="J878" s="47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9.5" customHeight="1">
      <c r="A879" s="49"/>
      <c r="B879" s="50"/>
      <c r="C879" s="50"/>
      <c r="D879" s="50"/>
      <c r="E879" s="50"/>
      <c r="F879" s="51"/>
      <c r="G879" s="50"/>
      <c r="H879" s="50"/>
      <c r="I879" s="50"/>
      <c r="J879" s="47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9.5" customHeight="1">
      <c r="A880" s="52"/>
      <c r="B880" s="53"/>
      <c r="C880" s="53"/>
      <c r="D880" s="53"/>
      <c r="E880" s="53"/>
      <c r="F880" s="61"/>
      <c r="G880" s="53"/>
      <c r="H880" s="53"/>
      <c r="I880" s="53"/>
      <c r="J880" s="47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9.5" customHeight="1">
      <c r="A881" s="49"/>
      <c r="B881" s="50"/>
      <c r="C881" s="50"/>
      <c r="D881" s="50"/>
      <c r="E881" s="50"/>
      <c r="F881" s="51"/>
      <c r="G881" s="50"/>
      <c r="H881" s="50"/>
      <c r="I881" s="50"/>
      <c r="J881" s="47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9.5" customHeight="1">
      <c r="A882" s="52"/>
      <c r="B882" s="53"/>
      <c r="C882" s="53"/>
      <c r="D882" s="53"/>
      <c r="E882" s="53"/>
      <c r="F882" s="61"/>
      <c r="G882" s="53"/>
      <c r="H882" s="53"/>
      <c r="I882" s="53"/>
      <c r="J882" s="47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9.5" customHeight="1">
      <c r="A883" s="49"/>
      <c r="B883" s="50"/>
      <c r="C883" s="50"/>
      <c r="D883" s="50"/>
      <c r="E883" s="50"/>
      <c r="F883" s="51"/>
      <c r="G883" s="50"/>
      <c r="H883" s="50"/>
      <c r="I883" s="50"/>
      <c r="J883" s="47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9.5" customHeight="1">
      <c r="A884" s="52"/>
      <c r="B884" s="53"/>
      <c r="C884" s="53"/>
      <c r="D884" s="53"/>
      <c r="E884" s="53"/>
      <c r="F884" s="61"/>
      <c r="G884" s="53"/>
      <c r="H884" s="53"/>
      <c r="I884" s="53"/>
      <c r="J884" s="47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9.5" customHeight="1">
      <c r="A885" s="49"/>
      <c r="B885" s="50"/>
      <c r="C885" s="50"/>
      <c r="D885" s="50"/>
      <c r="E885" s="50"/>
      <c r="F885" s="51"/>
      <c r="G885" s="50"/>
      <c r="H885" s="50"/>
      <c r="I885" s="50"/>
      <c r="J885" s="47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9.5" customHeight="1">
      <c r="A886" s="52"/>
      <c r="B886" s="53"/>
      <c r="C886" s="53"/>
      <c r="D886" s="53"/>
      <c r="E886" s="53"/>
      <c r="F886" s="61"/>
      <c r="G886" s="53"/>
      <c r="H886" s="53"/>
      <c r="I886" s="53"/>
      <c r="J886" s="47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9.5" customHeight="1">
      <c r="A887" s="49"/>
      <c r="B887" s="50"/>
      <c r="C887" s="50"/>
      <c r="D887" s="50"/>
      <c r="E887" s="50"/>
      <c r="F887" s="51"/>
      <c r="G887" s="50"/>
      <c r="H887" s="50"/>
      <c r="I887" s="50"/>
      <c r="J887" s="47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9.5" customHeight="1">
      <c r="A888" s="52"/>
      <c r="B888" s="53"/>
      <c r="C888" s="53"/>
      <c r="D888" s="53"/>
      <c r="E888" s="53"/>
      <c r="F888" s="61"/>
      <c r="G888" s="53"/>
      <c r="H888" s="53"/>
      <c r="I888" s="53"/>
      <c r="J888" s="47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9.5" customHeight="1">
      <c r="A889" s="49"/>
      <c r="B889" s="50"/>
      <c r="C889" s="50"/>
      <c r="D889" s="50"/>
      <c r="E889" s="50"/>
      <c r="F889" s="51"/>
      <c r="G889" s="50"/>
      <c r="H889" s="50"/>
      <c r="I889" s="50"/>
      <c r="J889" s="47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9.5" customHeight="1">
      <c r="A890" s="52"/>
      <c r="B890" s="53"/>
      <c r="C890" s="53"/>
      <c r="D890" s="53"/>
      <c r="E890" s="53"/>
      <c r="F890" s="61"/>
      <c r="G890" s="53"/>
      <c r="H890" s="53"/>
      <c r="I890" s="53"/>
      <c r="J890" s="47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9.5" customHeight="1">
      <c r="A891" s="49"/>
      <c r="B891" s="50"/>
      <c r="C891" s="50"/>
      <c r="D891" s="50"/>
      <c r="E891" s="50"/>
      <c r="F891" s="51"/>
      <c r="G891" s="50"/>
      <c r="H891" s="50"/>
      <c r="I891" s="50"/>
      <c r="J891" s="47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9.5" customHeight="1">
      <c r="A892" s="52"/>
      <c r="B892" s="53"/>
      <c r="C892" s="53"/>
      <c r="D892" s="53"/>
      <c r="E892" s="53"/>
      <c r="F892" s="61"/>
      <c r="G892" s="53"/>
      <c r="H892" s="53"/>
      <c r="I892" s="53"/>
      <c r="J892" s="47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9.5" customHeight="1">
      <c r="A893" s="49"/>
      <c r="B893" s="50"/>
      <c r="C893" s="50"/>
      <c r="D893" s="50"/>
      <c r="E893" s="50"/>
      <c r="F893" s="51"/>
      <c r="G893" s="50"/>
      <c r="H893" s="50"/>
      <c r="I893" s="50"/>
      <c r="J893" s="47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9.5" customHeight="1">
      <c r="A894" s="52"/>
      <c r="B894" s="53"/>
      <c r="C894" s="53"/>
      <c r="D894" s="53"/>
      <c r="E894" s="53"/>
      <c r="F894" s="61"/>
      <c r="G894" s="53"/>
      <c r="H894" s="53"/>
      <c r="I894" s="53"/>
      <c r="J894" s="47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9.5" customHeight="1">
      <c r="A895" s="49"/>
      <c r="B895" s="50"/>
      <c r="C895" s="50"/>
      <c r="D895" s="50"/>
      <c r="E895" s="50"/>
      <c r="F895" s="51"/>
      <c r="G895" s="50"/>
      <c r="H895" s="50"/>
      <c r="I895" s="50"/>
      <c r="J895" s="47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9.5" customHeight="1">
      <c r="A896" s="52"/>
      <c r="B896" s="53"/>
      <c r="C896" s="53"/>
      <c r="D896" s="53"/>
      <c r="E896" s="53"/>
      <c r="F896" s="61"/>
      <c r="G896" s="53"/>
      <c r="H896" s="53"/>
      <c r="I896" s="53"/>
      <c r="J896" s="47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9.5" customHeight="1">
      <c r="A897" s="49"/>
      <c r="B897" s="50"/>
      <c r="C897" s="50"/>
      <c r="D897" s="50"/>
      <c r="E897" s="50"/>
      <c r="F897" s="51"/>
      <c r="G897" s="50"/>
      <c r="H897" s="50"/>
      <c r="I897" s="50"/>
      <c r="J897" s="47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9.5" customHeight="1">
      <c r="A898" s="52"/>
      <c r="B898" s="53"/>
      <c r="C898" s="53"/>
      <c r="D898" s="53"/>
      <c r="E898" s="53"/>
      <c r="F898" s="61"/>
      <c r="G898" s="53"/>
      <c r="H898" s="53"/>
      <c r="I898" s="53"/>
      <c r="J898" s="47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9.5" customHeight="1">
      <c r="A899" s="49"/>
      <c r="B899" s="50"/>
      <c r="C899" s="50"/>
      <c r="D899" s="50"/>
      <c r="E899" s="50"/>
      <c r="F899" s="51"/>
      <c r="G899" s="50"/>
      <c r="H899" s="50"/>
      <c r="I899" s="50"/>
      <c r="J899" s="47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9.5" customHeight="1">
      <c r="A900" s="52"/>
      <c r="B900" s="53"/>
      <c r="C900" s="53"/>
      <c r="D900" s="53"/>
      <c r="E900" s="53"/>
      <c r="F900" s="61"/>
      <c r="G900" s="53"/>
      <c r="H900" s="53"/>
      <c r="I900" s="53"/>
      <c r="J900" s="47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9.5" customHeight="1">
      <c r="A901" s="49"/>
      <c r="B901" s="50"/>
      <c r="C901" s="50"/>
      <c r="D901" s="50"/>
      <c r="E901" s="50"/>
      <c r="F901" s="51"/>
      <c r="G901" s="50"/>
      <c r="H901" s="50"/>
      <c r="I901" s="50"/>
      <c r="J901" s="47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9.5" customHeight="1">
      <c r="A902" s="52"/>
      <c r="B902" s="53"/>
      <c r="C902" s="53"/>
      <c r="D902" s="53"/>
      <c r="E902" s="53"/>
      <c r="F902" s="61"/>
      <c r="G902" s="53"/>
      <c r="H902" s="53"/>
      <c r="I902" s="53"/>
      <c r="J902" s="47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9.5" customHeight="1">
      <c r="A903" s="49"/>
      <c r="B903" s="50"/>
      <c r="C903" s="50"/>
      <c r="D903" s="50"/>
      <c r="E903" s="50"/>
      <c r="F903" s="51"/>
      <c r="G903" s="50"/>
      <c r="H903" s="50"/>
      <c r="I903" s="50"/>
      <c r="J903" s="47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9.5" customHeight="1">
      <c r="A904" s="52"/>
      <c r="B904" s="53"/>
      <c r="C904" s="53"/>
      <c r="D904" s="53"/>
      <c r="E904" s="53"/>
      <c r="F904" s="61"/>
      <c r="G904" s="53"/>
      <c r="H904" s="53"/>
      <c r="I904" s="53"/>
      <c r="J904" s="47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9.5" customHeight="1">
      <c r="A905" s="49"/>
      <c r="B905" s="50"/>
      <c r="C905" s="50"/>
      <c r="D905" s="50"/>
      <c r="E905" s="50"/>
      <c r="F905" s="51"/>
      <c r="G905" s="50"/>
      <c r="H905" s="50"/>
      <c r="I905" s="50"/>
      <c r="J905" s="47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9.5" customHeight="1">
      <c r="A906" s="52"/>
      <c r="B906" s="53"/>
      <c r="C906" s="53"/>
      <c r="D906" s="53"/>
      <c r="E906" s="53"/>
      <c r="F906" s="61"/>
      <c r="G906" s="53"/>
      <c r="H906" s="53"/>
      <c r="I906" s="53"/>
      <c r="J906" s="47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9.5" customHeight="1">
      <c r="A907" s="49"/>
      <c r="B907" s="50"/>
      <c r="C907" s="50"/>
      <c r="D907" s="50"/>
      <c r="E907" s="50"/>
      <c r="F907" s="51"/>
      <c r="G907" s="50"/>
      <c r="H907" s="50"/>
      <c r="I907" s="50"/>
      <c r="J907" s="47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9.5" customHeight="1">
      <c r="A908" s="52"/>
      <c r="B908" s="53"/>
      <c r="C908" s="53"/>
      <c r="D908" s="53"/>
      <c r="E908" s="53"/>
      <c r="F908" s="61"/>
      <c r="G908" s="53"/>
      <c r="H908" s="53"/>
      <c r="I908" s="53"/>
      <c r="J908" s="47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9.5" customHeight="1">
      <c r="A909" s="49"/>
      <c r="B909" s="50"/>
      <c r="C909" s="50"/>
      <c r="D909" s="50"/>
      <c r="E909" s="50"/>
      <c r="F909" s="51"/>
      <c r="G909" s="50"/>
      <c r="H909" s="50"/>
      <c r="I909" s="50"/>
      <c r="J909" s="47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9.5" customHeight="1">
      <c r="A910" s="52"/>
      <c r="B910" s="53"/>
      <c r="C910" s="53"/>
      <c r="D910" s="53"/>
      <c r="E910" s="53"/>
      <c r="F910" s="61"/>
      <c r="G910" s="53"/>
      <c r="H910" s="53"/>
      <c r="I910" s="53"/>
      <c r="J910" s="47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9.5" customHeight="1">
      <c r="A911" s="49"/>
      <c r="B911" s="50"/>
      <c r="C911" s="50"/>
      <c r="D911" s="50"/>
      <c r="E911" s="50"/>
      <c r="F911" s="51"/>
      <c r="G911" s="50"/>
      <c r="H911" s="50"/>
      <c r="I911" s="50"/>
      <c r="J911" s="47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9.5" customHeight="1">
      <c r="A912" s="52"/>
      <c r="B912" s="53"/>
      <c r="C912" s="53"/>
      <c r="D912" s="53"/>
      <c r="E912" s="53"/>
      <c r="F912" s="61"/>
      <c r="G912" s="53"/>
      <c r="H912" s="53"/>
      <c r="I912" s="53"/>
      <c r="J912" s="47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9.5" customHeight="1">
      <c r="A913" s="49"/>
      <c r="B913" s="50"/>
      <c r="C913" s="50"/>
      <c r="D913" s="50"/>
      <c r="E913" s="50"/>
      <c r="F913" s="51"/>
      <c r="G913" s="50"/>
      <c r="H913" s="50"/>
      <c r="I913" s="50"/>
      <c r="J913" s="47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9.5" customHeight="1">
      <c r="A914" s="52"/>
      <c r="B914" s="53"/>
      <c r="C914" s="53"/>
      <c r="D914" s="53"/>
      <c r="E914" s="53"/>
      <c r="F914" s="61"/>
      <c r="G914" s="53"/>
      <c r="H914" s="53"/>
      <c r="I914" s="53"/>
      <c r="J914" s="47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9.5" customHeight="1">
      <c r="A915" s="49"/>
      <c r="B915" s="50"/>
      <c r="C915" s="50"/>
      <c r="D915" s="50"/>
      <c r="E915" s="50"/>
      <c r="F915" s="51"/>
      <c r="G915" s="50"/>
      <c r="H915" s="50"/>
      <c r="I915" s="50"/>
      <c r="J915" s="47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9.5" customHeight="1">
      <c r="A916" s="52"/>
      <c r="B916" s="53"/>
      <c r="C916" s="53"/>
      <c r="D916" s="53"/>
      <c r="E916" s="53"/>
      <c r="F916" s="61"/>
      <c r="G916" s="53"/>
      <c r="H916" s="53"/>
      <c r="I916" s="53"/>
      <c r="J916" s="47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9.5" customHeight="1">
      <c r="A917" s="49"/>
      <c r="B917" s="50"/>
      <c r="C917" s="50"/>
      <c r="D917" s="50"/>
      <c r="E917" s="50"/>
      <c r="F917" s="51"/>
      <c r="G917" s="50"/>
      <c r="H917" s="50"/>
      <c r="I917" s="50"/>
      <c r="J917" s="47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9.5" customHeight="1">
      <c r="A918" s="52"/>
      <c r="B918" s="53"/>
      <c r="C918" s="53"/>
      <c r="D918" s="53"/>
      <c r="E918" s="53"/>
      <c r="F918" s="61"/>
      <c r="G918" s="53"/>
      <c r="H918" s="53"/>
      <c r="I918" s="53"/>
      <c r="J918" s="47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9.5" customHeight="1">
      <c r="A919" s="49"/>
      <c r="B919" s="50"/>
      <c r="C919" s="50"/>
      <c r="D919" s="50"/>
      <c r="E919" s="50"/>
      <c r="F919" s="51"/>
      <c r="G919" s="50"/>
      <c r="H919" s="50"/>
      <c r="I919" s="50"/>
      <c r="J919" s="47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9.5" customHeight="1">
      <c r="A920" s="52"/>
      <c r="B920" s="53"/>
      <c r="C920" s="53"/>
      <c r="D920" s="53"/>
      <c r="E920" s="53"/>
      <c r="F920" s="61"/>
      <c r="G920" s="53"/>
      <c r="H920" s="53"/>
      <c r="I920" s="53"/>
      <c r="J920" s="47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9.5" customHeight="1">
      <c r="A921" s="49"/>
      <c r="B921" s="50"/>
      <c r="C921" s="50"/>
      <c r="D921" s="50"/>
      <c r="E921" s="50"/>
      <c r="F921" s="51"/>
      <c r="G921" s="50"/>
      <c r="H921" s="50"/>
      <c r="I921" s="50"/>
      <c r="J921" s="47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9.5" customHeight="1">
      <c r="A922" s="52"/>
      <c r="B922" s="53"/>
      <c r="C922" s="53"/>
      <c r="D922" s="53"/>
      <c r="E922" s="53"/>
      <c r="F922" s="61"/>
      <c r="G922" s="53"/>
      <c r="H922" s="53"/>
      <c r="I922" s="53"/>
      <c r="J922" s="47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9.5" customHeight="1">
      <c r="A923" s="49"/>
      <c r="B923" s="50"/>
      <c r="C923" s="50"/>
      <c r="D923" s="50"/>
      <c r="E923" s="50"/>
      <c r="F923" s="51"/>
      <c r="G923" s="50"/>
      <c r="H923" s="50"/>
      <c r="I923" s="50"/>
      <c r="J923" s="47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9.5" customHeight="1">
      <c r="A924" s="52"/>
      <c r="B924" s="53"/>
      <c r="C924" s="53"/>
      <c r="D924" s="53"/>
      <c r="E924" s="53"/>
      <c r="F924" s="61"/>
      <c r="G924" s="53"/>
      <c r="H924" s="53"/>
      <c r="I924" s="53"/>
      <c r="J924" s="47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9.5" customHeight="1">
      <c r="A925" s="49"/>
      <c r="B925" s="50"/>
      <c r="C925" s="50"/>
      <c r="D925" s="50"/>
      <c r="E925" s="50"/>
      <c r="F925" s="51"/>
      <c r="G925" s="50"/>
      <c r="H925" s="50"/>
      <c r="I925" s="50"/>
      <c r="J925" s="47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9.5" customHeight="1">
      <c r="A926" s="52"/>
      <c r="B926" s="53"/>
      <c r="C926" s="53"/>
      <c r="D926" s="53"/>
      <c r="E926" s="53"/>
      <c r="F926" s="61"/>
      <c r="G926" s="53"/>
      <c r="H926" s="53"/>
      <c r="I926" s="53"/>
      <c r="J926" s="47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9.5" customHeight="1">
      <c r="A927" s="49"/>
      <c r="B927" s="50"/>
      <c r="C927" s="50"/>
      <c r="D927" s="50"/>
      <c r="E927" s="50"/>
      <c r="F927" s="51"/>
      <c r="G927" s="50"/>
      <c r="H927" s="50"/>
      <c r="I927" s="50"/>
      <c r="J927" s="47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9.5" customHeight="1">
      <c r="A928" s="52"/>
      <c r="B928" s="53"/>
      <c r="C928" s="53"/>
      <c r="D928" s="53"/>
      <c r="E928" s="53"/>
      <c r="F928" s="61"/>
      <c r="G928" s="53"/>
      <c r="H928" s="53"/>
      <c r="I928" s="53"/>
      <c r="J928" s="47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9.5" customHeight="1">
      <c r="A929" s="49"/>
      <c r="B929" s="50"/>
      <c r="C929" s="50"/>
      <c r="D929" s="50"/>
      <c r="E929" s="50"/>
      <c r="F929" s="51"/>
      <c r="G929" s="50"/>
      <c r="H929" s="50"/>
      <c r="I929" s="50"/>
      <c r="J929" s="47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9.5" customHeight="1">
      <c r="A930" s="52"/>
      <c r="B930" s="53"/>
      <c r="C930" s="53"/>
      <c r="D930" s="53"/>
      <c r="E930" s="53"/>
      <c r="F930" s="61"/>
      <c r="G930" s="53"/>
      <c r="H930" s="53"/>
      <c r="I930" s="53"/>
      <c r="J930" s="47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9.5" customHeight="1">
      <c r="A931" s="49"/>
      <c r="B931" s="50"/>
      <c r="C931" s="50"/>
      <c r="D931" s="50"/>
      <c r="E931" s="50"/>
      <c r="F931" s="51"/>
      <c r="G931" s="50"/>
      <c r="H931" s="50"/>
      <c r="I931" s="50"/>
      <c r="J931" s="47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9.5" customHeight="1">
      <c r="A932" s="52"/>
      <c r="B932" s="53"/>
      <c r="C932" s="53"/>
      <c r="D932" s="53"/>
      <c r="E932" s="53"/>
      <c r="F932" s="61"/>
      <c r="G932" s="53"/>
      <c r="H932" s="53"/>
      <c r="I932" s="53"/>
      <c r="J932" s="47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9.5" customHeight="1">
      <c r="A933" s="49"/>
      <c r="B933" s="50"/>
      <c r="C933" s="50"/>
      <c r="D933" s="50"/>
      <c r="E933" s="50"/>
      <c r="F933" s="51"/>
      <c r="G933" s="50"/>
      <c r="H933" s="50"/>
      <c r="I933" s="50"/>
      <c r="J933" s="47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9.5" customHeight="1">
      <c r="A934" s="52"/>
      <c r="B934" s="53"/>
      <c r="C934" s="53"/>
      <c r="D934" s="53"/>
      <c r="E934" s="53"/>
      <c r="F934" s="61"/>
      <c r="G934" s="53"/>
      <c r="H934" s="53"/>
      <c r="I934" s="53"/>
      <c r="J934" s="47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9.5" customHeight="1">
      <c r="A935" s="49"/>
      <c r="B935" s="50"/>
      <c r="C935" s="50"/>
      <c r="D935" s="50"/>
      <c r="E935" s="50"/>
      <c r="F935" s="51"/>
      <c r="G935" s="50"/>
      <c r="H935" s="50"/>
      <c r="I935" s="50"/>
      <c r="J935" s="47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9.5" customHeight="1">
      <c r="A936" s="52"/>
      <c r="B936" s="53"/>
      <c r="C936" s="53"/>
      <c r="D936" s="53"/>
      <c r="E936" s="53"/>
      <c r="F936" s="61"/>
      <c r="G936" s="53"/>
      <c r="H936" s="53"/>
      <c r="I936" s="53"/>
      <c r="J936" s="47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9.5" customHeight="1">
      <c r="A937" s="49"/>
      <c r="B937" s="50"/>
      <c r="C937" s="50"/>
      <c r="D937" s="50"/>
      <c r="E937" s="50"/>
      <c r="F937" s="51"/>
      <c r="G937" s="50"/>
      <c r="H937" s="50"/>
      <c r="I937" s="50"/>
      <c r="J937" s="47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9.5" customHeight="1">
      <c r="A938" s="52"/>
      <c r="B938" s="53"/>
      <c r="C938" s="53"/>
      <c r="D938" s="53"/>
      <c r="E938" s="53"/>
      <c r="F938" s="61"/>
      <c r="G938" s="53"/>
      <c r="H938" s="53"/>
      <c r="I938" s="53"/>
      <c r="J938" s="47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9.5" customHeight="1">
      <c r="A939" s="49"/>
      <c r="B939" s="50"/>
      <c r="C939" s="50"/>
      <c r="D939" s="50"/>
      <c r="E939" s="50"/>
      <c r="F939" s="51"/>
      <c r="G939" s="50"/>
      <c r="H939" s="50"/>
      <c r="I939" s="50"/>
      <c r="J939" s="47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9.5" customHeight="1">
      <c r="A940" s="52"/>
      <c r="B940" s="53"/>
      <c r="C940" s="53"/>
      <c r="D940" s="53"/>
      <c r="E940" s="53"/>
      <c r="F940" s="61"/>
      <c r="G940" s="53"/>
      <c r="H940" s="53"/>
      <c r="I940" s="53"/>
      <c r="J940" s="47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9.5" customHeight="1">
      <c r="A941" s="49"/>
      <c r="B941" s="50"/>
      <c r="C941" s="50"/>
      <c r="D941" s="50"/>
      <c r="E941" s="50"/>
      <c r="F941" s="51"/>
      <c r="G941" s="50"/>
      <c r="H941" s="50"/>
      <c r="I941" s="50"/>
      <c r="J941" s="47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9.5" customHeight="1">
      <c r="A942" s="52"/>
      <c r="B942" s="53"/>
      <c r="C942" s="53"/>
      <c r="D942" s="53"/>
      <c r="E942" s="53"/>
      <c r="F942" s="61"/>
      <c r="G942" s="53"/>
      <c r="H942" s="53"/>
      <c r="I942" s="53"/>
      <c r="J942" s="47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9.5" customHeight="1">
      <c r="A943" s="49"/>
      <c r="B943" s="50"/>
      <c r="C943" s="50"/>
      <c r="D943" s="50"/>
      <c r="E943" s="50"/>
      <c r="F943" s="51"/>
      <c r="G943" s="50"/>
      <c r="H943" s="50"/>
      <c r="I943" s="50"/>
      <c r="J943" s="47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9.5" customHeight="1">
      <c r="A944" s="52"/>
      <c r="B944" s="53"/>
      <c r="C944" s="53"/>
      <c r="D944" s="53"/>
      <c r="E944" s="53"/>
      <c r="F944" s="61"/>
      <c r="G944" s="53"/>
      <c r="H944" s="53"/>
      <c r="I944" s="53"/>
      <c r="J944" s="47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9.5" customHeight="1">
      <c r="A945" s="49"/>
      <c r="B945" s="50"/>
      <c r="C945" s="50"/>
      <c r="D945" s="50"/>
      <c r="E945" s="50"/>
      <c r="F945" s="51"/>
      <c r="G945" s="50"/>
      <c r="H945" s="50"/>
      <c r="I945" s="50"/>
      <c r="J945" s="47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9.5" customHeight="1">
      <c r="A946" s="52"/>
      <c r="B946" s="53"/>
      <c r="C946" s="53"/>
      <c r="D946" s="53"/>
      <c r="E946" s="53"/>
      <c r="F946" s="61"/>
      <c r="G946" s="53"/>
      <c r="H946" s="53"/>
      <c r="I946" s="53"/>
      <c r="J946" s="47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9.5" customHeight="1">
      <c r="A947" s="49"/>
      <c r="B947" s="50"/>
      <c r="C947" s="50"/>
      <c r="D947" s="50"/>
      <c r="E947" s="50"/>
      <c r="F947" s="51"/>
      <c r="G947" s="50"/>
      <c r="H947" s="50"/>
      <c r="I947" s="50"/>
      <c r="J947" s="47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9.5" customHeight="1">
      <c r="A948" s="52"/>
      <c r="B948" s="53"/>
      <c r="C948" s="53"/>
      <c r="D948" s="53"/>
      <c r="E948" s="53"/>
      <c r="F948" s="61"/>
      <c r="G948" s="53"/>
      <c r="H948" s="53"/>
      <c r="I948" s="53"/>
      <c r="J948" s="47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9.5" customHeight="1">
      <c r="A949" s="49"/>
      <c r="B949" s="50"/>
      <c r="C949" s="50"/>
      <c r="D949" s="50"/>
      <c r="E949" s="50"/>
      <c r="F949" s="51"/>
      <c r="G949" s="50"/>
      <c r="H949" s="50"/>
      <c r="I949" s="50"/>
      <c r="J949" s="47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9.5" customHeight="1">
      <c r="A950" s="52"/>
      <c r="B950" s="53"/>
      <c r="C950" s="53"/>
      <c r="D950" s="53"/>
      <c r="E950" s="53"/>
      <c r="F950" s="61"/>
      <c r="G950" s="53"/>
      <c r="H950" s="53"/>
      <c r="I950" s="53"/>
      <c r="J950" s="47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9.5" customHeight="1">
      <c r="A951" s="49"/>
      <c r="B951" s="50"/>
      <c r="C951" s="50"/>
      <c r="D951" s="50"/>
      <c r="E951" s="50"/>
      <c r="F951" s="51"/>
      <c r="G951" s="50"/>
      <c r="H951" s="50"/>
      <c r="I951" s="50"/>
      <c r="J951" s="47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9.5" customHeight="1">
      <c r="A952" s="52"/>
      <c r="B952" s="53"/>
      <c r="C952" s="53"/>
      <c r="D952" s="53"/>
      <c r="E952" s="53"/>
      <c r="F952" s="61"/>
      <c r="G952" s="53"/>
      <c r="H952" s="53"/>
      <c r="I952" s="53"/>
      <c r="J952" s="47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9.5" customHeight="1">
      <c r="A953" s="49"/>
      <c r="B953" s="50"/>
      <c r="C953" s="50"/>
      <c r="D953" s="50"/>
      <c r="E953" s="50"/>
      <c r="F953" s="51"/>
      <c r="G953" s="50"/>
      <c r="H953" s="50"/>
      <c r="I953" s="50"/>
      <c r="J953" s="47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9.5" customHeight="1">
      <c r="A954" s="52"/>
      <c r="B954" s="53"/>
      <c r="C954" s="53"/>
      <c r="D954" s="53"/>
      <c r="E954" s="53"/>
      <c r="F954" s="61"/>
      <c r="G954" s="53"/>
      <c r="H954" s="53"/>
      <c r="I954" s="53"/>
      <c r="J954" s="47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9.5" customHeight="1">
      <c r="A955" s="49"/>
      <c r="B955" s="50"/>
      <c r="C955" s="50"/>
      <c r="D955" s="50"/>
      <c r="E955" s="50"/>
      <c r="F955" s="51"/>
      <c r="G955" s="50"/>
      <c r="H955" s="50"/>
      <c r="I955" s="50"/>
      <c r="J955" s="47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9.5" customHeight="1">
      <c r="A956" s="52"/>
      <c r="B956" s="53"/>
      <c r="C956" s="53"/>
      <c r="D956" s="53"/>
      <c r="E956" s="53"/>
      <c r="F956" s="61"/>
      <c r="G956" s="53"/>
      <c r="H956" s="53"/>
      <c r="I956" s="53"/>
      <c r="J956" s="47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9.5" customHeight="1">
      <c r="A957" s="49"/>
      <c r="B957" s="50"/>
      <c r="C957" s="50"/>
      <c r="D957" s="50"/>
      <c r="E957" s="50"/>
      <c r="F957" s="51"/>
      <c r="G957" s="50"/>
      <c r="H957" s="50"/>
      <c r="I957" s="50"/>
      <c r="J957" s="47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9.5" customHeight="1">
      <c r="A958" s="52"/>
      <c r="B958" s="53"/>
      <c r="C958" s="53"/>
      <c r="D958" s="53"/>
      <c r="E958" s="53"/>
      <c r="F958" s="61"/>
      <c r="G958" s="53"/>
      <c r="H958" s="53"/>
      <c r="I958" s="53"/>
      <c r="J958" s="47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9.5" customHeight="1">
      <c r="A959" s="49"/>
      <c r="B959" s="50"/>
      <c r="C959" s="50"/>
      <c r="D959" s="50"/>
      <c r="E959" s="50"/>
      <c r="F959" s="51"/>
      <c r="G959" s="50"/>
      <c r="H959" s="50"/>
      <c r="I959" s="50"/>
      <c r="J959" s="47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9.5" customHeight="1">
      <c r="A960" s="52"/>
      <c r="B960" s="53"/>
      <c r="C960" s="53"/>
      <c r="D960" s="53"/>
      <c r="E960" s="53"/>
      <c r="F960" s="61"/>
      <c r="G960" s="53"/>
      <c r="H960" s="53"/>
      <c r="I960" s="53"/>
      <c r="J960" s="47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9.5" customHeight="1">
      <c r="A961" s="49"/>
      <c r="B961" s="50"/>
      <c r="C961" s="50"/>
      <c r="D961" s="50"/>
      <c r="E961" s="50"/>
      <c r="F961" s="51"/>
      <c r="G961" s="50"/>
      <c r="H961" s="50"/>
      <c r="I961" s="50"/>
      <c r="J961" s="47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9.5" customHeight="1">
      <c r="A962" s="52"/>
      <c r="B962" s="53"/>
      <c r="C962" s="53"/>
      <c r="D962" s="53"/>
      <c r="E962" s="53"/>
      <c r="F962" s="61"/>
      <c r="G962" s="53"/>
      <c r="H962" s="53"/>
      <c r="I962" s="53"/>
      <c r="J962" s="47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9.5" customHeight="1">
      <c r="A963" s="49"/>
      <c r="B963" s="50"/>
      <c r="C963" s="50"/>
      <c r="D963" s="50"/>
      <c r="E963" s="50"/>
      <c r="F963" s="51"/>
      <c r="G963" s="50"/>
      <c r="H963" s="50"/>
      <c r="I963" s="50"/>
      <c r="J963" s="47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9.5" customHeight="1">
      <c r="A964" s="52"/>
      <c r="B964" s="53"/>
      <c r="C964" s="53"/>
      <c r="D964" s="53"/>
      <c r="E964" s="53"/>
      <c r="F964" s="61"/>
      <c r="G964" s="53"/>
      <c r="H964" s="53"/>
      <c r="I964" s="53"/>
      <c r="J964" s="47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9.5" customHeight="1">
      <c r="A965" s="49"/>
      <c r="B965" s="50"/>
      <c r="C965" s="50"/>
      <c r="D965" s="50"/>
      <c r="E965" s="50"/>
      <c r="F965" s="51"/>
      <c r="G965" s="50"/>
      <c r="H965" s="50"/>
      <c r="I965" s="50"/>
      <c r="J965" s="47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9.5" customHeight="1">
      <c r="A966" s="52"/>
      <c r="B966" s="53"/>
      <c r="C966" s="53"/>
      <c r="D966" s="53"/>
      <c r="E966" s="53"/>
      <c r="F966" s="61"/>
      <c r="G966" s="53"/>
      <c r="H966" s="53"/>
      <c r="I966" s="53"/>
      <c r="J966" s="47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9.5" customHeight="1">
      <c r="A967" s="49"/>
      <c r="B967" s="50"/>
      <c r="C967" s="50"/>
      <c r="D967" s="50"/>
      <c r="E967" s="50"/>
      <c r="F967" s="51"/>
      <c r="G967" s="50"/>
      <c r="H967" s="50"/>
      <c r="I967" s="50"/>
      <c r="J967" s="47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9.5" customHeight="1">
      <c r="A968" s="52"/>
      <c r="B968" s="53"/>
      <c r="C968" s="53"/>
      <c r="D968" s="53"/>
      <c r="E968" s="53"/>
      <c r="F968" s="61"/>
      <c r="G968" s="53"/>
      <c r="H968" s="53"/>
      <c r="I968" s="53"/>
      <c r="J968" s="47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9.5" customHeight="1">
      <c r="A969" s="49"/>
      <c r="B969" s="50"/>
      <c r="C969" s="50"/>
      <c r="D969" s="50"/>
      <c r="E969" s="50"/>
      <c r="F969" s="51"/>
      <c r="G969" s="50"/>
      <c r="H969" s="50"/>
      <c r="I969" s="50"/>
      <c r="J969" s="47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9.5" customHeight="1">
      <c r="A970" s="52"/>
      <c r="B970" s="53"/>
      <c r="C970" s="53"/>
      <c r="D970" s="53"/>
      <c r="E970" s="53"/>
      <c r="F970" s="61"/>
      <c r="G970" s="53"/>
      <c r="H970" s="53"/>
      <c r="I970" s="53"/>
      <c r="J970" s="47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9.5" customHeight="1">
      <c r="A971" s="49"/>
      <c r="B971" s="50"/>
      <c r="C971" s="50"/>
      <c r="D971" s="50"/>
      <c r="E971" s="50"/>
      <c r="F971" s="51"/>
      <c r="G971" s="50"/>
      <c r="H971" s="50"/>
      <c r="I971" s="50"/>
      <c r="J971" s="47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9.5" customHeight="1">
      <c r="A972" s="52"/>
      <c r="B972" s="53"/>
      <c r="C972" s="53"/>
      <c r="D972" s="53"/>
      <c r="E972" s="53"/>
      <c r="F972" s="61"/>
      <c r="G972" s="53"/>
      <c r="H972" s="53"/>
      <c r="I972" s="53"/>
      <c r="J972" s="47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9.5" customHeight="1">
      <c r="A973" s="49"/>
      <c r="B973" s="50"/>
      <c r="C973" s="50"/>
      <c r="D973" s="50"/>
      <c r="E973" s="50"/>
      <c r="F973" s="51"/>
      <c r="G973" s="50"/>
      <c r="H973" s="50"/>
      <c r="I973" s="50"/>
      <c r="J973" s="47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9.5" customHeight="1">
      <c r="A974" s="52"/>
      <c r="B974" s="53"/>
      <c r="C974" s="53"/>
      <c r="D974" s="53"/>
      <c r="E974" s="53"/>
      <c r="F974" s="61"/>
      <c r="G974" s="53"/>
      <c r="H974" s="53"/>
      <c r="I974" s="53"/>
      <c r="J974" s="47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9.5" customHeight="1">
      <c r="A975" s="49"/>
      <c r="B975" s="50"/>
      <c r="C975" s="50"/>
      <c r="D975" s="50"/>
      <c r="E975" s="50"/>
      <c r="F975" s="51"/>
      <c r="G975" s="50"/>
      <c r="H975" s="50"/>
      <c r="I975" s="50"/>
      <c r="J975" s="47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9.5" customHeight="1">
      <c r="A976" s="52"/>
      <c r="B976" s="53"/>
      <c r="C976" s="53"/>
      <c r="D976" s="53"/>
      <c r="E976" s="53"/>
      <c r="F976" s="61"/>
      <c r="G976" s="53"/>
      <c r="H976" s="53"/>
      <c r="I976" s="53"/>
      <c r="J976" s="47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9.5" customHeight="1">
      <c r="A977" s="49"/>
      <c r="B977" s="50"/>
      <c r="C977" s="50"/>
      <c r="D977" s="50"/>
      <c r="E977" s="50"/>
      <c r="F977" s="51"/>
      <c r="G977" s="50"/>
      <c r="H977" s="50"/>
      <c r="I977" s="50"/>
      <c r="J977" s="47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9.5" customHeight="1">
      <c r="A978" s="52"/>
      <c r="B978" s="53"/>
      <c r="C978" s="53"/>
      <c r="D978" s="53"/>
      <c r="E978" s="53"/>
      <c r="F978" s="61"/>
      <c r="G978" s="53"/>
      <c r="H978" s="53"/>
      <c r="I978" s="53"/>
      <c r="J978" s="47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9.5" customHeight="1">
      <c r="A979" s="49"/>
      <c r="B979" s="50"/>
      <c r="C979" s="50"/>
      <c r="D979" s="50"/>
      <c r="E979" s="50"/>
      <c r="F979" s="51"/>
      <c r="G979" s="50"/>
      <c r="H979" s="50"/>
      <c r="I979" s="50"/>
      <c r="J979" s="47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9.5" customHeight="1">
      <c r="A980" s="52"/>
      <c r="B980" s="53"/>
      <c r="C980" s="53"/>
      <c r="D980" s="53"/>
      <c r="E980" s="53"/>
      <c r="F980" s="61"/>
      <c r="G980" s="53"/>
      <c r="H980" s="53"/>
      <c r="I980" s="53"/>
      <c r="J980" s="47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9.5" customHeight="1">
      <c r="A981" s="49"/>
      <c r="B981" s="50"/>
      <c r="C981" s="50"/>
      <c r="D981" s="50"/>
      <c r="E981" s="50"/>
      <c r="F981" s="51"/>
      <c r="G981" s="50"/>
      <c r="H981" s="50"/>
      <c r="I981" s="50"/>
      <c r="J981" s="47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9.5" customHeight="1">
      <c r="A982" s="52"/>
      <c r="B982" s="53"/>
      <c r="C982" s="53"/>
      <c r="D982" s="53"/>
      <c r="E982" s="53"/>
      <c r="F982" s="61"/>
      <c r="G982" s="53"/>
      <c r="H982" s="53"/>
      <c r="I982" s="53"/>
      <c r="J982" s="47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9.5" customHeight="1">
      <c r="A983" s="49"/>
      <c r="B983" s="50"/>
      <c r="C983" s="50"/>
      <c r="D983" s="50"/>
      <c r="E983" s="50"/>
      <c r="F983" s="51"/>
      <c r="G983" s="50"/>
      <c r="H983" s="50"/>
      <c r="I983" s="50"/>
      <c r="J983" s="47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9.5" customHeight="1">
      <c r="A984" s="52"/>
      <c r="B984" s="53"/>
      <c r="C984" s="53"/>
      <c r="D984" s="53"/>
      <c r="E984" s="53"/>
      <c r="F984" s="61"/>
      <c r="G984" s="53"/>
      <c r="H984" s="53"/>
      <c r="I984" s="53"/>
      <c r="J984" s="47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9.5" customHeight="1">
      <c r="A985" s="49"/>
      <c r="B985" s="50"/>
      <c r="C985" s="50"/>
      <c r="D985" s="50"/>
      <c r="E985" s="50"/>
      <c r="F985" s="51"/>
      <c r="G985" s="50"/>
      <c r="H985" s="50"/>
      <c r="I985" s="50"/>
      <c r="J985" s="47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9.5" customHeight="1">
      <c r="A986" s="52"/>
      <c r="B986" s="53"/>
      <c r="C986" s="53"/>
      <c r="D986" s="53"/>
      <c r="E986" s="53"/>
      <c r="F986" s="61"/>
      <c r="G986" s="53"/>
      <c r="H986" s="53"/>
      <c r="I986" s="53"/>
      <c r="J986" s="47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9.5" customHeight="1">
      <c r="A987" s="49"/>
      <c r="B987" s="50"/>
      <c r="C987" s="50"/>
      <c r="D987" s="50"/>
      <c r="E987" s="50"/>
      <c r="F987" s="51"/>
      <c r="G987" s="50"/>
      <c r="H987" s="50"/>
      <c r="I987" s="50"/>
      <c r="J987" s="47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9.5" customHeight="1">
      <c r="A988" s="52"/>
      <c r="B988" s="53"/>
      <c r="C988" s="53"/>
      <c r="D988" s="53"/>
      <c r="E988" s="53"/>
      <c r="F988" s="61"/>
      <c r="G988" s="53"/>
      <c r="H988" s="53"/>
      <c r="I988" s="53"/>
      <c r="J988" s="47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9.5" customHeight="1">
      <c r="A989" s="49"/>
      <c r="B989" s="50"/>
      <c r="C989" s="50"/>
      <c r="D989" s="50"/>
      <c r="E989" s="50"/>
      <c r="F989" s="51"/>
      <c r="G989" s="50"/>
      <c r="H989" s="50"/>
      <c r="I989" s="50"/>
      <c r="J989" s="47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12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12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12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12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</sheetData>
  <mergeCells count="1">
    <mergeCell ref="A1:I1"/>
  </mergeCells>
  <dataValidations>
    <dataValidation type="list" allowBlank="1" sqref="C7:C989">
      <formula1>"Dues,Tournament Fee,Field Fee,Hotel,Travel,Equipment,Fundraiser Income,Sponsorship,Refund,Other"</formula1>
    </dataValidation>
    <dataValidation type="list" allowBlank="1" sqref="D7:D989">
      <formula1>"Income,Expense,Fundraiser,Credit"</formula1>
    </dataValidation>
    <dataValidation type="list" allowBlank="1" sqref="G7:G989">
      <formula1>Events!$A$5:$A$505</formula1>
    </dataValidation>
    <dataValidation type="list" allowBlank="1" sqref="I7:I989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156</v>
      </c>
      <c r="B1" s="3"/>
      <c r="C1" s="3"/>
      <c r="D1" s="3"/>
      <c r="E1" s="3"/>
      <c r="F1" s="3"/>
      <c r="G1" s="3"/>
      <c r="H1" s="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74"/>
      <c r="H2" s="74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75" t="s">
        <v>157</v>
      </c>
      <c r="B3" s="75" t="s">
        <v>158</v>
      </c>
      <c r="C3" s="75" t="s">
        <v>159</v>
      </c>
      <c r="D3" s="75" t="s">
        <v>160</v>
      </c>
      <c r="E3" s="75" t="s">
        <v>161</v>
      </c>
      <c r="F3" s="74"/>
      <c r="G3" s="74"/>
      <c r="H3" s="74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76">
        <f>SUMIF(E7:E206,"&gt;0",E7:E206)</f>
        <v>0</v>
      </c>
      <c r="B4" s="76">
        <f>SUMIF(E7:E206,"&lt;0",E7:E206)</f>
        <v>-21402.54</v>
      </c>
      <c r="C4" s="76">
        <f>SUM(E7:E206)</f>
        <v>-21402.54</v>
      </c>
      <c r="D4" s="77">
        <f>COUNTIF(F7:F206,"Settled")</f>
        <v>9</v>
      </c>
      <c r="E4" s="77">
        <f>COUNTIF(F7:F206,"Unsettled")</f>
        <v>29</v>
      </c>
      <c r="F4" s="74"/>
      <c r="G4" s="74"/>
      <c r="H4" s="7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9"/>
      <c r="G5" s="74"/>
      <c r="H5" s="74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4" t="s">
        <v>86</v>
      </c>
      <c r="B6" s="14" t="s">
        <v>162</v>
      </c>
      <c r="C6" s="14" t="s">
        <v>163</v>
      </c>
      <c r="D6" s="14" t="s">
        <v>164</v>
      </c>
      <c r="E6" s="14" t="s">
        <v>165</v>
      </c>
      <c r="F6" s="14" t="s">
        <v>18</v>
      </c>
      <c r="G6" s="14" t="s">
        <v>166</v>
      </c>
      <c r="H6" s="74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0</v>
      </c>
      <c r="C7" s="79">
        <f>IF(A7&lt;&gt;"",SUMIFS(Transactions!$F$7:$F$989,Transactions!$D$7:$D$989,"Income",Transactions!$E$7:$E$989,A7),"")</f>
        <v>470.58</v>
      </c>
      <c r="D7" s="79">
        <f>IF(A7&lt;&gt;"",SUMIFS(Transactions!$F$7:$F$989,Transactions!$D$7:$D$989,"Expense",Transactions!$E$7:$E$989,A7),"")</f>
        <v>0</v>
      </c>
      <c r="E7" s="76">
        <f t="shared" ref="E7:E206" si="1">IF(A7&lt;&gt;"",B7-C7-D7-G7,"")</f>
        <v>-470.58</v>
      </c>
      <c r="F7" s="76" t="str">
        <f t="shared" ref="F7:F206" si="2">IF(A7&lt;&gt;"",IF(E7=0,"Settled","Unsettled"),"")</f>
        <v>Unsettled</v>
      </c>
      <c r="G7" s="80">
        <f>IF(A7&lt;&gt;"",SUMIFS(Transactions!$F$7:$F$989,Transactions!$D$7:$D$989,"Credit",Transactions!$H$7:$H$989,A7),"")</f>
        <v>0</v>
      </c>
      <c r="H7" s="74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0</v>
      </c>
      <c r="C8" s="79">
        <f>IF(A8&lt;&gt;"",SUMIFS(Transactions!$F$7:$F$989,Transactions!$D$7:$D$989,"Income",Transactions!$E$7:$E$989,A8),"")</f>
        <v>0</v>
      </c>
      <c r="D8" s="79">
        <f>IF(A8&lt;&gt;"",SUMIFS(Transactions!$F$7:$F$989,Transactions!$D$7:$D$989,"Expense",Transactions!$E$7:$E$989,A8),"")</f>
        <v>180</v>
      </c>
      <c r="E8" s="76">
        <f t="shared" si="1"/>
        <v>-180</v>
      </c>
      <c r="F8" s="76" t="str">
        <f t="shared" si="2"/>
        <v>Unsettled</v>
      </c>
      <c r="G8" s="80">
        <f>IF(A8&lt;&gt;"",SUMIFS(Transactions!$F$7:$F$989,Transactions!$D$7:$D$989,"Credit",Transactions!$H$7:$H$989,A8),"")</f>
        <v>0</v>
      </c>
      <c r="H8" s="74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0</v>
      </c>
      <c r="C9" s="79">
        <f>IF(A9&lt;&gt;"",SUMIFS(Transactions!$F$7:$F$989,Transactions!$D$7:$D$989,"Income",Transactions!$E$7:$E$989,A9),"")</f>
        <v>208.36</v>
      </c>
      <c r="D9" s="79">
        <f>IF(A9&lt;&gt;"",SUMIFS(Transactions!$F$7:$F$989,Transactions!$D$7:$D$989,"Expense",Transactions!$E$7:$E$989,A9),"")</f>
        <v>0</v>
      </c>
      <c r="E9" s="76">
        <f t="shared" si="1"/>
        <v>-208.36</v>
      </c>
      <c r="F9" s="76" t="str">
        <f t="shared" si="2"/>
        <v>Unsettled</v>
      </c>
      <c r="G9" s="80">
        <f>IF(A9&lt;&gt;"",SUMIFS(Transactions!$F$7:$F$989,Transactions!$D$7:$D$989,"Credit",Transactions!$H$7:$H$989,A9),"")</f>
        <v>0</v>
      </c>
      <c r="H9" s="74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0</v>
      </c>
      <c r="C10" s="79">
        <f>IF(A10&lt;&gt;"",SUMIFS(Transactions!$F$7:$F$989,Transactions!$D$7:$D$989,"Income",Transactions!$E$7:$E$989,A10),"")</f>
        <v>56.24</v>
      </c>
      <c r="D10" s="79">
        <f>IF(A10&lt;&gt;"",SUMIFS(Transactions!$F$7:$F$989,Transactions!$D$7:$D$989,"Expense",Transactions!$E$7:$E$989,A10),"")</f>
        <v>343.41</v>
      </c>
      <c r="E10" s="76">
        <f t="shared" si="1"/>
        <v>-399.65</v>
      </c>
      <c r="F10" s="76" t="str">
        <f t="shared" si="2"/>
        <v>Unsettled</v>
      </c>
      <c r="G10" s="80">
        <f>IF(A10&lt;&gt;"",SUMIFS(Transactions!$F$7:$F$989,Transactions!$D$7:$D$989,"Credit",Transactions!$H$7:$H$989,A10),"")</f>
        <v>0</v>
      </c>
      <c r="H10" s="74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0</v>
      </c>
      <c r="C11" s="79">
        <f>IF(A11&lt;&gt;"",SUMIFS(Transactions!$F$7:$F$989,Transactions!$D$7:$D$989,"Income",Transactions!$E$7:$E$989,A11),"")</f>
        <v>0</v>
      </c>
      <c r="D11" s="79">
        <f>IF(A11&lt;&gt;"",SUMIFS(Transactions!$F$7:$F$989,Transactions!$D$7:$D$989,"Expense",Transactions!$E$7:$E$989,A11),"")</f>
        <v>90</v>
      </c>
      <c r="E11" s="76">
        <f t="shared" si="1"/>
        <v>-118</v>
      </c>
      <c r="F11" s="76" t="str">
        <f t="shared" si="2"/>
        <v>Unsettled</v>
      </c>
      <c r="G11" s="80">
        <f>IF(A11&lt;&gt;"",SUMIFS(Transactions!$F$7:$F$989,Transactions!$D$7:$D$989,"Credit",Transactions!$H$7:$H$989,A11),"")</f>
        <v>28</v>
      </c>
      <c r="H11" s="74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0</v>
      </c>
      <c r="C12" s="82">
        <f>IF(A12&lt;&gt;"",SUMIFS(Transactions!$F$7:$F$989,Transactions!$D$7:$D$989,"Income",Transactions!$E$7:$E$989,A12),"")</f>
        <v>411.34</v>
      </c>
      <c r="D12" s="82">
        <f>IF(A12&lt;&gt;"",SUMIFS(Transactions!$F$7:$F$989,Transactions!$D$7:$D$989,"Expense",Transactions!$E$7:$E$989,A12),"")</f>
        <v>0</v>
      </c>
      <c r="E12" s="83">
        <f t="shared" si="1"/>
        <v>-411.34</v>
      </c>
      <c r="F12" s="83" t="str">
        <f t="shared" si="2"/>
        <v>Unsettled</v>
      </c>
      <c r="G12" s="80">
        <f>IF(A12&lt;&gt;"",SUMIFS(Transactions!$F$7:$F$989,Transactions!$D$7:$D$989,"Credit",Transactions!$H$7:$H$989,A12),"")</f>
        <v>0</v>
      </c>
      <c r="H12" s="74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0</v>
      </c>
      <c r="C13" s="79">
        <f>IF(A13&lt;&gt;"",SUMIFS(Transactions!$F$7:$F$989,Transactions!$D$7:$D$989,"Income",Transactions!$E$7:$E$989,A13),"")</f>
        <v>202.89</v>
      </c>
      <c r="D13" s="79">
        <f>IF(A13&lt;&gt;"",SUMIFS(Transactions!$F$7:$F$989,Transactions!$D$7:$D$989,"Expense",Transactions!$E$7:$E$989,A13),"")</f>
        <v>127.02</v>
      </c>
      <c r="E13" s="76">
        <f t="shared" si="1"/>
        <v>-329.91</v>
      </c>
      <c r="F13" s="76" t="str">
        <f t="shared" si="2"/>
        <v>Unsettled</v>
      </c>
      <c r="G13" s="80">
        <f>IF(A13&lt;&gt;"",SUMIFS(Transactions!$F$7:$F$989,Transactions!$D$7:$D$989,"Credit",Transactions!$H$7:$H$989,A13),"")</f>
        <v>0</v>
      </c>
      <c r="H13" s="74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0</v>
      </c>
      <c r="C14" s="82">
        <f>IF(A14&lt;&gt;"",SUMIFS(Transactions!$F$7:$F$989,Transactions!$D$7:$D$989,"Income",Transactions!$E$7:$E$989,A14),"")</f>
        <v>0</v>
      </c>
      <c r="D14" s="82">
        <f>IF(A14&lt;&gt;"",SUMIFS(Transactions!$F$7:$F$989,Transactions!$D$7:$D$989,"Expense",Transactions!$E$7:$E$989,A14),"")</f>
        <v>5576.93</v>
      </c>
      <c r="E14" s="83">
        <f t="shared" si="1"/>
        <v>-564.65</v>
      </c>
      <c r="F14" s="83" t="str">
        <f t="shared" si="2"/>
        <v>Unsettled</v>
      </c>
      <c r="G14" s="80">
        <f>IF(A14&lt;&gt;"",SUMIFS(Transactions!$F$7:$F$989,Transactions!$D$7:$D$989,"Credit",Transactions!$H$7:$H$989,A14),"")</f>
        <v>-5012.28</v>
      </c>
      <c r="H14" s="74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0</v>
      </c>
      <c r="C15" s="79">
        <f>IF(A15&lt;&gt;"",SUMIFS(Transactions!$F$7:$F$989,Transactions!$D$7:$D$989,"Income",Transactions!$E$7:$E$989,A15),"")</f>
        <v>0</v>
      </c>
      <c r="D15" s="79">
        <f>IF(A15&lt;&gt;"",SUMIFS(Transactions!$F$7:$F$989,Transactions!$D$7:$D$989,"Expense",Transactions!$E$7:$E$989,A15),"")</f>
        <v>23.87</v>
      </c>
      <c r="E15" s="76">
        <f t="shared" si="1"/>
        <v>-23.87</v>
      </c>
      <c r="F15" s="76" t="str">
        <f t="shared" si="2"/>
        <v>Unsettled</v>
      </c>
      <c r="G15" s="80">
        <f>IF(A15&lt;&gt;"",SUMIFS(Transactions!$F$7:$F$989,Transactions!$D$7:$D$989,"Credit",Transactions!$H$7:$H$989,A15),"")</f>
        <v>0</v>
      </c>
      <c r="H15" s="74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0</v>
      </c>
      <c r="C16" s="82">
        <f>IF(A16&lt;&gt;"",SUMIFS(Transactions!$F$7:$F$989,Transactions!$D$7:$D$989,"Income",Transactions!$E$7:$E$989,A16),"")</f>
        <v>359.25</v>
      </c>
      <c r="D16" s="82">
        <f>IF(A16&lt;&gt;"",SUMIFS(Transactions!$F$7:$F$989,Transactions!$D$7:$D$989,"Expense",Transactions!$E$7:$E$989,A16),"")</f>
        <v>6389.97</v>
      </c>
      <c r="E16" s="83">
        <f t="shared" si="1"/>
        <v>-6808.06</v>
      </c>
      <c r="F16" s="83" t="str">
        <f t="shared" si="2"/>
        <v>Unsettled</v>
      </c>
      <c r="G16" s="80">
        <f>IF(A16&lt;&gt;"",SUMIFS(Transactions!$F$7:$F$989,Transactions!$D$7:$D$989,"Credit",Transactions!$H$7:$H$989,A16),"")</f>
        <v>58.84</v>
      </c>
      <c r="H16" s="74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0</v>
      </c>
      <c r="C17" s="79">
        <f>IF(A17&lt;&gt;"",SUMIFS(Transactions!$F$7:$F$989,Transactions!$D$7:$D$989,"Income",Transactions!$E$7:$E$989,A17),"")</f>
        <v>300</v>
      </c>
      <c r="D17" s="79">
        <f>IF(A17&lt;&gt;"",SUMIFS(Transactions!$F$7:$F$989,Transactions!$D$7:$D$989,"Expense",Transactions!$E$7:$E$989,A17),"")</f>
        <v>185.69</v>
      </c>
      <c r="E17" s="76">
        <f t="shared" si="1"/>
        <v>-485.69</v>
      </c>
      <c r="F17" s="76" t="str">
        <f t="shared" si="2"/>
        <v>Unsettled</v>
      </c>
      <c r="G17" s="80">
        <f>IF(A17&lt;&gt;"",SUMIFS(Transactions!$F$7:$F$989,Transactions!$D$7:$D$989,"Credit",Transactions!$H$7:$H$989,A17),"")</f>
        <v>0</v>
      </c>
      <c r="H17" s="74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0</v>
      </c>
      <c r="C18" s="82">
        <f>IF(A18&lt;&gt;"",SUMIFS(Transactions!$F$7:$F$989,Transactions!$D$7:$D$989,"Income",Transactions!$E$7:$E$989,A18),"")</f>
        <v>28.75</v>
      </c>
      <c r="D18" s="82">
        <f>IF(A18&lt;&gt;"",SUMIFS(Transactions!$F$7:$F$989,Transactions!$D$7:$D$989,"Expense",Transactions!$E$7:$E$989,A18),"")</f>
        <v>0</v>
      </c>
      <c r="E18" s="83">
        <f t="shared" si="1"/>
        <v>-28.75</v>
      </c>
      <c r="F18" s="83" t="str">
        <f t="shared" si="2"/>
        <v>Unsettled</v>
      </c>
      <c r="G18" s="80">
        <f>IF(A18&lt;&gt;"",SUMIFS(Transactions!$F$7:$F$989,Transactions!$D$7:$D$989,"Credit",Transactions!$H$7:$H$989,A18),"")</f>
        <v>0</v>
      </c>
      <c r="H18" s="74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0</v>
      </c>
      <c r="C19" s="79">
        <f>IF(A19&lt;&gt;"",SUMIFS(Transactions!$F$7:$F$989,Transactions!$D$7:$D$989,"Income",Transactions!$E$7:$E$989,A19),"")</f>
        <v>0</v>
      </c>
      <c r="D19" s="79">
        <f>IF(A19&lt;&gt;"",SUMIFS(Transactions!$F$7:$F$989,Transactions!$D$7:$D$989,"Expense",Transactions!$E$7:$E$989,A19),"")</f>
        <v>0</v>
      </c>
      <c r="E19" s="76">
        <f t="shared" si="1"/>
        <v>0</v>
      </c>
      <c r="F19" s="76" t="str">
        <f t="shared" si="2"/>
        <v>Settled</v>
      </c>
      <c r="G19" s="80">
        <f>IF(A19&lt;&gt;"",SUMIFS(Transactions!$F$7:$F$989,Transactions!$D$7:$D$989,"Credit",Transactions!$H$7:$H$989,A19),"")</f>
        <v>0</v>
      </c>
      <c r="H19" s="74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0</v>
      </c>
      <c r="C20" s="82">
        <f>IF(A20&lt;&gt;"",SUMIFS(Transactions!$F$7:$F$989,Transactions!$D$7:$D$989,"Income",Transactions!$E$7:$E$989,A20),"")</f>
        <v>202.89</v>
      </c>
      <c r="D20" s="82">
        <f>IF(A20&lt;&gt;"",SUMIFS(Transactions!$F$7:$F$989,Transactions!$D$7:$D$989,"Expense",Transactions!$E$7:$E$989,A20),"")</f>
        <v>55.5</v>
      </c>
      <c r="E20" s="83">
        <f t="shared" si="1"/>
        <v>-258.39</v>
      </c>
      <c r="F20" s="83" t="str">
        <f t="shared" si="2"/>
        <v>Unsettled</v>
      </c>
      <c r="G20" s="80">
        <f>IF(A20&lt;&gt;"",SUMIFS(Transactions!$F$7:$F$989,Transactions!$D$7:$D$989,"Credit",Transactions!$H$7:$H$989,A20),"")</f>
        <v>0</v>
      </c>
      <c r="H20" s="74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0</v>
      </c>
      <c r="C21" s="79">
        <f>IF(A21&lt;&gt;"",SUMIFS(Transactions!$F$7:$F$989,Transactions!$D$7:$D$989,"Income",Transactions!$E$7:$E$989,A21),"")</f>
        <v>409.05</v>
      </c>
      <c r="D21" s="79">
        <f>IF(A21&lt;&gt;"",SUMIFS(Transactions!$F$7:$F$989,Transactions!$D$7:$D$989,"Expense",Transactions!$E$7:$E$989,A21),"")</f>
        <v>0</v>
      </c>
      <c r="E21" s="76">
        <f t="shared" si="1"/>
        <v>-409.05</v>
      </c>
      <c r="F21" s="76" t="str">
        <f t="shared" si="2"/>
        <v>Unsettled</v>
      </c>
      <c r="G21" s="80">
        <f>IF(A21&lt;&gt;"",SUMIFS(Transactions!$F$7:$F$989,Transactions!$D$7:$D$989,"Credit",Transactions!$H$7:$H$989,A21),"")</f>
        <v>0</v>
      </c>
      <c r="H21" s="74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0</v>
      </c>
      <c r="C22" s="82">
        <f>IF(A22&lt;&gt;"",SUMIFS(Transactions!$F$7:$F$989,Transactions!$D$7:$D$989,"Income",Transactions!$E$7:$E$989,A22),"")</f>
        <v>0</v>
      </c>
      <c r="D22" s="82">
        <f>IF(A22&lt;&gt;"",SUMIFS(Transactions!$F$7:$F$989,Transactions!$D$7:$D$989,"Expense",Transactions!$E$7:$E$989,A22),"")</f>
        <v>0</v>
      </c>
      <c r="E22" s="83">
        <f t="shared" si="1"/>
        <v>0</v>
      </c>
      <c r="F22" s="83" t="str">
        <f t="shared" si="2"/>
        <v>Settled</v>
      </c>
      <c r="G22" s="80">
        <f>IF(A22&lt;&gt;"",SUMIFS(Transactions!$F$7:$F$989,Transactions!$D$7:$D$989,"Credit",Transactions!$H$7:$H$989,A22),"")</f>
        <v>0</v>
      </c>
      <c r="H22" s="74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0</v>
      </c>
      <c r="C23" s="79">
        <f>IF(A23&lt;&gt;"",SUMIFS(Transactions!$F$7:$F$989,Transactions!$D$7:$D$989,"Income",Transactions!$E$7:$E$989,A23),"")</f>
        <v>400</v>
      </c>
      <c r="D23" s="79">
        <f>IF(A23&lt;&gt;"",SUMIFS(Transactions!$F$7:$F$989,Transactions!$D$7:$D$989,"Expense",Transactions!$E$7:$E$989,A23),"")</f>
        <v>236.95</v>
      </c>
      <c r="E23" s="76">
        <f t="shared" si="1"/>
        <v>-636.95</v>
      </c>
      <c r="F23" s="76" t="str">
        <f t="shared" si="2"/>
        <v>Unsettled</v>
      </c>
      <c r="G23" s="80">
        <f>IF(A23&lt;&gt;"",SUMIFS(Transactions!$F$7:$F$989,Transactions!$D$7:$D$989,"Credit",Transactions!$H$7:$H$989,A23),"")</f>
        <v>0</v>
      </c>
      <c r="H23" s="74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0</v>
      </c>
      <c r="C24" s="82">
        <f>IF(A24&lt;&gt;"",SUMIFS(Transactions!$F$7:$F$989,Transactions!$D$7:$D$989,"Income",Transactions!$E$7:$E$989,A24),"")</f>
        <v>68.75</v>
      </c>
      <c r="D24" s="82">
        <f>IF(A24&lt;&gt;"",SUMIFS(Transactions!$F$7:$F$989,Transactions!$D$7:$D$989,"Expense",Transactions!$E$7:$E$989,A24),"")</f>
        <v>0</v>
      </c>
      <c r="E24" s="83">
        <f t="shared" si="1"/>
        <v>-105.55</v>
      </c>
      <c r="F24" s="83" t="str">
        <f t="shared" si="2"/>
        <v>Unsettled</v>
      </c>
      <c r="G24" s="80">
        <f>IF(A24&lt;&gt;"",SUMIFS(Transactions!$F$7:$F$989,Transactions!$D$7:$D$989,"Credit",Transactions!$H$7:$H$989,A24),"")</f>
        <v>36.8</v>
      </c>
      <c r="H24" s="74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0</v>
      </c>
      <c r="C25" s="79">
        <f>IF(A25&lt;&gt;"",SUMIFS(Transactions!$F$7:$F$989,Transactions!$D$7:$D$989,"Income",Transactions!$E$7:$E$989,A25),"")</f>
        <v>0</v>
      </c>
      <c r="D25" s="79">
        <f>IF(A25&lt;&gt;"",SUMIFS(Transactions!$F$7:$F$989,Transactions!$D$7:$D$989,"Expense",Transactions!$E$7:$E$989,A25),"")</f>
        <v>0</v>
      </c>
      <c r="E25" s="76">
        <f t="shared" si="1"/>
        <v>0</v>
      </c>
      <c r="F25" s="76" t="str">
        <f t="shared" si="2"/>
        <v>Settled</v>
      </c>
      <c r="G25" s="80">
        <f>IF(A25&lt;&gt;"",SUMIFS(Transactions!$F$7:$F$989,Transactions!$D$7:$D$989,"Credit",Transactions!$H$7:$H$989,A25),"")</f>
        <v>0</v>
      </c>
      <c r="H25" s="74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0</v>
      </c>
      <c r="C26" s="82">
        <f>IF(A26&lt;&gt;"",SUMIFS(Transactions!$F$7:$F$989,Transactions!$D$7:$D$989,"Income",Transactions!$E$7:$E$989,A26),"")</f>
        <v>0</v>
      </c>
      <c r="D26" s="82">
        <f>IF(A26&lt;&gt;"",SUMIFS(Transactions!$F$7:$F$989,Transactions!$D$7:$D$989,"Expense",Transactions!$E$7:$E$989,A26),"")</f>
        <v>0</v>
      </c>
      <c r="E26" s="83">
        <f t="shared" si="1"/>
        <v>0</v>
      </c>
      <c r="F26" s="83" t="str">
        <f t="shared" si="2"/>
        <v>Settled</v>
      </c>
      <c r="G26" s="80">
        <f>IF(A26&lt;&gt;"",SUMIFS(Transactions!$F$7:$F$989,Transactions!$D$7:$D$989,"Credit",Transactions!$H$7:$H$989,A26),"")</f>
        <v>0</v>
      </c>
      <c r="H26" s="74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0</v>
      </c>
      <c r="C27" s="79">
        <f>IF(A27&lt;&gt;"",SUMIFS(Transactions!$F$7:$F$989,Transactions!$D$7:$D$989,"Income",Transactions!$E$7:$E$989,A27),"")</f>
        <v>0</v>
      </c>
      <c r="D27" s="79">
        <f>IF(A27&lt;&gt;"",SUMIFS(Transactions!$F$7:$F$989,Transactions!$D$7:$D$989,"Expense",Transactions!$E$7:$E$989,A27),"")</f>
        <v>21</v>
      </c>
      <c r="E27" s="76">
        <f t="shared" si="1"/>
        <v>-21</v>
      </c>
      <c r="F27" s="76" t="str">
        <f t="shared" si="2"/>
        <v>Unsettled</v>
      </c>
      <c r="G27" s="80">
        <f>IF(A27&lt;&gt;"",SUMIFS(Transactions!$F$7:$F$989,Transactions!$D$7:$D$989,"Credit",Transactions!$H$7:$H$989,A27),"")</f>
        <v>0</v>
      </c>
      <c r="H27" s="74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0</v>
      </c>
      <c r="C28" s="82">
        <f>IF(A28&lt;&gt;"",SUMIFS(Transactions!$F$7:$F$989,Transactions!$D$7:$D$989,"Income",Transactions!$E$7:$E$989,A28),"")</f>
        <v>202.89</v>
      </c>
      <c r="D28" s="82">
        <f>IF(A28&lt;&gt;"",SUMIFS(Transactions!$F$7:$F$989,Transactions!$D$7:$D$989,"Expense",Transactions!$E$7:$E$989,A28),"")</f>
        <v>0</v>
      </c>
      <c r="E28" s="83">
        <f t="shared" si="1"/>
        <v>-202.89</v>
      </c>
      <c r="F28" s="83" t="str">
        <f t="shared" si="2"/>
        <v>Unsettled</v>
      </c>
      <c r="G28" s="80">
        <f>IF(A28&lt;&gt;"",SUMIFS(Transactions!$F$7:$F$989,Transactions!$D$7:$D$989,"Credit",Transactions!$H$7:$H$989,A28),"")</f>
        <v>0</v>
      </c>
      <c r="H28" s="74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0</v>
      </c>
      <c r="C29" s="79">
        <f>IF(A29&lt;&gt;"",SUMIFS(Transactions!$F$7:$F$989,Transactions!$D$7:$D$989,"Income",Transactions!$E$7:$E$989,A29),"")</f>
        <v>402.89</v>
      </c>
      <c r="D29" s="79">
        <f>IF(A29&lt;&gt;"",SUMIFS(Transactions!$F$7:$F$989,Transactions!$D$7:$D$989,"Expense",Transactions!$E$7:$E$989,A29),"")</f>
        <v>0</v>
      </c>
      <c r="E29" s="76">
        <f t="shared" si="1"/>
        <v>-402.89</v>
      </c>
      <c r="F29" s="76" t="str">
        <f t="shared" si="2"/>
        <v>Unsettled</v>
      </c>
      <c r="G29" s="80">
        <f>IF(A29&lt;&gt;"",SUMIFS(Transactions!$F$7:$F$989,Transactions!$D$7:$D$989,"Credit",Transactions!$H$7:$H$989,A29),"")</f>
        <v>0</v>
      </c>
      <c r="H29" s="74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0</v>
      </c>
      <c r="C30" s="82">
        <f>IF(A30&lt;&gt;"",SUMIFS(Transactions!$F$7:$F$989,Transactions!$D$7:$D$989,"Income",Transactions!$E$7:$E$989,A30),"")</f>
        <v>500</v>
      </c>
      <c r="D30" s="82">
        <f>IF(A30&lt;&gt;"",SUMIFS(Transactions!$F$7:$F$989,Transactions!$D$7:$D$989,"Expense",Transactions!$E$7:$E$989,A30),"")</f>
        <v>100.8</v>
      </c>
      <c r="E30" s="83">
        <f t="shared" si="1"/>
        <v>-600.8</v>
      </c>
      <c r="F30" s="83" t="str">
        <f t="shared" si="2"/>
        <v>Unsettled</v>
      </c>
      <c r="G30" s="80">
        <f>IF(A30&lt;&gt;"",SUMIFS(Transactions!$F$7:$F$989,Transactions!$D$7:$D$989,"Credit",Transactions!$H$7:$H$989,A30),"")</f>
        <v>0</v>
      </c>
      <c r="H30" s="74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0</v>
      </c>
      <c r="C31" s="79">
        <f>IF(A31&lt;&gt;"",SUMIFS(Transactions!$F$7:$F$989,Transactions!$D$7:$D$989,"Income",Transactions!$E$7:$E$989,A31),"")</f>
        <v>202.89</v>
      </c>
      <c r="D31" s="79">
        <f>IF(A31&lt;&gt;"",SUMIFS(Transactions!$F$7:$F$989,Transactions!$D$7:$D$989,"Expense",Transactions!$E$7:$E$989,A31),"")</f>
        <v>202.26</v>
      </c>
      <c r="E31" s="76">
        <f t="shared" si="1"/>
        <v>-405.15</v>
      </c>
      <c r="F31" s="76" t="str">
        <f t="shared" si="2"/>
        <v>Unsettled</v>
      </c>
      <c r="G31" s="80">
        <f>IF(A31&lt;&gt;"",SUMIFS(Transactions!$F$7:$F$989,Transactions!$D$7:$D$989,"Credit",Transactions!$H$7:$H$989,A31),"")</f>
        <v>0</v>
      </c>
      <c r="H31" s="74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0</v>
      </c>
      <c r="C32" s="82">
        <f>IF(A32&lt;&gt;"",SUMIFS(Transactions!$F$7:$F$989,Transactions!$D$7:$D$989,"Income",Transactions!$E$7:$E$989,A32),"")</f>
        <v>0</v>
      </c>
      <c r="D32" s="82">
        <f>IF(A32&lt;&gt;"",SUMIFS(Transactions!$F$7:$F$989,Transactions!$D$7:$D$989,"Expense",Transactions!$E$7:$E$989,A32),"")</f>
        <v>0</v>
      </c>
      <c r="E32" s="83">
        <f t="shared" si="1"/>
        <v>0</v>
      </c>
      <c r="F32" s="83" t="str">
        <f t="shared" si="2"/>
        <v>Settled</v>
      </c>
      <c r="G32" s="80">
        <f>IF(A32&lt;&gt;"",SUMIFS(Transactions!$F$7:$F$989,Transactions!$D$7:$D$989,"Credit",Transactions!$H$7:$H$989,A32),"")</f>
        <v>0</v>
      </c>
      <c r="H32" s="74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0</v>
      </c>
      <c r="C33" s="79">
        <f>IF(A33&lt;&gt;"",SUMIFS(Transactions!$F$7:$F$989,Transactions!$D$7:$D$989,"Income",Transactions!$E$7:$E$989,A33),"")</f>
        <v>202.89</v>
      </c>
      <c r="D33" s="79">
        <f>IF(A33&lt;&gt;"",SUMIFS(Transactions!$F$7:$F$989,Transactions!$D$7:$D$989,"Expense",Transactions!$E$7:$E$989,A33),"")</f>
        <v>21</v>
      </c>
      <c r="E33" s="76">
        <f t="shared" si="1"/>
        <v>-223.89</v>
      </c>
      <c r="F33" s="76" t="str">
        <f t="shared" si="2"/>
        <v>Unsettled</v>
      </c>
      <c r="G33" s="80">
        <f>IF(A33&lt;&gt;"",SUMIFS(Transactions!$F$7:$F$989,Transactions!$D$7:$D$989,"Credit",Transactions!$H$7:$H$989,A33),"")</f>
        <v>0</v>
      </c>
      <c r="H33" s="74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0</v>
      </c>
      <c r="C34" s="82">
        <f>IF(A34&lt;&gt;"",SUMIFS(Transactions!$F$7:$F$989,Transactions!$D$7:$D$989,"Income",Transactions!$E$7:$E$989,A34),"")</f>
        <v>0</v>
      </c>
      <c r="D34" s="82">
        <f>IF(A34&lt;&gt;"",SUMIFS(Transactions!$F$7:$F$989,Transactions!$D$7:$D$989,"Expense",Transactions!$E$7:$E$989,A34),"")</f>
        <v>92.39</v>
      </c>
      <c r="E34" s="83">
        <f t="shared" si="1"/>
        <v>-92.39</v>
      </c>
      <c r="F34" s="83" t="str">
        <f t="shared" si="2"/>
        <v>Unsettled</v>
      </c>
      <c r="G34" s="80">
        <f>IF(A34&lt;&gt;"",SUMIFS(Transactions!$F$7:$F$989,Transactions!$D$7:$D$989,"Credit",Transactions!$H$7:$H$989,A34),"")</f>
        <v>0</v>
      </c>
      <c r="H34" s="7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0</v>
      </c>
      <c r="C35" s="79">
        <f>IF(A35&lt;&gt;"",SUMIFS(Transactions!$F$7:$F$989,Transactions!$D$7:$D$989,"Income",Transactions!$E$7:$E$989,A35),"")</f>
        <v>0</v>
      </c>
      <c r="D35" s="79">
        <f>IF(A35&lt;&gt;"",SUMIFS(Transactions!$F$7:$F$989,Transactions!$D$7:$D$989,"Expense",Transactions!$E$7:$E$989,A35),"")</f>
        <v>3487.59</v>
      </c>
      <c r="E35" s="76">
        <f t="shared" si="1"/>
        <v>-3487.59</v>
      </c>
      <c r="F35" s="76" t="str">
        <f t="shared" si="2"/>
        <v>Unsettled</v>
      </c>
      <c r="G35" s="80">
        <f>IF(A35&lt;&gt;"",SUMIFS(Transactions!$F$7:$F$989,Transactions!$D$7:$D$989,"Credit",Transactions!$H$7:$H$989,A35),"")</f>
        <v>0</v>
      </c>
      <c r="H35" s="74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0</v>
      </c>
      <c r="C36" s="82">
        <f>IF(A36&lt;&gt;"",SUMIFS(Transactions!$F$7:$F$989,Transactions!$D$7:$D$989,"Income",Transactions!$E$7:$E$989,A36),"")</f>
        <v>400</v>
      </c>
      <c r="D36" s="82">
        <f>IF(A36&lt;&gt;"",SUMIFS(Transactions!$F$7:$F$989,Transactions!$D$7:$D$989,"Expense",Transactions!$E$7:$E$989,A36),"")</f>
        <v>3780</v>
      </c>
      <c r="E36" s="83">
        <f t="shared" si="1"/>
        <v>-4180</v>
      </c>
      <c r="F36" s="83" t="str">
        <f t="shared" si="2"/>
        <v>Unsettled</v>
      </c>
      <c r="G36" s="80">
        <f>IF(A36&lt;&gt;"",SUMIFS(Transactions!$F$7:$F$989,Transactions!$D$7:$D$989,"Credit",Transactions!$H$7:$H$989,A36),"")</f>
        <v>0</v>
      </c>
      <c r="H36" s="74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0</v>
      </c>
      <c r="C37" s="79">
        <f>IF(A37&lt;&gt;"",SUMIFS(Transactions!$F$7:$F$989,Transactions!$D$7:$D$989,"Income",Transactions!$E$7:$E$989,A37),"")</f>
        <v>0</v>
      </c>
      <c r="D37" s="79">
        <f>IF(A37&lt;&gt;"",SUMIFS(Transactions!$F$7:$F$989,Transactions!$D$7:$D$989,"Expense",Transactions!$E$7:$E$989,A37),"")</f>
        <v>0</v>
      </c>
      <c r="E37" s="76">
        <f t="shared" si="1"/>
        <v>0</v>
      </c>
      <c r="F37" s="76" t="str">
        <f t="shared" si="2"/>
        <v>Settled</v>
      </c>
      <c r="G37" s="80">
        <f>IF(A37&lt;&gt;"",SUMIFS(Transactions!$F$7:$F$989,Transactions!$D$7:$D$989,"Credit",Transactions!$H$7:$H$989,A37),"")</f>
        <v>0</v>
      </c>
      <c r="H37" s="74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0</v>
      </c>
      <c r="C38" s="82">
        <f>IF(A38&lt;&gt;"",SUMIFS(Transactions!$F$7:$F$989,Transactions!$D$7:$D$989,"Income",Transactions!$E$7:$E$989,A38),"")</f>
        <v>0</v>
      </c>
      <c r="D38" s="82">
        <f>IF(A38&lt;&gt;"",SUMIFS(Transactions!$F$7:$F$989,Transactions!$D$7:$D$989,"Expense",Transactions!$E$7:$E$989,A38),"")</f>
        <v>140.32</v>
      </c>
      <c r="E38" s="83">
        <f t="shared" si="1"/>
        <v>-140.32</v>
      </c>
      <c r="F38" s="83" t="str">
        <f t="shared" si="2"/>
        <v>Unsettled</v>
      </c>
      <c r="G38" s="80">
        <f>IF(A38&lt;&gt;"",SUMIFS(Transactions!$F$7:$F$989,Transactions!$D$7:$D$989,"Credit",Transactions!$H$7:$H$989,A38),"")</f>
        <v>0</v>
      </c>
      <c r="H38" s="74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0</v>
      </c>
      <c r="C39" s="79">
        <f>IF(A39&lt;&gt;"",SUMIFS(Transactions!$F$7:$F$989,Transactions!$D$7:$D$989,"Income",Transactions!$E$7:$E$989,A39),"")</f>
        <v>0</v>
      </c>
      <c r="D39" s="79">
        <f>IF(A39&lt;&gt;"",SUMIFS(Transactions!$F$7:$F$989,Transactions!$D$7:$D$989,"Expense",Transactions!$E$7:$E$989,A39),"")</f>
        <v>51</v>
      </c>
      <c r="E39" s="76">
        <f t="shared" si="1"/>
        <v>-51</v>
      </c>
      <c r="F39" s="76" t="str">
        <f t="shared" si="2"/>
        <v>Unsettled</v>
      </c>
      <c r="G39" s="80">
        <f>IF(A39&lt;&gt;"",SUMIFS(Transactions!$F$7:$F$989,Transactions!$D$7:$D$989,"Credit",Transactions!$H$7:$H$989,A39),"")</f>
        <v>0</v>
      </c>
      <c r="H39" s="74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IF(A40&lt;&gt;"",SUMIFS(Transactions!$F$7:$F$989,Transactions!$D$7:$D$989,"Income",Transactions!$E$7:$E$989,A40),"")</f>
        <v>0</v>
      </c>
      <c r="D40" s="82">
        <f>IF(A40&lt;&gt;"",SUMIFS(Transactions!$F$7:$F$989,Transactions!$D$7:$D$989,"Expense",Transactions!$E$7:$E$989,A40),"")</f>
        <v>95.83</v>
      </c>
      <c r="E40" s="83">
        <f t="shared" si="1"/>
        <v>-95.83</v>
      </c>
      <c r="F40" s="83" t="str">
        <f t="shared" si="2"/>
        <v>Unsettled</v>
      </c>
      <c r="G40" s="80">
        <f>IF(A40&lt;&gt;"",SUMIFS(Transactions!$F$7:$F$989,Transactions!$D$7:$D$989,"Credit",Transactions!$H$7:$H$989,A40),"")</f>
        <v>0</v>
      </c>
      <c r="H40" s="74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0</v>
      </c>
      <c r="C41" s="79">
        <f>IF(A41&lt;&gt;"",SUMIFS(Transactions!$F$7:$F$989,Transactions!$D$7:$D$989,"Income",Transactions!$E$7:$E$989,A41),"")</f>
        <v>0</v>
      </c>
      <c r="D41" s="79">
        <f>IF(A41&lt;&gt;"",SUMIFS(Transactions!$F$7:$F$989,Transactions!$D$7:$D$989,"Expense",Transactions!$E$7:$E$989,A41),"")</f>
        <v>0</v>
      </c>
      <c r="E41" s="76">
        <f t="shared" si="1"/>
        <v>-59.99</v>
      </c>
      <c r="F41" s="76" t="str">
        <f t="shared" si="2"/>
        <v>Unsettled</v>
      </c>
      <c r="G41" s="80">
        <f>IF(A41&lt;&gt;"",SUMIFS(Transactions!$F$7:$F$989,Transactions!$D$7:$D$989,"Credit",Transactions!$H$7:$H$989,A41),"")</f>
        <v>59.99</v>
      </c>
      <c r="H41" s="74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0</v>
      </c>
      <c r="C42" s="82">
        <f>IF(A42&lt;&gt;"",SUMIFS(Transactions!$F$7:$F$989,Transactions!$D$7:$D$989,"Income",Transactions!$E$7:$E$989,A42),"")</f>
        <v>0</v>
      </c>
      <c r="D42" s="82">
        <f>IF(A42&lt;&gt;"",SUMIFS(Transactions!$F$7:$F$989,Transactions!$D$7:$D$989,"Expense",Transactions!$E$7:$E$989,A42),"")</f>
        <v>0</v>
      </c>
      <c r="E42" s="83">
        <f t="shared" si="1"/>
        <v>0</v>
      </c>
      <c r="F42" s="83" t="str">
        <f t="shared" si="2"/>
        <v>Settled</v>
      </c>
      <c r="G42" s="80">
        <f>IF(A42&lt;&gt;"",SUMIFS(Transactions!$F$7:$F$989,Transactions!$D$7:$D$989,"Credit",Transactions!$H$7:$H$989,A42),"")</f>
        <v>0</v>
      </c>
      <c r="H42" s="74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0</v>
      </c>
      <c r="C43" s="79">
        <f>IF(A43&lt;&gt;"",SUMIFS(Transactions!$F$7:$F$989,Transactions!$D$7:$D$989,"Income",Transactions!$E$7:$E$989,A43),"")</f>
        <v>0</v>
      </c>
      <c r="D43" s="79">
        <f>IF(A43&lt;&gt;"",SUMIFS(Transactions!$F$7:$F$989,Transactions!$D$7:$D$989,"Expense",Transactions!$E$7:$E$989,A43),"")</f>
        <v>0</v>
      </c>
      <c r="E43" s="76">
        <f t="shared" si="1"/>
        <v>0</v>
      </c>
      <c r="F43" s="76" t="str">
        <f t="shared" si="2"/>
        <v>Settled</v>
      </c>
      <c r="G43" s="80">
        <f>IF(A43&lt;&gt;"",SUMIFS(Transactions!$F$7:$F$989,Transactions!$D$7:$D$989,"Credit",Transactions!$H$7:$H$989,A43),"")</f>
        <v>0</v>
      </c>
      <c r="H43" s="74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0</v>
      </c>
      <c r="C44" s="82">
        <f>IF(A44&lt;&gt;"",SUMIFS(Transactions!$F$7:$F$989,Transactions!$D$7:$D$989,"Income",Transactions!$E$7:$E$989,A44),"")</f>
        <v>0</v>
      </c>
      <c r="D44" s="82">
        <f>IF(A44&lt;&gt;"",SUMIFS(Transactions!$F$7:$F$989,Transactions!$D$7:$D$989,"Expense",Transactions!$E$7:$E$989,A44),"")</f>
        <v>0</v>
      </c>
      <c r="E44" s="83">
        <f t="shared" si="1"/>
        <v>0</v>
      </c>
      <c r="F44" s="83" t="str">
        <f t="shared" si="2"/>
        <v>Settled</v>
      </c>
      <c r="G44" s="80">
        <f>IF(A44&lt;&gt;"",SUMIFS(Transactions!$F$7:$F$989,Transactions!$D$7:$D$989,"Credit",Transactions!$H$7:$H$989,A44),"")</f>
        <v>0</v>
      </c>
      <c r="H44" s="74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IF(A45&lt;&gt;"",SUMIFS(Transactions!$F$7:$F$989,Transactions!$D$7:$D$989,"Income",Transactions!$E$7:$E$989,A45),"")</f>
        <v/>
      </c>
      <c r="D45" s="79" t="str">
        <f>IF(A45&lt;&gt;"",SUMIFS(Transactions!$F$7:$F$989,Transactions!$D$7:$D$989,"Expense",Transactions!$E$7:$E$989,A45),"")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IF(A45&lt;&gt;"",SUMIFS(Transactions!$F$7:$F$989,Transactions!$D$7:$D$989,"Credit",Transactions!$H$7:$H$989,A45),"")</f>
        <v/>
      </c>
      <c r="H45" s="74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IF(A46&lt;&gt;"",SUMIFS(Transactions!$F$7:$F$989,Transactions!$D$7:$D$989,"Income",Transactions!$E$7:$E$989,A46),"")</f>
        <v/>
      </c>
      <c r="D46" s="82" t="str">
        <f>IF(A46&lt;&gt;"",SUMIFS(Transactions!$F$7:$F$989,Transactions!$D$7:$D$989,"Expense",Transactions!$E$7:$E$989,A46),"")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IF(A46&lt;&gt;"",SUMIFS(Transactions!$F$7:$F$989,Transactions!$D$7:$D$989,"Credit",Transactions!$H$7:$H$989,A46),"")</f>
        <v/>
      </c>
      <c r="H46" s="74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IF(A47&lt;&gt;"",SUMIFS(Transactions!$F$7:$F$989,Transactions!$D$7:$D$989,"Income",Transactions!$E$7:$E$989,A47),"")</f>
        <v/>
      </c>
      <c r="D47" s="79" t="str">
        <f>IF(A47&lt;&gt;"",SUMIFS(Transactions!$F$7:$F$989,Transactions!$D$7:$D$989,"Expense",Transactions!$E$7:$E$989,A47),"")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IF(A47&lt;&gt;"",SUMIFS(Transactions!$F$7:$F$989,Transactions!$D$7:$D$989,"Credit",Transactions!$H$7:$H$989,A47),"")</f>
        <v/>
      </c>
      <c r="H47" s="7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IF(A48&lt;&gt;"",SUMIFS(Transactions!$F$7:$F$989,Transactions!$D$7:$D$989,"Income",Transactions!$E$7:$E$989,A48),"")</f>
        <v/>
      </c>
      <c r="D48" s="82" t="str">
        <f>IF(A48&lt;&gt;"",SUMIFS(Transactions!$F$7:$F$989,Transactions!$D$7:$D$989,"Expense",Transactions!$E$7:$E$989,A48),"")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IF(A48&lt;&gt;"",SUMIFS(Transactions!$F$7:$F$989,Transactions!$D$7:$D$989,"Credit",Transactions!$H$7:$H$989,A48),"")</f>
        <v/>
      </c>
      <c r="H48" s="7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IF(A49&lt;&gt;"",SUMIFS(Transactions!$F$7:$F$989,Transactions!$D$7:$D$989,"Income",Transactions!$E$7:$E$989,A49),"")</f>
        <v/>
      </c>
      <c r="D49" s="79" t="str">
        <f>IF(A49&lt;&gt;"",SUMIFS(Transactions!$F$7:$F$989,Transactions!$D$7:$D$989,"Expense",Transactions!$E$7:$E$989,A49),"")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IF(A49&lt;&gt;"",SUMIFS(Transactions!$F$7:$F$989,Transactions!$D$7:$D$989,"Credit",Transactions!$H$7:$H$989,A49),"")</f>
        <v/>
      </c>
      <c r="H49" s="7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IF(A50&lt;&gt;"",SUMIFS(Transactions!$F$7:$F$989,Transactions!$D$7:$D$989,"Income",Transactions!$E$7:$E$989,A50),"")</f>
        <v/>
      </c>
      <c r="D50" s="82" t="str">
        <f>IF(A50&lt;&gt;"",SUMIFS(Transactions!$F$7:$F$989,Transactions!$D$7:$D$989,"Expense",Transactions!$E$7:$E$989,A50),"")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IF(A50&lt;&gt;"",SUMIFS(Transactions!$F$7:$F$989,Transactions!$D$7:$D$989,"Credit",Transactions!$H$7:$H$989,A50),"")</f>
        <v/>
      </c>
      <c r="H50" s="7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IF(A51&lt;&gt;"",SUMIFS(Transactions!$F$7:$F$989,Transactions!$D$7:$D$989,"Income",Transactions!$E$7:$E$989,A51),"")</f>
        <v/>
      </c>
      <c r="D51" s="79" t="str">
        <f>IF(A51&lt;&gt;"",SUMIFS(Transactions!$F$7:$F$989,Transactions!$D$7:$D$989,"Expense",Transactions!$E$7:$E$989,A51),"")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IF(A51&lt;&gt;"",SUMIFS(Transactions!$F$7:$F$989,Transactions!$D$7:$D$989,"Credit",Transactions!$H$7:$H$989,A51),"")</f>
        <v/>
      </c>
      <c r="H51" s="7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IF(A52&lt;&gt;"",SUMIFS(Transactions!$F$7:$F$989,Transactions!$D$7:$D$989,"Income",Transactions!$E$7:$E$989,A52),"")</f>
        <v/>
      </c>
      <c r="D52" s="82" t="str">
        <f>IF(A52&lt;&gt;"",SUMIFS(Transactions!$F$7:$F$989,Transactions!$D$7:$D$989,"Expense",Transactions!$E$7:$E$989,A52),"")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IF(A52&lt;&gt;"",SUMIFS(Transactions!$F$7:$F$989,Transactions!$D$7:$D$989,"Credit",Transactions!$H$7:$H$989,A52),"")</f>
        <v/>
      </c>
      <c r="H52" s="7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IF(A53&lt;&gt;"",SUMIFS(Transactions!$F$7:$F$989,Transactions!$D$7:$D$989,"Income",Transactions!$E$7:$E$989,A53),"")</f>
        <v/>
      </c>
      <c r="D53" s="79" t="str">
        <f>IF(A53&lt;&gt;"",SUMIFS(Transactions!$F$7:$F$989,Transactions!$D$7:$D$989,"Expense",Transactions!$E$7:$E$989,A53),"")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IF(A53&lt;&gt;"",SUMIFS(Transactions!$F$7:$F$989,Transactions!$D$7:$D$989,"Credit",Transactions!$H$7:$H$989,A53),"")</f>
        <v/>
      </c>
      <c r="H53" s="7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IF(A54&lt;&gt;"",SUMIFS(Transactions!$F$7:$F$989,Transactions!$D$7:$D$989,"Income",Transactions!$E$7:$E$989,A54),"")</f>
        <v/>
      </c>
      <c r="D54" s="82" t="str">
        <f>IF(A54&lt;&gt;"",SUMIFS(Transactions!$F$7:$F$989,Transactions!$D$7:$D$989,"Expense",Transactions!$E$7:$E$989,A54),"")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IF(A54&lt;&gt;"",SUMIFS(Transactions!$F$7:$F$989,Transactions!$D$7:$D$989,"Credit",Transactions!$H$7:$H$989,A54),"")</f>
        <v/>
      </c>
      <c r="H54" s="7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IF(A55&lt;&gt;"",SUMIFS(Transactions!$F$7:$F$989,Transactions!$D$7:$D$989,"Income",Transactions!$E$7:$E$989,A55),"")</f>
        <v/>
      </c>
      <c r="D55" s="79" t="str">
        <f>IF(A55&lt;&gt;"",SUMIFS(Transactions!$F$7:$F$989,Transactions!$D$7:$D$989,"Expense",Transactions!$E$7:$E$989,A55),"")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IF(A55&lt;&gt;"",SUMIFS(Transactions!$F$7:$F$989,Transactions!$D$7:$D$989,"Credit",Transactions!$H$7:$H$989,A55),"")</f>
        <v/>
      </c>
      <c r="H55" s="7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IF(A56&lt;&gt;"",SUMIFS(Transactions!$F$7:$F$989,Transactions!$D$7:$D$989,"Income",Transactions!$E$7:$E$989,A56),"")</f>
        <v/>
      </c>
      <c r="D56" s="82" t="str">
        <f>IF(A56&lt;&gt;"",SUMIFS(Transactions!$F$7:$F$989,Transactions!$D$7:$D$989,"Expense",Transactions!$E$7:$E$989,A56),"")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IF(A56&lt;&gt;"",SUMIFS(Transactions!$F$7:$F$989,Transactions!$D$7:$D$989,"Credit",Transactions!$H$7:$H$989,A56),"")</f>
        <v/>
      </c>
      <c r="H56" s="7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IF(A57&lt;&gt;"",SUMIFS(Transactions!$F$7:$F$989,Transactions!$D$7:$D$989,"Income",Transactions!$E$7:$E$989,A57),"")</f>
        <v/>
      </c>
      <c r="D57" s="79" t="str">
        <f>IF(A57&lt;&gt;"",SUMIFS(Transactions!$F$7:$F$989,Transactions!$D$7:$D$989,"Expense",Transactions!$E$7:$E$989,A57),"")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IF(A57&lt;&gt;"",SUMIFS(Transactions!$F$7:$F$989,Transactions!$D$7:$D$989,"Credit",Transactions!$H$7:$H$989,A57),"")</f>
        <v/>
      </c>
      <c r="H57" s="7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IF(A58&lt;&gt;"",SUMIFS(Transactions!$F$7:$F$989,Transactions!$D$7:$D$989,"Income",Transactions!$E$7:$E$989,A58),"")</f>
        <v/>
      </c>
      <c r="D58" s="82" t="str">
        <f>IF(A58&lt;&gt;"",SUMIFS(Transactions!$F$7:$F$989,Transactions!$D$7:$D$989,"Expense",Transactions!$E$7:$E$989,A58),"")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IF(A58&lt;&gt;"",SUMIFS(Transactions!$F$7:$F$989,Transactions!$D$7:$D$989,"Credit",Transactions!$H$7:$H$989,A58),"")</f>
        <v/>
      </c>
      <c r="H58" s="7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IF(A59&lt;&gt;"",SUMIFS(Transactions!$F$7:$F$989,Transactions!$D$7:$D$989,"Income",Transactions!$E$7:$E$989,A59),"")</f>
        <v/>
      </c>
      <c r="D59" s="79" t="str">
        <f>IF(A59&lt;&gt;"",SUMIFS(Transactions!$F$7:$F$989,Transactions!$D$7:$D$989,"Expense",Transactions!$E$7:$E$989,A59),"")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IF(A59&lt;&gt;"",SUMIFS(Transactions!$F$7:$F$989,Transactions!$D$7:$D$989,"Credit",Transactions!$H$7:$H$989,A59),"")</f>
        <v/>
      </c>
      <c r="H59" s="7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IF(A60&lt;&gt;"",SUMIFS(Transactions!$F$7:$F$989,Transactions!$D$7:$D$989,"Income",Transactions!$E$7:$E$989,A60),"")</f>
        <v/>
      </c>
      <c r="D60" s="82" t="str">
        <f>IF(A60&lt;&gt;"",SUMIFS(Transactions!$F$7:$F$989,Transactions!$D$7:$D$989,"Expense",Transactions!$E$7:$E$989,A60),"")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IF(A60&lt;&gt;"",SUMIFS(Transactions!$F$7:$F$989,Transactions!$D$7:$D$989,"Credit",Transactions!$H$7:$H$989,A60),"")</f>
        <v/>
      </c>
      <c r="H60" s="7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IF(A61&lt;&gt;"",SUMIFS(Transactions!$F$7:$F$989,Transactions!$D$7:$D$989,"Income",Transactions!$E$7:$E$989,A61),"")</f>
        <v/>
      </c>
      <c r="D61" s="79" t="str">
        <f>IF(A61&lt;&gt;"",SUMIFS(Transactions!$F$7:$F$989,Transactions!$D$7:$D$989,"Expense",Transactions!$E$7:$E$989,A61),"")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IF(A61&lt;&gt;"",SUMIFS(Transactions!$F$7:$F$989,Transactions!$D$7:$D$989,"Credit",Transactions!$H$7:$H$989,A61),"")</f>
        <v/>
      </c>
      <c r="H61" s="7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IF(A62&lt;&gt;"",SUMIFS(Transactions!$F$7:$F$989,Transactions!$D$7:$D$989,"Income",Transactions!$E$7:$E$989,A62),"")</f>
        <v/>
      </c>
      <c r="D62" s="82" t="str">
        <f>IF(A62&lt;&gt;"",SUMIFS(Transactions!$F$7:$F$989,Transactions!$D$7:$D$989,"Expense",Transactions!$E$7:$E$989,A62),"")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IF(A62&lt;&gt;"",SUMIFS(Transactions!$F$7:$F$989,Transactions!$D$7:$D$989,"Credit",Transactions!$H$7:$H$989,A62),"")</f>
        <v/>
      </c>
      <c r="H62" s="7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IF(A63&lt;&gt;"",SUMIFS(Transactions!$F$7:$F$989,Transactions!$D$7:$D$989,"Income",Transactions!$E$7:$E$989,A63),"")</f>
        <v/>
      </c>
      <c r="D63" s="79" t="str">
        <f>IF(A63&lt;&gt;"",SUMIFS(Transactions!$F$7:$F$989,Transactions!$D$7:$D$989,"Expense",Transactions!$E$7:$E$989,A63),"")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IF(A63&lt;&gt;"",SUMIFS(Transactions!$F$7:$F$989,Transactions!$D$7:$D$989,"Credit",Transactions!$H$7:$H$989,A63),"")</f>
        <v/>
      </c>
      <c r="H63" s="7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IF(A64&lt;&gt;"",SUMIFS(Transactions!$F$7:$F$989,Transactions!$D$7:$D$989,"Income",Transactions!$E$7:$E$989,A64),"")</f>
        <v/>
      </c>
      <c r="D64" s="82" t="str">
        <f>IF(A64&lt;&gt;"",SUMIFS(Transactions!$F$7:$F$989,Transactions!$D$7:$D$989,"Expense",Transactions!$E$7:$E$989,A64),"")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IF(A64&lt;&gt;"",SUMIFS(Transactions!$F$7:$F$989,Transactions!$D$7:$D$989,"Credit",Transactions!$H$7:$H$989,A64),"")</f>
        <v/>
      </c>
      <c r="H64" s="7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IF(A65&lt;&gt;"",SUMIFS(Transactions!$F$7:$F$989,Transactions!$D$7:$D$989,"Income",Transactions!$E$7:$E$989,A65),"")</f>
        <v/>
      </c>
      <c r="D65" s="79" t="str">
        <f>IF(A65&lt;&gt;"",SUMIFS(Transactions!$F$7:$F$989,Transactions!$D$7:$D$989,"Expense",Transactions!$E$7:$E$989,A65),"")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IF(A65&lt;&gt;"",SUMIFS(Transactions!$F$7:$F$989,Transactions!$D$7:$D$989,"Credit",Transactions!$H$7:$H$989,A65),"")</f>
        <v/>
      </c>
      <c r="H65" s="7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IF(A66&lt;&gt;"",SUMIFS(Transactions!$F$7:$F$989,Transactions!$D$7:$D$989,"Income",Transactions!$E$7:$E$989,A66),"")</f>
        <v/>
      </c>
      <c r="D66" s="82" t="str">
        <f>IF(A66&lt;&gt;"",SUMIFS(Transactions!$F$7:$F$989,Transactions!$D$7:$D$989,"Expense",Transactions!$E$7:$E$989,A66),"")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IF(A66&lt;&gt;"",SUMIFS(Transactions!$F$7:$F$989,Transactions!$D$7:$D$989,"Credit",Transactions!$H$7:$H$989,A66),"")</f>
        <v/>
      </c>
      <c r="H66" s="7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IF(A67&lt;&gt;"",SUMIFS(Transactions!$F$7:$F$989,Transactions!$D$7:$D$989,"Income",Transactions!$E$7:$E$989,A67),"")</f>
        <v/>
      </c>
      <c r="D67" s="79" t="str">
        <f>IF(A67&lt;&gt;"",SUMIFS(Transactions!$F$7:$F$989,Transactions!$D$7:$D$989,"Expense",Transactions!$E$7:$E$989,A67),"")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IF(A67&lt;&gt;"",SUMIFS(Transactions!$F$7:$F$989,Transactions!$D$7:$D$989,"Credit",Transactions!$H$7:$H$989,A67),"")</f>
        <v/>
      </c>
      <c r="H67" s="7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IF(A68&lt;&gt;"",SUMIFS(Transactions!$F$7:$F$989,Transactions!$D$7:$D$989,"Income",Transactions!$E$7:$E$989,A68),"")</f>
        <v/>
      </c>
      <c r="D68" s="82" t="str">
        <f>IF(A68&lt;&gt;"",SUMIFS(Transactions!$F$7:$F$989,Transactions!$D$7:$D$989,"Expense",Transactions!$E$7:$E$989,A68),"")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IF(A68&lt;&gt;"",SUMIFS(Transactions!$F$7:$F$989,Transactions!$D$7:$D$989,"Credit",Transactions!$H$7:$H$989,A68),"")</f>
        <v/>
      </c>
      <c r="H68" s="7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IF(A69&lt;&gt;"",SUMIFS(Transactions!$F$7:$F$989,Transactions!$D$7:$D$989,"Income",Transactions!$E$7:$E$989,A69),"")</f>
        <v/>
      </c>
      <c r="D69" s="79" t="str">
        <f>IF(A69&lt;&gt;"",SUMIFS(Transactions!$F$7:$F$989,Transactions!$D$7:$D$989,"Expense",Transactions!$E$7:$E$989,A69),"")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IF(A69&lt;&gt;"",SUMIFS(Transactions!$F$7:$F$989,Transactions!$D$7:$D$989,"Credit",Transactions!$H$7:$H$989,A69),"")</f>
        <v/>
      </c>
      <c r="H69" s="7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IF(A70&lt;&gt;"",SUMIFS(Transactions!$F$7:$F$989,Transactions!$D$7:$D$989,"Income",Transactions!$E$7:$E$989,A70),"")</f>
        <v/>
      </c>
      <c r="D70" s="82" t="str">
        <f>IF(A70&lt;&gt;"",SUMIFS(Transactions!$F$7:$F$989,Transactions!$D$7:$D$989,"Expense",Transactions!$E$7:$E$989,A70),"")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IF(A70&lt;&gt;"",SUMIFS(Transactions!$F$7:$F$989,Transactions!$D$7:$D$989,"Credit",Transactions!$H$7:$H$989,A70),"")</f>
        <v/>
      </c>
      <c r="H70" s="7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IF(A71&lt;&gt;"",SUMIFS(Transactions!$F$7:$F$989,Transactions!$D$7:$D$989,"Income",Transactions!$E$7:$E$989,A71),"")</f>
        <v/>
      </c>
      <c r="D71" s="79" t="str">
        <f>IF(A71&lt;&gt;"",SUMIFS(Transactions!$F$7:$F$989,Transactions!$D$7:$D$989,"Expense",Transactions!$E$7:$E$989,A71),"")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IF(A71&lt;&gt;"",SUMIFS(Transactions!$F$7:$F$989,Transactions!$D$7:$D$989,"Credit",Transactions!$H$7:$H$989,A71),"")</f>
        <v/>
      </c>
      <c r="H71" s="7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IF(A72&lt;&gt;"",SUMIFS(Transactions!$F$7:$F$989,Transactions!$D$7:$D$989,"Income",Transactions!$E$7:$E$989,A72),"")</f>
        <v/>
      </c>
      <c r="D72" s="82" t="str">
        <f>IF(A72&lt;&gt;"",SUMIFS(Transactions!$F$7:$F$989,Transactions!$D$7:$D$989,"Expense",Transactions!$E$7:$E$989,A72),"")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IF(A72&lt;&gt;"",SUMIFS(Transactions!$F$7:$F$989,Transactions!$D$7:$D$989,"Credit",Transactions!$H$7:$H$989,A72),"")</f>
        <v/>
      </c>
      <c r="H72" s="7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IF(A73&lt;&gt;"",SUMIFS(Transactions!$F$7:$F$989,Transactions!$D$7:$D$989,"Income",Transactions!$E$7:$E$989,A73),"")</f>
        <v/>
      </c>
      <c r="D73" s="79" t="str">
        <f>IF(A73&lt;&gt;"",SUMIFS(Transactions!$F$7:$F$989,Transactions!$D$7:$D$989,"Expense",Transactions!$E$7:$E$989,A73),"")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IF(A73&lt;&gt;"",SUMIFS(Transactions!$F$7:$F$989,Transactions!$D$7:$D$989,"Credit",Transactions!$H$7:$H$989,A73),"")</f>
        <v/>
      </c>
      <c r="H73" s="7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IF(A74&lt;&gt;"",SUMIFS(Transactions!$F$7:$F$989,Transactions!$D$7:$D$989,"Income",Transactions!$E$7:$E$989,A74),"")</f>
        <v/>
      </c>
      <c r="D74" s="82" t="str">
        <f>IF(A74&lt;&gt;"",SUMIFS(Transactions!$F$7:$F$989,Transactions!$D$7:$D$989,"Expense",Transactions!$E$7:$E$989,A74),"")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IF(A74&lt;&gt;"",SUMIFS(Transactions!$F$7:$F$989,Transactions!$D$7:$D$989,"Credit",Transactions!$H$7:$H$989,A74),"")</f>
        <v/>
      </c>
      <c r="H74" s="7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IF(A75&lt;&gt;"",SUMIFS(Transactions!$F$7:$F$989,Transactions!$D$7:$D$989,"Income",Transactions!$E$7:$E$989,A75),"")</f>
        <v/>
      </c>
      <c r="D75" s="79" t="str">
        <f>IF(A75&lt;&gt;"",SUMIFS(Transactions!$F$7:$F$989,Transactions!$D$7:$D$989,"Expense",Transactions!$E$7:$E$989,A75),"")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IF(A75&lt;&gt;"",SUMIFS(Transactions!$F$7:$F$989,Transactions!$D$7:$D$989,"Credit",Transactions!$H$7:$H$989,A75),"")</f>
        <v/>
      </c>
      <c r="H75" s="74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IF(A76&lt;&gt;"",SUMIFS(Transactions!$F$7:$F$989,Transactions!$D$7:$D$989,"Income",Transactions!$E$7:$E$989,A76),"")</f>
        <v/>
      </c>
      <c r="D76" s="82" t="str">
        <f>IF(A76&lt;&gt;"",SUMIFS(Transactions!$F$7:$F$989,Transactions!$D$7:$D$989,"Expense",Transactions!$E$7:$E$989,A76),"")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IF(A76&lt;&gt;"",SUMIFS(Transactions!$F$7:$F$989,Transactions!$D$7:$D$989,"Credit",Transactions!$H$7:$H$989,A76),"")</f>
        <v/>
      </c>
      <c r="H76" s="7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IF(A77&lt;&gt;"",SUMIFS(Transactions!$F$7:$F$989,Transactions!$D$7:$D$989,"Income",Transactions!$E$7:$E$989,A77),"")</f>
        <v/>
      </c>
      <c r="D77" s="79" t="str">
        <f>IF(A77&lt;&gt;"",SUMIFS(Transactions!$F$7:$F$989,Transactions!$D$7:$D$989,"Expense",Transactions!$E$7:$E$989,A77),"")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IF(A77&lt;&gt;"",SUMIFS(Transactions!$F$7:$F$989,Transactions!$D$7:$D$989,"Credit",Transactions!$H$7:$H$989,A77),"")</f>
        <v/>
      </c>
      <c r="H77" s="7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IF(A78&lt;&gt;"",SUMIFS(Transactions!$F$7:$F$989,Transactions!$D$7:$D$989,"Income",Transactions!$E$7:$E$989,A78),"")</f>
        <v/>
      </c>
      <c r="D78" s="82" t="str">
        <f>IF(A78&lt;&gt;"",SUMIFS(Transactions!$F$7:$F$989,Transactions!$D$7:$D$989,"Expense",Transactions!$E$7:$E$989,A78),"")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IF(A78&lt;&gt;"",SUMIFS(Transactions!$F$7:$F$989,Transactions!$D$7:$D$989,"Credit",Transactions!$H$7:$H$989,A78),"")</f>
        <v/>
      </c>
      <c r="H78" s="7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IF(A79&lt;&gt;"",SUMIFS(Transactions!$F$7:$F$989,Transactions!$D$7:$D$989,"Income",Transactions!$E$7:$E$989,A79),"")</f>
        <v/>
      </c>
      <c r="D79" s="79" t="str">
        <f>IF(A79&lt;&gt;"",SUMIFS(Transactions!$F$7:$F$989,Transactions!$D$7:$D$989,"Expense",Transactions!$E$7:$E$989,A79),"")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IF(A79&lt;&gt;"",SUMIFS(Transactions!$F$7:$F$989,Transactions!$D$7:$D$989,"Credit",Transactions!$H$7:$H$989,A79),"")</f>
        <v/>
      </c>
      <c r="H79" s="7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IF(A80&lt;&gt;"",SUMIFS(Transactions!$F$7:$F$989,Transactions!$D$7:$D$989,"Income",Transactions!$E$7:$E$989,A80),"")</f>
        <v/>
      </c>
      <c r="D80" s="82" t="str">
        <f>IF(A80&lt;&gt;"",SUMIFS(Transactions!$F$7:$F$989,Transactions!$D$7:$D$989,"Expense",Transactions!$E$7:$E$989,A80),"")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IF(A80&lt;&gt;"",SUMIFS(Transactions!$F$7:$F$989,Transactions!$D$7:$D$989,"Credit",Transactions!$H$7:$H$989,A80),"")</f>
        <v/>
      </c>
      <c r="H80" s="7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IF(A81&lt;&gt;"",SUMIFS(Transactions!$F$7:$F$989,Transactions!$D$7:$D$989,"Income",Transactions!$E$7:$E$989,A81),"")</f>
        <v/>
      </c>
      <c r="D81" s="79" t="str">
        <f>IF(A81&lt;&gt;"",SUMIFS(Transactions!$F$7:$F$989,Transactions!$D$7:$D$989,"Expense",Transactions!$E$7:$E$989,A81),"")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IF(A81&lt;&gt;"",SUMIFS(Transactions!$F$7:$F$989,Transactions!$D$7:$D$989,"Credit",Transactions!$H$7:$H$989,A81),"")</f>
        <v/>
      </c>
      <c r="H81" s="7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IF(A82&lt;&gt;"",SUMIFS(Transactions!$F$7:$F$989,Transactions!$D$7:$D$989,"Income",Transactions!$E$7:$E$989,A82),"")</f>
        <v/>
      </c>
      <c r="D82" s="82" t="str">
        <f>IF(A82&lt;&gt;"",SUMIFS(Transactions!$F$7:$F$989,Transactions!$D$7:$D$989,"Expense",Transactions!$E$7:$E$989,A82),"")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IF(A82&lt;&gt;"",SUMIFS(Transactions!$F$7:$F$989,Transactions!$D$7:$D$989,"Credit",Transactions!$H$7:$H$989,A82),"")</f>
        <v/>
      </c>
      <c r="H82" s="7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IF(A83&lt;&gt;"",SUMIFS(Transactions!$F$7:$F$989,Transactions!$D$7:$D$989,"Income",Transactions!$E$7:$E$989,A83),"")</f>
        <v/>
      </c>
      <c r="D83" s="79" t="str">
        <f>IF(A83&lt;&gt;"",SUMIFS(Transactions!$F$7:$F$989,Transactions!$D$7:$D$989,"Expense",Transactions!$E$7:$E$989,A83),"")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IF(A83&lt;&gt;"",SUMIFS(Transactions!$F$7:$F$989,Transactions!$D$7:$D$989,"Credit",Transactions!$H$7:$H$989,A83),"")</f>
        <v/>
      </c>
      <c r="H83" s="7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IF(A84&lt;&gt;"",SUMIFS(Transactions!$F$7:$F$989,Transactions!$D$7:$D$989,"Income",Transactions!$E$7:$E$989,A84),"")</f>
        <v/>
      </c>
      <c r="D84" s="82" t="str">
        <f>IF(A84&lt;&gt;"",SUMIFS(Transactions!$F$7:$F$989,Transactions!$D$7:$D$989,"Expense",Transactions!$E$7:$E$989,A84),"")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IF(A84&lt;&gt;"",SUMIFS(Transactions!$F$7:$F$989,Transactions!$D$7:$D$989,"Credit",Transactions!$H$7:$H$989,A84),"")</f>
        <v/>
      </c>
      <c r="H84" s="7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IF(A85&lt;&gt;"",SUMIFS(Transactions!$F$7:$F$989,Transactions!$D$7:$D$989,"Income",Transactions!$E$7:$E$989,A85),"")</f>
        <v/>
      </c>
      <c r="D85" s="79" t="str">
        <f>IF(A85&lt;&gt;"",SUMIFS(Transactions!$F$7:$F$989,Transactions!$D$7:$D$989,"Expense",Transactions!$E$7:$E$989,A85),"")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IF(A85&lt;&gt;"",SUMIFS(Transactions!$F$7:$F$989,Transactions!$D$7:$D$989,"Credit",Transactions!$H$7:$H$989,A85),"")</f>
        <v/>
      </c>
      <c r="H85" s="7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IF(A86&lt;&gt;"",SUMIFS(Transactions!$F$7:$F$989,Transactions!$D$7:$D$989,"Income",Transactions!$E$7:$E$989,A86),"")</f>
        <v/>
      </c>
      <c r="D86" s="82" t="str">
        <f>IF(A86&lt;&gt;"",SUMIFS(Transactions!$F$7:$F$989,Transactions!$D$7:$D$989,"Expense",Transactions!$E$7:$E$989,A86),"")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IF(A86&lt;&gt;"",SUMIFS(Transactions!$F$7:$F$989,Transactions!$D$7:$D$989,"Credit",Transactions!$H$7:$H$989,A86),"")</f>
        <v/>
      </c>
      <c r="H86" s="7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IF(A87&lt;&gt;"",SUMIFS(Transactions!$F$7:$F$989,Transactions!$D$7:$D$989,"Income",Transactions!$E$7:$E$989,A87),"")</f>
        <v/>
      </c>
      <c r="D87" s="79" t="str">
        <f>IF(A87&lt;&gt;"",SUMIFS(Transactions!$F$7:$F$989,Transactions!$D$7:$D$989,"Expense",Transactions!$E$7:$E$989,A87),"")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IF(A87&lt;&gt;"",SUMIFS(Transactions!$F$7:$F$989,Transactions!$D$7:$D$989,"Credit",Transactions!$H$7:$H$989,A87),"")</f>
        <v/>
      </c>
      <c r="H87" s="74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IF(A88&lt;&gt;"",SUMIFS(Transactions!$F$7:$F$989,Transactions!$D$7:$D$989,"Income",Transactions!$E$7:$E$989,A88),"")</f>
        <v/>
      </c>
      <c r="D88" s="82" t="str">
        <f>IF(A88&lt;&gt;"",SUMIFS(Transactions!$F$7:$F$989,Transactions!$D$7:$D$989,"Expense",Transactions!$E$7:$E$989,A88),"")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IF(A88&lt;&gt;"",SUMIFS(Transactions!$F$7:$F$989,Transactions!$D$7:$D$989,"Credit",Transactions!$H$7:$H$989,A88),"")</f>
        <v/>
      </c>
      <c r="H88" s="74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IF(A89&lt;&gt;"",SUMIFS(Transactions!$F$7:$F$989,Transactions!$D$7:$D$989,"Income",Transactions!$E$7:$E$989,A89),"")</f>
        <v/>
      </c>
      <c r="D89" s="79" t="str">
        <f>IF(A89&lt;&gt;"",SUMIFS(Transactions!$F$7:$F$989,Transactions!$D$7:$D$989,"Expense",Transactions!$E$7:$E$989,A89),"")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IF(A89&lt;&gt;"",SUMIFS(Transactions!$F$7:$F$989,Transactions!$D$7:$D$989,"Credit",Transactions!$H$7:$H$989,A89),"")</f>
        <v/>
      </c>
      <c r="H89" s="74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IF(A90&lt;&gt;"",SUMIFS(Transactions!$F$7:$F$989,Transactions!$D$7:$D$989,"Income",Transactions!$E$7:$E$989,A90),"")</f>
        <v/>
      </c>
      <c r="D90" s="82" t="str">
        <f>IF(A90&lt;&gt;"",SUMIFS(Transactions!$F$7:$F$989,Transactions!$D$7:$D$989,"Expense",Transactions!$E$7:$E$989,A90),"")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IF(A90&lt;&gt;"",SUMIFS(Transactions!$F$7:$F$989,Transactions!$D$7:$D$989,"Credit",Transactions!$H$7:$H$989,A90),"")</f>
        <v/>
      </c>
      <c r="H90" s="74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IF(A91&lt;&gt;"",SUMIFS(Transactions!$F$7:$F$989,Transactions!$D$7:$D$989,"Income",Transactions!$E$7:$E$989,A91),"")</f>
        <v/>
      </c>
      <c r="D91" s="79" t="str">
        <f>IF(A91&lt;&gt;"",SUMIFS(Transactions!$F$7:$F$989,Transactions!$D$7:$D$989,"Expense",Transactions!$E$7:$E$989,A91),"")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IF(A91&lt;&gt;"",SUMIFS(Transactions!$F$7:$F$989,Transactions!$D$7:$D$989,"Credit",Transactions!$H$7:$H$989,A91),"")</f>
        <v/>
      </c>
      <c r="H91" s="74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IF(A92&lt;&gt;"",SUMIFS(Transactions!$F$7:$F$989,Transactions!$D$7:$D$989,"Income",Transactions!$E$7:$E$989,A92),"")</f>
        <v/>
      </c>
      <c r="D92" s="82" t="str">
        <f>IF(A92&lt;&gt;"",SUMIFS(Transactions!$F$7:$F$989,Transactions!$D$7:$D$989,"Expense",Transactions!$E$7:$E$989,A92),"")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IF(A92&lt;&gt;"",SUMIFS(Transactions!$F$7:$F$989,Transactions!$D$7:$D$989,"Credit",Transactions!$H$7:$H$989,A92),"")</f>
        <v/>
      </c>
      <c r="H92" s="74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IF(A93&lt;&gt;"",SUMIFS(Transactions!$F$7:$F$989,Transactions!$D$7:$D$989,"Income",Transactions!$E$7:$E$989,A93),"")</f>
        <v/>
      </c>
      <c r="D93" s="79" t="str">
        <f>IF(A93&lt;&gt;"",SUMIFS(Transactions!$F$7:$F$989,Transactions!$D$7:$D$989,"Expense",Transactions!$E$7:$E$989,A93),"")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IF(A93&lt;&gt;"",SUMIFS(Transactions!$F$7:$F$989,Transactions!$D$7:$D$989,"Credit",Transactions!$H$7:$H$989,A93),"")</f>
        <v/>
      </c>
      <c r="H93" s="74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IF(A94&lt;&gt;"",SUMIFS(Transactions!$F$7:$F$989,Transactions!$D$7:$D$989,"Income",Transactions!$E$7:$E$989,A94),"")</f>
        <v/>
      </c>
      <c r="D94" s="82" t="str">
        <f>IF(A94&lt;&gt;"",SUMIFS(Transactions!$F$7:$F$989,Transactions!$D$7:$D$989,"Expense",Transactions!$E$7:$E$989,A94),"")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IF(A94&lt;&gt;"",SUMIFS(Transactions!$F$7:$F$989,Transactions!$D$7:$D$989,"Credit",Transactions!$H$7:$H$989,A94),"")</f>
        <v/>
      </c>
      <c r="H94" s="74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IF(A95&lt;&gt;"",SUMIFS(Transactions!$F$7:$F$989,Transactions!$D$7:$D$989,"Income",Transactions!$E$7:$E$989,A95),"")</f>
        <v/>
      </c>
      <c r="D95" s="79" t="str">
        <f>IF(A95&lt;&gt;"",SUMIFS(Transactions!$F$7:$F$989,Transactions!$D$7:$D$989,"Expense",Transactions!$E$7:$E$989,A95),"")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IF(A95&lt;&gt;"",SUMIFS(Transactions!$F$7:$F$989,Transactions!$D$7:$D$989,"Credit",Transactions!$H$7:$H$989,A95),"")</f>
        <v/>
      </c>
      <c r="H95" s="74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IF(A96&lt;&gt;"",SUMIFS(Transactions!$F$7:$F$989,Transactions!$D$7:$D$989,"Income",Transactions!$E$7:$E$989,A96),"")</f>
        <v/>
      </c>
      <c r="D96" s="82" t="str">
        <f>IF(A96&lt;&gt;"",SUMIFS(Transactions!$F$7:$F$989,Transactions!$D$7:$D$989,"Expense",Transactions!$E$7:$E$989,A96),"")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IF(A96&lt;&gt;"",SUMIFS(Transactions!$F$7:$F$989,Transactions!$D$7:$D$989,"Credit",Transactions!$H$7:$H$989,A96),"")</f>
        <v/>
      </c>
      <c r="H96" s="74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IF(A97&lt;&gt;"",SUMIFS(Transactions!$F$7:$F$989,Transactions!$D$7:$D$989,"Income",Transactions!$E$7:$E$989,A97),"")</f>
        <v/>
      </c>
      <c r="D97" s="79" t="str">
        <f>IF(A97&lt;&gt;"",SUMIFS(Transactions!$F$7:$F$989,Transactions!$D$7:$D$989,"Expense",Transactions!$E$7:$E$989,A97),"")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IF(A97&lt;&gt;"",SUMIFS(Transactions!$F$7:$F$989,Transactions!$D$7:$D$989,"Credit",Transactions!$H$7:$H$989,A97),"")</f>
        <v/>
      </c>
      <c r="H97" s="74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IF(A98&lt;&gt;"",SUMIFS(Transactions!$F$7:$F$989,Transactions!$D$7:$D$989,"Income",Transactions!$E$7:$E$989,A98),"")</f>
        <v/>
      </c>
      <c r="D98" s="82" t="str">
        <f>IF(A98&lt;&gt;"",SUMIFS(Transactions!$F$7:$F$989,Transactions!$D$7:$D$989,"Expense",Transactions!$E$7:$E$989,A98),"")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IF(A98&lt;&gt;"",SUMIFS(Transactions!$F$7:$F$989,Transactions!$D$7:$D$989,"Credit",Transactions!$H$7:$H$989,A98),"")</f>
        <v/>
      </c>
      <c r="H98" s="74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IF(A99&lt;&gt;"",SUMIFS(Transactions!$F$7:$F$989,Transactions!$D$7:$D$989,"Income",Transactions!$E$7:$E$989,A99),"")</f>
        <v/>
      </c>
      <c r="D99" s="79" t="str">
        <f>IF(A99&lt;&gt;"",SUMIFS(Transactions!$F$7:$F$989,Transactions!$D$7:$D$989,"Expense",Transactions!$E$7:$E$989,A99),"")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IF(A99&lt;&gt;"",SUMIFS(Transactions!$F$7:$F$989,Transactions!$D$7:$D$989,"Credit",Transactions!$H$7:$H$989,A99),"")</f>
        <v/>
      </c>
      <c r="H99" s="74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IF(A100&lt;&gt;"",SUMIFS(Transactions!$F$7:$F$989,Transactions!$D$7:$D$989,"Income",Transactions!$E$7:$E$989,A100),"")</f>
        <v/>
      </c>
      <c r="D100" s="82" t="str">
        <f>IF(A100&lt;&gt;"",SUMIFS(Transactions!$F$7:$F$989,Transactions!$D$7:$D$989,"Expense",Transactions!$E$7:$E$989,A100),"")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IF(A100&lt;&gt;"",SUMIFS(Transactions!$F$7:$F$989,Transactions!$D$7:$D$989,"Credit",Transactions!$H$7:$H$989,A100),"")</f>
        <v/>
      </c>
      <c r="H100" s="74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IF(A101&lt;&gt;"",SUMIFS(Transactions!$F$7:$F$989,Transactions!$D$7:$D$989,"Income",Transactions!$E$7:$E$989,A101),"")</f>
        <v/>
      </c>
      <c r="D101" s="79" t="str">
        <f>IF(A101&lt;&gt;"",SUMIFS(Transactions!$F$7:$F$989,Transactions!$D$7:$D$989,"Expense",Transactions!$E$7:$E$989,A101),"")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IF(A101&lt;&gt;"",SUMIFS(Transactions!$F$7:$F$989,Transactions!$D$7:$D$989,"Credit",Transactions!$H$7:$H$989,A101),"")</f>
        <v/>
      </c>
      <c r="H101" s="74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IF(A102&lt;&gt;"",SUMIFS(Transactions!$F$7:$F$989,Transactions!$D$7:$D$989,"Income",Transactions!$E$7:$E$989,A102),"")</f>
        <v/>
      </c>
      <c r="D102" s="82" t="str">
        <f>IF(A102&lt;&gt;"",SUMIFS(Transactions!$F$7:$F$989,Transactions!$D$7:$D$989,"Expense",Transactions!$E$7:$E$989,A102),"")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IF(A102&lt;&gt;"",SUMIFS(Transactions!$F$7:$F$989,Transactions!$D$7:$D$989,"Credit",Transactions!$H$7:$H$989,A102),"")</f>
        <v/>
      </c>
      <c r="H102" s="74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IF(A103&lt;&gt;"",SUMIFS(Transactions!$F$7:$F$989,Transactions!$D$7:$D$989,"Income",Transactions!$E$7:$E$989,A103),"")</f>
        <v/>
      </c>
      <c r="D103" s="79" t="str">
        <f>IF(A103&lt;&gt;"",SUMIFS(Transactions!$F$7:$F$989,Transactions!$D$7:$D$989,"Expense",Transactions!$E$7:$E$989,A103),"")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IF(A103&lt;&gt;"",SUMIFS(Transactions!$F$7:$F$989,Transactions!$D$7:$D$989,"Credit",Transactions!$H$7:$H$989,A103),"")</f>
        <v/>
      </c>
      <c r="H103" s="74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IF(A104&lt;&gt;"",SUMIFS(Transactions!$F$7:$F$989,Transactions!$D$7:$D$989,"Income",Transactions!$E$7:$E$989,A104),"")</f>
        <v/>
      </c>
      <c r="D104" s="82" t="str">
        <f>IF(A104&lt;&gt;"",SUMIFS(Transactions!$F$7:$F$989,Transactions!$D$7:$D$989,"Expense",Transactions!$E$7:$E$989,A104),"")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IF(A104&lt;&gt;"",SUMIFS(Transactions!$F$7:$F$989,Transactions!$D$7:$D$989,"Credit",Transactions!$H$7:$H$989,A104),"")</f>
        <v/>
      </c>
      <c r="H104" s="74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IF(A105&lt;&gt;"",SUMIFS(Transactions!$F$7:$F$989,Transactions!$D$7:$D$989,"Income",Transactions!$E$7:$E$989,A105),"")</f>
        <v/>
      </c>
      <c r="D105" s="79" t="str">
        <f>IF(A105&lt;&gt;"",SUMIFS(Transactions!$F$7:$F$989,Transactions!$D$7:$D$989,"Expense",Transactions!$E$7:$E$989,A105),"")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IF(A105&lt;&gt;"",SUMIFS(Transactions!$F$7:$F$989,Transactions!$D$7:$D$989,"Credit",Transactions!$H$7:$H$989,A105),"")</f>
        <v/>
      </c>
      <c r="H105" s="74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IF(A106&lt;&gt;"",SUMIFS(Transactions!$F$7:$F$989,Transactions!$D$7:$D$989,"Income",Transactions!$E$7:$E$989,A106),"")</f>
        <v/>
      </c>
      <c r="D106" s="82" t="str">
        <f>IF(A106&lt;&gt;"",SUMIFS(Transactions!$F$7:$F$989,Transactions!$D$7:$D$989,"Expense",Transactions!$E$7:$E$989,A106),"")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IF(A106&lt;&gt;"",SUMIFS(Transactions!$F$7:$F$989,Transactions!$D$7:$D$989,"Credit",Transactions!$H$7:$H$989,A106),"")</f>
        <v/>
      </c>
      <c r="H106" s="74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IF(A107&lt;&gt;"",SUMIFS(Transactions!$F$7:$F$989,Transactions!$D$7:$D$989,"Income",Transactions!$E$7:$E$989,A107),"")</f>
        <v/>
      </c>
      <c r="D107" s="79" t="str">
        <f>IF(A107&lt;&gt;"",SUMIFS(Transactions!$F$7:$F$989,Transactions!$D$7:$D$989,"Expense",Transactions!$E$7:$E$989,A107),"")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IF(A107&lt;&gt;"",SUMIFS(Transactions!$F$7:$F$989,Transactions!$D$7:$D$989,"Credit",Transactions!$H$7:$H$989,A107),"")</f>
        <v/>
      </c>
      <c r="H107" s="74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IF(A108&lt;&gt;"",SUMIFS(Transactions!$F$7:$F$989,Transactions!$D$7:$D$989,"Income",Transactions!$E$7:$E$989,A108),"")</f>
        <v/>
      </c>
      <c r="D108" s="82" t="str">
        <f>IF(A108&lt;&gt;"",SUMIFS(Transactions!$F$7:$F$989,Transactions!$D$7:$D$989,"Expense",Transactions!$E$7:$E$989,A108),"")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IF(A108&lt;&gt;"",SUMIFS(Transactions!$F$7:$F$989,Transactions!$D$7:$D$989,"Credit",Transactions!$H$7:$H$989,A108),"")</f>
        <v/>
      </c>
      <c r="H108" s="74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IF(A109&lt;&gt;"",SUMIFS(Transactions!$F$7:$F$989,Transactions!$D$7:$D$989,"Income",Transactions!$E$7:$E$989,A109),"")</f>
        <v/>
      </c>
      <c r="D109" s="79" t="str">
        <f>IF(A109&lt;&gt;"",SUMIFS(Transactions!$F$7:$F$989,Transactions!$D$7:$D$989,"Expense",Transactions!$E$7:$E$989,A109),"")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IF(A109&lt;&gt;"",SUMIFS(Transactions!$F$7:$F$989,Transactions!$D$7:$D$989,"Credit",Transactions!$H$7:$H$989,A109),"")</f>
        <v/>
      </c>
      <c r="H109" s="74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IF(A110&lt;&gt;"",SUMIFS(Transactions!$F$7:$F$989,Transactions!$D$7:$D$989,"Income",Transactions!$E$7:$E$989,A110),"")</f>
        <v/>
      </c>
      <c r="D110" s="82" t="str">
        <f>IF(A110&lt;&gt;"",SUMIFS(Transactions!$F$7:$F$989,Transactions!$D$7:$D$989,"Expense",Transactions!$E$7:$E$989,A110),"")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IF(A110&lt;&gt;"",SUMIFS(Transactions!$F$7:$F$989,Transactions!$D$7:$D$989,"Credit",Transactions!$H$7:$H$989,A110),"")</f>
        <v/>
      </c>
      <c r="H110" s="74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IF(A111&lt;&gt;"",SUMIFS(Transactions!$F$7:$F$989,Transactions!$D$7:$D$989,"Income",Transactions!$E$7:$E$989,A111),"")</f>
        <v/>
      </c>
      <c r="D111" s="79" t="str">
        <f>IF(A111&lt;&gt;"",SUMIFS(Transactions!$F$7:$F$989,Transactions!$D$7:$D$989,"Expense",Transactions!$E$7:$E$989,A111),"")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IF(A111&lt;&gt;"",SUMIFS(Transactions!$F$7:$F$989,Transactions!$D$7:$D$989,"Credit",Transactions!$H$7:$H$989,A111),"")</f>
        <v/>
      </c>
      <c r="H111" s="74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IF(A112&lt;&gt;"",SUMIFS(Transactions!$F$7:$F$989,Transactions!$D$7:$D$989,"Income",Transactions!$E$7:$E$989,A112),"")</f>
        <v/>
      </c>
      <c r="D112" s="82" t="str">
        <f>IF(A112&lt;&gt;"",SUMIFS(Transactions!$F$7:$F$989,Transactions!$D$7:$D$989,"Expense",Transactions!$E$7:$E$989,A112),"")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IF(A112&lt;&gt;"",SUMIFS(Transactions!$F$7:$F$989,Transactions!$D$7:$D$989,"Credit",Transactions!$H$7:$H$989,A112),"")</f>
        <v/>
      </c>
      <c r="H112" s="74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IF(A113&lt;&gt;"",SUMIFS(Transactions!$F$7:$F$989,Transactions!$D$7:$D$989,"Income",Transactions!$E$7:$E$989,A113),"")</f>
        <v/>
      </c>
      <c r="D113" s="79" t="str">
        <f>IF(A113&lt;&gt;"",SUMIFS(Transactions!$F$7:$F$989,Transactions!$D$7:$D$989,"Expense",Transactions!$E$7:$E$989,A113),"")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IF(A113&lt;&gt;"",SUMIFS(Transactions!$F$7:$F$989,Transactions!$D$7:$D$989,"Credit",Transactions!$H$7:$H$989,A113),"")</f>
        <v/>
      </c>
      <c r="H113" s="74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IF(A114&lt;&gt;"",SUMIFS(Transactions!$F$7:$F$989,Transactions!$D$7:$D$989,"Income",Transactions!$E$7:$E$989,A114),"")</f>
        <v/>
      </c>
      <c r="D114" s="82" t="str">
        <f>IF(A114&lt;&gt;"",SUMIFS(Transactions!$F$7:$F$989,Transactions!$D$7:$D$989,"Expense",Transactions!$E$7:$E$989,A114),"")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IF(A114&lt;&gt;"",SUMIFS(Transactions!$F$7:$F$989,Transactions!$D$7:$D$989,"Credit",Transactions!$H$7:$H$989,A114),"")</f>
        <v/>
      </c>
      <c r="H114" s="74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IF(A115&lt;&gt;"",SUMIFS(Transactions!$F$7:$F$989,Transactions!$D$7:$D$989,"Income",Transactions!$E$7:$E$989,A115),"")</f>
        <v/>
      </c>
      <c r="D115" s="79" t="str">
        <f>IF(A115&lt;&gt;"",SUMIFS(Transactions!$F$7:$F$989,Transactions!$D$7:$D$989,"Expense",Transactions!$E$7:$E$989,A115),"")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IF(A115&lt;&gt;"",SUMIFS(Transactions!$F$7:$F$989,Transactions!$D$7:$D$989,"Credit",Transactions!$H$7:$H$989,A115),"")</f>
        <v/>
      </c>
      <c r="H115" s="74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IF(A116&lt;&gt;"",SUMIFS(Transactions!$F$7:$F$989,Transactions!$D$7:$D$989,"Income",Transactions!$E$7:$E$989,A116),"")</f>
        <v/>
      </c>
      <c r="D116" s="82" t="str">
        <f>IF(A116&lt;&gt;"",SUMIFS(Transactions!$F$7:$F$989,Transactions!$D$7:$D$989,"Expense",Transactions!$E$7:$E$989,A116),"")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IF(A116&lt;&gt;"",SUMIFS(Transactions!$F$7:$F$989,Transactions!$D$7:$D$989,"Credit",Transactions!$H$7:$H$989,A116),"")</f>
        <v/>
      </c>
      <c r="H116" s="74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IF(A117&lt;&gt;"",SUMIFS(Transactions!$F$7:$F$989,Transactions!$D$7:$D$989,"Income",Transactions!$E$7:$E$989,A117),"")</f>
        <v/>
      </c>
      <c r="D117" s="79" t="str">
        <f>IF(A117&lt;&gt;"",SUMIFS(Transactions!$F$7:$F$989,Transactions!$D$7:$D$989,"Expense",Transactions!$E$7:$E$989,A117),"")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IF(A117&lt;&gt;"",SUMIFS(Transactions!$F$7:$F$989,Transactions!$D$7:$D$989,"Credit",Transactions!$H$7:$H$989,A117),"")</f>
        <v/>
      </c>
      <c r="H117" s="74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IF(A118&lt;&gt;"",SUMIFS(Transactions!$F$7:$F$989,Transactions!$D$7:$D$989,"Income",Transactions!$E$7:$E$989,A118),"")</f>
        <v/>
      </c>
      <c r="D118" s="82" t="str">
        <f>IF(A118&lt;&gt;"",SUMIFS(Transactions!$F$7:$F$989,Transactions!$D$7:$D$989,"Expense",Transactions!$E$7:$E$989,A118),"")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IF(A118&lt;&gt;"",SUMIFS(Transactions!$F$7:$F$989,Transactions!$D$7:$D$989,"Credit",Transactions!$H$7:$H$989,A118),"")</f>
        <v/>
      </c>
      <c r="H118" s="74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IF(A119&lt;&gt;"",SUMIFS(Transactions!$F$7:$F$989,Transactions!$D$7:$D$989,"Income",Transactions!$E$7:$E$989,A119),"")</f>
        <v/>
      </c>
      <c r="D119" s="79" t="str">
        <f>IF(A119&lt;&gt;"",SUMIFS(Transactions!$F$7:$F$989,Transactions!$D$7:$D$989,"Expense",Transactions!$E$7:$E$989,A119),"")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IF(A119&lt;&gt;"",SUMIFS(Transactions!$F$7:$F$989,Transactions!$D$7:$D$989,"Credit",Transactions!$H$7:$H$989,A119),"")</f>
        <v/>
      </c>
      <c r="H119" s="74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IF(A120&lt;&gt;"",SUMIFS(Transactions!$F$7:$F$989,Transactions!$D$7:$D$989,"Income",Transactions!$E$7:$E$989,A120),"")</f>
        <v/>
      </c>
      <c r="D120" s="82" t="str">
        <f>IF(A120&lt;&gt;"",SUMIFS(Transactions!$F$7:$F$989,Transactions!$D$7:$D$989,"Expense",Transactions!$E$7:$E$989,A120),"")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IF(A120&lt;&gt;"",SUMIFS(Transactions!$F$7:$F$989,Transactions!$D$7:$D$989,"Credit",Transactions!$H$7:$H$989,A120),"")</f>
        <v/>
      </c>
      <c r="H120" s="74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IF(A121&lt;&gt;"",SUMIFS(Transactions!$F$7:$F$989,Transactions!$D$7:$D$989,"Income",Transactions!$E$7:$E$989,A121),"")</f>
        <v/>
      </c>
      <c r="D121" s="79" t="str">
        <f>IF(A121&lt;&gt;"",SUMIFS(Transactions!$F$7:$F$989,Transactions!$D$7:$D$989,"Expense",Transactions!$E$7:$E$989,A121),"")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IF(A121&lt;&gt;"",SUMIFS(Transactions!$F$7:$F$989,Transactions!$D$7:$D$989,"Credit",Transactions!$H$7:$H$989,A121),"")</f>
        <v/>
      </c>
      <c r="H121" s="74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IF(A122&lt;&gt;"",SUMIFS(Transactions!$F$7:$F$989,Transactions!$D$7:$D$989,"Income",Transactions!$E$7:$E$989,A122),"")</f>
        <v/>
      </c>
      <c r="D122" s="82" t="str">
        <f>IF(A122&lt;&gt;"",SUMIFS(Transactions!$F$7:$F$989,Transactions!$D$7:$D$989,"Expense",Transactions!$E$7:$E$989,A122),"")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IF(A122&lt;&gt;"",SUMIFS(Transactions!$F$7:$F$989,Transactions!$D$7:$D$989,"Credit",Transactions!$H$7:$H$989,A122),"")</f>
        <v/>
      </c>
      <c r="H122" s="74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IF(A123&lt;&gt;"",SUMIFS(Transactions!$F$7:$F$989,Transactions!$D$7:$D$989,"Income",Transactions!$E$7:$E$989,A123),"")</f>
        <v/>
      </c>
      <c r="D123" s="79" t="str">
        <f>IF(A123&lt;&gt;"",SUMIFS(Transactions!$F$7:$F$989,Transactions!$D$7:$D$989,"Expense",Transactions!$E$7:$E$989,A123),"")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IF(A123&lt;&gt;"",SUMIFS(Transactions!$F$7:$F$989,Transactions!$D$7:$D$989,"Credit",Transactions!$H$7:$H$989,A123),"")</f>
        <v/>
      </c>
      <c r="H123" s="74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IF(A124&lt;&gt;"",SUMIFS(Transactions!$F$7:$F$989,Transactions!$D$7:$D$989,"Income",Transactions!$E$7:$E$989,A124),"")</f>
        <v/>
      </c>
      <c r="D124" s="82" t="str">
        <f>IF(A124&lt;&gt;"",SUMIFS(Transactions!$F$7:$F$989,Transactions!$D$7:$D$989,"Expense",Transactions!$E$7:$E$989,A124),"")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IF(A124&lt;&gt;"",SUMIFS(Transactions!$F$7:$F$989,Transactions!$D$7:$D$989,"Credit",Transactions!$H$7:$H$989,A124),"")</f>
        <v/>
      </c>
      <c r="H124" s="74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IF(A125&lt;&gt;"",SUMIFS(Transactions!$F$7:$F$989,Transactions!$D$7:$D$989,"Income",Transactions!$E$7:$E$989,A125),"")</f>
        <v/>
      </c>
      <c r="D125" s="79" t="str">
        <f>IF(A125&lt;&gt;"",SUMIFS(Transactions!$F$7:$F$989,Transactions!$D$7:$D$989,"Expense",Transactions!$E$7:$E$989,A125),"")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IF(A125&lt;&gt;"",SUMIFS(Transactions!$F$7:$F$989,Transactions!$D$7:$D$989,"Credit",Transactions!$H$7:$H$989,A125),"")</f>
        <v/>
      </c>
      <c r="H125" s="74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IF(A126&lt;&gt;"",SUMIFS(Transactions!$F$7:$F$989,Transactions!$D$7:$D$989,"Income",Transactions!$E$7:$E$989,A126),"")</f>
        <v/>
      </c>
      <c r="D126" s="82" t="str">
        <f>IF(A126&lt;&gt;"",SUMIFS(Transactions!$F$7:$F$989,Transactions!$D$7:$D$989,"Expense",Transactions!$E$7:$E$989,A126),"")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IF(A126&lt;&gt;"",SUMIFS(Transactions!$F$7:$F$989,Transactions!$D$7:$D$989,"Credit",Transactions!$H$7:$H$989,A126),"")</f>
        <v/>
      </c>
      <c r="H126" s="74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IF(A127&lt;&gt;"",SUMIFS(Transactions!$F$7:$F$989,Transactions!$D$7:$D$989,"Income",Transactions!$E$7:$E$989,A127),"")</f>
        <v/>
      </c>
      <c r="D127" s="79" t="str">
        <f>IF(A127&lt;&gt;"",SUMIFS(Transactions!$F$7:$F$989,Transactions!$D$7:$D$989,"Expense",Transactions!$E$7:$E$989,A127),"")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IF(A127&lt;&gt;"",SUMIFS(Transactions!$F$7:$F$989,Transactions!$D$7:$D$989,"Credit",Transactions!$H$7:$H$989,A127),"")</f>
        <v/>
      </c>
      <c r="H127" s="74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IF(A128&lt;&gt;"",SUMIFS(Transactions!$F$7:$F$989,Transactions!$D$7:$D$989,"Income",Transactions!$E$7:$E$989,A128),"")</f>
        <v/>
      </c>
      <c r="D128" s="82" t="str">
        <f>IF(A128&lt;&gt;"",SUMIFS(Transactions!$F$7:$F$989,Transactions!$D$7:$D$989,"Expense",Transactions!$E$7:$E$989,A128),"")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IF(A128&lt;&gt;"",SUMIFS(Transactions!$F$7:$F$989,Transactions!$D$7:$D$989,"Credit",Transactions!$H$7:$H$989,A128),"")</f>
        <v/>
      </c>
      <c r="H128" s="74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IF(A129&lt;&gt;"",SUMIFS(Transactions!$F$7:$F$989,Transactions!$D$7:$D$989,"Income",Transactions!$E$7:$E$989,A129),"")</f>
        <v/>
      </c>
      <c r="D129" s="79" t="str">
        <f>IF(A129&lt;&gt;"",SUMIFS(Transactions!$F$7:$F$989,Transactions!$D$7:$D$989,"Expense",Transactions!$E$7:$E$989,A129),"")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IF(A129&lt;&gt;"",SUMIFS(Transactions!$F$7:$F$989,Transactions!$D$7:$D$989,"Credit",Transactions!$H$7:$H$989,A129),"")</f>
        <v/>
      </c>
      <c r="H129" s="74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IF(A130&lt;&gt;"",SUMIFS(Transactions!$F$7:$F$989,Transactions!$D$7:$D$989,"Income",Transactions!$E$7:$E$989,A130),"")</f>
        <v/>
      </c>
      <c r="D130" s="82" t="str">
        <f>IF(A130&lt;&gt;"",SUMIFS(Transactions!$F$7:$F$989,Transactions!$D$7:$D$989,"Expense",Transactions!$E$7:$E$989,A130),"")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IF(A130&lt;&gt;"",SUMIFS(Transactions!$F$7:$F$989,Transactions!$D$7:$D$989,"Credit",Transactions!$H$7:$H$989,A130),"")</f>
        <v/>
      </c>
      <c r="H130" s="74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IF(A131&lt;&gt;"",SUMIFS(Transactions!$F$7:$F$989,Transactions!$D$7:$D$989,"Income",Transactions!$E$7:$E$989,A131),"")</f>
        <v/>
      </c>
      <c r="D131" s="79" t="str">
        <f>IF(A131&lt;&gt;"",SUMIFS(Transactions!$F$7:$F$989,Transactions!$D$7:$D$989,"Expense",Transactions!$E$7:$E$989,A131),"")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IF(A131&lt;&gt;"",SUMIFS(Transactions!$F$7:$F$989,Transactions!$D$7:$D$989,"Credit",Transactions!$H$7:$H$989,A131),"")</f>
        <v/>
      </c>
      <c r="H131" s="74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IF(A132&lt;&gt;"",SUMIFS(Transactions!$F$7:$F$989,Transactions!$D$7:$D$989,"Income",Transactions!$E$7:$E$989,A132),"")</f>
        <v/>
      </c>
      <c r="D132" s="82" t="str">
        <f>IF(A132&lt;&gt;"",SUMIFS(Transactions!$F$7:$F$989,Transactions!$D$7:$D$989,"Expense",Transactions!$E$7:$E$989,A132),"")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IF(A132&lt;&gt;"",SUMIFS(Transactions!$F$7:$F$989,Transactions!$D$7:$D$989,"Credit",Transactions!$H$7:$H$989,A132),"")</f>
        <v/>
      </c>
      <c r="H132" s="74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IF(A133&lt;&gt;"",SUMIFS(Transactions!$F$7:$F$989,Transactions!$D$7:$D$989,"Income",Transactions!$E$7:$E$989,A133),"")</f>
        <v/>
      </c>
      <c r="D133" s="79" t="str">
        <f>IF(A133&lt;&gt;"",SUMIFS(Transactions!$F$7:$F$989,Transactions!$D$7:$D$989,"Expense",Transactions!$E$7:$E$989,A133),"")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IF(A133&lt;&gt;"",SUMIFS(Transactions!$F$7:$F$989,Transactions!$D$7:$D$989,"Credit",Transactions!$H$7:$H$989,A133),"")</f>
        <v/>
      </c>
      <c r="H133" s="74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IF(A134&lt;&gt;"",SUMIFS(Transactions!$F$7:$F$989,Transactions!$D$7:$D$989,"Income",Transactions!$E$7:$E$989,A134),"")</f>
        <v/>
      </c>
      <c r="D134" s="82" t="str">
        <f>IF(A134&lt;&gt;"",SUMIFS(Transactions!$F$7:$F$989,Transactions!$D$7:$D$989,"Expense",Transactions!$E$7:$E$989,A134),"")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IF(A134&lt;&gt;"",SUMIFS(Transactions!$F$7:$F$989,Transactions!$D$7:$D$989,"Credit",Transactions!$H$7:$H$989,A134),"")</f>
        <v/>
      </c>
      <c r="H134" s="74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IF(A135&lt;&gt;"",SUMIFS(Transactions!$F$7:$F$989,Transactions!$D$7:$D$989,"Income",Transactions!$E$7:$E$989,A135),"")</f>
        <v/>
      </c>
      <c r="D135" s="79" t="str">
        <f>IF(A135&lt;&gt;"",SUMIFS(Transactions!$F$7:$F$989,Transactions!$D$7:$D$989,"Expense",Transactions!$E$7:$E$989,A135),"")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IF(A135&lt;&gt;"",SUMIFS(Transactions!$F$7:$F$989,Transactions!$D$7:$D$989,"Credit",Transactions!$H$7:$H$989,A135),"")</f>
        <v/>
      </c>
      <c r="H135" s="74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IF(A136&lt;&gt;"",SUMIFS(Transactions!$F$7:$F$989,Transactions!$D$7:$D$989,"Income",Transactions!$E$7:$E$989,A136),"")</f>
        <v/>
      </c>
      <c r="D136" s="82" t="str">
        <f>IF(A136&lt;&gt;"",SUMIFS(Transactions!$F$7:$F$989,Transactions!$D$7:$D$989,"Expense",Transactions!$E$7:$E$989,A136),"")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IF(A136&lt;&gt;"",SUMIFS(Transactions!$F$7:$F$989,Transactions!$D$7:$D$989,"Credit",Transactions!$H$7:$H$989,A136),"")</f>
        <v/>
      </c>
      <c r="H136" s="74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IF(A137&lt;&gt;"",SUMIFS(Transactions!$F$7:$F$989,Transactions!$D$7:$D$989,"Income",Transactions!$E$7:$E$989,A137),"")</f>
        <v/>
      </c>
      <c r="D137" s="79" t="str">
        <f>IF(A137&lt;&gt;"",SUMIFS(Transactions!$F$7:$F$989,Transactions!$D$7:$D$989,"Expense",Transactions!$E$7:$E$989,A137),"")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IF(A137&lt;&gt;"",SUMIFS(Transactions!$F$7:$F$989,Transactions!$D$7:$D$989,"Credit",Transactions!$H$7:$H$989,A137),"")</f>
        <v/>
      </c>
      <c r="H137" s="74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IF(A138&lt;&gt;"",SUMIFS(Transactions!$F$7:$F$989,Transactions!$D$7:$D$989,"Income",Transactions!$E$7:$E$989,A138),"")</f>
        <v/>
      </c>
      <c r="D138" s="82" t="str">
        <f>IF(A138&lt;&gt;"",SUMIFS(Transactions!$F$7:$F$989,Transactions!$D$7:$D$989,"Expense",Transactions!$E$7:$E$989,A138),"")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IF(A138&lt;&gt;"",SUMIFS(Transactions!$F$7:$F$989,Transactions!$D$7:$D$989,"Credit",Transactions!$H$7:$H$989,A138),"")</f>
        <v/>
      </c>
      <c r="H138" s="74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IF(A139&lt;&gt;"",SUMIFS(Transactions!$F$7:$F$989,Transactions!$D$7:$D$989,"Income",Transactions!$E$7:$E$989,A139),"")</f>
        <v/>
      </c>
      <c r="D139" s="79" t="str">
        <f>IF(A139&lt;&gt;"",SUMIFS(Transactions!$F$7:$F$989,Transactions!$D$7:$D$989,"Expense",Transactions!$E$7:$E$989,A139),"")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IF(A139&lt;&gt;"",SUMIFS(Transactions!$F$7:$F$989,Transactions!$D$7:$D$989,"Credit",Transactions!$H$7:$H$989,A139),"")</f>
        <v/>
      </c>
      <c r="H139" s="74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IF(A140&lt;&gt;"",SUMIFS(Transactions!$F$7:$F$989,Transactions!$D$7:$D$989,"Income",Transactions!$E$7:$E$989,A140),"")</f>
        <v/>
      </c>
      <c r="D140" s="82" t="str">
        <f>IF(A140&lt;&gt;"",SUMIFS(Transactions!$F$7:$F$989,Transactions!$D$7:$D$989,"Expense",Transactions!$E$7:$E$989,A140),"")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IF(A140&lt;&gt;"",SUMIFS(Transactions!$F$7:$F$989,Transactions!$D$7:$D$989,"Credit",Transactions!$H$7:$H$989,A140),"")</f>
        <v/>
      </c>
      <c r="H140" s="74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IF(A141&lt;&gt;"",SUMIFS(Transactions!$F$7:$F$989,Transactions!$D$7:$D$989,"Income",Transactions!$E$7:$E$989,A141),"")</f>
        <v/>
      </c>
      <c r="D141" s="79" t="str">
        <f>IF(A141&lt;&gt;"",SUMIFS(Transactions!$F$7:$F$989,Transactions!$D$7:$D$989,"Expense",Transactions!$E$7:$E$989,A141),"")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IF(A141&lt;&gt;"",SUMIFS(Transactions!$F$7:$F$989,Transactions!$D$7:$D$989,"Credit",Transactions!$H$7:$H$989,A141),"")</f>
        <v/>
      </c>
      <c r="H141" s="74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IF(A142&lt;&gt;"",SUMIFS(Transactions!$F$7:$F$989,Transactions!$D$7:$D$989,"Income",Transactions!$E$7:$E$989,A142),"")</f>
        <v/>
      </c>
      <c r="D142" s="82" t="str">
        <f>IF(A142&lt;&gt;"",SUMIFS(Transactions!$F$7:$F$989,Transactions!$D$7:$D$989,"Expense",Transactions!$E$7:$E$989,A142),"")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IF(A142&lt;&gt;"",SUMIFS(Transactions!$F$7:$F$989,Transactions!$D$7:$D$989,"Credit",Transactions!$H$7:$H$989,A142),"")</f>
        <v/>
      </c>
      <c r="H142" s="74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IF(A143&lt;&gt;"",SUMIFS(Transactions!$F$7:$F$989,Transactions!$D$7:$D$989,"Income",Transactions!$E$7:$E$989,A143),"")</f>
        <v/>
      </c>
      <c r="D143" s="79" t="str">
        <f>IF(A143&lt;&gt;"",SUMIFS(Transactions!$F$7:$F$989,Transactions!$D$7:$D$989,"Expense",Transactions!$E$7:$E$989,A143),"")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IF(A143&lt;&gt;"",SUMIFS(Transactions!$F$7:$F$989,Transactions!$D$7:$D$989,"Credit",Transactions!$H$7:$H$989,A143),"")</f>
        <v/>
      </c>
      <c r="H143" s="74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IF(A144&lt;&gt;"",SUMIFS(Transactions!$F$7:$F$989,Transactions!$D$7:$D$989,"Income",Transactions!$E$7:$E$989,A144),"")</f>
        <v/>
      </c>
      <c r="D144" s="82" t="str">
        <f>IF(A144&lt;&gt;"",SUMIFS(Transactions!$F$7:$F$989,Transactions!$D$7:$D$989,"Expense",Transactions!$E$7:$E$989,A144),"")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IF(A144&lt;&gt;"",SUMIFS(Transactions!$F$7:$F$989,Transactions!$D$7:$D$989,"Credit",Transactions!$H$7:$H$989,A144),"")</f>
        <v/>
      </c>
      <c r="H144" s="74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IF(A145&lt;&gt;"",SUMIFS(Transactions!$F$7:$F$989,Transactions!$D$7:$D$989,"Income",Transactions!$E$7:$E$989,A145),"")</f>
        <v/>
      </c>
      <c r="D145" s="79" t="str">
        <f>IF(A145&lt;&gt;"",SUMIFS(Transactions!$F$7:$F$989,Transactions!$D$7:$D$989,"Expense",Transactions!$E$7:$E$989,A145),"")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IF(A145&lt;&gt;"",SUMIFS(Transactions!$F$7:$F$989,Transactions!$D$7:$D$989,"Credit",Transactions!$H$7:$H$989,A145),"")</f>
        <v/>
      </c>
      <c r="H145" s="74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IF(A146&lt;&gt;"",SUMIFS(Transactions!$F$7:$F$989,Transactions!$D$7:$D$989,"Income",Transactions!$E$7:$E$989,A146),"")</f>
        <v/>
      </c>
      <c r="D146" s="82" t="str">
        <f>IF(A146&lt;&gt;"",SUMIFS(Transactions!$F$7:$F$989,Transactions!$D$7:$D$989,"Expense",Transactions!$E$7:$E$989,A146),"")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IF(A146&lt;&gt;"",SUMIFS(Transactions!$F$7:$F$989,Transactions!$D$7:$D$989,"Credit",Transactions!$H$7:$H$989,A146),"")</f>
        <v/>
      </c>
      <c r="H146" s="74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IF(A147&lt;&gt;"",SUMIFS(Transactions!$F$7:$F$989,Transactions!$D$7:$D$989,"Income",Transactions!$E$7:$E$989,A147),"")</f>
        <v/>
      </c>
      <c r="D147" s="79" t="str">
        <f>IF(A147&lt;&gt;"",SUMIFS(Transactions!$F$7:$F$989,Transactions!$D$7:$D$989,"Expense",Transactions!$E$7:$E$989,A147),"")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IF(A147&lt;&gt;"",SUMIFS(Transactions!$F$7:$F$989,Transactions!$D$7:$D$989,"Credit",Transactions!$H$7:$H$989,A147),"")</f>
        <v/>
      </c>
      <c r="H147" s="74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IF(A148&lt;&gt;"",SUMIFS(Transactions!$F$7:$F$989,Transactions!$D$7:$D$989,"Income",Transactions!$E$7:$E$989,A148),"")</f>
        <v/>
      </c>
      <c r="D148" s="82" t="str">
        <f>IF(A148&lt;&gt;"",SUMIFS(Transactions!$F$7:$F$989,Transactions!$D$7:$D$989,"Expense",Transactions!$E$7:$E$989,A148),"")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IF(A148&lt;&gt;"",SUMIFS(Transactions!$F$7:$F$989,Transactions!$D$7:$D$989,"Credit",Transactions!$H$7:$H$989,A148),"")</f>
        <v/>
      </c>
      <c r="H148" s="74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IF(A149&lt;&gt;"",SUMIFS(Transactions!$F$7:$F$989,Transactions!$D$7:$D$989,"Income",Transactions!$E$7:$E$989,A149),"")</f>
        <v/>
      </c>
      <c r="D149" s="79" t="str">
        <f>IF(A149&lt;&gt;"",SUMIFS(Transactions!$F$7:$F$989,Transactions!$D$7:$D$989,"Expense",Transactions!$E$7:$E$989,A149),"")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IF(A149&lt;&gt;"",SUMIFS(Transactions!$F$7:$F$989,Transactions!$D$7:$D$989,"Credit",Transactions!$H$7:$H$989,A149),"")</f>
        <v/>
      </c>
      <c r="H149" s="74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IF(A150&lt;&gt;"",SUMIFS(Transactions!$F$7:$F$989,Transactions!$D$7:$D$989,"Income",Transactions!$E$7:$E$989,A150),"")</f>
        <v/>
      </c>
      <c r="D150" s="82" t="str">
        <f>IF(A150&lt;&gt;"",SUMIFS(Transactions!$F$7:$F$989,Transactions!$D$7:$D$989,"Expense",Transactions!$E$7:$E$989,A150),"")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IF(A150&lt;&gt;"",SUMIFS(Transactions!$F$7:$F$989,Transactions!$D$7:$D$989,"Credit",Transactions!$H$7:$H$989,A150),"")</f>
        <v/>
      </c>
      <c r="H150" s="74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IF(A151&lt;&gt;"",SUMIFS(Transactions!$F$7:$F$989,Transactions!$D$7:$D$989,"Income",Transactions!$E$7:$E$989,A151),"")</f>
        <v/>
      </c>
      <c r="D151" s="79" t="str">
        <f>IF(A151&lt;&gt;"",SUMIFS(Transactions!$F$7:$F$989,Transactions!$D$7:$D$989,"Expense",Transactions!$E$7:$E$989,A151),"")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IF(A151&lt;&gt;"",SUMIFS(Transactions!$F$7:$F$989,Transactions!$D$7:$D$989,"Credit",Transactions!$H$7:$H$989,A151),"")</f>
        <v/>
      </c>
      <c r="H151" s="74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IF(A152&lt;&gt;"",SUMIFS(Transactions!$F$7:$F$989,Transactions!$D$7:$D$989,"Income",Transactions!$E$7:$E$989,A152),"")</f>
        <v/>
      </c>
      <c r="D152" s="82" t="str">
        <f>IF(A152&lt;&gt;"",SUMIFS(Transactions!$F$7:$F$989,Transactions!$D$7:$D$989,"Expense",Transactions!$E$7:$E$989,A152),"")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IF(A152&lt;&gt;"",SUMIFS(Transactions!$F$7:$F$989,Transactions!$D$7:$D$989,"Credit",Transactions!$H$7:$H$989,A152),"")</f>
        <v/>
      </c>
      <c r="H152" s="74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IF(A153&lt;&gt;"",SUMIFS(Transactions!$F$7:$F$989,Transactions!$D$7:$D$989,"Income",Transactions!$E$7:$E$989,A153),"")</f>
        <v/>
      </c>
      <c r="D153" s="79" t="str">
        <f>IF(A153&lt;&gt;"",SUMIFS(Transactions!$F$7:$F$989,Transactions!$D$7:$D$989,"Expense",Transactions!$E$7:$E$989,A153),"")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IF(A153&lt;&gt;"",SUMIFS(Transactions!$F$7:$F$989,Transactions!$D$7:$D$989,"Credit",Transactions!$H$7:$H$989,A153),"")</f>
        <v/>
      </c>
      <c r="H153" s="74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IF(A154&lt;&gt;"",SUMIFS(Transactions!$F$7:$F$989,Transactions!$D$7:$D$989,"Income",Transactions!$E$7:$E$989,A154),"")</f>
        <v/>
      </c>
      <c r="D154" s="82" t="str">
        <f>IF(A154&lt;&gt;"",SUMIFS(Transactions!$F$7:$F$989,Transactions!$D$7:$D$989,"Expense",Transactions!$E$7:$E$989,A154),"")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IF(A154&lt;&gt;"",SUMIFS(Transactions!$F$7:$F$989,Transactions!$D$7:$D$989,"Credit",Transactions!$H$7:$H$989,A154),"")</f>
        <v/>
      </c>
      <c r="H154" s="74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IF(A155&lt;&gt;"",SUMIFS(Transactions!$F$7:$F$989,Transactions!$D$7:$D$989,"Income",Transactions!$E$7:$E$989,A155),"")</f>
        <v/>
      </c>
      <c r="D155" s="79" t="str">
        <f>IF(A155&lt;&gt;"",SUMIFS(Transactions!$F$7:$F$989,Transactions!$D$7:$D$989,"Expense",Transactions!$E$7:$E$989,A155),"")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IF(A155&lt;&gt;"",SUMIFS(Transactions!$F$7:$F$989,Transactions!$D$7:$D$989,"Credit",Transactions!$H$7:$H$989,A155),"")</f>
        <v/>
      </c>
      <c r="H155" s="74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IF(A156&lt;&gt;"",SUMIFS(Transactions!$F$7:$F$989,Transactions!$D$7:$D$989,"Income",Transactions!$E$7:$E$989,A156),"")</f>
        <v/>
      </c>
      <c r="D156" s="82" t="str">
        <f>IF(A156&lt;&gt;"",SUMIFS(Transactions!$F$7:$F$989,Transactions!$D$7:$D$989,"Expense",Transactions!$E$7:$E$989,A156),"")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IF(A156&lt;&gt;"",SUMIFS(Transactions!$F$7:$F$989,Transactions!$D$7:$D$989,"Credit",Transactions!$H$7:$H$989,A156),"")</f>
        <v/>
      </c>
      <c r="H156" s="74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IF(A157&lt;&gt;"",SUMIFS(Transactions!$F$7:$F$989,Transactions!$D$7:$D$989,"Income",Transactions!$E$7:$E$989,A157),"")</f>
        <v/>
      </c>
      <c r="D157" s="79" t="str">
        <f>IF(A157&lt;&gt;"",SUMIFS(Transactions!$F$7:$F$989,Transactions!$D$7:$D$989,"Expense",Transactions!$E$7:$E$989,A157),"")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IF(A157&lt;&gt;"",SUMIFS(Transactions!$F$7:$F$989,Transactions!$D$7:$D$989,"Credit",Transactions!$H$7:$H$989,A157),"")</f>
        <v/>
      </c>
      <c r="H157" s="74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IF(A158&lt;&gt;"",SUMIFS(Transactions!$F$7:$F$989,Transactions!$D$7:$D$989,"Income",Transactions!$E$7:$E$989,A158),"")</f>
        <v/>
      </c>
      <c r="D158" s="82" t="str">
        <f>IF(A158&lt;&gt;"",SUMIFS(Transactions!$F$7:$F$989,Transactions!$D$7:$D$989,"Expense",Transactions!$E$7:$E$989,A158),"")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IF(A158&lt;&gt;"",SUMIFS(Transactions!$F$7:$F$989,Transactions!$D$7:$D$989,"Credit",Transactions!$H$7:$H$989,A158),"")</f>
        <v/>
      </c>
      <c r="H158" s="74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IF(A159&lt;&gt;"",SUMIFS(Transactions!$F$7:$F$989,Transactions!$D$7:$D$989,"Income",Transactions!$E$7:$E$989,A159),"")</f>
        <v/>
      </c>
      <c r="D159" s="79" t="str">
        <f>IF(A159&lt;&gt;"",SUMIFS(Transactions!$F$7:$F$989,Transactions!$D$7:$D$989,"Expense",Transactions!$E$7:$E$989,A159),"")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IF(A159&lt;&gt;"",SUMIFS(Transactions!$F$7:$F$989,Transactions!$D$7:$D$989,"Credit",Transactions!$H$7:$H$989,A159),"")</f>
        <v/>
      </c>
      <c r="H159" s="74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IF(A160&lt;&gt;"",SUMIFS(Transactions!$F$7:$F$989,Transactions!$D$7:$D$989,"Income",Transactions!$E$7:$E$989,A160),"")</f>
        <v/>
      </c>
      <c r="D160" s="82" t="str">
        <f>IF(A160&lt;&gt;"",SUMIFS(Transactions!$F$7:$F$989,Transactions!$D$7:$D$989,"Expense",Transactions!$E$7:$E$989,A160),"")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IF(A160&lt;&gt;"",SUMIFS(Transactions!$F$7:$F$989,Transactions!$D$7:$D$989,"Credit",Transactions!$H$7:$H$989,A160),"")</f>
        <v/>
      </c>
      <c r="H160" s="74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IF(A161&lt;&gt;"",SUMIFS(Transactions!$F$7:$F$989,Transactions!$D$7:$D$989,"Income",Transactions!$E$7:$E$989,A161),"")</f>
        <v/>
      </c>
      <c r="D161" s="79" t="str">
        <f>IF(A161&lt;&gt;"",SUMIFS(Transactions!$F$7:$F$989,Transactions!$D$7:$D$989,"Expense",Transactions!$E$7:$E$989,A161),"")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IF(A161&lt;&gt;"",SUMIFS(Transactions!$F$7:$F$989,Transactions!$D$7:$D$989,"Credit",Transactions!$H$7:$H$989,A161),"")</f>
        <v/>
      </c>
      <c r="H161" s="74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IF(A162&lt;&gt;"",SUMIFS(Transactions!$F$7:$F$989,Transactions!$D$7:$D$989,"Income",Transactions!$E$7:$E$989,A162),"")</f>
        <v/>
      </c>
      <c r="D162" s="82" t="str">
        <f>IF(A162&lt;&gt;"",SUMIFS(Transactions!$F$7:$F$989,Transactions!$D$7:$D$989,"Expense",Transactions!$E$7:$E$989,A162),"")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IF(A162&lt;&gt;"",SUMIFS(Transactions!$F$7:$F$989,Transactions!$D$7:$D$989,"Credit",Transactions!$H$7:$H$989,A162),"")</f>
        <v/>
      </c>
      <c r="H162" s="74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IF(A163&lt;&gt;"",SUMIFS(Transactions!$F$7:$F$989,Transactions!$D$7:$D$989,"Income",Transactions!$E$7:$E$989,A163),"")</f>
        <v/>
      </c>
      <c r="D163" s="79" t="str">
        <f>IF(A163&lt;&gt;"",SUMIFS(Transactions!$F$7:$F$989,Transactions!$D$7:$D$989,"Expense",Transactions!$E$7:$E$989,A163),"")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IF(A163&lt;&gt;"",SUMIFS(Transactions!$F$7:$F$989,Transactions!$D$7:$D$989,"Credit",Transactions!$H$7:$H$989,A163),"")</f>
        <v/>
      </c>
      <c r="H163" s="74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IF(A164&lt;&gt;"",SUMIFS(Transactions!$F$7:$F$989,Transactions!$D$7:$D$989,"Income",Transactions!$E$7:$E$989,A164),"")</f>
        <v/>
      </c>
      <c r="D164" s="82" t="str">
        <f>IF(A164&lt;&gt;"",SUMIFS(Transactions!$F$7:$F$989,Transactions!$D$7:$D$989,"Expense",Transactions!$E$7:$E$989,A164),"")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IF(A164&lt;&gt;"",SUMIFS(Transactions!$F$7:$F$989,Transactions!$D$7:$D$989,"Credit",Transactions!$H$7:$H$989,A164),"")</f>
        <v/>
      </c>
      <c r="H164" s="74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IF(A165&lt;&gt;"",SUMIFS(Transactions!$F$7:$F$989,Transactions!$D$7:$D$989,"Income",Transactions!$E$7:$E$989,A165),"")</f>
        <v/>
      </c>
      <c r="D165" s="79" t="str">
        <f>IF(A165&lt;&gt;"",SUMIFS(Transactions!$F$7:$F$989,Transactions!$D$7:$D$989,"Expense",Transactions!$E$7:$E$989,A165),"")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IF(A165&lt;&gt;"",SUMIFS(Transactions!$F$7:$F$989,Transactions!$D$7:$D$989,"Credit",Transactions!$H$7:$H$989,A165),"")</f>
        <v/>
      </c>
      <c r="H165" s="74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IF(A166&lt;&gt;"",SUMIFS(Transactions!$F$7:$F$989,Transactions!$D$7:$D$989,"Income",Transactions!$E$7:$E$989,A166),"")</f>
        <v/>
      </c>
      <c r="D166" s="82" t="str">
        <f>IF(A166&lt;&gt;"",SUMIFS(Transactions!$F$7:$F$989,Transactions!$D$7:$D$989,"Expense",Transactions!$E$7:$E$989,A166),"")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IF(A166&lt;&gt;"",SUMIFS(Transactions!$F$7:$F$989,Transactions!$D$7:$D$989,"Credit",Transactions!$H$7:$H$989,A166),"")</f>
        <v/>
      </c>
      <c r="H166" s="74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IF(A167&lt;&gt;"",SUMIFS(Transactions!$F$7:$F$989,Transactions!$D$7:$D$989,"Income",Transactions!$E$7:$E$989,A167),"")</f>
        <v/>
      </c>
      <c r="D167" s="79" t="str">
        <f>IF(A167&lt;&gt;"",SUMIFS(Transactions!$F$7:$F$989,Transactions!$D$7:$D$989,"Expense",Transactions!$E$7:$E$989,A167),"")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IF(A167&lt;&gt;"",SUMIFS(Transactions!$F$7:$F$989,Transactions!$D$7:$D$989,"Credit",Transactions!$H$7:$H$989,A167),"")</f>
        <v/>
      </c>
      <c r="H167" s="74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IF(A168&lt;&gt;"",SUMIFS(Transactions!$F$7:$F$989,Transactions!$D$7:$D$989,"Income",Transactions!$E$7:$E$989,A168),"")</f>
        <v/>
      </c>
      <c r="D168" s="82" t="str">
        <f>IF(A168&lt;&gt;"",SUMIFS(Transactions!$F$7:$F$989,Transactions!$D$7:$D$989,"Expense",Transactions!$E$7:$E$989,A168),"")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IF(A168&lt;&gt;"",SUMIFS(Transactions!$F$7:$F$989,Transactions!$D$7:$D$989,"Credit",Transactions!$H$7:$H$989,A168),"")</f>
        <v/>
      </c>
      <c r="H168" s="74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IF(A169&lt;&gt;"",SUMIFS(Transactions!$F$7:$F$989,Transactions!$D$7:$D$989,"Income",Transactions!$E$7:$E$989,A169),"")</f>
        <v/>
      </c>
      <c r="D169" s="79" t="str">
        <f>IF(A169&lt;&gt;"",SUMIFS(Transactions!$F$7:$F$989,Transactions!$D$7:$D$989,"Expense",Transactions!$E$7:$E$989,A169),"")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IF(A169&lt;&gt;"",SUMIFS(Transactions!$F$7:$F$989,Transactions!$D$7:$D$989,"Credit",Transactions!$H$7:$H$989,A169),"")</f>
        <v/>
      </c>
      <c r="H169" s="74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IF(A170&lt;&gt;"",SUMIFS(Transactions!$F$7:$F$989,Transactions!$D$7:$D$989,"Income",Transactions!$E$7:$E$989,A170),"")</f>
        <v/>
      </c>
      <c r="D170" s="82" t="str">
        <f>IF(A170&lt;&gt;"",SUMIFS(Transactions!$F$7:$F$989,Transactions!$D$7:$D$989,"Expense",Transactions!$E$7:$E$989,A170),"")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IF(A170&lt;&gt;"",SUMIFS(Transactions!$F$7:$F$989,Transactions!$D$7:$D$989,"Credit",Transactions!$H$7:$H$989,A170),"")</f>
        <v/>
      </c>
      <c r="H170" s="74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IF(A171&lt;&gt;"",SUMIFS(Transactions!$F$7:$F$989,Transactions!$D$7:$D$989,"Income",Transactions!$E$7:$E$989,A171),"")</f>
        <v/>
      </c>
      <c r="D171" s="79" t="str">
        <f>IF(A171&lt;&gt;"",SUMIFS(Transactions!$F$7:$F$989,Transactions!$D$7:$D$989,"Expense",Transactions!$E$7:$E$989,A171),"")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IF(A171&lt;&gt;"",SUMIFS(Transactions!$F$7:$F$989,Transactions!$D$7:$D$989,"Credit",Transactions!$H$7:$H$989,A171),"")</f>
        <v/>
      </c>
      <c r="H171" s="74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IF(A172&lt;&gt;"",SUMIFS(Transactions!$F$7:$F$989,Transactions!$D$7:$D$989,"Income",Transactions!$E$7:$E$989,A172),"")</f>
        <v/>
      </c>
      <c r="D172" s="82" t="str">
        <f>IF(A172&lt;&gt;"",SUMIFS(Transactions!$F$7:$F$989,Transactions!$D$7:$D$989,"Expense",Transactions!$E$7:$E$989,A172),"")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IF(A172&lt;&gt;"",SUMIFS(Transactions!$F$7:$F$989,Transactions!$D$7:$D$989,"Credit",Transactions!$H$7:$H$989,A172),"")</f>
        <v/>
      </c>
      <c r="H172" s="74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IF(A173&lt;&gt;"",SUMIFS(Transactions!$F$7:$F$989,Transactions!$D$7:$D$989,"Income",Transactions!$E$7:$E$989,A173),"")</f>
        <v/>
      </c>
      <c r="D173" s="79" t="str">
        <f>IF(A173&lt;&gt;"",SUMIFS(Transactions!$F$7:$F$989,Transactions!$D$7:$D$989,"Expense",Transactions!$E$7:$E$989,A173),"")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IF(A173&lt;&gt;"",SUMIFS(Transactions!$F$7:$F$989,Transactions!$D$7:$D$989,"Credit",Transactions!$H$7:$H$989,A173),"")</f>
        <v/>
      </c>
      <c r="H173" s="74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IF(A174&lt;&gt;"",SUMIFS(Transactions!$F$7:$F$989,Transactions!$D$7:$D$989,"Income",Transactions!$E$7:$E$989,A174),"")</f>
        <v/>
      </c>
      <c r="D174" s="82" t="str">
        <f>IF(A174&lt;&gt;"",SUMIFS(Transactions!$F$7:$F$989,Transactions!$D$7:$D$989,"Expense",Transactions!$E$7:$E$989,A174),"")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IF(A174&lt;&gt;"",SUMIFS(Transactions!$F$7:$F$989,Transactions!$D$7:$D$989,"Credit",Transactions!$H$7:$H$989,A174),"")</f>
        <v/>
      </c>
      <c r="H174" s="74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IF(A175&lt;&gt;"",SUMIFS(Transactions!$F$7:$F$989,Transactions!$D$7:$D$989,"Income",Transactions!$E$7:$E$989,A175),"")</f>
        <v/>
      </c>
      <c r="D175" s="79" t="str">
        <f>IF(A175&lt;&gt;"",SUMIFS(Transactions!$F$7:$F$989,Transactions!$D$7:$D$989,"Expense",Transactions!$E$7:$E$989,A175),"")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IF(A175&lt;&gt;"",SUMIFS(Transactions!$F$7:$F$989,Transactions!$D$7:$D$989,"Credit",Transactions!$H$7:$H$989,A175),"")</f>
        <v/>
      </c>
      <c r="H175" s="74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IF(A176&lt;&gt;"",SUMIFS(Transactions!$F$7:$F$989,Transactions!$D$7:$D$989,"Income",Transactions!$E$7:$E$989,A176),"")</f>
        <v/>
      </c>
      <c r="D176" s="82" t="str">
        <f>IF(A176&lt;&gt;"",SUMIFS(Transactions!$F$7:$F$989,Transactions!$D$7:$D$989,"Expense",Transactions!$E$7:$E$989,A176),"")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IF(A176&lt;&gt;"",SUMIFS(Transactions!$F$7:$F$989,Transactions!$D$7:$D$989,"Credit",Transactions!$H$7:$H$989,A176),"")</f>
        <v/>
      </c>
      <c r="H176" s="74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IF(A177&lt;&gt;"",SUMIFS(Transactions!$F$7:$F$989,Transactions!$D$7:$D$989,"Income",Transactions!$E$7:$E$989,A177),"")</f>
        <v/>
      </c>
      <c r="D177" s="79" t="str">
        <f>IF(A177&lt;&gt;"",SUMIFS(Transactions!$F$7:$F$989,Transactions!$D$7:$D$989,"Expense",Transactions!$E$7:$E$989,A177),"")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IF(A177&lt;&gt;"",SUMIFS(Transactions!$F$7:$F$989,Transactions!$D$7:$D$989,"Credit",Transactions!$H$7:$H$989,A177),"")</f>
        <v/>
      </c>
      <c r="H177" s="74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IF(A178&lt;&gt;"",SUMIFS(Transactions!$F$7:$F$989,Transactions!$D$7:$D$989,"Income",Transactions!$E$7:$E$989,A178),"")</f>
        <v/>
      </c>
      <c r="D178" s="82" t="str">
        <f>IF(A178&lt;&gt;"",SUMIFS(Transactions!$F$7:$F$989,Transactions!$D$7:$D$989,"Expense",Transactions!$E$7:$E$989,A178),"")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IF(A178&lt;&gt;"",SUMIFS(Transactions!$F$7:$F$989,Transactions!$D$7:$D$989,"Credit",Transactions!$H$7:$H$989,A178),"")</f>
        <v/>
      </c>
      <c r="H178" s="74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IF(A179&lt;&gt;"",SUMIFS(Transactions!$F$7:$F$989,Transactions!$D$7:$D$989,"Income",Transactions!$E$7:$E$989,A179),"")</f>
        <v/>
      </c>
      <c r="D179" s="79" t="str">
        <f>IF(A179&lt;&gt;"",SUMIFS(Transactions!$F$7:$F$989,Transactions!$D$7:$D$989,"Expense",Transactions!$E$7:$E$989,A179),"")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IF(A179&lt;&gt;"",SUMIFS(Transactions!$F$7:$F$989,Transactions!$D$7:$D$989,"Credit",Transactions!$H$7:$H$989,A179),"")</f>
        <v/>
      </c>
      <c r="H179" s="74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IF(A180&lt;&gt;"",SUMIFS(Transactions!$F$7:$F$989,Transactions!$D$7:$D$989,"Income",Transactions!$E$7:$E$989,A180),"")</f>
        <v/>
      </c>
      <c r="D180" s="82" t="str">
        <f>IF(A180&lt;&gt;"",SUMIFS(Transactions!$F$7:$F$989,Transactions!$D$7:$D$989,"Expense",Transactions!$E$7:$E$989,A180),"")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IF(A180&lt;&gt;"",SUMIFS(Transactions!$F$7:$F$989,Transactions!$D$7:$D$989,"Credit",Transactions!$H$7:$H$989,A180),"")</f>
        <v/>
      </c>
      <c r="H180" s="74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IF(A181&lt;&gt;"",SUMIFS(Transactions!$F$7:$F$989,Transactions!$D$7:$D$989,"Income",Transactions!$E$7:$E$989,A181),"")</f>
        <v/>
      </c>
      <c r="D181" s="79" t="str">
        <f>IF(A181&lt;&gt;"",SUMIFS(Transactions!$F$7:$F$989,Transactions!$D$7:$D$989,"Expense",Transactions!$E$7:$E$989,A181),"")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IF(A181&lt;&gt;"",SUMIFS(Transactions!$F$7:$F$989,Transactions!$D$7:$D$989,"Credit",Transactions!$H$7:$H$989,A181),"")</f>
        <v/>
      </c>
      <c r="H181" s="74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IF(A182&lt;&gt;"",SUMIFS(Transactions!$F$7:$F$989,Transactions!$D$7:$D$989,"Income",Transactions!$E$7:$E$989,A182),"")</f>
        <v/>
      </c>
      <c r="D182" s="82" t="str">
        <f>IF(A182&lt;&gt;"",SUMIFS(Transactions!$F$7:$F$989,Transactions!$D$7:$D$989,"Expense",Transactions!$E$7:$E$989,A182),"")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IF(A182&lt;&gt;"",SUMIFS(Transactions!$F$7:$F$989,Transactions!$D$7:$D$989,"Credit",Transactions!$H$7:$H$989,A182),"")</f>
        <v/>
      </c>
      <c r="H182" s="74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IF(A183&lt;&gt;"",SUMIFS(Transactions!$F$7:$F$989,Transactions!$D$7:$D$989,"Income",Transactions!$E$7:$E$989,A183),"")</f>
        <v/>
      </c>
      <c r="D183" s="79" t="str">
        <f>IF(A183&lt;&gt;"",SUMIFS(Transactions!$F$7:$F$989,Transactions!$D$7:$D$989,"Expense",Transactions!$E$7:$E$989,A183),"")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IF(A183&lt;&gt;"",SUMIFS(Transactions!$F$7:$F$989,Transactions!$D$7:$D$989,"Credit",Transactions!$H$7:$H$989,A183),"")</f>
        <v/>
      </c>
      <c r="H183" s="74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IF(A184&lt;&gt;"",SUMIFS(Transactions!$F$7:$F$989,Transactions!$D$7:$D$989,"Income",Transactions!$E$7:$E$989,A184),"")</f>
        <v/>
      </c>
      <c r="D184" s="82" t="str">
        <f>IF(A184&lt;&gt;"",SUMIFS(Transactions!$F$7:$F$989,Transactions!$D$7:$D$989,"Expense",Transactions!$E$7:$E$989,A184),"")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IF(A184&lt;&gt;"",SUMIFS(Transactions!$F$7:$F$989,Transactions!$D$7:$D$989,"Credit",Transactions!$H$7:$H$989,A184),"")</f>
        <v/>
      </c>
      <c r="H184" s="74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IF(A185&lt;&gt;"",SUMIFS(Transactions!$F$7:$F$989,Transactions!$D$7:$D$989,"Income",Transactions!$E$7:$E$989,A185),"")</f>
        <v/>
      </c>
      <c r="D185" s="79" t="str">
        <f>IF(A185&lt;&gt;"",SUMIFS(Transactions!$F$7:$F$989,Transactions!$D$7:$D$989,"Expense",Transactions!$E$7:$E$989,A185),"")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IF(A185&lt;&gt;"",SUMIFS(Transactions!$F$7:$F$989,Transactions!$D$7:$D$989,"Credit",Transactions!$H$7:$H$989,A185),"")</f>
        <v/>
      </c>
      <c r="H185" s="74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IF(A186&lt;&gt;"",SUMIFS(Transactions!$F$7:$F$989,Transactions!$D$7:$D$989,"Income",Transactions!$E$7:$E$989,A186),"")</f>
        <v/>
      </c>
      <c r="D186" s="82" t="str">
        <f>IF(A186&lt;&gt;"",SUMIFS(Transactions!$F$7:$F$989,Transactions!$D$7:$D$989,"Expense",Transactions!$E$7:$E$989,A186),"")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IF(A186&lt;&gt;"",SUMIFS(Transactions!$F$7:$F$989,Transactions!$D$7:$D$989,"Credit",Transactions!$H$7:$H$989,A186),"")</f>
        <v/>
      </c>
      <c r="H186" s="74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IF(A187&lt;&gt;"",SUMIFS(Transactions!$F$7:$F$989,Transactions!$D$7:$D$989,"Income",Transactions!$E$7:$E$989,A187),"")</f>
        <v/>
      </c>
      <c r="D187" s="79" t="str">
        <f>IF(A187&lt;&gt;"",SUMIFS(Transactions!$F$7:$F$989,Transactions!$D$7:$D$989,"Expense",Transactions!$E$7:$E$989,A187),"")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IF(A187&lt;&gt;"",SUMIFS(Transactions!$F$7:$F$989,Transactions!$D$7:$D$989,"Credit",Transactions!$H$7:$H$989,A187),"")</f>
        <v/>
      </c>
      <c r="H187" s="74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IF(A188&lt;&gt;"",SUMIFS(Transactions!$F$7:$F$989,Transactions!$D$7:$D$989,"Income",Transactions!$E$7:$E$989,A188),"")</f>
        <v/>
      </c>
      <c r="D188" s="82" t="str">
        <f>IF(A188&lt;&gt;"",SUMIFS(Transactions!$F$7:$F$989,Transactions!$D$7:$D$989,"Expense",Transactions!$E$7:$E$989,A188),"")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IF(A188&lt;&gt;"",SUMIFS(Transactions!$F$7:$F$989,Transactions!$D$7:$D$989,"Credit",Transactions!$H$7:$H$989,A188),"")</f>
        <v/>
      </c>
      <c r="H188" s="74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IF(A189&lt;&gt;"",SUMIFS(Transactions!$F$7:$F$989,Transactions!$D$7:$D$989,"Income",Transactions!$E$7:$E$989,A189),"")</f>
        <v/>
      </c>
      <c r="D189" s="79" t="str">
        <f>IF(A189&lt;&gt;"",SUMIFS(Transactions!$F$7:$F$989,Transactions!$D$7:$D$989,"Expense",Transactions!$E$7:$E$989,A189),"")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IF(A189&lt;&gt;"",SUMIFS(Transactions!$F$7:$F$989,Transactions!$D$7:$D$989,"Credit",Transactions!$H$7:$H$989,A189),"")</f>
        <v/>
      </c>
      <c r="H189" s="74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IF(A190&lt;&gt;"",SUMIFS(Transactions!$F$7:$F$989,Transactions!$D$7:$D$989,"Income",Transactions!$E$7:$E$989,A190),"")</f>
        <v/>
      </c>
      <c r="D190" s="82" t="str">
        <f>IF(A190&lt;&gt;"",SUMIFS(Transactions!$F$7:$F$989,Transactions!$D$7:$D$989,"Expense",Transactions!$E$7:$E$989,A190),"")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IF(A190&lt;&gt;"",SUMIFS(Transactions!$F$7:$F$989,Transactions!$D$7:$D$989,"Credit",Transactions!$H$7:$H$989,A190),"")</f>
        <v/>
      </c>
      <c r="H190" s="74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IF(A191&lt;&gt;"",SUMIFS(Transactions!$F$7:$F$989,Transactions!$D$7:$D$989,"Income",Transactions!$E$7:$E$989,A191),"")</f>
        <v/>
      </c>
      <c r="D191" s="79" t="str">
        <f>IF(A191&lt;&gt;"",SUMIFS(Transactions!$F$7:$F$989,Transactions!$D$7:$D$989,"Expense",Transactions!$E$7:$E$989,A191),"")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IF(A191&lt;&gt;"",SUMIFS(Transactions!$F$7:$F$989,Transactions!$D$7:$D$989,"Credit",Transactions!$H$7:$H$989,A191),"")</f>
        <v/>
      </c>
      <c r="H191" s="74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IF(A192&lt;&gt;"",SUMIFS(Transactions!$F$7:$F$989,Transactions!$D$7:$D$989,"Income",Transactions!$E$7:$E$989,A192),"")</f>
        <v/>
      </c>
      <c r="D192" s="82" t="str">
        <f>IF(A192&lt;&gt;"",SUMIFS(Transactions!$F$7:$F$989,Transactions!$D$7:$D$989,"Expense",Transactions!$E$7:$E$989,A192),"")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IF(A192&lt;&gt;"",SUMIFS(Transactions!$F$7:$F$989,Transactions!$D$7:$D$989,"Credit",Transactions!$H$7:$H$989,A192),"")</f>
        <v/>
      </c>
      <c r="H192" s="74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IF(A193&lt;&gt;"",SUMIFS(Transactions!$F$7:$F$989,Transactions!$D$7:$D$989,"Income",Transactions!$E$7:$E$989,A193),"")</f>
        <v/>
      </c>
      <c r="D193" s="79" t="str">
        <f>IF(A193&lt;&gt;"",SUMIFS(Transactions!$F$7:$F$989,Transactions!$D$7:$D$989,"Expense",Transactions!$E$7:$E$989,A193),"")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IF(A193&lt;&gt;"",SUMIFS(Transactions!$F$7:$F$989,Transactions!$D$7:$D$989,"Credit",Transactions!$H$7:$H$989,A193),"")</f>
        <v/>
      </c>
      <c r="H193" s="74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IF(A194&lt;&gt;"",SUMIFS(Transactions!$F$7:$F$989,Transactions!$D$7:$D$989,"Income",Transactions!$E$7:$E$989,A194),"")</f>
        <v/>
      </c>
      <c r="D194" s="82" t="str">
        <f>IF(A194&lt;&gt;"",SUMIFS(Transactions!$F$7:$F$989,Transactions!$D$7:$D$989,"Expense",Transactions!$E$7:$E$989,A194),"")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IF(A194&lt;&gt;"",SUMIFS(Transactions!$F$7:$F$989,Transactions!$D$7:$D$989,"Credit",Transactions!$H$7:$H$989,A194),"")</f>
        <v/>
      </c>
      <c r="H194" s="74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IF(A195&lt;&gt;"",SUMIFS(Transactions!$F$7:$F$989,Transactions!$D$7:$D$989,"Income",Transactions!$E$7:$E$989,A195),"")</f>
        <v/>
      </c>
      <c r="D195" s="79" t="str">
        <f>IF(A195&lt;&gt;"",SUMIFS(Transactions!$F$7:$F$989,Transactions!$D$7:$D$989,"Expense",Transactions!$E$7:$E$989,A195),"")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IF(A195&lt;&gt;"",SUMIFS(Transactions!$F$7:$F$989,Transactions!$D$7:$D$989,"Credit",Transactions!$H$7:$H$989,A195),"")</f>
        <v/>
      </c>
      <c r="H195" s="74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IF(A196&lt;&gt;"",SUMIFS(Transactions!$F$7:$F$989,Transactions!$D$7:$D$989,"Income",Transactions!$E$7:$E$989,A196),"")</f>
        <v/>
      </c>
      <c r="D196" s="82" t="str">
        <f>IF(A196&lt;&gt;"",SUMIFS(Transactions!$F$7:$F$989,Transactions!$D$7:$D$989,"Expense",Transactions!$E$7:$E$989,A196),"")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IF(A196&lt;&gt;"",SUMIFS(Transactions!$F$7:$F$989,Transactions!$D$7:$D$989,"Credit",Transactions!$H$7:$H$989,A196),"")</f>
        <v/>
      </c>
      <c r="H196" s="74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IF(A197&lt;&gt;"",SUMIFS(Transactions!$F$7:$F$989,Transactions!$D$7:$D$989,"Income",Transactions!$E$7:$E$989,A197),"")</f>
        <v/>
      </c>
      <c r="D197" s="79" t="str">
        <f>IF(A197&lt;&gt;"",SUMIFS(Transactions!$F$7:$F$989,Transactions!$D$7:$D$989,"Expense",Transactions!$E$7:$E$989,A197),"")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IF(A197&lt;&gt;"",SUMIFS(Transactions!$F$7:$F$989,Transactions!$D$7:$D$989,"Credit",Transactions!$H$7:$H$989,A197),"")</f>
        <v/>
      </c>
      <c r="H197" s="74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IF(A198&lt;&gt;"",SUMIFS(Transactions!$F$7:$F$989,Transactions!$D$7:$D$989,"Income",Transactions!$E$7:$E$989,A198),"")</f>
        <v/>
      </c>
      <c r="D198" s="82" t="str">
        <f>IF(A198&lt;&gt;"",SUMIFS(Transactions!$F$7:$F$989,Transactions!$D$7:$D$989,"Expense",Transactions!$E$7:$E$989,A198),"")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IF(A198&lt;&gt;"",SUMIFS(Transactions!$F$7:$F$989,Transactions!$D$7:$D$989,"Credit",Transactions!$H$7:$H$989,A198),"")</f>
        <v/>
      </c>
      <c r="H198" s="74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IF(A199&lt;&gt;"",SUMIFS(Transactions!$F$7:$F$989,Transactions!$D$7:$D$989,"Income",Transactions!$E$7:$E$989,A199),"")</f>
        <v/>
      </c>
      <c r="D199" s="79" t="str">
        <f>IF(A199&lt;&gt;"",SUMIFS(Transactions!$F$7:$F$989,Transactions!$D$7:$D$989,"Expense",Transactions!$E$7:$E$989,A199),"")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IF(A199&lt;&gt;"",SUMIFS(Transactions!$F$7:$F$989,Transactions!$D$7:$D$989,"Credit",Transactions!$H$7:$H$989,A199),"")</f>
        <v/>
      </c>
      <c r="H199" s="74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IF(A200&lt;&gt;"",SUMIFS(Transactions!$F$7:$F$989,Transactions!$D$7:$D$989,"Income",Transactions!$E$7:$E$989,A200),"")</f>
        <v/>
      </c>
      <c r="D200" s="82" t="str">
        <f>IF(A200&lt;&gt;"",SUMIFS(Transactions!$F$7:$F$989,Transactions!$D$7:$D$989,"Expense",Transactions!$E$7:$E$989,A200),"")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IF(A200&lt;&gt;"",SUMIFS(Transactions!$F$7:$F$989,Transactions!$D$7:$D$989,"Credit",Transactions!$H$7:$H$989,A200),"")</f>
        <v/>
      </c>
      <c r="H200" s="74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IF(A201&lt;&gt;"",SUMIFS(Transactions!$F$7:$F$989,Transactions!$D$7:$D$989,"Income",Transactions!$E$7:$E$989,A201),"")</f>
        <v/>
      </c>
      <c r="D201" s="79" t="str">
        <f>IF(A201&lt;&gt;"",SUMIFS(Transactions!$F$7:$F$989,Transactions!$D$7:$D$989,"Expense",Transactions!$E$7:$E$989,A201),"")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IF(A201&lt;&gt;"",SUMIFS(Transactions!$F$7:$F$989,Transactions!$D$7:$D$989,"Credit",Transactions!$H$7:$H$989,A201),"")</f>
        <v/>
      </c>
      <c r="H201" s="74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IF(A202&lt;&gt;"",SUMIFS(Transactions!$F$7:$F$989,Transactions!$D$7:$D$989,"Income",Transactions!$E$7:$E$989,A202),"")</f>
        <v/>
      </c>
      <c r="D202" s="82" t="str">
        <f>IF(A202&lt;&gt;"",SUMIFS(Transactions!$F$7:$F$989,Transactions!$D$7:$D$989,"Expense",Transactions!$E$7:$E$989,A202),"")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IF(A202&lt;&gt;"",SUMIFS(Transactions!$F$7:$F$989,Transactions!$D$7:$D$989,"Credit",Transactions!$H$7:$H$989,A202),"")</f>
        <v/>
      </c>
      <c r="H202" s="74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IF(A203&lt;&gt;"",SUMIFS(Transactions!$F$7:$F$989,Transactions!$D$7:$D$989,"Income",Transactions!$E$7:$E$989,A203),"")</f>
        <v/>
      </c>
      <c r="D203" s="79" t="str">
        <f>IF(A203&lt;&gt;"",SUMIFS(Transactions!$F$7:$F$989,Transactions!$D$7:$D$989,"Expense",Transactions!$E$7:$E$989,A203),"")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IF(A203&lt;&gt;"",SUMIFS(Transactions!$F$7:$F$989,Transactions!$D$7:$D$989,"Credit",Transactions!$H$7:$H$989,A203),"")</f>
        <v/>
      </c>
      <c r="H203" s="74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IF(A204&lt;&gt;"",SUMIFS(Transactions!$F$7:$F$989,Transactions!$D$7:$D$989,"Income",Transactions!$E$7:$E$989,A204),"")</f>
        <v/>
      </c>
      <c r="D204" s="82" t="str">
        <f>IF(A204&lt;&gt;"",SUMIFS(Transactions!$F$7:$F$989,Transactions!$D$7:$D$989,"Expense",Transactions!$E$7:$E$989,A204),"")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IF(A204&lt;&gt;"",SUMIFS(Transactions!$F$7:$F$989,Transactions!$D$7:$D$989,"Credit",Transactions!$H$7:$H$989,A204),"")</f>
        <v/>
      </c>
      <c r="H204" s="74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IF(A205&lt;&gt;"",SUMIFS(Transactions!$F$7:$F$989,Transactions!$D$7:$D$989,"Income",Transactions!$E$7:$E$989,A205),"")</f>
        <v/>
      </c>
      <c r="D205" s="79" t="str">
        <f>IF(A205&lt;&gt;"",SUMIFS(Transactions!$F$7:$F$989,Transactions!$D$7:$D$989,"Expense",Transactions!$E$7:$E$989,A205),"")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IF(A205&lt;&gt;"",SUMIFS(Transactions!$F$7:$F$989,Transactions!$D$7:$D$989,"Credit",Transactions!$H$7:$H$989,A205),"")</f>
        <v/>
      </c>
      <c r="H205" s="74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IF(A206&lt;&gt;"",SUMIFS(Transactions!$F$7:$F$989,Transactions!$D$7:$D$989,"Income",Transactions!$E$7:$E$989,A206),"")</f>
        <v/>
      </c>
      <c r="D206" s="82" t="str">
        <f>IF(A206&lt;&gt;"",SUMIFS(Transactions!$F$7:$F$989,Transactions!$D$7:$D$989,"Expense",Transactions!$E$7:$E$989,A206),"")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IF(A206&lt;&gt;"",SUMIFS(Transactions!$F$7:$F$989,Transactions!$D$7:$D$989,"Credit",Transactions!$H$7:$H$989,A206),"")</f>
        <v/>
      </c>
      <c r="H206" s="74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192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193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46</v>
      </c>
      <c r="B3" s="88" t="s">
        <v>47</v>
      </c>
      <c r="C3" s="88" t="s">
        <v>7</v>
      </c>
      <c r="D3" s="88" t="s">
        <v>48</v>
      </c>
      <c r="E3" s="88" t="s">
        <v>49</v>
      </c>
      <c r="F3" s="88" t="s">
        <v>50</v>
      </c>
      <c r="G3" s="88" t="s">
        <v>51</v>
      </c>
      <c r="H3" s="88" t="s">
        <v>52</v>
      </c>
      <c r="I3" s="88" t="s">
        <v>19</v>
      </c>
      <c r="J3" s="88" t="s">
        <v>194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2">
        <v>46236.0</v>
      </c>
      <c r="B4" s="58" t="s">
        <v>195</v>
      </c>
      <c r="C4" s="58" t="s">
        <v>74</v>
      </c>
      <c r="D4" s="58" t="s">
        <v>196</v>
      </c>
      <c r="E4" s="58" t="s">
        <v>107</v>
      </c>
      <c r="F4" s="69">
        <v>84.0</v>
      </c>
      <c r="G4" s="58" t="s">
        <v>31</v>
      </c>
      <c r="H4" s="50"/>
      <c r="I4" s="58" t="s">
        <v>59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149</v>
      </c>
      <c r="C5" s="91" t="s">
        <v>74</v>
      </c>
      <c r="D5" s="91" t="s">
        <v>57</v>
      </c>
      <c r="E5" s="91" t="s">
        <v>197</v>
      </c>
      <c r="F5" s="91">
        <v>100.8</v>
      </c>
      <c r="G5" s="91" t="s">
        <v>31</v>
      </c>
      <c r="H5" s="92"/>
      <c r="I5" s="91" t="s">
        <v>198</v>
      </c>
      <c r="J5" s="89"/>
      <c r="K5" s="86"/>
      <c r="L5" s="86"/>
      <c r="M5" s="93" t="s">
        <v>199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150</v>
      </c>
      <c r="C6" s="91" t="s">
        <v>74</v>
      </c>
      <c r="D6" s="91" t="s">
        <v>57</v>
      </c>
      <c r="E6" s="91" t="s">
        <v>58</v>
      </c>
      <c r="F6" s="91">
        <f>51.04+48.84+5.5+11.25</f>
        <v>116.63</v>
      </c>
      <c r="G6" s="91" t="s">
        <v>34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151</v>
      </c>
      <c r="C7" s="97" t="s">
        <v>74</v>
      </c>
      <c r="D7" s="97" t="s">
        <v>57</v>
      </c>
      <c r="E7" s="97" t="s">
        <v>200</v>
      </c>
      <c r="F7" s="97">
        <v>106.02</v>
      </c>
      <c r="G7" s="97" t="s">
        <v>34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152</v>
      </c>
      <c r="C8" s="91" t="s">
        <v>74</v>
      </c>
      <c r="D8" s="91" t="s">
        <v>57</v>
      </c>
      <c r="E8" s="91" t="s">
        <v>201</v>
      </c>
      <c r="F8" s="91">
        <v>55.5</v>
      </c>
      <c r="G8" s="91" t="s">
        <v>34</v>
      </c>
      <c r="H8" s="94"/>
      <c r="I8" s="94"/>
      <c r="J8" s="95"/>
      <c r="K8" s="86"/>
      <c r="L8" s="86"/>
      <c r="M8" s="93" t="s">
        <v>202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153</v>
      </c>
      <c r="C9" s="91" t="s">
        <v>74</v>
      </c>
      <c r="D9" s="91" t="s">
        <v>57</v>
      </c>
      <c r="E9" s="91" t="s">
        <v>203</v>
      </c>
      <c r="F9" s="91">
        <v>80.0</v>
      </c>
      <c r="G9" s="91" t="s">
        <v>34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155</v>
      </c>
      <c r="C10" s="97" t="s">
        <v>74</v>
      </c>
      <c r="D10" s="97" t="s">
        <v>57</v>
      </c>
      <c r="E10" s="97" t="s">
        <v>204</v>
      </c>
      <c r="F10" s="97">
        <v>90.0</v>
      </c>
      <c r="G10" s="97" t="s">
        <v>54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167</v>
      </c>
      <c r="C11" s="91" t="s">
        <v>74</v>
      </c>
      <c r="D11" s="91" t="s">
        <v>57</v>
      </c>
      <c r="E11" s="91" t="s">
        <v>205</v>
      </c>
      <c r="F11" s="91">
        <v>95.83</v>
      </c>
      <c r="G11" s="91" t="s">
        <v>54</v>
      </c>
      <c r="H11" s="92"/>
      <c r="I11" s="92"/>
      <c r="J11" s="95"/>
      <c r="K11" s="86"/>
      <c r="L11" s="86"/>
      <c r="M11" s="93" t="s">
        <v>206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169</v>
      </c>
      <c r="C12" s="91" t="s">
        <v>74</v>
      </c>
      <c r="D12" s="91" t="s">
        <v>57</v>
      </c>
      <c r="E12" s="91" t="s">
        <v>81</v>
      </c>
      <c r="F12" s="91">
        <v>133.19</v>
      </c>
      <c r="G12" s="91" t="s">
        <v>54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170</v>
      </c>
      <c r="C13" s="97" t="s">
        <v>74</v>
      </c>
      <c r="D13" s="97" t="s">
        <v>57</v>
      </c>
      <c r="E13" s="97" t="s">
        <v>207</v>
      </c>
      <c r="F13" s="97">
        <v>96.57</v>
      </c>
      <c r="G13" s="97" t="s">
        <v>54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9"/>
      <c r="B221" s="9"/>
      <c r="C221" s="9"/>
      <c r="D221" s="9"/>
      <c r="E221" s="9"/>
      <c r="F221" s="9"/>
      <c r="G221" s="9"/>
    </row>
    <row r="222" ht="15.75" customHeight="1">
      <c r="A222" s="9"/>
      <c r="B222" s="9"/>
      <c r="C222" s="9"/>
      <c r="D222" s="9"/>
      <c r="E222" s="9"/>
      <c r="F222" s="9"/>
      <c r="G222" s="9"/>
    </row>
    <row r="223" ht="15.75" customHeight="1">
      <c r="A223" s="9"/>
      <c r="B223" s="9"/>
      <c r="C223" s="9"/>
      <c r="D223" s="9"/>
      <c r="E223" s="9"/>
      <c r="F223" s="9"/>
      <c r="G223" s="9"/>
    </row>
    <row r="224" ht="15.75" customHeight="1">
      <c r="A224" s="9"/>
      <c r="B224" s="9"/>
      <c r="C224" s="9"/>
      <c r="D224" s="9"/>
      <c r="E224" s="9"/>
      <c r="F224" s="9"/>
      <c r="G224" s="9"/>
    </row>
    <row r="225" ht="15.75" customHeight="1">
      <c r="A225" s="9"/>
      <c r="B225" s="9"/>
      <c r="C225" s="9"/>
      <c r="D225" s="9"/>
      <c r="E225" s="9"/>
      <c r="F225" s="9"/>
      <c r="G225" s="9"/>
    </row>
    <row r="226" ht="15.75" customHeight="1">
      <c r="A226" s="9"/>
      <c r="B226" s="9"/>
      <c r="C226" s="9"/>
      <c r="D226" s="9"/>
      <c r="E226" s="9"/>
      <c r="F226" s="9"/>
      <c r="G226" s="9"/>
    </row>
    <row r="227" ht="15.75" customHeight="1">
      <c r="A227" s="9"/>
      <c r="B227" s="9"/>
      <c r="C227" s="9"/>
      <c r="D227" s="9"/>
      <c r="E227" s="9"/>
      <c r="F227" s="9"/>
      <c r="G227" s="9"/>
    </row>
    <row r="228" ht="15.75" customHeight="1">
      <c r="A228" s="9"/>
      <c r="B228" s="9"/>
      <c r="C228" s="9"/>
      <c r="D228" s="9"/>
      <c r="E228" s="9"/>
      <c r="F228" s="9"/>
      <c r="G228" s="9"/>
    </row>
    <row r="229" ht="15.75" customHeight="1">
      <c r="A229" s="9"/>
      <c r="B229" s="9"/>
      <c r="C229" s="9"/>
      <c r="D229" s="9"/>
      <c r="E229" s="9"/>
      <c r="F229" s="9"/>
      <c r="G229" s="9"/>
    </row>
    <row r="230" ht="15.75" customHeight="1">
      <c r="A230" s="9"/>
      <c r="B230" s="9"/>
      <c r="C230" s="9"/>
      <c r="D230" s="9"/>
      <c r="E230" s="9"/>
      <c r="F230" s="9"/>
      <c r="G230" s="9"/>
    </row>
    <row r="231" ht="15.75" customHeight="1">
      <c r="A231" s="9"/>
      <c r="B231" s="9"/>
      <c r="C231" s="9"/>
      <c r="D231" s="9"/>
      <c r="E231" s="9"/>
      <c r="F231" s="9"/>
      <c r="G231" s="9"/>
    </row>
    <row r="232" ht="15.75" customHeight="1">
      <c r="A232" s="9"/>
      <c r="B232" s="9"/>
      <c r="C232" s="9"/>
      <c r="D232" s="9"/>
      <c r="E232" s="9"/>
      <c r="F232" s="9"/>
      <c r="G232" s="9"/>
    </row>
    <row r="233" ht="15.75" customHeight="1">
      <c r="A233" s="9"/>
      <c r="B233" s="9"/>
      <c r="C233" s="9"/>
      <c r="D233" s="9"/>
      <c r="E233" s="9"/>
      <c r="F233" s="9"/>
      <c r="G233" s="9"/>
    </row>
    <row r="234" ht="15.75" customHeight="1">
      <c r="A234" s="9"/>
      <c r="B234" s="9"/>
      <c r="C234" s="9"/>
      <c r="D234" s="9"/>
      <c r="E234" s="9"/>
      <c r="F234" s="9"/>
      <c r="G234" s="9"/>
    </row>
    <row r="235" ht="15.75" customHeight="1">
      <c r="A235" s="9"/>
      <c r="B235" s="9"/>
      <c r="C235" s="9"/>
      <c r="D235" s="9"/>
      <c r="E235" s="9"/>
      <c r="F235" s="9"/>
      <c r="G235" s="9"/>
    </row>
    <row r="236" ht="15.75" customHeight="1">
      <c r="A236" s="9"/>
      <c r="B236" s="9"/>
      <c r="C236" s="9"/>
      <c r="D236" s="9"/>
      <c r="E236" s="9"/>
      <c r="F236" s="9"/>
      <c r="G236" s="9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208</v>
      </c>
      <c r="B1" s="1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9" t="s">
        <v>209</v>
      </c>
      <c r="B3" s="1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40" t="s">
        <v>210</v>
      </c>
      <c r="B4" s="100">
        <f>COUNTA(Roster!A5:A204)</f>
        <v>38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40" t="s">
        <v>211</v>
      </c>
      <c r="B5" s="100">
        <f>COUNTIF(Roster!E5:E204,"Active")</f>
        <v>38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40" t="s">
        <v>212</v>
      </c>
      <c r="B6" s="100">
        <f>COUNTIF(Roster!D5:D204,"Coach")+COUNTIF(Roster!D5:D204,"Treasurer")</f>
        <v>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40" t="s">
        <v>213</v>
      </c>
      <c r="B7" s="100">
        <f>COUNTIF(Roster!D5:D204,"Captain")</f>
        <v>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99" t="s">
        <v>214</v>
      </c>
      <c r="B9" s="11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40" t="s">
        <v>215</v>
      </c>
      <c r="B10" s="101">
        <f>SUMIF(Roster!E5:E204,"Active",Roster!B5:B204)</f>
        <v>0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40" t="s">
        <v>216</v>
      </c>
      <c r="B11" s="101">
        <f>SUMIFS(Transactions!F7:F989,Transactions!D7:D989,"Income",Transactions!C7:C989,"Dues")</f>
        <v>4670.41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40" t="s">
        <v>217</v>
      </c>
      <c r="B12" s="101">
        <f>B10-B11</f>
        <v>-4670.41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40" t="s">
        <v>218</v>
      </c>
      <c r="B13" s="101">
        <f>Transactions!A4</f>
        <v>7138.66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40" t="s">
        <v>219</v>
      </c>
      <c r="B14" s="101">
        <f>Transactions!B4</f>
        <v>26886.7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40" t="s">
        <v>23</v>
      </c>
      <c r="B15" s="101">
        <f>Transactions!C4</f>
        <v>-19748.04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40" t="s">
        <v>220</v>
      </c>
      <c r="B16" s="101">
        <f>Transactions!E4</f>
        <v>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99" t="s">
        <v>221</v>
      </c>
      <c r="B18" s="11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40" t="s">
        <v>222</v>
      </c>
      <c r="B19" s="100">
        <f>COUNTA(Events!A5:A505)</f>
        <v>12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40" t="s">
        <v>223</v>
      </c>
      <c r="B20" s="100">
        <f>COUNTIF(Events!D5:D505,"Practice")</f>
        <v>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40" t="s">
        <v>224</v>
      </c>
      <c r="B21" s="100" t="str">
        <f>Events!D4</f>
        <v>Category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40" t="s">
        <v>225</v>
      </c>
      <c r="B22" s="100" t="str">
        <f>Events!D4</f>
        <v>Category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40" t="s">
        <v>226</v>
      </c>
      <c r="B23" s="101" t="str">
        <f>Events!H4</f>
        <v/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40" t="s">
        <v>227</v>
      </c>
      <c r="B24" s="101" t="str">
        <f>Events!I4</f>
        <v>Split Method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40" t="s">
        <v>228</v>
      </c>
      <c r="B25" s="101" t="str">
        <f>Events!J4</f>
        <v>Season Group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5" t="s">
        <v>232</v>
      </c>
      <c r="B1" s="1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07" t="s">
        <v>233</v>
      </c>
      <c r="B3" s="10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09" t="s">
        <v>234</v>
      </c>
      <c r="B4" s="110" t="s">
        <v>235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1" t="s">
        <v>236</v>
      </c>
      <c r="B5" s="110" t="s">
        <v>237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2" t="s">
        <v>238</v>
      </c>
      <c r="B6" s="110" t="s">
        <v>239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3"/>
      <c r="B7" s="1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107" t="s">
        <v>240</v>
      </c>
      <c r="B8" s="108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14" t="s">
        <v>241</v>
      </c>
      <c r="B9" s="110" t="s">
        <v>242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4" t="s">
        <v>243</v>
      </c>
      <c r="B10" s="110" t="s">
        <v>244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14" t="s">
        <v>245</v>
      </c>
      <c r="B11" s="110" t="s">
        <v>246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14" t="s">
        <v>247</v>
      </c>
      <c r="B12" s="110" t="s">
        <v>248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13"/>
      <c r="B13" s="1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07" t="s">
        <v>249</v>
      </c>
      <c r="B14" s="108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14" t="s">
        <v>250</v>
      </c>
      <c r="B15" s="110" t="s">
        <v>251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14" t="s">
        <v>252</v>
      </c>
      <c r="B16" s="110" t="s">
        <v>253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14" t="s">
        <v>254</v>
      </c>
      <c r="B17" s="110" t="s">
        <v>255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14" t="s">
        <v>256</v>
      </c>
      <c r="B18" s="110" t="s">
        <v>257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13"/>
      <c r="B19" s="1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07" t="s">
        <v>258</v>
      </c>
      <c r="B20" s="108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14" t="s">
        <v>259</v>
      </c>
      <c r="B21" s="110" t="s">
        <v>260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14" t="s">
        <v>261</v>
      </c>
      <c r="B22" s="110" t="s">
        <v>262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14" t="s">
        <v>263</v>
      </c>
      <c r="B23" s="110" t="s">
        <v>264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14" t="s">
        <v>265</v>
      </c>
      <c r="B24" s="110" t="s">
        <v>266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14" t="s">
        <v>267</v>
      </c>
      <c r="B25" s="110" t="s">
        <v>268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14" t="s">
        <v>269</v>
      </c>
      <c r="B26" s="110" t="s">
        <v>270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14" t="s">
        <v>271</v>
      </c>
      <c r="B27" s="110" t="s">
        <v>272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13"/>
      <c r="B28" s="1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07" t="s">
        <v>273</v>
      </c>
      <c r="B29" s="108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14" t="s">
        <v>274</v>
      </c>
      <c r="B30" s="110" t="s">
        <v>275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14" t="s">
        <v>29</v>
      </c>
      <c r="B31" s="110" t="s">
        <v>276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14" t="s">
        <v>277</v>
      </c>
      <c r="B32" s="110" t="s">
        <v>278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14" t="s">
        <v>279</v>
      </c>
      <c r="B33" s="110" t="s">
        <v>280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14" t="s">
        <v>281</v>
      </c>
      <c r="B34" s="110" t="s">
        <v>282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283</v>
      </c>
      <c r="B1" s="8"/>
      <c r="C1" s="8"/>
      <c r="D1" s="8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30.0" customHeight="1">
      <c r="A2" s="116" t="s">
        <v>284</v>
      </c>
      <c r="B2" s="8"/>
      <c r="C2" s="8"/>
      <c r="D2" s="8"/>
      <c r="E2" s="11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9.5" customHeight="1">
      <c r="A3" s="117" t="s">
        <v>285</v>
      </c>
      <c r="B3" s="8"/>
      <c r="C3" s="8"/>
      <c r="D3" s="8"/>
      <c r="E3" s="11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7.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8" t="s">
        <v>86</v>
      </c>
      <c r="B5" s="118" t="s">
        <v>286</v>
      </c>
      <c r="C5" s="118" t="s">
        <v>17</v>
      </c>
      <c r="D5" s="118" t="s">
        <v>18</v>
      </c>
      <c r="E5" s="118" t="s">
        <v>287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9" t="s">
        <v>134</v>
      </c>
      <c r="B6" s="120" t="s">
        <v>288</v>
      </c>
      <c r="C6" s="121" t="s">
        <v>289</v>
      </c>
      <c r="D6" s="121" t="s">
        <v>290</v>
      </c>
      <c r="E6" s="11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9" t="s">
        <v>183</v>
      </c>
      <c r="B7" s="120" t="s">
        <v>291</v>
      </c>
      <c r="C7" s="121" t="s">
        <v>292</v>
      </c>
      <c r="D7" s="121" t="s">
        <v>290</v>
      </c>
      <c r="E7" s="11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40" t="s">
        <v>79</v>
      </c>
      <c r="B8" s="122" t="s">
        <v>293</v>
      </c>
      <c r="C8" s="123" t="s">
        <v>292</v>
      </c>
      <c r="D8" s="123" t="s">
        <v>290</v>
      </c>
      <c r="E8" s="40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40" t="s">
        <v>118</v>
      </c>
      <c r="B9" s="122" t="s">
        <v>294</v>
      </c>
      <c r="C9" s="123" t="s">
        <v>292</v>
      </c>
      <c r="D9" s="123" t="s">
        <v>290</v>
      </c>
      <c r="E9" s="40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9" t="s">
        <v>142</v>
      </c>
      <c r="B10" s="120" t="s">
        <v>204</v>
      </c>
      <c r="C10" s="121" t="s">
        <v>292</v>
      </c>
      <c r="D10" s="121" t="s">
        <v>290</v>
      </c>
      <c r="E10" s="11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24" t="s">
        <v>116</v>
      </c>
      <c r="B11" s="125" t="s">
        <v>295</v>
      </c>
      <c r="C11" s="121" t="s">
        <v>292</v>
      </c>
      <c r="D11" s="121" t="s">
        <v>290</v>
      </c>
      <c r="E11" s="124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26" t="s">
        <v>105</v>
      </c>
      <c r="B12" s="127" t="s">
        <v>296</v>
      </c>
      <c r="C12" s="121" t="s">
        <v>292</v>
      </c>
      <c r="D12" s="121" t="s">
        <v>290</v>
      </c>
      <c r="E12" s="126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24" t="s">
        <v>81</v>
      </c>
      <c r="B13" s="125" t="s">
        <v>297</v>
      </c>
      <c r="C13" s="121" t="s">
        <v>292</v>
      </c>
      <c r="D13" s="121" t="s">
        <v>290</v>
      </c>
      <c r="E13" s="124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26" t="s">
        <v>181</v>
      </c>
      <c r="B14" s="127" t="s">
        <v>298</v>
      </c>
      <c r="C14" s="121" t="s">
        <v>292</v>
      </c>
      <c r="D14" s="121" t="s">
        <v>290</v>
      </c>
      <c r="E14" s="126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24" t="s">
        <v>58</v>
      </c>
      <c r="B15" s="125">
        <v>1762.0</v>
      </c>
      <c r="C15" s="121" t="s">
        <v>299</v>
      </c>
      <c r="D15" s="121" t="s">
        <v>290</v>
      </c>
      <c r="E15" s="124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26" t="s">
        <v>72</v>
      </c>
      <c r="B16" s="127" t="s">
        <v>300</v>
      </c>
      <c r="C16" s="121" t="s">
        <v>289</v>
      </c>
      <c r="D16" s="121" t="s">
        <v>290</v>
      </c>
      <c r="E16" s="126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24" t="s">
        <v>109</v>
      </c>
      <c r="B17" s="125" t="s">
        <v>301</v>
      </c>
      <c r="C17" s="121" t="s">
        <v>292</v>
      </c>
      <c r="D17" s="121" t="s">
        <v>290</v>
      </c>
      <c r="E17" s="124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26" t="s">
        <v>302</v>
      </c>
      <c r="B18" s="127" t="s">
        <v>303</v>
      </c>
      <c r="C18" s="121" t="s">
        <v>292</v>
      </c>
      <c r="D18" s="121" t="s">
        <v>290</v>
      </c>
      <c r="E18" s="126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24" t="s">
        <v>103</v>
      </c>
      <c r="B19" s="125" t="s">
        <v>304</v>
      </c>
      <c r="C19" s="121" t="s">
        <v>292</v>
      </c>
      <c r="D19" s="121" t="s">
        <v>290</v>
      </c>
      <c r="E19" s="12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26" t="s">
        <v>110</v>
      </c>
      <c r="B20" s="127" t="s">
        <v>305</v>
      </c>
      <c r="C20" s="121" t="s">
        <v>292</v>
      </c>
      <c r="D20" s="121" t="s">
        <v>290</v>
      </c>
      <c r="E20" s="126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24" t="s">
        <v>306</v>
      </c>
      <c r="B21" s="125" t="s">
        <v>307</v>
      </c>
      <c r="C21" s="121" t="s">
        <v>289</v>
      </c>
      <c r="D21" s="121" t="s">
        <v>290</v>
      </c>
      <c r="E21" s="12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26" t="s">
        <v>99</v>
      </c>
      <c r="B22" s="127" t="s">
        <v>308</v>
      </c>
      <c r="C22" s="121" t="s">
        <v>292</v>
      </c>
      <c r="D22" s="121" t="s">
        <v>290</v>
      </c>
      <c r="E22" s="126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24" t="s">
        <v>95</v>
      </c>
      <c r="B23" s="125" t="s">
        <v>309</v>
      </c>
      <c r="C23" s="121" t="s">
        <v>292</v>
      </c>
      <c r="D23" s="121" t="s">
        <v>290</v>
      </c>
      <c r="E23" s="124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26" t="s">
        <v>310</v>
      </c>
      <c r="B24" s="127" t="s">
        <v>311</v>
      </c>
      <c r="C24" s="121" t="s">
        <v>292</v>
      </c>
      <c r="D24" s="121" t="s">
        <v>290</v>
      </c>
      <c r="E24" s="126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24" t="s">
        <v>312</v>
      </c>
      <c r="B25" s="125" t="s">
        <v>313</v>
      </c>
      <c r="C25" s="121" t="s">
        <v>292</v>
      </c>
      <c r="D25" s="121" t="s">
        <v>290</v>
      </c>
      <c r="E25" s="124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24" t="s">
        <v>145</v>
      </c>
      <c r="B26" s="125" t="s">
        <v>314</v>
      </c>
      <c r="C26" s="121" t="s">
        <v>292</v>
      </c>
      <c r="D26" s="121" t="s">
        <v>290</v>
      </c>
      <c r="E26" s="126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26" t="s">
        <v>113</v>
      </c>
      <c r="B27" s="127" t="s">
        <v>315</v>
      </c>
      <c r="C27" s="121" t="s">
        <v>292</v>
      </c>
      <c r="D27" s="121" t="s">
        <v>290</v>
      </c>
      <c r="E27" s="124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24" t="s">
        <v>101</v>
      </c>
      <c r="B28" s="125" t="s">
        <v>316</v>
      </c>
      <c r="C28" s="121" t="s">
        <v>292</v>
      </c>
      <c r="D28" s="121" t="s">
        <v>290</v>
      </c>
      <c r="E28" s="126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26" t="s">
        <v>112</v>
      </c>
      <c r="B29" s="127" t="s">
        <v>317</v>
      </c>
      <c r="C29" s="121" t="s">
        <v>292</v>
      </c>
      <c r="D29" s="121" t="s">
        <v>290</v>
      </c>
      <c r="E29" s="124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24" t="s">
        <v>115</v>
      </c>
      <c r="B30" s="125" t="s">
        <v>318</v>
      </c>
      <c r="C30" s="121" t="s">
        <v>292</v>
      </c>
      <c r="D30" s="121" t="s">
        <v>290</v>
      </c>
      <c r="E30" s="126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26" t="s">
        <v>319</v>
      </c>
      <c r="B31" s="127" t="s">
        <v>320</v>
      </c>
      <c r="C31" s="121" t="s">
        <v>292</v>
      </c>
      <c r="D31" s="121" t="s">
        <v>290</v>
      </c>
      <c r="E31" s="124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24" t="s">
        <v>107</v>
      </c>
      <c r="B32" s="125" t="s">
        <v>321</v>
      </c>
      <c r="C32" s="121" t="s">
        <v>292</v>
      </c>
      <c r="D32" s="121" t="s">
        <v>290</v>
      </c>
      <c r="E32" s="126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26" t="s">
        <v>177</v>
      </c>
      <c r="B33" s="127" t="s">
        <v>322</v>
      </c>
      <c r="C33" s="121" t="s">
        <v>292</v>
      </c>
      <c r="D33" s="121" t="s">
        <v>290</v>
      </c>
      <c r="E33" s="124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24" t="s">
        <v>85</v>
      </c>
      <c r="B34" s="125" t="s">
        <v>323</v>
      </c>
      <c r="C34" s="121" t="s">
        <v>292</v>
      </c>
      <c r="D34" s="121" t="s">
        <v>290</v>
      </c>
      <c r="E34" s="126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1.75" customHeight="1">
      <c r="A35" s="126" t="s">
        <v>97</v>
      </c>
      <c r="B35" s="127" t="s">
        <v>324</v>
      </c>
      <c r="C35" s="121" t="s">
        <v>292</v>
      </c>
      <c r="D35" s="121" t="s">
        <v>290</v>
      </c>
      <c r="E35" s="124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1.75" customHeight="1">
      <c r="A36" s="124" t="s">
        <v>325</v>
      </c>
      <c r="B36" s="125" t="s">
        <v>326</v>
      </c>
      <c r="C36" s="121" t="s">
        <v>292</v>
      </c>
      <c r="D36" s="121" t="s">
        <v>290</v>
      </c>
      <c r="E36" s="126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1.75" customHeight="1">
      <c r="A37" s="126" t="s">
        <v>171</v>
      </c>
      <c r="B37" s="127" t="s">
        <v>327</v>
      </c>
      <c r="C37" s="121" t="s">
        <v>328</v>
      </c>
      <c r="D37" s="121" t="s">
        <v>290</v>
      </c>
      <c r="E37" s="124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1.75" customHeight="1">
      <c r="A38" s="124" t="s">
        <v>175</v>
      </c>
      <c r="B38" s="125" t="s">
        <v>329</v>
      </c>
      <c r="C38" s="121" t="s">
        <v>328</v>
      </c>
      <c r="D38" s="121" t="s">
        <v>290</v>
      </c>
      <c r="E38" s="126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1.75" customHeight="1">
      <c r="A39" s="126" t="s">
        <v>168</v>
      </c>
      <c r="B39" s="127" t="s">
        <v>330</v>
      </c>
      <c r="C39" s="121" t="s">
        <v>328</v>
      </c>
      <c r="D39" s="121" t="s">
        <v>290</v>
      </c>
      <c r="E39" s="124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1.75" customHeight="1">
      <c r="A40" s="124" t="s">
        <v>89</v>
      </c>
      <c r="B40" s="125" t="s">
        <v>331</v>
      </c>
      <c r="C40" s="121" t="s">
        <v>332</v>
      </c>
      <c r="D40" s="121" t="s">
        <v>290</v>
      </c>
      <c r="E40" s="126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1.75" customHeight="1">
      <c r="A41" s="124" t="s">
        <v>333</v>
      </c>
      <c r="B41" s="125" t="s">
        <v>334</v>
      </c>
      <c r="C41" s="128" t="s">
        <v>332</v>
      </c>
      <c r="D41" s="128" t="s">
        <v>290</v>
      </c>
      <c r="E41" s="124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1.75" customHeight="1">
      <c r="A42" s="129" t="s">
        <v>335</v>
      </c>
      <c r="B42" s="130" t="s">
        <v>336</v>
      </c>
      <c r="C42" s="128" t="s">
        <v>332</v>
      </c>
      <c r="D42" s="128" t="s">
        <v>290</v>
      </c>
      <c r="E42" s="126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1.75" customHeight="1">
      <c r="A43" s="129" t="s">
        <v>337</v>
      </c>
      <c r="B43" s="130" t="s">
        <v>338</v>
      </c>
      <c r="C43" s="131" t="s">
        <v>332</v>
      </c>
      <c r="D43" s="131" t="s">
        <v>290</v>
      </c>
      <c r="E43" s="124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1.75" customHeight="1">
      <c r="A44" s="126"/>
      <c r="B44" s="127"/>
      <c r="C44" s="132"/>
      <c r="D44" s="132"/>
      <c r="E44" s="126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1.75" customHeight="1">
      <c r="A45" s="124"/>
      <c r="B45" s="125"/>
      <c r="C45" s="128"/>
      <c r="D45" s="128"/>
      <c r="E45" s="124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1.75" customHeight="1">
      <c r="A46" s="126"/>
      <c r="B46" s="127"/>
      <c r="C46" s="132"/>
      <c r="D46" s="132"/>
      <c r="E46" s="126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1.75" customHeight="1">
      <c r="A47" s="124"/>
      <c r="B47" s="125"/>
      <c r="C47" s="128"/>
      <c r="D47" s="128"/>
      <c r="E47" s="124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1.75" customHeight="1">
      <c r="A48" s="126"/>
      <c r="B48" s="127"/>
      <c r="C48" s="132"/>
      <c r="D48" s="132"/>
      <c r="E48" s="126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1.75" customHeight="1">
      <c r="A49" s="124"/>
      <c r="B49" s="125"/>
      <c r="C49" s="128"/>
      <c r="D49" s="128"/>
      <c r="E49" s="124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1.75" customHeight="1">
      <c r="A50" s="126"/>
      <c r="B50" s="127"/>
      <c r="C50" s="132"/>
      <c r="D50" s="132"/>
      <c r="E50" s="126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1.75" customHeight="1">
      <c r="A51" s="124"/>
      <c r="B51" s="125"/>
      <c r="C51" s="128"/>
      <c r="D51" s="128"/>
      <c r="E51" s="124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1.75" customHeight="1">
      <c r="A52" s="126"/>
      <c r="B52" s="127"/>
      <c r="C52" s="132"/>
      <c r="D52" s="132"/>
      <c r="E52" s="12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1.75" customHeight="1">
      <c r="A53" s="124"/>
      <c r="B53" s="125"/>
      <c r="C53" s="128"/>
      <c r="D53" s="128"/>
      <c r="E53" s="124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1.75" customHeight="1">
      <c r="A54" s="126"/>
      <c r="B54" s="127"/>
      <c r="C54" s="132"/>
      <c r="D54" s="132"/>
      <c r="E54" s="126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1.75" customHeight="1">
      <c r="A55" s="124"/>
      <c r="B55" s="125"/>
      <c r="C55" s="128"/>
      <c r="D55" s="128"/>
      <c r="E55" s="124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1.75" customHeight="1">
      <c r="A56" s="126"/>
      <c r="B56" s="127"/>
      <c r="C56" s="132"/>
      <c r="D56" s="132"/>
      <c r="E56" s="126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1.75" customHeight="1">
      <c r="A57" s="124"/>
      <c r="B57" s="125"/>
      <c r="C57" s="128"/>
      <c r="D57" s="128"/>
      <c r="E57" s="124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1.75" customHeight="1">
      <c r="A58" s="126"/>
      <c r="B58" s="127"/>
      <c r="C58" s="132"/>
      <c r="D58" s="132"/>
      <c r="E58" s="126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1.75" customHeight="1">
      <c r="A59" s="124"/>
      <c r="B59" s="125"/>
      <c r="C59" s="128"/>
      <c r="D59" s="128"/>
      <c r="E59" s="124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1.75" customHeight="1">
      <c r="A60" s="126"/>
      <c r="B60" s="127"/>
      <c r="C60" s="132"/>
      <c r="D60" s="132"/>
      <c r="E60" s="126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1.75" customHeight="1">
      <c r="A61" s="124"/>
      <c r="B61" s="125"/>
      <c r="C61" s="128"/>
      <c r="D61" s="128"/>
      <c r="E61" s="124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1.75" customHeight="1">
      <c r="A62" s="126"/>
      <c r="B62" s="127"/>
      <c r="C62" s="132"/>
      <c r="D62" s="132"/>
      <c r="E62" s="126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1.75" customHeight="1">
      <c r="A63" s="124"/>
      <c r="B63" s="125"/>
      <c r="C63" s="128"/>
      <c r="D63" s="128"/>
      <c r="E63" s="124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1.75" customHeight="1">
      <c r="A64" s="126"/>
      <c r="B64" s="127"/>
      <c r="C64" s="132"/>
      <c r="D64" s="132"/>
      <c r="E64" s="126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1.75" customHeight="1">
      <c r="A65" s="124"/>
      <c r="B65" s="125"/>
      <c r="C65" s="128"/>
      <c r="D65" s="128"/>
      <c r="E65" s="124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1.75" customHeight="1">
      <c r="A66" s="126"/>
      <c r="B66" s="127"/>
      <c r="C66" s="132"/>
      <c r="D66" s="132"/>
      <c r="E66" s="126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1.75" customHeight="1">
      <c r="A67" s="124"/>
      <c r="B67" s="125"/>
      <c r="C67" s="128"/>
      <c r="D67" s="128"/>
      <c r="E67" s="124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1.75" customHeight="1">
      <c r="A68" s="126"/>
      <c r="B68" s="127"/>
      <c r="C68" s="132"/>
      <c r="D68" s="132"/>
      <c r="E68" s="126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1.75" customHeight="1">
      <c r="A69" s="124"/>
      <c r="B69" s="125"/>
      <c r="C69" s="128"/>
      <c r="D69" s="128"/>
      <c r="E69" s="124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1.75" customHeight="1">
      <c r="A70" s="126"/>
      <c r="B70" s="127"/>
      <c r="C70" s="132"/>
      <c r="D70" s="132"/>
      <c r="E70" s="126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1.75" customHeight="1">
      <c r="A71" s="124"/>
      <c r="B71" s="125"/>
      <c r="C71" s="128"/>
      <c r="D71" s="128"/>
      <c r="E71" s="124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1.75" customHeight="1">
      <c r="A72" s="126"/>
      <c r="B72" s="127"/>
      <c r="C72" s="132"/>
      <c r="D72" s="132"/>
      <c r="E72" s="126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1.75" customHeight="1">
      <c r="A73" s="124"/>
      <c r="B73" s="125"/>
      <c r="C73" s="128"/>
      <c r="D73" s="128"/>
      <c r="E73" s="124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1.75" customHeight="1">
      <c r="A74" s="126"/>
      <c r="B74" s="127"/>
      <c r="C74" s="132"/>
      <c r="D74" s="132"/>
      <c r="E74" s="126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1.75" customHeight="1">
      <c r="A75" s="124"/>
      <c r="B75" s="125"/>
      <c r="C75" s="128"/>
      <c r="D75" s="128"/>
      <c r="E75" s="124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1.75" customHeight="1">
      <c r="A76" s="126"/>
      <c r="B76" s="127"/>
      <c r="C76" s="132"/>
      <c r="D76" s="132"/>
      <c r="E76" s="126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1.75" customHeight="1">
      <c r="A77" s="124"/>
      <c r="B77" s="125"/>
      <c r="C77" s="128"/>
      <c r="D77" s="128"/>
      <c r="E77" s="124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1.75" customHeight="1">
      <c r="A78" s="126"/>
      <c r="B78" s="127"/>
      <c r="C78" s="132"/>
      <c r="D78" s="132"/>
      <c r="E78" s="126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1.75" customHeight="1">
      <c r="A79" s="124"/>
      <c r="B79" s="125"/>
      <c r="C79" s="128"/>
      <c r="D79" s="128"/>
      <c r="E79" s="124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1.75" customHeight="1">
      <c r="A80" s="126"/>
      <c r="B80" s="127"/>
      <c r="C80" s="132"/>
      <c r="D80" s="132"/>
      <c r="E80" s="126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1.75" customHeight="1">
      <c r="A81" s="124"/>
      <c r="B81" s="125"/>
      <c r="C81" s="128"/>
      <c r="D81" s="128"/>
      <c r="E81" s="124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1.75" customHeight="1">
      <c r="A82" s="126"/>
      <c r="B82" s="127"/>
      <c r="C82" s="132"/>
      <c r="D82" s="132"/>
      <c r="E82" s="126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1.75" customHeight="1">
      <c r="A83" s="124"/>
      <c r="B83" s="125"/>
      <c r="C83" s="128"/>
      <c r="D83" s="128"/>
      <c r="E83" s="124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1.75" customHeight="1">
      <c r="A84" s="126"/>
      <c r="B84" s="127"/>
      <c r="C84" s="132"/>
      <c r="D84" s="132"/>
      <c r="E84" s="126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1.75" customHeight="1">
      <c r="A85" s="124"/>
      <c r="B85" s="125"/>
      <c r="C85" s="128"/>
      <c r="D85" s="128"/>
      <c r="E85" s="124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1.75" customHeight="1">
      <c r="A86" s="126"/>
      <c r="B86" s="127"/>
      <c r="C86" s="132"/>
      <c r="D86" s="132"/>
      <c r="E86" s="126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1.75" customHeight="1">
      <c r="A87" s="124"/>
      <c r="B87" s="125"/>
      <c r="C87" s="128"/>
      <c r="D87" s="128"/>
      <c r="E87" s="124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1.75" customHeight="1">
      <c r="A88" s="126"/>
      <c r="B88" s="127"/>
      <c r="C88" s="132"/>
      <c r="D88" s="132"/>
      <c r="E88" s="126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1.75" customHeight="1">
      <c r="A89" s="124"/>
      <c r="B89" s="125"/>
      <c r="C89" s="128"/>
      <c r="D89" s="128"/>
      <c r="E89" s="124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1.75" customHeight="1">
      <c r="A90" s="126"/>
      <c r="B90" s="127"/>
      <c r="C90" s="132"/>
      <c r="D90" s="132"/>
      <c r="E90" s="126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1.75" customHeight="1">
      <c r="A91" s="124"/>
      <c r="B91" s="125"/>
      <c r="C91" s="128"/>
      <c r="D91" s="128"/>
      <c r="E91" s="124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1.75" customHeight="1">
      <c r="A92" s="126"/>
      <c r="B92" s="127"/>
      <c r="C92" s="132"/>
      <c r="D92" s="132"/>
      <c r="E92" s="126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1.75" customHeight="1">
      <c r="A93" s="124"/>
      <c r="B93" s="125"/>
      <c r="C93" s="128"/>
      <c r="D93" s="128"/>
      <c r="E93" s="124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1.75" customHeight="1">
      <c r="A94" s="126"/>
      <c r="B94" s="127"/>
      <c r="C94" s="132"/>
      <c r="D94" s="132"/>
      <c r="E94" s="126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1.75" customHeight="1">
      <c r="A95" s="124"/>
      <c r="B95" s="125"/>
      <c r="C95" s="128"/>
      <c r="D95" s="128"/>
      <c r="E95" s="124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1.75" customHeight="1">
      <c r="A96" s="126"/>
      <c r="B96" s="127"/>
      <c r="C96" s="132"/>
      <c r="D96" s="132"/>
      <c r="E96" s="126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1.75" customHeight="1">
      <c r="A97" s="124"/>
      <c r="B97" s="125"/>
      <c r="C97" s="128"/>
      <c r="D97" s="128"/>
      <c r="E97" s="124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1.75" customHeight="1">
      <c r="A98" s="126"/>
      <c r="B98" s="127"/>
      <c r="C98" s="132"/>
      <c r="D98" s="132"/>
      <c r="E98" s="126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1.75" customHeight="1">
      <c r="A99" s="124"/>
      <c r="B99" s="125"/>
      <c r="C99" s="128"/>
      <c r="D99" s="128"/>
      <c r="E99" s="124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1.75" customHeight="1">
      <c r="A100" s="126"/>
      <c r="B100" s="127"/>
      <c r="C100" s="132"/>
      <c r="D100" s="132"/>
      <c r="E100" s="126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1.75" customHeight="1">
      <c r="A101" s="124"/>
      <c r="B101" s="125"/>
      <c r="C101" s="128"/>
      <c r="D101" s="128"/>
      <c r="E101" s="124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1.75" customHeight="1">
      <c r="A102" s="126"/>
      <c r="B102" s="127"/>
      <c r="C102" s="132"/>
      <c r="D102" s="132"/>
      <c r="E102" s="126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1.75" customHeight="1">
      <c r="A103" s="124"/>
      <c r="B103" s="125"/>
      <c r="C103" s="128"/>
      <c r="D103" s="128"/>
      <c r="E103" s="124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1.75" customHeight="1">
      <c r="A104" s="126"/>
      <c r="B104" s="127"/>
      <c r="C104" s="132"/>
      <c r="D104" s="132"/>
      <c r="E104" s="126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1.75" customHeight="1">
      <c r="A105" s="124"/>
      <c r="B105" s="125"/>
      <c r="C105" s="128"/>
      <c r="D105" s="128"/>
      <c r="E105" s="124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133" t="s">
        <v>339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340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8.0" customHeight="1">
      <c r="A2" s="135" t="s">
        <v>341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6.0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36" t="s">
        <v>12</v>
      </c>
      <c r="B4" s="136" t="s">
        <v>342</v>
      </c>
      <c r="C4" s="136" t="s">
        <v>19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8.0" customHeight="1">
      <c r="A5" s="137" t="s">
        <v>39</v>
      </c>
      <c r="B5" s="138" t="s">
        <v>343</v>
      </c>
      <c r="C5" s="139" t="s">
        <v>344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8.0" customHeight="1">
      <c r="A6" s="140" t="s">
        <v>30</v>
      </c>
      <c r="B6" s="141" t="s">
        <v>345</v>
      </c>
      <c r="C6" s="142" t="s">
        <v>346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8.0" customHeight="1">
      <c r="A7" s="143"/>
      <c r="B7" s="27"/>
      <c r="C7" s="143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144"/>
      <c r="B8" s="31"/>
      <c r="C8" s="144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143"/>
      <c r="B9" s="27"/>
      <c r="C9" s="143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144"/>
      <c r="B10" s="31"/>
      <c r="C10" s="144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143"/>
      <c r="B11" s="27"/>
      <c r="C11" s="143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144"/>
      <c r="B12" s="31"/>
      <c r="C12" s="144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143"/>
      <c r="B13" s="27"/>
      <c r="C13" s="143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144"/>
      <c r="B14" s="31"/>
      <c r="C14" s="144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347</v>
      </c>
      <c r="D1" s="145" t="s">
        <v>348</v>
      </c>
      <c r="E1" s="145" t="s">
        <v>349</v>
      </c>
      <c r="F1" s="145" t="s">
        <v>350</v>
      </c>
      <c r="G1" s="145" t="s">
        <v>351</v>
      </c>
      <c r="H1" s="145" t="s">
        <v>352</v>
      </c>
      <c r="I1" s="145" t="s">
        <v>353</v>
      </c>
      <c r="J1" s="145" t="s">
        <v>354</v>
      </c>
      <c r="K1" s="145" t="s">
        <v>355</v>
      </c>
      <c r="L1" s="145" t="s">
        <v>356</v>
      </c>
      <c r="N1" s="146" t="s">
        <v>357</v>
      </c>
      <c r="O1" s="146" t="s">
        <v>358</v>
      </c>
      <c r="P1" s="146" t="s">
        <v>359</v>
      </c>
      <c r="Q1" s="146" t="s">
        <v>360</v>
      </c>
      <c r="R1" s="146" t="s">
        <v>361</v>
      </c>
      <c r="S1" s="145"/>
      <c r="T1" s="147" t="s">
        <v>362</v>
      </c>
      <c r="U1" s="147" t="s">
        <v>363</v>
      </c>
      <c r="V1" s="147" t="s">
        <v>364</v>
      </c>
      <c r="W1" s="147" t="s">
        <v>365</v>
      </c>
      <c r="X1" s="147" t="s">
        <v>366</v>
      </c>
      <c r="Y1" s="145"/>
      <c r="Z1" s="145"/>
      <c r="AA1" s="145"/>
      <c r="AB1" s="145"/>
    </row>
    <row r="2">
      <c r="A2" s="148" t="s">
        <v>183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207</v>
      </c>
      <c r="B3" s="154" t="s">
        <v>367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368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118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369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370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371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337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335</v>
      </c>
      <c r="B11" s="154" t="s">
        <v>367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203</v>
      </c>
      <c r="B12" s="148" t="s">
        <v>367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200</v>
      </c>
      <c r="B13" s="154" t="s">
        <v>367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372</v>
      </c>
      <c r="B14" s="148" t="s">
        <v>367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373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374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375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376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377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378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379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380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381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382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383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101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384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385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386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387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