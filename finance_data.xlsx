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oster" sheetId="1" r:id="rId4"/>
    <sheet state="visible" name="Events" sheetId="2" r:id="rId5"/>
    <sheet state="visible" name="Attendance" sheetId="3" r:id="rId6"/>
    <sheet state="visible" name="Transactions" sheetId="4" r:id="rId7"/>
    <sheet state="visible" name="Player Balances" sheetId="5" r:id="rId8"/>
    <sheet state="visible" name="Pending Approval" sheetId="6" r:id="rId9"/>
    <sheet state="visible" name="Dashboard" sheetId="7" r:id="rId10"/>
    <sheet state="visible" name="Key &amp; Instructions" sheetId="8" r:id="rId11"/>
    <sheet state="visible" name="Access Codes" sheetId="9" r:id="rId12"/>
  </sheets>
  <definedNames/>
  <calcPr/>
  <extLst>
    <ext uri="GoogleSheetsCustomDataVersion2">
      <go:sheetsCustomData xmlns:go="http://customooxmlschemas.google.com/" r:id="rId13" roundtripDataChecksum="lWDcGA+sPFDXBNJ4E7mMJsqtLN/dx2XXeoLg6bUNJzo="/>
    </ext>
  </extLst>
</workbook>
</file>

<file path=xl/sharedStrings.xml><?xml version="1.0" encoding="utf-8"?>
<sst xmlns="http://schemas.openxmlformats.org/spreadsheetml/2006/main" count="565" uniqueCount="235">
  <si>
    <t>ROSTER - Ultimate Frisbee Team</t>
  </si>
  <si>
    <t>Full Name</t>
  </si>
  <si>
    <t>Dues Amount ($)</t>
  </si>
  <si>
    <t>Dues Paid?</t>
  </si>
  <si>
    <t>Role</t>
  </si>
  <si>
    <t>Status</t>
  </si>
  <si>
    <t>Notes</t>
  </si>
  <si>
    <t>Paid $75</t>
  </si>
  <si>
    <t>EVENTS MASTER - All Team Events &amp; Costs</t>
  </si>
  <si>
    <t>Event Name</t>
  </si>
  <si>
    <t>Start Date</t>
  </si>
  <si>
    <t>End Date</t>
  </si>
  <si>
    <t>Category</t>
  </si>
  <si>
    <t>Location</t>
  </si>
  <si>
    <t>Budgeted Cost ($)</t>
  </si>
  <si>
    <t>Actual Cost ($)</t>
  </si>
  <si>
    <t>Split Method</t>
  </si>
  <si>
    <t>May-July Fields</t>
  </si>
  <si>
    <t>03/15/2025</t>
  </si>
  <si>
    <t>Practice</t>
  </si>
  <si>
    <t>Dan Marino</t>
  </si>
  <si>
    <t>Attendance</t>
  </si>
  <si>
    <t>Wednedsay Tryout Field</t>
  </si>
  <si>
    <t>One time payment</t>
  </si>
  <si>
    <t>PEC</t>
  </si>
  <si>
    <t>03/18/2025</t>
  </si>
  <si>
    <t>Tournament</t>
  </si>
  <si>
    <t>Browns Summit</t>
  </si>
  <si>
    <t>SFI</t>
  </si>
  <si>
    <t>03/14/2025</t>
  </si>
  <si>
    <t>Holiday Inn Downtown</t>
  </si>
  <si>
    <t>Natties Watch Party</t>
  </si>
  <si>
    <t>Fundraiser</t>
  </si>
  <si>
    <t>Goodlander</t>
  </si>
  <si>
    <t>Fantapalooza</t>
  </si>
  <si>
    <t>2025 Fundraising</t>
  </si>
  <si>
    <t>Mult.</t>
  </si>
  <si>
    <t>GHP Sessions</t>
  </si>
  <si>
    <t>Event</t>
  </si>
  <si>
    <t>GHP</t>
  </si>
  <si>
    <t>ATTENDANCE TRACKER</t>
  </si>
  <si>
    <t>Player Name</t>
  </si>
  <si>
    <t>Cost per Person ($) [auto]</t>
  </si>
  <si>
    <t>Total Attendees</t>
  </si>
  <si>
    <t>Total Cost ($)</t>
  </si>
  <si>
    <t>X</t>
  </si>
  <si>
    <t>TRANSACTIONS — All Money In &amp; Out</t>
  </si>
  <si>
    <t>Total In</t>
  </si>
  <si>
    <t>Total Out</t>
  </si>
  <si>
    <t>Net Balance</t>
  </si>
  <si>
    <t>Avg Transaction</t>
  </si>
  <si>
    <t>Pending</t>
  </si>
  <si>
    <t>Date</t>
  </si>
  <si>
    <t>Description</t>
  </si>
  <si>
    <t>Type</t>
  </si>
  <si>
    <t>Paid By</t>
  </si>
  <si>
    <t>Amount ($)</t>
  </si>
  <si>
    <t>Linked Event</t>
  </si>
  <si>
    <t>Reimbursed To</t>
  </si>
  <si>
    <t>Cost per Attendee ($)</t>
  </si>
  <si>
    <t>PEC Bid Fee</t>
  </si>
  <si>
    <t>Tournament Fee</t>
  </si>
  <si>
    <t>Expense</t>
  </si>
  <si>
    <t>Jake Murray</t>
  </si>
  <si>
    <t>Cleared</t>
  </si>
  <si>
    <t>SFI Bid Fee</t>
  </si>
  <si>
    <t>Fundraiser Income</t>
  </si>
  <si>
    <t>Outstanding 2025 Funds</t>
  </si>
  <si>
    <t>Wednesday Tryout Field</t>
  </si>
  <si>
    <t>Field Fee</t>
  </si>
  <si>
    <t>PLAYER BALANCES - Individual Ledger</t>
  </si>
  <si>
    <t>Total Owed TO Team</t>
  </si>
  <si>
    <t>Total Owed BY Team</t>
  </si>
  <si>
    <t>Net</t>
  </si>
  <si>
    <t>Settled</t>
  </si>
  <si>
    <t>Unsettled</t>
  </si>
  <si>
    <t>Total Charged ($)</t>
  </si>
  <si>
    <t>Total Paid ($)</t>
  </si>
  <si>
    <t>Paid Upfront For Team ($)</t>
  </si>
  <si>
    <t>Net Balance ($)</t>
  </si>
  <si>
    <t>PENDING TRANSACTIONS - Player Submissions</t>
  </si>
  <si>
    <t>Players submit items here. Treasurer reviews and moves approved items to the Transactions sheet.</t>
  </si>
  <si>
    <t>Receipt / Notes</t>
  </si>
  <si>
    <t>DASHBOARD — Auto-calculated Summary (Website reads this)</t>
  </si>
  <si>
    <t>TEAM OVERVIEW</t>
  </si>
  <si>
    <t>Total Players</t>
  </si>
  <si>
    <t>Active Players</t>
  </si>
  <si>
    <t>Coaches/Staff</t>
  </si>
  <si>
    <t>Captains</t>
  </si>
  <si>
    <t>FINANCES</t>
  </si>
  <si>
    <t>Total Dues Owed</t>
  </si>
  <si>
    <t>Total Dues Collected</t>
  </si>
  <si>
    <t>Dues Outstanding</t>
  </si>
  <si>
    <t>Total Income</t>
  </si>
  <si>
    <t>Total Expenses</t>
  </si>
  <si>
    <t>Pending Transactions</t>
  </si>
  <si>
    <t>EVENTS</t>
  </si>
  <si>
    <t>Total Events</t>
  </si>
  <si>
    <t>Practices</t>
  </si>
  <si>
    <t>Tournaments</t>
  </si>
  <si>
    <t>Fundraisers</t>
  </si>
  <si>
    <t>Total Budgeted</t>
  </si>
  <si>
    <t>Total Actual Spend</t>
  </si>
  <si>
    <t>Budget Variance</t>
  </si>
  <si>
    <t>KEY &amp; INSTRUCTIONS</t>
  </si>
  <si>
    <t>COLOR CODING</t>
  </si>
  <si>
    <t>Blue text</t>
  </si>
  <si>
    <t>Enter data here — these are your inputs</t>
  </si>
  <si>
    <t>Black text (formula)</t>
  </si>
  <si>
    <t>Auto-calculated — do not edit</t>
  </si>
  <si>
    <t>Green text</t>
  </si>
  <si>
    <t>Pulls from another sheet — do not edit</t>
  </si>
  <si>
    <t>ACCESS CODES</t>
  </si>
  <si>
    <t>Access codes</t>
  </si>
  <si>
    <t>Set unique codes in the 'Access Codes' tab. Share each player's code only with them.</t>
  </si>
  <si>
    <t>Player view</t>
  </si>
  <si>
    <t>Players enter their code → see only their own dues, balance, attendance</t>
  </si>
  <si>
    <t>Captain view</t>
  </si>
  <si>
    <t>Captains enter their code → see full roster balances, event attendance summary</t>
  </si>
  <si>
    <t>Coach/Treasurer</t>
  </si>
  <si>
    <t>Full dashboard: all finances, all player balances, all transactions</t>
  </si>
  <si>
    <t>ATTENDANCE</t>
  </si>
  <si>
    <t>1 = Attended | 0 = Absent | X = Exempt</t>
  </si>
  <si>
    <t>Player was present</t>
  </si>
  <si>
    <t>N = Absent</t>
  </si>
  <si>
    <t>Player did not attend</t>
  </si>
  <si>
    <t>X = Exempt — absent but excused/exempt from cost</t>
  </si>
  <si>
    <t>Absent but excused — may waive cost</t>
  </si>
  <si>
    <t>Row 4 in Attendance is auto-calculated from Events (Actual Cost ÷ attendees for "Attendance" events; ÷ roster size for "Equal Split" events)</t>
  </si>
  <si>
    <t>Row 6 in Attendance sheet — enter per-event cost, auto-calculates totals</t>
  </si>
  <si>
    <t>WORKFLOW</t>
  </si>
  <si>
    <t>1. Roster</t>
  </si>
  <si>
    <t>Add all players/coaches, set unique access codes, set dues amounts</t>
  </si>
  <si>
    <t>2. Events</t>
  </si>
  <si>
    <t>Log every event with budget and actual cost</t>
  </si>
  <si>
    <t>3. Attendance</t>
  </si>
  <si>
    <t>Mark Y/N/E for each player per event; set cost per person in row 6</t>
  </si>
  <si>
    <t>4. Transactions</t>
  </si>
  <si>
    <t>Log all money in/out; link to events where possible</t>
  </si>
  <si>
    <t>5. Player Balances</t>
  </si>
  <si>
    <t>Update dues paid, event costs owed, upfront payments — net auto-calculates</t>
  </si>
  <si>
    <t>6. Dashboard</t>
  </si>
  <si>
    <t>Auto-updates — this is what the website displays</t>
  </si>
  <si>
    <t>7. Commit to GitHub</t>
  </si>
  <si>
    <t>Save file → git add → git commit → git push → website updates!</t>
  </si>
  <si>
    <t>SPLIT METHODS</t>
  </si>
  <si>
    <t>Equal Split</t>
  </si>
  <si>
    <t>Total cost ÷ all active players</t>
  </si>
  <si>
    <t>Total cost ÷ attendees only</t>
  </si>
  <si>
    <t>Custom</t>
  </si>
  <si>
    <t>Manual — enter individual amounts in Player Balances</t>
  </si>
  <si>
    <t>Team Pays</t>
  </si>
  <si>
    <t>Covered by team funds, no individual charge</t>
  </si>
  <si>
    <t>Individual Pays</t>
  </si>
  <si>
    <t>Person pays their own way, no reimbursement</t>
  </si>
  <si>
    <t>🔒  ACCESS CODES — TREASURER ONLY  🔒</t>
  </si>
  <si>
    <t>⚠️  HIDE THIS SHEET BEFORE SHARING THE FILE WITH PLAYERS  ⚠️</t>
  </si>
  <si>
    <t>To hide: right-click this sheet tab → 'Hide'.  To unhide: right-click any tab → 'Unhide'.</t>
  </si>
  <si>
    <t>Access Code</t>
  </si>
  <si>
    <t>Notes / Share Method</t>
  </si>
  <si>
    <t>At</t>
  </si>
  <si>
    <t>AT</t>
  </si>
  <si>
    <t>Captain</t>
  </si>
  <si>
    <t>Active</t>
  </si>
  <si>
    <t>Alex Warrington</t>
  </si>
  <si>
    <t>AW</t>
  </si>
  <si>
    <t>Player</t>
  </si>
  <si>
    <t>Chris Wohl</t>
  </si>
  <si>
    <t>CW</t>
  </si>
  <si>
    <t>Darra Reppermund</t>
  </si>
  <si>
    <t>DR</t>
  </si>
  <si>
    <t>Dylan Best</t>
  </si>
  <si>
    <t>DB</t>
  </si>
  <si>
    <t>Griffin O'Neal-Freeman</t>
  </si>
  <si>
    <t>GOF</t>
  </si>
  <si>
    <t>Haley Young</t>
  </si>
  <si>
    <t>HY</t>
  </si>
  <si>
    <t>Harry Park</t>
  </si>
  <si>
    <t>HP</t>
  </si>
  <si>
    <t>Ian Piper</t>
  </si>
  <si>
    <t>IP</t>
  </si>
  <si>
    <t>JM</t>
  </si>
  <si>
    <t>Treasurer</t>
  </si>
  <si>
    <t>Jenna Nold</t>
  </si>
  <si>
    <t>JN</t>
  </si>
  <si>
    <t>Jimmy Towle</t>
  </si>
  <si>
    <t>NT</t>
  </si>
  <si>
    <t>Kailey Rugani</t>
  </si>
  <si>
    <t>KR</t>
  </si>
  <si>
    <t>Kasey Schock</t>
  </si>
  <si>
    <t>KS</t>
  </si>
  <si>
    <t>Kevin Nicholl</t>
  </si>
  <si>
    <t>KN</t>
  </si>
  <si>
    <t>Kit Asterin</t>
  </si>
  <si>
    <t>KA</t>
  </si>
  <si>
    <t>Kristin Dudley</t>
  </si>
  <si>
    <t>KD</t>
  </si>
  <si>
    <t>Lexie Thomas</t>
  </si>
  <si>
    <t>LT</t>
  </si>
  <si>
    <t>Lucas Jones</t>
  </si>
  <si>
    <t>LJ</t>
  </si>
  <si>
    <t>Max Sheppard</t>
  </si>
  <si>
    <t>MS</t>
  </si>
  <si>
    <t>Lucius Christie</t>
  </si>
  <si>
    <t>LC</t>
  </si>
  <si>
    <t>Patrick McMullen</t>
  </si>
  <si>
    <t>PM</t>
  </si>
  <si>
    <t>Rachel Graber</t>
  </si>
  <si>
    <t>RG</t>
  </si>
  <si>
    <t>Ryan Kindell</t>
  </si>
  <si>
    <t>RK</t>
  </si>
  <si>
    <t>Ryan Ward</t>
  </si>
  <si>
    <t>RW</t>
  </si>
  <si>
    <t>Sam Gombiner</t>
  </si>
  <si>
    <t>SG</t>
  </si>
  <si>
    <t>Sarah Kingsley-Hart</t>
  </si>
  <si>
    <t>SKH</t>
  </si>
  <si>
    <t>Sarah Lynch</t>
  </si>
  <si>
    <t>SL</t>
  </si>
  <si>
    <t>Shani Rosenthal</t>
  </si>
  <si>
    <t>SR</t>
  </si>
  <si>
    <t>Vivian Shen</t>
  </si>
  <si>
    <t>VS</t>
  </si>
  <si>
    <t>Zach Esakof</t>
  </si>
  <si>
    <t>ZE</t>
  </si>
  <si>
    <t>Annette Kukunas-Piper</t>
  </si>
  <si>
    <t>AKP</t>
  </si>
  <si>
    <t>Coach</t>
  </si>
  <si>
    <t>Matt Duffy</t>
  </si>
  <si>
    <t>MD</t>
  </si>
  <si>
    <t>Ryan Birchard</t>
  </si>
  <si>
    <t>RB</t>
  </si>
  <si>
    <t>Nick Blair</t>
  </si>
  <si>
    <t>NB</t>
  </si>
  <si>
    <t>💡 Tip: Codes can be anything — e.g. initials + jersey # + year.  Make them easy to remember but hard to guess.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</si>
</sst>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$#,##0.00;($#,##0.00);&quot;-&quot;"/>
    <numFmt numFmtId="165" formatCode="MM/DD/YYYY"/>
  </numFmts>
  <fonts count="21">
    <font>
      <sz val="11.0"/>
      <color theme="1"/>
      <name val="Calibri"/>
      <scheme val="minor"/>
    </font>
    <font>
      <b/>
      <sz val="14.0"/>
      <color rgb="FFFFFFFF"/>
      <name val="Arial"/>
    </font>
    <font/>
    <font>
      <sz val="11.0"/>
      <color theme="1"/>
      <name val="Calibri"/>
    </font>
    <font>
      <b/>
      <sz val="10.0"/>
      <color rgb="FFFFFFFF"/>
      <name val="Arial"/>
    </font>
    <font>
      <sz val="10.0"/>
      <color rgb="FF000000"/>
      <name val="Arial"/>
    </font>
    <font>
      <sz val="10.0"/>
      <color rgb="FF0000FF"/>
      <name val="Arial"/>
    </font>
    <font>
      <sz val="10.0"/>
      <color rgb="FF008000"/>
      <name val="Arial"/>
    </font>
    <font>
      <b/>
      <sz val="10.0"/>
      <color rgb="FF1A3A5C"/>
      <name val="Arial"/>
    </font>
    <font>
      <sz val="10.0"/>
      <color rgb="FFCC0000"/>
      <name val="Arial"/>
    </font>
    <font>
      <b/>
      <sz val="10.0"/>
      <color rgb="FF000000"/>
      <name val="Arial"/>
    </font>
    <font>
      <sz val="10.0"/>
      <color theme="1"/>
      <name val="Arial"/>
    </font>
    <font>
      <i/>
      <sz val="10.0"/>
      <color rgb="FF555555"/>
      <name val="Arial"/>
    </font>
    <font>
      <sz val="10.0"/>
      <color rgb="FF888888"/>
      <name val="Arial"/>
    </font>
    <font>
      <b/>
      <sz val="12.0"/>
      <color rgb="FFFFFFFF"/>
      <name val="Arial"/>
    </font>
    <font>
      <b/>
      <sz val="10.0"/>
      <color rgb="FF008000"/>
      <name val="Arial"/>
    </font>
    <font>
      <b/>
      <sz val="10.0"/>
      <color rgb="FF0000FF"/>
      <name val="Arial"/>
    </font>
    <font>
      <sz val="10.0"/>
      <color rgb="FF444444"/>
      <name val="Arial"/>
    </font>
    <font>
      <b/>
      <sz val="13.0"/>
      <color rgb="FFFFFFFF"/>
      <name val="Arial"/>
    </font>
    <font>
      <b/>
      <sz val="11.0"/>
      <color rgb="FF7B0000"/>
      <name val="Arial"/>
    </font>
    <font>
      <i/>
      <sz val="9.0"/>
      <color rgb="FF555555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1A3A5C"/>
        <bgColor rgb="FF1A3A5C"/>
      </patternFill>
    </fill>
    <fill>
      <patternFill patternType="solid">
        <fgColor rgb="FFF5F5F5"/>
        <bgColor rgb="FFF5F5F5"/>
      </patternFill>
    </fill>
    <fill>
      <patternFill patternType="solid">
        <fgColor rgb="FFD6E4F0"/>
        <bgColor rgb="FFD6E4F0"/>
      </patternFill>
    </fill>
    <fill>
      <patternFill patternType="solid">
        <fgColor rgb="FF7B0000"/>
        <bgColor rgb="FF7B0000"/>
      </patternFill>
    </fill>
    <fill>
      <patternFill patternType="solid">
        <fgColor rgb="FFFFE4E4"/>
        <bgColor rgb="FFFFE4E4"/>
      </patternFill>
    </fill>
    <fill>
      <patternFill patternType="solid">
        <fgColor rgb="FFFFF8F8"/>
        <bgColor rgb="FFFFF8F8"/>
      </patternFill>
    </fill>
    <fill>
      <patternFill patternType="solid">
        <fgColor rgb="FFF9F9F9"/>
        <bgColor rgb="FFF9F9F9"/>
      </patternFill>
    </fill>
    <fill>
      <patternFill patternType="solid">
        <fgColor rgb="FFFFFFFF"/>
        <bgColor rgb="FFFFFFFF"/>
      </patternFill>
    </fill>
  </fills>
  <borders count="12">
    <border/>
    <border>
      <left style="thin">
        <color rgb="FF000000"/>
      </left>
      <top style="thin">
        <color rgb="FF000000"/>
      </top>
      <bottom style="thin">
        <color rgb="FFCCCCCC"/>
      </bottom>
    </border>
    <border>
      <top style="thin">
        <color rgb="FF000000"/>
      </top>
      <bottom style="thin">
        <color rgb="FFCCCCCC"/>
      </bottom>
    </border>
    <border>
      <right style="thin">
        <color rgb="FFCCCCCC"/>
      </right>
      <top style="thin">
        <color rgb="FF000000"/>
      </top>
      <bottom style="thin">
        <color rgb="FFCCCCCC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9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Font="1"/>
    <xf borderId="4" fillId="2" fontId="4" numFmtId="0" xfId="0" applyAlignment="1" applyBorder="1" applyFont="1">
      <alignment horizontal="center" vertical="center"/>
    </xf>
    <xf borderId="4" fillId="0" fontId="5" numFmtId="0" xfId="0" applyAlignment="1" applyBorder="1" applyFont="1">
      <alignment horizontal="left" vertical="center"/>
    </xf>
    <xf borderId="4" fillId="0" fontId="6" numFmtId="164" xfId="0" applyAlignment="1" applyBorder="1" applyFont="1" applyNumberFormat="1">
      <alignment horizontal="left" vertical="center"/>
    </xf>
    <xf borderId="4" fillId="3" fontId="5" numFmtId="0" xfId="0" applyAlignment="1" applyBorder="1" applyFill="1" applyFont="1">
      <alignment horizontal="center" vertical="center"/>
    </xf>
    <xf borderId="4" fillId="0" fontId="5" numFmtId="0" xfId="0" applyAlignment="1" applyBorder="1" applyFont="1">
      <alignment horizontal="center" vertical="center"/>
    </xf>
    <xf borderId="4" fillId="3" fontId="5" numFmtId="0" xfId="0" applyAlignment="1" applyBorder="1" applyFont="1">
      <alignment horizontal="left" vertical="center"/>
    </xf>
    <xf borderId="4" fillId="3" fontId="5" numFmtId="164" xfId="0" applyAlignment="1" applyBorder="1" applyFont="1" applyNumberFormat="1">
      <alignment horizontal="left" vertical="center"/>
    </xf>
    <xf borderId="5" fillId="2" fontId="1" numFmtId="0" xfId="0" applyAlignment="1" applyBorder="1" applyFont="1">
      <alignment horizontal="center" vertical="center"/>
    </xf>
    <xf borderId="6" fillId="0" fontId="2" numFmtId="0" xfId="0" applyBorder="1" applyFont="1"/>
    <xf borderId="7" fillId="0" fontId="2" numFmtId="0" xfId="0" applyBorder="1" applyFont="1"/>
    <xf borderId="4" fillId="0" fontId="5" numFmtId="165" xfId="0" applyAlignment="1" applyBorder="1" applyFont="1" applyNumberFormat="1">
      <alignment horizontal="left" vertical="center"/>
    </xf>
    <xf borderId="4" fillId="0" fontId="7" numFmtId="164" xfId="0" applyAlignment="1" applyBorder="1" applyFont="1" applyNumberFormat="1">
      <alignment horizontal="right" vertical="center"/>
    </xf>
    <xf borderId="4" fillId="0" fontId="5" numFmtId="0" xfId="0" applyAlignment="1" applyBorder="1" applyFont="1">
      <alignment horizontal="left" readingOrder="0" vertical="center"/>
    </xf>
    <xf borderId="4" fillId="3" fontId="5" numFmtId="165" xfId="0" applyAlignment="1" applyBorder="1" applyFont="1" applyNumberFormat="1">
      <alignment horizontal="left" vertical="center"/>
    </xf>
    <xf borderId="4" fillId="3" fontId="7" numFmtId="164" xfId="0" applyAlignment="1" applyBorder="1" applyFont="1" applyNumberFormat="1">
      <alignment horizontal="right" vertical="center"/>
    </xf>
    <xf borderId="4" fillId="2" fontId="3" numFmtId="0" xfId="0" applyBorder="1" applyFont="1"/>
    <xf borderId="4" fillId="4" fontId="8" numFmtId="0" xfId="0" applyAlignment="1" applyBorder="1" applyFill="1" applyFont="1">
      <alignment horizontal="left" vertical="center"/>
    </xf>
    <xf borderId="4" fillId="4" fontId="5" numFmtId="0" xfId="0" applyAlignment="1" applyBorder="1" applyFont="1">
      <alignment horizontal="right" vertical="center"/>
    </xf>
    <xf borderId="4" fillId="0" fontId="7" numFmtId="0" xfId="0" applyAlignment="1" applyBorder="1" applyFont="1">
      <alignment horizontal="left" vertical="center"/>
    </xf>
    <xf borderId="4" fillId="0" fontId="6" numFmtId="0" xfId="0" applyAlignment="1" applyBorder="1" applyFont="1">
      <alignment horizontal="center" vertical="center"/>
    </xf>
    <xf borderId="4" fillId="0" fontId="6" numFmtId="0" xfId="0" applyAlignment="1" applyBorder="1" applyFont="1">
      <alignment horizontal="center" readingOrder="0" vertical="center"/>
    </xf>
    <xf borderId="8" fillId="2" fontId="1" numFmtId="0" xfId="0" applyAlignment="1" applyBorder="1" applyFont="1">
      <alignment horizontal="center" vertical="center"/>
    </xf>
    <xf borderId="9" fillId="0" fontId="2" numFmtId="0" xfId="0" applyBorder="1" applyFont="1"/>
    <xf borderId="10" fillId="0" fontId="2" numFmtId="0" xfId="0" applyBorder="1" applyFont="1"/>
    <xf borderId="0" fillId="0" fontId="3" numFmtId="0" xfId="0" applyAlignment="1" applyFont="1">
      <alignment horizontal="right"/>
    </xf>
    <xf borderId="11" fillId="4" fontId="8" numFmtId="0" xfId="0" applyAlignment="1" applyBorder="1" applyFont="1">
      <alignment horizontal="center" vertical="center"/>
    </xf>
    <xf borderId="11" fillId="4" fontId="8" numFmtId="0" xfId="0" applyAlignment="1" applyBorder="1" applyFont="1">
      <alignment horizontal="right" vertical="center"/>
    </xf>
    <xf borderId="11" fillId="0" fontId="7" numFmtId="164" xfId="0" applyAlignment="1" applyBorder="1" applyFont="1" applyNumberFormat="1">
      <alignment horizontal="right" vertical="center"/>
    </xf>
    <xf borderId="11" fillId="0" fontId="9" numFmtId="164" xfId="0" applyAlignment="1" applyBorder="1" applyFont="1" applyNumberFormat="1">
      <alignment horizontal="right" vertical="center"/>
    </xf>
    <xf borderId="11" fillId="0" fontId="10" numFmtId="164" xfId="0" applyAlignment="1" applyBorder="1" applyFont="1" applyNumberFormat="1">
      <alignment horizontal="right" vertical="center"/>
    </xf>
    <xf borderId="11" fillId="0" fontId="5" numFmtId="164" xfId="0" applyAlignment="1" applyBorder="1" applyFont="1" applyNumberFormat="1">
      <alignment horizontal="right" vertical="center"/>
    </xf>
    <xf borderId="11" fillId="0" fontId="5" numFmtId="1" xfId="0" applyAlignment="1" applyBorder="1" applyFont="1" applyNumberFormat="1">
      <alignment horizontal="right" vertical="center"/>
    </xf>
    <xf borderId="11" fillId="2" fontId="4" numFmtId="0" xfId="0" applyAlignment="1" applyBorder="1" applyFont="1">
      <alignment horizontal="center" vertical="center"/>
    </xf>
    <xf borderId="11" fillId="2" fontId="4" numFmtId="0" xfId="0" applyAlignment="1" applyBorder="1" applyFont="1">
      <alignment horizontal="right" vertical="center"/>
    </xf>
    <xf borderId="11" fillId="0" fontId="5" numFmtId="165" xfId="0" applyAlignment="1" applyBorder="1" applyFont="1" applyNumberFormat="1">
      <alignment horizontal="left" vertical="center"/>
    </xf>
    <xf borderId="11" fillId="0" fontId="5" numFmtId="0" xfId="0" applyAlignment="1" applyBorder="1" applyFont="1">
      <alignment horizontal="left" vertical="center"/>
    </xf>
    <xf borderId="11" fillId="0" fontId="6" numFmtId="164" xfId="0" applyAlignment="1" applyBorder="1" applyFont="1" applyNumberFormat="1">
      <alignment horizontal="right" vertical="center"/>
    </xf>
    <xf borderId="4" fillId="0" fontId="7" numFmtId="0" xfId="0" applyAlignment="1" applyBorder="1" applyFont="1">
      <alignment horizontal="right" vertical="center"/>
    </xf>
    <xf borderId="11" fillId="0" fontId="5" numFmtId="0" xfId="0" applyAlignment="1" applyBorder="1" applyFont="1">
      <alignment horizontal="left" readingOrder="0" vertical="center"/>
    </xf>
    <xf borderId="11" fillId="3" fontId="5" numFmtId="165" xfId="0" applyBorder="1" applyFont="1" applyNumberFormat="1"/>
    <xf borderId="11" fillId="3" fontId="5" numFmtId="0" xfId="0" applyBorder="1" applyFont="1"/>
    <xf borderId="11" fillId="3" fontId="6" numFmtId="164" xfId="0" applyAlignment="1" applyBorder="1" applyFont="1" applyNumberFormat="1">
      <alignment horizontal="right"/>
    </xf>
    <xf borderId="11" fillId="0" fontId="5" numFmtId="165" xfId="0" applyBorder="1" applyFont="1" applyNumberFormat="1"/>
    <xf borderId="11" fillId="0" fontId="5" numFmtId="0" xfId="0" applyBorder="1" applyFont="1"/>
    <xf borderId="11" fillId="3" fontId="6" numFmtId="164" xfId="0" applyAlignment="1" applyBorder="1" applyFont="1" applyNumberFormat="1">
      <alignment horizontal="right" readingOrder="0"/>
    </xf>
    <xf borderId="11" fillId="3" fontId="5" numFmtId="0" xfId="0" applyAlignment="1" applyBorder="1" applyFont="1">
      <alignment readingOrder="0"/>
    </xf>
    <xf borderId="11" fillId="0" fontId="6" numFmtId="164" xfId="0" applyAlignment="1" applyBorder="1" applyFont="1" applyNumberFormat="1">
      <alignment horizontal="right"/>
    </xf>
    <xf borderId="0" fillId="0" fontId="11" numFmtId="0" xfId="0" applyFont="1"/>
    <xf borderId="4" fillId="4" fontId="8" numFmtId="0" xfId="0" applyAlignment="1" applyBorder="1" applyFont="1">
      <alignment horizontal="center" vertical="center"/>
    </xf>
    <xf borderId="4" fillId="0" fontId="5" numFmtId="164" xfId="0" applyAlignment="1" applyBorder="1" applyFont="1" applyNumberFormat="1">
      <alignment horizontal="right" vertical="center"/>
    </xf>
    <xf borderId="4" fillId="0" fontId="5" numFmtId="1" xfId="0" applyAlignment="1" applyBorder="1" applyFont="1" applyNumberFormat="1">
      <alignment horizontal="right" vertical="center"/>
    </xf>
    <xf borderId="4" fillId="0" fontId="7" numFmtId="164" xfId="0" applyAlignment="1" applyBorder="1" applyFont="1" applyNumberFormat="1">
      <alignment horizontal="left" vertical="center"/>
    </xf>
    <xf borderId="0" fillId="0" fontId="11" numFmtId="164" xfId="0" applyFont="1" applyNumberFormat="1"/>
    <xf borderId="4" fillId="3" fontId="7" numFmtId="0" xfId="0" applyAlignment="1" applyBorder="1" applyFont="1">
      <alignment horizontal="left" vertical="center"/>
    </xf>
    <xf borderId="4" fillId="3" fontId="7" numFmtId="164" xfId="0" applyAlignment="1" applyBorder="1" applyFont="1" applyNumberFormat="1">
      <alignment horizontal="left" vertical="center"/>
    </xf>
    <xf borderId="4" fillId="3" fontId="5" numFmtId="164" xfId="0" applyAlignment="1" applyBorder="1" applyFont="1" applyNumberFormat="1">
      <alignment horizontal="right" vertical="center"/>
    </xf>
    <xf borderId="4" fillId="2" fontId="1" numFmtId="0" xfId="0" applyAlignment="1" applyBorder="1" applyFont="1">
      <alignment horizontal="center" vertical="center"/>
    </xf>
    <xf borderId="0" fillId="0" fontId="12" numFmtId="0" xfId="0" applyAlignment="1" applyFont="1">
      <alignment horizontal="left" vertical="center"/>
    </xf>
    <xf borderId="4" fillId="0" fontId="6" numFmtId="0" xfId="0" applyAlignment="1" applyBorder="1" applyFont="1">
      <alignment horizontal="left" vertical="center"/>
    </xf>
    <xf borderId="4" fillId="0" fontId="13" numFmtId="0" xfId="0" applyAlignment="1" applyBorder="1" applyFont="1">
      <alignment horizontal="center" vertical="center"/>
    </xf>
    <xf borderId="8" fillId="2" fontId="14" numFmtId="0" xfId="0" applyAlignment="1" applyBorder="1" applyFont="1">
      <alignment horizontal="center" vertical="center"/>
    </xf>
    <xf borderId="8" fillId="4" fontId="8" numFmtId="0" xfId="0" applyAlignment="1" applyBorder="1" applyFont="1">
      <alignment horizontal="left" vertical="center"/>
    </xf>
    <xf borderId="11" fillId="0" fontId="15" numFmtId="1" xfId="0" applyAlignment="1" applyBorder="1" applyFont="1" applyNumberFormat="1">
      <alignment horizontal="right" vertical="center"/>
    </xf>
    <xf borderId="11" fillId="0" fontId="15" numFmtId="164" xfId="0" applyAlignment="1" applyBorder="1" applyFont="1" applyNumberFormat="1">
      <alignment horizontal="right" vertical="center"/>
    </xf>
    <xf borderId="11" fillId="4" fontId="8" numFmtId="0" xfId="0" applyBorder="1" applyFont="1"/>
    <xf borderId="11" fillId="4" fontId="11" numFmtId="0" xfId="0" applyAlignment="1" applyBorder="1" applyFont="1">
      <alignment horizontal="left" shrinkToFit="0" vertical="center" wrapText="1"/>
    </xf>
    <xf borderId="11" fillId="0" fontId="16" numFmtId="0" xfId="0" applyBorder="1" applyFont="1"/>
    <xf borderId="11" fillId="0" fontId="11" numFmtId="0" xfId="0" applyAlignment="1" applyBorder="1" applyFont="1">
      <alignment horizontal="left" shrinkToFit="0" vertical="center" wrapText="1"/>
    </xf>
    <xf borderId="11" fillId="0" fontId="10" numFmtId="0" xfId="0" applyBorder="1" applyFont="1"/>
    <xf borderId="11" fillId="0" fontId="15" numFmtId="0" xfId="0" applyBorder="1" applyFont="1"/>
    <xf borderId="11" fillId="0" fontId="3" numFmtId="0" xfId="0" applyBorder="1" applyFont="1"/>
    <xf borderId="11" fillId="0" fontId="17" numFmtId="0" xfId="0" applyBorder="1" applyFont="1"/>
    <xf borderId="8" fillId="5" fontId="18" numFmtId="0" xfId="0" applyAlignment="1" applyBorder="1" applyFill="1" applyFont="1">
      <alignment horizontal="center" shrinkToFit="0" vertical="center" wrapText="1"/>
    </xf>
    <xf borderId="8" fillId="6" fontId="19" numFmtId="0" xfId="0" applyAlignment="1" applyBorder="1" applyFill="1" applyFont="1">
      <alignment horizontal="center" vertical="center"/>
    </xf>
    <xf borderId="8" fillId="7" fontId="12" numFmtId="0" xfId="0" applyAlignment="1" applyBorder="1" applyFill="1" applyFont="1">
      <alignment horizontal="center" vertical="center"/>
    </xf>
    <xf borderId="11" fillId="2" fontId="4" numFmtId="0" xfId="0" applyAlignment="1" applyBorder="1" applyFont="1">
      <alignment horizontal="center" shrinkToFit="0" vertical="center" wrapText="1"/>
    </xf>
    <xf borderId="11" fillId="3" fontId="5" numFmtId="0" xfId="0" applyAlignment="1" applyBorder="1" applyFont="1">
      <alignment horizontal="left" vertical="center"/>
    </xf>
    <xf borderId="11" fillId="3" fontId="16" numFmtId="0" xfId="0" applyAlignment="1" applyBorder="1" applyFont="1">
      <alignment horizontal="center" vertical="center"/>
    </xf>
    <xf borderId="11" fillId="3" fontId="5" numFmtId="0" xfId="0" applyAlignment="1" applyBorder="1" applyFont="1">
      <alignment horizontal="center" vertical="center"/>
    </xf>
    <xf borderId="11" fillId="0" fontId="16" numFmtId="0" xfId="0" applyAlignment="1" applyBorder="1" applyFont="1">
      <alignment horizontal="center" vertical="center"/>
    </xf>
    <xf borderId="11" fillId="0" fontId="5" numFmtId="0" xfId="0" applyAlignment="1" applyBorder="1" applyFont="1">
      <alignment horizontal="center" vertical="center"/>
    </xf>
    <xf borderId="11" fillId="8" fontId="5" numFmtId="0" xfId="0" applyAlignment="1" applyBorder="1" applyFill="1" applyFont="1">
      <alignment horizontal="left" vertical="center"/>
    </xf>
    <xf borderId="11" fillId="8" fontId="16" numFmtId="0" xfId="0" applyAlignment="1" applyBorder="1" applyFont="1">
      <alignment horizontal="center" vertical="center"/>
    </xf>
    <xf borderId="11" fillId="9" fontId="5" numFmtId="0" xfId="0" applyAlignment="1" applyBorder="1" applyFill="1" applyFont="1">
      <alignment horizontal="left" vertical="center"/>
    </xf>
    <xf borderId="11" fillId="9" fontId="16" numFmtId="0" xfId="0" applyAlignment="1" applyBorder="1" applyFont="1">
      <alignment horizontal="center" vertical="center"/>
    </xf>
    <xf borderId="11" fillId="8" fontId="5" numFmtId="0" xfId="0" applyAlignment="1" applyBorder="1" applyFont="1">
      <alignment horizontal="left" readingOrder="0" vertical="center"/>
    </xf>
    <xf borderId="11" fillId="8" fontId="16" numFmtId="0" xfId="0" applyAlignment="1" applyBorder="1" applyFont="1">
      <alignment horizontal="center" readingOrder="0" vertical="center"/>
    </xf>
    <xf borderId="11" fillId="8" fontId="5" numFmtId="0" xfId="0" applyAlignment="1" applyBorder="1" applyFont="1">
      <alignment horizontal="center" vertical="center"/>
    </xf>
    <xf borderId="11" fillId="9" fontId="5" numFmtId="0" xfId="0" applyAlignment="1" applyBorder="1" applyFont="1">
      <alignment horizontal="center" vertical="center"/>
    </xf>
    <xf borderId="0" fillId="0" fontId="20" numFmtId="0" xfId="0" applyAlignment="1" applyFont="1">
      <alignment horizontal="left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2.0"/>
    <col customWidth="1" min="2" max="2" width="16.86"/>
    <col customWidth="1" min="3" max="6" width="14.0"/>
    <col customWidth="1" min="7" max="7" width="20.0"/>
    <col customWidth="1" min="8" max="9" width="18.0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3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3.5" customHeight="1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5" t="s">
        <v>1</v>
      </c>
      <c r="B4" s="5" t="s">
        <v>2</v>
      </c>
      <c r="C4" s="5" t="s">
        <v>3</v>
      </c>
      <c r="D4" s="5" t="s">
        <v>4</v>
      </c>
      <c r="E4" s="5" t="s">
        <v>5</v>
      </c>
      <c r="F4" s="5" t="s">
        <v>6</v>
      </c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6.25" customHeight="1">
      <c r="A5" s="6" t="str">
        <f>'Access Codes'!A6</f>
        <v>At</v>
      </c>
      <c r="B5" s="7">
        <f t="array" ref="B5">IFERROR(INDEX('Player Balances'!$B$7:$B$206,MATCH(A5,'Player Balances'!$A$7:$A$206,0)),"")</f>
        <v>89.63321386</v>
      </c>
      <c r="C5" s="6" t="str">
        <f>IF(A5="","",IF(OR(D5="Coach",D5="Treasurer"),"Waived",IF(OR(B5="",B5=0),"",IF(SUMIFS(Transactions!$F$7:$F$996,Transactions!$D$7:$D$996,"Income",Transactions!$C$7:$C$996,"Dues",Transactions!$E$7:$E$996,A5)&gt;=B5,"Paid",IF(SUMIFS(Transactions!$F$7:$F$996,Transactions!$D$7:$D$996,"Income",Transactions!$C$7:$C$996,"Dues",Transactions!$E$7:$E$996,A5)&gt;0,"Partial","Unpaid")))))</f>
        <v>Unpaid</v>
      </c>
      <c r="D5" s="8" t="str">
        <f>'Access Codes'!C6</f>
        <v>Captain</v>
      </c>
      <c r="E5" s="6" t="str">
        <f>'Access Codes'!D6</f>
        <v>Active</v>
      </c>
      <c r="F5" s="6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6" t="str">
        <f>'Access Codes'!A7</f>
        <v>Alex Warrington</v>
      </c>
      <c r="B6" s="7">
        <f t="array" ref="B6">IFERROR(INDEX('Player Balances'!$B$7:$B$206,MATCH(A6,'Player Balances'!$A$7:$A$206,0)),"")</f>
        <v>89.63321386</v>
      </c>
      <c r="C6" s="6" t="str">
        <f>IF(A6="","",IF(OR(D6="Coach",D6="Treasurer"),"Waived",IF(OR(B6="",B6=0),"",IF(SUMIFS(Transactions!$F$7:$F$996,Transactions!$D$7:$D$996,"Income",Transactions!$C$7:$C$996,"Dues",Transactions!$E$7:$E$996,A6)&gt;=B6,"Paid",IF(SUMIFS(Transactions!$F$7:$F$996,Transactions!$D$7:$D$996,"Income",Transactions!$C$7:$C$996,"Dues",Transactions!$E$7:$E$996,A6)&gt;0,"Partial","Unpaid")))))</f>
        <v>Unpaid</v>
      </c>
      <c r="D6" s="8" t="str">
        <f>'Access Codes'!C7</f>
        <v>Player</v>
      </c>
      <c r="E6" s="6" t="str">
        <f>'Access Codes'!D7</f>
        <v>Active</v>
      </c>
      <c r="F6" s="6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9.5" customHeight="1">
      <c r="A7" s="6" t="str">
        <f>'Access Codes'!A8</f>
        <v>Chris Wohl</v>
      </c>
      <c r="B7" s="7">
        <f t="array" ref="B7">IFERROR(INDEX('Player Balances'!$B$7:$B$206,MATCH(A7,'Player Balances'!$A$7:$A$206,0)),"")</f>
        <v>89.63321386</v>
      </c>
      <c r="C7" s="6" t="str">
        <f>IF(A7="","",IF(OR(D7="Coach",D7="Treasurer"),"Waived",IF(OR(B7="",B7=0),"",IF(SUMIFS(Transactions!$F$7:$F$996,Transactions!$D$7:$D$996,"Income",Transactions!$C$7:$C$996,"Dues",Transactions!$E$7:$E$996,A7)&gt;=B7,"Paid",IF(SUMIFS(Transactions!$F$7:$F$996,Transactions!$D$7:$D$996,"Income",Transactions!$C$7:$C$996,"Dues",Transactions!$E$7:$E$996,A7)&gt;0,"Partial","Unpaid")))))</f>
        <v>Unpaid</v>
      </c>
      <c r="D7" s="9" t="str">
        <f>'Access Codes'!C8</f>
        <v>Player</v>
      </c>
      <c r="E7" s="6" t="str">
        <f>'Access Codes'!D8</f>
        <v>Active</v>
      </c>
      <c r="F7" s="6" t="s">
        <v>7</v>
      </c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9.5" customHeight="1">
      <c r="A8" s="6" t="str">
        <f>'Access Codes'!A9</f>
        <v>Darra Reppermund</v>
      </c>
      <c r="B8" s="7">
        <f t="array" ref="B8">IFERROR(INDEX('Player Balances'!$B$7:$B$206,MATCH(A8,'Player Balances'!$A$7:$A$206,0)),"")</f>
        <v>89.63321386</v>
      </c>
      <c r="C8" s="6" t="str">
        <f>IF(A8="","",IF(OR(D8="Coach",D8="Treasurer"),"Waived",IF(OR(B8="",B8=0),"",IF(SUMIFS(Transactions!$F$7:$F$996,Transactions!$D$7:$D$996,"Income",Transactions!$C$7:$C$996,"Dues",Transactions!$E$7:$E$996,A8)&gt;=B8,"Paid",IF(SUMIFS(Transactions!$F$7:$F$996,Transactions!$D$7:$D$996,"Income",Transactions!$C$7:$C$996,"Dues",Transactions!$E$7:$E$996,A8)&gt;0,"Partial","Unpaid")))))</f>
        <v>Unpaid</v>
      </c>
      <c r="D8" s="9" t="str">
        <f>'Access Codes'!C9</f>
        <v>Player</v>
      </c>
      <c r="E8" s="6" t="str">
        <f>'Access Codes'!D9</f>
        <v>Active</v>
      </c>
      <c r="F8" s="6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9.5" customHeight="1">
      <c r="A9" s="6" t="str">
        <f>'Access Codes'!A10</f>
        <v>Dylan Best</v>
      </c>
      <c r="B9" s="7">
        <f t="array" ref="B9">IFERROR(INDEX('Player Balances'!$B$7:$B$206,MATCH(A9,'Player Balances'!$A$7:$A$206,0)),"")</f>
        <v>89.63321386</v>
      </c>
      <c r="C9" s="6" t="str">
        <f>IF(A9="","",IF(OR(D9="Coach",D9="Treasurer"),"Waived",IF(OR(B9="",B9=0),"",IF(SUMIFS(Transactions!$F$7:$F$996,Transactions!$D$7:$D$996,"Income",Transactions!$C$7:$C$996,"Dues",Transactions!$E$7:$E$996,A9)&gt;=B9,"Paid",IF(SUMIFS(Transactions!$F$7:$F$996,Transactions!$D$7:$D$996,"Income",Transactions!$C$7:$C$996,"Dues",Transactions!$E$7:$E$996,A9)&gt;0,"Partial","Unpaid")))))</f>
        <v>Unpaid</v>
      </c>
      <c r="D9" s="8" t="str">
        <f>'Access Codes'!C10</f>
        <v>Player</v>
      </c>
      <c r="E9" s="6" t="str">
        <f>'Access Codes'!D10</f>
        <v>Active</v>
      </c>
      <c r="F9" s="6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9.5" customHeight="1">
      <c r="A10" s="10" t="str">
        <f>'Access Codes'!A11</f>
        <v>Griffin O'Neal-Freeman</v>
      </c>
      <c r="B10" s="11">
        <f t="array" ref="B10">IFERROR(INDEX('Player Balances'!$B$7:$B$206,MATCH(A10,'Player Balances'!$A$7:$A$206,0)),"")</f>
        <v>89.63321386</v>
      </c>
      <c r="C10" s="10" t="str">
        <f>IF(A10="","",IF(OR(D10="Coach",D10="Treasurer"),"Waived",IF(OR(B10="",B10=0),"",IF(SUMIFS(Transactions!$F$7:$F$996,Transactions!$D$7:$D$996,"Income",Transactions!$C$7:$C$996,"Dues",Transactions!$E$7:$E$996,A10)&gt;=B10,"Paid",IF(SUMIFS(Transactions!$F$7:$F$996,Transactions!$D$7:$D$996,"Income",Transactions!$C$7:$C$996,"Dues",Transactions!$E$7:$E$996,A10)&gt;0,"Partial","Unpaid")))))</f>
        <v>Unpaid</v>
      </c>
      <c r="D10" s="8" t="str">
        <f>'Access Codes'!C11</f>
        <v>Player</v>
      </c>
      <c r="E10" s="10" t="str">
        <f>'Access Codes'!D11</f>
        <v>Active</v>
      </c>
      <c r="F10" s="10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9.5" customHeight="1">
      <c r="A11" s="10" t="str">
        <f>'Access Codes'!A12</f>
        <v>Haley Young</v>
      </c>
      <c r="B11" s="11">
        <f t="array" ref="B11">IFERROR(INDEX('Player Balances'!$B$7:$B$206,MATCH(A11,'Player Balances'!$A$7:$A$206,0)),"")</f>
        <v>89.63321386</v>
      </c>
      <c r="C11" s="10" t="str">
        <f>IF(A11="","",IF(OR(D11="Coach",D11="Treasurer"),"Waived",IF(OR(B11="",B11=0),"",IF(SUMIFS(Transactions!$F$7:$F$996,Transactions!$D$7:$D$996,"Income",Transactions!$C$7:$C$996,"Dues",Transactions!$E$7:$E$996,A11)&gt;=B11,"Paid",IF(SUMIFS(Transactions!$F$7:$F$996,Transactions!$D$7:$D$996,"Income",Transactions!$C$7:$C$996,"Dues",Transactions!$E$7:$E$996,A11)&gt;0,"Partial","Unpaid")))))</f>
        <v>Unpaid</v>
      </c>
      <c r="D11" s="8" t="str">
        <f>'Access Codes'!C12</f>
        <v>Player</v>
      </c>
      <c r="E11" s="10" t="str">
        <f>'Access Codes'!D12</f>
        <v>Active</v>
      </c>
      <c r="F11" s="10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9.5" customHeight="1">
      <c r="A12" s="10" t="str">
        <f>'Access Codes'!A13</f>
        <v>Harry Park</v>
      </c>
      <c r="B12" s="11">
        <f t="array" ref="B12">IFERROR(INDEX('Player Balances'!$B$7:$B$206,MATCH(A12,'Player Balances'!$A$7:$A$206,0)),"")</f>
        <v>89.63321386</v>
      </c>
      <c r="C12" s="10" t="str">
        <f>IF(A12="","",IF(OR(D12="Coach",D12="Treasurer"),"Waived",IF(OR(B12="",B12=0),"",IF(SUMIFS(Transactions!$F$7:$F$996,Transactions!$D$7:$D$996,"Income",Transactions!$C$7:$C$996,"Dues",Transactions!$E$7:$E$996,A12)&gt;=B12,"Paid",IF(SUMIFS(Transactions!$F$7:$F$996,Transactions!$D$7:$D$996,"Income",Transactions!$C$7:$C$996,"Dues",Transactions!$E$7:$E$996,A12)&gt;0,"Partial","Unpaid")))))</f>
        <v>Unpaid</v>
      </c>
      <c r="D12" s="8" t="str">
        <f>'Access Codes'!C13</f>
        <v>Player</v>
      </c>
      <c r="E12" s="10" t="str">
        <f>'Access Codes'!D13</f>
        <v>Active</v>
      </c>
      <c r="F12" s="10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9.5" customHeight="1">
      <c r="A13" s="10" t="str">
        <f>'Access Codes'!A14</f>
        <v>Ian Piper</v>
      </c>
      <c r="B13" s="11">
        <f t="array" ref="B13">IFERROR(INDEX('Player Balances'!$B$7:$B$206,MATCH(A13,'Player Balances'!$A$7:$A$206,0)),"")</f>
        <v>89.63321386</v>
      </c>
      <c r="C13" s="10" t="str">
        <f>IF(A13="","",IF(OR(D13="Coach",D13="Treasurer"),"Waived",IF(OR(B13="",B13=0),"",IF(SUMIFS(Transactions!$F$7:$F$996,Transactions!$D$7:$D$996,"Income",Transactions!$C$7:$C$996,"Dues",Transactions!$E$7:$E$996,A13)&gt;=B13,"Paid",IF(SUMIFS(Transactions!$F$7:$F$996,Transactions!$D$7:$D$996,"Income",Transactions!$C$7:$C$996,"Dues",Transactions!$E$7:$E$996,A13)&gt;0,"Partial","Unpaid")))))</f>
        <v>Unpaid</v>
      </c>
      <c r="D13" s="8" t="str">
        <f>'Access Codes'!C14</f>
        <v>Player</v>
      </c>
      <c r="E13" s="10" t="str">
        <f>'Access Codes'!D14</f>
        <v>Active</v>
      </c>
      <c r="F13" s="10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9.5" customHeight="1">
      <c r="A14" s="10" t="str">
        <f>'Access Codes'!A15</f>
        <v>Jake Murray</v>
      </c>
      <c r="B14" s="11">
        <f t="array" ref="B14">IFERROR(INDEX('Player Balances'!$B$7:$B$206,MATCH(A14,'Player Balances'!$A$7:$A$206,0)),"")</f>
        <v>89.63321386</v>
      </c>
      <c r="C14" s="10" t="str">
        <f>IF(A14="","",IF(OR(D14="Coach",D14="Treasurer"),"Waived",IF(OR(B14="",B14=0),"",IF(SUMIFS(Transactions!$F$7:$F$996,Transactions!$D$7:$D$996,"Income",Transactions!$C$7:$C$996,"Dues",Transactions!$E$7:$E$996,A14)&gt;=B14,"Paid",IF(SUMIFS(Transactions!$F$7:$F$996,Transactions!$D$7:$D$996,"Income",Transactions!$C$7:$C$996,"Dues",Transactions!$E$7:$E$996,A14)&gt;0,"Partial","Unpaid")))))</f>
        <v>Waived</v>
      </c>
      <c r="D14" s="8" t="str">
        <f>'Access Codes'!C15</f>
        <v>Treasurer</v>
      </c>
      <c r="E14" s="10" t="str">
        <f>'Access Codes'!D15</f>
        <v>Active</v>
      </c>
      <c r="F14" s="10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9.5" customHeight="1">
      <c r="A15" s="10" t="str">
        <f>'Access Codes'!A16</f>
        <v>Jenna Nold</v>
      </c>
      <c r="B15" s="11">
        <f t="array" ref="B15">IFERROR(INDEX('Player Balances'!$B$7:$B$206,MATCH(A15,'Player Balances'!$A$7:$A$206,0)),"")</f>
        <v>89.63321386</v>
      </c>
      <c r="C15" s="10" t="str">
        <f>IF(A15="","",IF(OR(D15="Coach",D15="Treasurer"),"Waived",IF(OR(B15="",B15=0),"",IF(SUMIFS(Transactions!$F$7:$F$996,Transactions!$D$7:$D$996,"Income",Transactions!$C$7:$C$996,"Dues",Transactions!$E$7:$E$996,A15)&gt;=B15,"Paid",IF(SUMIFS(Transactions!$F$7:$F$996,Transactions!$D$7:$D$996,"Income",Transactions!$C$7:$C$996,"Dues",Transactions!$E$7:$E$996,A15)&gt;0,"Partial","Unpaid")))))</f>
        <v>Unpaid</v>
      </c>
      <c r="D15" s="8" t="str">
        <f>'Access Codes'!C16</f>
        <v>Captain</v>
      </c>
      <c r="E15" s="10" t="str">
        <f>'Access Codes'!D16</f>
        <v>Active</v>
      </c>
      <c r="F15" s="10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9.5" customHeight="1">
      <c r="A16" s="10" t="str">
        <f>'Access Codes'!A17</f>
        <v>Jimmy Towle</v>
      </c>
      <c r="B16" s="11">
        <f t="array" ref="B16">IFERROR(INDEX('Player Balances'!$B$7:$B$206,MATCH(A16,'Player Balances'!$A$7:$A$206,0)),"")</f>
        <v>2.225806452</v>
      </c>
      <c r="C16" s="10" t="str">
        <f>IF(A16="","",IF(OR(D16="Coach",D16="Treasurer"),"Waived",IF(OR(B16="",B16=0),"",IF(SUMIFS(Transactions!$F$7:$F$996,Transactions!$D$7:$D$996,"Income",Transactions!$C$7:$C$996,"Dues",Transactions!$E$7:$E$996,A16)&gt;=B16,"Paid",IF(SUMIFS(Transactions!$F$7:$F$996,Transactions!$D$7:$D$996,"Income",Transactions!$C$7:$C$996,"Dues",Transactions!$E$7:$E$996,A16)&gt;0,"Partial","Unpaid")))))</f>
        <v>Unpaid</v>
      </c>
      <c r="D16" s="8" t="str">
        <f>'Access Codes'!C17</f>
        <v>Player</v>
      </c>
      <c r="E16" s="10" t="str">
        <f>'Access Codes'!D17</f>
        <v>Active</v>
      </c>
      <c r="F16" s="10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9.5" customHeight="1">
      <c r="A17" s="10" t="str">
        <f>'Access Codes'!A18</f>
        <v>Kailey Rugani</v>
      </c>
      <c r="B17" s="11">
        <f t="array" ref="B17">IFERROR(INDEX('Player Balances'!$B$7:$B$206,MATCH(A17,'Player Balances'!$A$7:$A$206,0)),"")</f>
        <v>89.63321386</v>
      </c>
      <c r="C17" s="10" t="str">
        <f>IF(A17="","",IF(OR(D17="Coach",D17="Treasurer"),"Waived",IF(OR(B17="",B17=0),"",IF(SUMIFS(Transactions!$F$7:$F$996,Transactions!$D$7:$D$996,"Income",Transactions!$C$7:$C$996,"Dues",Transactions!$E$7:$E$996,A17)&gt;=B17,"Paid",IF(SUMIFS(Transactions!$F$7:$F$996,Transactions!$D$7:$D$996,"Income",Transactions!$C$7:$C$996,"Dues",Transactions!$E$7:$E$996,A17)&gt;0,"Partial","Unpaid")))))</f>
        <v>Unpaid</v>
      </c>
      <c r="D17" s="8" t="str">
        <f>'Access Codes'!C18</f>
        <v>Player</v>
      </c>
      <c r="E17" s="10" t="str">
        <f>'Access Codes'!D18</f>
        <v>Active</v>
      </c>
      <c r="F17" s="10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9.5" customHeight="1">
      <c r="A18" s="10" t="str">
        <f>'Access Codes'!A19</f>
        <v>Kasey Schock</v>
      </c>
      <c r="B18" s="11">
        <f t="array" ref="B18">IFERROR(INDEX('Player Balances'!$B$7:$B$206,MATCH(A18,'Player Balances'!$A$7:$A$206,0)),"")</f>
        <v>89.63321386</v>
      </c>
      <c r="C18" s="10" t="str">
        <f>IF(A18="","",IF(OR(D18="Coach",D18="Treasurer"),"Waived",IF(OR(B18="",B18=0),"",IF(SUMIFS(Transactions!$F$7:$F$996,Transactions!$D$7:$D$996,"Income",Transactions!$C$7:$C$996,"Dues",Transactions!$E$7:$E$996,A18)&gt;=B18,"Paid",IF(SUMIFS(Transactions!$F$7:$F$996,Transactions!$D$7:$D$996,"Income",Transactions!$C$7:$C$996,"Dues",Transactions!$E$7:$E$996,A18)&gt;0,"Partial","Unpaid")))))</f>
        <v>Unpaid</v>
      </c>
      <c r="D18" s="8" t="str">
        <f>'Access Codes'!C19</f>
        <v>Player</v>
      </c>
      <c r="E18" s="10" t="str">
        <f>'Access Codes'!D19</f>
        <v>Active</v>
      </c>
      <c r="F18" s="10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9.5" customHeight="1">
      <c r="A19" s="10" t="str">
        <f>'Access Codes'!A20</f>
        <v>Kevin Nicholl</v>
      </c>
      <c r="B19" s="11">
        <f t="array" ref="B19">IFERROR(INDEX('Player Balances'!$B$7:$B$206,MATCH(A19,'Player Balances'!$A$7:$A$206,0)),"")</f>
        <v>89.63321386</v>
      </c>
      <c r="C19" s="10" t="str">
        <f>IF(A19="","",IF(OR(D19="Coach",D19="Treasurer"),"Waived",IF(OR(B19="",B19=0),"",IF(SUMIFS(Transactions!$F$7:$F$996,Transactions!$D$7:$D$996,"Income",Transactions!$C$7:$C$996,"Dues",Transactions!$E$7:$E$996,A19)&gt;=B19,"Paid",IF(SUMIFS(Transactions!$F$7:$F$996,Transactions!$D$7:$D$996,"Income",Transactions!$C$7:$C$996,"Dues",Transactions!$E$7:$E$996,A19)&gt;0,"Partial","Unpaid")))))</f>
        <v>Unpaid</v>
      </c>
      <c r="D19" s="8" t="str">
        <f>'Access Codes'!C20</f>
        <v>Player</v>
      </c>
      <c r="E19" s="10" t="str">
        <f>'Access Codes'!D20</f>
        <v>Active</v>
      </c>
      <c r="F19" s="10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9.5" customHeight="1">
      <c r="A20" s="10" t="str">
        <f>'Access Codes'!A21</f>
        <v>Kit Asterin</v>
      </c>
      <c r="B20" s="11">
        <f t="array" ref="B20">IFERROR(INDEX('Player Balances'!$B$7:$B$206,MATCH(A20,'Player Balances'!$A$7:$A$206,0)),"")</f>
        <v>89.63321386</v>
      </c>
      <c r="C20" s="10" t="str">
        <f>IF(A20="","",IF(OR(D20="Coach",D20="Treasurer"),"Waived",IF(OR(B20="",B20=0),"",IF(SUMIFS(Transactions!$F$7:$F$996,Transactions!$D$7:$D$996,"Income",Transactions!$C$7:$C$996,"Dues",Transactions!$E$7:$E$996,A20)&gt;=B20,"Paid",IF(SUMIFS(Transactions!$F$7:$F$996,Transactions!$D$7:$D$996,"Income",Transactions!$C$7:$C$996,"Dues",Transactions!$E$7:$E$996,A20)&gt;0,"Partial","Unpaid")))))</f>
        <v>Unpaid</v>
      </c>
      <c r="D20" s="8" t="str">
        <f>'Access Codes'!C21</f>
        <v>Captain</v>
      </c>
      <c r="E20" s="10" t="str">
        <f>'Access Codes'!D21</f>
        <v>Active</v>
      </c>
      <c r="F20" s="10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9.5" customHeight="1">
      <c r="A21" s="10" t="str">
        <f>'Access Codes'!A22</f>
        <v>Kristin Dudley</v>
      </c>
      <c r="B21" s="11">
        <f t="array" ref="B21">IFERROR(INDEX('Player Balances'!$B$7:$B$206,MATCH(A21,'Player Balances'!$A$7:$A$206,0)),"")</f>
        <v>89.63321386</v>
      </c>
      <c r="C21" s="10" t="str">
        <f>IF(A21="","",IF(OR(D21="Coach",D21="Treasurer"),"Waived",IF(OR(B21="",B21=0),"",IF(SUMIFS(Transactions!$F$7:$F$996,Transactions!$D$7:$D$996,"Income",Transactions!$C$7:$C$996,"Dues",Transactions!$E$7:$E$996,A21)&gt;=B21,"Paid",IF(SUMIFS(Transactions!$F$7:$F$996,Transactions!$D$7:$D$996,"Income",Transactions!$C$7:$C$996,"Dues",Transactions!$E$7:$E$996,A21)&gt;0,"Partial","Unpaid")))))</f>
        <v>Unpaid</v>
      </c>
      <c r="D21" s="8" t="str">
        <f>'Access Codes'!C22</f>
        <v>Player</v>
      </c>
      <c r="E21" s="10" t="str">
        <f>'Access Codes'!D22</f>
        <v>Active</v>
      </c>
      <c r="F21" s="10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9.5" customHeight="1">
      <c r="A22" s="10" t="str">
        <f>'Access Codes'!A23</f>
        <v>Lexie Thomas</v>
      </c>
      <c r="B22" s="11">
        <f t="array" ref="B22">IFERROR(INDEX('Player Balances'!$B$7:$B$206,MATCH(A22,'Player Balances'!$A$7:$A$206,0)),"")</f>
        <v>89.63321386</v>
      </c>
      <c r="C22" s="10" t="str">
        <f>IF(A22="","",IF(OR(D22="Coach",D22="Treasurer"),"Waived",IF(OR(B22="",B22=0),"",IF(SUMIFS(Transactions!$F$7:$F$996,Transactions!$D$7:$D$996,"Income",Transactions!$C$7:$C$996,"Dues",Transactions!$E$7:$E$996,A22)&gt;=B22,"Paid",IF(SUMIFS(Transactions!$F$7:$F$996,Transactions!$D$7:$D$996,"Income",Transactions!$C$7:$C$996,"Dues",Transactions!$E$7:$E$996,A22)&gt;0,"Partial","Unpaid")))))</f>
        <v>Unpaid</v>
      </c>
      <c r="D22" s="8" t="str">
        <f>'Access Codes'!C23</f>
        <v>Player</v>
      </c>
      <c r="E22" s="10" t="str">
        <f>'Access Codes'!D23</f>
        <v>Active</v>
      </c>
      <c r="F22" s="10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9.5" customHeight="1">
      <c r="A23" s="10" t="str">
        <f>'Access Codes'!A24</f>
        <v>Lucas Jones</v>
      </c>
      <c r="B23" s="11">
        <f t="array" ref="B23">IFERROR(INDEX('Player Balances'!$B$7:$B$206,MATCH(A23,'Player Balances'!$A$7:$A$206,0)),"")</f>
        <v>2.225806452</v>
      </c>
      <c r="C23" s="10" t="str">
        <f>IF(A23="","",IF(OR(D23="Coach",D23="Treasurer"),"Waived",IF(OR(B23="",B23=0),"",IF(SUMIFS(Transactions!$F$7:$F$996,Transactions!$D$7:$D$996,"Income",Transactions!$C$7:$C$996,"Dues",Transactions!$E$7:$E$996,A23)&gt;=B23,"Paid",IF(SUMIFS(Transactions!$F$7:$F$996,Transactions!$D$7:$D$996,"Income",Transactions!$C$7:$C$996,"Dues",Transactions!$E$7:$E$996,A23)&gt;0,"Partial","Unpaid")))))</f>
        <v>Unpaid</v>
      </c>
      <c r="D23" s="8" t="str">
        <f>'Access Codes'!C24</f>
        <v>Player</v>
      </c>
      <c r="E23" s="10" t="str">
        <f>'Access Codes'!D24</f>
        <v>Active</v>
      </c>
      <c r="F23" s="10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9.5" customHeight="1">
      <c r="A24" s="10" t="str">
        <f>'Access Codes'!A25</f>
        <v>Max Sheppard</v>
      </c>
      <c r="B24" s="11">
        <f t="array" ref="B24">IFERROR(INDEX('Player Balances'!$B$7:$B$206,MATCH(A24,'Player Balances'!$A$7:$A$206,0)),"")</f>
        <v>89.63321386</v>
      </c>
      <c r="C24" s="10" t="str">
        <f>IF(A24="","",IF(OR(D24="Coach",D24="Treasurer"),"Waived",IF(OR(B24="",B24=0),"",IF(SUMIFS(Transactions!$F$7:$F$996,Transactions!$D$7:$D$996,"Income",Transactions!$C$7:$C$996,"Dues",Transactions!$E$7:$E$996,A24)&gt;=B24,"Paid",IF(SUMIFS(Transactions!$F$7:$F$996,Transactions!$D$7:$D$996,"Income",Transactions!$C$7:$C$996,"Dues",Transactions!$E$7:$E$996,A24)&gt;0,"Partial","Unpaid")))))</f>
        <v>Unpaid</v>
      </c>
      <c r="D24" s="8" t="str">
        <f>'Access Codes'!C25</f>
        <v>Player</v>
      </c>
      <c r="E24" s="10" t="str">
        <f>'Access Codes'!D25</f>
        <v>Active</v>
      </c>
      <c r="F24" s="10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9.5" customHeight="1">
      <c r="A25" s="10" t="str">
        <f>'Access Codes'!A26</f>
        <v>Lucius Christie</v>
      </c>
      <c r="B25" s="11">
        <f t="array" ref="B25">IFERROR(INDEX('Player Balances'!$B$7:$B$206,MATCH(A25,'Player Balances'!$A$7:$A$206,0)),"")</f>
        <v>89.63321386</v>
      </c>
      <c r="C25" s="10" t="str">
        <f>IF(A25="","",IF(OR(D25="Coach",D25="Treasurer"),"Waived",IF(OR(B25="",B25=0),"",IF(SUMIFS(Transactions!$F$7:$F$996,Transactions!$D$7:$D$996,"Income",Transactions!$C$7:$C$996,"Dues",Transactions!$E$7:$E$996,A25)&gt;=B25,"Paid",IF(SUMIFS(Transactions!$F$7:$F$996,Transactions!$D$7:$D$996,"Income",Transactions!$C$7:$C$996,"Dues",Transactions!$E$7:$E$996,A25)&gt;0,"Partial","Unpaid")))))</f>
        <v>Unpaid</v>
      </c>
      <c r="D25" s="8" t="str">
        <f>'Access Codes'!C26</f>
        <v>Player</v>
      </c>
      <c r="E25" s="10" t="str">
        <f>'Access Codes'!D26</f>
        <v>Active</v>
      </c>
      <c r="F25" s="10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9.5" customHeight="1">
      <c r="A26" s="10" t="str">
        <f>'Access Codes'!A27</f>
        <v>Patrick McMullen</v>
      </c>
      <c r="B26" s="11">
        <f t="array" ref="B26">IFERROR(INDEX('Player Balances'!$B$7:$B$206,MATCH(A26,'Player Balances'!$A$7:$A$206,0)),"")</f>
        <v>89.63321386</v>
      </c>
      <c r="C26" s="10" t="str">
        <f>IF(A26="","",IF(OR(D26="Coach",D26="Treasurer"),"Waived",IF(OR(B26="",B26=0),"",IF(SUMIFS(Transactions!$F$7:$F$996,Transactions!$D$7:$D$996,"Income",Transactions!$C$7:$C$996,"Dues",Transactions!$E$7:$E$996,A26)&gt;=B26,"Paid",IF(SUMIFS(Transactions!$F$7:$F$996,Transactions!$D$7:$D$996,"Income",Transactions!$C$7:$C$996,"Dues",Transactions!$E$7:$E$996,A26)&gt;0,"Partial","Unpaid")))))</f>
        <v>Unpaid</v>
      </c>
      <c r="D26" s="8" t="str">
        <f>'Access Codes'!C27</f>
        <v>Player</v>
      </c>
      <c r="E26" s="10" t="str">
        <f>'Access Codes'!D27</f>
        <v>Active</v>
      </c>
      <c r="F26" s="10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10" t="str">
        <f>'Access Codes'!A28</f>
        <v>Rachel Graber</v>
      </c>
      <c r="B27" s="11">
        <f t="array" ref="B27">IFERROR(INDEX('Player Balances'!$B$7:$B$206,MATCH(A27,'Player Balances'!$A$7:$A$206,0)),"")</f>
        <v>89.63321386</v>
      </c>
      <c r="C27" s="10" t="str">
        <f>IF(A27="","",IF(OR(D27="Coach",D27="Treasurer"),"Waived",IF(OR(B27="",B27=0),"",IF(SUMIFS(Transactions!$F$7:$F$996,Transactions!$D$7:$D$996,"Income",Transactions!$C$7:$C$996,"Dues",Transactions!$E$7:$E$996,A27)&gt;=B27,"Paid",IF(SUMIFS(Transactions!$F$7:$F$996,Transactions!$D$7:$D$996,"Income",Transactions!$C$7:$C$996,"Dues",Transactions!$E$7:$E$996,A27)&gt;0,"Partial","Unpaid")))))</f>
        <v>Unpaid</v>
      </c>
      <c r="D27" s="8" t="str">
        <f>'Access Codes'!C28</f>
        <v>Player</v>
      </c>
      <c r="E27" s="10" t="str">
        <f>'Access Codes'!D28</f>
        <v>Active</v>
      </c>
      <c r="F27" s="10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10" t="str">
        <f>'Access Codes'!A29</f>
        <v>Ryan Kindell</v>
      </c>
      <c r="B28" s="11">
        <f t="array" ref="B28">IFERROR(INDEX('Player Balances'!$B$7:$B$206,MATCH(A28,'Player Balances'!$A$7:$A$206,0)),"")</f>
        <v>89.63321386</v>
      </c>
      <c r="C28" s="10" t="str">
        <f>IF(A28="","",IF(OR(D28="Coach",D28="Treasurer"),"Waived",IF(OR(B28="",B28=0),"",IF(SUMIFS(Transactions!$F$7:$F$996,Transactions!$D$7:$D$996,"Income",Transactions!$C$7:$C$996,"Dues",Transactions!$E$7:$E$996,A28)&gt;=B28,"Paid",IF(SUMIFS(Transactions!$F$7:$F$996,Transactions!$D$7:$D$996,"Income",Transactions!$C$7:$C$996,"Dues",Transactions!$E$7:$E$996,A28)&gt;0,"Partial","Unpaid")))))</f>
        <v>Unpaid</v>
      </c>
      <c r="D28" s="8" t="str">
        <f>'Access Codes'!C29</f>
        <v>Player</v>
      </c>
      <c r="E28" s="10" t="str">
        <f>'Access Codes'!D29</f>
        <v>Active</v>
      </c>
      <c r="F28" s="10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10" t="str">
        <f>'Access Codes'!A30</f>
        <v>Ryan Ward</v>
      </c>
      <c r="B29" s="11">
        <f t="array" ref="B29">IFERROR(INDEX('Player Balances'!$B$7:$B$206,MATCH(A29,'Player Balances'!$A$7:$A$206,0)),"")</f>
        <v>89.63321386</v>
      </c>
      <c r="C29" s="10" t="str">
        <f>IF(A29="","",IF(OR(D29="Coach",D29="Treasurer"),"Waived",IF(OR(B29="",B29=0),"",IF(SUMIFS(Transactions!$F$7:$F$996,Transactions!$D$7:$D$996,"Income",Transactions!$C$7:$C$996,"Dues",Transactions!$E$7:$E$996,A29)&gt;=B29,"Paid",IF(SUMIFS(Transactions!$F$7:$F$996,Transactions!$D$7:$D$996,"Income",Transactions!$C$7:$C$996,"Dues",Transactions!$E$7:$E$996,A29)&gt;0,"Partial","Unpaid")))))</f>
        <v>Unpaid</v>
      </c>
      <c r="D29" s="8" t="str">
        <f>'Access Codes'!C30</f>
        <v>Player</v>
      </c>
      <c r="E29" s="10" t="str">
        <f>'Access Codes'!D30</f>
        <v>Active</v>
      </c>
      <c r="F29" s="10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10" t="str">
        <f>'Access Codes'!A31</f>
        <v>Sam Gombiner</v>
      </c>
      <c r="B30" s="11">
        <f t="array" ref="B30">IFERROR(INDEX('Player Balances'!$B$7:$B$206,MATCH(A30,'Player Balances'!$A$7:$A$206,0)),"")</f>
        <v>2.225806452</v>
      </c>
      <c r="C30" s="10" t="str">
        <f>IF(A30="","",IF(OR(D30="Coach",D30="Treasurer"),"Waived",IF(OR(B30="",B30=0),"",IF(SUMIFS(Transactions!$F$7:$F$996,Transactions!$D$7:$D$996,"Income",Transactions!$C$7:$C$996,"Dues",Transactions!$E$7:$E$996,A30)&gt;=B30,"Paid",IF(SUMIFS(Transactions!$F$7:$F$996,Transactions!$D$7:$D$996,"Income",Transactions!$C$7:$C$996,"Dues",Transactions!$E$7:$E$996,A30)&gt;0,"Partial","Unpaid")))))</f>
        <v>Unpaid</v>
      </c>
      <c r="D30" s="8" t="str">
        <f>'Access Codes'!C31</f>
        <v>Player</v>
      </c>
      <c r="E30" s="10" t="str">
        <f>'Access Codes'!D31</f>
        <v>Active</v>
      </c>
      <c r="F30" s="10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10" t="str">
        <f>'Access Codes'!A32</f>
        <v>Sarah Kingsley-Hart</v>
      </c>
      <c r="B31" s="11">
        <f t="array" ref="B31">IFERROR(INDEX('Player Balances'!$B$7:$B$206,MATCH(A31,'Player Balances'!$A$7:$A$206,0)),"")</f>
        <v>89.63321386</v>
      </c>
      <c r="C31" s="10" t="str">
        <f>IF(A31="","",IF(OR(D31="Coach",D31="Treasurer"),"Waived",IF(OR(B31="",B31=0),"",IF(SUMIFS(Transactions!$F$7:$F$996,Transactions!$D$7:$D$996,"Income",Transactions!$C$7:$C$996,"Dues",Transactions!$E$7:$E$996,A31)&gt;=B31,"Paid",IF(SUMIFS(Transactions!$F$7:$F$996,Transactions!$D$7:$D$996,"Income",Transactions!$C$7:$C$996,"Dues",Transactions!$E$7:$E$996,A31)&gt;0,"Partial","Unpaid")))))</f>
        <v>Unpaid</v>
      </c>
      <c r="D31" s="8" t="str">
        <f>'Access Codes'!C32</f>
        <v>Player</v>
      </c>
      <c r="E31" s="10" t="str">
        <f>'Access Codes'!D32</f>
        <v>Active</v>
      </c>
      <c r="F31" s="10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10" t="str">
        <f>'Access Codes'!A33</f>
        <v>Sarah Lynch</v>
      </c>
      <c r="B32" s="11">
        <f t="array" ref="B32">IFERROR(INDEX('Player Balances'!$B$7:$B$206,MATCH(A32,'Player Balances'!$A$7:$A$206,0)),"")</f>
        <v>89.63321386</v>
      </c>
      <c r="C32" s="10" t="str">
        <f>IF(A32="","",IF(OR(D32="Coach",D32="Treasurer"),"Waived",IF(OR(B32="",B32=0),"",IF(SUMIFS(Transactions!$F$7:$F$996,Transactions!$D$7:$D$996,"Income",Transactions!$C$7:$C$996,"Dues",Transactions!$E$7:$E$996,A32)&gt;=B32,"Paid",IF(SUMIFS(Transactions!$F$7:$F$996,Transactions!$D$7:$D$996,"Income",Transactions!$C$7:$C$996,"Dues",Transactions!$E$7:$E$996,A32)&gt;0,"Partial","Unpaid")))))</f>
        <v>Unpaid</v>
      </c>
      <c r="D32" s="8" t="str">
        <f>'Access Codes'!C33</f>
        <v>Player</v>
      </c>
      <c r="E32" s="10" t="str">
        <f>'Access Codes'!D33</f>
        <v>Active</v>
      </c>
      <c r="F32" s="10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10" t="str">
        <f>'Access Codes'!A34</f>
        <v>Shani Rosenthal</v>
      </c>
      <c r="B33" s="11">
        <f t="array" ref="B33">IFERROR(INDEX('Player Balances'!$B$7:$B$206,MATCH(A33,'Player Balances'!$A$7:$A$206,0)),"")</f>
        <v>89.63321386</v>
      </c>
      <c r="C33" s="10" t="str">
        <f>IF(A33="","",IF(OR(D33="Coach",D33="Treasurer"),"Waived",IF(OR(B33="",B33=0),"",IF(SUMIFS(Transactions!$F$7:$F$996,Transactions!$D$7:$D$996,"Income",Transactions!$C$7:$C$996,"Dues",Transactions!$E$7:$E$996,A33)&gt;=B33,"Paid",IF(SUMIFS(Transactions!$F$7:$F$996,Transactions!$D$7:$D$996,"Income",Transactions!$C$7:$C$996,"Dues",Transactions!$E$7:$E$996,A33)&gt;0,"Partial","Unpaid")))))</f>
        <v>Unpaid</v>
      </c>
      <c r="D33" s="8" t="str">
        <f>'Access Codes'!C34</f>
        <v>Player</v>
      </c>
      <c r="E33" s="10" t="str">
        <f>'Access Codes'!D34</f>
        <v>Active</v>
      </c>
      <c r="F33" s="10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10" t="str">
        <f>'Access Codes'!A35</f>
        <v>Vivian Shen</v>
      </c>
      <c r="B34" s="11">
        <f t="array" ref="B34">IFERROR(INDEX('Player Balances'!$B$7:$B$206,MATCH(A34,'Player Balances'!$A$7:$A$206,0)),"")</f>
        <v>89.63321386</v>
      </c>
      <c r="C34" s="10" t="str">
        <f>IF(A34="","",IF(OR(D34="Coach",D34="Treasurer"),"Waived",IF(OR(B34="",B34=0),"",IF(SUMIFS(Transactions!$F$7:$F$996,Transactions!$D$7:$D$996,"Income",Transactions!$C$7:$C$996,"Dues",Transactions!$E$7:$E$996,A34)&gt;=B34,"Paid",IF(SUMIFS(Transactions!$F$7:$F$996,Transactions!$D$7:$D$996,"Income",Transactions!$C$7:$C$996,"Dues",Transactions!$E$7:$E$996,A34)&gt;0,"Partial","Unpaid")))))</f>
        <v>Unpaid</v>
      </c>
      <c r="D34" s="8" t="str">
        <f>'Access Codes'!C35</f>
        <v>Player</v>
      </c>
      <c r="E34" s="10" t="str">
        <f>'Access Codes'!D35</f>
        <v>Active</v>
      </c>
      <c r="F34" s="10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10" t="str">
        <f>'Access Codes'!A36</f>
        <v>Zach Esakof</v>
      </c>
      <c r="B35" s="11">
        <f t="array" ref="B35">IFERROR(INDEX('Player Balances'!$B$7:$B$206,MATCH(A35,'Player Balances'!$A$7:$A$206,0)),"")</f>
        <v>2.225806452</v>
      </c>
      <c r="C35" s="10" t="str">
        <f>IF(A35="","",IF(OR(D35="Coach",D35="Treasurer"),"Waived",IF(OR(B35="",B35=0),"",IF(SUMIFS(Transactions!$F$7:$F$996,Transactions!$D$7:$D$996,"Income",Transactions!$C$7:$C$996,"Dues",Transactions!$E$7:$E$996,A35)&gt;=B35,"Paid",IF(SUMIFS(Transactions!$F$7:$F$996,Transactions!$D$7:$D$996,"Income",Transactions!$C$7:$C$996,"Dues",Transactions!$E$7:$E$996,A35)&gt;0,"Partial","Unpaid")))))</f>
        <v>Unpaid</v>
      </c>
      <c r="D35" s="8" t="str">
        <f>'Access Codes'!C36</f>
        <v>Player</v>
      </c>
      <c r="E35" s="10" t="str">
        <f>'Access Codes'!D36</f>
        <v>Active</v>
      </c>
      <c r="F35" s="10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10" t="str">
        <f>'Access Codes'!A37</f>
        <v>Annette Kukunas-Piper</v>
      </c>
      <c r="B36" s="11">
        <f t="array" ref="B36">IFERROR(INDEX('Player Balances'!$B$7:$B$206,MATCH(A36,'Player Balances'!$A$7:$A$206,0)),"")</f>
        <v>0</v>
      </c>
      <c r="C36" s="10" t="str">
        <f>IF(A36="","",IF(OR(D36="Coach",D36="Treasurer"),"Waived",IF(OR(B36="",B36=0),"",IF(SUMIFS(Transactions!$F$7:$F$996,Transactions!$D$7:$D$996,"Income",Transactions!$C$7:$C$996,"Dues",Transactions!$E$7:$E$996,A36)&gt;=B36,"Paid",IF(SUMIFS(Transactions!$F$7:$F$996,Transactions!$D$7:$D$996,"Income",Transactions!$C$7:$C$996,"Dues",Transactions!$E$7:$E$996,A36)&gt;0,"Partial","Unpaid")))))</f>
        <v>Waived</v>
      </c>
      <c r="D36" s="8" t="str">
        <f>'Access Codes'!C37</f>
        <v>Coach</v>
      </c>
      <c r="E36" s="10" t="str">
        <f>'Access Codes'!D37</f>
        <v>Active</v>
      </c>
      <c r="F36" s="10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10" t="str">
        <f>'Access Codes'!A38</f>
        <v>Matt Duffy</v>
      </c>
      <c r="B37" s="11">
        <f t="array" ref="B37">IFERROR(INDEX('Player Balances'!$B$7:$B$206,MATCH(A37,'Player Balances'!$A$7:$A$206,0)),"")</f>
        <v>0</v>
      </c>
      <c r="C37" s="10" t="str">
        <f>IF(A37="","",IF(OR(D37="Coach",D37="Treasurer"),"Waived",IF(OR(B37="",B37=0),"",IF(SUMIFS(Transactions!$F$7:$F$996,Transactions!$D$7:$D$996,"Income",Transactions!$C$7:$C$996,"Dues",Transactions!$E$7:$E$996,A37)&gt;=B37,"Paid",IF(SUMIFS(Transactions!$F$7:$F$996,Transactions!$D$7:$D$996,"Income",Transactions!$C$7:$C$996,"Dues",Transactions!$E$7:$E$996,A37)&gt;0,"Partial","Unpaid")))))</f>
        <v>Waived</v>
      </c>
      <c r="D37" s="8" t="str">
        <f>'Access Codes'!C38</f>
        <v>Coach</v>
      </c>
      <c r="E37" s="10" t="str">
        <f>'Access Codes'!D38</f>
        <v>Active</v>
      </c>
      <c r="F37" s="10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10" t="str">
        <f>'Access Codes'!A39</f>
        <v>Ryan Birchard</v>
      </c>
      <c r="B38" s="11">
        <f t="array" ref="B38">IFERROR(INDEX('Player Balances'!$B$7:$B$206,MATCH(A38,'Player Balances'!$A$7:$A$206,0)),"")</f>
        <v>0</v>
      </c>
      <c r="C38" s="10" t="str">
        <f>IF(A38="","",IF(OR(D38="Coach",D38="Treasurer"),"Waived",IF(OR(B38="",B38=0),"",IF(SUMIFS(Transactions!$F$7:$F$996,Transactions!$D$7:$D$996,"Income",Transactions!$C$7:$C$996,"Dues",Transactions!$E$7:$E$996,A38)&gt;=B38,"Paid",IF(SUMIFS(Transactions!$F$7:$F$996,Transactions!$D$7:$D$996,"Income",Transactions!$C$7:$C$996,"Dues",Transactions!$E$7:$E$996,A38)&gt;0,"Partial","Unpaid")))))</f>
        <v>Waived</v>
      </c>
      <c r="D38" s="8" t="str">
        <f>'Access Codes'!C39</f>
        <v>Coach</v>
      </c>
      <c r="E38" s="10" t="str">
        <f>'Access Codes'!D39</f>
        <v>Active</v>
      </c>
      <c r="F38" s="10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10"/>
      <c r="B39" s="11"/>
      <c r="C39" s="10"/>
      <c r="D39" s="10"/>
      <c r="E39" s="10"/>
      <c r="F39" s="10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10"/>
      <c r="B40" s="11"/>
      <c r="C40" s="10"/>
      <c r="D40" s="10"/>
      <c r="E40" s="10"/>
      <c r="F40" s="10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10"/>
      <c r="B41" s="11"/>
      <c r="C41" s="10"/>
      <c r="D41" s="10"/>
      <c r="E41" s="10"/>
      <c r="F41" s="10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10"/>
      <c r="B42" s="11"/>
      <c r="C42" s="10"/>
      <c r="D42" s="10"/>
      <c r="E42" s="10"/>
      <c r="F42" s="10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10"/>
      <c r="B43" s="11"/>
      <c r="C43" s="10"/>
      <c r="D43" s="10"/>
      <c r="E43" s="10"/>
      <c r="F43" s="10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10"/>
      <c r="B44" s="11"/>
      <c r="C44" s="10"/>
      <c r="D44" s="10"/>
      <c r="E44" s="10"/>
      <c r="F44" s="10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10"/>
      <c r="B45" s="11"/>
      <c r="C45" s="10"/>
      <c r="D45" s="10"/>
      <c r="E45" s="10"/>
      <c r="F45" s="10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10"/>
      <c r="B46" s="11"/>
      <c r="C46" s="10"/>
      <c r="D46" s="10"/>
      <c r="E46" s="10"/>
      <c r="F46" s="10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10"/>
      <c r="B47" s="11"/>
      <c r="C47" s="10"/>
      <c r="D47" s="10"/>
      <c r="E47" s="10"/>
      <c r="F47" s="10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10"/>
      <c r="B48" s="11"/>
      <c r="C48" s="10"/>
      <c r="D48" s="10"/>
      <c r="E48" s="10"/>
      <c r="F48" s="10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10"/>
      <c r="B49" s="11"/>
      <c r="C49" s="10"/>
      <c r="D49" s="10"/>
      <c r="E49" s="10"/>
      <c r="F49" s="10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10"/>
      <c r="B50" s="11"/>
      <c r="C50" s="10"/>
      <c r="D50" s="10"/>
      <c r="E50" s="10"/>
      <c r="F50" s="10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10"/>
      <c r="B51" s="11"/>
      <c r="C51" s="10"/>
      <c r="D51" s="10"/>
      <c r="E51" s="10"/>
      <c r="F51" s="10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10"/>
      <c r="B52" s="11"/>
      <c r="C52" s="10"/>
      <c r="D52" s="10"/>
      <c r="E52" s="10"/>
      <c r="F52" s="10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10"/>
      <c r="B53" s="11"/>
      <c r="C53" s="10"/>
      <c r="D53" s="10"/>
      <c r="E53" s="10"/>
      <c r="F53" s="10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10"/>
      <c r="B54" s="11"/>
      <c r="C54" s="10"/>
      <c r="D54" s="10"/>
      <c r="E54" s="10"/>
      <c r="F54" s="10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10"/>
      <c r="B55" s="11"/>
      <c r="C55" s="10"/>
      <c r="D55" s="10"/>
      <c r="E55" s="10"/>
      <c r="F55" s="10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10"/>
      <c r="B56" s="11"/>
      <c r="C56" s="10"/>
      <c r="D56" s="10"/>
      <c r="E56" s="10"/>
      <c r="F56" s="10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10"/>
      <c r="B57" s="11"/>
      <c r="C57" s="10"/>
      <c r="D57" s="10"/>
      <c r="E57" s="10"/>
      <c r="F57" s="10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10"/>
      <c r="B58" s="11"/>
      <c r="C58" s="10"/>
      <c r="D58" s="10"/>
      <c r="E58" s="10"/>
      <c r="F58" s="10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10"/>
      <c r="B59" s="11"/>
      <c r="C59" s="10"/>
      <c r="D59" s="10"/>
      <c r="E59" s="10"/>
      <c r="F59" s="10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10"/>
      <c r="B60" s="11"/>
      <c r="C60" s="10"/>
      <c r="D60" s="10"/>
      <c r="E60" s="10"/>
      <c r="F60" s="10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10"/>
      <c r="B61" s="11"/>
      <c r="C61" s="10"/>
      <c r="D61" s="10"/>
      <c r="E61" s="10"/>
      <c r="F61" s="10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10"/>
      <c r="B62" s="11"/>
      <c r="C62" s="10"/>
      <c r="D62" s="10"/>
      <c r="E62" s="10"/>
      <c r="F62" s="10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10"/>
      <c r="B63" s="11"/>
      <c r="C63" s="10"/>
      <c r="D63" s="10"/>
      <c r="E63" s="10"/>
      <c r="F63" s="10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10"/>
      <c r="B64" s="11"/>
      <c r="C64" s="10"/>
      <c r="D64" s="10"/>
      <c r="E64" s="10"/>
      <c r="F64" s="10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10"/>
      <c r="B65" s="11"/>
      <c r="C65" s="10"/>
      <c r="D65" s="10"/>
      <c r="E65" s="10"/>
      <c r="F65" s="10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10"/>
      <c r="B66" s="11"/>
      <c r="C66" s="10"/>
      <c r="D66" s="10"/>
      <c r="E66" s="10"/>
      <c r="F66" s="10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10"/>
      <c r="B67" s="11"/>
      <c r="C67" s="10"/>
      <c r="D67" s="10"/>
      <c r="E67" s="10"/>
      <c r="F67" s="10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10"/>
      <c r="B68" s="11"/>
      <c r="C68" s="10"/>
      <c r="D68" s="10"/>
      <c r="E68" s="10"/>
      <c r="F68" s="10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10"/>
      <c r="B69" s="11"/>
      <c r="C69" s="10"/>
      <c r="D69" s="10"/>
      <c r="E69" s="10"/>
      <c r="F69" s="10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10"/>
      <c r="B70" s="11"/>
      <c r="C70" s="10"/>
      <c r="D70" s="10"/>
      <c r="E70" s="10"/>
      <c r="F70" s="10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10"/>
      <c r="B71" s="11"/>
      <c r="C71" s="10"/>
      <c r="D71" s="10"/>
      <c r="E71" s="10"/>
      <c r="F71" s="10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10"/>
      <c r="B72" s="11"/>
      <c r="C72" s="10"/>
      <c r="D72" s="10"/>
      <c r="E72" s="10"/>
      <c r="F72" s="10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10"/>
      <c r="B73" s="11"/>
      <c r="C73" s="10"/>
      <c r="D73" s="10"/>
      <c r="E73" s="10"/>
      <c r="F73" s="10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10"/>
      <c r="B74" s="11"/>
      <c r="C74" s="10"/>
      <c r="D74" s="10"/>
      <c r="E74" s="10"/>
      <c r="F74" s="10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10"/>
      <c r="B75" s="11"/>
      <c r="C75" s="10"/>
      <c r="D75" s="10"/>
      <c r="E75" s="10"/>
      <c r="F75" s="10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10"/>
      <c r="B76" s="11"/>
      <c r="C76" s="10"/>
      <c r="D76" s="10"/>
      <c r="E76" s="10"/>
      <c r="F76" s="10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10"/>
      <c r="B77" s="11"/>
      <c r="C77" s="10"/>
      <c r="D77" s="10"/>
      <c r="E77" s="10"/>
      <c r="F77" s="10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10"/>
      <c r="B78" s="11"/>
      <c r="C78" s="10"/>
      <c r="D78" s="10"/>
      <c r="E78" s="10"/>
      <c r="F78" s="10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10"/>
      <c r="B79" s="11"/>
      <c r="C79" s="10"/>
      <c r="D79" s="10"/>
      <c r="E79" s="10"/>
      <c r="F79" s="10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10"/>
      <c r="B80" s="11"/>
      <c r="C80" s="10"/>
      <c r="D80" s="10"/>
      <c r="E80" s="10"/>
      <c r="F80" s="10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10"/>
      <c r="B81" s="11"/>
      <c r="C81" s="10"/>
      <c r="D81" s="10"/>
      <c r="E81" s="10"/>
      <c r="F81" s="10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10"/>
      <c r="B82" s="11"/>
      <c r="C82" s="10"/>
      <c r="D82" s="10"/>
      <c r="E82" s="10"/>
      <c r="F82" s="10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10"/>
      <c r="B83" s="11"/>
      <c r="C83" s="10"/>
      <c r="D83" s="10"/>
      <c r="E83" s="10"/>
      <c r="F83" s="10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10"/>
      <c r="B84" s="11"/>
      <c r="C84" s="10"/>
      <c r="D84" s="10"/>
      <c r="E84" s="10"/>
      <c r="F84" s="10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10"/>
      <c r="B85" s="11"/>
      <c r="C85" s="10"/>
      <c r="D85" s="10"/>
      <c r="E85" s="10"/>
      <c r="F85" s="10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10"/>
      <c r="B86" s="11"/>
      <c r="C86" s="10"/>
      <c r="D86" s="10"/>
      <c r="E86" s="10"/>
      <c r="F86" s="10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10"/>
      <c r="B87" s="11"/>
      <c r="C87" s="10"/>
      <c r="D87" s="10"/>
      <c r="E87" s="10"/>
      <c r="F87" s="10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10"/>
      <c r="B88" s="11"/>
      <c r="C88" s="10"/>
      <c r="D88" s="10"/>
      <c r="E88" s="10"/>
      <c r="F88" s="10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10"/>
      <c r="B89" s="11"/>
      <c r="C89" s="10"/>
      <c r="D89" s="10"/>
      <c r="E89" s="10"/>
      <c r="F89" s="10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10"/>
      <c r="B90" s="11"/>
      <c r="C90" s="10"/>
      <c r="D90" s="10"/>
      <c r="E90" s="10"/>
      <c r="F90" s="10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10"/>
      <c r="B91" s="11"/>
      <c r="C91" s="10"/>
      <c r="D91" s="10"/>
      <c r="E91" s="10"/>
      <c r="F91" s="10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10"/>
      <c r="B92" s="11"/>
      <c r="C92" s="10"/>
      <c r="D92" s="10"/>
      <c r="E92" s="10"/>
      <c r="F92" s="10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10"/>
      <c r="B93" s="11"/>
      <c r="C93" s="10"/>
      <c r="D93" s="10"/>
      <c r="E93" s="10"/>
      <c r="F93" s="10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10"/>
      <c r="B94" s="11"/>
      <c r="C94" s="10"/>
      <c r="D94" s="10"/>
      <c r="E94" s="10"/>
      <c r="F94" s="10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10"/>
      <c r="B95" s="11"/>
      <c r="C95" s="10"/>
      <c r="D95" s="10"/>
      <c r="E95" s="10"/>
      <c r="F95" s="10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10"/>
      <c r="B96" s="11"/>
      <c r="C96" s="10"/>
      <c r="D96" s="10"/>
      <c r="E96" s="10"/>
      <c r="F96" s="10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10"/>
      <c r="B97" s="11"/>
      <c r="C97" s="10"/>
      <c r="D97" s="10"/>
      <c r="E97" s="10"/>
      <c r="F97" s="10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10"/>
      <c r="B98" s="11"/>
      <c r="C98" s="10"/>
      <c r="D98" s="10"/>
      <c r="E98" s="10"/>
      <c r="F98" s="10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10"/>
      <c r="B99" s="11"/>
      <c r="C99" s="10"/>
      <c r="D99" s="10"/>
      <c r="E99" s="10"/>
      <c r="F99" s="10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10"/>
      <c r="B100" s="11"/>
      <c r="C100" s="10"/>
      <c r="D100" s="10"/>
      <c r="E100" s="10"/>
      <c r="F100" s="10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10"/>
      <c r="B101" s="11"/>
      <c r="C101" s="10"/>
      <c r="D101" s="10"/>
      <c r="E101" s="10"/>
      <c r="F101" s="10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10"/>
      <c r="B102" s="11"/>
      <c r="C102" s="10"/>
      <c r="D102" s="10"/>
      <c r="E102" s="10"/>
      <c r="F102" s="10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10"/>
      <c r="B103" s="11"/>
      <c r="C103" s="10"/>
      <c r="D103" s="10"/>
      <c r="E103" s="10"/>
      <c r="F103" s="10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10"/>
      <c r="B104" s="11"/>
      <c r="C104" s="10"/>
      <c r="D104" s="10"/>
      <c r="E104" s="10"/>
      <c r="F104" s="10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10"/>
      <c r="B105" s="11"/>
      <c r="C105" s="10"/>
      <c r="D105" s="10"/>
      <c r="E105" s="10"/>
      <c r="F105" s="10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10"/>
      <c r="B106" s="11"/>
      <c r="C106" s="10"/>
      <c r="D106" s="10"/>
      <c r="E106" s="10"/>
      <c r="F106" s="10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10"/>
      <c r="B107" s="11"/>
      <c r="C107" s="10"/>
      <c r="D107" s="10"/>
      <c r="E107" s="10"/>
      <c r="F107" s="10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10"/>
      <c r="B108" s="11"/>
      <c r="C108" s="10"/>
      <c r="D108" s="10"/>
      <c r="E108" s="10"/>
      <c r="F108" s="10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10"/>
      <c r="B109" s="11"/>
      <c r="C109" s="10"/>
      <c r="D109" s="10"/>
      <c r="E109" s="10"/>
      <c r="F109" s="10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10"/>
      <c r="B110" s="11"/>
      <c r="C110" s="10"/>
      <c r="D110" s="10"/>
      <c r="E110" s="10"/>
      <c r="F110" s="10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10"/>
      <c r="B111" s="11"/>
      <c r="C111" s="10"/>
      <c r="D111" s="10"/>
      <c r="E111" s="10"/>
      <c r="F111" s="10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10"/>
      <c r="B112" s="11"/>
      <c r="C112" s="10"/>
      <c r="D112" s="10"/>
      <c r="E112" s="10"/>
      <c r="F112" s="10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10"/>
      <c r="B113" s="11"/>
      <c r="C113" s="10"/>
      <c r="D113" s="10"/>
      <c r="E113" s="10"/>
      <c r="F113" s="10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10"/>
      <c r="B114" s="11"/>
      <c r="C114" s="10"/>
      <c r="D114" s="10"/>
      <c r="E114" s="10"/>
      <c r="F114" s="10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10"/>
      <c r="B115" s="11"/>
      <c r="C115" s="10"/>
      <c r="D115" s="10"/>
      <c r="E115" s="10"/>
      <c r="F115" s="10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10"/>
      <c r="B116" s="11"/>
      <c r="C116" s="10"/>
      <c r="D116" s="10"/>
      <c r="E116" s="10"/>
      <c r="F116" s="10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10"/>
      <c r="B117" s="11"/>
      <c r="C117" s="10"/>
      <c r="D117" s="10"/>
      <c r="E117" s="10"/>
      <c r="F117" s="10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10"/>
      <c r="B118" s="11"/>
      <c r="C118" s="10"/>
      <c r="D118" s="10"/>
      <c r="E118" s="10"/>
      <c r="F118" s="10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10"/>
      <c r="B119" s="11"/>
      <c r="C119" s="10"/>
      <c r="D119" s="10"/>
      <c r="E119" s="10"/>
      <c r="F119" s="10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10"/>
      <c r="B120" s="11"/>
      <c r="C120" s="10"/>
      <c r="D120" s="10"/>
      <c r="E120" s="10"/>
      <c r="F120" s="10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10"/>
      <c r="B121" s="11"/>
      <c r="C121" s="10"/>
      <c r="D121" s="10"/>
      <c r="E121" s="10"/>
      <c r="F121" s="10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10"/>
      <c r="B122" s="11"/>
      <c r="C122" s="10"/>
      <c r="D122" s="10"/>
      <c r="E122" s="10"/>
      <c r="F122" s="10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10"/>
      <c r="B123" s="11"/>
      <c r="C123" s="10"/>
      <c r="D123" s="10"/>
      <c r="E123" s="10"/>
      <c r="F123" s="10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10"/>
      <c r="B124" s="11"/>
      <c r="C124" s="10"/>
      <c r="D124" s="10"/>
      <c r="E124" s="10"/>
      <c r="F124" s="10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10"/>
      <c r="B125" s="11"/>
      <c r="C125" s="10"/>
      <c r="D125" s="10"/>
      <c r="E125" s="10"/>
      <c r="F125" s="10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10"/>
      <c r="B126" s="11"/>
      <c r="C126" s="10"/>
      <c r="D126" s="10"/>
      <c r="E126" s="10"/>
      <c r="F126" s="10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10"/>
      <c r="B127" s="11"/>
      <c r="C127" s="10"/>
      <c r="D127" s="10"/>
      <c r="E127" s="10"/>
      <c r="F127" s="10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10"/>
      <c r="B128" s="11"/>
      <c r="C128" s="10"/>
      <c r="D128" s="10"/>
      <c r="E128" s="10"/>
      <c r="F128" s="10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10"/>
      <c r="B129" s="11"/>
      <c r="C129" s="10"/>
      <c r="D129" s="10"/>
      <c r="E129" s="10"/>
      <c r="F129" s="10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10"/>
      <c r="B130" s="11"/>
      <c r="C130" s="10"/>
      <c r="D130" s="10"/>
      <c r="E130" s="10"/>
      <c r="F130" s="10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10"/>
      <c r="B131" s="11"/>
      <c r="C131" s="10"/>
      <c r="D131" s="10"/>
      <c r="E131" s="10"/>
      <c r="F131" s="10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10"/>
      <c r="B132" s="11"/>
      <c r="C132" s="10"/>
      <c r="D132" s="10"/>
      <c r="E132" s="10"/>
      <c r="F132" s="10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10"/>
      <c r="B133" s="11"/>
      <c r="C133" s="10"/>
      <c r="D133" s="10"/>
      <c r="E133" s="10"/>
      <c r="F133" s="10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10"/>
      <c r="B134" s="11"/>
      <c r="C134" s="10"/>
      <c r="D134" s="10"/>
      <c r="E134" s="10"/>
      <c r="F134" s="10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10"/>
      <c r="B135" s="11"/>
      <c r="C135" s="10"/>
      <c r="D135" s="10"/>
      <c r="E135" s="10"/>
      <c r="F135" s="10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10"/>
      <c r="B136" s="11"/>
      <c r="C136" s="10"/>
      <c r="D136" s="10"/>
      <c r="E136" s="10"/>
      <c r="F136" s="10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10"/>
      <c r="B137" s="11"/>
      <c r="C137" s="10"/>
      <c r="D137" s="10"/>
      <c r="E137" s="10"/>
      <c r="F137" s="10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10"/>
      <c r="B138" s="11"/>
      <c r="C138" s="10"/>
      <c r="D138" s="10"/>
      <c r="E138" s="10"/>
      <c r="F138" s="10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10"/>
      <c r="B139" s="11"/>
      <c r="C139" s="10"/>
      <c r="D139" s="10"/>
      <c r="E139" s="10"/>
      <c r="F139" s="10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10"/>
      <c r="B140" s="11"/>
      <c r="C140" s="10"/>
      <c r="D140" s="10"/>
      <c r="E140" s="10"/>
      <c r="F140" s="10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10"/>
      <c r="B141" s="11"/>
      <c r="C141" s="10"/>
      <c r="D141" s="10"/>
      <c r="E141" s="10"/>
      <c r="F141" s="10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10"/>
      <c r="B142" s="11"/>
      <c r="C142" s="10"/>
      <c r="D142" s="10"/>
      <c r="E142" s="10"/>
      <c r="F142" s="10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10"/>
      <c r="B143" s="11"/>
      <c r="C143" s="10"/>
      <c r="D143" s="10"/>
      <c r="E143" s="10"/>
      <c r="F143" s="10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10"/>
      <c r="B144" s="11"/>
      <c r="C144" s="10"/>
      <c r="D144" s="10"/>
      <c r="E144" s="10"/>
      <c r="F144" s="10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10"/>
      <c r="B145" s="11"/>
      <c r="C145" s="10"/>
      <c r="D145" s="10"/>
      <c r="E145" s="10"/>
      <c r="F145" s="10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10"/>
      <c r="B146" s="11"/>
      <c r="C146" s="10"/>
      <c r="D146" s="10"/>
      <c r="E146" s="10"/>
      <c r="F146" s="10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10"/>
      <c r="B147" s="11"/>
      <c r="C147" s="10"/>
      <c r="D147" s="10"/>
      <c r="E147" s="10"/>
      <c r="F147" s="10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10"/>
      <c r="B148" s="11"/>
      <c r="C148" s="10"/>
      <c r="D148" s="10"/>
      <c r="E148" s="10"/>
      <c r="F148" s="10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10"/>
      <c r="B149" s="11"/>
      <c r="C149" s="10"/>
      <c r="D149" s="10"/>
      <c r="E149" s="10"/>
      <c r="F149" s="10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10"/>
      <c r="B150" s="11"/>
      <c r="C150" s="10"/>
      <c r="D150" s="10"/>
      <c r="E150" s="10"/>
      <c r="F150" s="10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10"/>
      <c r="B151" s="11"/>
      <c r="C151" s="10"/>
      <c r="D151" s="10"/>
      <c r="E151" s="10"/>
      <c r="F151" s="10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10"/>
      <c r="B152" s="11"/>
      <c r="C152" s="10"/>
      <c r="D152" s="10"/>
      <c r="E152" s="10"/>
      <c r="F152" s="10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10"/>
      <c r="B153" s="11"/>
      <c r="C153" s="10"/>
      <c r="D153" s="10"/>
      <c r="E153" s="10"/>
      <c r="F153" s="10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10"/>
      <c r="B154" s="11"/>
      <c r="C154" s="10"/>
      <c r="D154" s="10"/>
      <c r="E154" s="10"/>
      <c r="F154" s="10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10"/>
      <c r="B155" s="11"/>
      <c r="C155" s="10"/>
      <c r="D155" s="10"/>
      <c r="E155" s="10"/>
      <c r="F155" s="10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10"/>
      <c r="B156" s="11"/>
      <c r="C156" s="10"/>
      <c r="D156" s="10"/>
      <c r="E156" s="10"/>
      <c r="F156" s="10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10"/>
      <c r="B157" s="11"/>
      <c r="C157" s="10"/>
      <c r="D157" s="10"/>
      <c r="E157" s="10"/>
      <c r="F157" s="10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10"/>
      <c r="B158" s="11"/>
      <c r="C158" s="10"/>
      <c r="D158" s="10"/>
      <c r="E158" s="10"/>
      <c r="F158" s="10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10"/>
      <c r="B159" s="11"/>
      <c r="C159" s="10"/>
      <c r="D159" s="10"/>
      <c r="E159" s="10"/>
      <c r="F159" s="10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10"/>
      <c r="B160" s="11"/>
      <c r="C160" s="10"/>
      <c r="D160" s="10"/>
      <c r="E160" s="10"/>
      <c r="F160" s="10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10"/>
      <c r="B161" s="11"/>
      <c r="C161" s="10"/>
      <c r="D161" s="10"/>
      <c r="E161" s="10"/>
      <c r="F161" s="10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10"/>
      <c r="B162" s="11"/>
      <c r="C162" s="10"/>
      <c r="D162" s="10"/>
      <c r="E162" s="10"/>
      <c r="F162" s="10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10"/>
      <c r="B163" s="11"/>
      <c r="C163" s="10"/>
      <c r="D163" s="10"/>
      <c r="E163" s="10"/>
      <c r="F163" s="10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10"/>
      <c r="B164" s="11"/>
      <c r="C164" s="10"/>
      <c r="D164" s="10"/>
      <c r="E164" s="10"/>
      <c r="F164" s="10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10"/>
      <c r="B165" s="11"/>
      <c r="C165" s="10"/>
      <c r="D165" s="10"/>
      <c r="E165" s="10"/>
      <c r="F165" s="10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10"/>
      <c r="B166" s="11"/>
      <c r="C166" s="10"/>
      <c r="D166" s="10"/>
      <c r="E166" s="10"/>
      <c r="F166" s="10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10"/>
      <c r="B167" s="11"/>
      <c r="C167" s="10"/>
      <c r="D167" s="10"/>
      <c r="E167" s="10"/>
      <c r="F167" s="10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10"/>
      <c r="B168" s="11"/>
      <c r="C168" s="10"/>
      <c r="D168" s="10"/>
      <c r="E168" s="10"/>
      <c r="F168" s="10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10"/>
      <c r="B169" s="11"/>
      <c r="C169" s="10"/>
      <c r="D169" s="10"/>
      <c r="E169" s="10"/>
      <c r="F169" s="10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10"/>
      <c r="B170" s="11"/>
      <c r="C170" s="10"/>
      <c r="D170" s="10"/>
      <c r="E170" s="10"/>
      <c r="F170" s="10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10"/>
      <c r="B171" s="11"/>
      <c r="C171" s="10"/>
      <c r="D171" s="10"/>
      <c r="E171" s="10"/>
      <c r="F171" s="10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10"/>
      <c r="B172" s="11"/>
      <c r="C172" s="10"/>
      <c r="D172" s="10"/>
      <c r="E172" s="10"/>
      <c r="F172" s="10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10"/>
      <c r="B173" s="11"/>
      <c r="C173" s="10"/>
      <c r="D173" s="10"/>
      <c r="E173" s="10"/>
      <c r="F173" s="10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10"/>
      <c r="B174" s="11"/>
      <c r="C174" s="10"/>
      <c r="D174" s="10"/>
      <c r="E174" s="10"/>
      <c r="F174" s="10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10"/>
      <c r="B175" s="11"/>
      <c r="C175" s="10"/>
      <c r="D175" s="10"/>
      <c r="E175" s="10"/>
      <c r="F175" s="10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10"/>
      <c r="B176" s="11"/>
      <c r="C176" s="10"/>
      <c r="D176" s="10"/>
      <c r="E176" s="10"/>
      <c r="F176" s="10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10"/>
      <c r="B177" s="11"/>
      <c r="C177" s="10"/>
      <c r="D177" s="10"/>
      <c r="E177" s="10"/>
      <c r="F177" s="10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10"/>
      <c r="B178" s="11"/>
      <c r="C178" s="10"/>
      <c r="D178" s="10"/>
      <c r="E178" s="10"/>
      <c r="F178" s="10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10"/>
      <c r="B179" s="11"/>
      <c r="C179" s="10"/>
      <c r="D179" s="10"/>
      <c r="E179" s="10"/>
      <c r="F179" s="10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10"/>
      <c r="B180" s="11"/>
      <c r="C180" s="10"/>
      <c r="D180" s="10"/>
      <c r="E180" s="10"/>
      <c r="F180" s="10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10"/>
      <c r="B181" s="11"/>
      <c r="C181" s="10"/>
      <c r="D181" s="10"/>
      <c r="E181" s="10"/>
      <c r="F181" s="10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10"/>
      <c r="B182" s="11"/>
      <c r="C182" s="10"/>
      <c r="D182" s="10"/>
      <c r="E182" s="10"/>
      <c r="F182" s="10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10"/>
      <c r="B183" s="11"/>
      <c r="C183" s="10"/>
      <c r="D183" s="10"/>
      <c r="E183" s="10"/>
      <c r="F183" s="10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10"/>
      <c r="B184" s="11"/>
      <c r="C184" s="10"/>
      <c r="D184" s="10"/>
      <c r="E184" s="10"/>
      <c r="F184" s="10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10"/>
      <c r="B185" s="11"/>
      <c r="C185" s="10"/>
      <c r="D185" s="10"/>
      <c r="E185" s="10"/>
      <c r="F185" s="10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10"/>
      <c r="B186" s="11"/>
      <c r="C186" s="10"/>
      <c r="D186" s="10"/>
      <c r="E186" s="10"/>
      <c r="F186" s="10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10"/>
      <c r="B187" s="11"/>
      <c r="C187" s="10"/>
      <c r="D187" s="10"/>
      <c r="E187" s="10"/>
      <c r="F187" s="10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10"/>
      <c r="B188" s="11"/>
      <c r="C188" s="10"/>
      <c r="D188" s="10"/>
      <c r="E188" s="10"/>
      <c r="F188" s="10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10"/>
      <c r="B189" s="11"/>
      <c r="C189" s="10"/>
      <c r="D189" s="10"/>
      <c r="E189" s="10"/>
      <c r="F189" s="10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10"/>
      <c r="B190" s="11"/>
      <c r="C190" s="10"/>
      <c r="D190" s="10"/>
      <c r="E190" s="10"/>
      <c r="F190" s="10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10"/>
      <c r="B191" s="11"/>
      <c r="C191" s="10"/>
      <c r="D191" s="10"/>
      <c r="E191" s="10"/>
      <c r="F191" s="10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10"/>
      <c r="B192" s="11"/>
      <c r="C192" s="10"/>
      <c r="D192" s="10"/>
      <c r="E192" s="10"/>
      <c r="F192" s="10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10"/>
      <c r="B193" s="11"/>
      <c r="C193" s="10"/>
      <c r="D193" s="10"/>
      <c r="E193" s="10"/>
      <c r="F193" s="10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10"/>
      <c r="B194" s="11"/>
      <c r="C194" s="10"/>
      <c r="D194" s="10"/>
      <c r="E194" s="10"/>
      <c r="F194" s="10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10"/>
      <c r="B195" s="11"/>
      <c r="C195" s="10"/>
      <c r="D195" s="10"/>
      <c r="E195" s="10"/>
      <c r="F195" s="10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10"/>
      <c r="B196" s="11"/>
      <c r="C196" s="10"/>
      <c r="D196" s="10"/>
      <c r="E196" s="10"/>
      <c r="F196" s="10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10"/>
      <c r="B197" s="11"/>
      <c r="C197" s="10"/>
      <c r="D197" s="10"/>
      <c r="E197" s="10"/>
      <c r="F197" s="10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10"/>
      <c r="B198" s="11"/>
      <c r="C198" s="10"/>
      <c r="D198" s="10"/>
      <c r="E198" s="10"/>
      <c r="F198" s="10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10"/>
      <c r="B199" s="11"/>
      <c r="C199" s="10"/>
      <c r="D199" s="10"/>
      <c r="E199" s="10"/>
      <c r="F199" s="10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10"/>
      <c r="B200" s="11"/>
      <c r="C200" s="10"/>
      <c r="D200" s="10"/>
      <c r="E200" s="10"/>
      <c r="F200" s="10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10"/>
      <c r="B201" s="11"/>
      <c r="C201" s="10"/>
      <c r="D201" s="10"/>
      <c r="E201" s="10"/>
      <c r="F201" s="10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10"/>
      <c r="B202" s="11"/>
      <c r="C202" s="10"/>
      <c r="D202" s="10"/>
      <c r="E202" s="10"/>
      <c r="F202" s="10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10"/>
      <c r="B203" s="11"/>
      <c r="C203" s="10"/>
      <c r="D203" s="10"/>
      <c r="E203" s="10"/>
      <c r="F203" s="10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10"/>
      <c r="B204" s="11"/>
      <c r="C204" s="10"/>
      <c r="D204" s="10"/>
      <c r="E204" s="10"/>
      <c r="F204" s="10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mergeCells count="1">
    <mergeCell ref="A1:I1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4.0"/>
    <col customWidth="1" min="2" max="2" width="16.0"/>
    <col customWidth="1" min="3" max="3" width="14.0"/>
    <col customWidth="1" min="4" max="4" width="16.0"/>
    <col customWidth="1" min="5" max="5" width="22.14"/>
    <col customWidth="1" min="6" max="7" width="16.0"/>
    <col customWidth="1" min="8" max="10" width="20.0"/>
  </cols>
  <sheetData>
    <row r="1" ht="37.5" customHeight="1">
      <c r="A1" s="12" t="s">
        <v>8</v>
      </c>
      <c r="B1" s="13"/>
      <c r="C1" s="13"/>
      <c r="D1" s="13"/>
      <c r="E1" s="13"/>
      <c r="F1" s="13"/>
      <c r="G1" s="13"/>
      <c r="H1" s="13"/>
      <c r="I1" s="13"/>
      <c r="J1" s="1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3.5" customHeight="1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5" t="s">
        <v>9</v>
      </c>
      <c r="B4" s="5" t="s">
        <v>10</v>
      </c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/>
      <c r="I4" s="5" t="s">
        <v>16</v>
      </c>
      <c r="J4" s="5" t="s">
        <v>6</v>
      </c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5.5" customHeight="1">
      <c r="A5" s="6" t="s">
        <v>17</v>
      </c>
      <c r="B5" s="15" t="s">
        <v>18</v>
      </c>
      <c r="C5" s="6"/>
      <c r="D5" s="6" t="s">
        <v>19</v>
      </c>
      <c r="E5" s="6" t="s">
        <v>20</v>
      </c>
      <c r="F5" s="7">
        <v>850.0</v>
      </c>
      <c r="G5" s="16">
        <f>IFERROR(SUMIFS(Transactions!$F$7:$F$996,Transactions!$G$7:$G$996,A5,Transactions!$D$7:$D$996,"Expense"),0)</f>
        <v>0</v>
      </c>
      <c r="H5" s="6"/>
      <c r="I5" s="17" t="s">
        <v>21</v>
      </c>
      <c r="J5" s="6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5.5" customHeight="1">
      <c r="A6" s="6" t="s">
        <v>22</v>
      </c>
      <c r="B6" s="15" t="s">
        <v>18</v>
      </c>
      <c r="C6" s="6"/>
      <c r="D6" s="6" t="s">
        <v>19</v>
      </c>
      <c r="E6" s="6" t="s">
        <v>20</v>
      </c>
      <c r="F6" s="7">
        <v>69.0</v>
      </c>
      <c r="G6" s="16">
        <f>IFERROR(SUMIFS(Transactions!$F$7:$F$996,Transactions!$G$7:$G$996,A6,Transactions!$D$7:$D$996,"Expense"),0)</f>
        <v>69</v>
      </c>
      <c r="H6" s="6"/>
      <c r="I6" s="17" t="s">
        <v>21</v>
      </c>
      <c r="J6" s="6" t="s">
        <v>23</v>
      </c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21.75" customHeight="1">
      <c r="A7" s="6" t="s">
        <v>24</v>
      </c>
      <c r="B7" s="15" t="s">
        <v>25</v>
      </c>
      <c r="C7" s="6"/>
      <c r="D7" s="6" t="s">
        <v>26</v>
      </c>
      <c r="E7" s="6" t="s">
        <v>27</v>
      </c>
      <c r="F7" s="7">
        <v>1310.0</v>
      </c>
      <c r="G7" s="16">
        <v>1310.0</v>
      </c>
      <c r="H7" s="6"/>
      <c r="I7" s="6" t="s">
        <v>21</v>
      </c>
      <c r="J7" s="6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9.5" customHeight="1">
      <c r="A8" s="6" t="s">
        <v>28</v>
      </c>
      <c r="B8" s="15" t="s">
        <v>29</v>
      </c>
      <c r="C8" s="6"/>
      <c r="D8" s="6" t="s">
        <v>26</v>
      </c>
      <c r="E8" s="6" t="s">
        <v>30</v>
      </c>
      <c r="F8" s="7">
        <v>1050.0</v>
      </c>
      <c r="G8" s="16">
        <v>1050.0</v>
      </c>
      <c r="H8" s="6"/>
      <c r="I8" s="6" t="s">
        <v>21</v>
      </c>
      <c r="J8" s="6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9.5" customHeight="1">
      <c r="A9" s="6" t="s">
        <v>31</v>
      </c>
      <c r="B9" s="15"/>
      <c r="C9" s="6"/>
      <c r="D9" s="6" t="s">
        <v>32</v>
      </c>
      <c r="E9" s="6" t="s">
        <v>33</v>
      </c>
      <c r="F9" s="7">
        <v>0.0</v>
      </c>
      <c r="G9" s="16">
        <v>-123.0</v>
      </c>
      <c r="H9" s="6"/>
      <c r="I9" s="6"/>
      <c r="J9" s="6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9.5" customHeight="1">
      <c r="A10" s="6" t="s">
        <v>34</v>
      </c>
      <c r="B10" s="15">
        <v>45706.0</v>
      </c>
      <c r="C10" s="6"/>
      <c r="D10" s="6" t="s">
        <v>32</v>
      </c>
      <c r="E10" s="6" t="s">
        <v>33</v>
      </c>
      <c r="F10" s="7">
        <v>0.0</v>
      </c>
      <c r="G10" s="16">
        <v>-956.0</v>
      </c>
      <c r="H10" s="6"/>
      <c r="I10" s="6"/>
      <c r="J10" s="6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9.5" customHeight="1">
      <c r="A11" s="6" t="s">
        <v>35</v>
      </c>
      <c r="B11" s="15">
        <v>45706.0</v>
      </c>
      <c r="C11" s="6"/>
      <c r="D11" s="6" t="s">
        <v>32</v>
      </c>
      <c r="E11" s="6" t="s">
        <v>36</v>
      </c>
      <c r="F11" s="7">
        <v>0.0</v>
      </c>
      <c r="G11" s="16">
        <v>1030.0</v>
      </c>
      <c r="H11" s="6"/>
      <c r="I11" s="6"/>
      <c r="J11" s="6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9.5" customHeight="1">
      <c r="A12" s="6" t="s">
        <v>37</v>
      </c>
      <c r="B12" s="15"/>
      <c r="C12" s="6"/>
      <c r="D12" s="6" t="s">
        <v>38</v>
      </c>
      <c r="E12" s="6" t="s">
        <v>39</v>
      </c>
      <c r="F12" s="7">
        <v>600.0</v>
      </c>
      <c r="G12" s="16">
        <f>IFERROR(SUMIFS(Transactions!$F$7:$F$996,Transactions!$G$7:$G$996,A12,Transactions!$D$7:$D$996,"Expense"),0)</f>
        <v>0</v>
      </c>
      <c r="H12" s="6"/>
      <c r="I12" s="6" t="s">
        <v>21</v>
      </c>
      <c r="J12" s="6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9.5" customHeight="1">
      <c r="A13" s="10"/>
      <c r="B13" s="18"/>
      <c r="C13" s="10"/>
      <c r="D13" s="10"/>
      <c r="E13" s="10"/>
      <c r="F13" s="11"/>
      <c r="G13" s="19">
        <f>IFERROR(SUMIFS(Transactions!$F$7:$F$996,Transactions!$G$7:$G$996,A13,Transactions!$D$7:$D$996,"Expense"),0)</f>
        <v>0</v>
      </c>
      <c r="H13" s="10"/>
      <c r="I13" s="10"/>
      <c r="J13" s="10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9.5" customHeight="1">
      <c r="A14" s="10"/>
      <c r="B14" s="18"/>
      <c r="C14" s="10"/>
      <c r="D14" s="10"/>
      <c r="E14" s="10"/>
      <c r="F14" s="11"/>
      <c r="G14" s="19">
        <f>IFERROR(SUMIFS(Transactions!$F$7:$F$996,Transactions!$G$7:$G$996,A14,Transactions!$D$7:$D$996,"Expense"),0)</f>
        <v>0</v>
      </c>
      <c r="H14" s="10"/>
      <c r="I14" s="10"/>
      <c r="J14" s="10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9.5" customHeight="1">
      <c r="A15" s="10"/>
      <c r="B15" s="18"/>
      <c r="C15" s="10"/>
      <c r="D15" s="10"/>
      <c r="E15" s="10"/>
      <c r="F15" s="11"/>
      <c r="G15" s="19">
        <f>IFERROR(SUMIFS(Transactions!$F$7:$F$996,Transactions!$G$7:$G$996,A15,Transactions!$D$7:$D$996,"Expense"),0)</f>
        <v>0</v>
      </c>
      <c r="H15" s="10"/>
      <c r="I15" s="10"/>
      <c r="J15" s="10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9.5" customHeight="1">
      <c r="A16" s="10"/>
      <c r="B16" s="18"/>
      <c r="C16" s="10"/>
      <c r="D16" s="10"/>
      <c r="E16" s="10"/>
      <c r="F16" s="11"/>
      <c r="G16" s="19">
        <f>IFERROR(SUMIFS(Transactions!$F$7:$F$996,Transactions!$G$7:$G$996,A16,Transactions!$D$7:$D$996,"Expense"),0)</f>
        <v>0</v>
      </c>
      <c r="H16" s="10"/>
      <c r="I16" s="10"/>
      <c r="J16" s="10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9.5" customHeight="1">
      <c r="A17" s="10"/>
      <c r="B17" s="18"/>
      <c r="C17" s="10"/>
      <c r="D17" s="10"/>
      <c r="E17" s="10"/>
      <c r="F17" s="11"/>
      <c r="G17" s="19">
        <f>IFERROR(SUMIFS(Transactions!$F$7:$F$996,Transactions!$G$7:$G$996,A17,Transactions!$D$7:$D$996,"Expense"),0)</f>
        <v>0</v>
      </c>
      <c r="H17" s="10"/>
      <c r="I17" s="10"/>
      <c r="J17" s="10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9.5" customHeight="1">
      <c r="A18" s="10"/>
      <c r="B18" s="18"/>
      <c r="C18" s="10"/>
      <c r="D18" s="10"/>
      <c r="E18" s="10"/>
      <c r="F18" s="11"/>
      <c r="G18" s="19">
        <f>IFERROR(SUMIFS(Transactions!$F$7:$F$996,Transactions!$G$7:$G$996,A18,Transactions!$D$7:$D$996,"Expense"),0)</f>
        <v>0</v>
      </c>
      <c r="H18" s="10"/>
      <c r="I18" s="10"/>
      <c r="J18" s="10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9.5" customHeight="1">
      <c r="A19" s="10"/>
      <c r="B19" s="18"/>
      <c r="C19" s="10"/>
      <c r="D19" s="10"/>
      <c r="E19" s="10"/>
      <c r="F19" s="11"/>
      <c r="G19" s="19">
        <f>IFERROR(SUMIFS(Transactions!$F$7:$F$996,Transactions!$G$7:$G$996,A19,Transactions!$D$7:$D$996,"Expense"),0)</f>
        <v>0</v>
      </c>
      <c r="H19" s="10"/>
      <c r="I19" s="10"/>
      <c r="J19" s="10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9.5" customHeight="1">
      <c r="A20" s="10"/>
      <c r="B20" s="18"/>
      <c r="C20" s="10"/>
      <c r="D20" s="10"/>
      <c r="E20" s="10"/>
      <c r="F20" s="11"/>
      <c r="G20" s="19">
        <f>IFERROR(SUMIFS(Transactions!$F$7:$F$996,Transactions!$G$7:$G$996,A20,Transactions!$D$7:$D$996,"Expense"),0)</f>
        <v>0</v>
      </c>
      <c r="H20" s="10"/>
      <c r="I20" s="10"/>
      <c r="J20" s="10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9.5" customHeight="1">
      <c r="A21" s="10"/>
      <c r="B21" s="18"/>
      <c r="C21" s="10"/>
      <c r="D21" s="10"/>
      <c r="E21" s="10"/>
      <c r="F21" s="11"/>
      <c r="G21" s="19">
        <f>IFERROR(SUMIFS(Transactions!$F$7:$F$996,Transactions!$G$7:$G$996,A21,Transactions!$D$7:$D$996,"Expense"),0)</f>
        <v>0</v>
      </c>
      <c r="H21" s="10"/>
      <c r="I21" s="10"/>
      <c r="J21" s="10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9.5" customHeight="1">
      <c r="A22" s="10"/>
      <c r="B22" s="18"/>
      <c r="C22" s="10"/>
      <c r="D22" s="10"/>
      <c r="E22" s="10"/>
      <c r="F22" s="11"/>
      <c r="G22" s="19">
        <f>IFERROR(SUMIFS(Transactions!$F$7:$F$996,Transactions!$G$7:$G$996,A22,Transactions!$D$7:$D$996,"Expense"),0)</f>
        <v>0</v>
      </c>
      <c r="H22" s="10"/>
      <c r="I22" s="10"/>
      <c r="J22" s="10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9.5" customHeight="1">
      <c r="A23" s="10"/>
      <c r="B23" s="18"/>
      <c r="C23" s="10"/>
      <c r="D23" s="10"/>
      <c r="E23" s="10"/>
      <c r="F23" s="11"/>
      <c r="G23" s="19">
        <f>IFERROR(SUMIFS(Transactions!$F$7:$F$996,Transactions!$G$7:$G$996,A23,Transactions!$D$7:$D$996,"Expense"),0)</f>
        <v>0</v>
      </c>
      <c r="H23" s="10"/>
      <c r="I23" s="10"/>
      <c r="J23" s="10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9.5" customHeight="1">
      <c r="A24" s="10"/>
      <c r="B24" s="18"/>
      <c r="C24" s="10"/>
      <c r="D24" s="10"/>
      <c r="E24" s="10"/>
      <c r="F24" s="11"/>
      <c r="G24" s="19">
        <f>IFERROR(SUMIFS(Transactions!$F$7:$F$996,Transactions!$G$7:$G$996,A24,Transactions!$D$7:$D$996,"Expense"),0)</f>
        <v>0</v>
      </c>
      <c r="H24" s="10"/>
      <c r="I24" s="10"/>
      <c r="J24" s="10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9.5" customHeight="1">
      <c r="A25" s="10"/>
      <c r="B25" s="18"/>
      <c r="C25" s="10"/>
      <c r="D25" s="10"/>
      <c r="E25" s="10"/>
      <c r="F25" s="11"/>
      <c r="G25" s="19">
        <f>IFERROR(SUMIFS(Transactions!$F$7:$F$996,Transactions!$G$7:$G$996,A25,Transactions!$D$7:$D$996,"Expense"),0)</f>
        <v>0</v>
      </c>
      <c r="H25" s="10"/>
      <c r="I25" s="10"/>
      <c r="J25" s="10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9.5" customHeight="1">
      <c r="A26" s="10"/>
      <c r="B26" s="18"/>
      <c r="C26" s="10"/>
      <c r="D26" s="10"/>
      <c r="E26" s="10"/>
      <c r="F26" s="11"/>
      <c r="G26" s="19">
        <f>IFERROR(SUMIFS(Transactions!$F$7:$F$996,Transactions!$G$7:$G$996,A26,Transactions!$D$7:$D$996,"Expense"),0)</f>
        <v>0</v>
      </c>
      <c r="H26" s="10"/>
      <c r="I26" s="10"/>
      <c r="J26" s="10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10"/>
      <c r="B27" s="18"/>
      <c r="C27" s="10"/>
      <c r="D27" s="10"/>
      <c r="E27" s="10"/>
      <c r="F27" s="11"/>
      <c r="G27" s="19">
        <f>IFERROR(SUMIFS(Transactions!$F$7:$F$996,Transactions!$G$7:$G$996,A27,Transactions!$D$7:$D$996,"Expense"),0)</f>
        <v>0</v>
      </c>
      <c r="H27" s="10"/>
      <c r="I27" s="10"/>
      <c r="J27" s="10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10"/>
      <c r="B28" s="18"/>
      <c r="C28" s="10"/>
      <c r="D28" s="10"/>
      <c r="E28" s="10"/>
      <c r="F28" s="11"/>
      <c r="G28" s="19">
        <f>IFERROR(SUMIFS(Transactions!$F$7:$F$996,Transactions!$G$7:$G$996,A28,Transactions!$D$7:$D$996,"Expense"),0)</f>
        <v>0</v>
      </c>
      <c r="H28" s="10"/>
      <c r="I28" s="10"/>
      <c r="J28" s="10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10"/>
      <c r="B29" s="18"/>
      <c r="C29" s="10"/>
      <c r="D29" s="10"/>
      <c r="E29" s="10"/>
      <c r="F29" s="11"/>
      <c r="G29" s="19">
        <f>IFERROR(SUMIFS(Transactions!$F$7:$F$996,Transactions!$G$7:$G$996,A29,Transactions!$D$7:$D$996,"Expense"),0)</f>
        <v>0</v>
      </c>
      <c r="H29" s="10"/>
      <c r="I29" s="10"/>
      <c r="J29" s="10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10"/>
      <c r="B30" s="18"/>
      <c r="C30" s="10"/>
      <c r="D30" s="10"/>
      <c r="E30" s="10"/>
      <c r="F30" s="11"/>
      <c r="G30" s="19">
        <f>IFERROR(SUMIFS(Transactions!$F$7:$F$996,Transactions!$G$7:$G$996,A30,Transactions!$D$7:$D$996,"Expense"),0)</f>
        <v>0</v>
      </c>
      <c r="H30" s="10"/>
      <c r="I30" s="10"/>
      <c r="J30" s="10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10"/>
      <c r="B31" s="18"/>
      <c r="C31" s="10"/>
      <c r="D31" s="10"/>
      <c r="E31" s="10"/>
      <c r="F31" s="11"/>
      <c r="G31" s="19">
        <f>IFERROR(SUMIFS(Transactions!$F$7:$F$996,Transactions!$G$7:$G$996,A31,Transactions!$D$7:$D$996,"Expense"),0)</f>
        <v>0</v>
      </c>
      <c r="H31" s="10"/>
      <c r="I31" s="10"/>
      <c r="J31" s="10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10"/>
      <c r="B32" s="18"/>
      <c r="C32" s="10"/>
      <c r="D32" s="10"/>
      <c r="E32" s="10"/>
      <c r="F32" s="11"/>
      <c r="G32" s="19">
        <f>IFERROR(SUMIFS(Transactions!$F$7:$F$996,Transactions!$G$7:$G$996,A32,Transactions!$D$7:$D$996,"Expense"),0)</f>
        <v>0</v>
      </c>
      <c r="H32" s="10"/>
      <c r="I32" s="10"/>
      <c r="J32" s="10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10"/>
      <c r="B33" s="18"/>
      <c r="C33" s="10"/>
      <c r="D33" s="10"/>
      <c r="E33" s="10"/>
      <c r="F33" s="11"/>
      <c r="G33" s="19">
        <f>IFERROR(SUMIFS(Transactions!$F$7:$F$996,Transactions!$G$7:$G$996,A33,Transactions!$D$7:$D$996,"Expense"),0)</f>
        <v>0</v>
      </c>
      <c r="H33" s="10"/>
      <c r="I33" s="10"/>
      <c r="J33" s="10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10"/>
      <c r="B34" s="18"/>
      <c r="C34" s="10"/>
      <c r="D34" s="10"/>
      <c r="E34" s="10"/>
      <c r="F34" s="11"/>
      <c r="G34" s="19">
        <f>IFERROR(SUMIFS(Transactions!$F$7:$F$996,Transactions!$G$7:$G$996,A34,Transactions!$D$7:$D$996,"Expense"),0)</f>
        <v>0</v>
      </c>
      <c r="H34" s="10"/>
      <c r="I34" s="10"/>
      <c r="J34" s="10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10"/>
      <c r="B35" s="18"/>
      <c r="C35" s="10"/>
      <c r="D35" s="10"/>
      <c r="E35" s="10"/>
      <c r="F35" s="11"/>
      <c r="G35" s="19">
        <f>IFERROR(SUMIFS(Transactions!$F$7:$F$996,Transactions!$G$7:$G$996,A35,Transactions!$D$7:$D$996,"Expense"),0)</f>
        <v>0</v>
      </c>
      <c r="H35" s="10"/>
      <c r="I35" s="10"/>
      <c r="J35" s="10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10"/>
      <c r="B36" s="18"/>
      <c r="C36" s="10"/>
      <c r="D36" s="10"/>
      <c r="E36" s="10"/>
      <c r="F36" s="11"/>
      <c r="G36" s="19">
        <f>IFERROR(SUMIFS(Transactions!$F$7:$F$996,Transactions!$G$7:$G$996,A36,Transactions!$D$7:$D$996,"Expense"),0)</f>
        <v>0</v>
      </c>
      <c r="H36" s="10"/>
      <c r="I36" s="10"/>
      <c r="J36" s="10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10"/>
      <c r="B37" s="18"/>
      <c r="C37" s="10"/>
      <c r="D37" s="10"/>
      <c r="E37" s="10"/>
      <c r="F37" s="11"/>
      <c r="G37" s="19">
        <f>IFERROR(SUMIFS(Transactions!$F$7:$F$996,Transactions!$G$7:$G$996,A37,Transactions!$D$7:$D$996,"Expense"),0)</f>
        <v>0</v>
      </c>
      <c r="H37" s="10"/>
      <c r="I37" s="10"/>
      <c r="J37" s="10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10"/>
      <c r="B38" s="18"/>
      <c r="C38" s="10"/>
      <c r="D38" s="10"/>
      <c r="E38" s="10"/>
      <c r="F38" s="11"/>
      <c r="G38" s="19">
        <f>IFERROR(SUMIFS(Transactions!$F$7:$F$996,Transactions!$G$7:$G$996,A38,Transactions!$D$7:$D$996,"Expense"),0)</f>
        <v>0</v>
      </c>
      <c r="H38" s="10"/>
      <c r="I38" s="10"/>
      <c r="J38" s="10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10"/>
      <c r="B39" s="18"/>
      <c r="C39" s="10"/>
      <c r="D39" s="10"/>
      <c r="E39" s="10"/>
      <c r="F39" s="11"/>
      <c r="G39" s="19">
        <f>IFERROR(SUMIFS(Transactions!$F$7:$F$996,Transactions!$G$7:$G$996,A39,Transactions!$D$7:$D$996,"Expense"),0)</f>
        <v>0</v>
      </c>
      <c r="H39" s="10"/>
      <c r="I39" s="10"/>
      <c r="J39" s="10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10"/>
      <c r="B40" s="18"/>
      <c r="C40" s="10"/>
      <c r="D40" s="10"/>
      <c r="E40" s="10"/>
      <c r="F40" s="11"/>
      <c r="G40" s="19">
        <f>IFERROR(SUMIFS(Transactions!$F$7:$F$996,Transactions!$G$7:$G$996,A40,Transactions!$D$7:$D$996,"Expense"),0)</f>
        <v>0</v>
      </c>
      <c r="H40" s="10"/>
      <c r="I40" s="10"/>
      <c r="J40" s="10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10"/>
      <c r="B41" s="18"/>
      <c r="C41" s="10"/>
      <c r="D41" s="10"/>
      <c r="E41" s="10"/>
      <c r="F41" s="11"/>
      <c r="G41" s="19">
        <f>IFERROR(SUMIFS(Transactions!$F$7:$F$996,Transactions!$G$7:$G$996,A41,Transactions!$D$7:$D$996,"Expense"),0)</f>
        <v>0</v>
      </c>
      <c r="H41" s="10"/>
      <c r="I41" s="10"/>
      <c r="J41" s="10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10"/>
      <c r="B42" s="18"/>
      <c r="C42" s="10"/>
      <c r="D42" s="10"/>
      <c r="E42" s="10"/>
      <c r="F42" s="11"/>
      <c r="G42" s="19">
        <f>IFERROR(SUMIFS(Transactions!$F$7:$F$996,Transactions!$G$7:$G$996,A42,Transactions!$D$7:$D$996,"Expense"),0)</f>
        <v>0</v>
      </c>
      <c r="H42" s="10"/>
      <c r="I42" s="10"/>
      <c r="J42" s="10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10"/>
      <c r="B43" s="18"/>
      <c r="C43" s="10"/>
      <c r="D43" s="10"/>
      <c r="E43" s="10"/>
      <c r="F43" s="11"/>
      <c r="G43" s="19">
        <f>IFERROR(SUMIFS(Transactions!$F$7:$F$996,Transactions!$G$7:$G$996,A43,Transactions!$D$7:$D$996,"Expense"),0)</f>
        <v>0</v>
      </c>
      <c r="H43" s="10"/>
      <c r="I43" s="10"/>
      <c r="J43" s="10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10"/>
      <c r="B44" s="18"/>
      <c r="C44" s="10"/>
      <c r="D44" s="10"/>
      <c r="E44" s="10"/>
      <c r="F44" s="11"/>
      <c r="G44" s="19">
        <f>IFERROR(SUMIFS(Transactions!$F$7:$F$996,Transactions!$G$7:$G$996,A44,Transactions!$D$7:$D$996,"Expense"),0)</f>
        <v>0</v>
      </c>
      <c r="H44" s="10"/>
      <c r="I44" s="10"/>
      <c r="J44" s="10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10"/>
      <c r="B45" s="18"/>
      <c r="C45" s="10"/>
      <c r="D45" s="10"/>
      <c r="E45" s="10"/>
      <c r="F45" s="11"/>
      <c r="G45" s="19">
        <f>IFERROR(SUMIFS(Transactions!$F$7:$F$996,Transactions!$G$7:$G$996,A45,Transactions!$D$7:$D$996,"Expense"),0)</f>
        <v>0</v>
      </c>
      <c r="H45" s="10"/>
      <c r="I45" s="10"/>
      <c r="J45" s="10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10"/>
      <c r="B46" s="18"/>
      <c r="C46" s="10"/>
      <c r="D46" s="10"/>
      <c r="E46" s="10"/>
      <c r="F46" s="11"/>
      <c r="G46" s="19">
        <f>IFERROR(SUMIFS(Transactions!$F$7:$F$996,Transactions!$G$7:$G$996,A46,Transactions!$D$7:$D$996,"Expense"),0)</f>
        <v>0</v>
      </c>
      <c r="H46" s="10"/>
      <c r="I46" s="10"/>
      <c r="J46" s="10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10"/>
      <c r="B47" s="18"/>
      <c r="C47" s="10"/>
      <c r="D47" s="10"/>
      <c r="E47" s="10"/>
      <c r="F47" s="11"/>
      <c r="G47" s="19">
        <f>IFERROR(SUMIFS(Transactions!$F$7:$F$996,Transactions!$G$7:$G$996,A47,Transactions!$D$7:$D$996,"Expense"),0)</f>
        <v>0</v>
      </c>
      <c r="H47" s="10"/>
      <c r="I47" s="10"/>
      <c r="J47" s="10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10"/>
      <c r="B48" s="18"/>
      <c r="C48" s="10"/>
      <c r="D48" s="10"/>
      <c r="E48" s="10"/>
      <c r="F48" s="11"/>
      <c r="G48" s="19">
        <f>IFERROR(SUMIFS(Transactions!$F$7:$F$996,Transactions!$G$7:$G$996,A48,Transactions!$D$7:$D$996,"Expense"),0)</f>
        <v>0</v>
      </c>
      <c r="H48" s="10"/>
      <c r="I48" s="10"/>
      <c r="J48" s="10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10"/>
      <c r="B49" s="18"/>
      <c r="C49" s="10"/>
      <c r="D49" s="10"/>
      <c r="E49" s="10"/>
      <c r="F49" s="11"/>
      <c r="G49" s="19">
        <f>IFERROR(SUMIFS(Transactions!$F$7:$F$996,Transactions!$G$7:$G$996,A49,Transactions!$D$7:$D$996,"Expense"),0)</f>
        <v>0</v>
      </c>
      <c r="H49" s="10"/>
      <c r="I49" s="10"/>
      <c r="J49" s="10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10"/>
      <c r="B50" s="18"/>
      <c r="C50" s="10"/>
      <c r="D50" s="10"/>
      <c r="E50" s="10"/>
      <c r="F50" s="11"/>
      <c r="G50" s="19">
        <f>IFERROR(SUMIFS(Transactions!$F$7:$F$996,Transactions!$G$7:$G$996,A50,Transactions!$D$7:$D$996,"Expense"),0)</f>
        <v>0</v>
      </c>
      <c r="H50" s="10"/>
      <c r="I50" s="10"/>
      <c r="J50" s="10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10"/>
      <c r="B51" s="18"/>
      <c r="C51" s="10"/>
      <c r="D51" s="10"/>
      <c r="E51" s="10"/>
      <c r="F51" s="11"/>
      <c r="G51" s="19">
        <f>IFERROR(SUMIFS(Transactions!$F$7:$F$996,Transactions!$G$7:$G$996,A51,Transactions!$D$7:$D$996,"Expense"),0)</f>
        <v>0</v>
      </c>
      <c r="H51" s="10"/>
      <c r="I51" s="10"/>
      <c r="J51" s="10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10"/>
      <c r="B52" s="18"/>
      <c r="C52" s="10"/>
      <c r="D52" s="10"/>
      <c r="E52" s="10"/>
      <c r="F52" s="11"/>
      <c r="G52" s="19">
        <f>IFERROR(SUMIFS(Transactions!$F$7:$F$996,Transactions!$G$7:$G$996,A52,Transactions!$D$7:$D$996,"Expense"),0)</f>
        <v>0</v>
      </c>
      <c r="H52" s="10"/>
      <c r="I52" s="10"/>
      <c r="J52" s="10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10"/>
      <c r="B53" s="18"/>
      <c r="C53" s="10"/>
      <c r="D53" s="10"/>
      <c r="E53" s="10"/>
      <c r="F53" s="11"/>
      <c r="G53" s="19">
        <f>IFERROR(SUMIFS(Transactions!$F$7:$F$996,Transactions!$G$7:$G$996,A53,Transactions!$D$7:$D$996,"Expense"),0)</f>
        <v>0</v>
      </c>
      <c r="H53" s="10"/>
      <c r="I53" s="10"/>
      <c r="J53" s="10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10"/>
      <c r="B54" s="18"/>
      <c r="C54" s="10"/>
      <c r="D54" s="10"/>
      <c r="E54" s="10"/>
      <c r="F54" s="11"/>
      <c r="G54" s="19">
        <f>IFERROR(SUMIFS(Transactions!$F$7:$F$996,Transactions!$G$7:$G$996,A54,Transactions!$D$7:$D$996,"Expense"),0)</f>
        <v>0</v>
      </c>
      <c r="H54" s="10"/>
      <c r="I54" s="10"/>
      <c r="J54" s="10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10"/>
      <c r="B55" s="18"/>
      <c r="C55" s="10"/>
      <c r="D55" s="10"/>
      <c r="E55" s="10"/>
      <c r="F55" s="11"/>
      <c r="G55" s="19">
        <f>IFERROR(SUMIFS(Transactions!$F$7:$F$996,Transactions!$G$7:$G$996,A55,Transactions!$D$7:$D$996,"Expense"),0)</f>
        <v>0</v>
      </c>
      <c r="H55" s="10"/>
      <c r="I55" s="10"/>
      <c r="J55" s="10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10"/>
      <c r="B56" s="18"/>
      <c r="C56" s="10"/>
      <c r="D56" s="10"/>
      <c r="E56" s="10"/>
      <c r="F56" s="11"/>
      <c r="G56" s="19">
        <f>IFERROR(SUMIFS(Transactions!$F$7:$F$996,Transactions!$G$7:$G$996,A56,Transactions!$D$7:$D$996,"Expense"),0)</f>
        <v>0</v>
      </c>
      <c r="H56" s="10"/>
      <c r="I56" s="10"/>
      <c r="J56" s="10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10"/>
      <c r="B57" s="18"/>
      <c r="C57" s="10"/>
      <c r="D57" s="10"/>
      <c r="E57" s="10"/>
      <c r="F57" s="11"/>
      <c r="G57" s="19">
        <f>IFERROR(SUMIFS(Transactions!$F$7:$F$996,Transactions!$G$7:$G$996,A57,Transactions!$D$7:$D$996,"Expense"),0)</f>
        <v>0</v>
      </c>
      <c r="H57" s="10"/>
      <c r="I57" s="10"/>
      <c r="J57" s="10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10"/>
      <c r="B58" s="18"/>
      <c r="C58" s="10"/>
      <c r="D58" s="10"/>
      <c r="E58" s="10"/>
      <c r="F58" s="11"/>
      <c r="G58" s="19">
        <f>IFERROR(SUMIFS(Transactions!$F$7:$F$996,Transactions!$G$7:$G$996,A58,Transactions!$D$7:$D$996,"Expense"),0)</f>
        <v>0</v>
      </c>
      <c r="H58" s="10"/>
      <c r="I58" s="10"/>
      <c r="J58" s="10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10"/>
      <c r="B59" s="18"/>
      <c r="C59" s="10"/>
      <c r="D59" s="10"/>
      <c r="E59" s="10"/>
      <c r="F59" s="11"/>
      <c r="G59" s="19">
        <f>IFERROR(SUMIFS(Transactions!$F$7:$F$996,Transactions!$G$7:$G$996,A59,Transactions!$D$7:$D$996,"Expense"),0)</f>
        <v>0</v>
      </c>
      <c r="H59" s="10"/>
      <c r="I59" s="10"/>
      <c r="J59" s="10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10"/>
      <c r="B60" s="18"/>
      <c r="C60" s="10"/>
      <c r="D60" s="10"/>
      <c r="E60" s="10"/>
      <c r="F60" s="11"/>
      <c r="G60" s="19">
        <f>IFERROR(SUMIFS(Transactions!$F$7:$F$996,Transactions!$G$7:$G$996,A60,Transactions!$D$7:$D$996,"Expense"),0)</f>
        <v>0</v>
      </c>
      <c r="H60" s="10"/>
      <c r="I60" s="10"/>
      <c r="J60" s="10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10"/>
      <c r="B61" s="18"/>
      <c r="C61" s="10"/>
      <c r="D61" s="10"/>
      <c r="E61" s="10"/>
      <c r="F61" s="11"/>
      <c r="G61" s="19">
        <f>IFERROR(SUMIFS(Transactions!$F$7:$F$996,Transactions!$G$7:$G$996,A61,Transactions!$D$7:$D$996,"Expense"),0)</f>
        <v>0</v>
      </c>
      <c r="H61" s="10"/>
      <c r="I61" s="10"/>
      <c r="J61" s="10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10"/>
      <c r="B62" s="18"/>
      <c r="C62" s="10"/>
      <c r="D62" s="10"/>
      <c r="E62" s="10"/>
      <c r="F62" s="11"/>
      <c r="G62" s="19">
        <f>IFERROR(SUMIFS(Transactions!$F$7:$F$996,Transactions!$G$7:$G$996,A62,Transactions!$D$7:$D$996,"Expense"),0)</f>
        <v>0</v>
      </c>
      <c r="H62" s="10"/>
      <c r="I62" s="10"/>
      <c r="J62" s="10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10"/>
      <c r="B63" s="18"/>
      <c r="C63" s="10"/>
      <c r="D63" s="10"/>
      <c r="E63" s="10"/>
      <c r="F63" s="11"/>
      <c r="G63" s="19">
        <f>IFERROR(SUMIFS(Transactions!$F$7:$F$996,Transactions!$G$7:$G$996,A63,Transactions!$D$7:$D$996,"Expense"),0)</f>
        <v>0</v>
      </c>
      <c r="H63" s="10"/>
      <c r="I63" s="10"/>
      <c r="J63" s="10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10"/>
      <c r="B64" s="18"/>
      <c r="C64" s="10"/>
      <c r="D64" s="10"/>
      <c r="E64" s="10"/>
      <c r="F64" s="11"/>
      <c r="G64" s="19">
        <f>IFERROR(SUMIFS(Transactions!$F$7:$F$996,Transactions!$G$7:$G$996,A64,Transactions!$D$7:$D$996,"Expense"),0)</f>
        <v>0</v>
      </c>
      <c r="H64" s="10"/>
      <c r="I64" s="10"/>
      <c r="J64" s="10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10"/>
      <c r="B65" s="18"/>
      <c r="C65" s="10"/>
      <c r="D65" s="10"/>
      <c r="E65" s="10"/>
      <c r="F65" s="11"/>
      <c r="G65" s="19">
        <f>IFERROR(SUMIFS(Transactions!$F$7:$F$996,Transactions!$G$7:$G$996,A65,Transactions!$D$7:$D$996,"Expense"),0)</f>
        <v>0</v>
      </c>
      <c r="H65" s="10"/>
      <c r="I65" s="10"/>
      <c r="J65" s="10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10"/>
      <c r="B66" s="18"/>
      <c r="C66" s="10"/>
      <c r="D66" s="10"/>
      <c r="E66" s="10"/>
      <c r="F66" s="11"/>
      <c r="G66" s="19">
        <f>IFERROR(SUMIFS(Transactions!$F$7:$F$996,Transactions!$G$7:$G$996,A66,Transactions!$D$7:$D$996,"Expense"),0)</f>
        <v>0</v>
      </c>
      <c r="H66" s="10"/>
      <c r="I66" s="10"/>
      <c r="J66" s="10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10"/>
      <c r="B67" s="18"/>
      <c r="C67" s="10"/>
      <c r="D67" s="10"/>
      <c r="E67" s="10"/>
      <c r="F67" s="11"/>
      <c r="G67" s="19">
        <f>IFERROR(SUMIFS(Transactions!$F$7:$F$996,Transactions!$G$7:$G$996,A67,Transactions!$D$7:$D$996,"Expense"),0)</f>
        <v>0</v>
      </c>
      <c r="H67" s="10"/>
      <c r="I67" s="10"/>
      <c r="J67" s="10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10"/>
      <c r="B68" s="18"/>
      <c r="C68" s="10"/>
      <c r="D68" s="10"/>
      <c r="E68" s="10"/>
      <c r="F68" s="11"/>
      <c r="G68" s="19">
        <f>IFERROR(SUMIFS(Transactions!$F$7:$F$996,Transactions!$G$7:$G$996,A68,Transactions!$D$7:$D$996,"Expense"),0)</f>
        <v>0</v>
      </c>
      <c r="H68" s="10"/>
      <c r="I68" s="10"/>
      <c r="J68" s="10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10"/>
      <c r="B69" s="18"/>
      <c r="C69" s="10"/>
      <c r="D69" s="10"/>
      <c r="E69" s="10"/>
      <c r="F69" s="11"/>
      <c r="G69" s="19">
        <f>IFERROR(SUMIFS(Transactions!$F$7:$F$996,Transactions!$G$7:$G$996,A69,Transactions!$D$7:$D$996,"Expense"),0)</f>
        <v>0</v>
      </c>
      <c r="H69" s="10"/>
      <c r="I69" s="10"/>
      <c r="J69" s="10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10"/>
      <c r="B70" s="18"/>
      <c r="C70" s="10"/>
      <c r="D70" s="10"/>
      <c r="E70" s="10"/>
      <c r="F70" s="11"/>
      <c r="G70" s="19">
        <f>IFERROR(SUMIFS(Transactions!$F$7:$F$996,Transactions!$G$7:$G$996,A70,Transactions!$D$7:$D$996,"Expense"),0)</f>
        <v>0</v>
      </c>
      <c r="H70" s="10"/>
      <c r="I70" s="10"/>
      <c r="J70" s="10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10"/>
      <c r="B71" s="18"/>
      <c r="C71" s="10"/>
      <c r="D71" s="10"/>
      <c r="E71" s="10"/>
      <c r="F71" s="11"/>
      <c r="G71" s="19">
        <f>IFERROR(SUMIFS(Transactions!$F$7:$F$996,Transactions!$G$7:$G$996,A71,Transactions!$D$7:$D$996,"Expense"),0)</f>
        <v>0</v>
      </c>
      <c r="H71" s="10"/>
      <c r="I71" s="10"/>
      <c r="J71" s="10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10"/>
      <c r="B72" s="18"/>
      <c r="C72" s="10"/>
      <c r="D72" s="10"/>
      <c r="E72" s="10"/>
      <c r="F72" s="11"/>
      <c r="G72" s="19">
        <f>IFERROR(SUMIFS(Transactions!$F$7:$F$996,Transactions!$G$7:$G$996,A72,Transactions!$D$7:$D$996,"Expense"),0)</f>
        <v>0</v>
      </c>
      <c r="H72" s="10"/>
      <c r="I72" s="10"/>
      <c r="J72" s="10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10"/>
      <c r="B73" s="18"/>
      <c r="C73" s="10"/>
      <c r="D73" s="10"/>
      <c r="E73" s="10"/>
      <c r="F73" s="11"/>
      <c r="G73" s="19">
        <f>IFERROR(SUMIFS(Transactions!$F$7:$F$996,Transactions!$G$7:$G$996,A73,Transactions!$D$7:$D$996,"Expense"),0)</f>
        <v>0</v>
      </c>
      <c r="H73" s="10"/>
      <c r="I73" s="10"/>
      <c r="J73" s="10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10"/>
      <c r="B74" s="18"/>
      <c r="C74" s="10"/>
      <c r="D74" s="10"/>
      <c r="E74" s="10"/>
      <c r="F74" s="11"/>
      <c r="G74" s="19">
        <f>IFERROR(SUMIFS(Transactions!$F$7:$F$996,Transactions!$G$7:$G$996,A74,Transactions!$D$7:$D$996,"Expense"),0)</f>
        <v>0</v>
      </c>
      <c r="H74" s="10"/>
      <c r="I74" s="10"/>
      <c r="J74" s="10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10"/>
      <c r="B75" s="18"/>
      <c r="C75" s="10"/>
      <c r="D75" s="10"/>
      <c r="E75" s="10"/>
      <c r="F75" s="11"/>
      <c r="G75" s="19">
        <f>IFERROR(SUMIFS(Transactions!$F$7:$F$996,Transactions!$G$7:$G$996,A75,Transactions!$D$7:$D$996,"Expense"),0)</f>
        <v>0</v>
      </c>
      <c r="H75" s="10"/>
      <c r="I75" s="10"/>
      <c r="J75" s="10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10"/>
      <c r="B76" s="18"/>
      <c r="C76" s="10"/>
      <c r="D76" s="10"/>
      <c r="E76" s="10"/>
      <c r="F76" s="11"/>
      <c r="G76" s="19">
        <f>IFERROR(SUMIFS(Transactions!$F$7:$F$996,Transactions!$G$7:$G$996,A76,Transactions!$D$7:$D$996,"Expense"),0)</f>
        <v>0</v>
      </c>
      <c r="H76" s="10"/>
      <c r="I76" s="10"/>
      <c r="J76" s="10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10"/>
      <c r="B77" s="18"/>
      <c r="C77" s="10"/>
      <c r="D77" s="10"/>
      <c r="E77" s="10"/>
      <c r="F77" s="11"/>
      <c r="G77" s="19">
        <f>IFERROR(SUMIFS(Transactions!$F$7:$F$996,Transactions!$G$7:$G$996,A77,Transactions!$D$7:$D$996,"Expense"),0)</f>
        <v>0</v>
      </c>
      <c r="H77" s="10"/>
      <c r="I77" s="10"/>
      <c r="J77" s="10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10"/>
      <c r="B78" s="18"/>
      <c r="C78" s="10"/>
      <c r="D78" s="10"/>
      <c r="E78" s="10"/>
      <c r="F78" s="11"/>
      <c r="G78" s="19">
        <f>IFERROR(SUMIFS(Transactions!$F$7:$F$996,Transactions!$G$7:$G$996,A78,Transactions!$D$7:$D$996,"Expense"),0)</f>
        <v>0</v>
      </c>
      <c r="H78" s="10"/>
      <c r="I78" s="10"/>
      <c r="J78" s="10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10"/>
      <c r="B79" s="18"/>
      <c r="C79" s="10"/>
      <c r="D79" s="10"/>
      <c r="E79" s="10"/>
      <c r="F79" s="11"/>
      <c r="G79" s="19">
        <f>IFERROR(SUMIFS(Transactions!$F$7:$F$996,Transactions!$G$7:$G$996,A79,Transactions!$D$7:$D$996,"Expense"),0)</f>
        <v>0</v>
      </c>
      <c r="H79" s="10"/>
      <c r="I79" s="10"/>
      <c r="J79" s="10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10"/>
      <c r="B80" s="18"/>
      <c r="C80" s="10"/>
      <c r="D80" s="10"/>
      <c r="E80" s="10"/>
      <c r="F80" s="11"/>
      <c r="G80" s="19">
        <f>IFERROR(SUMIFS(Transactions!$F$7:$F$996,Transactions!$G$7:$G$996,A80,Transactions!$D$7:$D$996,"Expense"),0)</f>
        <v>0</v>
      </c>
      <c r="H80" s="10"/>
      <c r="I80" s="10"/>
      <c r="J80" s="10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10"/>
      <c r="B81" s="18"/>
      <c r="C81" s="10"/>
      <c r="D81" s="10"/>
      <c r="E81" s="10"/>
      <c r="F81" s="11"/>
      <c r="G81" s="19">
        <f>IFERROR(SUMIFS(Transactions!$F$7:$F$996,Transactions!$G$7:$G$996,A81,Transactions!$D$7:$D$996,"Expense"),0)</f>
        <v>0</v>
      </c>
      <c r="H81" s="10"/>
      <c r="I81" s="10"/>
      <c r="J81" s="10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10"/>
      <c r="B82" s="18"/>
      <c r="C82" s="10"/>
      <c r="D82" s="10"/>
      <c r="E82" s="10"/>
      <c r="F82" s="11"/>
      <c r="G82" s="19">
        <f>IFERROR(SUMIFS(Transactions!$F$7:$F$996,Transactions!$G$7:$G$996,A82,Transactions!$D$7:$D$996,"Expense"),0)</f>
        <v>0</v>
      </c>
      <c r="H82" s="10"/>
      <c r="I82" s="10"/>
      <c r="J82" s="10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10"/>
      <c r="B83" s="18"/>
      <c r="C83" s="10"/>
      <c r="D83" s="10"/>
      <c r="E83" s="10"/>
      <c r="F83" s="11"/>
      <c r="G83" s="19">
        <f>IFERROR(SUMIFS(Transactions!$F$7:$F$996,Transactions!$G$7:$G$996,A83,Transactions!$D$7:$D$996,"Expense"),0)</f>
        <v>0</v>
      </c>
      <c r="H83" s="10"/>
      <c r="I83" s="10"/>
      <c r="J83" s="10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10"/>
      <c r="B84" s="18"/>
      <c r="C84" s="10"/>
      <c r="D84" s="10"/>
      <c r="E84" s="10"/>
      <c r="F84" s="11"/>
      <c r="G84" s="19">
        <f>IFERROR(SUMIFS(Transactions!$F$7:$F$996,Transactions!$G$7:$G$996,A84,Transactions!$D$7:$D$996,"Expense"),0)</f>
        <v>0</v>
      </c>
      <c r="H84" s="10"/>
      <c r="I84" s="10"/>
      <c r="J84" s="10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10"/>
      <c r="B85" s="18"/>
      <c r="C85" s="10"/>
      <c r="D85" s="10"/>
      <c r="E85" s="10"/>
      <c r="F85" s="11"/>
      <c r="G85" s="19">
        <f>IFERROR(SUMIFS(Transactions!$F$7:$F$996,Transactions!$G$7:$G$996,A85,Transactions!$D$7:$D$996,"Expense"),0)</f>
        <v>0</v>
      </c>
      <c r="H85" s="10"/>
      <c r="I85" s="10"/>
      <c r="J85" s="10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10"/>
      <c r="B86" s="18"/>
      <c r="C86" s="10"/>
      <c r="D86" s="10"/>
      <c r="E86" s="10"/>
      <c r="F86" s="11"/>
      <c r="G86" s="19">
        <f>IFERROR(SUMIFS(Transactions!$F$7:$F$996,Transactions!$G$7:$G$996,A86,Transactions!$D$7:$D$996,"Expense"),0)</f>
        <v>0</v>
      </c>
      <c r="H86" s="10"/>
      <c r="I86" s="10"/>
      <c r="J86" s="10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10"/>
      <c r="B87" s="18"/>
      <c r="C87" s="10"/>
      <c r="D87" s="10"/>
      <c r="E87" s="10"/>
      <c r="F87" s="11"/>
      <c r="G87" s="19">
        <f>IFERROR(SUMIFS(Transactions!$F$7:$F$996,Transactions!$G$7:$G$996,A87,Transactions!$D$7:$D$996,"Expense"),0)</f>
        <v>0</v>
      </c>
      <c r="H87" s="10"/>
      <c r="I87" s="10"/>
      <c r="J87" s="10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10"/>
      <c r="B88" s="18"/>
      <c r="C88" s="10"/>
      <c r="D88" s="10"/>
      <c r="E88" s="10"/>
      <c r="F88" s="11"/>
      <c r="G88" s="19">
        <f>IFERROR(SUMIFS(Transactions!$F$7:$F$996,Transactions!$G$7:$G$996,A88,Transactions!$D$7:$D$996,"Expense"),0)</f>
        <v>0</v>
      </c>
      <c r="H88" s="10"/>
      <c r="I88" s="10"/>
      <c r="J88" s="10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10"/>
      <c r="B89" s="18"/>
      <c r="C89" s="10"/>
      <c r="D89" s="10"/>
      <c r="E89" s="10"/>
      <c r="F89" s="11"/>
      <c r="G89" s="19">
        <f>IFERROR(SUMIFS(Transactions!$F$7:$F$996,Transactions!$G$7:$G$996,A89,Transactions!$D$7:$D$996,"Expense"),0)</f>
        <v>0</v>
      </c>
      <c r="H89" s="10"/>
      <c r="I89" s="10"/>
      <c r="J89" s="10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10"/>
      <c r="B90" s="18"/>
      <c r="C90" s="10"/>
      <c r="D90" s="10"/>
      <c r="E90" s="10"/>
      <c r="F90" s="11"/>
      <c r="G90" s="19">
        <f>IFERROR(SUMIFS(Transactions!$F$7:$F$996,Transactions!$G$7:$G$996,A90,Transactions!$D$7:$D$996,"Expense"),0)</f>
        <v>0</v>
      </c>
      <c r="H90" s="10"/>
      <c r="I90" s="10"/>
      <c r="J90" s="10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10"/>
      <c r="B91" s="18"/>
      <c r="C91" s="10"/>
      <c r="D91" s="10"/>
      <c r="E91" s="10"/>
      <c r="F91" s="11"/>
      <c r="G91" s="19">
        <f>IFERROR(SUMIFS(Transactions!$F$7:$F$996,Transactions!$G$7:$G$996,A91,Transactions!$D$7:$D$996,"Expense"),0)</f>
        <v>0</v>
      </c>
      <c r="H91" s="10"/>
      <c r="I91" s="10"/>
      <c r="J91" s="10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10"/>
      <c r="B92" s="18"/>
      <c r="C92" s="10"/>
      <c r="D92" s="10"/>
      <c r="E92" s="10"/>
      <c r="F92" s="11"/>
      <c r="G92" s="19">
        <f>IFERROR(SUMIFS(Transactions!$F$7:$F$996,Transactions!$G$7:$G$996,A92,Transactions!$D$7:$D$996,"Expense"),0)</f>
        <v>0</v>
      </c>
      <c r="H92" s="10"/>
      <c r="I92" s="10"/>
      <c r="J92" s="10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10"/>
      <c r="B93" s="18"/>
      <c r="C93" s="10"/>
      <c r="D93" s="10"/>
      <c r="E93" s="10"/>
      <c r="F93" s="11"/>
      <c r="G93" s="19">
        <f>IFERROR(SUMIFS(Transactions!$F$7:$F$996,Transactions!$G$7:$G$996,A93,Transactions!$D$7:$D$996,"Expense"),0)</f>
        <v>0</v>
      </c>
      <c r="H93" s="10"/>
      <c r="I93" s="10"/>
      <c r="J93" s="10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10"/>
      <c r="B94" s="18"/>
      <c r="C94" s="10"/>
      <c r="D94" s="10"/>
      <c r="E94" s="10"/>
      <c r="F94" s="11"/>
      <c r="G94" s="19">
        <f>IFERROR(SUMIFS(Transactions!$F$7:$F$996,Transactions!$G$7:$G$996,A94,Transactions!$D$7:$D$996,"Expense"),0)</f>
        <v>0</v>
      </c>
      <c r="H94" s="10"/>
      <c r="I94" s="10"/>
      <c r="J94" s="10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10"/>
      <c r="B95" s="18"/>
      <c r="C95" s="10"/>
      <c r="D95" s="10"/>
      <c r="E95" s="10"/>
      <c r="F95" s="11"/>
      <c r="G95" s="19">
        <f>IFERROR(SUMIFS(Transactions!$F$7:$F$996,Transactions!$G$7:$G$996,A95,Transactions!$D$7:$D$996,"Expense"),0)</f>
        <v>0</v>
      </c>
      <c r="H95" s="10"/>
      <c r="I95" s="10"/>
      <c r="J95" s="10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10"/>
      <c r="B96" s="18"/>
      <c r="C96" s="10"/>
      <c r="D96" s="10"/>
      <c r="E96" s="10"/>
      <c r="F96" s="11"/>
      <c r="G96" s="19">
        <f>IFERROR(SUMIFS(Transactions!$F$7:$F$996,Transactions!$G$7:$G$996,A96,Transactions!$D$7:$D$996,"Expense"),0)</f>
        <v>0</v>
      </c>
      <c r="H96" s="10"/>
      <c r="I96" s="10"/>
      <c r="J96" s="10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10"/>
      <c r="B97" s="18"/>
      <c r="C97" s="10"/>
      <c r="D97" s="10"/>
      <c r="E97" s="10"/>
      <c r="F97" s="11"/>
      <c r="G97" s="19">
        <f>IFERROR(SUMIFS(Transactions!$F$7:$F$996,Transactions!$G$7:$G$996,A97,Transactions!$D$7:$D$996,"Expense"),0)</f>
        <v>0</v>
      </c>
      <c r="H97" s="10"/>
      <c r="I97" s="10"/>
      <c r="J97" s="10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10"/>
      <c r="B98" s="18"/>
      <c r="C98" s="10"/>
      <c r="D98" s="10"/>
      <c r="E98" s="10"/>
      <c r="F98" s="11"/>
      <c r="G98" s="19">
        <f>IFERROR(SUMIFS(Transactions!$F$7:$F$996,Transactions!$G$7:$G$996,A98,Transactions!$D$7:$D$996,"Expense"),0)</f>
        <v>0</v>
      </c>
      <c r="H98" s="10"/>
      <c r="I98" s="10"/>
      <c r="J98" s="10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10"/>
      <c r="B99" s="18"/>
      <c r="C99" s="10"/>
      <c r="D99" s="10"/>
      <c r="E99" s="10"/>
      <c r="F99" s="11"/>
      <c r="G99" s="19">
        <f>IFERROR(SUMIFS(Transactions!$F$7:$F$996,Transactions!$G$7:$G$996,A99,Transactions!$D$7:$D$996,"Expense"),0)</f>
        <v>0</v>
      </c>
      <c r="H99" s="10"/>
      <c r="I99" s="10"/>
      <c r="J99" s="10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10"/>
      <c r="B100" s="18"/>
      <c r="C100" s="10"/>
      <c r="D100" s="10"/>
      <c r="E100" s="10"/>
      <c r="F100" s="11"/>
      <c r="G100" s="19">
        <f>IFERROR(SUMIFS(Transactions!$F$7:$F$996,Transactions!$G$7:$G$996,A100,Transactions!$D$7:$D$996,"Expense"),0)</f>
        <v>0</v>
      </c>
      <c r="H100" s="10"/>
      <c r="I100" s="10"/>
      <c r="J100" s="10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10"/>
      <c r="B101" s="18"/>
      <c r="C101" s="10"/>
      <c r="D101" s="10"/>
      <c r="E101" s="10"/>
      <c r="F101" s="11"/>
      <c r="G101" s="19">
        <f>IFERROR(SUMIFS(Transactions!$F$7:$F$996,Transactions!$G$7:$G$996,A101,Transactions!$D$7:$D$996,"Expense"),0)</f>
        <v>0</v>
      </c>
      <c r="H101" s="10"/>
      <c r="I101" s="10"/>
      <c r="J101" s="10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10"/>
      <c r="B102" s="18"/>
      <c r="C102" s="10"/>
      <c r="D102" s="10"/>
      <c r="E102" s="10"/>
      <c r="F102" s="11"/>
      <c r="G102" s="19">
        <f>IFERROR(SUMIFS(Transactions!$F$7:$F$996,Transactions!$G$7:$G$996,A102,Transactions!$D$7:$D$996,"Expense"),0)</f>
        <v>0</v>
      </c>
      <c r="H102" s="10"/>
      <c r="I102" s="10"/>
      <c r="J102" s="10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10"/>
      <c r="B103" s="18"/>
      <c r="C103" s="10"/>
      <c r="D103" s="10"/>
      <c r="E103" s="10"/>
      <c r="F103" s="11"/>
      <c r="G103" s="19">
        <f>IFERROR(SUMIFS(Transactions!$F$7:$F$996,Transactions!$G$7:$G$996,A103,Transactions!$D$7:$D$996,"Expense"),0)</f>
        <v>0</v>
      </c>
      <c r="H103" s="10"/>
      <c r="I103" s="10"/>
      <c r="J103" s="10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10"/>
      <c r="B104" s="18"/>
      <c r="C104" s="10"/>
      <c r="D104" s="10"/>
      <c r="E104" s="10"/>
      <c r="F104" s="11"/>
      <c r="G104" s="19">
        <f>IFERROR(SUMIFS(Transactions!$F$7:$F$996,Transactions!$G$7:$G$996,A104,Transactions!$D$7:$D$996,"Expense"),0)</f>
        <v>0</v>
      </c>
      <c r="H104" s="10"/>
      <c r="I104" s="10"/>
      <c r="J104" s="10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10"/>
      <c r="B105" s="18"/>
      <c r="C105" s="10"/>
      <c r="D105" s="10"/>
      <c r="E105" s="10"/>
      <c r="F105" s="11"/>
      <c r="G105" s="19">
        <f>IFERROR(SUMIFS(Transactions!$F$7:$F$996,Transactions!$G$7:$G$996,A105,Transactions!$D$7:$D$996,"Expense"),0)</f>
        <v>0</v>
      </c>
      <c r="H105" s="10"/>
      <c r="I105" s="10"/>
      <c r="J105" s="10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10"/>
      <c r="B106" s="18"/>
      <c r="C106" s="10"/>
      <c r="D106" s="10"/>
      <c r="E106" s="10"/>
      <c r="F106" s="11"/>
      <c r="G106" s="19">
        <f>IFERROR(SUMIFS(Transactions!$F$7:$F$996,Transactions!$G$7:$G$996,A106,Transactions!$D$7:$D$996,"Expense"),0)</f>
        <v>0</v>
      </c>
      <c r="H106" s="10"/>
      <c r="I106" s="10"/>
      <c r="J106" s="10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10"/>
      <c r="B107" s="18"/>
      <c r="C107" s="10"/>
      <c r="D107" s="10"/>
      <c r="E107" s="10"/>
      <c r="F107" s="11"/>
      <c r="G107" s="19">
        <f>IFERROR(SUMIFS(Transactions!$F$7:$F$996,Transactions!$G$7:$G$996,A107,Transactions!$D$7:$D$996,"Expense"),0)</f>
        <v>0</v>
      </c>
      <c r="H107" s="10"/>
      <c r="I107" s="10"/>
      <c r="J107" s="10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10"/>
      <c r="B108" s="18"/>
      <c r="C108" s="10"/>
      <c r="D108" s="10"/>
      <c r="E108" s="10"/>
      <c r="F108" s="11"/>
      <c r="G108" s="19">
        <f>IFERROR(SUMIFS(Transactions!$F$7:$F$996,Transactions!$G$7:$G$996,A108,Transactions!$D$7:$D$996,"Expense"),0)</f>
        <v>0</v>
      </c>
      <c r="H108" s="10"/>
      <c r="I108" s="10"/>
      <c r="J108" s="10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10"/>
      <c r="B109" s="18"/>
      <c r="C109" s="10"/>
      <c r="D109" s="10"/>
      <c r="E109" s="10"/>
      <c r="F109" s="11"/>
      <c r="G109" s="19">
        <f>IFERROR(SUMIFS(Transactions!$F$7:$F$996,Transactions!$G$7:$G$996,A109,Transactions!$D$7:$D$996,"Expense"),0)</f>
        <v>0</v>
      </c>
      <c r="H109" s="10"/>
      <c r="I109" s="10"/>
      <c r="J109" s="10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10"/>
      <c r="B110" s="18"/>
      <c r="C110" s="10"/>
      <c r="D110" s="10"/>
      <c r="E110" s="10"/>
      <c r="F110" s="11"/>
      <c r="G110" s="19">
        <f>IFERROR(SUMIFS(Transactions!$F$7:$F$996,Transactions!$G$7:$G$996,A110,Transactions!$D$7:$D$996,"Expense"),0)</f>
        <v>0</v>
      </c>
      <c r="H110" s="10"/>
      <c r="I110" s="10"/>
      <c r="J110" s="10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10"/>
      <c r="B111" s="18"/>
      <c r="C111" s="10"/>
      <c r="D111" s="10"/>
      <c r="E111" s="10"/>
      <c r="F111" s="11"/>
      <c r="G111" s="19">
        <f>IFERROR(SUMIFS(Transactions!$F$7:$F$996,Transactions!$G$7:$G$996,A111,Transactions!$D$7:$D$996,"Expense"),0)</f>
        <v>0</v>
      </c>
      <c r="H111" s="10"/>
      <c r="I111" s="10"/>
      <c r="J111" s="10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10"/>
      <c r="B112" s="18"/>
      <c r="C112" s="10"/>
      <c r="D112" s="10"/>
      <c r="E112" s="10"/>
      <c r="F112" s="11"/>
      <c r="G112" s="19">
        <f>IFERROR(SUMIFS(Transactions!$F$7:$F$996,Transactions!$G$7:$G$996,A112,Transactions!$D$7:$D$996,"Expense"),0)</f>
        <v>0</v>
      </c>
      <c r="H112" s="10"/>
      <c r="I112" s="10"/>
      <c r="J112" s="10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10"/>
      <c r="B113" s="18"/>
      <c r="C113" s="10"/>
      <c r="D113" s="10"/>
      <c r="E113" s="10"/>
      <c r="F113" s="11"/>
      <c r="G113" s="19">
        <f>IFERROR(SUMIFS(Transactions!$F$7:$F$996,Transactions!$G$7:$G$996,A113,Transactions!$D$7:$D$996,"Expense"),0)</f>
        <v>0</v>
      </c>
      <c r="H113" s="10"/>
      <c r="I113" s="10"/>
      <c r="J113" s="10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10"/>
      <c r="B114" s="18"/>
      <c r="C114" s="10"/>
      <c r="D114" s="10"/>
      <c r="E114" s="10"/>
      <c r="F114" s="11"/>
      <c r="G114" s="19">
        <f>IFERROR(SUMIFS(Transactions!$F$7:$F$996,Transactions!$G$7:$G$996,A114,Transactions!$D$7:$D$996,"Expense"),0)</f>
        <v>0</v>
      </c>
      <c r="H114" s="10"/>
      <c r="I114" s="10"/>
      <c r="J114" s="10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10"/>
      <c r="B115" s="18"/>
      <c r="C115" s="10"/>
      <c r="D115" s="10"/>
      <c r="E115" s="10"/>
      <c r="F115" s="11"/>
      <c r="G115" s="19">
        <f>IFERROR(SUMIFS(Transactions!$F$7:$F$996,Transactions!$G$7:$G$996,A115,Transactions!$D$7:$D$996,"Expense"),0)</f>
        <v>0</v>
      </c>
      <c r="H115" s="10"/>
      <c r="I115" s="10"/>
      <c r="J115" s="10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10"/>
      <c r="B116" s="18"/>
      <c r="C116" s="10"/>
      <c r="D116" s="10"/>
      <c r="E116" s="10"/>
      <c r="F116" s="11"/>
      <c r="G116" s="19">
        <f>IFERROR(SUMIFS(Transactions!$F$7:$F$996,Transactions!$G$7:$G$996,A116,Transactions!$D$7:$D$996,"Expense"),0)</f>
        <v>0</v>
      </c>
      <c r="H116" s="10"/>
      <c r="I116" s="10"/>
      <c r="J116" s="10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10"/>
      <c r="B117" s="18"/>
      <c r="C117" s="10"/>
      <c r="D117" s="10"/>
      <c r="E117" s="10"/>
      <c r="F117" s="11"/>
      <c r="G117" s="19">
        <f>IFERROR(SUMIFS(Transactions!$F$7:$F$996,Transactions!$G$7:$G$996,A117,Transactions!$D$7:$D$996,"Expense"),0)</f>
        <v>0</v>
      </c>
      <c r="H117" s="10"/>
      <c r="I117" s="10"/>
      <c r="J117" s="10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10"/>
      <c r="B118" s="18"/>
      <c r="C118" s="10"/>
      <c r="D118" s="10"/>
      <c r="E118" s="10"/>
      <c r="F118" s="11"/>
      <c r="G118" s="19">
        <f>IFERROR(SUMIFS(Transactions!$F$7:$F$996,Transactions!$G$7:$G$996,A118,Transactions!$D$7:$D$996,"Expense"),0)</f>
        <v>0</v>
      </c>
      <c r="H118" s="10"/>
      <c r="I118" s="10"/>
      <c r="J118" s="10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10"/>
      <c r="B119" s="18"/>
      <c r="C119" s="10"/>
      <c r="D119" s="10"/>
      <c r="E119" s="10"/>
      <c r="F119" s="11"/>
      <c r="G119" s="19">
        <f>IFERROR(SUMIFS(Transactions!$F$7:$F$996,Transactions!$G$7:$G$996,A119,Transactions!$D$7:$D$996,"Expense"),0)</f>
        <v>0</v>
      </c>
      <c r="H119" s="10"/>
      <c r="I119" s="10"/>
      <c r="J119" s="10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10"/>
      <c r="B120" s="18"/>
      <c r="C120" s="10"/>
      <c r="D120" s="10"/>
      <c r="E120" s="10"/>
      <c r="F120" s="11"/>
      <c r="G120" s="19">
        <f>IFERROR(SUMIFS(Transactions!$F$7:$F$996,Transactions!$G$7:$G$996,A120,Transactions!$D$7:$D$996,"Expense"),0)</f>
        <v>0</v>
      </c>
      <c r="H120" s="10"/>
      <c r="I120" s="10"/>
      <c r="J120" s="10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10"/>
      <c r="B121" s="18"/>
      <c r="C121" s="10"/>
      <c r="D121" s="10"/>
      <c r="E121" s="10"/>
      <c r="F121" s="11"/>
      <c r="G121" s="19">
        <f>IFERROR(SUMIFS(Transactions!$F$7:$F$996,Transactions!$G$7:$G$996,A121,Transactions!$D$7:$D$996,"Expense"),0)</f>
        <v>0</v>
      </c>
      <c r="H121" s="10"/>
      <c r="I121" s="10"/>
      <c r="J121" s="10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10"/>
      <c r="B122" s="18"/>
      <c r="C122" s="10"/>
      <c r="D122" s="10"/>
      <c r="E122" s="10"/>
      <c r="F122" s="11"/>
      <c r="G122" s="19">
        <f>IFERROR(SUMIFS(Transactions!$F$7:$F$996,Transactions!$G$7:$G$996,A122,Transactions!$D$7:$D$996,"Expense"),0)</f>
        <v>0</v>
      </c>
      <c r="H122" s="10"/>
      <c r="I122" s="10"/>
      <c r="J122" s="10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10"/>
      <c r="B123" s="18"/>
      <c r="C123" s="10"/>
      <c r="D123" s="10"/>
      <c r="E123" s="10"/>
      <c r="F123" s="11"/>
      <c r="G123" s="19">
        <f>IFERROR(SUMIFS(Transactions!$F$7:$F$996,Transactions!$G$7:$G$996,A123,Transactions!$D$7:$D$996,"Expense"),0)</f>
        <v>0</v>
      </c>
      <c r="H123" s="10"/>
      <c r="I123" s="10"/>
      <c r="J123" s="10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10"/>
      <c r="B124" s="18"/>
      <c r="C124" s="10"/>
      <c r="D124" s="10"/>
      <c r="E124" s="10"/>
      <c r="F124" s="11"/>
      <c r="G124" s="19">
        <f>IFERROR(SUMIFS(Transactions!$F$7:$F$996,Transactions!$G$7:$G$996,A124,Transactions!$D$7:$D$996,"Expense"),0)</f>
        <v>0</v>
      </c>
      <c r="H124" s="10"/>
      <c r="I124" s="10"/>
      <c r="J124" s="10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10"/>
      <c r="B125" s="18"/>
      <c r="C125" s="10"/>
      <c r="D125" s="10"/>
      <c r="E125" s="10"/>
      <c r="F125" s="11"/>
      <c r="G125" s="19">
        <f>IFERROR(SUMIFS(Transactions!$F$7:$F$996,Transactions!$G$7:$G$996,A125,Transactions!$D$7:$D$996,"Expense"),0)</f>
        <v>0</v>
      </c>
      <c r="H125" s="10"/>
      <c r="I125" s="10"/>
      <c r="J125" s="10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10"/>
      <c r="B126" s="18"/>
      <c r="C126" s="10"/>
      <c r="D126" s="10"/>
      <c r="E126" s="10"/>
      <c r="F126" s="11"/>
      <c r="G126" s="19">
        <f>IFERROR(SUMIFS(Transactions!$F$7:$F$996,Transactions!$G$7:$G$996,A126,Transactions!$D$7:$D$996,"Expense"),0)</f>
        <v>0</v>
      </c>
      <c r="H126" s="10"/>
      <c r="I126" s="10"/>
      <c r="J126" s="10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10"/>
      <c r="B127" s="18"/>
      <c r="C127" s="10"/>
      <c r="D127" s="10"/>
      <c r="E127" s="10"/>
      <c r="F127" s="11"/>
      <c r="G127" s="19">
        <f>IFERROR(SUMIFS(Transactions!$F$7:$F$996,Transactions!$G$7:$G$996,A127,Transactions!$D$7:$D$996,"Expense"),0)</f>
        <v>0</v>
      </c>
      <c r="H127" s="10"/>
      <c r="I127" s="10"/>
      <c r="J127" s="10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10"/>
      <c r="B128" s="18"/>
      <c r="C128" s="10"/>
      <c r="D128" s="10"/>
      <c r="E128" s="10"/>
      <c r="F128" s="11"/>
      <c r="G128" s="19">
        <f>IFERROR(SUMIFS(Transactions!$F$7:$F$996,Transactions!$G$7:$G$996,A128,Transactions!$D$7:$D$996,"Expense"),0)</f>
        <v>0</v>
      </c>
      <c r="H128" s="10"/>
      <c r="I128" s="10"/>
      <c r="J128" s="10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10"/>
      <c r="B129" s="18"/>
      <c r="C129" s="10"/>
      <c r="D129" s="10"/>
      <c r="E129" s="10"/>
      <c r="F129" s="11"/>
      <c r="G129" s="19">
        <f>IFERROR(SUMIFS(Transactions!$F$7:$F$996,Transactions!$G$7:$G$996,A129,Transactions!$D$7:$D$996,"Expense"),0)</f>
        <v>0</v>
      </c>
      <c r="H129" s="10"/>
      <c r="I129" s="10"/>
      <c r="J129" s="10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10"/>
      <c r="B130" s="18"/>
      <c r="C130" s="10"/>
      <c r="D130" s="10"/>
      <c r="E130" s="10"/>
      <c r="F130" s="11"/>
      <c r="G130" s="19">
        <f>IFERROR(SUMIFS(Transactions!$F$7:$F$996,Transactions!$G$7:$G$996,A130,Transactions!$D$7:$D$996,"Expense"),0)</f>
        <v>0</v>
      </c>
      <c r="H130" s="10"/>
      <c r="I130" s="10"/>
      <c r="J130" s="10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10"/>
      <c r="B131" s="18"/>
      <c r="C131" s="10"/>
      <c r="D131" s="10"/>
      <c r="E131" s="10"/>
      <c r="F131" s="11"/>
      <c r="G131" s="19">
        <f>IFERROR(SUMIFS(Transactions!$F$7:$F$996,Transactions!$G$7:$G$996,A131,Transactions!$D$7:$D$996,"Expense"),0)</f>
        <v>0</v>
      </c>
      <c r="H131" s="10"/>
      <c r="I131" s="10"/>
      <c r="J131" s="10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10"/>
      <c r="B132" s="18"/>
      <c r="C132" s="10"/>
      <c r="D132" s="10"/>
      <c r="E132" s="10"/>
      <c r="F132" s="11"/>
      <c r="G132" s="19">
        <f>IFERROR(SUMIFS(Transactions!$F$7:$F$996,Transactions!$G$7:$G$996,A132,Transactions!$D$7:$D$996,"Expense"),0)</f>
        <v>0</v>
      </c>
      <c r="H132" s="10"/>
      <c r="I132" s="10"/>
      <c r="J132" s="10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10"/>
      <c r="B133" s="18"/>
      <c r="C133" s="10"/>
      <c r="D133" s="10"/>
      <c r="E133" s="10"/>
      <c r="F133" s="11"/>
      <c r="G133" s="19">
        <f>IFERROR(SUMIFS(Transactions!$F$7:$F$996,Transactions!$G$7:$G$996,A133,Transactions!$D$7:$D$996,"Expense"),0)</f>
        <v>0</v>
      </c>
      <c r="H133" s="10"/>
      <c r="I133" s="10"/>
      <c r="J133" s="10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10"/>
      <c r="B134" s="18"/>
      <c r="C134" s="10"/>
      <c r="D134" s="10"/>
      <c r="E134" s="10"/>
      <c r="F134" s="11"/>
      <c r="G134" s="19">
        <f>IFERROR(SUMIFS(Transactions!$F$7:$F$996,Transactions!$G$7:$G$996,A134,Transactions!$D$7:$D$996,"Expense"),0)</f>
        <v>0</v>
      </c>
      <c r="H134" s="10"/>
      <c r="I134" s="10"/>
      <c r="J134" s="10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10"/>
      <c r="B135" s="18"/>
      <c r="C135" s="10"/>
      <c r="D135" s="10"/>
      <c r="E135" s="10"/>
      <c r="F135" s="11"/>
      <c r="G135" s="19">
        <f>IFERROR(SUMIFS(Transactions!$F$7:$F$996,Transactions!$G$7:$G$996,A135,Transactions!$D$7:$D$996,"Expense"),0)</f>
        <v>0</v>
      </c>
      <c r="H135" s="10"/>
      <c r="I135" s="10"/>
      <c r="J135" s="10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10"/>
      <c r="B136" s="18"/>
      <c r="C136" s="10"/>
      <c r="D136" s="10"/>
      <c r="E136" s="10"/>
      <c r="F136" s="11"/>
      <c r="G136" s="19">
        <f>IFERROR(SUMIFS(Transactions!$F$7:$F$996,Transactions!$G$7:$G$996,A136,Transactions!$D$7:$D$996,"Expense"),0)</f>
        <v>0</v>
      </c>
      <c r="H136" s="10"/>
      <c r="I136" s="10"/>
      <c r="J136" s="10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10"/>
      <c r="B137" s="18"/>
      <c r="C137" s="10"/>
      <c r="D137" s="10"/>
      <c r="E137" s="10"/>
      <c r="F137" s="11"/>
      <c r="G137" s="19">
        <f>IFERROR(SUMIFS(Transactions!$F$7:$F$996,Transactions!$G$7:$G$996,A137,Transactions!$D$7:$D$996,"Expense"),0)</f>
        <v>0</v>
      </c>
      <c r="H137" s="10"/>
      <c r="I137" s="10"/>
      <c r="J137" s="10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10"/>
      <c r="B138" s="18"/>
      <c r="C138" s="10"/>
      <c r="D138" s="10"/>
      <c r="E138" s="10"/>
      <c r="F138" s="11"/>
      <c r="G138" s="19">
        <f>IFERROR(SUMIFS(Transactions!$F$7:$F$996,Transactions!$G$7:$G$996,A138,Transactions!$D$7:$D$996,"Expense"),0)</f>
        <v>0</v>
      </c>
      <c r="H138" s="10"/>
      <c r="I138" s="10"/>
      <c r="J138" s="10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10"/>
      <c r="B139" s="18"/>
      <c r="C139" s="10"/>
      <c r="D139" s="10"/>
      <c r="E139" s="10"/>
      <c r="F139" s="11"/>
      <c r="G139" s="19">
        <f>IFERROR(SUMIFS(Transactions!$F$7:$F$996,Transactions!$G$7:$G$996,A139,Transactions!$D$7:$D$996,"Expense"),0)</f>
        <v>0</v>
      </c>
      <c r="H139" s="10"/>
      <c r="I139" s="10"/>
      <c r="J139" s="10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10"/>
      <c r="B140" s="18"/>
      <c r="C140" s="10"/>
      <c r="D140" s="10"/>
      <c r="E140" s="10"/>
      <c r="F140" s="11"/>
      <c r="G140" s="19">
        <f>IFERROR(SUMIFS(Transactions!$F$7:$F$996,Transactions!$G$7:$G$996,A140,Transactions!$D$7:$D$996,"Expense"),0)</f>
        <v>0</v>
      </c>
      <c r="H140" s="10"/>
      <c r="I140" s="10"/>
      <c r="J140" s="10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10"/>
      <c r="B141" s="18"/>
      <c r="C141" s="10"/>
      <c r="D141" s="10"/>
      <c r="E141" s="10"/>
      <c r="F141" s="11"/>
      <c r="G141" s="19">
        <f>IFERROR(SUMIFS(Transactions!$F$7:$F$996,Transactions!$G$7:$G$996,A141,Transactions!$D$7:$D$996,"Expense"),0)</f>
        <v>0</v>
      </c>
      <c r="H141" s="10"/>
      <c r="I141" s="10"/>
      <c r="J141" s="10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10"/>
      <c r="B142" s="18"/>
      <c r="C142" s="10"/>
      <c r="D142" s="10"/>
      <c r="E142" s="10"/>
      <c r="F142" s="11"/>
      <c r="G142" s="19">
        <f>IFERROR(SUMIFS(Transactions!$F$7:$F$996,Transactions!$G$7:$G$996,A142,Transactions!$D$7:$D$996,"Expense"),0)</f>
        <v>0</v>
      </c>
      <c r="H142" s="10"/>
      <c r="I142" s="10"/>
      <c r="J142" s="10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10"/>
      <c r="B143" s="18"/>
      <c r="C143" s="10"/>
      <c r="D143" s="10"/>
      <c r="E143" s="10"/>
      <c r="F143" s="11"/>
      <c r="G143" s="19">
        <f>IFERROR(SUMIFS(Transactions!$F$7:$F$996,Transactions!$G$7:$G$996,A143,Transactions!$D$7:$D$996,"Expense"),0)</f>
        <v>0</v>
      </c>
      <c r="H143" s="10"/>
      <c r="I143" s="10"/>
      <c r="J143" s="10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10"/>
      <c r="B144" s="18"/>
      <c r="C144" s="10"/>
      <c r="D144" s="10"/>
      <c r="E144" s="10"/>
      <c r="F144" s="11"/>
      <c r="G144" s="19">
        <f>IFERROR(SUMIFS(Transactions!$F$7:$F$996,Transactions!$G$7:$G$996,A144,Transactions!$D$7:$D$996,"Expense"),0)</f>
        <v>0</v>
      </c>
      <c r="H144" s="10"/>
      <c r="I144" s="10"/>
      <c r="J144" s="10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10"/>
      <c r="B145" s="18"/>
      <c r="C145" s="10"/>
      <c r="D145" s="10"/>
      <c r="E145" s="10"/>
      <c r="F145" s="11"/>
      <c r="G145" s="19">
        <f>IFERROR(SUMIFS(Transactions!$F$7:$F$996,Transactions!$G$7:$G$996,A145,Transactions!$D$7:$D$996,"Expense"),0)</f>
        <v>0</v>
      </c>
      <c r="H145" s="10"/>
      <c r="I145" s="10"/>
      <c r="J145" s="10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10"/>
      <c r="B146" s="18"/>
      <c r="C146" s="10"/>
      <c r="D146" s="10"/>
      <c r="E146" s="10"/>
      <c r="F146" s="11"/>
      <c r="G146" s="19">
        <f>IFERROR(SUMIFS(Transactions!$F$7:$F$996,Transactions!$G$7:$G$996,A146,Transactions!$D$7:$D$996,"Expense"),0)</f>
        <v>0</v>
      </c>
      <c r="H146" s="10"/>
      <c r="I146" s="10"/>
      <c r="J146" s="10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10"/>
      <c r="B147" s="18"/>
      <c r="C147" s="10"/>
      <c r="D147" s="10"/>
      <c r="E147" s="10"/>
      <c r="F147" s="11"/>
      <c r="G147" s="19">
        <f>IFERROR(SUMIFS(Transactions!$F$7:$F$996,Transactions!$G$7:$G$996,A147,Transactions!$D$7:$D$996,"Expense"),0)</f>
        <v>0</v>
      </c>
      <c r="H147" s="10"/>
      <c r="I147" s="10"/>
      <c r="J147" s="10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10"/>
      <c r="B148" s="18"/>
      <c r="C148" s="10"/>
      <c r="D148" s="10"/>
      <c r="E148" s="10"/>
      <c r="F148" s="11"/>
      <c r="G148" s="19">
        <f>IFERROR(SUMIFS(Transactions!$F$7:$F$996,Transactions!$G$7:$G$996,A148,Transactions!$D$7:$D$996,"Expense"),0)</f>
        <v>0</v>
      </c>
      <c r="H148" s="10"/>
      <c r="I148" s="10"/>
      <c r="J148" s="10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10"/>
      <c r="B149" s="18"/>
      <c r="C149" s="10"/>
      <c r="D149" s="10"/>
      <c r="E149" s="10"/>
      <c r="F149" s="11"/>
      <c r="G149" s="19">
        <f>IFERROR(SUMIFS(Transactions!$F$7:$F$996,Transactions!$G$7:$G$996,A149,Transactions!$D$7:$D$996,"Expense"),0)</f>
        <v>0</v>
      </c>
      <c r="H149" s="10"/>
      <c r="I149" s="10"/>
      <c r="J149" s="10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10"/>
      <c r="B150" s="18"/>
      <c r="C150" s="10"/>
      <c r="D150" s="10"/>
      <c r="E150" s="10"/>
      <c r="F150" s="11"/>
      <c r="G150" s="19">
        <f>IFERROR(SUMIFS(Transactions!$F$7:$F$996,Transactions!$G$7:$G$996,A150,Transactions!$D$7:$D$996,"Expense"),0)</f>
        <v>0</v>
      </c>
      <c r="H150" s="10"/>
      <c r="I150" s="10"/>
      <c r="J150" s="10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10"/>
      <c r="B151" s="18"/>
      <c r="C151" s="10"/>
      <c r="D151" s="10"/>
      <c r="E151" s="10"/>
      <c r="F151" s="11"/>
      <c r="G151" s="19">
        <f>IFERROR(SUMIFS(Transactions!$F$7:$F$996,Transactions!$G$7:$G$996,A151,Transactions!$D$7:$D$996,"Expense"),0)</f>
        <v>0</v>
      </c>
      <c r="H151" s="10"/>
      <c r="I151" s="10"/>
      <c r="J151" s="10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10"/>
      <c r="B152" s="18"/>
      <c r="C152" s="10"/>
      <c r="D152" s="10"/>
      <c r="E152" s="10"/>
      <c r="F152" s="11"/>
      <c r="G152" s="19">
        <f>IFERROR(SUMIFS(Transactions!$F$7:$F$996,Transactions!$G$7:$G$996,A152,Transactions!$D$7:$D$996,"Expense"),0)</f>
        <v>0</v>
      </c>
      <c r="H152" s="10"/>
      <c r="I152" s="10"/>
      <c r="J152" s="10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10"/>
      <c r="B153" s="18"/>
      <c r="C153" s="10"/>
      <c r="D153" s="10"/>
      <c r="E153" s="10"/>
      <c r="F153" s="11"/>
      <c r="G153" s="19">
        <f>IFERROR(SUMIFS(Transactions!$F$7:$F$996,Transactions!$G$7:$G$996,A153,Transactions!$D$7:$D$996,"Expense"),0)</f>
        <v>0</v>
      </c>
      <c r="H153" s="10"/>
      <c r="I153" s="10"/>
      <c r="J153" s="10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10"/>
      <c r="B154" s="18"/>
      <c r="C154" s="10"/>
      <c r="D154" s="10"/>
      <c r="E154" s="10"/>
      <c r="F154" s="11"/>
      <c r="G154" s="19">
        <f>IFERROR(SUMIFS(Transactions!$F$7:$F$996,Transactions!$G$7:$G$996,A154,Transactions!$D$7:$D$996,"Expense"),0)</f>
        <v>0</v>
      </c>
      <c r="H154" s="10"/>
      <c r="I154" s="10"/>
      <c r="J154" s="10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10"/>
      <c r="B155" s="18"/>
      <c r="C155" s="10"/>
      <c r="D155" s="10"/>
      <c r="E155" s="10"/>
      <c r="F155" s="11"/>
      <c r="G155" s="19">
        <f>IFERROR(SUMIFS(Transactions!$F$7:$F$996,Transactions!$G$7:$G$996,A155,Transactions!$D$7:$D$996,"Expense"),0)</f>
        <v>0</v>
      </c>
      <c r="H155" s="10"/>
      <c r="I155" s="10"/>
      <c r="J155" s="10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10"/>
      <c r="B156" s="18"/>
      <c r="C156" s="10"/>
      <c r="D156" s="10"/>
      <c r="E156" s="10"/>
      <c r="F156" s="11"/>
      <c r="G156" s="19">
        <f>IFERROR(SUMIFS(Transactions!$F$7:$F$996,Transactions!$G$7:$G$996,A156,Transactions!$D$7:$D$996,"Expense"),0)</f>
        <v>0</v>
      </c>
      <c r="H156" s="10"/>
      <c r="I156" s="10"/>
      <c r="J156" s="10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10"/>
      <c r="B157" s="18"/>
      <c r="C157" s="10"/>
      <c r="D157" s="10"/>
      <c r="E157" s="10"/>
      <c r="F157" s="11"/>
      <c r="G157" s="19">
        <f>IFERROR(SUMIFS(Transactions!$F$7:$F$996,Transactions!$G$7:$G$996,A157,Transactions!$D$7:$D$996,"Expense"),0)</f>
        <v>0</v>
      </c>
      <c r="H157" s="10"/>
      <c r="I157" s="10"/>
      <c r="J157" s="10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10"/>
      <c r="B158" s="18"/>
      <c r="C158" s="10"/>
      <c r="D158" s="10"/>
      <c r="E158" s="10"/>
      <c r="F158" s="11"/>
      <c r="G158" s="19">
        <f>IFERROR(SUMIFS(Transactions!$F$7:$F$996,Transactions!$G$7:$G$996,A158,Transactions!$D$7:$D$996,"Expense"),0)</f>
        <v>0</v>
      </c>
      <c r="H158" s="10"/>
      <c r="I158" s="10"/>
      <c r="J158" s="10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10"/>
      <c r="B159" s="18"/>
      <c r="C159" s="10"/>
      <c r="D159" s="10"/>
      <c r="E159" s="10"/>
      <c r="F159" s="11"/>
      <c r="G159" s="19">
        <f>IFERROR(SUMIFS(Transactions!$F$7:$F$996,Transactions!$G$7:$G$996,A159,Transactions!$D$7:$D$996,"Expense"),0)</f>
        <v>0</v>
      </c>
      <c r="H159" s="10"/>
      <c r="I159" s="10"/>
      <c r="J159" s="10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10"/>
      <c r="B160" s="18"/>
      <c r="C160" s="10"/>
      <c r="D160" s="10"/>
      <c r="E160" s="10"/>
      <c r="F160" s="11"/>
      <c r="G160" s="19">
        <f>IFERROR(SUMIFS(Transactions!$F$7:$F$996,Transactions!$G$7:$G$996,A160,Transactions!$D$7:$D$996,"Expense"),0)</f>
        <v>0</v>
      </c>
      <c r="H160" s="10"/>
      <c r="I160" s="10"/>
      <c r="J160" s="10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10"/>
      <c r="B161" s="18"/>
      <c r="C161" s="10"/>
      <c r="D161" s="10"/>
      <c r="E161" s="10"/>
      <c r="F161" s="11"/>
      <c r="G161" s="19">
        <f>IFERROR(SUMIFS(Transactions!$F$7:$F$996,Transactions!$G$7:$G$996,A161,Transactions!$D$7:$D$996,"Expense"),0)</f>
        <v>0</v>
      </c>
      <c r="H161" s="10"/>
      <c r="I161" s="10"/>
      <c r="J161" s="10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10"/>
      <c r="B162" s="18"/>
      <c r="C162" s="10"/>
      <c r="D162" s="10"/>
      <c r="E162" s="10"/>
      <c r="F162" s="11"/>
      <c r="G162" s="19">
        <f>IFERROR(SUMIFS(Transactions!$F$7:$F$996,Transactions!$G$7:$G$996,A162,Transactions!$D$7:$D$996,"Expense"),0)</f>
        <v>0</v>
      </c>
      <c r="H162" s="10"/>
      <c r="I162" s="10"/>
      <c r="J162" s="10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10"/>
      <c r="B163" s="18"/>
      <c r="C163" s="10"/>
      <c r="D163" s="10"/>
      <c r="E163" s="10"/>
      <c r="F163" s="11"/>
      <c r="G163" s="19">
        <f>IFERROR(SUMIFS(Transactions!$F$7:$F$996,Transactions!$G$7:$G$996,A163,Transactions!$D$7:$D$996,"Expense"),0)</f>
        <v>0</v>
      </c>
      <c r="H163" s="10"/>
      <c r="I163" s="10"/>
      <c r="J163" s="10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10"/>
      <c r="B164" s="18"/>
      <c r="C164" s="10"/>
      <c r="D164" s="10"/>
      <c r="E164" s="10"/>
      <c r="F164" s="11"/>
      <c r="G164" s="19">
        <f>IFERROR(SUMIFS(Transactions!$F$7:$F$996,Transactions!$G$7:$G$996,A164,Transactions!$D$7:$D$996,"Expense"),0)</f>
        <v>0</v>
      </c>
      <c r="H164" s="10"/>
      <c r="I164" s="10"/>
      <c r="J164" s="10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10"/>
      <c r="B165" s="18"/>
      <c r="C165" s="10"/>
      <c r="D165" s="10"/>
      <c r="E165" s="10"/>
      <c r="F165" s="11"/>
      <c r="G165" s="19">
        <f>IFERROR(SUMIFS(Transactions!$F$7:$F$996,Transactions!$G$7:$G$996,A165,Transactions!$D$7:$D$996,"Expense"),0)</f>
        <v>0</v>
      </c>
      <c r="H165" s="10"/>
      <c r="I165" s="10"/>
      <c r="J165" s="10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10"/>
      <c r="B166" s="18"/>
      <c r="C166" s="10"/>
      <c r="D166" s="10"/>
      <c r="E166" s="10"/>
      <c r="F166" s="11"/>
      <c r="G166" s="19">
        <f>IFERROR(SUMIFS(Transactions!$F$7:$F$996,Transactions!$G$7:$G$996,A166,Transactions!$D$7:$D$996,"Expense"),0)</f>
        <v>0</v>
      </c>
      <c r="H166" s="10"/>
      <c r="I166" s="10"/>
      <c r="J166" s="10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10"/>
      <c r="B167" s="18"/>
      <c r="C167" s="10"/>
      <c r="D167" s="10"/>
      <c r="E167" s="10"/>
      <c r="F167" s="11"/>
      <c r="G167" s="19">
        <f>IFERROR(SUMIFS(Transactions!$F$7:$F$996,Transactions!$G$7:$G$996,A167,Transactions!$D$7:$D$996,"Expense"),0)</f>
        <v>0</v>
      </c>
      <c r="H167" s="10"/>
      <c r="I167" s="10"/>
      <c r="J167" s="10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10"/>
      <c r="B168" s="18"/>
      <c r="C168" s="10"/>
      <c r="D168" s="10"/>
      <c r="E168" s="10"/>
      <c r="F168" s="11"/>
      <c r="G168" s="19">
        <f>IFERROR(SUMIFS(Transactions!$F$7:$F$996,Transactions!$G$7:$G$996,A168,Transactions!$D$7:$D$996,"Expense"),0)</f>
        <v>0</v>
      </c>
      <c r="H168" s="10"/>
      <c r="I168" s="10"/>
      <c r="J168" s="10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10"/>
      <c r="B169" s="18"/>
      <c r="C169" s="10"/>
      <c r="D169" s="10"/>
      <c r="E169" s="10"/>
      <c r="F169" s="11"/>
      <c r="G169" s="19">
        <f>IFERROR(SUMIFS(Transactions!$F$7:$F$996,Transactions!$G$7:$G$996,A169,Transactions!$D$7:$D$996,"Expense"),0)</f>
        <v>0</v>
      </c>
      <c r="H169" s="10"/>
      <c r="I169" s="10"/>
      <c r="J169" s="10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10"/>
      <c r="B170" s="18"/>
      <c r="C170" s="10"/>
      <c r="D170" s="10"/>
      <c r="E170" s="10"/>
      <c r="F170" s="11"/>
      <c r="G170" s="19">
        <f>IFERROR(SUMIFS(Transactions!$F$7:$F$996,Transactions!$G$7:$G$996,A170,Transactions!$D$7:$D$996,"Expense"),0)</f>
        <v>0</v>
      </c>
      <c r="H170" s="10"/>
      <c r="I170" s="10"/>
      <c r="J170" s="10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10"/>
      <c r="B171" s="18"/>
      <c r="C171" s="10"/>
      <c r="D171" s="10"/>
      <c r="E171" s="10"/>
      <c r="F171" s="11"/>
      <c r="G171" s="19">
        <f>IFERROR(SUMIFS(Transactions!$F$7:$F$996,Transactions!$G$7:$G$996,A171,Transactions!$D$7:$D$996,"Expense"),0)</f>
        <v>0</v>
      </c>
      <c r="H171" s="10"/>
      <c r="I171" s="10"/>
      <c r="J171" s="10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10"/>
      <c r="B172" s="18"/>
      <c r="C172" s="10"/>
      <c r="D172" s="10"/>
      <c r="E172" s="10"/>
      <c r="F172" s="11"/>
      <c r="G172" s="19">
        <f>IFERROR(SUMIFS(Transactions!$F$7:$F$996,Transactions!$G$7:$G$996,A172,Transactions!$D$7:$D$996,"Expense"),0)</f>
        <v>0</v>
      </c>
      <c r="H172" s="10"/>
      <c r="I172" s="10"/>
      <c r="J172" s="10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10"/>
      <c r="B173" s="18"/>
      <c r="C173" s="10"/>
      <c r="D173" s="10"/>
      <c r="E173" s="10"/>
      <c r="F173" s="11"/>
      <c r="G173" s="19">
        <f>IFERROR(SUMIFS(Transactions!$F$7:$F$996,Transactions!$G$7:$G$996,A173,Transactions!$D$7:$D$996,"Expense"),0)</f>
        <v>0</v>
      </c>
      <c r="H173" s="10"/>
      <c r="I173" s="10"/>
      <c r="J173" s="10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10"/>
      <c r="B174" s="18"/>
      <c r="C174" s="10"/>
      <c r="D174" s="10"/>
      <c r="E174" s="10"/>
      <c r="F174" s="11"/>
      <c r="G174" s="19">
        <f>IFERROR(SUMIFS(Transactions!$F$7:$F$996,Transactions!$G$7:$G$996,A174,Transactions!$D$7:$D$996,"Expense"),0)</f>
        <v>0</v>
      </c>
      <c r="H174" s="10"/>
      <c r="I174" s="10"/>
      <c r="J174" s="10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10"/>
      <c r="B175" s="18"/>
      <c r="C175" s="10"/>
      <c r="D175" s="10"/>
      <c r="E175" s="10"/>
      <c r="F175" s="11"/>
      <c r="G175" s="19">
        <f>IFERROR(SUMIFS(Transactions!$F$7:$F$996,Transactions!$G$7:$G$996,A175,Transactions!$D$7:$D$996,"Expense"),0)</f>
        <v>0</v>
      </c>
      <c r="H175" s="10"/>
      <c r="I175" s="10"/>
      <c r="J175" s="10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10"/>
      <c r="B176" s="18"/>
      <c r="C176" s="10"/>
      <c r="D176" s="10"/>
      <c r="E176" s="10"/>
      <c r="F176" s="11"/>
      <c r="G176" s="19">
        <f>IFERROR(SUMIFS(Transactions!$F$7:$F$996,Transactions!$G$7:$G$996,A176,Transactions!$D$7:$D$996,"Expense"),0)</f>
        <v>0</v>
      </c>
      <c r="H176" s="10"/>
      <c r="I176" s="10"/>
      <c r="J176" s="10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10"/>
      <c r="B177" s="18"/>
      <c r="C177" s="10"/>
      <c r="D177" s="10"/>
      <c r="E177" s="10"/>
      <c r="F177" s="11"/>
      <c r="G177" s="19">
        <f>IFERROR(SUMIFS(Transactions!$F$7:$F$996,Transactions!$G$7:$G$996,A177,Transactions!$D$7:$D$996,"Expense"),0)</f>
        <v>0</v>
      </c>
      <c r="H177" s="10"/>
      <c r="I177" s="10"/>
      <c r="J177" s="10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10"/>
      <c r="B178" s="18"/>
      <c r="C178" s="10"/>
      <c r="D178" s="10"/>
      <c r="E178" s="10"/>
      <c r="F178" s="11"/>
      <c r="G178" s="19">
        <f>IFERROR(SUMIFS(Transactions!$F$7:$F$996,Transactions!$G$7:$G$996,A178,Transactions!$D$7:$D$996,"Expense"),0)</f>
        <v>0</v>
      </c>
      <c r="H178" s="10"/>
      <c r="I178" s="10"/>
      <c r="J178" s="10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10"/>
      <c r="B179" s="18"/>
      <c r="C179" s="10"/>
      <c r="D179" s="10"/>
      <c r="E179" s="10"/>
      <c r="F179" s="11"/>
      <c r="G179" s="19">
        <f>IFERROR(SUMIFS(Transactions!$F$7:$F$996,Transactions!$G$7:$G$996,A179,Transactions!$D$7:$D$996,"Expense"),0)</f>
        <v>0</v>
      </c>
      <c r="H179" s="10"/>
      <c r="I179" s="10"/>
      <c r="J179" s="10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10"/>
      <c r="B180" s="18"/>
      <c r="C180" s="10"/>
      <c r="D180" s="10"/>
      <c r="E180" s="10"/>
      <c r="F180" s="11"/>
      <c r="G180" s="19">
        <f>IFERROR(SUMIFS(Transactions!$F$7:$F$996,Transactions!$G$7:$G$996,A180,Transactions!$D$7:$D$996,"Expense"),0)</f>
        <v>0</v>
      </c>
      <c r="H180" s="10"/>
      <c r="I180" s="10"/>
      <c r="J180" s="10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10"/>
      <c r="B181" s="18"/>
      <c r="C181" s="10"/>
      <c r="D181" s="10"/>
      <c r="E181" s="10"/>
      <c r="F181" s="11"/>
      <c r="G181" s="19">
        <f>IFERROR(SUMIFS(Transactions!$F$7:$F$996,Transactions!$G$7:$G$996,A181,Transactions!$D$7:$D$996,"Expense"),0)</f>
        <v>0</v>
      </c>
      <c r="H181" s="10"/>
      <c r="I181" s="10"/>
      <c r="J181" s="10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10"/>
      <c r="B182" s="18"/>
      <c r="C182" s="10"/>
      <c r="D182" s="10"/>
      <c r="E182" s="10"/>
      <c r="F182" s="11"/>
      <c r="G182" s="19">
        <f>IFERROR(SUMIFS(Transactions!$F$7:$F$996,Transactions!$G$7:$G$996,A182,Transactions!$D$7:$D$996,"Expense"),0)</f>
        <v>0</v>
      </c>
      <c r="H182" s="10"/>
      <c r="I182" s="10"/>
      <c r="J182" s="10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10"/>
      <c r="B183" s="18"/>
      <c r="C183" s="10"/>
      <c r="D183" s="10"/>
      <c r="E183" s="10"/>
      <c r="F183" s="11"/>
      <c r="G183" s="19">
        <f>IFERROR(SUMIFS(Transactions!$F$7:$F$996,Transactions!$G$7:$G$996,A183,Transactions!$D$7:$D$996,"Expense"),0)</f>
        <v>0</v>
      </c>
      <c r="H183" s="10"/>
      <c r="I183" s="10"/>
      <c r="J183" s="10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10"/>
      <c r="B184" s="18"/>
      <c r="C184" s="10"/>
      <c r="D184" s="10"/>
      <c r="E184" s="10"/>
      <c r="F184" s="11"/>
      <c r="G184" s="19">
        <f>IFERROR(SUMIFS(Transactions!$F$7:$F$996,Transactions!$G$7:$G$996,A184,Transactions!$D$7:$D$996,"Expense"),0)</f>
        <v>0</v>
      </c>
      <c r="H184" s="10"/>
      <c r="I184" s="10"/>
      <c r="J184" s="10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10"/>
      <c r="B185" s="18"/>
      <c r="C185" s="10"/>
      <c r="D185" s="10"/>
      <c r="E185" s="10"/>
      <c r="F185" s="11"/>
      <c r="G185" s="19">
        <f>IFERROR(SUMIFS(Transactions!$F$7:$F$996,Transactions!$G$7:$G$996,A185,Transactions!$D$7:$D$996,"Expense"),0)</f>
        <v>0</v>
      </c>
      <c r="H185" s="10"/>
      <c r="I185" s="10"/>
      <c r="J185" s="10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10"/>
      <c r="B186" s="18"/>
      <c r="C186" s="10"/>
      <c r="D186" s="10"/>
      <c r="E186" s="10"/>
      <c r="F186" s="11"/>
      <c r="G186" s="19">
        <f>IFERROR(SUMIFS(Transactions!$F$7:$F$996,Transactions!$G$7:$G$996,A186,Transactions!$D$7:$D$996,"Expense"),0)</f>
        <v>0</v>
      </c>
      <c r="H186" s="10"/>
      <c r="I186" s="10"/>
      <c r="J186" s="10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10"/>
      <c r="B187" s="18"/>
      <c r="C187" s="10"/>
      <c r="D187" s="10"/>
      <c r="E187" s="10"/>
      <c r="F187" s="11"/>
      <c r="G187" s="19">
        <f>IFERROR(SUMIFS(Transactions!$F$7:$F$996,Transactions!$G$7:$G$996,A187,Transactions!$D$7:$D$996,"Expense"),0)</f>
        <v>0</v>
      </c>
      <c r="H187" s="10"/>
      <c r="I187" s="10"/>
      <c r="J187" s="10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10"/>
      <c r="B188" s="18"/>
      <c r="C188" s="10"/>
      <c r="D188" s="10"/>
      <c r="E188" s="10"/>
      <c r="F188" s="11"/>
      <c r="G188" s="19">
        <f>IFERROR(SUMIFS(Transactions!$F$7:$F$996,Transactions!$G$7:$G$996,A188,Transactions!$D$7:$D$996,"Expense"),0)</f>
        <v>0</v>
      </c>
      <c r="H188" s="10"/>
      <c r="I188" s="10"/>
      <c r="J188" s="10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10"/>
      <c r="B189" s="18"/>
      <c r="C189" s="10"/>
      <c r="D189" s="10"/>
      <c r="E189" s="10"/>
      <c r="F189" s="11"/>
      <c r="G189" s="19">
        <f>IFERROR(SUMIFS(Transactions!$F$7:$F$996,Transactions!$G$7:$G$996,A189,Transactions!$D$7:$D$996,"Expense"),0)</f>
        <v>0</v>
      </c>
      <c r="H189" s="10"/>
      <c r="I189" s="10"/>
      <c r="J189" s="10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10"/>
      <c r="B190" s="18"/>
      <c r="C190" s="10"/>
      <c r="D190" s="10"/>
      <c r="E190" s="10"/>
      <c r="F190" s="11"/>
      <c r="G190" s="19">
        <f>IFERROR(SUMIFS(Transactions!$F$7:$F$996,Transactions!$G$7:$G$996,A190,Transactions!$D$7:$D$996,"Expense"),0)</f>
        <v>0</v>
      </c>
      <c r="H190" s="10"/>
      <c r="I190" s="10"/>
      <c r="J190" s="10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10"/>
      <c r="B191" s="18"/>
      <c r="C191" s="10"/>
      <c r="D191" s="10"/>
      <c r="E191" s="10"/>
      <c r="F191" s="11"/>
      <c r="G191" s="19">
        <f>IFERROR(SUMIFS(Transactions!$F$7:$F$996,Transactions!$G$7:$G$996,A191,Transactions!$D$7:$D$996,"Expense"),0)</f>
        <v>0</v>
      </c>
      <c r="H191" s="10"/>
      <c r="I191" s="10"/>
      <c r="J191" s="10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10"/>
      <c r="B192" s="18"/>
      <c r="C192" s="10"/>
      <c r="D192" s="10"/>
      <c r="E192" s="10"/>
      <c r="F192" s="11"/>
      <c r="G192" s="19">
        <f>IFERROR(SUMIFS(Transactions!$F$7:$F$996,Transactions!$G$7:$G$996,A192,Transactions!$D$7:$D$996,"Expense"),0)</f>
        <v>0</v>
      </c>
      <c r="H192" s="10"/>
      <c r="I192" s="10"/>
      <c r="J192" s="10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10"/>
      <c r="B193" s="18"/>
      <c r="C193" s="10"/>
      <c r="D193" s="10"/>
      <c r="E193" s="10"/>
      <c r="F193" s="11"/>
      <c r="G193" s="19">
        <f>IFERROR(SUMIFS(Transactions!$F$7:$F$996,Transactions!$G$7:$G$996,A193,Transactions!$D$7:$D$996,"Expense"),0)</f>
        <v>0</v>
      </c>
      <c r="H193" s="10"/>
      <c r="I193" s="10"/>
      <c r="J193" s="10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10"/>
      <c r="B194" s="18"/>
      <c r="C194" s="10"/>
      <c r="D194" s="10"/>
      <c r="E194" s="10"/>
      <c r="F194" s="11"/>
      <c r="G194" s="19">
        <f>IFERROR(SUMIFS(Transactions!$F$7:$F$996,Transactions!$G$7:$G$996,A194,Transactions!$D$7:$D$996,"Expense"),0)</f>
        <v>0</v>
      </c>
      <c r="H194" s="10"/>
      <c r="I194" s="10"/>
      <c r="J194" s="10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10"/>
      <c r="B195" s="18"/>
      <c r="C195" s="10"/>
      <c r="D195" s="10"/>
      <c r="E195" s="10"/>
      <c r="F195" s="11"/>
      <c r="G195" s="19">
        <f>IFERROR(SUMIFS(Transactions!$F$7:$F$996,Transactions!$G$7:$G$996,A195,Transactions!$D$7:$D$996,"Expense"),0)</f>
        <v>0</v>
      </c>
      <c r="H195" s="10"/>
      <c r="I195" s="10"/>
      <c r="J195" s="10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10"/>
      <c r="B196" s="18"/>
      <c r="C196" s="10"/>
      <c r="D196" s="10"/>
      <c r="E196" s="10"/>
      <c r="F196" s="11"/>
      <c r="G196" s="19">
        <f>IFERROR(SUMIFS(Transactions!$F$7:$F$996,Transactions!$G$7:$G$996,A196,Transactions!$D$7:$D$996,"Expense"),0)</f>
        <v>0</v>
      </c>
      <c r="H196" s="10"/>
      <c r="I196" s="10"/>
      <c r="J196" s="10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10"/>
      <c r="B197" s="18"/>
      <c r="C197" s="10"/>
      <c r="D197" s="10"/>
      <c r="E197" s="10"/>
      <c r="F197" s="11"/>
      <c r="G197" s="19">
        <f>IFERROR(SUMIFS(Transactions!$F$7:$F$996,Transactions!$G$7:$G$996,A197,Transactions!$D$7:$D$996,"Expense"),0)</f>
        <v>0</v>
      </c>
      <c r="H197" s="10"/>
      <c r="I197" s="10"/>
      <c r="J197" s="10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10"/>
      <c r="B198" s="18"/>
      <c r="C198" s="10"/>
      <c r="D198" s="10"/>
      <c r="E198" s="10"/>
      <c r="F198" s="11"/>
      <c r="G198" s="19">
        <f>IFERROR(SUMIFS(Transactions!$F$7:$F$996,Transactions!$G$7:$G$996,A198,Transactions!$D$7:$D$996,"Expense"),0)</f>
        <v>0</v>
      </c>
      <c r="H198" s="10"/>
      <c r="I198" s="10"/>
      <c r="J198" s="10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10"/>
      <c r="B199" s="18"/>
      <c r="C199" s="10"/>
      <c r="D199" s="10"/>
      <c r="E199" s="10"/>
      <c r="F199" s="11"/>
      <c r="G199" s="19">
        <f>IFERROR(SUMIFS(Transactions!$F$7:$F$996,Transactions!$G$7:$G$996,A199,Transactions!$D$7:$D$996,"Expense"),0)</f>
        <v>0</v>
      </c>
      <c r="H199" s="10"/>
      <c r="I199" s="10"/>
      <c r="J199" s="10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10"/>
      <c r="B200" s="18"/>
      <c r="C200" s="10"/>
      <c r="D200" s="10"/>
      <c r="E200" s="10"/>
      <c r="F200" s="11"/>
      <c r="G200" s="19">
        <f>IFERROR(SUMIFS(Transactions!$F$7:$F$996,Transactions!$G$7:$G$996,A200,Transactions!$D$7:$D$996,"Expense"),0)</f>
        <v>0</v>
      </c>
      <c r="H200" s="10"/>
      <c r="I200" s="10"/>
      <c r="J200" s="10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10"/>
      <c r="B201" s="18"/>
      <c r="C201" s="10"/>
      <c r="D201" s="10"/>
      <c r="E201" s="10"/>
      <c r="F201" s="11"/>
      <c r="G201" s="19">
        <f>IFERROR(SUMIFS(Transactions!$F$7:$F$996,Transactions!$G$7:$G$996,A201,Transactions!$D$7:$D$996,"Expense"),0)</f>
        <v>0</v>
      </c>
      <c r="H201" s="10"/>
      <c r="I201" s="10"/>
      <c r="J201" s="10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10"/>
      <c r="B202" s="18"/>
      <c r="C202" s="10"/>
      <c r="D202" s="10"/>
      <c r="E202" s="10"/>
      <c r="F202" s="11"/>
      <c r="G202" s="19">
        <f>IFERROR(SUMIFS(Transactions!$F$7:$F$996,Transactions!$G$7:$G$996,A202,Transactions!$D$7:$D$996,"Expense"),0)</f>
        <v>0</v>
      </c>
      <c r="H202" s="10"/>
      <c r="I202" s="10"/>
      <c r="J202" s="10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10"/>
      <c r="B203" s="18"/>
      <c r="C203" s="10"/>
      <c r="D203" s="10"/>
      <c r="E203" s="10"/>
      <c r="F203" s="11"/>
      <c r="G203" s="19">
        <f>IFERROR(SUMIFS(Transactions!$F$7:$F$996,Transactions!$G$7:$G$996,A203,Transactions!$D$7:$D$996,"Expense"),0)</f>
        <v>0</v>
      </c>
      <c r="H203" s="10"/>
      <c r="I203" s="10"/>
      <c r="J203" s="10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10"/>
      <c r="B204" s="18"/>
      <c r="C204" s="10"/>
      <c r="D204" s="10"/>
      <c r="E204" s="10"/>
      <c r="F204" s="11"/>
      <c r="G204" s="19">
        <f>IFERROR(SUMIFS(Transactions!$F$7:$F$996,Transactions!$G$7:$G$996,A204,Transactions!$D$7:$D$996,"Expense"),0)</f>
        <v>0</v>
      </c>
      <c r="H204" s="10"/>
      <c r="I204" s="10"/>
      <c r="J204" s="10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10"/>
      <c r="B205" s="18"/>
      <c r="C205" s="10"/>
      <c r="D205" s="10"/>
      <c r="E205" s="10"/>
      <c r="F205" s="11"/>
      <c r="G205" s="19">
        <f>IFERROR(SUMIFS(Transactions!$F$7:$F$996,Transactions!$G$7:$G$996,A205,Transactions!$D$7:$D$996,"Expense"),0)</f>
        <v>0</v>
      </c>
      <c r="H205" s="10"/>
      <c r="I205" s="10"/>
      <c r="J205" s="10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10"/>
      <c r="B206" s="18"/>
      <c r="C206" s="10"/>
      <c r="D206" s="10"/>
      <c r="E206" s="10"/>
      <c r="F206" s="11"/>
      <c r="G206" s="19">
        <f>IFERROR(SUMIFS(Transactions!$F$7:$F$996,Transactions!$G$7:$G$996,A206,Transactions!$D$7:$D$996,"Expense"),0)</f>
        <v>0</v>
      </c>
      <c r="H206" s="10"/>
      <c r="I206" s="10"/>
      <c r="J206" s="10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9.5" customHeight="1">
      <c r="A207" s="10"/>
      <c r="B207" s="18"/>
      <c r="C207" s="10"/>
      <c r="D207" s="10"/>
      <c r="E207" s="10"/>
      <c r="F207" s="11"/>
      <c r="G207" s="19">
        <f>IFERROR(SUMIFS(Transactions!$F$7:$F$996,Transactions!$G$7:$G$996,A207,Transactions!$D$7:$D$996,"Expense"),0)</f>
        <v>0</v>
      </c>
      <c r="H207" s="10"/>
      <c r="I207" s="10"/>
      <c r="J207" s="10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9.5" customHeight="1">
      <c r="A208" s="10"/>
      <c r="B208" s="18"/>
      <c r="C208" s="10"/>
      <c r="D208" s="10"/>
      <c r="E208" s="10"/>
      <c r="F208" s="11"/>
      <c r="G208" s="19">
        <f>IFERROR(SUMIFS(Transactions!$F$7:$F$996,Transactions!$G$7:$G$996,A208,Transactions!$D$7:$D$996,"Expense"),0)</f>
        <v>0</v>
      </c>
      <c r="H208" s="10"/>
      <c r="I208" s="10"/>
      <c r="J208" s="10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9.5" customHeight="1">
      <c r="A209" s="10"/>
      <c r="B209" s="18"/>
      <c r="C209" s="10"/>
      <c r="D209" s="10"/>
      <c r="E209" s="10"/>
      <c r="F209" s="11"/>
      <c r="G209" s="19">
        <f>IFERROR(SUMIFS(Transactions!$F$7:$F$996,Transactions!$G$7:$G$996,A209,Transactions!$D$7:$D$996,"Expense"),0)</f>
        <v>0</v>
      </c>
      <c r="H209" s="10"/>
      <c r="I209" s="10"/>
      <c r="J209" s="10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9.5" customHeight="1">
      <c r="A210" s="10"/>
      <c r="B210" s="18"/>
      <c r="C210" s="10"/>
      <c r="D210" s="10"/>
      <c r="E210" s="10"/>
      <c r="F210" s="11"/>
      <c r="G210" s="19">
        <f>IFERROR(SUMIFS(Transactions!$F$7:$F$996,Transactions!$G$7:$G$996,A210,Transactions!$D$7:$D$996,"Expense"),0)</f>
        <v>0</v>
      </c>
      <c r="H210" s="10"/>
      <c r="I210" s="10"/>
      <c r="J210" s="10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9.5" customHeight="1">
      <c r="A211" s="10"/>
      <c r="B211" s="18"/>
      <c r="C211" s="10"/>
      <c r="D211" s="10"/>
      <c r="E211" s="10"/>
      <c r="F211" s="11"/>
      <c r="G211" s="19">
        <f>IFERROR(SUMIFS(Transactions!$F$7:$F$996,Transactions!$G$7:$G$996,A211,Transactions!$D$7:$D$996,"Expense"),0)</f>
        <v>0</v>
      </c>
      <c r="H211" s="10"/>
      <c r="I211" s="10"/>
      <c r="J211" s="10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9.5" customHeight="1">
      <c r="A212" s="10"/>
      <c r="B212" s="18"/>
      <c r="C212" s="10"/>
      <c r="D212" s="10"/>
      <c r="E212" s="10"/>
      <c r="F212" s="11"/>
      <c r="G212" s="19">
        <f>IFERROR(SUMIFS(Transactions!$F$7:$F$996,Transactions!$G$7:$G$996,A212,Transactions!$D$7:$D$996,"Expense"),0)</f>
        <v>0</v>
      </c>
      <c r="H212" s="10"/>
      <c r="I212" s="10"/>
      <c r="J212" s="10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9.5" customHeight="1">
      <c r="A213" s="10"/>
      <c r="B213" s="18"/>
      <c r="C213" s="10"/>
      <c r="D213" s="10"/>
      <c r="E213" s="10"/>
      <c r="F213" s="11"/>
      <c r="G213" s="19">
        <f>IFERROR(SUMIFS(Transactions!$F$7:$F$996,Transactions!$G$7:$G$996,A213,Transactions!$D$7:$D$996,"Expense"),0)</f>
        <v>0</v>
      </c>
      <c r="H213" s="10"/>
      <c r="I213" s="10"/>
      <c r="J213" s="10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9.5" customHeight="1">
      <c r="A214" s="10"/>
      <c r="B214" s="18"/>
      <c r="C214" s="10"/>
      <c r="D214" s="10"/>
      <c r="E214" s="10"/>
      <c r="F214" s="11"/>
      <c r="G214" s="19">
        <f>IFERROR(SUMIFS(Transactions!$F$7:$F$996,Transactions!$G$7:$G$996,A214,Transactions!$D$7:$D$996,"Expense"),0)</f>
        <v>0</v>
      </c>
      <c r="H214" s="10"/>
      <c r="I214" s="10"/>
      <c r="J214" s="10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9.5" customHeight="1">
      <c r="A215" s="10"/>
      <c r="B215" s="18"/>
      <c r="C215" s="10"/>
      <c r="D215" s="10"/>
      <c r="E215" s="10"/>
      <c r="F215" s="11"/>
      <c r="G215" s="19">
        <f>IFERROR(SUMIFS(Transactions!$F$7:$F$996,Transactions!$G$7:$G$996,A215,Transactions!$D$7:$D$996,"Expense"),0)</f>
        <v>0</v>
      </c>
      <c r="H215" s="10"/>
      <c r="I215" s="10"/>
      <c r="J215" s="10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9.5" customHeight="1">
      <c r="A216" s="10"/>
      <c r="B216" s="18"/>
      <c r="C216" s="10"/>
      <c r="D216" s="10"/>
      <c r="E216" s="10"/>
      <c r="F216" s="11"/>
      <c r="G216" s="19">
        <f>IFERROR(SUMIFS(Transactions!$F$7:$F$996,Transactions!$G$7:$G$996,A216,Transactions!$D$7:$D$996,"Expense"),0)</f>
        <v>0</v>
      </c>
      <c r="H216" s="10"/>
      <c r="I216" s="10"/>
      <c r="J216" s="10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9.5" customHeight="1">
      <c r="A217" s="10"/>
      <c r="B217" s="18"/>
      <c r="C217" s="10"/>
      <c r="D217" s="10"/>
      <c r="E217" s="10"/>
      <c r="F217" s="11"/>
      <c r="G217" s="19">
        <f>IFERROR(SUMIFS(Transactions!$F$7:$F$996,Transactions!$G$7:$G$996,A217,Transactions!$D$7:$D$996,"Expense"),0)</f>
        <v>0</v>
      </c>
      <c r="H217" s="10"/>
      <c r="I217" s="10"/>
      <c r="J217" s="10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9.5" customHeight="1">
      <c r="A218" s="10"/>
      <c r="B218" s="18"/>
      <c r="C218" s="10"/>
      <c r="D218" s="10"/>
      <c r="E218" s="10"/>
      <c r="F218" s="11"/>
      <c r="G218" s="19">
        <f>IFERROR(SUMIFS(Transactions!$F$7:$F$996,Transactions!$G$7:$G$996,A218,Transactions!$D$7:$D$996,"Expense"),0)</f>
        <v>0</v>
      </c>
      <c r="H218" s="10"/>
      <c r="I218" s="10"/>
      <c r="J218" s="10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9.5" customHeight="1">
      <c r="A219" s="10"/>
      <c r="B219" s="18"/>
      <c r="C219" s="10"/>
      <c r="D219" s="10"/>
      <c r="E219" s="10"/>
      <c r="F219" s="11"/>
      <c r="G219" s="19">
        <f>IFERROR(SUMIFS(Transactions!$F$7:$F$996,Transactions!$G$7:$G$996,A219,Transactions!$D$7:$D$996,"Expense"),0)</f>
        <v>0</v>
      </c>
      <c r="H219" s="10"/>
      <c r="I219" s="10"/>
      <c r="J219" s="10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9.5" customHeight="1">
      <c r="A220" s="10"/>
      <c r="B220" s="18"/>
      <c r="C220" s="10"/>
      <c r="D220" s="10"/>
      <c r="E220" s="10"/>
      <c r="F220" s="11"/>
      <c r="G220" s="19">
        <f>IFERROR(SUMIFS(Transactions!$F$7:$F$996,Transactions!$G$7:$G$996,A220,Transactions!$D$7:$D$996,"Expense"),0)</f>
        <v>0</v>
      </c>
      <c r="H220" s="10"/>
      <c r="I220" s="10"/>
      <c r="J220" s="10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9.5" customHeight="1">
      <c r="A221" s="10"/>
      <c r="B221" s="18"/>
      <c r="C221" s="10"/>
      <c r="D221" s="10"/>
      <c r="E221" s="10"/>
      <c r="F221" s="11"/>
      <c r="G221" s="19">
        <f>IFERROR(SUMIFS(Transactions!$F$7:$F$996,Transactions!$G$7:$G$996,A221,Transactions!$D$7:$D$996,"Expense"),0)</f>
        <v>0</v>
      </c>
      <c r="H221" s="10"/>
      <c r="I221" s="10"/>
      <c r="J221" s="10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9.5" customHeight="1">
      <c r="A222" s="10"/>
      <c r="B222" s="18"/>
      <c r="C222" s="10"/>
      <c r="D222" s="10"/>
      <c r="E222" s="10"/>
      <c r="F222" s="11"/>
      <c r="G222" s="19">
        <f>IFERROR(SUMIFS(Transactions!$F$7:$F$996,Transactions!$G$7:$G$996,A222,Transactions!$D$7:$D$996,"Expense"),0)</f>
        <v>0</v>
      </c>
      <c r="H222" s="10"/>
      <c r="I222" s="10"/>
      <c r="J222" s="10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9.5" customHeight="1">
      <c r="A223" s="10"/>
      <c r="B223" s="18"/>
      <c r="C223" s="10"/>
      <c r="D223" s="10"/>
      <c r="E223" s="10"/>
      <c r="F223" s="11"/>
      <c r="G223" s="19">
        <f>IFERROR(SUMIFS(Transactions!$F$7:$F$996,Transactions!$G$7:$G$996,A223,Transactions!$D$7:$D$996,"Expense"),0)</f>
        <v>0</v>
      </c>
      <c r="H223" s="10"/>
      <c r="I223" s="10"/>
      <c r="J223" s="10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9.5" customHeight="1">
      <c r="A224" s="10"/>
      <c r="B224" s="18"/>
      <c r="C224" s="10"/>
      <c r="D224" s="10"/>
      <c r="E224" s="10"/>
      <c r="F224" s="11"/>
      <c r="G224" s="19">
        <f>IFERROR(SUMIFS(Transactions!$F$7:$F$996,Transactions!$G$7:$G$996,A224,Transactions!$D$7:$D$996,"Expense"),0)</f>
        <v>0</v>
      </c>
      <c r="H224" s="10"/>
      <c r="I224" s="10"/>
      <c r="J224" s="10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9.5" customHeight="1">
      <c r="A225" s="10"/>
      <c r="B225" s="18"/>
      <c r="C225" s="10"/>
      <c r="D225" s="10"/>
      <c r="E225" s="10"/>
      <c r="F225" s="11"/>
      <c r="G225" s="19">
        <f>IFERROR(SUMIFS(Transactions!$F$7:$F$996,Transactions!$G$7:$G$996,A225,Transactions!$D$7:$D$996,"Expense"),0)</f>
        <v>0</v>
      </c>
      <c r="H225" s="10"/>
      <c r="I225" s="10"/>
      <c r="J225" s="10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9.5" customHeight="1">
      <c r="A226" s="10"/>
      <c r="B226" s="18"/>
      <c r="C226" s="10"/>
      <c r="D226" s="10"/>
      <c r="E226" s="10"/>
      <c r="F226" s="11"/>
      <c r="G226" s="19">
        <f>IFERROR(SUMIFS(Transactions!$F$7:$F$996,Transactions!$G$7:$G$996,A226,Transactions!$D$7:$D$996,"Expense"),0)</f>
        <v>0</v>
      </c>
      <c r="H226" s="10"/>
      <c r="I226" s="10"/>
      <c r="J226" s="10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9.5" customHeight="1">
      <c r="A227" s="10"/>
      <c r="B227" s="18"/>
      <c r="C227" s="10"/>
      <c r="D227" s="10"/>
      <c r="E227" s="10"/>
      <c r="F227" s="11"/>
      <c r="G227" s="19">
        <f>IFERROR(SUMIFS(Transactions!$F$7:$F$996,Transactions!$G$7:$G$996,A227,Transactions!$D$7:$D$996,"Expense"),0)</f>
        <v>0</v>
      </c>
      <c r="H227" s="10"/>
      <c r="I227" s="10"/>
      <c r="J227" s="10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9.5" customHeight="1">
      <c r="A228" s="10"/>
      <c r="B228" s="18"/>
      <c r="C228" s="10"/>
      <c r="D228" s="10"/>
      <c r="E228" s="10"/>
      <c r="F228" s="11"/>
      <c r="G228" s="19">
        <f>IFERROR(SUMIFS(Transactions!$F$7:$F$996,Transactions!$G$7:$G$996,A228,Transactions!$D$7:$D$996,"Expense"),0)</f>
        <v>0</v>
      </c>
      <c r="H228" s="10"/>
      <c r="I228" s="10"/>
      <c r="J228" s="10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9.5" customHeight="1">
      <c r="A229" s="10"/>
      <c r="B229" s="18"/>
      <c r="C229" s="10"/>
      <c r="D229" s="10"/>
      <c r="E229" s="10"/>
      <c r="F229" s="11"/>
      <c r="G229" s="19">
        <f>IFERROR(SUMIFS(Transactions!$F$7:$F$996,Transactions!$G$7:$G$996,A229,Transactions!$D$7:$D$996,"Expense"),0)</f>
        <v>0</v>
      </c>
      <c r="H229" s="10"/>
      <c r="I229" s="10"/>
      <c r="J229" s="10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9.5" customHeight="1">
      <c r="A230" s="10"/>
      <c r="B230" s="18"/>
      <c r="C230" s="10"/>
      <c r="D230" s="10"/>
      <c r="E230" s="10"/>
      <c r="F230" s="11"/>
      <c r="G230" s="19">
        <f>IFERROR(SUMIFS(Transactions!$F$7:$F$996,Transactions!$G$7:$G$996,A230,Transactions!$D$7:$D$996,"Expense"),0)</f>
        <v>0</v>
      </c>
      <c r="H230" s="10"/>
      <c r="I230" s="10"/>
      <c r="J230" s="10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9.5" customHeight="1">
      <c r="A231" s="10"/>
      <c r="B231" s="18"/>
      <c r="C231" s="10"/>
      <c r="D231" s="10"/>
      <c r="E231" s="10"/>
      <c r="F231" s="11"/>
      <c r="G231" s="19">
        <f>IFERROR(SUMIFS(Transactions!$F$7:$F$996,Transactions!$G$7:$G$996,A231,Transactions!$D$7:$D$996,"Expense"),0)</f>
        <v>0</v>
      </c>
      <c r="H231" s="10"/>
      <c r="I231" s="10"/>
      <c r="J231" s="10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9.5" customHeight="1">
      <c r="A232" s="10"/>
      <c r="B232" s="18"/>
      <c r="C232" s="10"/>
      <c r="D232" s="10"/>
      <c r="E232" s="10"/>
      <c r="F232" s="11"/>
      <c r="G232" s="19">
        <f>IFERROR(SUMIFS(Transactions!$F$7:$F$996,Transactions!$G$7:$G$996,A232,Transactions!$D$7:$D$996,"Expense"),0)</f>
        <v>0</v>
      </c>
      <c r="H232" s="10"/>
      <c r="I232" s="10"/>
      <c r="J232" s="10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9.5" customHeight="1">
      <c r="A233" s="10"/>
      <c r="B233" s="18"/>
      <c r="C233" s="10"/>
      <c r="D233" s="10"/>
      <c r="E233" s="10"/>
      <c r="F233" s="11"/>
      <c r="G233" s="19">
        <f>IFERROR(SUMIFS(Transactions!$F$7:$F$996,Transactions!$G$7:$G$996,A233,Transactions!$D$7:$D$996,"Expense"),0)</f>
        <v>0</v>
      </c>
      <c r="H233" s="10"/>
      <c r="I233" s="10"/>
      <c r="J233" s="10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9.5" customHeight="1">
      <c r="A234" s="10"/>
      <c r="B234" s="18"/>
      <c r="C234" s="10"/>
      <c r="D234" s="10"/>
      <c r="E234" s="10"/>
      <c r="F234" s="11"/>
      <c r="G234" s="19">
        <f>IFERROR(SUMIFS(Transactions!$F$7:$F$996,Transactions!$G$7:$G$996,A234,Transactions!$D$7:$D$996,"Expense"),0)</f>
        <v>0</v>
      </c>
      <c r="H234" s="10"/>
      <c r="I234" s="10"/>
      <c r="J234" s="10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9.5" customHeight="1">
      <c r="A235" s="10"/>
      <c r="B235" s="18"/>
      <c r="C235" s="10"/>
      <c r="D235" s="10"/>
      <c r="E235" s="10"/>
      <c r="F235" s="11"/>
      <c r="G235" s="19">
        <f>IFERROR(SUMIFS(Transactions!$F$7:$F$996,Transactions!$G$7:$G$996,A235,Transactions!$D$7:$D$996,"Expense"),0)</f>
        <v>0</v>
      </c>
      <c r="H235" s="10"/>
      <c r="I235" s="10"/>
      <c r="J235" s="10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9.5" customHeight="1">
      <c r="A236" s="10"/>
      <c r="B236" s="18"/>
      <c r="C236" s="10"/>
      <c r="D236" s="10"/>
      <c r="E236" s="10"/>
      <c r="F236" s="11"/>
      <c r="G236" s="19">
        <f>IFERROR(SUMIFS(Transactions!$F$7:$F$996,Transactions!$G$7:$G$996,A236,Transactions!$D$7:$D$996,"Expense"),0)</f>
        <v>0</v>
      </c>
      <c r="H236" s="10"/>
      <c r="I236" s="10"/>
      <c r="J236" s="10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9.5" customHeight="1">
      <c r="A237" s="10"/>
      <c r="B237" s="18"/>
      <c r="C237" s="10"/>
      <c r="D237" s="10"/>
      <c r="E237" s="10"/>
      <c r="F237" s="11"/>
      <c r="G237" s="19">
        <f>IFERROR(SUMIFS(Transactions!$F$7:$F$996,Transactions!$G$7:$G$996,A237,Transactions!$D$7:$D$996,"Expense"),0)</f>
        <v>0</v>
      </c>
      <c r="H237" s="10"/>
      <c r="I237" s="10"/>
      <c r="J237" s="10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9.5" customHeight="1">
      <c r="A238" s="10"/>
      <c r="B238" s="18"/>
      <c r="C238" s="10"/>
      <c r="D238" s="10"/>
      <c r="E238" s="10"/>
      <c r="F238" s="11"/>
      <c r="G238" s="19">
        <f>IFERROR(SUMIFS(Transactions!$F$7:$F$996,Transactions!$G$7:$G$996,A238,Transactions!$D$7:$D$996,"Expense"),0)</f>
        <v>0</v>
      </c>
      <c r="H238" s="10"/>
      <c r="I238" s="10"/>
      <c r="J238" s="10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9.5" customHeight="1">
      <c r="A239" s="10"/>
      <c r="B239" s="18"/>
      <c r="C239" s="10"/>
      <c r="D239" s="10"/>
      <c r="E239" s="10"/>
      <c r="F239" s="11"/>
      <c r="G239" s="19">
        <f>IFERROR(SUMIFS(Transactions!$F$7:$F$996,Transactions!$G$7:$G$996,A239,Transactions!$D$7:$D$996,"Expense"),0)</f>
        <v>0</v>
      </c>
      <c r="H239" s="10"/>
      <c r="I239" s="10"/>
      <c r="J239" s="10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9.5" customHeight="1">
      <c r="A240" s="10"/>
      <c r="B240" s="18"/>
      <c r="C240" s="10"/>
      <c r="D240" s="10"/>
      <c r="E240" s="10"/>
      <c r="F240" s="11"/>
      <c r="G240" s="19">
        <f>IFERROR(SUMIFS(Transactions!$F$7:$F$996,Transactions!$G$7:$G$996,A240,Transactions!$D$7:$D$996,"Expense"),0)</f>
        <v>0</v>
      </c>
      <c r="H240" s="10"/>
      <c r="I240" s="10"/>
      <c r="J240" s="10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9.5" customHeight="1">
      <c r="A241" s="10"/>
      <c r="B241" s="18"/>
      <c r="C241" s="10"/>
      <c r="D241" s="10"/>
      <c r="E241" s="10"/>
      <c r="F241" s="11"/>
      <c r="G241" s="19">
        <f>IFERROR(SUMIFS(Transactions!$F$7:$F$996,Transactions!$G$7:$G$996,A241,Transactions!$D$7:$D$996,"Expense"),0)</f>
        <v>0</v>
      </c>
      <c r="H241" s="10"/>
      <c r="I241" s="10"/>
      <c r="J241" s="10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9.5" customHeight="1">
      <c r="A242" s="10"/>
      <c r="B242" s="18"/>
      <c r="C242" s="10"/>
      <c r="D242" s="10"/>
      <c r="E242" s="10"/>
      <c r="F242" s="11"/>
      <c r="G242" s="19">
        <f>IFERROR(SUMIFS(Transactions!$F$7:$F$996,Transactions!$G$7:$G$996,A242,Transactions!$D$7:$D$996,"Expense"),0)</f>
        <v>0</v>
      </c>
      <c r="H242" s="10"/>
      <c r="I242" s="10"/>
      <c r="J242" s="10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9.5" customHeight="1">
      <c r="A243" s="10"/>
      <c r="B243" s="18"/>
      <c r="C243" s="10"/>
      <c r="D243" s="10"/>
      <c r="E243" s="10"/>
      <c r="F243" s="11"/>
      <c r="G243" s="19">
        <f>IFERROR(SUMIFS(Transactions!$F$7:$F$996,Transactions!$G$7:$G$996,A243,Transactions!$D$7:$D$996,"Expense"),0)</f>
        <v>0</v>
      </c>
      <c r="H243" s="10"/>
      <c r="I243" s="10"/>
      <c r="J243" s="10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9.5" customHeight="1">
      <c r="A244" s="10"/>
      <c r="B244" s="18"/>
      <c r="C244" s="10"/>
      <c r="D244" s="10"/>
      <c r="E244" s="10"/>
      <c r="F244" s="11"/>
      <c r="G244" s="19">
        <f>IFERROR(SUMIFS(Transactions!$F$7:$F$996,Transactions!$G$7:$G$996,A244,Transactions!$D$7:$D$996,"Expense"),0)</f>
        <v>0</v>
      </c>
      <c r="H244" s="10"/>
      <c r="I244" s="10"/>
      <c r="J244" s="10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9.5" customHeight="1">
      <c r="A245" s="10"/>
      <c r="B245" s="18"/>
      <c r="C245" s="10"/>
      <c r="D245" s="10"/>
      <c r="E245" s="10"/>
      <c r="F245" s="11"/>
      <c r="G245" s="19">
        <f>IFERROR(SUMIFS(Transactions!$F$7:$F$996,Transactions!$G$7:$G$996,A245,Transactions!$D$7:$D$996,"Expense"),0)</f>
        <v>0</v>
      </c>
      <c r="H245" s="10"/>
      <c r="I245" s="10"/>
      <c r="J245" s="10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9.5" customHeight="1">
      <c r="A246" s="10"/>
      <c r="B246" s="18"/>
      <c r="C246" s="10"/>
      <c r="D246" s="10"/>
      <c r="E246" s="10"/>
      <c r="F246" s="11"/>
      <c r="G246" s="19">
        <f>IFERROR(SUMIFS(Transactions!$F$7:$F$996,Transactions!$G$7:$G$996,A246,Transactions!$D$7:$D$996,"Expense"),0)</f>
        <v>0</v>
      </c>
      <c r="H246" s="10"/>
      <c r="I246" s="10"/>
      <c r="J246" s="10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9.5" customHeight="1">
      <c r="A247" s="10"/>
      <c r="B247" s="18"/>
      <c r="C247" s="10"/>
      <c r="D247" s="10"/>
      <c r="E247" s="10"/>
      <c r="F247" s="11"/>
      <c r="G247" s="19">
        <f>IFERROR(SUMIFS(Transactions!$F$7:$F$996,Transactions!$G$7:$G$996,A247,Transactions!$D$7:$D$996,"Expense"),0)</f>
        <v>0</v>
      </c>
      <c r="H247" s="10"/>
      <c r="I247" s="10"/>
      <c r="J247" s="10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9.5" customHeight="1">
      <c r="A248" s="10"/>
      <c r="B248" s="18"/>
      <c r="C248" s="10"/>
      <c r="D248" s="10"/>
      <c r="E248" s="10"/>
      <c r="F248" s="11"/>
      <c r="G248" s="19">
        <f>IFERROR(SUMIFS(Transactions!$F$7:$F$996,Transactions!$G$7:$G$996,A248,Transactions!$D$7:$D$996,"Expense"),0)</f>
        <v>0</v>
      </c>
      <c r="H248" s="10"/>
      <c r="I248" s="10"/>
      <c r="J248" s="10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9.5" customHeight="1">
      <c r="A249" s="10"/>
      <c r="B249" s="18"/>
      <c r="C249" s="10"/>
      <c r="D249" s="10"/>
      <c r="E249" s="10"/>
      <c r="F249" s="11"/>
      <c r="G249" s="19">
        <f>IFERROR(SUMIFS(Transactions!$F$7:$F$996,Transactions!$G$7:$G$996,A249,Transactions!$D$7:$D$996,"Expense"),0)</f>
        <v>0</v>
      </c>
      <c r="H249" s="10"/>
      <c r="I249" s="10"/>
      <c r="J249" s="10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9.5" customHeight="1">
      <c r="A250" s="10"/>
      <c r="B250" s="18"/>
      <c r="C250" s="10"/>
      <c r="D250" s="10"/>
      <c r="E250" s="10"/>
      <c r="F250" s="11"/>
      <c r="G250" s="19">
        <f>IFERROR(SUMIFS(Transactions!$F$7:$F$996,Transactions!$G$7:$G$996,A250,Transactions!$D$7:$D$996,"Expense"),0)</f>
        <v>0</v>
      </c>
      <c r="H250" s="10"/>
      <c r="I250" s="10"/>
      <c r="J250" s="10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9.5" customHeight="1">
      <c r="A251" s="10"/>
      <c r="B251" s="18"/>
      <c r="C251" s="10"/>
      <c r="D251" s="10"/>
      <c r="E251" s="10"/>
      <c r="F251" s="11"/>
      <c r="G251" s="19">
        <f>IFERROR(SUMIFS(Transactions!$F$7:$F$996,Transactions!$G$7:$G$996,A251,Transactions!$D$7:$D$996,"Expense"),0)</f>
        <v>0</v>
      </c>
      <c r="H251" s="10"/>
      <c r="I251" s="10"/>
      <c r="J251" s="10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9.5" customHeight="1">
      <c r="A252" s="10"/>
      <c r="B252" s="18"/>
      <c r="C252" s="10"/>
      <c r="D252" s="10"/>
      <c r="E252" s="10"/>
      <c r="F252" s="11"/>
      <c r="G252" s="19">
        <f>IFERROR(SUMIFS(Transactions!$F$7:$F$996,Transactions!$G$7:$G$996,A252,Transactions!$D$7:$D$996,"Expense"),0)</f>
        <v>0</v>
      </c>
      <c r="H252" s="10"/>
      <c r="I252" s="10"/>
      <c r="J252" s="10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9.5" customHeight="1">
      <c r="A253" s="10"/>
      <c r="B253" s="18"/>
      <c r="C253" s="10"/>
      <c r="D253" s="10"/>
      <c r="E253" s="10"/>
      <c r="F253" s="11"/>
      <c r="G253" s="19">
        <f>IFERROR(SUMIFS(Transactions!$F$7:$F$996,Transactions!$G$7:$G$996,A253,Transactions!$D$7:$D$996,"Expense"),0)</f>
        <v>0</v>
      </c>
      <c r="H253" s="10"/>
      <c r="I253" s="10"/>
      <c r="J253" s="10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9.5" customHeight="1">
      <c r="A254" s="10"/>
      <c r="B254" s="18"/>
      <c r="C254" s="10"/>
      <c r="D254" s="10"/>
      <c r="E254" s="10"/>
      <c r="F254" s="11"/>
      <c r="G254" s="19">
        <f>IFERROR(SUMIFS(Transactions!$F$7:$F$996,Transactions!$G$7:$G$996,A254,Transactions!$D$7:$D$996,"Expense"),0)</f>
        <v>0</v>
      </c>
      <c r="H254" s="10"/>
      <c r="I254" s="10"/>
      <c r="J254" s="10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9.5" customHeight="1">
      <c r="A255" s="10"/>
      <c r="B255" s="18"/>
      <c r="C255" s="10"/>
      <c r="D255" s="10"/>
      <c r="E255" s="10"/>
      <c r="F255" s="11"/>
      <c r="G255" s="19">
        <f>IFERROR(SUMIFS(Transactions!$F$7:$F$996,Transactions!$G$7:$G$996,A255,Transactions!$D$7:$D$996,"Expense"),0)</f>
        <v>0</v>
      </c>
      <c r="H255" s="10"/>
      <c r="I255" s="10"/>
      <c r="J255" s="10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9.5" customHeight="1">
      <c r="A256" s="10"/>
      <c r="B256" s="18"/>
      <c r="C256" s="10"/>
      <c r="D256" s="10"/>
      <c r="E256" s="10"/>
      <c r="F256" s="11"/>
      <c r="G256" s="19">
        <f>IFERROR(SUMIFS(Transactions!$F$7:$F$996,Transactions!$G$7:$G$996,A256,Transactions!$D$7:$D$996,"Expense"),0)</f>
        <v>0</v>
      </c>
      <c r="H256" s="10"/>
      <c r="I256" s="10"/>
      <c r="J256" s="10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9.5" customHeight="1">
      <c r="A257" s="10"/>
      <c r="B257" s="18"/>
      <c r="C257" s="10"/>
      <c r="D257" s="10"/>
      <c r="E257" s="10"/>
      <c r="F257" s="11"/>
      <c r="G257" s="19">
        <f>IFERROR(SUMIFS(Transactions!$F$7:$F$996,Transactions!$G$7:$G$996,A257,Transactions!$D$7:$D$996,"Expense"),0)</f>
        <v>0</v>
      </c>
      <c r="H257" s="10"/>
      <c r="I257" s="10"/>
      <c r="J257" s="10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9.5" customHeight="1">
      <c r="A258" s="10"/>
      <c r="B258" s="18"/>
      <c r="C258" s="10"/>
      <c r="D258" s="10"/>
      <c r="E258" s="10"/>
      <c r="F258" s="11"/>
      <c r="G258" s="19">
        <f>IFERROR(SUMIFS(Transactions!$F$7:$F$996,Transactions!$G$7:$G$996,A258,Transactions!$D$7:$D$996,"Expense"),0)</f>
        <v>0</v>
      </c>
      <c r="H258" s="10"/>
      <c r="I258" s="10"/>
      <c r="J258" s="10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9.5" customHeight="1">
      <c r="A259" s="10"/>
      <c r="B259" s="18"/>
      <c r="C259" s="10"/>
      <c r="D259" s="10"/>
      <c r="E259" s="10"/>
      <c r="F259" s="11"/>
      <c r="G259" s="19">
        <f>IFERROR(SUMIFS(Transactions!$F$7:$F$996,Transactions!$G$7:$G$996,A259,Transactions!$D$7:$D$996,"Expense"),0)</f>
        <v>0</v>
      </c>
      <c r="H259" s="10"/>
      <c r="I259" s="10"/>
      <c r="J259" s="10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9.5" customHeight="1">
      <c r="A260" s="10"/>
      <c r="B260" s="18"/>
      <c r="C260" s="10"/>
      <c r="D260" s="10"/>
      <c r="E260" s="10"/>
      <c r="F260" s="11"/>
      <c r="G260" s="19">
        <f>IFERROR(SUMIFS(Transactions!$F$7:$F$996,Transactions!$G$7:$G$996,A260,Transactions!$D$7:$D$996,"Expense"),0)</f>
        <v>0</v>
      </c>
      <c r="H260" s="10"/>
      <c r="I260" s="10"/>
      <c r="J260" s="10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9.5" customHeight="1">
      <c r="A261" s="10"/>
      <c r="B261" s="18"/>
      <c r="C261" s="10"/>
      <c r="D261" s="10"/>
      <c r="E261" s="10"/>
      <c r="F261" s="11"/>
      <c r="G261" s="19">
        <f>IFERROR(SUMIFS(Transactions!$F$7:$F$996,Transactions!$G$7:$G$996,A261,Transactions!$D$7:$D$996,"Expense"),0)</f>
        <v>0</v>
      </c>
      <c r="H261" s="10"/>
      <c r="I261" s="10"/>
      <c r="J261" s="10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9.5" customHeight="1">
      <c r="A262" s="10"/>
      <c r="B262" s="18"/>
      <c r="C262" s="10"/>
      <c r="D262" s="10"/>
      <c r="E262" s="10"/>
      <c r="F262" s="11"/>
      <c r="G262" s="19">
        <f>IFERROR(SUMIFS(Transactions!$F$7:$F$996,Transactions!$G$7:$G$996,A262,Transactions!$D$7:$D$996,"Expense"),0)</f>
        <v>0</v>
      </c>
      <c r="H262" s="10"/>
      <c r="I262" s="10"/>
      <c r="J262" s="10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9.5" customHeight="1">
      <c r="A263" s="10"/>
      <c r="B263" s="18"/>
      <c r="C263" s="10"/>
      <c r="D263" s="10"/>
      <c r="E263" s="10"/>
      <c r="F263" s="11"/>
      <c r="G263" s="19">
        <f>IFERROR(SUMIFS(Transactions!$F$7:$F$996,Transactions!$G$7:$G$996,A263,Transactions!$D$7:$D$996,"Expense"),0)</f>
        <v>0</v>
      </c>
      <c r="H263" s="10"/>
      <c r="I263" s="10"/>
      <c r="J263" s="10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9.5" customHeight="1">
      <c r="A264" s="10"/>
      <c r="B264" s="18"/>
      <c r="C264" s="10"/>
      <c r="D264" s="10"/>
      <c r="E264" s="10"/>
      <c r="F264" s="11"/>
      <c r="G264" s="19">
        <f>IFERROR(SUMIFS(Transactions!$F$7:$F$996,Transactions!$G$7:$G$996,A264,Transactions!$D$7:$D$996,"Expense"),0)</f>
        <v>0</v>
      </c>
      <c r="H264" s="10"/>
      <c r="I264" s="10"/>
      <c r="J264" s="10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9.5" customHeight="1">
      <c r="A265" s="10"/>
      <c r="B265" s="18"/>
      <c r="C265" s="10"/>
      <c r="D265" s="10"/>
      <c r="E265" s="10"/>
      <c r="F265" s="11"/>
      <c r="G265" s="19">
        <f>IFERROR(SUMIFS(Transactions!$F$7:$F$996,Transactions!$G$7:$G$996,A265,Transactions!$D$7:$D$996,"Expense"),0)</f>
        <v>0</v>
      </c>
      <c r="H265" s="10"/>
      <c r="I265" s="10"/>
      <c r="J265" s="10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9.5" customHeight="1">
      <c r="A266" s="10"/>
      <c r="B266" s="18"/>
      <c r="C266" s="10"/>
      <c r="D266" s="10"/>
      <c r="E266" s="10"/>
      <c r="F266" s="11"/>
      <c r="G266" s="19">
        <f>IFERROR(SUMIFS(Transactions!$F$7:$F$996,Transactions!$G$7:$G$996,A266,Transactions!$D$7:$D$996,"Expense"),0)</f>
        <v>0</v>
      </c>
      <c r="H266" s="10"/>
      <c r="I266" s="10"/>
      <c r="J266" s="10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9.5" customHeight="1">
      <c r="A267" s="10"/>
      <c r="B267" s="18"/>
      <c r="C267" s="10"/>
      <c r="D267" s="10"/>
      <c r="E267" s="10"/>
      <c r="F267" s="11"/>
      <c r="G267" s="19">
        <f>IFERROR(SUMIFS(Transactions!$F$7:$F$996,Transactions!$G$7:$G$996,A267,Transactions!$D$7:$D$996,"Expense"),0)</f>
        <v>0</v>
      </c>
      <c r="H267" s="10"/>
      <c r="I267" s="10"/>
      <c r="J267" s="10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9.5" customHeight="1">
      <c r="A268" s="10"/>
      <c r="B268" s="18"/>
      <c r="C268" s="10"/>
      <c r="D268" s="10"/>
      <c r="E268" s="10"/>
      <c r="F268" s="11"/>
      <c r="G268" s="19">
        <f>IFERROR(SUMIFS(Transactions!$F$7:$F$996,Transactions!$G$7:$G$996,A268,Transactions!$D$7:$D$996,"Expense"),0)</f>
        <v>0</v>
      </c>
      <c r="H268" s="10"/>
      <c r="I268" s="10"/>
      <c r="J268" s="10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9.5" customHeight="1">
      <c r="A269" s="10"/>
      <c r="B269" s="18"/>
      <c r="C269" s="10"/>
      <c r="D269" s="10"/>
      <c r="E269" s="10"/>
      <c r="F269" s="11"/>
      <c r="G269" s="19">
        <f>IFERROR(SUMIFS(Transactions!$F$7:$F$996,Transactions!$G$7:$G$996,A269,Transactions!$D$7:$D$996,"Expense"),0)</f>
        <v>0</v>
      </c>
      <c r="H269" s="10"/>
      <c r="I269" s="10"/>
      <c r="J269" s="10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9.5" customHeight="1">
      <c r="A270" s="10"/>
      <c r="B270" s="18"/>
      <c r="C270" s="10"/>
      <c r="D270" s="10"/>
      <c r="E270" s="10"/>
      <c r="F270" s="11"/>
      <c r="G270" s="19">
        <f>IFERROR(SUMIFS(Transactions!$F$7:$F$996,Transactions!$G$7:$G$996,A270,Transactions!$D$7:$D$996,"Expense"),0)</f>
        <v>0</v>
      </c>
      <c r="H270" s="10"/>
      <c r="I270" s="10"/>
      <c r="J270" s="10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9.5" customHeight="1">
      <c r="A271" s="10"/>
      <c r="B271" s="18"/>
      <c r="C271" s="10"/>
      <c r="D271" s="10"/>
      <c r="E271" s="10"/>
      <c r="F271" s="11"/>
      <c r="G271" s="19">
        <f>IFERROR(SUMIFS(Transactions!$F$7:$F$996,Transactions!$G$7:$G$996,A271,Transactions!$D$7:$D$996,"Expense"),0)</f>
        <v>0</v>
      </c>
      <c r="H271" s="10"/>
      <c r="I271" s="10"/>
      <c r="J271" s="10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9.5" customHeight="1">
      <c r="A272" s="10"/>
      <c r="B272" s="18"/>
      <c r="C272" s="10"/>
      <c r="D272" s="10"/>
      <c r="E272" s="10"/>
      <c r="F272" s="11"/>
      <c r="G272" s="19">
        <f>IFERROR(SUMIFS(Transactions!$F$7:$F$996,Transactions!$G$7:$G$996,A272,Transactions!$D$7:$D$996,"Expense"),0)</f>
        <v>0</v>
      </c>
      <c r="H272" s="10"/>
      <c r="I272" s="10"/>
      <c r="J272" s="10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9.5" customHeight="1">
      <c r="A273" s="10"/>
      <c r="B273" s="18"/>
      <c r="C273" s="10"/>
      <c r="D273" s="10"/>
      <c r="E273" s="10"/>
      <c r="F273" s="11"/>
      <c r="G273" s="19">
        <f>IFERROR(SUMIFS(Transactions!$F$7:$F$996,Transactions!$G$7:$G$996,A273,Transactions!$D$7:$D$996,"Expense"),0)</f>
        <v>0</v>
      </c>
      <c r="H273" s="10"/>
      <c r="I273" s="10"/>
      <c r="J273" s="10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9.5" customHeight="1">
      <c r="A274" s="10"/>
      <c r="B274" s="18"/>
      <c r="C274" s="10"/>
      <c r="D274" s="10"/>
      <c r="E274" s="10"/>
      <c r="F274" s="11"/>
      <c r="G274" s="19">
        <f>IFERROR(SUMIFS(Transactions!$F$7:$F$996,Transactions!$G$7:$G$996,A274,Transactions!$D$7:$D$996,"Expense"),0)</f>
        <v>0</v>
      </c>
      <c r="H274" s="10"/>
      <c r="I274" s="10"/>
      <c r="J274" s="10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9.5" customHeight="1">
      <c r="A275" s="10"/>
      <c r="B275" s="18"/>
      <c r="C275" s="10"/>
      <c r="D275" s="10"/>
      <c r="E275" s="10"/>
      <c r="F275" s="11"/>
      <c r="G275" s="19">
        <f>IFERROR(SUMIFS(Transactions!$F$7:$F$996,Transactions!$G$7:$G$996,A275,Transactions!$D$7:$D$996,"Expense"),0)</f>
        <v>0</v>
      </c>
      <c r="H275" s="10"/>
      <c r="I275" s="10"/>
      <c r="J275" s="10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9.5" customHeight="1">
      <c r="A276" s="10"/>
      <c r="B276" s="18"/>
      <c r="C276" s="10"/>
      <c r="D276" s="10"/>
      <c r="E276" s="10"/>
      <c r="F276" s="11"/>
      <c r="G276" s="19">
        <f>IFERROR(SUMIFS(Transactions!$F$7:$F$996,Transactions!$G$7:$G$996,A276,Transactions!$D$7:$D$996,"Expense"),0)</f>
        <v>0</v>
      </c>
      <c r="H276" s="10"/>
      <c r="I276" s="10"/>
      <c r="J276" s="10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9.5" customHeight="1">
      <c r="A277" s="10"/>
      <c r="B277" s="18"/>
      <c r="C277" s="10"/>
      <c r="D277" s="10"/>
      <c r="E277" s="10"/>
      <c r="F277" s="11"/>
      <c r="G277" s="19">
        <f>IFERROR(SUMIFS(Transactions!$F$7:$F$996,Transactions!$G$7:$G$996,A277,Transactions!$D$7:$D$996,"Expense"),0)</f>
        <v>0</v>
      </c>
      <c r="H277" s="10"/>
      <c r="I277" s="10"/>
      <c r="J277" s="10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9.5" customHeight="1">
      <c r="A278" s="10"/>
      <c r="B278" s="18"/>
      <c r="C278" s="10"/>
      <c r="D278" s="10"/>
      <c r="E278" s="10"/>
      <c r="F278" s="11"/>
      <c r="G278" s="19">
        <f>IFERROR(SUMIFS(Transactions!$F$7:$F$996,Transactions!$G$7:$G$996,A278,Transactions!$D$7:$D$996,"Expense"),0)</f>
        <v>0</v>
      </c>
      <c r="H278" s="10"/>
      <c r="I278" s="10"/>
      <c r="J278" s="10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9.5" customHeight="1">
      <c r="A279" s="10"/>
      <c r="B279" s="18"/>
      <c r="C279" s="10"/>
      <c r="D279" s="10"/>
      <c r="E279" s="10"/>
      <c r="F279" s="11"/>
      <c r="G279" s="19">
        <f>IFERROR(SUMIFS(Transactions!$F$7:$F$996,Transactions!$G$7:$G$996,A279,Transactions!$D$7:$D$996,"Expense"),0)</f>
        <v>0</v>
      </c>
      <c r="H279" s="10"/>
      <c r="I279" s="10"/>
      <c r="J279" s="10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9.5" customHeight="1">
      <c r="A280" s="10"/>
      <c r="B280" s="18"/>
      <c r="C280" s="10"/>
      <c r="D280" s="10"/>
      <c r="E280" s="10"/>
      <c r="F280" s="11"/>
      <c r="G280" s="19">
        <f>IFERROR(SUMIFS(Transactions!$F$7:$F$996,Transactions!$G$7:$G$996,A280,Transactions!$D$7:$D$996,"Expense"),0)</f>
        <v>0</v>
      </c>
      <c r="H280" s="10"/>
      <c r="I280" s="10"/>
      <c r="J280" s="10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9.5" customHeight="1">
      <c r="A281" s="10"/>
      <c r="B281" s="18"/>
      <c r="C281" s="10"/>
      <c r="D281" s="10"/>
      <c r="E281" s="10"/>
      <c r="F281" s="11"/>
      <c r="G281" s="19">
        <f>IFERROR(SUMIFS(Transactions!$F$7:$F$996,Transactions!$G$7:$G$996,A281,Transactions!$D$7:$D$996,"Expense"),0)</f>
        <v>0</v>
      </c>
      <c r="H281" s="10"/>
      <c r="I281" s="10"/>
      <c r="J281" s="10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9.5" customHeight="1">
      <c r="A282" s="10"/>
      <c r="B282" s="18"/>
      <c r="C282" s="10"/>
      <c r="D282" s="10"/>
      <c r="E282" s="10"/>
      <c r="F282" s="11"/>
      <c r="G282" s="19">
        <f>IFERROR(SUMIFS(Transactions!$F$7:$F$996,Transactions!$G$7:$G$996,A282,Transactions!$D$7:$D$996,"Expense"),0)</f>
        <v>0</v>
      </c>
      <c r="H282" s="10"/>
      <c r="I282" s="10"/>
      <c r="J282" s="10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9.5" customHeight="1">
      <c r="A283" s="10"/>
      <c r="B283" s="18"/>
      <c r="C283" s="10"/>
      <c r="D283" s="10"/>
      <c r="E283" s="10"/>
      <c r="F283" s="11"/>
      <c r="G283" s="19">
        <f>IFERROR(SUMIFS(Transactions!$F$7:$F$996,Transactions!$G$7:$G$996,A283,Transactions!$D$7:$D$996,"Expense"),0)</f>
        <v>0</v>
      </c>
      <c r="H283" s="10"/>
      <c r="I283" s="10"/>
      <c r="J283" s="10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9.5" customHeight="1">
      <c r="A284" s="10"/>
      <c r="B284" s="18"/>
      <c r="C284" s="10"/>
      <c r="D284" s="10"/>
      <c r="E284" s="10"/>
      <c r="F284" s="11"/>
      <c r="G284" s="19">
        <f>IFERROR(SUMIFS(Transactions!$F$7:$F$996,Transactions!$G$7:$G$996,A284,Transactions!$D$7:$D$996,"Expense"),0)</f>
        <v>0</v>
      </c>
      <c r="H284" s="10"/>
      <c r="I284" s="10"/>
      <c r="J284" s="10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9.5" customHeight="1">
      <c r="A285" s="10"/>
      <c r="B285" s="18"/>
      <c r="C285" s="10"/>
      <c r="D285" s="10"/>
      <c r="E285" s="10"/>
      <c r="F285" s="11"/>
      <c r="G285" s="19">
        <f>IFERROR(SUMIFS(Transactions!$F$7:$F$996,Transactions!$G$7:$G$996,A285,Transactions!$D$7:$D$996,"Expense"),0)</f>
        <v>0</v>
      </c>
      <c r="H285" s="10"/>
      <c r="I285" s="10"/>
      <c r="J285" s="10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9.5" customHeight="1">
      <c r="A286" s="10"/>
      <c r="B286" s="18"/>
      <c r="C286" s="10"/>
      <c r="D286" s="10"/>
      <c r="E286" s="10"/>
      <c r="F286" s="11"/>
      <c r="G286" s="19">
        <f>IFERROR(SUMIFS(Transactions!$F$7:$F$996,Transactions!$G$7:$G$996,A286,Transactions!$D$7:$D$996,"Expense"),0)</f>
        <v>0</v>
      </c>
      <c r="H286" s="10"/>
      <c r="I286" s="10"/>
      <c r="J286" s="10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9.5" customHeight="1">
      <c r="A287" s="10"/>
      <c r="B287" s="18"/>
      <c r="C287" s="10"/>
      <c r="D287" s="10"/>
      <c r="E287" s="10"/>
      <c r="F287" s="11"/>
      <c r="G287" s="19">
        <f>IFERROR(SUMIFS(Transactions!$F$7:$F$996,Transactions!$G$7:$G$996,A287,Transactions!$D$7:$D$996,"Expense"),0)</f>
        <v>0</v>
      </c>
      <c r="H287" s="10"/>
      <c r="I287" s="10"/>
      <c r="J287" s="10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9.5" customHeight="1">
      <c r="A288" s="10"/>
      <c r="B288" s="18"/>
      <c r="C288" s="10"/>
      <c r="D288" s="10"/>
      <c r="E288" s="10"/>
      <c r="F288" s="11"/>
      <c r="G288" s="19">
        <f>IFERROR(SUMIFS(Transactions!$F$7:$F$996,Transactions!$G$7:$G$996,A288,Transactions!$D$7:$D$996,"Expense"),0)</f>
        <v>0</v>
      </c>
      <c r="H288" s="10"/>
      <c r="I288" s="10"/>
      <c r="J288" s="10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9.5" customHeight="1">
      <c r="A289" s="10"/>
      <c r="B289" s="18"/>
      <c r="C289" s="10"/>
      <c r="D289" s="10"/>
      <c r="E289" s="10"/>
      <c r="F289" s="11"/>
      <c r="G289" s="19">
        <f>IFERROR(SUMIFS(Transactions!$F$7:$F$996,Transactions!$G$7:$G$996,A289,Transactions!$D$7:$D$996,"Expense"),0)</f>
        <v>0</v>
      </c>
      <c r="H289" s="10"/>
      <c r="I289" s="10"/>
      <c r="J289" s="10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9.5" customHeight="1">
      <c r="A290" s="10"/>
      <c r="B290" s="18"/>
      <c r="C290" s="10"/>
      <c r="D290" s="10"/>
      <c r="E290" s="10"/>
      <c r="F290" s="11"/>
      <c r="G290" s="19">
        <f>IFERROR(SUMIFS(Transactions!$F$7:$F$996,Transactions!$G$7:$G$996,A290,Transactions!$D$7:$D$996,"Expense"),0)</f>
        <v>0</v>
      </c>
      <c r="H290" s="10"/>
      <c r="I290" s="10"/>
      <c r="J290" s="10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9.5" customHeight="1">
      <c r="A291" s="10"/>
      <c r="B291" s="18"/>
      <c r="C291" s="10"/>
      <c r="D291" s="10"/>
      <c r="E291" s="10"/>
      <c r="F291" s="11"/>
      <c r="G291" s="19">
        <f>IFERROR(SUMIFS(Transactions!$F$7:$F$996,Transactions!$G$7:$G$996,A291,Transactions!$D$7:$D$996,"Expense"),0)</f>
        <v>0</v>
      </c>
      <c r="H291" s="10"/>
      <c r="I291" s="10"/>
      <c r="J291" s="10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9.5" customHeight="1">
      <c r="A292" s="10"/>
      <c r="B292" s="18"/>
      <c r="C292" s="10"/>
      <c r="D292" s="10"/>
      <c r="E292" s="10"/>
      <c r="F292" s="11"/>
      <c r="G292" s="19">
        <f>IFERROR(SUMIFS(Transactions!$F$7:$F$996,Transactions!$G$7:$G$996,A292,Transactions!$D$7:$D$996,"Expense"),0)</f>
        <v>0</v>
      </c>
      <c r="H292" s="10"/>
      <c r="I292" s="10"/>
      <c r="J292" s="10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9.5" customHeight="1">
      <c r="A293" s="10"/>
      <c r="B293" s="18"/>
      <c r="C293" s="10"/>
      <c r="D293" s="10"/>
      <c r="E293" s="10"/>
      <c r="F293" s="11"/>
      <c r="G293" s="19">
        <f>IFERROR(SUMIFS(Transactions!$F$7:$F$996,Transactions!$G$7:$G$996,A293,Transactions!$D$7:$D$996,"Expense"),0)</f>
        <v>0</v>
      </c>
      <c r="H293" s="10"/>
      <c r="I293" s="10"/>
      <c r="J293" s="10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9.5" customHeight="1">
      <c r="A294" s="10"/>
      <c r="B294" s="18"/>
      <c r="C294" s="10"/>
      <c r="D294" s="10"/>
      <c r="E294" s="10"/>
      <c r="F294" s="11"/>
      <c r="G294" s="19">
        <f>IFERROR(SUMIFS(Transactions!$F$7:$F$996,Transactions!$G$7:$G$996,A294,Transactions!$D$7:$D$996,"Expense"),0)</f>
        <v>0</v>
      </c>
      <c r="H294" s="10"/>
      <c r="I294" s="10"/>
      <c r="J294" s="10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9.5" customHeight="1">
      <c r="A295" s="10"/>
      <c r="B295" s="18"/>
      <c r="C295" s="10"/>
      <c r="D295" s="10"/>
      <c r="E295" s="10"/>
      <c r="F295" s="11"/>
      <c r="G295" s="19">
        <f>IFERROR(SUMIFS(Transactions!$F$7:$F$996,Transactions!$G$7:$G$996,A295,Transactions!$D$7:$D$996,"Expense"),0)</f>
        <v>0</v>
      </c>
      <c r="H295" s="10"/>
      <c r="I295" s="10"/>
      <c r="J295" s="10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9.5" customHeight="1">
      <c r="A296" s="10"/>
      <c r="B296" s="18"/>
      <c r="C296" s="10"/>
      <c r="D296" s="10"/>
      <c r="E296" s="10"/>
      <c r="F296" s="11"/>
      <c r="G296" s="19">
        <f>IFERROR(SUMIFS(Transactions!$F$7:$F$996,Transactions!$G$7:$G$996,A296,Transactions!$D$7:$D$996,"Expense"),0)</f>
        <v>0</v>
      </c>
      <c r="H296" s="10"/>
      <c r="I296" s="10"/>
      <c r="J296" s="10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9.5" customHeight="1">
      <c r="A297" s="10"/>
      <c r="B297" s="18"/>
      <c r="C297" s="10"/>
      <c r="D297" s="10"/>
      <c r="E297" s="10"/>
      <c r="F297" s="11"/>
      <c r="G297" s="19">
        <f>IFERROR(SUMIFS(Transactions!$F$7:$F$996,Transactions!$G$7:$G$996,A297,Transactions!$D$7:$D$996,"Expense"),0)</f>
        <v>0</v>
      </c>
      <c r="H297" s="10"/>
      <c r="I297" s="10"/>
      <c r="J297" s="10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9.5" customHeight="1">
      <c r="A298" s="10"/>
      <c r="B298" s="18"/>
      <c r="C298" s="10"/>
      <c r="D298" s="10"/>
      <c r="E298" s="10"/>
      <c r="F298" s="11"/>
      <c r="G298" s="19">
        <f>IFERROR(SUMIFS(Transactions!$F$7:$F$996,Transactions!$G$7:$G$996,A298,Transactions!$D$7:$D$996,"Expense"),0)</f>
        <v>0</v>
      </c>
      <c r="H298" s="10"/>
      <c r="I298" s="10"/>
      <c r="J298" s="10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9.5" customHeight="1">
      <c r="A299" s="10"/>
      <c r="B299" s="18"/>
      <c r="C299" s="10"/>
      <c r="D299" s="10"/>
      <c r="E299" s="10"/>
      <c r="F299" s="11"/>
      <c r="G299" s="19">
        <f>IFERROR(SUMIFS(Transactions!$F$7:$F$996,Transactions!$G$7:$G$996,A299,Transactions!$D$7:$D$996,"Expense"),0)</f>
        <v>0</v>
      </c>
      <c r="H299" s="10"/>
      <c r="I299" s="10"/>
      <c r="J299" s="10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9.5" customHeight="1">
      <c r="A300" s="10"/>
      <c r="B300" s="18"/>
      <c r="C300" s="10"/>
      <c r="D300" s="10"/>
      <c r="E300" s="10"/>
      <c r="F300" s="11"/>
      <c r="G300" s="19">
        <f>IFERROR(SUMIFS(Transactions!$F$7:$F$996,Transactions!$G$7:$G$996,A300,Transactions!$D$7:$D$996,"Expense"),0)</f>
        <v>0</v>
      </c>
      <c r="H300" s="10"/>
      <c r="I300" s="10"/>
      <c r="J300" s="10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9.5" customHeight="1">
      <c r="A301" s="10"/>
      <c r="B301" s="18"/>
      <c r="C301" s="10"/>
      <c r="D301" s="10"/>
      <c r="E301" s="10"/>
      <c r="F301" s="11"/>
      <c r="G301" s="19">
        <f>IFERROR(SUMIFS(Transactions!$F$7:$F$996,Transactions!$G$7:$G$996,A301,Transactions!$D$7:$D$996,"Expense"),0)</f>
        <v>0</v>
      </c>
      <c r="H301" s="10"/>
      <c r="I301" s="10"/>
      <c r="J301" s="10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9.5" customHeight="1">
      <c r="A302" s="10"/>
      <c r="B302" s="18"/>
      <c r="C302" s="10"/>
      <c r="D302" s="10"/>
      <c r="E302" s="10"/>
      <c r="F302" s="11"/>
      <c r="G302" s="19">
        <f>IFERROR(SUMIFS(Transactions!$F$7:$F$996,Transactions!$G$7:$G$996,A302,Transactions!$D$7:$D$996,"Expense"),0)</f>
        <v>0</v>
      </c>
      <c r="H302" s="10"/>
      <c r="I302" s="10"/>
      <c r="J302" s="10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9.5" customHeight="1">
      <c r="A303" s="10"/>
      <c r="B303" s="18"/>
      <c r="C303" s="10"/>
      <c r="D303" s="10"/>
      <c r="E303" s="10"/>
      <c r="F303" s="11"/>
      <c r="G303" s="19">
        <f>IFERROR(SUMIFS(Transactions!$F$7:$F$996,Transactions!$G$7:$G$996,A303,Transactions!$D$7:$D$996,"Expense"),0)</f>
        <v>0</v>
      </c>
      <c r="H303" s="10"/>
      <c r="I303" s="10"/>
      <c r="J303" s="10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9.5" customHeight="1">
      <c r="A304" s="10"/>
      <c r="B304" s="18"/>
      <c r="C304" s="10"/>
      <c r="D304" s="10"/>
      <c r="E304" s="10"/>
      <c r="F304" s="11"/>
      <c r="G304" s="19">
        <f>IFERROR(SUMIFS(Transactions!$F$7:$F$996,Transactions!$G$7:$G$996,A304,Transactions!$D$7:$D$996,"Expense"),0)</f>
        <v>0</v>
      </c>
      <c r="H304" s="10"/>
      <c r="I304" s="10"/>
      <c r="J304" s="10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9.5" customHeight="1">
      <c r="A305" s="10"/>
      <c r="B305" s="18"/>
      <c r="C305" s="10"/>
      <c r="D305" s="10"/>
      <c r="E305" s="10"/>
      <c r="F305" s="11"/>
      <c r="G305" s="19">
        <f>IFERROR(SUMIFS(Transactions!$F$7:$F$996,Transactions!$G$7:$G$996,A305,Transactions!$D$7:$D$996,"Expense"),0)</f>
        <v>0</v>
      </c>
      <c r="H305" s="10"/>
      <c r="I305" s="10"/>
      <c r="J305" s="10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9.5" customHeight="1">
      <c r="A306" s="10"/>
      <c r="B306" s="18"/>
      <c r="C306" s="10"/>
      <c r="D306" s="10"/>
      <c r="E306" s="10"/>
      <c r="F306" s="11"/>
      <c r="G306" s="19">
        <f>IFERROR(SUMIFS(Transactions!$F$7:$F$996,Transactions!$G$7:$G$996,A306,Transactions!$D$7:$D$996,"Expense"),0)</f>
        <v>0</v>
      </c>
      <c r="H306" s="10"/>
      <c r="I306" s="10"/>
      <c r="J306" s="10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9.5" customHeight="1">
      <c r="A307" s="10"/>
      <c r="B307" s="18"/>
      <c r="C307" s="10"/>
      <c r="D307" s="10"/>
      <c r="E307" s="10"/>
      <c r="F307" s="11"/>
      <c r="G307" s="19">
        <f>IFERROR(SUMIFS(Transactions!$F$7:$F$996,Transactions!$G$7:$G$996,A307,Transactions!$D$7:$D$996,"Expense"),0)</f>
        <v>0</v>
      </c>
      <c r="H307" s="10"/>
      <c r="I307" s="10"/>
      <c r="J307" s="10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9.5" customHeight="1">
      <c r="A308" s="10"/>
      <c r="B308" s="18"/>
      <c r="C308" s="10"/>
      <c r="D308" s="10"/>
      <c r="E308" s="10"/>
      <c r="F308" s="11"/>
      <c r="G308" s="19">
        <f>IFERROR(SUMIFS(Transactions!$F$7:$F$996,Transactions!$G$7:$G$996,A308,Transactions!$D$7:$D$996,"Expense"),0)</f>
        <v>0</v>
      </c>
      <c r="H308" s="10"/>
      <c r="I308" s="10"/>
      <c r="J308" s="10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9.5" customHeight="1">
      <c r="A309" s="10"/>
      <c r="B309" s="18"/>
      <c r="C309" s="10"/>
      <c r="D309" s="10"/>
      <c r="E309" s="10"/>
      <c r="F309" s="11"/>
      <c r="G309" s="19">
        <f>IFERROR(SUMIFS(Transactions!$F$7:$F$996,Transactions!$G$7:$G$996,A309,Transactions!$D$7:$D$996,"Expense"),0)</f>
        <v>0</v>
      </c>
      <c r="H309" s="10"/>
      <c r="I309" s="10"/>
      <c r="J309" s="10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9.5" customHeight="1">
      <c r="A310" s="10"/>
      <c r="B310" s="18"/>
      <c r="C310" s="10"/>
      <c r="D310" s="10"/>
      <c r="E310" s="10"/>
      <c r="F310" s="11"/>
      <c r="G310" s="19">
        <f>IFERROR(SUMIFS(Transactions!$F$7:$F$996,Transactions!$G$7:$G$996,A310,Transactions!$D$7:$D$996,"Expense"),0)</f>
        <v>0</v>
      </c>
      <c r="H310" s="10"/>
      <c r="I310" s="10"/>
      <c r="J310" s="10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9.5" customHeight="1">
      <c r="A311" s="10"/>
      <c r="B311" s="18"/>
      <c r="C311" s="10"/>
      <c r="D311" s="10"/>
      <c r="E311" s="10"/>
      <c r="F311" s="11"/>
      <c r="G311" s="19">
        <f>IFERROR(SUMIFS(Transactions!$F$7:$F$996,Transactions!$G$7:$G$996,A311,Transactions!$D$7:$D$996,"Expense"),0)</f>
        <v>0</v>
      </c>
      <c r="H311" s="10"/>
      <c r="I311" s="10"/>
      <c r="J311" s="10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9.5" customHeight="1">
      <c r="A312" s="10"/>
      <c r="B312" s="18"/>
      <c r="C312" s="10"/>
      <c r="D312" s="10"/>
      <c r="E312" s="10"/>
      <c r="F312" s="11"/>
      <c r="G312" s="19">
        <f>IFERROR(SUMIFS(Transactions!$F$7:$F$996,Transactions!$G$7:$G$996,A312,Transactions!$D$7:$D$996,"Expense"),0)</f>
        <v>0</v>
      </c>
      <c r="H312" s="10"/>
      <c r="I312" s="10"/>
      <c r="J312" s="10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9.5" customHeight="1">
      <c r="A313" s="10"/>
      <c r="B313" s="18"/>
      <c r="C313" s="10"/>
      <c r="D313" s="10"/>
      <c r="E313" s="10"/>
      <c r="F313" s="11"/>
      <c r="G313" s="19">
        <f>IFERROR(SUMIFS(Transactions!$F$7:$F$996,Transactions!$G$7:$G$996,A313,Transactions!$D$7:$D$996,"Expense"),0)</f>
        <v>0</v>
      </c>
      <c r="H313" s="10"/>
      <c r="I313" s="10"/>
      <c r="J313" s="10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9.5" customHeight="1">
      <c r="A314" s="10"/>
      <c r="B314" s="18"/>
      <c r="C314" s="10"/>
      <c r="D314" s="10"/>
      <c r="E314" s="10"/>
      <c r="F314" s="11"/>
      <c r="G314" s="19">
        <f>IFERROR(SUMIFS(Transactions!$F$7:$F$996,Transactions!$G$7:$G$996,A314,Transactions!$D$7:$D$996,"Expense"),0)</f>
        <v>0</v>
      </c>
      <c r="H314" s="10"/>
      <c r="I314" s="10"/>
      <c r="J314" s="10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9.5" customHeight="1">
      <c r="A315" s="10"/>
      <c r="B315" s="18"/>
      <c r="C315" s="10"/>
      <c r="D315" s="10"/>
      <c r="E315" s="10"/>
      <c r="F315" s="11"/>
      <c r="G315" s="19">
        <f>IFERROR(SUMIFS(Transactions!$F$7:$F$996,Transactions!$G$7:$G$996,A315,Transactions!$D$7:$D$996,"Expense"),0)</f>
        <v>0</v>
      </c>
      <c r="H315" s="10"/>
      <c r="I315" s="10"/>
      <c r="J315" s="10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9.5" customHeight="1">
      <c r="A316" s="10"/>
      <c r="B316" s="18"/>
      <c r="C316" s="10"/>
      <c r="D316" s="10"/>
      <c r="E316" s="10"/>
      <c r="F316" s="11"/>
      <c r="G316" s="19">
        <f>IFERROR(SUMIFS(Transactions!$F$7:$F$996,Transactions!$G$7:$G$996,A316,Transactions!$D$7:$D$996,"Expense"),0)</f>
        <v>0</v>
      </c>
      <c r="H316" s="10"/>
      <c r="I316" s="10"/>
      <c r="J316" s="10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9.5" customHeight="1">
      <c r="A317" s="10"/>
      <c r="B317" s="18"/>
      <c r="C317" s="10"/>
      <c r="D317" s="10"/>
      <c r="E317" s="10"/>
      <c r="F317" s="11"/>
      <c r="G317" s="19">
        <f>IFERROR(SUMIFS(Transactions!$F$7:$F$996,Transactions!$G$7:$G$996,A317,Transactions!$D$7:$D$996,"Expense"),0)</f>
        <v>0</v>
      </c>
      <c r="H317" s="10"/>
      <c r="I317" s="10"/>
      <c r="J317" s="10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9.5" customHeight="1">
      <c r="A318" s="10"/>
      <c r="B318" s="18"/>
      <c r="C318" s="10"/>
      <c r="D318" s="10"/>
      <c r="E318" s="10"/>
      <c r="F318" s="11"/>
      <c r="G318" s="19">
        <f>IFERROR(SUMIFS(Transactions!$F$7:$F$996,Transactions!$G$7:$G$996,A318,Transactions!$D$7:$D$996,"Expense"),0)</f>
        <v>0</v>
      </c>
      <c r="H318" s="10"/>
      <c r="I318" s="10"/>
      <c r="J318" s="10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9.5" customHeight="1">
      <c r="A319" s="10"/>
      <c r="B319" s="18"/>
      <c r="C319" s="10"/>
      <c r="D319" s="10"/>
      <c r="E319" s="10"/>
      <c r="F319" s="11"/>
      <c r="G319" s="19">
        <f>IFERROR(SUMIFS(Transactions!$F$7:$F$996,Transactions!$G$7:$G$996,A319,Transactions!$D$7:$D$996,"Expense"),0)</f>
        <v>0</v>
      </c>
      <c r="H319" s="10"/>
      <c r="I319" s="10"/>
      <c r="J319" s="10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9.5" customHeight="1">
      <c r="A320" s="10"/>
      <c r="B320" s="18"/>
      <c r="C320" s="10"/>
      <c r="D320" s="10"/>
      <c r="E320" s="10"/>
      <c r="F320" s="11"/>
      <c r="G320" s="19">
        <f>IFERROR(SUMIFS(Transactions!$F$7:$F$996,Transactions!$G$7:$G$996,A320,Transactions!$D$7:$D$996,"Expense"),0)</f>
        <v>0</v>
      </c>
      <c r="H320" s="10"/>
      <c r="I320" s="10"/>
      <c r="J320" s="10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9.5" customHeight="1">
      <c r="A321" s="10"/>
      <c r="B321" s="18"/>
      <c r="C321" s="10"/>
      <c r="D321" s="10"/>
      <c r="E321" s="10"/>
      <c r="F321" s="11"/>
      <c r="G321" s="19">
        <f>IFERROR(SUMIFS(Transactions!$F$7:$F$996,Transactions!$G$7:$G$996,A321,Transactions!$D$7:$D$996,"Expense"),0)</f>
        <v>0</v>
      </c>
      <c r="H321" s="10"/>
      <c r="I321" s="10"/>
      <c r="J321" s="10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9.5" customHeight="1">
      <c r="A322" s="10"/>
      <c r="B322" s="18"/>
      <c r="C322" s="10"/>
      <c r="D322" s="10"/>
      <c r="E322" s="10"/>
      <c r="F322" s="11"/>
      <c r="G322" s="19">
        <f>IFERROR(SUMIFS(Transactions!$F$7:$F$996,Transactions!$G$7:$G$996,A322,Transactions!$D$7:$D$996,"Expense"),0)</f>
        <v>0</v>
      </c>
      <c r="H322" s="10"/>
      <c r="I322" s="10"/>
      <c r="J322" s="10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9.5" customHeight="1">
      <c r="A323" s="10"/>
      <c r="B323" s="18"/>
      <c r="C323" s="10"/>
      <c r="D323" s="10"/>
      <c r="E323" s="10"/>
      <c r="F323" s="11"/>
      <c r="G323" s="19">
        <f>IFERROR(SUMIFS(Transactions!$F$7:$F$996,Transactions!$G$7:$G$996,A323,Transactions!$D$7:$D$996,"Expense"),0)</f>
        <v>0</v>
      </c>
      <c r="H323" s="10"/>
      <c r="I323" s="10"/>
      <c r="J323" s="10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9.5" customHeight="1">
      <c r="A324" s="10"/>
      <c r="B324" s="18"/>
      <c r="C324" s="10"/>
      <c r="D324" s="10"/>
      <c r="E324" s="10"/>
      <c r="F324" s="11"/>
      <c r="G324" s="19">
        <f>IFERROR(SUMIFS(Transactions!$F$7:$F$996,Transactions!$G$7:$G$996,A324,Transactions!$D$7:$D$996,"Expense"),0)</f>
        <v>0</v>
      </c>
      <c r="H324" s="10"/>
      <c r="I324" s="10"/>
      <c r="J324" s="10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9.5" customHeight="1">
      <c r="A325" s="10"/>
      <c r="B325" s="18"/>
      <c r="C325" s="10"/>
      <c r="D325" s="10"/>
      <c r="E325" s="10"/>
      <c r="F325" s="11"/>
      <c r="G325" s="19">
        <f>IFERROR(SUMIFS(Transactions!$F$7:$F$996,Transactions!$G$7:$G$996,A325,Transactions!$D$7:$D$996,"Expense"),0)</f>
        <v>0</v>
      </c>
      <c r="H325" s="10"/>
      <c r="I325" s="10"/>
      <c r="J325" s="10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9.5" customHeight="1">
      <c r="A326" s="10"/>
      <c r="B326" s="18"/>
      <c r="C326" s="10"/>
      <c r="D326" s="10"/>
      <c r="E326" s="10"/>
      <c r="F326" s="11"/>
      <c r="G326" s="19">
        <f>IFERROR(SUMIFS(Transactions!$F$7:$F$996,Transactions!$G$7:$G$996,A326,Transactions!$D$7:$D$996,"Expense"),0)</f>
        <v>0</v>
      </c>
      <c r="H326" s="10"/>
      <c r="I326" s="10"/>
      <c r="J326" s="10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9.5" customHeight="1">
      <c r="A327" s="10"/>
      <c r="B327" s="18"/>
      <c r="C327" s="10"/>
      <c r="D327" s="10"/>
      <c r="E327" s="10"/>
      <c r="F327" s="11"/>
      <c r="G327" s="19">
        <f>IFERROR(SUMIFS(Transactions!$F$7:$F$996,Transactions!$G$7:$G$996,A327,Transactions!$D$7:$D$996,"Expense"),0)</f>
        <v>0</v>
      </c>
      <c r="H327" s="10"/>
      <c r="I327" s="10"/>
      <c r="J327" s="10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9.5" customHeight="1">
      <c r="A328" s="10"/>
      <c r="B328" s="18"/>
      <c r="C328" s="10"/>
      <c r="D328" s="10"/>
      <c r="E328" s="10"/>
      <c r="F328" s="11"/>
      <c r="G328" s="19">
        <f>IFERROR(SUMIFS(Transactions!$F$7:$F$996,Transactions!$G$7:$G$996,A328,Transactions!$D$7:$D$996,"Expense"),0)</f>
        <v>0</v>
      </c>
      <c r="H328" s="10"/>
      <c r="I328" s="10"/>
      <c r="J328" s="10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9.5" customHeight="1">
      <c r="A329" s="10"/>
      <c r="B329" s="18"/>
      <c r="C329" s="10"/>
      <c r="D329" s="10"/>
      <c r="E329" s="10"/>
      <c r="F329" s="11"/>
      <c r="G329" s="19">
        <f>IFERROR(SUMIFS(Transactions!$F$7:$F$996,Transactions!$G$7:$G$996,A329,Transactions!$D$7:$D$996,"Expense"),0)</f>
        <v>0</v>
      </c>
      <c r="H329" s="10"/>
      <c r="I329" s="10"/>
      <c r="J329" s="10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9.5" customHeight="1">
      <c r="A330" s="10"/>
      <c r="B330" s="18"/>
      <c r="C330" s="10"/>
      <c r="D330" s="10"/>
      <c r="E330" s="10"/>
      <c r="F330" s="11"/>
      <c r="G330" s="19">
        <f>IFERROR(SUMIFS(Transactions!$F$7:$F$996,Transactions!$G$7:$G$996,A330,Transactions!$D$7:$D$996,"Expense"),0)</f>
        <v>0</v>
      </c>
      <c r="H330" s="10"/>
      <c r="I330" s="10"/>
      <c r="J330" s="10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9.5" customHeight="1">
      <c r="A331" s="10"/>
      <c r="B331" s="18"/>
      <c r="C331" s="10"/>
      <c r="D331" s="10"/>
      <c r="E331" s="10"/>
      <c r="F331" s="11"/>
      <c r="G331" s="19">
        <f>IFERROR(SUMIFS(Transactions!$F$7:$F$996,Transactions!$G$7:$G$996,A331,Transactions!$D$7:$D$996,"Expense"),0)</f>
        <v>0</v>
      </c>
      <c r="H331" s="10"/>
      <c r="I331" s="10"/>
      <c r="J331" s="10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9.5" customHeight="1">
      <c r="A332" s="10"/>
      <c r="B332" s="18"/>
      <c r="C332" s="10"/>
      <c r="D332" s="10"/>
      <c r="E332" s="10"/>
      <c r="F332" s="11"/>
      <c r="G332" s="19">
        <f>IFERROR(SUMIFS(Transactions!$F$7:$F$996,Transactions!$G$7:$G$996,A332,Transactions!$D$7:$D$996,"Expense"),0)</f>
        <v>0</v>
      </c>
      <c r="H332" s="10"/>
      <c r="I332" s="10"/>
      <c r="J332" s="10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9.5" customHeight="1">
      <c r="A333" s="10"/>
      <c r="B333" s="18"/>
      <c r="C333" s="10"/>
      <c r="D333" s="10"/>
      <c r="E333" s="10"/>
      <c r="F333" s="11"/>
      <c r="G333" s="19">
        <f>IFERROR(SUMIFS(Transactions!$F$7:$F$996,Transactions!$G$7:$G$996,A333,Transactions!$D$7:$D$996,"Expense"),0)</f>
        <v>0</v>
      </c>
      <c r="H333" s="10"/>
      <c r="I333" s="10"/>
      <c r="J333" s="10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9.5" customHeight="1">
      <c r="A334" s="10"/>
      <c r="B334" s="18"/>
      <c r="C334" s="10"/>
      <c r="D334" s="10"/>
      <c r="E334" s="10"/>
      <c r="F334" s="11"/>
      <c r="G334" s="19">
        <f>IFERROR(SUMIFS(Transactions!$F$7:$F$996,Transactions!$G$7:$G$996,A334,Transactions!$D$7:$D$996,"Expense"),0)</f>
        <v>0</v>
      </c>
      <c r="H334" s="10"/>
      <c r="I334" s="10"/>
      <c r="J334" s="10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9.5" customHeight="1">
      <c r="A335" s="10"/>
      <c r="B335" s="18"/>
      <c r="C335" s="10"/>
      <c r="D335" s="10"/>
      <c r="E335" s="10"/>
      <c r="F335" s="11"/>
      <c r="G335" s="19">
        <f>IFERROR(SUMIFS(Transactions!$F$7:$F$996,Transactions!$G$7:$G$996,A335,Transactions!$D$7:$D$996,"Expense"),0)</f>
        <v>0</v>
      </c>
      <c r="H335" s="10"/>
      <c r="I335" s="10"/>
      <c r="J335" s="10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9.5" customHeight="1">
      <c r="A336" s="10"/>
      <c r="B336" s="18"/>
      <c r="C336" s="10"/>
      <c r="D336" s="10"/>
      <c r="E336" s="10"/>
      <c r="F336" s="11"/>
      <c r="G336" s="19">
        <f>IFERROR(SUMIFS(Transactions!$F$7:$F$996,Transactions!$G$7:$G$996,A336,Transactions!$D$7:$D$996,"Expense"),0)</f>
        <v>0</v>
      </c>
      <c r="H336" s="10"/>
      <c r="I336" s="10"/>
      <c r="J336" s="10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9.5" customHeight="1">
      <c r="A337" s="10"/>
      <c r="B337" s="18"/>
      <c r="C337" s="10"/>
      <c r="D337" s="10"/>
      <c r="E337" s="10"/>
      <c r="F337" s="11"/>
      <c r="G337" s="19">
        <f>IFERROR(SUMIFS(Transactions!$F$7:$F$996,Transactions!$G$7:$G$996,A337,Transactions!$D$7:$D$996,"Expense"),0)</f>
        <v>0</v>
      </c>
      <c r="H337" s="10"/>
      <c r="I337" s="10"/>
      <c r="J337" s="10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9.5" customHeight="1">
      <c r="A338" s="10"/>
      <c r="B338" s="18"/>
      <c r="C338" s="10"/>
      <c r="D338" s="10"/>
      <c r="E338" s="10"/>
      <c r="F338" s="11"/>
      <c r="G338" s="19">
        <f>IFERROR(SUMIFS(Transactions!$F$7:$F$996,Transactions!$G$7:$G$996,A338,Transactions!$D$7:$D$996,"Expense"),0)</f>
        <v>0</v>
      </c>
      <c r="H338" s="10"/>
      <c r="I338" s="10"/>
      <c r="J338" s="10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9.5" customHeight="1">
      <c r="A339" s="10"/>
      <c r="B339" s="18"/>
      <c r="C339" s="10"/>
      <c r="D339" s="10"/>
      <c r="E339" s="10"/>
      <c r="F339" s="11"/>
      <c r="G339" s="19">
        <f>IFERROR(SUMIFS(Transactions!$F$7:$F$996,Transactions!$G$7:$G$996,A339,Transactions!$D$7:$D$996,"Expense"),0)</f>
        <v>0</v>
      </c>
      <c r="H339" s="10"/>
      <c r="I339" s="10"/>
      <c r="J339" s="10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9.5" customHeight="1">
      <c r="A340" s="10"/>
      <c r="B340" s="18"/>
      <c r="C340" s="10"/>
      <c r="D340" s="10"/>
      <c r="E340" s="10"/>
      <c r="F340" s="11"/>
      <c r="G340" s="19">
        <f>IFERROR(SUMIFS(Transactions!$F$7:$F$996,Transactions!$G$7:$G$996,A340,Transactions!$D$7:$D$996,"Expense"),0)</f>
        <v>0</v>
      </c>
      <c r="H340" s="10"/>
      <c r="I340" s="10"/>
      <c r="J340" s="10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9.5" customHeight="1">
      <c r="A341" s="10"/>
      <c r="B341" s="18"/>
      <c r="C341" s="10"/>
      <c r="D341" s="10"/>
      <c r="E341" s="10"/>
      <c r="F341" s="11"/>
      <c r="G341" s="19">
        <f>IFERROR(SUMIFS(Transactions!$F$7:$F$996,Transactions!$G$7:$G$996,A341,Transactions!$D$7:$D$996,"Expense"),0)</f>
        <v>0</v>
      </c>
      <c r="H341" s="10"/>
      <c r="I341" s="10"/>
      <c r="J341" s="10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9.5" customHeight="1">
      <c r="A342" s="10"/>
      <c r="B342" s="18"/>
      <c r="C342" s="10"/>
      <c r="D342" s="10"/>
      <c r="E342" s="10"/>
      <c r="F342" s="11"/>
      <c r="G342" s="19">
        <f>IFERROR(SUMIFS(Transactions!$F$7:$F$996,Transactions!$G$7:$G$996,A342,Transactions!$D$7:$D$996,"Expense"),0)</f>
        <v>0</v>
      </c>
      <c r="H342" s="10"/>
      <c r="I342" s="10"/>
      <c r="J342" s="10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9.5" customHeight="1">
      <c r="A343" s="10"/>
      <c r="B343" s="18"/>
      <c r="C343" s="10"/>
      <c r="D343" s="10"/>
      <c r="E343" s="10"/>
      <c r="F343" s="11"/>
      <c r="G343" s="19">
        <f>IFERROR(SUMIFS(Transactions!$F$7:$F$996,Transactions!$G$7:$G$996,A343,Transactions!$D$7:$D$996,"Expense"),0)</f>
        <v>0</v>
      </c>
      <c r="H343" s="10"/>
      <c r="I343" s="10"/>
      <c r="J343" s="10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9.5" customHeight="1">
      <c r="A344" s="10"/>
      <c r="B344" s="18"/>
      <c r="C344" s="10"/>
      <c r="D344" s="10"/>
      <c r="E344" s="10"/>
      <c r="F344" s="11"/>
      <c r="G344" s="19">
        <f>IFERROR(SUMIFS(Transactions!$F$7:$F$996,Transactions!$G$7:$G$996,A344,Transactions!$D$7:$D$996,"Expense"),0)</f>
        <v>0</v>
      </c>
      <c r="H344" s="10"/>
      <c r="I344" s="10"/>
      <c r="J344" s="10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9.5" customHeight="1">
      <c r="A345" s="10"/>
      <c r="B345" s="18"/>
      <c r="C345" s="10"/>
      <c r="D345" s="10"/>
      <c r="E345" s="10"/>
      <c r="F345" s="11"/>
      <c r="G345" s="19">
        <f>IFERROR(SUMIFS(Transactions!$F$7:$F$996,Transactions!$G$7:$G$996,A345,Transactions!$D$7:$D$996,"Expense"),0)</f>
        <v>0</v>
      </c>
      <c r="H345" s="10"/>
      <c r="I345" s="10"/>
      <c r="J345" s="10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9.5" customHeight="1">
      <c r="A346" s="10"/>
      <c r="B346" s="18"/>
      <c r="C346" s="10"/>
      <c r="D346" s="10"/>
      <c r="E346" s="10"/>
      <c r="F346" s="11"/>
      <c r="G346" s="19">
        <f>IFERROR(SUMIFS(Transactions!$F$7:$F$996,Transactions!$G$7:$G$996,A346,Transactions!$D$7:$D$996,"Expense"),0)</f>
        <v>0</v>
      </c>
      <c r="H346" s="10"/>
      <c r="I346" s="10"/>
      <c r="J346" s="10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9.5" customHeight="1">
      <c r="A347" s="10"/>
      <c r="B347" s="18"/>
      <c r="C347" s="10"/>
      <c r="D347" s="10"/>
      <c r="E347" s="10"/>
      <c r="F347" s="11"/>
      <c r="G347" s="19">
        <f>IFERROR(SUMIFS(Transactions!$F$7:$F$996,Transactions!$G$7:$G$996,A347,Transactions!$D$7:$D$996,"Expense"),0)</f>
        <v>0</v>
      </c>
      <c r="H347" s="10"/>
      <c r="I347" s="10"/>
      <c r="J347" s="10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9.5" customHeight="1">
      <c r="A348" s="10"/>
      <c r="B348" s="18"/>
      <c r="C348" s="10"/>
      <c r="D348" s="10"/>
      <c r="E348" s="10"/>
      <c r="F348" s="11"/>
      <c r="G348" s="19">
        <f>IFERROR(SUMIFS(Transactions!$F$7:$F$996,Transactions!$G$7:$G$996,A348,Transactions!$D$7:$D$996,"Expense"),0)</f>
        <v>0</v>
      </c>
      <c r="H348" s="10"/>
      <c r="I348" s="10"/>
      <c r="J348" s="10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9.5" customHeight="1">
      <c r="A349" s="10"/>
      <c r="B349" s="18"/>
      <c r="C349" s="10"/>
      <c r="D349" s="10"/>
      <c r="E349" s="10"/>
      <c r="F349" s="11"/>
      <c r="G349" s="19">
        <f>IFERROR(SUMIFS(Transactions!$F$7:$F$996,Transactions!$G$7:$G$996,A349,Transactions!$D$7:$D$996,"Expense"),0)</f>
        <v>0</v>
      </c>
      <c r="H349" s="10"/>
      <c r="I349" s="10"/>
      <c r="J349" s="10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9.5" customHeight="1">
      <c r="A350" s="10"/>
      <c r="B350" s="18"/>
      <c r="C350" s="10"/>
      <c r="D350" s="10"/>
      <c r="E350" s="10"/>
      <c r="F350" s="11"/>
      <c r="G350" s="19">
        <f>IFERROR(SUMIFS(Transactions!$F$7:$F$996,Transactions!$G$7:$G$996,A350,Transactions!$D$7:$D$996,"Expense"),0)</f>
        <v>0</v>
      </c>
      <c r="H350" s="10"/>
      <c r="I350" s="10"/>
      <c r="J350" s="10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9.5" customHeight="1">
      <c r="A351" s="10"/>
      <c r="B351" s="18"/>
      <c r="C351" s="10"/>
      <c r="D351" s="10"/>
      <c r="E351" s="10"/>
      <c r="F351" s="11"/>
      <c r="G351" s="19">
        <f>IFERROR(SUMIFS(Transactions!$F$7:$F$996,Transactions!$G$7:$G$996,A351,Transactions!$D$7:$D$996,"Expense"),0)</f>
        <v>0</v>
      </c>
      <c r="H351" s="10"/>
      <c r="I351" s="10"/>
      <c r="J351" s="10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9.5" customHeight="1">
      <c r="A352" s="10"/>
      <c r="B352" s="18"/>
      <c r="C352" s="10"/>
      <c r="D352" s="10"/>
      <c r="E352" s="10"/>
      <c r="F352" s="11"/>
      <c r="G352" s="19">
        <f>IFERROR(SUMIFS(Transactions!$F$7:$F$996,Transactions!$G$7:$G$996,A352,Transactions!$D$7:$D$996,"Expense"),0)</f>
        <v>0</v>
      </c>
      <c r="H352" s="10"/>
      <c r="I352" s="10"/>
      <c r="J352" s="10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9.5" customHeight="1">
      <c r="A353" s="10"/>
      <c r="B353" s="18"/>
      <c r="C353" s="10"/>
      <c r="D353" s="10"/>
      <c r="E353" s="10"/>
      <c r="F353" s="11"/>
      <c r="G353" s="19">
        <f>IFERROR(SUMIFS(Transactions!$F$7:$F$996,Transactions!$G$7:$G$996,A353,Transactions!$D$7:$D$996,"Expense"),0)</f>
        <v>0</v>
      </c>
      <c r="H353" s="10"/>
      <c r="I353" s="10"/>
      <c r="J353" s="10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9.5" customHeight="1">
      <c r="A354" s="10"/>
      <c r="B354" s="18"/>
      <c r="C354" s="10"/>
      <c r="D354" s="10"/>
      <c r="E354" s="10"/>
      <c r="F354" s="11"/>
      <c r="G354" s="19">
        <f>IFERROR(SUMIFS(Transactions!$F$7:$F$996,Transactions!$G$7:$G$996,A354,Transactions!$D$7:$D$996,"Expense"),0)</f>
        <v>0</v>
      </c>
      <c r="H354" s="10"/>
      <c r="I354" s="10"/>
      <c r="J354" s="10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9.5" customHeight="1">
      <c r="A355" s="10"/>
      <c r="B355" s="18"/>
      <c r="C355" s="10"/>
      <c r="D355" s="10"/>
      <c r="E355" s="10"/>
      <c r="F355" s="11"/>
      <c r="G355" s="19">
        <f>IFERROR(SUMIFS(Transactions!$F$7:$F$996,Transactions!$G$7:$G$996,A355,Transactions!$D$7:$D$996,"Expense"),0)</f>
        <v>0</v>
      </c>
      <c r="H355" s="10"/>
      <c r="I355" s="10"/>
      <c r="J355" s="10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9.5" customHeight="1">
      <c r="A356" s="10"/>
      <c r="B356" s="18"/>
      <c r="C356" s="10"/>
      <c r="D356" s="10"/>
      <c r="E356" s="10"/>
      <c r="F356" s="11"/>
      <c r="G356" s="19">
        <f>IFERROR(SUMIFS(Transactions!$F$7:$F$996,Transactions!$G$7:$G$996,A356,Transactions!$D$7:$D$996,"Expense"),0)</f>
        <v>0</v>
      </c>
      <c r="H356" s="10"/>
      <c r="I356" s="10"/>
      <c r="J356" s="10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9.5" customHeight="1">
      <c r="A357" s="10"/>
      <c r="B357" s="18"/>
      <c r="C357" s="10"/>
      <c r="D357" s="10"/>
      <c r="E357" s="10"/>
      <c r="F357" s="11"/>
      <c r="G357" s="19">
        <f>IFERROR(SUMIFS(Transactions!$F$7:$F$996,Transactions!$G$7:$G$996,A357,Transactions!$D$7:$D$996,"Expense"),0)</f>
        <v>0</v>
      </c>
      <c r="H357" s="10"/>
      <c r="I357" s="10"/>
      <c r="J357" s="10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9.5" customHeight="1">
      <c r="A358" s="10"/>
      <c r="B358" s="18"/>
      <c r="C358" s="10"/>
      <c r="D358" s="10"/>
      <c r="E358" s="10"/>
      <c r="F358" s="11"/>
      <c r="G358" s="19">
        <f>IFERROR(SUMIFS(Transactions!$F$7:$F$996,Transactions!$G$7:$G$996,A358,Transactions!$D$7:$D$996,"Expense"),0)</f>
        <v>0</v>
      </c>
      <c r="H358" s="10"/>
      <c r="I358" s="10"/>
      <c r="J358" s="10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9.5" customHeight="1">
      <c r="A359" s="10"/>
      <c r="B359" s="18"/>
      <c r="C359" s="10"/>
      <c r="D359" s="10"/>
      <c r="E359" s="10"/>
      <c r="F359" s="11"/>
      <c r="G359" s="19">
        <f>IFERROR(SUMIFS(Transactions!$F$7:$F$996,Transactions!$G$7:$G$996,A359,Transactions!$D$7:$D$996,"Expense"),0)</f>
        <v>0</v>
      </c>
      <c r="H359" s="10"/>
      <c r="I359" s="10"/>
      <c r="J359" s="10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9.5" customHeight="1">
      <c r="A360" s="10"/>
      <c r="B360" s="18"/>
      <c r="C360" s="10"/>
      <c r="D360" s="10"/>
      <c r="E360" s="10"/>
      <c r="F360" s="11"/>
      <c r="G360" s="19">
        <f>IFERROR(SUMIFS(Transactions!$F$7:$F$996,Transactions!$G$7:$G$996,A360,Transactions!$D$7:$D$996,"Expense"),0)</f>
        <v>0</v>
      </c>
      <c r="H360" s="10"/>
      <c r="I360" s="10"/>
      <c r="J360" s="10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9.5" customHeight="1">
      <c r="A361" s="10"/>
      <c r="B361" s="18"/>
      <c r="C361" s="10"/>
      <c r="D361" s="10"/>
      <c r="E361" s="10"/>
      <c r="F361" s="11"/>
      <c r="G361" s="19">
        <f>IFERROR(SUMIFS(Transactions!$F$7:$F$996,Transactions!$G$7:$G$996,A361,Transactions!$D$7:$D$996,"Expense"),0)</f>
        <v>0</v>
      </c>
      <c r="H361" s="10"/>
      <c r="I361" s="10"/>
      <c r="J361" s="10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9.5" customHeight="1">
      <c r="A362" s="10"/>
      <c r="B362" s="18"/>
      <c r="C362" s="10"/>
      <c r="D362" s="10"/>
      <c r="E362" s="10"/>
      <c r="F362" s="11"/>
      <c r="G362" s="19">
        <f>IFERROR(SUMIFS(Transactions!$F$7:$F$996,Transactions!$G$7:$G$996,A362,Transactions!$D$7:$D$996,"Expense"),0)</f>
        <v>0</v>
      </c>
      <c r="H362" s="10"/>
      <c r="I362" s="10"/>
      <c r="J362" s="10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9.5" customHeight="1">
      <c r="A363" s="10"/>
      <c r="B363" s="18"/>
      <c r="C363" s="10"/>
      <c r="D363" s="10"/>
      <c r="E363" s="10"/>
      <c r="F363" s="11"/>
      <c r="G363" s="19">
        <f>IFERROR(SUMIFS(Transactions!$F$7:$F$996,Transactions!$G$7:$G$996,A363,Transactions!$D$7:$D$996,"Expense"),0)</f>
        <v>0</v>
      </c>
      <c r="H363" s="10"/>
      <c r="I363" s="10"/>
      <c r="J363" s="10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9.5" customHeight="1">
      <c r="A364" s="10"/>
      <c r="B364" s="18"/>
      <c r="C364" s="10"/>
      <c r="D364" s="10"/>
      <c r="E364" s="10"/>
      <c r="F364" s="11"/>
      <c r="G364" s="19">
        <f>IFERROR(SUMIFS(Transactions!$F$7:$F$996,Transactions!$G$7:$G$996,A364,Transactions!$D$7:$D$996,"Expense"),0)</f>
        <v>0</v>
      </c>
      <c r="H364" s="10"/>
      <c r="I364" s="10"/>
      <c r="J364" s="10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9.5" customHeight="1">
      <c r="A365" s="10"/>
      <c r="B365" s="18"/>
      <c r="C365" s="10"/>
      <c r="D365" s="10"/>
      <c r="E365" s="10"/>
      <c r="F365" s="11"/>
      <c r="G365" s="19">
        <f>IFERROR(SUMIFS(Transactions!$F$7:$F$996,Transactions!$G$7:$G$996,A365,Transactions!$D$7:$D$996,"Expense"),0)</f>
        <v>0</v>
      </c>
      <c r="H365" s="10"/>
      <c r="I365" s="10"/>
      <c r="J365" s="10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9.5" customHeight="1">
      <c r="A366" s="10"/>
      <c r="B366" s="18"/>
      <c r="C366" s="10"/>
      <c r="D366" s="10"/>
      <c r="E366" s="10"/>
      <c r="F366" s="11"/>
      <c r="G366" s="19">
        <f>IFERROR(SUMIFS(Transactions!$F$7:$F$996,Transactions!$G$7:$G$996,A366,Transactions!$D$7:$D$996,"Expense"),0)</f>
        <v>0</v>
      </c>
      <c r="H366" s="10"/>
      <c r="I366" s="10"/>
      <c r="J366" s="10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9.5" customHeight="1">
      <c r="A367" s="10"/>
      <c r="B367" s="18"/>
      <c r="C367" s="10"/>
      <c r="D367" s="10"/>
      <c r="E367" s="10"/>
      <c r="F367" s="11"/>
      <c r="G367" s="19">
        <f>IFERROR(SUMIFS(Transactions!$F$7:$F$996,Transactions!$G$7:$G$996,A367,Transactions!$D$7:$D$996,"Expense"),0)</f>
        <v>0</v>
      </c>
      <c r="H367" s="10"/>
      <c r="I367" s="10"/>
      <c r="J367" s="10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9.5" customHeight="1">
      <c r="A368" s="10"/>
      <c r="B368" s="18"/>
      <c r="C368" s="10"/>
      <c r="D368" s="10"/>
      <c r="E368" s="10"/>
      <c r="F368" s="11"/>
      <c r="G368" s="19">
        <f>IFERROR(SUMIFS(Transactions!$F$7:$F$996,Transactions!$G$7:$G$996,A368,Transactions!$D$7:$D$996,"Expense"),0)</f>
        <v>0</v>
      </c>
      <c r="H368" s="10"/>
      <c r="I368" s="10"/>
      <c r="J368" s="10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9.5" customHeight="1">
      <c r="A369" s="10"/>
      <c r="B369" s="18"/>
      <c r="C369" s="10"/>
      <c r="D369" s="10"/>
      <c r="E369" s="10"/>
      <c r="F369" s="11"/>
      <c r="G369" s="19">
        <f>IFERROR(SUMIFS(Transactions!$F$7:$F$996,Transactions!$G$7:$G$996,A369,Transactions!$D$7:$D$996,"Expense"),0)</f>
        <v>0</v>
      </c>
      <c r="H369" s="10"/>
      <c r="I369" s="10"/>
      <c r="J369" s="10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9.5" customHeight="1">
      <c r="A370" s="10"/>
      <c r="B370" s="18"/>
      <c r="C370" s="10"/>
      <c r="D370" s="10"/>
      <c r="E370" s="10"/>
      <c r="F370" s="11"/>
      <c r="G370" s="19">
        <f>IFERROR(SUMIFS(Transactions!$F$7:$F$996,Transactions!$G$7:$G$996,A370,Transactions!$D$7:$D$996,"Expense"),0)</f>
        <v>0</v>
      </c>
      <c r="H370" s="10"/>
      <c r="I370" s="10"/>
      <c r="J370" s="10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9.5" customHeight="1">
      <c r="A371" s="10"/>
      <c r="B371" s="18"/>
      <c r="C371" s="10"/>
      <c r="D371" s="10"/>
      <c r="E371" s="10"/>
      <c r="F371" s="11"/>
      <c r="G371" s="19">
        <f>IFERROR(SUMIFS(Transactions!$F$7:$F$996,Transactions!$G$7:$G$996,A371,Transactions!$D$7:$D$996,"Expense"),0)</f>
        <v>0</v>
      </c>
      <c r="H371" s="10"/>
      <c r="I371" s="10"/>
      <c r="J371" s="10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9.5" customHeight="1">
      <c r="A372" s="10"/>
      <c r="B372" s="18"/>
      <c r="C372" s="10"/>
      <c r="D372" s="10"/>
      <c r="E372" s="10"/>
      <c r="F372" s="11"/>
      <c r="G372" s="19">
        <f>IFERROR(SUMIFS(Transactions!$F$7:$F$996,Transactions!$G$7:$G$996,A372,Transactions!$D$7:$D$996,"Expense"),0)</f>
        <v>0</v>
      </c>
      <c r="H372" s="10"/>
      <c r="I372" s="10"/>
      <c r="J372" s="10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9.5" customHeight="1">
      <c r="A373" s="10"/>
      <c r="B373" s="18"/>
      <c r="C373" s="10"/>
      <c r="D373" s="10"/>
      <c r="E373" s="10"/>
      <c r="F373" s="11"/>
      <c r="G373" s="19">
        <f>IFERROR(SUMIFS(Transactions!$F$7:$F$996,Transactions!$G$7:$G$996,A373,Transactions!$D$7:$D$996,"Expense"),0)</f>
        <v>0</v>
      </c>
      <c r="H373" s="10"/>
      <c r="I373" s="10"/>
      <c r="J373" s="10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9.5" customHeight="1">
      <c r="A374" s="10"/>
      <c r="B374" s="18"/>
      <c r="C374" s="10"/>
      <c r="D374" s="10"/>
      <c r="E374" s="10"/>
      <c r="F374" s="11"/>
      <c r="G374" s="19">
        <f>IFERROR(SUMIFS(Transactions!$F$7:$F$996,Transactions!$G$7:$G$996,A374,Transactions!$D$7:$D$996,"Expense"),0)</f>
        <v>0</v>
      </c>
      <c r="H374" s="10"/>
      <c r="I374" s="10"/>
      <c r="J374" s="10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9.5" customHeight="1">
      <c r="A375" s="10"/>
      <c r="B375" s="18"/>
      <c r="C375" s="10"/>
      <c r="D375" s="10"/>
      <c r="E375" s="10"/>
      <c r="F375" s="11"/>
      <c r="G375" s="19">
        <f>IFERROR(SUMIFS(Transactions!$F$7:$F$996,Transactions!$G$7:$G$996,A375,Transactions!$D$7:$D$996,"Expense"),0)</f>
        <v>0</v>
      </c>
      <c r="H375" s="10"/>
      <c r="I375" s="10"/>
      <c r="J375" s="10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9.5" customHeight="1">
      <c r="A376" s="10"/>
      <c r="B376" s="18"/>
      <c r="C376" s="10"/>
      <c r="D376" s="10"/>
      <c r="E376" s="10"/>
      <c r="F376" s="11"/>
      <c r="G376" s="19">
        <f>IFERROR(SUMIFS(Transactions!$F$7:$F$996,Transactions!$G$7:$G$996,A376,Transactions!$D$7:$D$996,"Expense"),0)</f>
        <v>0</v>
      </c>
      <c r="H376" s="10"/>
      <c r="I376" s="10"/>
      <c r="J376" s="10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9.5" customHeight="1">
      <c r="A377" s="10"/>
      <c r="B377" s="18"/>
      <c r="C377" s="10"/>
      <c r="D377" s="10"/>
      <c r="E377" s="10"/>
      <c r="F377" s="11"/>
      <c r="G377" s="19">
        <f>IFERROR(SUMIFS(Transactions!$F$7:$F$996,Transactions!$G$7:$G$996,A377,Transactions!$D$7:$D$996,"Expense"),0)</f>
        <v>0</v>
      </c>
      <c r="H377" s="10"/>
      <c r="I377" s="10"/>
      <c r="J377" s="10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9.5" customHeight="1">
      <c r="A378" s="10"/>
      <c r="B378" s="18"/>
      <c r="C378" s="10"/>
      <c r="D378" s="10"/>
      <c r="E378" s="10"/>
      <c r="F378" s="11"/>
      <c r="G378" s="19">
        <f>IFERROR(SUMIFS(Transactions!$F$7:$F$996,Transactions!$G$7:$G$996,A378,Transactions!$D$7:$D$996,"Expense"),0)</f>
        <v>0</v>
      </c>
      <c r="H378" s="10"/>
      <c r="I378" s="10"/>
      <c r="J378" s="10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9.5" customHeight="1">
      <c r="A379" s="10"/>
      <c r="B379" s="18"/>
      <c r="C379" s="10"/>
      <c r="D379" s="10"/>
      <c r="E379" s="10"/>
      <c r="F379" s="11"/>
      <c r="G379" s="19">
        <f>IFERROR(SUMIFS(Transactions!$F$7:$F$996,Transactions!$G$7:$G$996,A379,Transactions!$D$7:$D$996,"Expense"),0)</f>
        <v>0</v>
      </c>
      <c r="H379" s="10"/>
      <c r="I379" s="10"/>
      <c r="J379" s="10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9.5" customHeight="1">
      <c r="A380" s="10"/>
      <c r="B380" s="18"/>
      <c r="C380" s="10"/>
      <c r="D380" s="10"/>
      <c r="E380" s="10"/>
      <c r="F380" s="11"/>
      <c r="G380" s="19">
        <f>IFERROR(SUMIFS(Transactions!$F$7:$F$996,Transactions!$G$7:$G$996,A380,Transactions!$D$7:$D$996,"Expense"),0)</f>
        <v>0</v>
      </c>
      <c r="H380" s="10"/>
      <c r="I380" s="10"/>
      <c r="J380" s="10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9.5" customHeight="1">
      <c r="A381" s="10"/>
      <c r="B381" s="18"/>
      <c r="C381" s="10"/>
      <c r="D381" s="10"/>
      <c r="E381" s="10"/>
      <c r="F381" s="11"/>
      <c r="G381" s="19">
        <f>IFERROR(SUMIFS(Transactions!$F$7:$F$996,Transactions!$G$7:$G$996,A381,Transactions!$D$7:$D$996,"Expense"),0)</f>
        <v>0</v>
      </c>
      <c r="H381" s="10"/>
      <c r="I381" s="10"/>
      <c r="J381" s="10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9.5" customHeight="1">
      <c r="A382" s="10"/>
      <c r="B382" s="18"/>
      <c r="C382" s="10"/>
      <c r="D382" s="10"/>
      <c r="E382" s="10"/>
      <c r="F382" s="11"/>
      <c r="G382" s="19">
        <f>IFERROR(SUMIFS(Transactions!$F$7:$F$996,Transactions!$G$7:$G$996,A382,Transactions!$D$7:$D$996,"Expense"),0)</f>
        <v>0</v>
      </c>
      <c r="H382" s="10"/>
      <c r="I382" s="10"/>
      <c r="J382" s="10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9.5" customHeight="1">
      <c r="A383" s="10"/>
      <c r="B383" s="18"/>
      <c r="C383" s="10"/>
      <c r="D383" s="10"/>
      <c r="E383" s="10"/>
      <c r="F383" s="11"/>
      <c r="G383" s="19">
        <f>IFERROR(SUMIFS(Transactions!$F$7:$F$996,Transactions!$G$7:$G$996,A383,Transactions!$D$7:$D$996,"Expense"),0)</f>
        <v>0</v>
      </c>
      <c r="H383" s="10"/>
      <c r="I383" s="10"/>
      <c r="J383" s="10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9.5" customHeight="1">
      <c r="A384" s="10"/>
      <c r="B384" s="18"/>
      <c r="C384" s="10"/>
      <c r="D384" s="10"/>
      <c r="E384" s="10"/>
      <c r="F384" s="11"/>
      <c r="G384" s="19">
        <f>IFERROR(SUMIFS(Transactions!$F$7:$F$996,Transactions!$G$7:$G$996,A384,Transactions!$D$7:$D$996,"Expense"),0)</f>
        <v>0</v>
      </c>
      <c r="H384" s="10"/>
      <c r="I384" s="10"/>
      <c r="J384" s="10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9.5" customHeight="1">
      <c r="A385" s="10"/>
      <c r="B385" s="18"/>
      <c r="C385" s="10"/>
      <c r="D385" s="10"/>
      <c r="E385" s="10"/>
      <c r="F385" s="11"/>
      <c r="G385" s="19">
        <f>IFERROR(SUMIFS(Transactions!$F$7:$F$996,Transactions!$G$7:$G$996,A385,Transactions!$D$7:$D$996,"Expense"),0)</f>
        <v>0</v>
      </c>
      <c r="H385" s="10"/>
      <c r="I385" s="10"/>
      <c r="J385" s="10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9.5" customHeight="1">
      <c r="A386" s="10"/>
      <c r="B386" s="18"/>
      <c r="C386" s="10"/>
      <c r="D386" s="10"/>
      <c r="E386" s="10"/>
      <c r="F386" s="11"/>
      <c r="G386" s="19">
        <f>IFERROR(SUMIFS(Transactions!$F$7:$F$996,Transactions!$G$7:$G$996,A386,Transactions!$D$7:$D$996,"Expense"),0)</f>
        <v>0</v>
      </c>
      <c r="H386" s="10"/>
      <c r="I386" s="10"/>
      <c r="J386" s="10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9.5" customHeight="1">
      <c r="A387" s="10"/>
      <c r="B387" s="18"/>
      <c r="C387" s="10"/>
      <c r="D387" s="10"/>
      <c r="E387" s="10"/>
      <c r="F387" s="11"/>
      <c r="G387" s="19">
        <f>IFERROR(SUMIFS(Transactions!$F$7:$F$996,Transactions!$G$7:$G$996,A387,Transactions!$D$7:$D$996,"Expense"),0)</f>
        <v>0</v>
      </c>
      <c r="H387" s="10"/>
      <c r="I387" s="10"/>
      <c r="J387" s="10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9.5" customHeight="1">
      <c r="A388" s="10"/>
      <c r="B388" s="18"/>
      <c r="C388" s="10"/>
      <c r="D388" s="10"/>
      <c r="E388" s="10"/>
      <c r="F388" s="11"/>
      <c r="G388" s="19">
        <f>IFERROR(SUMIFS(Transactions!$F$7:$F$996,Transactions!$G$7:$G$996,A388,Transactions!$D$7:$D$996,"Expense"),0)</f>
        <v>0</v>
      </c>
      <c r="H388" s="10"/>
      <c r="I388" s="10"/>
      <c r="J388" s="10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9.5" customHeight="1">
      <c r="A389" s="10"/>
      <c r="B389" s="18"/>
      <c r="C389" s="10"/>
      <c r="D389" s="10"/>
      <c r="E389" s="10"/>
      <c r="F389" s="11"/>
      <c r="G389" s="19">
        <f>IFERROR(SUMIFS(Transactions!$F$7:$F$996,Transactions!$G$7:$G$996,A389,Transactions!$D$7:$D$996,"Expense"),0)</f>
        <v>0</v>
      </c>
      <c r="H389" s="10"/>
      <c r="I389" s="10"/>
      <c r="J389" s="10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9.5" customHeight="1">
      <c r="A390" s="10"/>
      <c r="B390" s="18"/>
      <c r="C390" s="10"/>
      <c r="D390" s="10"/>
      <c r="E390" s="10"/>
      <c r="F390" s="11"/>
      <c r="G390" s="19">
        <f>IFERROR(SUMIFS(Transactions!$F$7:$F$996,Transactions!$G$7:$G$996,A390,Transactions!$D$7:$D$996,"Expense"),0)</f>
        <v>0</v>
      </c>
      <c r="H390" s="10"/>
      <c r="I390" s="10"/>
      <c r="J390" s="10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9.5" customHeight="1">
      <c r="A391" s="10"/>
      <c r="B391" s="18"/>
      <c r="C391" s="10"/>
      <c r="D391" s="10"/>
      <c r="E391" s="10"/>
      <c r="F391" s="11"/>
      <c r="G391" s="19">
        <f>IFERROR(SUMIFS(Transactions!$F$7:$F$996,Transactions!$G$7:$G$996,A391,Transactions!$D$7:$D$996,"Expense"),0)</f>
        <v>0</v>
      </c>
      <c r="H391" s="10"/>
      <c r="I391" s="10"/>
      <c r="J391" s="10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9.5" customHeight="1">
      <c r="A392" s="10"/>
      <c r="B392" s="18"/>
      <c r="C392" s="10"/>
      <c r="D392" s="10"/>
      <c r="E392" s="10"/>
      <c r="F392" s="11"/>
      <c r="G392" s="19">
        <f>IFERROR(SUMIFS(Transactions!$F$7:$F$996,Transactions!$G$7:$G$996,A392,Transactions!$D$7:$D$996,"Expense"),0)</f>
        <v>0</v>
      </c>
      <c r="H392" s="10"/>
      <c r="I392" s="10"/>
      <c r="J392" s="10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9.5" customHeight="1">
      <c r="A393" s="10"/>
      <c r="B393" s="18"/>
      <c r="C393" s="10"/>
      <c r="D393" s="10"/>
      <c r="E393" s="10"/>
      <c r="F393" s="11"/>
      <c r="G393" s="19">
        <f>IFERROR(SUMIFS(Transactions!$F$7:$F$996,Transactions!$G$7:$G$996,A393,Transactions!$D$7:$D$996,"Expense"),0)</f>
        <v>0</v>
      </c>
      <c r="H393" s="10"/>
      <c r="I393" s="10"/>
      <c r="J393" s="10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9.5" customHeight="1">
      <c r="A394" s="10"/>
      <c r="B394" s="18"/>
      <c r="C394" s="10"/>
      <c r="D394" s="10"/>
      <c r="E394" s="10"/>
      <c r="F394" s="11"/>
      <c r="G394" s="19">
        <f>IFERROR(SUMIFS(Transactions!$F$7:$F$996,Transactions!$G$7:$G$996,A394,Transactions!$D$7:$D$996,"Expense"),0)</f>
        <v>0</v>
      </c>
      <c r="H394" s="10"/>
      <c r="I394" s="10"/>
      <c r="J394" s="10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9.5" customHeight="1">
      <c r="A395" s="10"/>
      <c r="B395" s="18"/>
      <c r="C395" s="10"/>
      <c r="D395" s="10"/>
      <c r="E395" s="10"/>
      <c r="F395" s="11"/>
      <c r="G395" s="19">
        <f>IFERROR(SUMIFS(Transactions!$F$7:$F$996,Transactions!$G$7:$G$996,A395,Transactions!$D$7:$D$996,"Expense"),0)</f>
        <v>0</v>
      </c>
      <c r="H395" s="10"/>
      <c r="I395" s="10"/>
      <c r="J395" s="10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9.5" customHeight="1">
      <c r="A396" s="10"/>
      <c r="B396" s="18"/>
      <c r="C396" s="10"/>
      <c r="D396" s="10"/>
      <c r="E396" s="10"/>
      <c r="F396" s="11"/>
      <c r="G396" s="19">
        <f>IFERROR(SUMIFS(Transactions!$F$7:$F$996,Transactions!$G$7:$G$996,A396,Transactions!$D$7:$D$996,"Expense"),0)</f>
        <v>0</v>
      </c>
      <c r="H396" s="10"/>
      <c r="I396" s="10"/>
      <c r="J396" s="10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9.5" customHeight="1">
      <c r="A397" s="10"/>
      <c r="B397" s="18"/>
      <c r="C397" s="10"/>
      <c r="D397" s="10"/>
      <c r="E397" s="10"/>
      <c r="F397" s="11"/>
      <c r="G397" s="19">
        <f>IFERROR(SUMIFS(Transactions!$F$7:$F$996,Transactions!$G$7:$G$996,A397,Transactions!$D$7:$D$996,"Expense"),0)</f>
        <v>0</v>
      </c>
      <c r="H397" s="10"/>
      <c r="I397" s="10"/>
      <c r="J397" s="10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9.5" customHeight="1">
      <c r="A398" s="10"/>
      <c r="B398" s="18"/>
      <c r="C398" s="10"/>
      <c r="D398" s="10"/>
      <c r="E398" s="10"/>
      <c r="F398" s="11"/>
      <c r="G398" s="19">
        <f>IFERROR(SUMIFS(Transactions!$F$7:$F$996,Transactions!$G$7:$G$996,A398,Transactions!$D$7:$D$996,"Expense"),0)</f>
        <v>0</v>
      </c>
      <c r="H398" s="10"/>
      <c r="I398" s="10"/>
      <c r="J398" s="10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9.5" customHeight="1">
      <c r="A399" s="10"/>
      <c r="B399" s="18"/>
      <c r="C399" s="10"/>
      <c r="D399" s="10"/>
      <c r="E399" s="10"/>
      <c r="F399" s="11"/>
      <c r="G399" s="19">
        <f>IFERROR(SUMIFS(Transactions!$F$7:$F$996,Transactions!$G$7:$G$996,A399,Transactions!$D$7:$D$996,"Expense"),0)</f>
        <v>0</v>
      </c>
      <c r="H399" s="10"/>
      <c r="I399" s="10"/>
      <c r="J399" s="10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9.5" customHeight="1">
      <c r="A400" s="10"/>
      <c r="B400" s="18"/>
      <c r="C400" s="10"/>
      <c r="D400" s="10"/>
      <c r="E400" s="10"/>
      <c r="F400" s="11"/>
      <c r="G400" s="19">
        <f>IFERROR(SUMIFS(Transactions!$F$7:$F$996,Transactions!$G$7:$G$996,A400,Transactions!$D$7:$D$996,"Expense"),0)</f>
        <v>0</v>
      </c>
      <c r="H400" s="10"/>
      <c r="I400" s="10"/>
      <c r="J400" s="10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9.5" customHeight="1">
      <c r="A401" s="10"/>
      <c r="B401" s="18"/>
      <c r="C401" s="10"/>
      <c r="D401" s="10"/>
      <c r="E401" s="10"/>
      <c r="F401" s="11"/>
      <c r="G401" s="19">
        <f>IFERROR(SUMIFS(Transactions!$F$7:$F$996,Transactions!$G$7:$G$996,A401,Transactions!$D$7:$D$996,"Expense"),0)</f>
        <v>0</v>
      </c>
      <c r="H401" s="10"/>
      <c r="I401" s="10"/>
      <c r="J401" s="10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9.5" customHeight="1">
      <c r="A402" s="10"/>
      <c r="B402" s="18"/>
      <c r="C402" s="10"/>
      <c r="D402" s="10"/>
      <c r="E402" s="10"/>
      <c r="F402" s="11"/>
      <c r="G402" s="19">
        <f>IFERROR(SUMIFS(Transactions!$F$7:$F$996,Transactions!$G$7:$G$996,A402,Transactions!$D$7:$D$996,"Expense"),0)</f>
        <v>0</v>
      </c>
      <c r="H402" s="10"/>
      <c r="I402" s="10"/>
      <c r="J402" s="10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9.5" customHeight="1">
      <c r="A403" s="10"/>
      <c r="B403" s="18"/>
      <c r="C403" s="10"/>
      <c r="D403" s="10"/>
      <c r="E403" s="10"/>
      <c r="F403" s="11"/>
      <c r="G403" s="19">
        <f>IFERROR(SUMIFS(Transactions!$F$7:$F$996,Transactions!$G$7:$G$996,A403,Transactions!$D$7:$D$996,"Expense"),0)</f>
        <v>0</v>
      </c>
      <c r="H403" s="10"/>
      <c r="I403" s="10"/>
      <c r="J403" s="10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9.5" customHeight="1">
      <c r="A404" s="10"/>
      <c r="B404" s="18"/>
      <c r="C404" s="10"/>
      <c r="D404" s="10"/>
      <c r="E404" s="10"/>
      <c r="F404" s="11"/>
      <c r="G404" s="19">
        <f>IFERROR(SUMIFS(Transactions!$F$7:$F$996,Transactions!$G$7:$G$996,A404,Transactions!$D$7:$D$996,"Expense"),0)</f>
        <v>0</v>
      </c>
      <c r="H404" s="10"/>
      <c r="I404" s="10"/>
      <c r="J404" s="10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9.5" customHeight="1">
      <c r="A405" s="10"/>
      <c r="B405" s="18"/>
      <c r="C405" s="10"/>
      <c r="D405" s="10"/>
      <c r="E405" s="10"/>
      <c r="F405" s="11"/>
      <c r="G405" s="19">
        <f>IFERROR(SUMIFS(Transactions!$F$7:$F$996,Transactions!$G$7:$G$996,A405,Transactions!$D$7:$D$996,"Expense"),0)</f>
        <v>0</v>
      </c>
      <c r="H405" s="10"/>
      <c r="I405" s="10"/>
      <c r="J405" s="10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9.5" customHeight="1">
      <c r="A406" s="10"/>
      <c r="B406" s="18"/>
      <c r="C406" s="10"/>
      <c r="D406" s="10"/>
      <c r="E406" s="10"/>
      <c r="F406" s="11"/>
      <c r="G406" s="19">
        <f>IFERROR(SUMIFS(Transactions!$F$7:$F$996,Transactions!$G$7:$G$996,A406,Transactions!$D$7:$D$996,"Expense"),0)</f>
        <v>0</v>
      </c>
      <c r="H406" s="10"/>
      <c r="I406" s="10"/>
      <c r="J406" s="10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9.5" customHeight="1">
      <c r="A407" s="10"/>
      <c r="B407" s="18"/>
      <c r="C407" s="10"/>
      <c r="D407" s="10"/>
      <c r="E407" s="10"/>
      <c r="F407" s="11"/>
      <c r="G407" s="19">
        <f>IFERROR(SUMIFS(Transactions!$F$7:$F$996,Transactions!$G$7:$G$996,A407,Transactions!$D$7:$D$996,"Expense"),0)</f>
        <v>0</v>
      </c>
      <c r="H407" s="10"/>
      <c r="I407" s="10"/>
      <c r="J407" s="10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9.5" customHeight="1">
      <c r="A408" s="10"/>
      <c r="B408" s="18"/>
      <c r="C408" s="10"/>
      <c r="D408" s="10"/>
      <c r="E408" s="10"/>
      <c r="F408" s="11"/>
      <c r="G408" s="19">
        <f>IFERROR(SUMIFS(Transactions!$F$7:$F$996,Transactions!$G$7:$G$996,A408,Transactions!$D$7:$D$996,"Expense"),0)</f>
        <v>0</v>
      </c>
      <c r="H408" s="10"/>
      <c r="I408" s="10"/>
      <c r="J408" s="10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9.5" customHeight="1">
      <c r="A409" s="10"/>
      <c r="B409" s="18"/>
      <c r="C409" s="10"/>
      <c r="D409" s="10"/>
      <c r="E409" s="10"/>
      <c r="F409" s="11"/>
      <c r="G409" s="19">
        <f>IFERROR(SUMIFS(Transactions!$F$7:$F$996,Transactions!$G$7:$G$996,A409,Transactions!$D$7:$D$996,"Expense"),0)</f>
        <v>0</v>
      </c>
      <c r="H409" s="10"/>
      <c r="I409" s="10"/>
      <c r="J409" s="10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9.5" customHeight="1">
      <c r="A410" s="10"/>
      <c r="B410" s="18"/>
      <c r="C410" s="10"/>
      <c r="D410" s="10"/>
      <c r="E410" s="10"/>
      <c r="F410" s="11"/>
      <c r="G410" s="19">
        <f>IFERROR(SUMIFS(Transactions!$F$7:$F$996,Transactions!$G$7:$G$996,A410,Transactions!$D$7:$D$996,"Expense"),0)</f>
        <v>0</v>
      </c>
      <c r="H410" s="10"/>
      <c r="I410" s="10"/>
      <c r="J410" s="10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9.5" customHeight="1">
      <c r="A411" s="10"/>
      <c r="B411" s="18"/>
      <c r="C411" s="10"/>
      <c r="D411" s="10"/>
      <c r="E411" s="10"/>
      <c r="F411" s="11"/>
      <c r="G411" s="19">
        <f>IFERROR(SUMIFS(Transactions!$F$7:$F$996,Transactions!$G$7:$G$996,A411,Transactions!$D$7:$D$996,"Expense"),0)</f>
        <v>0</v>
      </c>
      <c r="H411" s="10"/>
      <c r="I411" s="10"/>
      <c r="J411" s="10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9.5" customHeight="1">
      <c r="A412" s="10"/>
      <c r="B412" s="18"/>
      <c r="C412" s="10"/>
      <c r="D412" s="10"/>
      <c r="E412" s="10"/>
      <c r="F412" s="11"/>
      <c r="G412" s="19">
        <f>IFERROR(SUMIFS(Transactions!$F$7:$F$996,Transactions!$G$7:$G$996,A412,Transactions!$D$7:$D$996,"Expense"),0)</f>
        <v>0</v>
      </c>
      <c r="H412" s="10"/>
      <c r="I412" s="10"/>
      <c r="J412" s="10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9.5" customHeight="1">
      <c r="A413" s="10"/>
      <c r="B413" s="18"/>
      <c r="C413" s="10"/>
      <c r="D413" s="10"/>
      <c r="E413" s="10"/>
      <c r="F413" s="11"/>
      <c r="G413" s="19">
        <f>IFERROR(SUMIFS(Transactions!$F$7:$F$996,Transactions!$G$7:$G$996,A413,Transactions!$D$7:$D$996,"Expense"),0)</f>
        <v>0</v>
      </c>
      <c r="H413" s="10"/>
      <c r="I413" s="10"/>
      <c r="J413" s="10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9.5" customHeight="1">
      <c r="A414" s="10"/>
      <c r="B414" s="18"/>
      <c r="C414" s="10"/>
      <c r="D414" s="10"/>
      <c r="E414" s="10"/>
      <c r="F414" s="11"/>
      <c r="G414" s="19">
        <f>IFERROR(SUMIFS(Transactions!$F$7:$F$996,Transactions!$G$7:$G$996,A414,Transactions!$D$7:$D$996,"Expense"),0)</f>
        <v>0</v>
      </c>
      <c r="H414" s="10"/>
      <c r="I414" s="10"/>
      <c r="J414" s="10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9.5" customHeight="1">
      <c r="A415" s="10"/>
      <c r="B415" s="18"/>
      <c r="C415" s="10"/>
      <c r="D415" s="10"/>
      <c r="E415" s="10"/>
      <c r="F415" s="11"/>
      <c r="G415" s="19">
        <f>IFERROR(SUMIFS(Transactions!$F$7:$F$996,Transactions!$G$7:$G$996,A415,Transactions!$D$7:$D$996,"Expense"),0)</f>
        <v>0</v>
      </c>
      <c r="H415" s="10"/>
      <c r="I415" s="10"/>
      <c r="J415" s="10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9.5" customHeight="1">
      <c r="A416" s="10"/>
      <c r="B416" s="18"/>
      <c r="C416" s="10"/>
      <c r="D416" s="10"/>
      <c r="E416" s="10"/>
      <c r="F416" s="11"/>
      <c r="G416" s="19">
        <f>IFERROR(SUMIFS(Transactions!$F$7:$F$996,Transactions!$G$7:$G$996,A416,Transactions!$D$7:$D$996,"Expense"),0)</f>
        <v>0</v>
      </c>
      <c r="H416" s="10"/>
      <c r="I416" s="10"/>
      <c r="J416" s="10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9.5" customHeight="1">
      <c r="A417" s="10"/>
      <c r="B417" s="18"/>
      <c r="C417" s="10"/>
      <c r="D417" s="10"/>
      <c r="E417" s="10"/>
      <c r="F417" s="11"/>
      <c r="G417" s="19">
        <f>IFERROR(SUMIFS(Transactions!$F$7:$F$996,Transactions!$G$7:$G$996,A417,Transactions!$D$7:$D$996,"Expense"),0)</f>
        <v>0</v>
      </c>
      <c r="H417" s="10"/>
      <c r="I417" s="10"/>
      <c r="J417" s="10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9.5" customHeight="1">
      <c r="A418" s="10"/>
      <c r="B418" s="18"/>
      <c r="C418" s="10"/>
      <c r="D418" s="10"/>
      <c r="E418" s="10"/>
      <c r="F418" s="11"/>
      <c r="G418" s="19">
        <f>IFERROR(SUMIFS(Transactions!$F$7:$F$996,Transactions!$G$7:$G$996,A418,Transactions!$D$7:$D$996,"Expense"),0)</f>
        <v>0</v>
      </c>
      <c r="H418" s="10"/>
      <c r="I418" s="10"/>
      <c r="J418" s="10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9.5" customHeight="1">
      <c r="A419" s="10"/>
      <c r="B419" s="18"/>
      <c r="C419" s="10"/>
      <c r="D419" s="10"/>
      <c r="E419" s="10"/>
      <c r="F419" s="11"/>
      <c r="G419" s="19">
        <f>IFERROR(SUMIFS(Transactions!$F$7:$F$996,Transactions!$G$7:$G$996,A419,Transactions!$D$7:$D$996,"Expense"),0)</f>
        <v>0</v>
      </c>
      <c r="H419" s="10"/>
      <c r="I419" s="10"/>
      <c r="J419" s="10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9.5" customHeight="1">
      <c r="A420" s="10"/>
      <c r="B420" s="18"/>
      <c r="C420" s="10"/>
      <c r="D420" s="10"/>
      <c r="E420" s="10"/>
      <c r="F420" s="11"/>
      <c r="G420" s="19">
        <f>IFERROR(SUMIFS(Transactions!$F$7:$F$996,Transactions!$G$7:$G$996,A420,Transactions!$D$7:$D$996,"Expense"),0)</f>
        <v>0</v>
      </c>
      <c r="H420" s="10"/>
      <c r="I420" s="10"/>
      <c r="J420" s="10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9.5" customHeight="1">
      <c r="A421" s="10"/>
      <c r="B421" s="18"/>
      <c r="C421" s="10"/>
      <c r="D421" s="10"/>
      <c r="E421" s="10"/>
      <c r="F421" s="11"/>
      <c r="G421" s="19">
        <f>IFERROR(SUMIFS(Transactions!$F$7:$F$996,Transactions!$G$7:$G$996,A421,Transactions!$D$7:$D$996,"Expense"),0)</f>
        <v>0</v>
      </c>
      <c r="H421" s="10"/>
      <c r="I421" s="10"/>
      <c r="J421" s="10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9.5" customHeight="1">
      <c r="A422" s="10"/>
      <c r="B422" s="18"/>
      <c r="C422" s="10"/>
      <c r="D422" s="10"/>
      <c r="E422" s="10"/>
      <c r="F422" s="11"/>
      <c r="G422" s="19">
        <f>IFERROR(SUMIFS(Transactions!$F$7:$F$996,Transactions!$G$7:$G$996,A422,Transactions!$D$7:$D$996,"Expense"),0)</f>
        <v>0</v>
      </c>
      <c r="H422" s="10"/>
      <c r="I422" s="10"/>
      <c r="J422" s="10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9.5" customHeight="1">
      <c r="A423" s="10"/>
      <c r="B423" s="18"/>
      <c r="C423" s="10"/>
      <c r="D423" s="10"/>
      <c r="E423" s="10"/>
      <c r="F423" s="11"/>
      <c r="G423" s="19">
        <f>IFERROR(SUMIFS(Transactions!$F$7:$F$996,Transactions!$G$7:$G$996,A423,Transactions!$D$7:$D$996,"Expense"),0)</f>
        <v>0</v>
      </c>
      <c r="H423" s="10"/>
      <c r="I423" s="10"/>
      <c r="J423" s="10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9.5" customHeight="1">
      <c r="A424" s="10"/>
      <c r="B424" s="18"/>
      <c r="C424" s="10"/>
      <c r="D424" s="10"/>
      <c r="E424" s="10"/>
      <c r="F424" s="11"/>
      <c r="G424" s="19">
        <f>IFERROR(SUMIFS(Transactions!$F$7:$F$996,Transactions!$G$7:$G$996,A424,Transactions!$D$7:$D$996,"Expense"),0)</f>
        <v>0</v>
      </c>
      <c r="H424" s="10"/>
      <c r="I424" s="10"/>
      <c r="J424" s="10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9.5" customHeight="1">
      <c r="A425" s="10"/>
      <c r="B425" s="18"/>
      <c r="C425" s="10"/>
      <c r="D425" s="10"/>
      <c r="E425" s="10"/>
      <c r="F425" s="11"/>
      <c r="G425" s="19">
        <f>IFERROR(SUMIFS(Transactions!$F$7:$F$996,Transactions!$G$7:$G$996,A425,Transactions!$D$7:$D$996,"Expense"),0)</f>
        <v>0</v>
      </c>
      <c r="H425" s="10"/>
      <c r="I425" s="10"/>
      <c r="J425" s="10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9.5" customHeight="1">
      <c r="A426" s="10"/>
      <c r="B426" s="18"/>
      <c r="C426" s="10"/>
      <c r="D426" s="10"/>
      <c r="E426" s="10"/>
      <c r="F426" s="11"/>
      <c r="G426" s="19">
        <f>IFERROR(SUMIFS(Transactions!$F$7:$F$996,Transactions!$G$7:$G$996,A426,Transactions!$D$7:$D$996,"Expense"),0)</f>
        <v>0</v>
      </c>
      <c r="H426" s="10"/>
      <c r="I426" s="10"/>
      <c r="J426" s="10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9.5" customHeight="1">
      <c r="A427" s="10"/>
      <c r="B427" s="18"/>
      <c r="C427" s="10"/>
      <c r="D427" s="10"/>
      <c r="E427" s="10"/>
      <c r="F427" s="11"/>
      <c r="G427" s="19">
        <f>IFERROR(SUMIFS(Transactions!$F$7:$F$996,Transactions!$G$7:$G$996,A427,Transactions!$D$7:$D$996,"Expense"),0)</f>
        <v>0</v>
      </c>
      <c r="H427" s="10"/>
      <c r="I427" s="10"/>
      <c r="J427" s="10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9.5" customHeight="1">
      <c r="A428" s="10"/>
      <c r="B428" s="18"/>
      <c r="C428" s="10"/>
      <c r="D428" s="10"/>
      <c r="E428" s="10"/>
      <c r="F428" s="11"/>
      <c r="G428" s="19">
        <f>IFERROR(SUMIFS(Transactions!$F$7:$F$996,Transactions!$G$7:$G$996,A428,Transactions!$D$7:$D$996,"Expense"),0)</f>
        <v>0</v>
      </c>
      <c r="H428" s="10"/>
      <c r="I428" s="10"/>
      <c r="J428" s="10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9.5" customHeight="1">
      <c r="A429" s="10"/>
      <c r="B429" s="18"/>
      <c r="C429" s="10"/>
      <c r="D429" s="10"/>
      <c r="E429" s="10"/>
      <c r="F429" s="11"/>
      <c r="G429" s="19">
        <f>IFERROR(SUMIFS(Transactions!$F$7:$F$996,Transactions!$G$7:$G$996,A429,Transactions!$D$7:$D$996,"Expense"),0)</f>
        <v>0</v>
      </c>
      <c r="H429" s="10"/>
      <c r="I429" s="10"/>
      <c r="J429" s="10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9.5" customHeight="1">
      <c r="A430" s="10"/>
      <c r="B430" s="18"/>
      <c r="C430" s="10"/>
      <c r="D430" s="10"/>
      <c r="E430" s="10"/>
      <c r="F430" s="11"/>
      <c r="G430" s="19">
        <f>IFERROR(SUMIFS(Transactions!$F$7:$F$996,Transactions!$G$7:$G$996,A430,Transactions!$D$7:$D$996,"Expense"),0)</f>
        <v>0</v>
      </c>
      <c r="H430" s="10"/>
      <c r="I430" s="10"/>
      <c r="J430" s="10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9.5" customHeight="1">
      <c r="A431" s="10"/>
      <c r="B431" s="18"/>
      <c r="C431" s="10"/>
      <c r="D431" s="10"/>
      <c r="E431" s="10"/>
      <c r="F431" s="11"/>
      <c r="G431" s="19">
        <f>IFERROR(SUMIFS(Transactions!$F$7:$F$996,Transactions!$G$7:$G$996,A431,Transactions!$D$7:$D$996,"Expense"),0)</f>
        <v>0</v>
      </c>
      <c r="H431" s="10"/>
      <c r="I431" s="10"/>
      <c r="J431" s="10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9.5" customHeight="1">
      <c r="A432" s="10"/>
      <c r="B432" s="18"/>
      <c r="C432" s="10"/>
      <c r="D432" s="10"/>
      <c r="E432" s="10"/>
      <c r="F432" s="11"/>
      <c r="G432" s="19">
        <f>IFERROR(SUMIFS(Transactions!$F$7:$F$996,Transactions!$G$7:$G$996,A432,Transactions!$D$7:$D$996,"Expense"),0)</f>
        <v>0</v>
      </c>
      <c r="H432" s="10"/>
      <c r="I432" s="10"/>
      <c r="J432" s="10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9.5" customHeight="1">
      <c r="A433" s="10"/>
      <c r="B433" s="18"/>
      <c r="C433" s="10"/>
      <c r="D433" s="10"/>
      <c r="E433" s="10"/>
      <c r="F433" s="11"/>
      <c r="G433" s="19">
        <f>IFERROR(SUMIFS(Transactions!$F$7:$F$996,Transactions!$G$7:$G$996,A433,Transactions!$D$7:$D$996,"Expense"),0)</f>
        <v>0</v>
      </c>
      <c r="H433" s="10"/>
      <c r="I433" s="10"/>
      <c r="J433" s="10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9.5" customHeight="1">
      <c r="A434" s="10"/>
      <c r="B434" s="18"/>
      <c r="C434" s="10"/>
      <c r="D434" s="10"/>
      <c r="E434" s="10"/>
      <c r="F434" s="11"/>
      <c r="G434" s="19">
        <f>IFERROR(SUMIFS(Transactions!$F$7:$F$996,Transactions!$G$7:$G$996,A434,Transactions!$D$7:$D$996,"Expense"),0)</f>
        <v>0</v>
      </c>
      <c r="H434" s="10"/>
      <c r="I434" s="10"/>
      <c r="J434" s="10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9.5" customHeight="1">
      <c r="A435" s="10"/>
      <c r="B435" s="18"/>
      <c r="C435" s="10"/>
      <c r="D435" s="10"/>
      <c r="E435" s="10"/>
      <c r="F435" s="11"/>
      <c r="G435" s="19">
        <f>IFERROR(SUMIFS(Transactions!$F$7:$F$996,Transactions!$G$7:$G$996,A435,Transactions!$D$7:$D$996,"Expense"),0)</f>
        <v>0</v>
      </c>
      <c r="H435" s="10"/>
      <c r="I435" s="10"/>
      <c r="J435" s="10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9.5" customHeight="1">
      <c r="A436" s="10"/>
      <c r="B436" s="18"/>
      <c r="C436" s="10"/>
      <c r="D436" s="10"/>
      <c r="E436" s="10"/>
      <c r="F436" s="11"/>
      <c r="G436" s="19">
        <f>IFERROR(SUMIFS(Transactions!$F$7:$F$996,Transactions!$G$7:$G$996,A436,Transactions!$D$7:$D$996,"Expense"),0)</f>
        <v>0</v>
      </c>
      <c r="H436" s="10"/>
      <c r="I436" s="10"/>
      <c r="J436" s="10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9.5" customHeight="1">
      <c r="A437" s="10"/>
      <c r="B437" s="18"/>
      <c r="C437" s="10"/>
      <c r="D437" s="10"/>
      <c r="E437" s="10"/>
      <c r="F437" s="11"/>
      <c r="G437" s="19">
        <f>IFERROR(SUMIFS(Transactions!$F$7:$F$996,Transactions!$G$7:$G$996,A437,Transactions!$D$7:$D$996,"Expense"),0)</f>
        <v>0</v>
      </c>
      <c r="H437" s="10"/>
      <c r="I437" s="10"/>
      <c r="J437" s="10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9.5" customHeight="1">
      <c r="A438" s="10"/>
      <c r="B438" s="18"/>
      <c r="C438" s="10"/>
      <c r="D438" s="10"/>
      <c r="E438" s="10"/>
      <c r="F438" s="11"/>
      <c r="G438" s="19">
        <f>IFERROR(SUMIFS(Transactions!$F$7:$F$996,Transactions!$G$7:$G$996,A438,Transactions!$D$7:$D$996,"Expense"),0)</f>
        <v>0</v>
      </c>
      <c r="H438" s="10"/>
      <c r="I438" s="10"/>
      <c r="J438" s="10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9.5" customHeight="1">
      <c r="A439" s="10"/>
      <c r="B439" s="18"/>
      <c r="C439" s="10"/>
      <c r="D439" s="10"/>
      <c r="E439" s="10"/>
      <c r="F439" s="11"/>
      <c r="G439" s="19">
        <f>IFERROR(SUMIFS(Transactions!$F$7:$F$996,Transactions!$G$7:$G$996,A439,Transactions!$D$7:$D$996,"Expense"),0)</f>
        <v>0</v>
      </c>
      <c r="H439" s="10"/>
      <c r="I439" s="10"/>
      <c r="J439" s="10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9.5" customHeight="1">
      <c r="A440" s="10"/>
      <c r="B440" s="18"/>
      <c r="C440" s="10"/>
      <c r="D440" s="10"/>
      <c r="E440" s="10"/>
      <c r="F440" s="11"/>
      <c r="G440" s="19">
        <f>IFERROR(SUMIFS(Transactions!$F$7:$F$996,Transactions!$G$7:$G$996,A440,Transactions!$D$7:$D$996,"Expense"),0)</f>
        <v>0</v>
      </c>
      <c r="H440" s="10"/>
      <c r="I440" s="10"/>
      <c r="J440" s="10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9.5" customHeight="1">
      <c r="A441" s="10"/>
      <c r="B441" s="18"/>
      <c r="C441" s="10"/>
      <c r="D441" s="10"/>
      <c r="E441" s="10"/>
      <c r="F441" s="11"/>
      <c r="G441" s="19">
        <f>IFERROR(SUMIFS(Transactions!$F$7:$F$996,Transactions!$G$7:$G$996,A441,Transactions!$D$7:$D$996,"Expense"),0)</f>
        <v>0</v>
      </c>
      <c r="H441" s="10"/>
      <c r="I441" s="10"/>
      <c r="J441" s="10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9.5" customHeight="1">
      <c r="A442" s="10"/>
      <c r="B442" s="18"/>
      <c r="C442" s="10"/>
      <c r="D442" s="10"/>
      <c r="E442" s="10"/>
      <c r="F442" s="11"/>
      <c r="G442" s="19">
        <f>IFERROR(SUMIFS(Transactions!$F$7:$F$996,Transactions!$G$7:$G$996,A442,Transactions!$D$7:$D$996,"Expense"),0)</f>
        <v>0</v>
      </c>
      <c r="H442" s="10"/>
      <c r="I442" s="10"/>
      <c r="J442" s="10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9.5" customHeight="1">
      <c r="A443" s="10"/>
      <c r="B443" s="18"/>
      <c r="C443" s="10"/>
      <c r="D443" s="10"/>
      <c r="E443" s="10"/>
      <c r="F443" s="11"/>
      <c r="G443" s="19">
        <f>IFERROR(SUMIFS(Transactions!$F$7:$F$996,Transactions!$G$7:$G$996,A443,Transactions!$D$7:$D$996,"Expense"),0)</f>
        <v>0</v>
      </c>
      <c r="H443" s="10"/>
      <c r="I443" s="10"/>
      <c r="J443" s="10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9.5" customHeight="1">
      <c r="A444" s="10"/>
      <c r="B444" s="18"/>
      <c r="C444" s="10"/>
      <c r="D444" s="10"/>
      <c r="E444" s="10"/>
      <c r="F444" s="11"/>
      <c r="G444" s="19">
        <f>IFERROR(SUMIFS(Transactions!$F$7:$F$996,Transactions!$G$7:$G$996,A444,Transactions!$D$7:$D$996,"Expense"),0)</f>
        <v>0</v>
      </c>
      <c r="H444" s="10"/>
      <c r="I444" s="10"/>
      <c r="J444" s="10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9.5" customHeight="1">
      <c r="A445" s="10"/>
      <c r="B445" s="18"/>
      <c r="C445" s="10"/>
      <c r="D445" s="10"/>
      <c r="E445" s="10"/>
      <c r="F445" s="11"/>
      <c r="G445" s="19">
        <f>IFERROR(SUMIFS(Transactions!$F$7:$F$996,Transactions!$G$7:$G$996,A445,Transactions!$D$7:$D$996,"Expense"),0)</f>
        <v>0</v>
      </c>
      <c r="H445" s="10"/>
      <c r="I445" s="10"/>
      <c r="J445" s="10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9.5" customHeight="1">
      <c r="A446" s="10"/>
      <c r="B446" s="18"/>
      <c r="C446" s="10"/>
      <c r="D446" s="10"/>
      <c r="E446" s="10"/>
      <c r="F446" s="11"/>
      <c r="G446" s="19">
        <f>IFERROR(SUMIFS(Transactions!$F$7:$F$996,Transactions!$G$7:$G$996,A446,Transactions!$D$7:$D$996,"Expense"),0)</f>
        <v>0</v>
      </c>
      <c r="H446" s="10"/>
      <c r="I446" s="10"/>
      <c r="J446" s="10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9.5" customHeight="1">
      <c r="A447" s="10"/>
      <c r="B447" s="18"/>
      <c r="C447" s="10"/>
      <c r="D447" s="10"/>
      <c r="E447" s="10"/>
      <c r="F447" s="11"/>
      <c r="G447" s="19">
        <f>IFERROR(SUMIFS(Transactions!$F$7:$F$996,Transactions!$G$7:$G$996,A447,Transactions!$D$7:$D$996,"Expense"),0)</f>
        <v>0</v>
      </c>
      <c r="H447" s="10"/>
      <c r="I447" s="10"/>
      <c r="J447" s="10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9.5" customHeight="1">
      <c r="A448" s="10"/>
      <c r="B448" s="18"/>
      <c r="C448" s="10"/>
      <c r="D448" s="10"/>
      <c r="E448" s="10"/>
      <c r="F448" s="11"/>
      <c r="G448" s="19">
        <f>IFERROR(SUMIFS(Transactions!$F$7:$F$996,Transactions!$G$7:$G$996,A448,Transactions!$D$7:$D$996,"Expense"),0)</f>
        <v>0</v>
      </c>
      <c r="H448" s="10"/>
      <c r="I448" s="10"/>
      <c r="J448" s="10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9.5" customHeight="1">
      <c r="A449" s="10"/>
      <c r="B449" s="18"/>
      <c r="C449" s="10"/>
      <c r="D449" s="10"/>
      <c r="E449" s="10"/>
      <c r="F449" s="11"/>
      <c r="G449" s="19">
        <f>IFERROR(SUMIFS(Transactions!$F$7:$F$996,Transactions!$G$7:$G$996,A449,Transactions!$D$7:$D$996,"Expense"),0)</f>
        <v>0</v>
      </c>
      <c r="H449" s="10"/>
      <c r="I449" s="10"/>
      <c r="J449" s="10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9.5" customHeight="1">
      <c r="A450" s="10"/>
      <c r="B450" s="18"/>
      <c r="C450" s="10"/>
      <c r="D450" s="10"/>
      <c r="E450" s="10"/>
      <c r="F450" s="11"/>
      <c r="G450" s="19">
        <f>IFERROR(SUMIFS(Transactions!$F$7:$F$996,Transactions!$G$7:$G$996,A450,Transactions!$D$7:$D$996,"Expense"),0)</f>
        <v>0</v>
      </c>
      <c r="H450" s="10"/>
      <c r="I450" s="10"/>
      <c r="J450" s="10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9.5" customHeight="1">
      <c r="A451" s="10"/>
      <c r="B451" s="18"/>
      <c r="C451" s="10"/>
      <c r="D451" s="10"/>
      <c r="E451" s="10"/>
      <c r="F451" s="11"/>
      <c r="G451" s="19">
        <f>IFERROR(SUMIFS(Transactions!$F$7:$F$996,Transactions!$G$7:$G$996,A451,Transactions!$D$7:$D$996,"Expense"),0)</f>
        <v>0</v>
      </c>
      <c r="H451" s="10"/>
      <c r="I451" s="10"/>
      <c r="J451" s="10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9.5" customHeight="1">
      <c r="A452" s="10"/>
      <c r="B452" s="18"/>
      <c r="C452" s="10"/>
      <c r="D452" s="10"/>
      <c r="E452" s="10"/>
      <c r="F452" s="11"/>
      <c r="G452" s="19">
        <f>IFERROR(SUMIFS(Transactions!$F$7:$F$996,Transactions!$G$7:$G$996,A452,Transactions!$D$7:$D$996,"Expense"),0)</f>
        <v>0</v>
      </c>
      <c r="H452" s="10"/>
      <c r="I452" s="10"/>
      <c r="J452" s="10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9.5" customHeight="1">
      <c r="A453" s="10"/>
      <c r="B453" s="18"/>
      <c r="C453" s="10"/>
      <c r="D453" s="10"/>
      <c r="E453" s="10"/>
      <c r="F453" s="11"/>
      <c r="G453" s="19">
        <f>IFERROR(SUMIFS(Transactions!$F$7:$F$996,Transactions!$G$7:$G$996,A453,Transactions!$D$7:$D$996,"Expense"),0)</f>
        <v>0</v>
      </c>
      <c r="H453" s="10"/>
      <c r="I453" s="10"/>
      <c r="J453" s="10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9.5" customHeight="1">
      <c r="A454" s="10"/>
      <c r="B454" s="18"/>
      <c r="C454" s="10"/>
      <c r="D454" s="10"/>
      <c r="E454" s="10"/>
      <c r="F454" s="11"/>
      <c r="G454" s="19">
        <f>IFERROR(SUMIFS(Transactions!$F$7:$F$996,Transactions!$G$7:$G$996,A454,Transactions!$D$7:$D$996,"Expense"),0)</f>
        <v>0</v>
      </c>
      <c r="H454" s="10"/>
      <c r="I454" s="10"/>
      <c r="J454" s="10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9.5" customHeight="1">
      <c r="A455" s="10"/>
      <c r="B455" s="18"/>
      <c r="C455" s="10"/>
      <c r="D455" s="10"/>
      <c r="E455" s="10"/>
      <c r="F455" s="11"/>
      <c r="G455" s="19">
        <f>IFERROR(SUMIFS(Transactions!$F$7:$F$996,Transactions!$G$7:$G$996,A455,Transactions!$D$7:$D$996,"Expense"),0)</f>
        <v>0</v>
      </c>
      <c r="H455" s="10"/>
      <c r="I455" s="10"/>
      <c r="J455" s="10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9.5" customHeight="1">
      <c r="A456" s="10"/>
      <c r="B456" s="18"/>
      <c r="C456" s="10"/>
      <c r="D456" s="10"/>
      <c r="E456" s="10"/>
      <c r="F456" s="11"/>
      <c r="G456" s="19">
        <f>IFERROR(SUMIFS(Transactions!$F$7:$F$996,Transactions!$G$7:$G$996,A456,Transactions!$D$7:$D$996,"Expense"),0)</f>
        <v>0</v>
      </c>
      <c r="H456" s="10"/>
      <c r="I456" s="10"/>
      <c r="J456" s="10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9.5" customHeight="1">
      <c r="A457" s="10"/>
      <c r="B457" s="18"/>
      <c r="C457" s="10"/>
      <c r="D457" s="10"/>
      <c r="E457" s="10"/>
      <c r="F457" s="11"/>
      <c r="G457" s="19">
        <f>IFERROR(SUMIFS(Transactions!$F$7:$F$996,Transactions!$G$7:$G$996,A457,Transactions!$D$7:$D$996,"Expense"),0)</f>
        <v>0</v>
      </c>
      <c r="H457" s="10"/>
      <c r="I457" s="10"/>
      <c r="J457" s="10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9.5" customHeight="1">
      <c r="A458" s="10"/>
      <c r="B458" s="18"/>
      <c r="C458" s="10"/>
      <c r="D458" s="10"/>
      <c r="E458" s="10"/>
      <c r="F458" s="11"/>
      <c r="G458" s="19">
        <f>IFERROR(SUMIFS(Transactions!$F$7:$F$996,Transactions!$G$7:$G$996,A458,Transactions!$D$7:$D$996,"Expense"),0)</f>
        <v>0</v>
      </c>
      <c r="H458" s="10"/>
      <c r="I458" s="10"/>
      <c r="J458" s="10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9.5" customHeight="1">
      <c r="A459" s="10"/>
      <c r="B459" s="18"/>
      <c r="C459" s="10"/>
      <c r="D459" s="10"/>
      <c r="E459" s="10"/>
      <c r="F459" s="11"/>
      <c r="G459" s="19">
        <f>IFERROR(SUMIFS(Transactions!$F$7:$F$996,Transactions!$G$7:$G$996,A459,Transactions!$D$7:$D$996,"Expense"),0)</f>
        <v>0</v>
      </c>
      <c r="H459" s="10"/>
      <c r="I459" s="10"/>
      <c r="J459" s="10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9.5" customHeight="1">
      <c r="A460" s="10"/>
      <c r="B460" s="18"/>
      <c r="C460" s="10"/>
      <c r="D460" s="10"/>
      <c r="E460" s="10"/>
      <c r="F460" s="11"/>
      <c r="G460" s="19">
        <f>IFERROR(SUMIFS(Transactions!$F$7:$F$996,Transactions!$G$7:$G$996,A460,Transactions!$D$7:$D$996,"Expense"),0)</f>
        <v>0</v>
      </c>
      <c r="H460" s="10"/>
      <c r="I460" s="10"/>
      <c r="J460" s="10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9.5" customHeight="1">
      <c r="A461" s="10"/>
      <c r="B461" s="18"/>
      <c r="C461" s="10"/>
      <c r="D461" s="10"/>
      <c r="E461" s="10"/>
      <c r="F461" s="11"/>
      <c r="G461" s="19">
        <f>IFERROR(SUMIFS(Transactions!$F$7:$F$996,Transactions!$G$7:$G$996,A461,Transactions!$D$7:$D$996,"Expense"),0)</f>
        <v>0</v>
      </c>
      <c r="H461" s="10"/>
      <c r="I461" s="10"/>
      <c r="J461" s="10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9.5" customHeight="1">
      <c r="A462" s="10"/>
      <c r="B462" s="18"/>
      <c r="C462" s="10"/>
      <c r="D462" s="10"/>
      <c r="E462" s="10"/>
      <c r="F462" s="11"/>
      <c r="G462" s="19">
        <f>IFERROR(SUMIFS(Transactions!$F$7:$F$996,Transactions!$G$7:$G$996,A462,Transactions!$D$7:$D$996,"Expense"),0)</f>
        <v>0</v>
      </c>
      <c r="H462" s="10"/>
      <c r="I462" s="10"/>
      <c r="J462" s="10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9.5" customHeight="1">
      <c r="A463" s="10"/>
      <c r="B463" s="18"/>
      <c r="C463" s="10"/>
      <c r="D463" s="10"/>
      <c r="E463" s="10"/>
      <c r="F463" s="11"/>
      <c r="G463" s="19">
        <f>IFERROR(SUMIFS(Transactions!$F$7:$F$996,Transactions!$G$7:$G$996,A463,Transactions!$D$7:$D$996,"Expense"),0)</f>
        <v>0</v>
      </c>
      <c r="H463" s="10"/>
      <c r="I463" s="10"/>
      <c r="J463" s="10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9.5" customHeight="1">
      <c r="A464" s="10"/>
      <c r="B464" s="18"/>
      <c r="C464" s="10"/>
      <c r="D464" s="10"/>
      <c r="E464" s="10"/>
      <c r="F464" s="11"/>
      <c r="G464" s="19">
        <f>IFERROR(SUMIFS(Transactions!$F$7:$F$996,Transactions!$G$7:$G$996,A464,Transactions!$D$7:$D$996,"Expense"),0)</f>
        <v>0</v>
      </c>
      <c r="H464" s="10"/>
      <c r="I464" s="10"/>
      <c r="J464" s="10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9.5" customHeight="1">
      <c r="A465" s="10"/>
      <c r="B465" s="18"/>
      <c r="C465" s="10"/>
      <c r="D465" s="10"/>
      <c r="E465" s="10"/>
      <c r="F465" s="11"/>
      <c r="G465" s="19">
        <f>IFERROR(SUMIFS(Transactions!$F$7:$F$996,Transactions!$G$7:$G$996,A465,Transactions!$D$7:$D$996,"Expense"),0)</f>
        <v>0</v>
      </c>
      <c r="H465" s="10"/>
      <c r="I465" s="10"/>
      <c r="J465" s="10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9.5" customHeight="1">
      <c r="A466" s="10"/>
      <c r="B466" s="18"/>
      <c r="C466" s="10"/>
      <c r="D466" s="10"/>
      <c r="E466" s="10"/>
      <c r="F466" s="11"/>
      <c r="G466" s="19">
        <f>IFERROR(SUMIFS(Transactions!$F$7:$F$996,Transactions!$G$7:$G$996,A466,Transactions!$D$7:$D$996,"Expense"),0)</f>
        <v>0</v>
      </c>
      <c r="H466" s="10"/>
      <c r="I466" s="10"/>
      <c r="J466" s="10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9.5" customHeight="1">
      <c r="A467" s="10"/>
      <c r="B467" s="18"/>
      <c r="C467" s="10"/>
      <c r="D467" s="10"/>
      <c r="E467" s="10"/>
      <c r="F467" s="11"/>
      <c r="G467" s="19">
        <f>IFERROR(SUMIFS(Transactions!$F$7:$F$996,Transactions!$G$7:$G$996,A467,Transactions!$D$7:$D$996,"Expense"),0)</f>
        <v>0</v>
      </c>
      <c r="H467" s="10"/>
      <c r="I467" s="10"/>
      <c r="J467" s="10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9.5" customHeight="1">
      <c r="A468" s="10"/>
      <c r="B468" s="18"/>
      <c r="C468" s="10"/>
      <c r="D468" s="10"/>
      <c r="E468" s="10"/>
      <c r="F468" s="11"/>
      <c r="G468" s="19">
        <f>IFERROR(SUMIFS(Transactions!$F$7:$F$996,Transactions!$G$7:$G$996,A468,Transactions!$D$7:$D$996,"Expense"),0)</f>
        <v>0</v>
      </c>
      <c r="H468" s="10"/>
      <c r="I468" s="10"/>
      <c r="J468" s="10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9.5" customHeight="1">
      <c r="A469" s="10"/>
      <c r="B469" s="18"/>
      <c r="C469" s="10"/>
      <c r="D469" s="10"/>
      <c r="E469" s="10"/>
      <c r="F469" s="11"/>
      <c r="G469" s="19">
        <f>IFERROR(SUMIFS(Transactions!$F$7:$F$996,Transactions!$G$7:$G$996,A469,Transactions!$D$7:$D$996,"Expense"),0)</f>
        <v>0</v>
      </c>
      <c r="H469" s="10"/>
      <c r="I469" s="10"/>
      <c r="J469" s="10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9.5" customHeight="1">
      <c r="A470" s="10"/>
      <c r="B470" s="18"/>
      <c r="C470" s="10"/>
      <c r="D470" s="10"/>
      <c r="E470" s="10"/>
      <c r="F470" s="11"/>
      <c r="G470" s="19">
        <f>IFERROR(SUMIFS(Transactions!$F$7:$F$996,Transactions!$G$7:$G$996,A470,Transactions!$D$7:$D$996,"Expense"),0)</f>
        <v>0</v>
      </c>
      <c r="H470" s="10"/>
      <c r="I470" s="10"/>
      <c r="J470" s="10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9.5" customHeight="1">
      <c r="A471" s="10"/>
      <c r="B471" s="18"/>
      <c r="C471" s="10"/>
      <c r="D471" s="10"/>
      <c r="E471" s="10"/>
      <c r="F471" s="11"/>
      <c r="G471" s="19">
        <f>IFERROR(SUMIFS(Transactions!$F$7:$F$996,Transactions!$G$7:$G$996,A471,Transactions!$D$7:$D$996,"Expense"),0)</f>
        <v>0</v>
      </c>
      <c r="H471" s="10"/>
      <c r="I471" s="10"/>
      <c r="J471" s="10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9.5" customHeight="1">
      <c r="A472" s="10"/>
      <c r="B472" s="18"/>
      <c r="C472" s="10"/>
      <c r="D472" s="10"/>
      <c r="E472" s="10"/>
      <c r="F472" s="11"/>
      <c r="G472" s="19">
        <f>IFERROR(SUMIFS(Transactions!$F$7:$F$996,Transactions!$G$7:$G$996,A472,Transactions!$D$7:$D$996,"Expense"),0)</f>
        <v>0</v>
      </c>
      <c r="H472" s="10"/>
      <c r="I472" s="10"/>
      <c r="J472" s="10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9.5" customHeight="1">
      <c r="A473" s="10"/>
      <c r="B473" s="18"/>
      <c r="C473" s="10"/>
      <c r="D473" s="10"/>
      <c r="E473" s="10"/>
      <c r="F473" s="11"/>
      <c r="G473" s="19">
        <f>IFERROR(SUMIFS(Transactions!$F$7:$F$996,Transactions!$G$7:$G$996,A473,Transactions!$D$7:$D$996,"Expense"),0)</f>
        <v>0</v>
      </c>
      <c r="H473" s="10"/>
      <c r="I473" s="10"/>
      <c r="J473" s="10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9.5" customHeight="1">
      <c r="A474" s="10"/>
      <c r="B474" s="18"/>
      <c r="C474" s="10"/>
      <c r="D474" s="10"/>
      <c r="E474" s="10"/>
      <c r="F474" s="11"/>
      <c r="G474" s="19">
        <f>IFERROR(SUMIFS(Transactions!$F$7:$F$996,Transactions!$G$7:$G$996,A474,Transactions!$D$7:$D$996,"Expense"),0)</f>
        <v>0</v>
      </c>
      <c r="H474" s="10"/>
      <c r="I474" s="10"/>
      <c r="J474" s="10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9.5" customHeight="1">
      <c r="A475" s="10"/>
      <c r="B475" s="18"/>
      <c r="C475" s="10"/>
      <c r="D475" s="10"/>
      <c r="E475" s="10"/>
      <c r="F475" s="11"/>
      <c r="G475" s="19">
        <f>IFERROR(SUMIFS(Transactions!$F$7:$F$996,Transactions!$G$7:$G$996,A475,Transactions!$D$7:$D$996,"Expense"),0)</f>
        <v>0</v>
      </c>
      <c r="H475" s="10"/>
      <c r="I475" s="10"/>
      <c r="J475" s="10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9.5" customHeight="1">
      <c r="A476" s="10"/>
      <c r="B476" s="18"/>
      <c r="C476" s="10"/>
      <c r="D476" s="10"/>
      <c r="E476" s="10"/>
      <c r="F476" s="11"/>
      <c r="G476" s="19">
        <f>IFERROR(SUMIFS(Transactions!$F$7:$F$996,Transactions!$G$7:$G$996,A476,Transactions!$D$7:$D$996,"Expense"),0)</f>
        <v>0</v>
      </c>
      <c r="H476" s="10"/>
      <c r="I476" s="10"/>
      <c r="J476" s="10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9.5" customHeight="1">
      <c r="A477" s="10"/>
      <c r="B477" s="18"/>
      <c r="C477" s="10"/>
      <c r="D477" s="10"/>
      <c r="E477" s="10"/>
      <c r="F477" s="11"/>
      <c r="G477" s="19">
        <f>IFERROR(SUMIFS(Transactions!$F$7:$F$996,Transactions!$G$7:$G$996,A477,Transactions!$D$7:$D$996,"Expense"),0)</f>
        <v>0</v>
      </c>
      <c r="H477" s="10"/>
      <c r="I477" s="10"/>
      <c r="J477" s="10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9.5" customHeight="1">
      <c r="A478" s="10"/>
      <c r="B478" s="18"/>
      <c r="C478" s="10"/>
      <c r="D478" s="10"/>
      <c r="E478" s="10"/>
      <c r="F478" s="11"/>
      <c r="G478" s="19">
        <f>IFERROR(SUMIFS(Transactions!$F$7:$F$996,Transactions!$G$7:$G$996,A478,Transactions!$D$7:$D$996,"Expense"),0)</f>
        <v>0</v>
      </c>
      <c r="H478" s="10"/>
      <c r="I478" s="10"/>
      <c r="J478" s="10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9.5" customHeight="1">
      <c r="A479" s="10"/>
      <c r="B479" s="18"/>
      <c r="C479" s="10"/>
      <c r="D479" s="10"/>
      <c r="E479" s="10"/>
      <c r="F479" s="11"/>
      <c r="G479" s="19">
        <f>IFERROR(SUMIFS(Transactions!$F$7:$F$996,Transactions!$G$7:$G$996,A479,Transactions!$D$7:$D$996,"Expense"),0)</f>
        <v>0</v>
      </c>
      <c r="H479" s="10"/>
      <c r="I479" s="10"/>
      <c r="J479" s="10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9.5" customHeight="1">
      <c r="A480" s="10"/>
      <c r="B480" s="18"/>
      <c r="C480" s="10"/>
      <c r="D480" s="10"/>
      <c r="E480" s="10"/>
      <c r="F480" s="11"/>
      <c r="G480" s="19">
        <f>IFERROR(SUMIFS(Transactions!$F$7:$F$996,Transactions!$G$7:$G$996,A480,Transactions!$D$7:$D$996,"Expense"),0)</f>
        <v>0</v>
      </c>
      <c r="H480" s="10"/>
      <c r="I480" s="10"/>
      <c r="J480" s="10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9.5" customHeight="1">
      <c r="A481" s="10"/>
      <c r="B481" s="18"/>
      <c r="C481" s="10"/>
      <c r="D481" s="10"/>
      <c r="E481" s="10"/>
      <c r="F481" s="11"/>
      <c r="G481" s="19">
        <f>IFERROR(SUMIFS(Transactions!$F$7:$F$996,Transactions!$G$7:$G$996,A481,Transactions!$D$7:$D$996,"Expense"),0)</f>
        <v>0</v>
      </c>
      <c r="H481" s="10"/>
      <c r="I481" s="10"/>
      <c r="J481" s="10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9.5" customHeight="1">
      <c r="A482" s="10"/>
      <c r="B482" s="18"/>
      <c r="C482" s="10"/>
      <c r="D482" s="10"/>
      <c r="E482" s="10"/>
      <c r="F482" s="11"/>
      <c r="G482" s="19">
        <f>IFERROR(SUMIFS(Transactions!$F$7:$F$996,Transactions!$G$7:$G$996,A482,Transactions!$D$7:$D$996,"Expense"),0)</f>
        <v>0</v>
      </c>
      <c r="H482" s="10"/>
      <c r="I482" s="10"/>
      <c r="J482" s="10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9.5" customHeight="1">
      <c r="A483" s="10"/>
      <c r="B483" s="18"/>
      <c r="C483" s="10"/>
      <c r="D483" s="10"/>
      <c r="E483" s="10"/>
      <c r="F483" s="11"/>
      <c r="G483" s="19">
        <f>IFERROR(SUMIFS(Transactions!$F$7:$F$996,Transactions!$G$7:$G$996,A483,Transactions!$D$7:$D$996,"Expense"),0)</f>
        <v>0</v>
      </c>
      <c r="H483" s="10"/>
      <c r="I483" s="10"/>
      <c r="J483" s="10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9.5" customHeight="1">
      <c r="A484" s="10"/>
      <c r="B484" s="18"/>
      <c r="C484" s="10"/>
      <c r="D484" s="10"/>
      <c r="E484" s="10"/>
      <c r="F484" s="11"/>
      <c r="G484" s="19">
        <f>IFERROR(SUMIFS(Transactions!$F$7:$F$996,Transactions!$G$7:$G$996,A484,Transactions!$D$7:$D$996,"Expense"),0)</f>
        <v>0</v>
      </c>
      <c r="H484" s="10"/>
      <c r="I484" s="10"/>
      <c r="J484" s="10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9.5" customHeight="1">
      <c r="A485" s="10"/>
      <c r="B485" s="18"/>
      <c r="C485" s="10"/>
      <c r="D485" s="10"/>
      <c r="E485" s="10"/>
      <c r="F485" s="11"/>
      <c r="G485" s="19">
        <f>IFERROR(SUMIFS(Transactions!$F$7:$F$996,Transactions!$G$7:$G$996,A485,Transactions!$D$7:$D$996,"Expense"),0)</f>
        <v>0</v>
      </c>
      <c r="H485" s="10"/>
      <c r="I485" s="10"/>
      <c r="J485" s="10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9.5" customHeight="1">
      <c r="A486" s="10"/>
      <c r="B486" s="18"/>
      <c r="C486" s="10"/>
      <c r="D486" s="10"/>
      <c r="E486" s="10"/>
      <c r="F486" s="11"/>
      <c r="G486" s="19">
        <f>IFERROR(SUMIFS(Transactions!$F$7:$F$996,Transactions!$G$7:$G$996,A486,Transactions!$D$7:$D$996,"Expense"),0)</f>
        <v>0</v>
      </c>
      <c r="H486" s="10"/>
      <c r="I486" s="10"/>
      <c r="J486" s="10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9.5" customHeight="1">
      <c r="A487" s="10"/>
      <c r="B487" s="18"/>
      <c r="C487" s="10"/>
      <c r="D487" s="10"/>
      <c r="E487" s="10"/>
      <c r="F487" s="11"/>
      <c r="G487" s="19">
        <f>IFERROR(SUMIFS(Transactions!$F$7:$F$996,Transactions!$G$7:$G$996,A487,Transactions!$D$7:$D$996,"Expense"),0)</f>
        <v>0</v>
      </c>
      <c r="H487" s="10"/>
      <c r="I487" s="10"/>
      <c r="J487" s="10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9.5" customHeight="1">
      <c r="A488" s="10"/>
      <c r="B488" s="18"/>
      <c r="C488" s="10"/>
      <c r="D488" s="10"/>
      <c r="E488" s="10"/>
      <c r="F488" s="11"/>
      <c r="G488" s="19">
        <f>IFERROR(SUMIFS(Transactions!$F$7:$F$996,Transactions!$G$7:$G$996,A488,Transactions!$D$7:$D$996,"Expense"),0)</f>
        <v>0</v>
      </c>
      <c r="H488" s="10"/>
      <c r="I488" s="10"/>
      <c r="J488" s="10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9.5" customHeight="1">
      <c r="A489" s="10"/>
      <c r="B489" s="18"/>
      <c r="C489" s="10"/>
      <c r="D489" s="10"/>
      <c r="E489" s="10"/>
      <c r="F489" s="11"/>
      <c r="G489" s="19">
        <f>IFERROR(SUMIFS(Transactions!$F$7:$F$996,Transactions!$G$7:$G$996,A489,Transactions!$D$7:$D$996,"Expense"),0)</f>
        <v>0</v>
      </c>
      <c r="H489" s="10"/>
      <c r="I489" s="10"/>
      <c r="J489" s="10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9.5" customHeight="1">
      <c r="A490" s="10"/>
      <c r="B490" s="18"/>
      <c r="C490" s="10"/>
      <c r="D490" s="10"/>
      <c r="E490" s="10"/>
      <c r="F490" s="11"/>
      <c r="G490" s="19">
        <f>IFERROR(SUMIFS(Transactions!$F$7:$F$996,Transactions!$G$7:$G$996,A490,Transactions!$D$7:$D$996,"Expense"),0)</f>
        <v>0</v>
      </c>
      <c r="H490" s="10"/>
      <c r="I490" s="10"/>
      <c r="J490" s="10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9.5" customHeight="1">
      <c r="A491" s="10"/>
      <c r="B491" s="18"/>
      <c r="C491" s="10"/>
      <c r="D491" s="10"/>
      <c r="E491" s="10"/>
      <c r="F491" s="11"/>
      <c r="G491" s="19">
        <f>IFERROR(SUMIFS(Transactions!$F$7:$F$996,Transactions!$G$7:$G$996,A491,Transactions!$D$7:$D$996,"Expense"),0)</f>
        <v>0</v>
      </c>
      <c r="H491" s="10"/>
      <c r="I491" s="10"/>
      <c r="J491" s="10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9.5" customHeight="1">
      <c r="A492" s="10"/>
      <c r="B492" s="18"/>
      <c r="C492" s="10"/>
      <c r="D492" s="10"/>
      <c r="E492" s="10"/>
      <c r="F492" s="11"/>
      <c r="G492" s="19">
        <f>IFERROR(SUMIFS(Transactions!$F$7:$F$996,Transactions!$G$7:$G$996,A492,Transactions!$D$7:$D$996,"Expense"),0)</f>
        <v>0</v>
      </c>
      <c r="H492" s="10"/>
      <c r="I492" s="10"/>
      <c r="J492" s="10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9.5" customHeight="1">
      <c r="A493" s="10"/>
      <c r="B493" s="18"/>
      <c r="C493" s="10"/>
      <c r="D493" s="10"/>
      <c r="E493" s="10"/>
      <c r="F493" s="11"/>
      <c r="G493" s="19">
        <f>IFERROR(SUMIFS(Transactions!$F$7:$F$996,Transactions!$G$7:$G$996,A493,Transactions!$D$7:$D$996,"Expense"),0)</f>
        <v>0</v>
      </c>
      <c r="H493" s="10"/>
      <c r="I493" s="10"/>
      <c r="J493" s="10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9.5" customHeight="1">
      <c r="A494" s="10"/>
      <c r="B494" s="18"/>
      <c r="C494" s="10"/>
      <c r="D494" s="10"/>
      <c r="E494" s="10"/>
      <c r="F494" s="11"/>
      <c r="G494" s="19">
        <f>IFERROR(SUMIFS(Transactions!$F$7:$F$996,Transactions!$G$7:$G$996,A494,Transactions!$D$7:$D$996,"Expense"),0)</f>
        <v>0</v>
      </c>
      <c r="H494" s="10"/>
      <c r="I494" s="10"/>
      <c r="J494" s="10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9.5" customHeight="1">
      <c r="A495" s="10"/>
      <c r="B495" s="18"/>
      <c r="C495" s="10"/>
      <c r="D495" s="10"/>
      <c r="E495" s="10"/>
      <c r="F495" s="11"/>
      <c r="G495" s="19">
        <f>IFERROR(SUMIFS(Transactions!$F$7:$F$996,Transactions!$G$7:$G$996,A495,Transactions!$D$7:$D$996,"Expense"),0)</f>
        <v>0</v>
      </c>
      <c r="H495" s="10"/>
      <c r="I495" s="10"/>
      <c r="J495" s="10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9.5" customHeight="1">
      <c r="A496" s="10"/>
      <c r="B496" s="18"/>
      <c r="C496" s="10"/>
      <c r="D496" s="10"/>
      <c r="E496" s="10"/>
      <c r="F496" s="11"/>
      <c r="G496" s="19">
        <f>IFERROR(SUMIFS(Transactions!$F$7:$F$996,Transactions!$G$7:$G$996,A496,Transactions!$D$7:$D$996,"Expense"),0)</f>
        <v>0</v>
      </c>
      <c r="H496" s="10"/>
      <c r="I496" s="10"/>
      <c r="J496" s="10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9.5" customHeight="1">
      <c r="A497" s="10"/>
      <c r="B497" s="18"/>
      <c r="C497" s="10"/>
      <c r="D497" s="10"/>
      <c r="E497" s="10"/>
      <c r="F497" s="11"/>
      <c r="G497" s="19">
        <f>IFERROR(SUMIFS(Transactions!$F$7:$F$996,Transactions!$G$7:$G$996,A497,Transactions!$D$7:$D$996,"Expense"),0)</f>
        <v>0</v>
      </c>
      <c r="H497" s="10"/>
      <c r="I497" s="10"/>
      <c r="J497" s="10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9.5" customHeight="1">
      <c r="A498" s="10"/>
      <c r="B498" s="18"/>
      <c r="C498" s="10"/>
      <c r="D498" s="10"/>
      <c r="E498" s="10"/>
      <c r="F498" s="11"/>
      <c r="G498" s="19">
        <f>IFERROR(SUMIFS(Transactions!$F$7:$F$996,Transactions!$G$7:$G$996,A498,Transactions!$D$7:$D$996,"Expense"),0)</f>
        <v>0</v>
      </c>
      <c r="H498" s="10"/>
      <c r="I498" s="10"/>
      <c r="J498" s="10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9.5" customHeight="1">
      <c r="A499" s="10"/>
      <c r="B499" s="18"/>
      <c r="C499" s="10"/>
      <c r="D499" s="10"/>
      <c r="E499" s="10"/>
      <c r="F499" s="11"/>
      <c r="G499" s="19">
        <f>IFERROR(SUMIFS(Transactions!$F$7:$F$996,Transactions!$G$7:$G$996,A499,Transactions!$D$7:$D$996,"Expense"),0)</f>
        <v>0</v>
      </c>
      <c r="H499" s="10"/>
      <c r="I499" s="10"/>
      <c r="J499" s="10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9.5" customHeight="1">
      <c r="A500" s="10"/>
      <c r="B500" s="18"/>
      <c r="C500" s="10"/>
      <c r="D500" s="10"/>
      <c r="E500" s="10"/>
      <c r="F500" s="11"/>
      <c r="G500" s="19">
        <f>IFERROR(SUMIFS(Transactions!$F$7:$F$996,Transactions!$G$7:$G$996,A500,Transactions!$D$7:$D$996,"Expense"),0)</f>
        <v>0</v>
      </c>
      <c r="H500" s="10"/>
      <c r="I500" s="10"/>
      <c r="J500" s="10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9.5" customHeight="1">
      <c r="A501" s="10"/>
      <c r="B501" s="18"/>
      <c r="C501" s="10"/>
      <c r="D501" s="10"/>
      <c r="E501" s="10"/>
      <c r="F501" s="11"/>
      <c r="G501" s="19">
        <f>IFERROR(SUMIFS(Transactions!$F$7:$F$996,Transactions!$G$7:$G$996,A501,Transactions!$D$7:$D$996,"Expense"),0)</f>
        <v>0</v>
      </c>
      <c r="H501" s="10"/>
      <c r="I501" s="10"/>
      <c r="J501" s="10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9.5" customHeight="1">
      <c r="A502" s="10"/>
      <c r="B502" s="18"/>
      <c r="C502" s="10"/>
      <c r="D502" s="10"/>
      <c r="E502" s="10"/>
      <c r="F502" s="11"/>
      <c r="G502" s="19">
        <f>IFERROR(SUMIFS(Transactions!$F$7:$F$996,Transactions!$G$7:$G$996,A502,Transactions!$D$7:$D$996,"Expense"),0)</f>
        <v>0</v>
      </c>
      <c r="H502" s="10"/>
      <c r="I502" s="10"/>
      <c r="J502" s="10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9.5" customHeight="1">
      <c r="A503" s="10"/>
      <c r="B503" s="18"/>
      <c r="C503" s="10"/>
      <c r="D503" s="10"/>
      <c r="E503" s="10"/>
      <c r="F503" s="11"/>
      <c r="G503" s="19">
        <f>IFERROR(SUMIFS(Transactions!$F$7:$F$996,Transactions!$G$7:$G$996,A503,Transactions!$D$7:$D$996,"Expense"),0)</f>
        <v>0</v>
      </c>
      <c r="H503" s="10"/>
      <c r="I503" s="10"/>
      <c r="J503" s="10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9.5" customHeight="1">
      <c r="A504" s="10"/>
      <c r="B504" s="18"/>
      <c r="C504" s="10"/>
      <c r="D504" s="10"/>
      <c r="E504" s="10"/>
      <c r="F504" s="11"/>
      <c r="G504" s="19">
        <f>IFERROR(SUMIFS(Transactions!$F$7:$F$996,Transactions!$G$7:$G$996,A504,Transactions!$D$7:$D$996,"Expense"),0)</f>
        <v>0</v>
      </c>
      <c r="H504" s="10"/>
      <c r="I504" s="10"/>
      <c r="J504" s="10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9.5" customHeight="1">
      <c r="A505" s="10"/>
      <c r="B505" s="18"/>
      <c r="C505" s="10"/>
      <c r="D505" s="10"/>
      <c r="E505" s="10"/>
      <c r="F505" s="11"/>
      <c r="G505" s="19">
        <f>IFERROR(SUMIFS(Transactions!$F$7:$F$996,Transactions!$G$7:$G$996,A505,Transactions!$D$7:$D$996,"Expense"),0)</f>
        <v>0</v>
      </c>
      <c r="H505" s="10"/>
      <c r="I505" s="10"/>
      <c r="J505" s="10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9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9.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mergeCells count="1">
    <mergeCell ref="A1:J1"/>
  </mergeCells>
  <dataValidations>
    <dataValidation type="list" allowBlank="1" sqref="I5:I201">
      <formula1>"Equal Split,Attendance,Custom,Team Pays,Individual Pays"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8.14"/>
    <col customWidth="1" min="2" max="52" width="22.0"/>
  </cols>
  <sheetData>
    <row r="1" ht="37.5" customHeight="1">
      <c r="A1" s="12"/>
      <c r="B1" s="12" t="s">
        <v>40</v>
      </c>
      <c r="C1" s="13"/>
      <c r="D1" s="13"/>
      <c r="E1" s="13"/>
      <c r="F1" s="13"/>
      <c r="G1" s="14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  <c r="AU1" s="20"/>
      <c r="AV1" s="20"/>
      <c r="AW1" s="20"/>
      <c r="AX1" s="20"/>
      <c r="AY1" s="20"/>
      <c r="AZ1" s="20"/>
    </row>
    <row r="2" ht="13.5" customHeight="1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</row>
    <row r="3" ht="18.0" customHeight="1">
      <c r="A3" s="5" t="s">
        <v>41</v>
      </c>
      <c r="B3" s="5" t="str">
        <f>IF(Events!$A$5&lt;&gt;"",Events!$A$5,"")</f>
        <v>May-July Fields</v>
      </c>
      <c r="C3" s="5" t="str">
        <f>IF(Events!$A$6&lt;&gt;"",Events!$A$6,"")</f>
        <v>Wednedsay Tryout Field</v>
      </c>
      <c r="D3" s="5" t="str">
        <f>IF(Events!$A$7&lt;&gt;"",Events!$A$7,"")</f>
        <v>PEC</v>
      </c>
      <c r="E3" s="5" t="str">
        <f>IF(Events!$A$8&lt;&gt;"",Events!$A$8,"")</f>
        <v>SFI</v>
      </c>
      <c r="F3" s="5" t="str">
        <f>IF(Events!$A$9&lt;&gt;"",Events!$A$9,"")</f>
        <v>Natties Watch Party</v>
      </c>
      <c r="G3" s="5" t="str">
        <f>IF(Events!$A$10&lt;&gt;"",Events!$A$10,"")</f>
        <v>Fantapalooza</v>
      </c>
      <c r="H3" s="5" t="str">
        <f>IF(Events!$A$12&lt;&gt;"",Events!$A$12,"")</f>
        <v>GHP Sessions</v>
      </c>
      <c r="I3" s="5" t="str">
        <f>IF(Events!$A$11&lt;&gt;"",Events!$A$11,"")</f>
        <v>2025 Fundraising</v>
      </c>
      <c r="J3" s="5" t="str">
        <f>IF(Events!$A$13&lt;&gt;"",Events!$A$13,"")</f>
        <v/>
      </c>
      <c r="K3" s="5" t="str">
        <f>IF(Events!$A$14&lt;&gt;"",Events!$A$14,"")</f>
        <v/>
      </c>
      <c r="L3" s="5" t="str">
        <f>IF(Events!$A$15&lt;&gt;"",Events!$A$15,"")</f>
        <v/>
      </c>
      <c r="M3" s="5" t="str">
        <f>IF(Events!$A$16&lt;&gt;"",Events!$A$16,"")</f>
        <v/>
      </c>
      <c r="N3" s="5" t="str">
        <f>IF(Events!$A$17&lt;&gt;"",Events!$A$17,"")</f>
        <v/>
      </c>
      <c r="O3" s="5" t="str">
        <f>IF(Events!$A$18&lt;&gt;"",Events!$A$18,"")</f>
        <v/>
      </c>
      <c r="P3" s="5" t="str">
        <f>IF(Events!$A$19&lt;&gt;"",Events!$A$19,"")</f>
        <v/>
      </c>
      <c r="Q3" s="5" t="str">
        <f>IF(Events!$A$20&lt;&gt;"",Events!$A$20,"")</f>
        <v/>
      </c>
      <c r="R3" s="5" t="str">
        <f>IF(Events!$A$21&lt;&gt;"",Events!$A$21,"")</f>
        <v/>
      </c>
      <c r="S3" s="5" t="str">
        <f>IF(Events!$A$22&lt;&gt;"",Events!$A$22,"")</f>
        <v/>
      </c>
      <c r="T3" s="5" t="str">
        <f>IF(Events!$A$23&lt;&gt;"",Events!$A$23,"")</f>
        <v/>
      </c>
      <c r="U3" s="5" t="str">
        <f>IF(Events!$A$24&lt;&gt;"",Events!$A$24,"")</f>
        <v/>
      </c>
      <c r="V3" s="5" t="str">
        <f>IF(Events!$A$25&lt;&gt;"",Events!$A$25,"")</f>
        <v/>
      </c>
      <c r="W3" s="5" t="str">
        <f>IF(Events!$A$26&lt;&gt;"",Events!$A$26,"")</f>
        <v/>
      </c>
      <c r="X3" s="5" t="str">
        <f>IF(Events!$A$27&lt;&gt;"",Events!$A$27,"")</f>
        <v/>
      </c>
      <c r="Y3" s="5" t="str">
        <f>IF(Events!$A$28&lt;&gt;"",Events!$A$28,"")</f>
        <v/>
      </c>
      <c r="Z3" s="5" t="str">
        <f>IF(Events!$A$29&lt;&gt;"",Events!$A$29,"")</f>
        <v/>
      </c>
      <c r="AA3" s="5" t="str">
        <f>IF(Events!$A$30&lt;&gt;"",Events!$A$30,"")</f>
        <v/>
      </c>
      <c r="AB3" s="5" t="str">
        <f>IF(Events!$A$31&lt;&gt;"",Events!$A$31,"")</f>
        <v/>
      </c>
      <c r="AC3" s="5" t="str">
        <f>IF(Events!$A$32&lt;&gt;"",Events!$A$32,"")</f>
        <v/>
      </c>
      <c r="AD3" s="5" t="str">
        <f>IF(Events!$A$33&lt;&gt;"",Events!$A$33,"")</f>
        <v/>
      </c>
      <c r="AE3" s="5" t="str">
        <f>IF(Events!$A$34&lt;&gt;"",Events!$A$34,"")</f>
        <v/>
      </c>
      <c r="AF3" s="5" t="str">
        <f>IF(Events!$A$35&lt;&gt;"",Events!$A$35,"")</f>
        <v/>
      </c>
      <c r="AG3" s="5" t="str">
        <f>IF(Events!$A$36&lt;&gt;"",Events!$A$36,"")</f>
        <v/>
      </c>
      <c r="AH3" s="5" t="str">
        <f>IF(Events!$A$37&lt;&gt;"",Events!$A$37,"")</f>
        <v/>
      </c>
      <c r="AI3" s="5" t="str">
        <f>IF(Events!$A$38&lt;&gt;"",Events!$A$38,"")</f>
        <v/>
      </c>
      <c r="AJ3" s="5" t="str">
        <f>IF(Events!$A$39&lt;&gt;"",Events!$A$39,"")</f>
        <v/>
      </c>
      <c r="AK3" s="5" t="str">
        <f>IF(Events!$A$40&lt;&gt;"",Events!$A$40,"")</f>
        <v/>
      </c>
      <c r="AL3" s="5" t="str">
        <f>IF(Events!$A$41&lt;&gt;"",Events!$A$41,"")</f>
        <v/>
      </c>
      <c r="AM3" s="5" t="str">
        <f>IF(Events!$A$42&lt;&gt;"",Events!$A$42,"")</f>
        <v/>
      </c>
      <c r="AN3" s="5" t="str">
        <f>IF(Events!$A$43&lt;&gt;"",Events!$A$43,"")</f>
        <v/>
      </c>
      <c r="AO3" s="5" t="str">
        <f>IF(Events!$A$44&lt;&gt;"",Events!$A$44,"")</f>
        <v/>
      </c>
      <c r="AP3" s="5" t="str">
        <f>IF(Events!$A$45&lt;&gt;"",Events!$A$45,"")</f>
        <v/>
      </c>
      <c r="AQ3" s="5" t="str">
        <f>IF(Events!$A$46&lt;&gt;"",Events!$A$46,"")</f>
        <v/>
      </c>
      <c r="AR3" s="5" t="str">
        <f>IF(Events!$A$47&lt;&gt;"",Events!$A$47,"")</f>
        <v/>
      </c>
      <c r="AS3" s="5" t="str">
        <f>IF(Events!$A$48&lt;&gt;"",Events!$A$48,"")</f>
        <v/>
      </c>
      <c r="AT3" s="5" t="str">
        <f>IF(Events!$A$49&lt;&gt;"",Events!$A$49,"")</f>
        <v/>
      </c>
      <c r="AU3" s="5" t="str">
        <f>IF(Events!$A$50&lt;&gt;"",Events!$A$50,"")</f>
        <v/>
      </c>
      <c r="AV3" s="5" t="str">
        <f>IF(Events!$A$51&lt;&gt;"",Events!$A$51,"")</f>
        <v/>
      </c>
      <c r="AW3" s="5" t="str">
        <f>IF(Events!$A$52&lt;&gt;"",Events!$A$52,"")</f>
        <v/>
      </c>
      <c r="AX3" s="5" t="str">
        <f>IF(Events!$A$53&lt;&gt;"",Events!$A$53,"")</f>
        <v/>
      </c>
      <c r="AY3" s="5" t="str">
        <f>IF(Events!$A$54&lt;&gt;"",Events!$A$54,"")</f>
        <v/>
      </c>
      <c r="AZ3" s="5" t="str">
        <f>IF(Events!$A$55&lt;&gt;"",Events!$A$55,"")</f>
        <v/>
      </c>
    </row>
    <row r="4" ht="18.0" customHeight="1">
      <c r="A4" s="21" t="s">
        <v>42</v>
      </c>
      <c r="B4" s="22">
        <f t="array" ref="B4">IF(B3="","",IFERROR(IF(INDEX(Events!$I$5:$I$205,MATCH(B3,Events!$A$5:$A$205,0))="Equal Split",INDEX(Events!$G$5:$G$205,MATCH(B3,Events!$A$5:$A$205,0))/MAX(1,COUNTIFS('Access Codes'!$C$6:$C$105,"Player",'Access Codes'!$D$6:$D$105,"Active")),IF(INDEX(Events!$I$5:$I$205,MATCH(B3,Events!$A$5:$A$205,0))="Attendance",INDEX(Events!$G$5:$G$205,MATCH(B3,Events!$A$5:$A$205,0))/MAX(1,COUNTIF(B$7:B$206,"1")),0)),0))</f>
        <v>0</v>
      </c>
      <c r="C4" s="22">
        <f t="array" ref="C4">IF(C3="","",IFERROR(IF(INDEX(Events!$I$5:$I$205,MATCH(C3,Events!$A$5:$A$205,0))="Equal Split",INDEX(Events!$G$5:$G$205,MATCH(C3,Events!$A$5:$A$205,0))/MAX(1,COUNTIFS('Access Codes'!$C$6:$C$105,"Player",'Access Codes'!$D$6:$D$105,"Active")),IF(INDEX(Events!$I$5:$I$205,MATCH(C3,Events!$A$5:$A$205,0))="Attendance",INDEX(Events!$G$5:$G$205,MATCH(C3,Events!$A$5:$A$205,0))/MAX(1,COUNTIF(C$7:C$206,"1")),0)),0))</f>
        <v>2.225806452</v>
      </c>
      <c r="D4" s="22">
        <f t="array" ref="D4">IF(D3="","",IFERROR(IF(INDEX(Events!$I$5:$I$205,MATCH(D3,Events!$A$5:$A$205,0))="Equal Split",INDEX(Events!$G$5:$G$205,MATCH(D3,Events!$A$5:$A$205,0))/MAX(1,COUNTIFS('Access Codes'!$C$6:$C$105,"Player",'Access Codes'!$D$6:$D$105,"Active")),IF(INDEX(Events!$I$5:$I$205,MATCH(D3,Events!$A$5:$A$205,0))="Attendance",INDEX(Events!$G$5:$G$205,MATCH(D3,Events!$A$5:$A$205,0))/MAX(1,COUNTIF(D$7:D$206,"1")),0)),0))</f>
        <v>48.51851852</v>
      </c>
      <c r="E4" s="22">
        <f t="array" ref="E4">IF(E3="","",IFERROR(IF(INDEX(Events!$I$5:$I$205,MATCH(E3,Events!$A$5:$A$205,0))="Equal Split",INDEX(Events!$G$5:$G$205,MATCH(E3,Events!$A$5:$A$205,0))/MAX(1,COUNTIFS('Access Codes'!$C$6:$C$105,"Player",'Access Codes'!$D$6:$D$105,"Active")),IF(INDEX(Events!$I$5:$I$205,MATCH(E3,Events!$A$5:$A$205,0))="Attendance",INDEX(Events!$G$5:$G$205,MATCH(E3,Events!$A$5:$A$205,0))/MAX(1,COUNTIF(E$7:E$206,"1")),0)),0))</f>
        <v>38.88888889</v>
      </c>
      <c r="F4" s="22">
        <f t="array" ref="F4">IF(F3="","",IFERROR(IF(INDEX(Events!$I$5:$I$205,MATCH(F3,Events!$A$5:$A$205,0))="Equal Split",INDEX(Events!$G$5:$G$205,MATCH(F3,Events!$A$5:$A$205,0))/MAX(1,COUNTIFS('Access Codes'!$C$6:$C$105,"Player",'Access Codes'!$D$6:$D$105,"Active")),IF(INDEX(Events!$I$5:$I$205,MATCH(F3,Events!$A$5:$A$205,0))="Attendance",INDEX(Events!$G$5:$G$205,MATCH(F3,Events!$A$5:$A$205,0))/MAX(1,COUNTIF(F$7:F$206,"1")),0)),0))</f>
        <v>0</v>
      </c>
      <c r="G4" s="22">
        <f t="array" ref="G4">IF(G3="","",IFERROR(IF(INDEX(Events!$I$5:$I$205,MATCH(G3,Events!$A$5:$A$205,0))="Equal Split",INDEX(Events!$G$5:$G$205,MATCH(G3,Events!$A$5:$A$205,0))/MAX(1,COUNTIFS('Access Codes'!$C$6:$C$105,"Player",'Access Codes'!$D$6:$D$105,"Active")),IF(INDEX(Events!$I$5:$I$205,MATCH(G3,Events!$A$5:$A$205,0))="Attendance",INDEX(Events!$G$5:$G$205,MATCH(G3,Events!$A$5:$A$205,0))/MAX(1,COUNTIF(G$7:G$206,"1")),0)),0))</f>
        <v>0</v>
      </c>
      <c r="H4" s="22">
        <f t="array" ref="H4">IF(H3="","",IFERROR(IF(INDEX(Events!$I$5:$I$205,MATCH(H3,Events!$A$5:$A$205,0))="Equal Split",INDEX(Events!$G$5:$G$205,MATCH(H3,Events!$A$5:$A$205,0))/MAX(1,COUNTIFS('Access Codes'!$C$6:$C$105,"Player",'Access Codes'!$D$6:$D$105,"Active")),IF(INDEX(Events!$I$5:$I$205,MATCH(H3,Events!$A$5:$A$205,0))="Attendance",INDEX(Events!$G$5:$G$205,MATCH(H3,Events!$A$5:$A$205,0))/MAX(1,COUNTIF(H$7:H$206,"1")),0)),0))</f>
        <v>0</v>
      </c>
      <c r="I4" s="22">
        <f t="array" ref="I4">IF(I3="","",IFERROR(IF(INDEX(Events!$I$5:$I$205,MATCH(I3,Events!$A$5:$A$205,0))="Equal Split",INDEX(Events!$G$5:$G$205,MATCH(I3,Events!$A$5:$A$205,0))/MAX(1,COUNTIFS('Access Codes'!$C$6:$C$105,"Player",'Access Codes'!$D$6:$D$105,"Active")),IF(INDEX(Events!$I$5:$I$205,MATCH(I3,Events!$A$5:$A$205,0))="Attendance",INDEX(Events!$G$5:$G$205,MATCH(I3,Events!$A$5:$A$205,0))/MAX(1,COUNTIF(I$7:I$206,"1")),0)),0))</f>
        <v>0</v>
      </c>
      <c r="J4" s="22" t="str">
        <f t="array" ref="J4">IF(J3="","",IFERROR(IF(INDEX(Events!$I$5:$I$205,MATCH(J3,Events!$A$5:$A$205,0))="Equal Split",INDEX(Events!$G$5:$G$205,MATCH(J3,Events!$A$5:$A$205,0))/MAX(1,COUNTIFS('Access Codes'!$C$6:$C$105,"Player",'Access Codes'!$D$6:$D$105,"Active")),IF(INDEX(Events!$I$5:$I$205,MATCH(J3,Events!$A$5:$A$205,0))="Attendance",INDEX(Events!$G$5:$G$205,MATCH(J3,Events!$A$5:$A$205,0))/MAX(1,COUNTIF(J$7:J$206,"1")),0)),0))</f>
        <v/>
      </c>
      <c r="K4" s="22" t="str">
        <f t="array" ref="K4">IF(K3="","",IFERROR(IF(INDEX(Events!$I$5:$I$205,MATCH(K3,Events!$A$5:$A$205,0))="Equal Split",INDEX(Events!$G$5:$G$205,MATCH(K3,Events!$A$5:$A$205,0))/MAX(1,COUNTIFS('Access Codes'!$C$6:$C$105,"Player",'Access Codes'!$D$6:$D$105,"Active")),IF(INDEX(Events!$I$5:$I$205,MATCH(K3,Events!$A$5:$A$205,0))="Attendance",INDEX(Events!$G$5:$G$205,MATCH(K3,Events!$A$5:$A$205,0))/MAX(1,COUNTIF(K$7:K$206,"1")),0)),0))</f>
        <v/>
      </c>
      <c r="L4" s="22" t="str">
        <f t="array" ref="L4">IF(L3="","",IFERROR(IF(INDEX(Events!$I$5:$I$205,MATCH(L3,Events!$A$5:$A$205,0))="Equal Split",INDEX(Events!$G$5:$G$205,MATCH(L3,Events!$A$5:$A$205,0))/MAX(1,COUNTIFS('Access Codes'!$C$6:$C$105,"Player",'Access Codes'!$D$6:$D$105,"Active")),IF(INDEX(Events!$I$5:$I$205,MATCH(L3,Events!$A$5:$A$205,0))="Attendance",INDEX(Events!$G$5:$G$205,MATCH(L3,Events!$A$5:$A$205,0))/MAX(1,COUNTIF(L$7:L$206,"1")),0)),0))</f>
        <v/>
      </c>
      <c r="M4" s="22" t="str">
        <f t="array" ref="M4">IF(M3="","",IFERROR(IF(INDEX(Events!$I$5:$I$205,MATCH(M3,Events!$A$5:$A$205,0))="Equal Split",INDEX(Events!$G$5:$G$205,MATCH(M3,Events!$A$5:$A$205,0))/MAX(1,COUNTIFS('Access Codes'!$C$6:$C$105,"Player",'Access Codes'!$D$6:$D$105,"Active")),IF(INDEX(Events!$I$5:$I$205,MATCH(M3,Events!$A$5:$A$205,0))="Attendance",INDEX(Events!$G$5:$G$205,MATCH(M3,Events!$A$5:$A$205,0))/MAX(1,COUNTIF(M$7:M$206,"1")),0)),0))</f>
        <v/>
      </c>
      <c r="N4" s="22" t="str">
        <f t="array" ref="N4">IF(N3="","",IFERROR(IF(INDEX(Events!$I$5:$I$205,MATCH(N3,Events!$A$5:$A$205,0))="Equal Split",INDEX(Events!$G$5:$G$205,MATCH(N3,Events!$A$5:$A$205,0))/MAX(1,COUNTIFS('Access Codes'!$C$6:$C$105,"Player",'Access Codes'!$D$6:$D$105,"Active")),IF(INDEX(Events!$I$5:$I$205,MATCH(N3,Events!$A$5:$A$205,0))="Attendance",INDEX(Events!$G$5:$G$205,MATCH(N3,Events!$A$5:$A$205,0))/MAX(1,COUNTIF(N$7:N$206,"1")),0)),0))</f>
        <v/>
      </c>
      <c r="O4" s="22" t="str">
        <f t="array" ref="O4">IF(O3="","",IFERROR(IF(INDEX(Events!$I$5:$I$205,MATCH(O3,Events!$A$5:$A$205,0))="Equal Split",INDEX(Events!$G$5:$G$205,MATCH(O3,Events!$A$5:$A$205,0))/MAX(1,COUNTIFS('Access Codes'!$C$6:$C$105,"Player",'Access Codes'!$D$6:$D$105,"Active")),IF(INDEX(Events!$I$5:$I$205,MATCH(O3,Events!$A$5:$A$205,0))="Attendance",INDEX(Events!$G$5:$G$205,MATCH(O3,Events!$A$5:$A$205,0))/MAX(1,COUNTIF(O$7:O$206,"1")),0)),0))</f>
        <v/>
      </c>
      <c r="P4" s="22" t="str">
        <f t="array" ref="P4">IF(P3="","",IFERROR(IF(INDEX(Events!$I$5:$I$205,MATCH(P3,Events!$A$5:$A$205,0))="Equal Split",INDEX(Events!$G$5:$G$205,MATCH(P3,Events!$A$5:$A$205,0))/MAX(1,COUNTIFS('Access Codes'!$C$6:$C$105,"Player",'Access Codes'!$D$6:$D$105,"Active")),IF(INDEX(Events!$I$5:$I$205,MATCH(P3,Events!$A$5:$A$205,0))="Attendance",INDEX(Events!$G$5:$G$205,MATCH(P3,Events!$A$5:$A$205,0))/MAX(1,COUNTIF(P$7:P$206,"1")),0)),0))</f>
        <v/>
      </c>
      <c r="Q4" s="22" t="str">
        <f t="array" ref="Q4">IF(Q3="","",IFERROR(IF(INDEX(Events!$I$5:$I$205,MATCH(Q3,Events!$A$5:$A$205,0))="Equal Split",INDEX(Events!$G$5:$G$205,MATCH(Q3,Events!$A$5:$A$205,0))/MAX(1,COUNTIFS('Access Codes'!$C$6:$C$105,"Player",'Access Codes'!$D$6:$D$105,"Active")),IF(INDEX(Events!$I$5:$I$205,MATCH(Q3,Events!$A$5:$A$205,0))="Attendance",INDEX(Events!$G$5:$G$205,MATCH(Q3,Events!$A$5:$A$205,0))/MAX(1,COUNTIF(Q$7:Q$206,"1")),0)),0))</f>
        <v/>
      </c>
      <c r="R4" s="22" t="str">
        <f t="array" ref="R4">IF(R3="","",IFERROR(IF(INDEX(Events!$I$5:$I$205,MATCH(R3,Events!$A$5:$A$205,0))="Equal Split",INDEX(Events!$G$5:$G$205,MATCH(R3,Events!$A$5:$A$205,0))/MAX(1,COUNTIFS('Access Codes'!$C$6:$C$105,"Player",'Access Codes'!$D$6:$D$105,"Active")),IF(INDEX(Events!$I$5:$I$205,MATCH(R3,Events!$A$5:$A$205,0))="Attendance",INDEX(Events!$G$5:$G$205,MATCH(R3,Events!$A$5:$A$205,0))/MAX(1,COUNTIF(R$7:R$206,"1")),0)),0))</f>
        <v/>
      </c>
      <c r="S4" s="22" t="str">
        <f t="array" ref="S4">IF(S3="","",IFERROR(IF(INDEX(Events!$I$5:$I$205,MATCH(S3,Events!$A$5:$A$205,0))="Equal Split",INDEX(Events!$G$5:$G$205,MATCH(S3,Events!$A$5:$A$205,0))/MAX(1,COUNTIFS('Access Codes'!$C$6:$C$105,"Player",'Access Codes'!$D$6:$D$105,"Active")),IF(INDEX(Events!$I$5:$I$205,MATCH(S3,Events!$A$5:$A$205,0))="Attendance",INDEX(Events!$G$5:$G$205,MATCH(S3,Events!$A$5:$A$205,0))/MAX(1,COUNTIF(S$7:S$206,"1")),0)),0))</f>
        <v/>
      </c>
      <c r="T4" s="22" t="str">
        <f t="array" ref="T4">IF(T3="","",IFERROR(IF(INDEX(Events!$I$5:$I$205,MATCH(T3,Events!$A$5:$A$205,0))="Equal Split",INDEX(Events!$G$5:$G$205,MATCH(T3,Events!$A$5:$A$205,0))/MAX(1,COUNTIFS('Access Codes'!$C$6:$C$105,"Player",'Access Codes'!$D$6:$D$105,"Active")),IF(INDEX(Events!$I$5:$I$205,MATCH(T3,Events!$A$5:$A$205,0))="Attendance",INDEX(Events!$G$5:$G$205,MATCH(T3,Events!$A$5:$A$205,0))/MAX(1,COUNTIF(T$7:T$206,"1")),0)),0))</f>
        <v/>
      </c>
      <c r="U4" s="22" t="str">
        <f t="array" ref="U4">IF(U3="","",IFERROR(IF(INDEX(Events!$I$5:$I$205,MATCH(U3,Events!$A$5:$A$205,0))="Equal Split",INDEX(Events!$G$5:$G$205,MATCH(U3,Events!$A$5:$A$205,0))/MAX(1,COUNTIFS('Access Codes'!$C$6:$C$105,"Player",'Access Codes'!$D$6:$D$105,"Active")),IF(INDEX(Events!$I$5:$I$205,MATCH(U3,Events!$A$5:$A$205,0))="Attendance",INDEX(Events!$G$5:$G$205,MATCH(U3,Events!$A$5:$A$205,0))/MAX(1,COUNTIF(U$7:U$206,"1")),0)),0))</f>
        <v/>
      </c>
      <c r="V4" s="22" t="str">
        <f t="array" ref="V4">IF(V3="","",IFERROR(IF(INDEX(Events!$I$5:$I$205,MATCH(V3,Events!$A$5:$A$205,0))="Equal Split",INDEX(Events!$G$5:$G$205,MATCH(V3,Events!$A$5:$A$205,0))/MAX(1,COUNTIFS('Access Codes'!$C$6:$C$105,"Player",'Access Codes'!$D$6:$D$105,"Active")),IF(INDEX(Events!$I$5:$I$205,MATCH(V3,Events!$A$5:$A$205,0))="Attendance",INDEX(Events!$G$5:$G$205,MATCH(V3,Events!$A$5:$A$205,0))/MAX(1,COUNTIF(V$7:V$206,"1")),0)),0))</f>
        <v/>
      </c>
      <c r="W4" s="22" t="str">
        <f t="array" ref="W4">IF(W3="","",IFERROR(IF(INDEX(Events!$I$5:$I$205,MATCH(W3,Events!$A$5:$A$205,0))="Equal Split",INDEX(Events!$G$5:$G$205,MATCH(W3,Events!$A$5:$A$205,0))/MAX(1,COUNTIFS('Access Codes'!$C$6:$C$105,"Player",'Access Codes'!$D$6:$D$105,"Active")),IF(INDEX(Events!$I$5:$I$205,MATCH(W3,Events!$A$5:$A$205,0))="Attendance",INDEX(Events!$G$5:$G$205,MATCH(W3,Events!$A$5:$A$205,0))/MAX(1,COUNTIF(W$7:W$206,"1")),0)),0))</f>
        <v/>
      </c>
      <c r="X4" s="22" t="str">
        <f t="array" ref="X4">IF(X3="","",IFERROR(IF(INDEX(Events!$I$5:$I$205,MATCH(X3,Events!$A$5:$A$205,0))="Equal Split",INDEX(Events!$G$5:$G$205,MATCH(X3,Events!$A$5:$A$205,0))/MAX(1,COUNTIFS('Access Codes'!$C$6:$C$105,"Player",'Access Codes'!$D$6:$D$105,"Active")),IF(INDEX(Events!$I$5:$I$205,MATCH(X3,Events!$A$5:$A$205,0))="Attendance",INDEX(Events!$G$5:$G$205,MATCH(X3,Events!$A$5:$A$205,0))/MAX(1,COUNTIF(X$7:X$206,"1")),0)),0))</f>
        <v/>
      </c>
      <c r="Y4" s="22" t="str">
        <f t="array" ref="Y4">IF(Y3="","",IFERROR(IF(INDEX(Events!$I$5:$I$205,MATCH(Y3,Events!$A$5:$A$205,0))="Equal Split",INDEX(Events!$G$5:$G$205,MATCH(Y3,Events!$A$5:$A$205,0))/MAX(1,COUNTIFS('Access Codes'!$C$6:$C$105,"Player",'Access Codes'!$D$6:$D$105,"Active")),IF(INDEX(Events!$I$5:$I$205,MATCH(Y3,Events!$A$5:$A$205,0))="Attendance",INDEX(Events!$G$5:$G$205,MATCH(Y3,Events!$A$5:$A$205,0))/MAX(1,COUNTIF(Y$7:Y$206,"1")),0)),0))</f>
        <v/>
      </c>
      <c r="Z4" s="22" t="str">
        <f t="array" ref="Z4">IF(Z3="","",IFERROR(IF(INDEX(Events!$I$5:$I$205,MATCH(Z3,Events!$A$5:$A$205,0))="Equal Split",INDEX(Events!$G$5:$G$205,MATCH(Z3,Events!$A$5:$A$205,0))/MAX(1,COUNTIFS('Access Codes'!$C$6:$C$105,"Player",'Access Codes'!$D$6:$D$105,"Active")),IF(INDEX(Events!$I$5:$I$205,MATCH(Z3,Events!$A$5:$A$205,0))="Attendance",INDEX(Events!$G$5:$G$205,MATCH(Z3,Events!$A$5:$A$205,0))/MAX(1,COUNTIF(Z$7:Z$206,"1")),0)),0))</f>
        <v/>
      </c>
      <c r="AA4" s="22" t="str">
        <f t="array" ref="AA4">IF(AA3="","",IFERROR(IF(INDEX(Events!$I$5:$I$205,MATCH(AA3,Events!$A$5:$A$205,0))="Equal Split",INDEX(Events!$G$5:$G$205,MATCH(AA3,Events!$A$5:$A$205,0))/MAX(1,COUNTIFS('Access Codes'!$C$6:$C$105,"Player",'Access Codes'!$D$6:$D$105,"Active")),IF(INDEX(Events!$I$5:$I$205,MATCH(AA3,Events!$A$5:$A$205,0))="Attendance",INDEX(Events!$G$5:$G$205,MATCH(AA3,Events!$A$5:$A$205,0))/MAX(1,COUNTIF(AA$7:AA$206,"1")),0)),0))</f>
        <v/>
      </c>
      <c r="AB4" s="22" t="str">
        <f t="array" ref="AB4">IF(AB3="","",IFERROR(IF(INDEX(Events!$I$5:$I$205,MATCH(AB3,Events!$A$5:$A$205,0))="Equal Split",INDEX(Events!$G$5:$G$205,MATCH(AB3,Events!$A$5:$A$205,0))/MAX(1,COUNTIFS('Access Codes'!$C$6:$C$105,"Player",'Access Codes'!$D$6:$D$105,"Active")),IF(INDEX(Events!$I$5:$I$205,MATCH(AB3,Events!$A$5:$A$205,0))="Attendance",INDEX(Events!$G$5:$G$205,MATCH(AB3,Events!$A$5:$A$205,0))/MAX(1,COUNTIF(AB$7:AB$206,"1")),0)),0))</f>
        <v/>
      </c>
      <c r="AC4" s="22" t="str">
        <f t="array" ref="AC4">IF(AC3="","",IFERROR(IF(INDEX(Events!$I$5:$I$205,MATCH(AC3,Events!$A$5:$A$205,0))="Equal Split",INDEX(Events!$G$5:$G$205,MATCH(AC3,Events!$A$5:$A$205,0))/MAX(1,COUNTIFS('Access Codes'!$C$6:$C$105,"Player",'Access Codes'!$D$6:$D$105,"Active")),IF(INDEX(Events!$I$5:$I$205,MATCH(AC3,Events!$A$5:$A$205,0))="Attendance",INDEX(Events!$G$5:$G$205,MATCH(AC3,Events!$A$5:$A$205,0))/MAX(1,COUNTIF(AC$7:AC$206,"1")),0)),0))</f>
        <v/>
      </c>
      <c r="AD4" s="22" t="str">
        <f t="array" ref="AD4">IF(AD3="","",IFERROR(IF(INDEX(Events!$I$5:$I$205,MATCH(AD3,Events!$A$5:$A$205,0))="Equal Split",INDEX(Events!$G$5:$G$205,MATCH(AD3,Events!$A$5:$A$205,0))/MAX(1,COUNTIFS('Access Codes'!$C$6:$C$105,"Player",'Access Codes'!$D$6:$D$105,"Active")),IF(INDEX(Events!$I$5:$I$205,MATCH(AD3,Events!$A$5:$A$205,0))="Attendance",INDEX(Events!$G$5:$G$205,MATCH(AD3,Events!$A$5:$A$205,0))/MAX(1,COUNTIF(AD$7:AD$206,"1")),0)),0))</f>
        <v/>
      </c>
      <c r="AE4" s="22" t="str">
        <f t="array" ref="AE4">IF(AE3="","",IFERROR(IF(INDEX(Events!$I$5:$I$205,MATCH(AE3,Events!$A$5:$A$205,0))="Equal Split",INDEX(Events!$G$5:$G$205,MATCH(AE3,Events!$A$5:$A$205,0))/MAX(1,COUNTIFS('Access Codes'!$C$6:$C$105,"Player",'Access Codes'!$D$6:$D$105,"Active")),IF(INDEX(Events!$I$5:$I$205,MATCH(AE3,Events!$A$5:$A$205,0))="Attendance",INDEX(Events!$G$5:$G$205,MATCH(AE3,Events!$A$5:$A$205,0))/MAX(1,COUNTIF(AE$7:AE$206,"1")),0)),0))</f>
        <v/>
      </c>
      <c r="AF4" s="22" t="str">
        <f t="array" ref="AF4">IF(AF3="","",IFERROR(IF(INDEX(Events!$I$5:$I$205,MATCH(AF3,Events!$A$5:$A$205,0))="Equal Split",INDEX(Events!$G$5:$G$205,MATCH(AF3,Events!$A$5:$A$205,0))/MAX(1,COUNTIFS('Access Codes'!$C$6:$C$105,"Player",'Access Codes'!$D$6:$D$105,"Active")),IF(INDEX(Events!$I$5:$I$205,MATCH(AF3,Events!$A$5:$A$205,0))="Attendance",INDEX(Events!$G$5:$G$205,MATCH(AF3,Events!$A$5:$A$205,0))/MAX(1,COUNTIF(AF$7:AF$206,"1")),0)),0))</f>
        <v/>
      </c>
      <c r="AG4" s="22" t="str">
        <f t="array" ref="AG4">IF(AG3="","",IFERROR(IF(INDEX(Events!$I$5:$I$205,MATCH(AG3,Events!$A$5:$A$205,0))="Equal Split",INDEX(Events!$G$5:$G$205,MATCH(AG3,Events!$A$5:$A$205,0))/MAX(1,COUNTIFS('Access Codes'!$C$6:$C$105,"Player",'Access Codes'!$D$6:$D$105,"Active")),IF(INDEX(Events!$I$5:$I$205,MATCH(AG3,Events!$A$5:$A$205,0))="Attendance",INDEX(Events!$G$5:$G$205,MATCH(AG3,Events!$A$5:$A$205,0))/MAX(1,COUNTIF(AG$7:AG$206,"1")),0)),0))</f>
        <v/>
      </c>
      <c r="AH4" s="22" t="str">
        <f t="array" ref="AH4">IF(AH3="","",IFERROR(IF(INDEX(Events!$I$5:$I$205,MATCH(AH3,Events!$A$5:$A$205,0))="Equal Split",INDEX(Events!$G$5:$G$205,MATCH(AH3,Events!$A$5:$A$205,0))/MAX(1,COUNTIFS('Access Codes'!$C$6:$C$105,"Player",'Access Codes'!$D$6:$D$105,"Active")),IF(INDEX(Events!$I$5:$I$205,MATCH(AH3,Events!$A$5:$A$205,0))="Attendance",INDEX(Events!$G$5:$G$205,MATCH(AH3,Events!$A$5:$A$205,0))/MAX(1,COUNTIF(AH$7:AH$206,"1")),0)),0))</f>
        <v/>
      </c>
      <c r="AI4" s="22" t="str">
        <f t="array" ref="AI4">IF(AI3="","",IFERROR(IF(INDEX(Events!$I$5:$I$205,MATCH(AI3,Events!$A$5:$A$205,0))="Equal Split",INDEX(Events!$G$5:$G$205,MATCH(AI3,Events!$A$5:$A$205,0))/MAX(1,COUNTIFS('Access Codes'!$C$6:$C$105,"Player",'Access Codes'!$D$6:$D$105,"Active")),IF(INDEX(Events!$I$5:$I$205,MATCH(AI3,Events!$A$5:$A$205,0))="Attendance",INDEX(Events!$G$5:$G$205,MATCH(AI3,Events!$A$5:$A$205,0))/MAX(1,COUNTIF(AI$7:AI$206,"1")),0)),0))</f>
        <v/>
      </c>
      <c r="AJ4" s="22" t="str">
        <f t="array" ref="AJ4">IF(AJ3="","",IFERROR(IF(INDEX(Events!$I$5:$I$205,MATCH(AJ3,Events!$A$5:$A$205,0))="Equal Split",INDEX(Events!$G$5:$G$205,MATCH(AJ3,Events!$A$5:$A$205,0))/MAX(1,COUNTIFS('Access Codes'!$C$6:$C$105,"Player",'Access Codes'!$D$6:$D$105,"Active")),IF(INDEX(Events!$I$5:$I$205,MATCH(AJ3,Events!$A$5:$A$205,0))="Attendance",INDEX(Events!$G$5:$G$205,MATCH(AJ3,Events!$A$5:$A$205,0))/MAX(1,COUNTIF(AJ$7:AJ$206,"1")),0)),0))</f>
        <v/>
      </c>
      <c r="AK4" s="22" t="str">
        <f t="array" ref="AK4">IF(AK3="","",IFERROR(IF(INDEX(Events!$I$5:$I$205,MATCH(AK3,Events!$A$5:$A$205,0))="Equal Split",INDEX(Events!$G$5:$G$205,MATCH(AK3,Events!$A$5:$A$205,0))/MAX(1,COUNTIFS('Access Codes'!$C$6:$C$105,"Player",'Access Codes'!$D$6:$D$105,"Active")),IF(INDEX(Events!$I$5:$I$205,MATCH(AK3,Events!$A$5:$A$205,0))="Attendance",INDEX(Events!$G$5:$G$205,MATCH(AK3,Events!$A$5:$A$205,0))/MAX(1,COUNTIF(AK$7:AK$206,"1")),0)),0))</f>
        <v/>
      </c>
      <c r="AL4" s="22" t="str">
        <f t="array" ref="AL4">IF(AL3="","",IFERROR(IF(INDEX(Events!$I$5:$I$205,MATCH(AL3,Events!$A$5:$A$205,0))="Equal Split",INDEX(Events!$G$5:$G$205,MATCH(AL3,Events!$A$5:$A$205,0))/MAX(1,COUNTIFS('Access Codes'!$C$6:$C$105,"Player",'Access Codes'!$D$6:$D$105,"Active")),IF(INDEX(Events!$I$5:$I$205,MATCH(AL3,Events!$A$5:$A$205,0))="Attendance",INDEX(Events!$G$5:$G$205,MATCH(AL3,Events!$A$5:$A$205,0))/MAX(1,COUNTIF(AL$7:AL$206,"1")),0)),0))</f>
        <v/>
      </c>
      <c r="AM4" s="22" t="str">
        <f t="array" ref="AM4">IF(AM3="","",IFERROR(IF(INDEX(Events!$I$5:$I$205,MATCH(AM3,Events!$A$5:$A$205,0))="Equal Split",INDEX(Events!$G$5:$G$205,MATCH(AM3,Events!$A$5:$A$205,0))/MAX(1,COUNTIFS('Access Codes'!$C$6:$C$105,"Player",'Access Codes'!$D$6:$D$105,"Active")),IF(INDEX(Events!$I$5:$I$205,MATCH(AM3,Events!$A$5:$A$205,0))="Attendance",INDEX(Events!$G$5:$G$205,MATCH(AM3,Events!$A$5:$A$205,0))/MAX(1,COUNTIF(AM$7:AM$206,"1")),0)),0))</f>
        <v/>
      </c>
      <c r="AN4" s="22" t="str">
        <f t="array" ref="AN4">IF(AN3="","",IFERROR(IF(INDEX(Events!$I$5:$I$205,MATCH(AN3,Events!$A$5:$A$205,0))="Equal Split",INDEX(Events!$G$5:$G$205,MATCH(AN3,Events!$A$5:$A$205,0))/MAX(1,COUNTIFS('Access Codes'!$C$6:$C$105,"Player",'Access Codes'!$D$6:$D$105,"Active")),IF(INDEX(Events!$I$5:$I$205,MATCH(AN3,Events!$A$5:$A$205,0))="Attendance",INDEX(Events!$G$5:$G$205,MATCH(AN3,Events!$A$5:$A$205,0))/MAX(1,COUNTIF(AN$7:AN$206,"1")),0)),0))</f>
        <v/>
      </c>
      <c r="AO4" s="22" t="str">
        <f t="array" ref="AO4">IF(AO3="","",IFERROR(IF(INDEX(Events!$I$5:$I$205,MATCH(AO3,Events!$A$5:$A$205,0))="Equal Split",INDEX(Events!$G$5:$G$205,MATCH(AO3,Events!$A$5:$A$205,0))/MAX(1,COUNTIFS('Access Codes'!$C$6:$C$105,"Player",'Access Codes'!$D$6:$D$105,"Active")),IF(INDEX(Events!$I$5:$I$205,MATCH(AO3,Events!$A$5:$A$205,0))="Attendance",INDEX(Events!$G$5:$G$205,MATCH(AO3,Events!$A$5:$A$205,0))/MAX(1,COUNTIF(AO$7:AO$206,"1")),0)),0))</f>
        <v/>
      </c>
      <c r="AP4" s="22" t="str">
        <f t="array" ref="AP4">IF(AP3="","",IFERROR(IF(INDEX(Events!$I$5:$I$205,MATCH(AP3,Events!$A$5:$A$205,0))="Equal Split",INDEX(Events!$G$5:$G$205,MATCH(AP3,Events!$A$5:$A$205,0))/MAX(1,COUNTIFS('Access Codes'!$C$6:$C$105,"Player",'Access Codes'!$D$6:$D$105,"Active")),IF(INDEX(Events!$I$5:$I$205,MATCH(AP3,Events!$A$5:$A$205,0))="Attendance",INDEX(Events!$G$5:$G$205,MATCH(AP3,Events!$A$5:$A$205,0))/MAX(1,COUNTIF(AP$7:AP$206,"1")),0)),0))</f>
        <v/>
      </c>
      <c r="AQ4" s="22" t="str">
        <f t="array" ref="AQ4">IF(AQ3="","",IFERROR(IF(INDEX(Events!$I$5:$I$205,MATCH(AQ3,Events!$A$5:$A$205,0))="Equal Split",INDEX(Events!$G$5:$G$205,MATCH(AQ3,Events!$A$5:$A$205,0))/MAX(1,COUNTIFS('Access Codes'!$C$6:$C$105,"Player",'Access Codes'!$D$6:$D$105,"Active")),IF(INDEX(Events!$I$5:$I$205,MATCH(AQ3,Events!$A$5:$A$205,0))="Attendance",INDEX(Events!$G$5:$G$205,MATCH(AQ3,Events!$A$5:$A$205,0))/MAX(1,COUNTIF(AQ$7:AQ$206,"1")),0)),0))</f>
        <v/>
      </c>
      <c r="AR4" s="22" t="str">
        <f t="array" ref="AR4">IF(AR3="","",IFERROR(IF(INDEX(Events!$I$5:$I$205,MATCH(AR3,Events!$A$5:$A$205,0))="Equal Split",INDEX(Events!$G$5:$G$205,MATCH(AR3,Events!$A$5:$A$205,0))/MAX(1,COUNTIFS('Access Codes'!$C$6:$C$105,"Player",'Access Codes'!$D$6:$D$105,"Active")),IF(INDEX(Events!$I$5:$I$205,MATCH(AR3,Events!$A$5:$A$205,0))="Attendance",INDEX(Events!$G$5:$G$205,MATCH(AR3,Events!$A$5:$A$205,0))/MAX(1,COUNTIF(AR$7:AR$206,"1")),0)),0))</f>
        <v/>
      </c>
      <c r="AS4" s="22" t="str">
        <f t="array" ref="AS4">IF(AS3="","",IFERROR(IF(INDEX(Events!$I$5:$I$205,MATCH(AS3,Events!$A$5:$A$205,0))="Equal Split",INDEX(Events!$G$5:$G$205,MATCH(AS3,Events!$A$5:$A$205,0))/MAX(1,COUNTIFS('Access Codes'!$C$6:$C$105,"Player",'Access Codes'!$D$6:$D$105,"Active")),IF(INDEX(Events!$I$5:$I$205,MATCH(AS3,Events!$A$5:$A$205,0))="Attendance",INDEX(Events!$G$5:$G$205,MATCH(AS3,Events!$A$5:$A$205,0))/MAX(1,COUNTIF(AS$7:AS$206,"1")),0)),0))</f>
        <v/>
      </c>
      <c r="AT4" s="22" t="str">
        <f t="array" ref="AT4">IF(AT3="","",IFERROR(IF(INDEX(Events!$I$5:$I$205,MATCH(AT3,Events!$A$5:$A$205,0))="Equal Split",INDEX(Events!$G$5:$G$205,MATCH(AT3,Events!$A$5:$A$205,0))/MAX(1,COUNTIFS('Access Codes'!$C$6:$C$105,"Player",'Access Codes'!$D$6:$D$105,"Active")),IF(INDEX(Events!$I$5:$I$205,MATCH(AT3,Events!$A$5:$A$205,0))="Attendance",INDEX(Events!$G$5:$G$205,MATCH(AT3,Events!$A$5:$A$205,0))/MAX(1,COUNTIF(AT$7:AT$206,"1")),0)),0))</f>
        <v/>
      </c>
      <c r="AU4" s="22" t="str">
        <f t="array" ref="AU4">IF(AU3="","",IFERROR(IF(INDEX(Events!$I$5:$I$205,MATCH(AU3,Events!$A$5:$A$205,0))="Equal Split",INDEX(Events!$G$5:$G$205,MATCH(AU3,Events!$A$5:$A$205,0))/MAX(1,COUNTIFS('Access Codes'!$C$6:$C$105,"Player",'Access Codes'!$D$6:$D$105,"Active")),IF(INDEX(Events!$I$5:$I$205,MATCH(AU3,Events!$A$5:$A$205,0))="Attendance",INDEX(Events!$G$5:$G$205,MATCH(AU3,Events!$A$5:$A$205,0))/MAX(1,COUNTIF(AU$7:AU$206,"1")),0)),0))</f>
        <v/>
      </c>
      <c r="AV4" s="22" t="str">
        <f t="array" ref="AV4">IF(AV3="","",IFERROR(IF(INDEX(Events!$I$5:$I$205,MATCH(AV3,Events!$A$5:$A$205,0))="Equal Split",INDEX(Events!$G$5:$G$205,MATCH(AV3,Events!$A$5:$A$205,0))/MAX(1,COUNTIFS('Access Codes'!$C$6:$C$105,"Player",'Access Codes'!$D$6:$D$105,"Active")),IF(INDEX(Events!$I$5:$I$205,MATCH(AV3,Events!$A$5:$A$205,0))="Attendance",INDEX(Events!$G$5:$G$205,MATCH(AV3,Events!$A$5:$A$205,0))/MAX(1,COUNTIF(AV$7:AV$206,"1")),0)),0))</f>
        <v/>
      </c>
      <c r="AW4" s="22" t="str">
        <f t="array" ref="AW4">IF(AW3="","",IFERROR(IF(INDEX(Events!$I$5:$I$205,MATCH(AW3,Events!$A$5:$A$205,0))="Equal Split",INDEX(Events!$G$5:$G$205,MATCH(AW3,Events!$A$5:$A$205,0))/MAX(1,COUNTIFS('Access Codes'!$C$6:$C$105,"Player",'Access Codes'!$D$6:$D$105,"Active")),IF(INDEX(Events!$I$5:$I$205,MATCH(AW3,Events!$A$5:$A$205,0))="Attendance",INDEX(Events!$G$5:$G$205,MATCH(AW3,Events!$A$5:$A$205,0))/MAX(1,COUNTIF(AW$7:AW$206,"1")),0)),0))</f>
        <v/>
      </c>
      <c r="AX4" s="22" t="str">
        <f t="array" ref="AX4">IF(AX3="","",IFERROR(IF(INDEX(Events!$I$5:$I$205,MATCH(AX3,Events!$A$5:$A$205,0))="Equal Split",INDEX(Events!$G$5:$G$205,MATCH(AX3,Events!$A$5:$A$205,0))/MAX(1,COUNTIFS('Access Codes'!$C$6:$C$105,"Player",'Access Codes'!$D$6:$D$105,"Active")),IF(INDEX(Events!$I$5:$I$205,MATCH(AX3,Events!$A$5:$A$205,0))="Attendance",INDEX(Events!$G$5:$G$205,MATCH(AX3,Events!$A$5:$A$205,0))/MAX(1,COUNTIF(AX$7:AX$206,"1")),0)),0))</f>
        <v/>
      </c>
      <c r="AY4" s="22" t="str">
        <f t="array" ref="AY4">IF(AY3="","",IFERROR(IF(INDEX(Events!$I$5:$I$205,MATCH(AY3,Events!$A$5:$A$205,0))="Equal Split",INDEX(Events!$G$5:$G$205,MATCH(AY3,Events!$A$5:$A$205,0))/MAX(1,COUNTIFS('Access Codes'!$C$6:$C$105,"Player",'Access Codes'!$D$6:$D$105,"Active")),IF(INDEX(Events!$I$5:$I$205,MATCH(AY3,Events!$A$5:$A$205,0))="Attendance",INDEX(Events!$G$5:$G$205,MATCH(AY3,Events!$A$5:$A$205,0))/MAX(1,COUNTIF(AY$7:AY$206,"1")),0)),0))</f>
        <v/>
      </c>
      <c r="AZ4" s="22" t="str">
        <f t="array" ref="AZ4">IF(AZ3="","",IFERROR(IF(INDEX(Events!$I$5:$I$205,MATCH(AZ3,Events!$A$5:$A$205,0))="Equal Split",INDEX(Events!$G$5:$G$205,MATCH(AZ3,Events!$A$5:$A$205,0))/MAX(1,COUNTIFS('Access Codes'!$C$6:$C$105,"Player",'Access Codes'!$D$6:$D$105,"Active")),IF(INDEX(Events!$I$5:$I$205,MATCH(AZ3,Events!$A$5:$A$205,0))="Attendance",INDEX(Events!$G$5:$G$205,MATCH(AZ3,Events!$A$5:$A$205,0))/MAX(1,COUNTIF(AZ$7:AZ$206,"1")),0)),0))</f>
        <v/>
      </c>
    </row>
    <row r="5" ht="18.0" customHeight="1">
      <c r="A5" s="21" t="s">
        <v>43</v>
      </c>
      <c r="B5" s="22">
        <f t="shared" ref="B5:AZ5" si="1">COUNTIF(B7:B206,"1")</f>
        <v>31</v>
      </c>
      <c r="C5" s="22">
        <f t="shared" si="1"/>
        <v>31</v>
      </c>
      <c r="D5" s="22">
        <f t="shared" si="1"/>
        <v>27</v>
      </c>
      <c r="E5" s="22">
        <f t="shared" si="1"/>
        <v>27</v>
      </c>
      <c r="F5" s="22">
        <f t="shared" si="1"/>
        <v>0</v>
      </c>
      <c r="G5" s="22">
        <f t="shared" si="1"/>
        <v>0</v>
      </c>
      <c r="H5" s="22">
        <f t="shared" si="1"/>
        <v>0</v>
      </c>
      <c r="I5" s="22">
        <f t="shared" si="1"/>
        <v>0</v>
      </c>
      <c r="J5" s="22">
        <f t="shared" si="1"/>
        <v>0</v>
      </c>
      <c r="K5" s="22">
        <f t="shared" si="1"/>
        <v>0</v>
      </c>
      <c r="L5" s="22">
        <f t="shared" si="1"/>
        <v>0</v>
      </c>
      <c r="M5" s="22">
        <f t="shared" si="1"/>
        <v>0</v>
      </c>
      <c r="N5" s="22">
        <f t="shared" si="1"/>
        <v>0</v>
      </c>
      <c r="O5" s="22">
        <f t="shared" si="1"/>
        <v>0</v>
      </c>
      <c r="P5" s="22">
        <f t="shared" si="1"/>
        <v>0</v>
      </c>
      <c r="Q5" s="22">
        <f t="shared" si="1"/>
        <v>0</v>
      </c>
      <c r="R5" s="22">
        <f t="shared" si="1"/>
        <v>0</v>
      </c>
      <c r="S5" s="22">
        <f t="shared" si="1"/>
        <v>0</v>
      </c>
      <c r="T5" s="22">
        <f t="shared" si="1"/>
        <v>0</v>
      </c>
      <c r="U5" s="22">
        <f t="shared" si="1"/>
        <v>0</v>
      </c>
      <c r="V5" s="22">
        <f t="shared" si="1"/>
        <v>0</v>
      </c>
      <c r="W5" s="22">
        <f t="shared" si="1"/>
        <v>0</v>
      </c>
      <c r="X5" s="22">
        <f t="shared" si="1"/>
        <v>0</v>
      </c>
      <c r="Y5" s="22">
        <f t="shared" si="1"/>
        <v>0</v>
      </c>
      <c r="Z5" s="22">
        <f t="shared" si="1"/>
        <v>0</v>
      </c>
      <c r="AA5" s="22">
        <f t="shared" si="1"/>
        <v>0</v>
      </c>
      <c r="AB5" s="22">
        <f t="shared" si="1"/>
        <v>0</v>
      </c>
      <c r="AC5" s="22">
        <f t="shared" si="1"/>
        <v>0</v>
      </c>
      <c r="AD5" s="22">
        <f t="shared" si="1"/>
        <v>0</v>
      </c>
      <c r="AE5" s="22">
        <f t="shared" si="1"/>
        <v>0</v>
      </c>
      <c r="AF5" s="22">
        <f t="shared" si="1"/>
        <v>0</v>
      </c>
      <c r="AG5" s="22">
        <f t="shared" si="1"/>
        <v>0</v>
      </c>
      <c r="AH5" s="22">
        <f t="shared" si="1"/>
        <v>0</v>
      </c>
      <c r="AI5" s="22">
        <f t="shared" si="1"/>
        <v>0</v>
      </c>
      <c r="AJ5" s="22">
        <f t="shared" si="1"/>
        <v>0</v>
      </c>
      <c r="AK5" s="22">
        <f t="shared" si="1"/>
        <v>0</v>
      </c>
      <c r="AL5" s="22">
        <f t="shared" si="1"/>
        <v>0</v>
      </c>
      <c r="AM5" s="22">
        <f t="shared" si="1"/>
        <v>0</v>
      </c>
      <c r="AN5" s="22">
        <f t="shared" si="1"/>
        <v>0</v>
      </c>
      <c r="AO5" s="22">
        <f t="shared" si="1"/>
        <v>0</v>
      </c>
      <c r="AP5" s="22">
        <f t="shared" si="1"/>
        <v>0</v>
      </c>
      <c r="AQ5" s="22">
        <f t="shared" si="1"/>
        <v>0</v>
      </c>
      <c r="AR5" s="22">
        <f t="shared" si="1"/>
        <v>0</v>
      </c>
      <c r="AS5" s="22">
        <f t="shared" si="1"/>
        <v>0</v>
      </c>
      <c r="AT5" s="22">
        <f t="shared" si="1"/>
        <v>0</v>
      </c>
      <c r="AU5" s="22">
        <f t="shared" si="1"/>
        <v>0</v>
      </c>
      <c r="AV5" s="22">
        <f t="shared" si="1"/>
        <v>0</v>
      </c>
      <c r="AW5" s="22">
        <f t="shared" si="1"/>
        <v>0</v>
      </c>
      <c r="AX5" s="22">
        <f t="shared" si="1"/>
        <v>0</v>
      </c>
      <c r="AY5" s="22">
        <f t="shared" si="1"/>
        <v>0</v>
      </c>
      <c r="AZ5" s="22">
        <f t="shared" si="1"/>
        <v>0</v>
      </c>
    </row>
    <row r="6" ht="18.0" customHeight="1">
      <c r="A6" s="21" t="s">
        <v>44</v>
      </c>
      <c r="B6" s="22">
        <f t="shared" ref="B6:AZ6" si="2">B4*B5</f>
        <v>0</v>
      </c>
      <c r="C6" s="22">
        <f t="shared" si="2"/>
        <v>69</v>
      </c>
      <c r="D6" s="22">
        <f t="shared" si="2"/>
        <v>1310</v>
      </c>
      <c r="E6" s="22">
        <f t="shared" si="2"/>
        <v>1050</v>
      </c>
      <c r="F6" s="22">
        <f t="shared" si="2"/>
        <v>0</v>
      </c>
      <c r="G6" s="22">
        <f t="shared" si="2"/>
        <v>0</v>
      </c>
      <c r="H6" s="22">
        <f t="shared" si="2"/>
        <v>0</v>
      </c>
      <c r="I6" s="22">
        <f t="shared" si="2"/>
        <v>0</v>
      </c>
      <c r="J6" s="22">
        <f t="shared" si="2"/>
        <v>0</v>
      </c>
      <c r="K6" s="22">
        <f t="shared" si="2"/>
        <v>0</v>
      </c>
      <c r="L6" s="22">
        <f t="shared" si="2"/>
        <v>0</v>
      </c>
      <c r="M6" s="22">
        <f t="shared" si="2"/>
        <v>0</v>
      </c>
      <c r="N6" s="22">
        <f t="shared" si="2"/>
        <v>0</v>
      </c>
      <c r="O6" s="22">
        <f t="shared" si="2"/>
        <v>0</v>
      </c>
      <c r="P6" s="22">
        <f t="shared" si="2"/>
        <v>0</v>
      </c>
      <c r="Q6" s="22">
        <f t="shared" si="2"/>
        <v>0</v>
      </c>
      <c r="R6" s="22">
        <f t="shared" si="2"/>
        <v>0</v>
      </c>
      <c r="S6" s="22">
        <f t="shared" si="2"/>
        <v>0</v>
      </c>
      <c r="T6" s="22">
        <f t="shared" si="2"/>
        <v>0</v>
      </c>
      <c r="U6" s="22">
        <f t="shared" si="2"/>
        <v>0</v>
      </c>
      <c r="V6" s="22">
        <f t="shared" si="2"/>
        <v>0</v>
      </c>
      <c r="W6" s="22">
        <f t="shared" si="2"/>
        <v>0</v>
      </c>
      <c r="X6" s="22">
        <f t="shared" si="2"/>
        <v>0</v>
      </c>
      <c r="Y6" s="22">
        <f t="shared" si="2"/>
        <v>0</v>
      </c>
      <c r="Z6" s="22">
        <f t="shared" si="2"/>
        <v>0</v>
      </c>
      <c r="AA6" s="22">
        <f t="shared" si="2"/>
        <v>0</v>
      </c>
      <c r="AB6" s="22">
        <f t="shared" si="2"/>
        <v>0</v>
      </c>
      <c r="AC6" s="22">
        <f t="shared" si="2"/>
        <v>0</v>
      </c>
      <c r="AD6" s="22">
        <f t="shared" si="2"/>
        <v>0</v>
      </c>
      <c r="AE6" s="22">
        <f t="shared" si="2"/>
        <v>0</v>
      </c>
      <c r="AF6" s="22">
        <f t="shared" si="2"/>
        <v>0</v>
      </c>
      <c r="AG6" s="22">
        <f t="shared" si="2"/>
        <v>0</v>
      </c>
      <c r="AH6" s="22">
        <f t="shared" si="2"/>
        <v>0</v>
      </c>
      <c r="AI6" s="22">
        <f t="shared" si="2"/>
        <v>0</v>
      </c>
      <c r="AJ6" s="22">
        <f t="shared" si="2"/>
        <v>0</v>
      </c>
      <c r="AK6" s="22">
        <f t="shared" si="2"/>
        <v>0</v>
      </c>
      <c r="AL6" s="22">
        <f t="shared" si="2"/>
        <v>0</v>
      </c>
      <c r="AM6" s="22">
        <f t="shared" si="2"/>
        <v>0</v>
      </c>
      <c r="AN6" s="22">
        <f t="shared" si="2"/>
        <v>0</v>
      </c>
      <c r="AO6" s="22">
        <f t="shared" si="2"/>
        <v>0</v>
      </c>
      <c r="AP6" s="22">
        <f t="shared" si="2"/>
        <v>0</v>
      </c>
      <c r="AQ6" s="22">
        <f t="shared" si="2"/>
        <v>0</v>
      </c>
      <c r="AR6" s="22">
        <f t="shared" si="2"/>
        <v>0</v>
      </c>
      <c r="AS6" s="22">
        <f t="shared" si="2"/>
        <v>0</v>
      </c>
      <c r="AT6" s="22">
        <f t="shared" si="2"/>
        <v>0</v>
      </c>
      <c r="AU6" s="22">
        <f t="shared" si="2"/>
        <v>0</v>
      </c>
      <c r="AV6" s="22">
        <f t="shared" si="2"/>
        <v>0</v>
      </c>
      <c r="AW6" s="22">
        <f t="shared" si="2"/>
        <v>0</v>
      </c>
      <c r="AX6" s="22">
        <f t="shared" si="2"/>
        <v>0</v>
      </c>
      <c r="AY6" s="22">
        <f t="shared" si="2"/>
        <v>0</v>
      </c>
      <c r="AZ6" s="22">
        <f t="shared" si="2"/>
        <v>0</v>
      </c>
    </row>
    <row r="7" ht="18.0" customHeight="1">
      <c r="A7" s="23" t="str">
        <f>IF(Roster!$A$5&lt;&gt;"",Roster!$A$5,"")</f>
        <v>At</v>
      </c>
      <c r="B7" s="24">
        <v>1.0</v>
      </c>
      <c r="C7" s="24">
        <v>1.0</v>
      </c>
      <c r="D7" s="24">
        <v>1.0</v>
      </c>
      <c r="E7" s="24">
        <v>1.0</v>
      </c>
      <c r="F7" s="24"/>
      <c r="G7" s="24"/>
      <c r="H7" s="24"/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  <c r="X7" s="24"/>
      <c r="Y7" s="24"/>
      <c r="Z7" s="24"/>
      <c r="AA7" s="24"/>
      <c r="AB7" s="24"/>
      <c r="AC7" s="24"/>
      <c r="AD7" s="24"/>
      <c r="AE7" s="24"/>
      <c r="AF7" s="24"/>
      <c r="AG7" s="24"/>
      <c r="AH7" s="24"/>
      <c r="AI7" s="24"/>
      <c r="AJ7" s="24"/>
      <c r="AK7" s="24"/>
      <c r="AL7" s="24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</row>
    <row r="8" ht="18.0" customHeight="1">
      <c r="A8" s="23" t="str">
        <f>IF(Roster!$A$6&lt;&gt;"",Roster!$A$6,"")</f>
        <v>Alex Warrington</v>
      </c>
      <c r="B8" s="24">
        <v>1.0</v>
      </c>
      <c r="C8" s="24">
        <v>1.0</v>
      </c>
      <c r="D8" s="24">
        <v>1.0</v>
      </c>
      <c r="E8" s="24">
        <v>1.0</v>
      </c>
      <c r="F8" s="24"/>
      <c r="G8" s="24"/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  <c r="Y8" s="24"/>
      <c r="Z8" s="24"/>
      <c r="AA8" s="24"/>
      <c r="AB8" s="24"/>
      <c r="AC8" s="24"/>
      <c r="AD8" s="24"/>
      <c r="AE8" s="24"/>
      <c r="AF8" s="24"/>
      <c r="AG8" s="24"/>
      <c r="AH8" s="24"/>
      <c r="AI8" s="24"/>
      <c r="AJ8" s="24"/>
      <c r="AK8" s="24"/>
      <c r="AL8" s="24"/>
      <c r="AM8" s="24"/>
      <c r="AN8" s="24"/>
      <c r="AO8" s="24"/>
      <c r="AP8" s="24"/>
      <c r="AQ8" s="24"/>
      <c r="AR8" s="24"/>
      <c r="AS8" s="24"/>
      <c r="AT8" s="24"/>
      <c r="AU8" s="24"/>
      <c r="AV8" s="24"/>
      <c r="AW8" s="24"/>
      <c r="AX8" s="24"/>
      <c r="AY8" s="24"/>
      <c r="AZ8" s="24"/>
    </row>
    <row r="9" ht="21.75" customHeight="1">
      <c r="A9" s="23" t="str">
        <f>IF(Roster!$A$7&lt;&gt;"",Roster!$A$7,"")</f>
        <v>Chris Wohl</v>
      </c>
      <c r="B9" s="24">
        <v>1.0</v>
      </c>
      <c r="C9" s="24">
        <v>1.0</v>
      </c>
      <c r="D9" s="24">
        <v>1.0</v>
      </c>
      <c r="E9" s="24">
        <v>1.0</v>
      </c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  <c r="AG9" s="24"/>
      <c r="AH9" s="24"/>
      <c r="AI9" s="24"/>
      <c r="AJ9" s="24"/>
      <c r="AK9" s="24"/>
      <c r="AL9" s="24"/>
      <c r="AM9" s="24"/>
      <c r="AN9" s="24"/>
      <c r="AO9" s="24"/>
      <c r="AP9" s="24"/>
      <c r="AQ9" s="24"/>
      <c r="AR9" s="24"/>
      <c r="AS9" s="24"/>
      <c r="AT9" s="24"/>
      <c r="AU9" s="24"/>
      <c r="AV9" s="24"/>
      <c r="AW9" s="24"/>
      <c r="AX9" s="24"/>
      <c r="AY9" s="24"/>
      <c r="AZ9" s="24"/>
    </row>
    <row r="10" ht="19.5" customHeight="1">
      <c r="A10" s="23" t="str">
        <f>IF(Roster!$A$8&lt;&gt;"",Roster!$A$8,"")</f>
        <v>Darra Reppermund</v>
      </c>
      <c r="B10" s="24">
        <v>1.0</v>
      </c>
      <c r="C10" s="24">
        <v>1.0</v>
      </c>
      <c r="D10" s="24">
        <v>1.0</v>
      </c>
      <c r="E10" s="24">
        <v>1.0</v>
      </c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  <c r="AA10" s="24"/>
      <c r="AB10" s="24"/>
      <c r="AC10" s="24"/>
      <c r="AD10" s="24"/>
      <c r="AE10" s="24"/>
      <c r="AF10" s="24"/>
      <c r="AG10" s="24"/>
      <c r="AH10" s="24"/>
      <c r="AI10" s="24"/>
      <c r="AJ10" s="24"/>
      <c r="AK10" s="24"/>
      <c r="AL10" s="24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</row>
    <row r="11" ht="19.5" customHeight="1">
      <c r="A11" s="23" t="str">
        <f>IF(Roster!$A$9&lt;&gt;"",Roster!$A$9,"")</f>
        <v>Dylan Best</v>
      </c>
      <c r="B11" s="24">
        <v>1.0</v>
      </c>
      <c r="C11" s="24">
        <v>1.0</v>
      </c>
      <c r="D11" s="24">
        <v>1.0</v>
      </c>
      <c r="E11" s="24">
        <v>1.0</v>
      </c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4"/>
      <c r="AB11" s="24"/>
      <c r="AC11" s="24"/>
      <c r="AD11" s="24"/>
      <c r="AE11" s="24"/>
      <c r="AF11" s="24"/>
      <c r="AG11" s="24"/>
      <c r="AH11" s="24"/>
      <c r="AI11" s="24"/>
      <c r="AJ11" s="24"/>
      <c r="AK11" s="24"/>
      <c r="AL11" s="24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</row>
    <row r="12" ht="19.5" customHeight="1">
      <c r="A12" s="23" t="str">
        <f>IF(Roster!$A$10&lt;&gt;"",Roster!$A$10,"")</f>
        <v>Griffin O'Neal-Freeman</v>
      </c>
      <c r="B12" s="24">
        <v>1.0</v>
      </c>
      <c r="C12" s="24">
        <v>1.0</v>
      </c>
      <c r="D12" s="24">
        <v>1.0</v>
      </c>
      <c r="E12" s="24">
        <v>1.0</v>
      </c>
      <c r="F12" s="24"/>
      <c r="G12" s="24"/>
      <c r="H12" s="24"/>
      <c r="I12" s="24"/>
      <c r="J12" s="24"/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  <c r="X12" s="24"/>
      <c r="Y12" s="24"/>
      <c r="Z12" s="24"/>
      <c r="AA12" s="24"/>
      <c r="AB12" s="24"/>
      <c r="AC12" s="24"/>
      <c r="AD12" s="24"/>
      <c r="AE12" s="24"/>
      <c r="AF12" s="24"/>
      <c r="AG12" s="24"/>
      <c r="AH12" s="24"/>
      <c r="AI12" s="24"/>
      <c r="AJ12" s="24"/>
      <c r="AK12" s="24"/>
      <c r="AL12" s="24"/>
      <c r="AM12" s="24"/>
      <c r="AN12" s="24"/>
      <c r="AO12" s="24"/>
      <c r="AP12" s="24"/>
      <c r="AQ12" s="24"/>
      <c r="AR12" s="24"/>
      <c r="AS12" s="24"/>
      <c r="AT12" s="24"/>
      <c r="AU12" s="24"/>
      <c r="AV12" s="24"/>
      <c r="AW12" s="24"/>
      <c r="AX12" s="24"/>
      <c r="AY12" s="24"/>
      <c r="AZ12" s="24"/>
    </row>
    <row r="13" ht="19.5" customHeight="1">
      <c r="A13" s="23" t="str">
        <f>IF(Roster!$A$11&lt;&gt;"",Roster!$A$11,"")</f>
        <v>Haley Young</v>
      </c>
      <c r="B13" s="24">
        <v>1.0</v>
      </c>
      <c r="C13" s="24">
        <v>1.0</v>
      </c>
      <c r="D13" s="24">
        <v>1.0</v>
      </c>
      <c r="E13" s="24">
        <v>1.0</v>
      </c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4"/>
      <c r="AH13" s="24"/>
      <c r="AI13" s="24"/>
      <c r="AJ13" s="24"/>
      <c r="AK13" s="24"/>
      <c r="AL13" s="24"/>
      <c r="AM13" s="24"/>
      <c r="AN13" s="24"/>
      <c r="AO13" s="24"/>
      <c r="AP13" s="24"/>
      <c r="AQ13" s="24"/>
      <c r="AR13" s="24"/>
      <c r="AS13" s="24"/>
      <c r="AT13" s="24"/>
      <c r="AU13" s="24"/>
      <c r="AV13" s="24"/>
      <c r="AW13" s="24"/>
      <c r="AX13" s="24"/>
      <c r="AY13" s="24"/>
      <c r="AZ13" s="24"/>
    </row>
    <row r="14" ht="19.5" customHeight="1">
      <c r="A14" s="23" t="str">
        <f>IF(Roster!$A$12&lt;&gt;"",Roster!$A$12,"")</f>
        <v>Harry Park</v>
      </c>
      <c r="B14" s="24">
        <v>1.0</v>
      </c>
      <c r="C14" s="24">
        <v>1.0</v>
      </c>
      <c r="D14" s="24">
        <v>1.0</v>
      </c>
      <c r="E14" s="24">
        <v>1.0</v>
      </c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</row>
    <row r="15" ht="19.5" customHeight="1">
      <c r="A15" s="23" t="str">
        <f>IF(Roster!$A$13&lt;&gt;"",Roster!$A$13,"")</f>
        <v>Ian Piper</v>
      </c>
      <c r="B15" s="24">
        <v>1.0</v>
      </c>
      <c r="C15" s="24">
        <v>1.0</v>
      </c>
      <c r="D15" s="24">
        <v>1.0</v>
      </c>
      <c r="E15" s="24">
        <v>1.0</v>
      </c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</row>
    <row r="16" ht="19.5" customHeight="1">
      <c r="A16" s="23" t="str">
        <f>IF(Roster!$A$14&lt;&gt;"",Roster!$A$14,"")</f>
        <v>Jake Murray</v>
      </c>
      <c r="B16" s="24">
        <v>1.0</v>
      </c>
      <c r="C16" s="24">
        <v>1.0</v>
      </c>
      <c r="D16" s="24">
        <v>1.0</v>
      </c>
      <c r="E16" s="24">
        <v>1.0</v>
      </c>
      <c r="F16" s="24"/>
      <c r="G16" s="24"/>
      <c r="H16" s="24"/>
      <c r="I16" s="24"/>
      <c r="J16" s="24"/>
      <c r="K16" s="24"/>
      <c r="L16" s="24"/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</row>
    <row r="17" ht="19.5" customHeight="1">
      <c r="A17" s="23" t="str">
        <f>IF(Roster!$A$15&lt;&gt;"",Roster!$A$15,"")</f>
        <v>Jenna Nold</v>
      </c>
      <c r="B17" s="24">
        <v>1.0</v>
      </c>
      <c r="C17" s="24">
        <v>1.0</v>
      </c>
      <c r="D17" s="24">
        <v>1.0</v>
      </c>
      <c r="E17" s="24">
        <v>1.0</v>
      </c>
      <c r="F17" s="24"/>
      <c r="G17" s="24"/>
      <c r="H17" s="24"/>
      <c r="I17" s="24"/>
      <c r="J17" s="24"/>
      <c r="K17" s="24"/>
      <c r="L17" s="24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</row>
    <row r="18" ht="19.5" customHeight="1">
      <c r="A18" s="23" t="str">
        <f>IF(Roster!$A$16&lt;&gt;"",Roster!$A$16,"")</f>
        <v>Jimmy Towle</v>
      </c>
      <c r="B18" s="25">
        <v>1.0</v>
      </c>
      <c r="C18" s="25">
        <v>1.0</v>
      </c>
      <c r="D18" s="24">
        <v>0.0</v>
      </c>
      <c r="E18" s="24">
        <v>0.0</v>
      </c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</row>
    <row r="19" ht="19.5" customHeight="1">
      <c r="A19" s="23" t="str">
        <f>IF(Roster!$A$17&lt;&gt;"",Roster!$A$17,"")</f>
        <v>Kailey Rugani</v>
      </c>
      <c r="B19" s="24">
        <v>1.0</v>
      </c>
      <c r="C19" s="24">
        <v>1.0</v>
      </c>
      <c r="D19" s="24">
        <v>1.0</v>
      </c>
      <c r="E19" s="24">
        <v>1.0</v>
      </c>
      <c r="F19" s="24"/>
      <c r="G19" s="24"/>
      <c r="H19" s="24"/>
      <c r="I19" s="24"/>
      <c r="J19" s="24"/>
      <c r="K19" s="24"/>
      <c r="L19" s="24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</row>
    <row r="20" ht="19.5" customHeight="1">
      <c r="A20" s="23" t="str">
        <f>IF(Roster!$A$18&lt;&gt;"",Roster!$A$18,"")</f>
        <v>Kasey Schock</v>
      </c>
      <c r="B20" s="24">
        <v>1.0</v>
      </c>
      <c r="C20" s="24">
        <v>1.0</v>
      </c>
      <c r="D20" s="24">
        <v>1.0</v>
      </c>
      <c r="E20" s="24">
        <v>1.0</v>
      </c>
      <c r="F20" s="24"/>
      <c r="G20" s="24"/>
      <c r="H20" s="24"/>
      <c r="I20" s="24"/>
      <c r="J20" s="24"/>
      <c r="K20" s="24"/>
      <c r="L20" s="24"/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</row>
    <row r="21" ht="19.5" customHeight="1">
      <c r="A21" s="23" t="str">
        <f>IF(Roster!$A$19&lt;&gt;"",Roster!$A$19,"")</f>
        <v>Kevin Nicholl</v>
      </c>
      <c r="B21" s="24">
        <v>1.0</v>
      </c>
      <c r="C21" s="24">
        <v>1.0</v>
      </c>
      <c r="D21" s="24">
        <v>1.0</v>
      </c>
      <c r="E21" s="24">
        <v>1.0</v>
      </c>
      <c r="F21" s="24"/>
      <c r="G21" s="24"/>
      <c r="H21" s="24"/>
      <c r="I21" s="24"/>
      <c r="J21" s="24"/>
      <c r="K21" s="24"/>
      <c r="L21" s="24"/>
      <c r="M21" s="24"/>
      <c r="N21" s="24"/>
      <c r="O21" s="24"/>
      <c r="P21" s="24"/>
      <c r="Q21" s="24"/>
      <c r="R21" s="24"/>
      <c r="S21" s="24"/>
      <c r="T21" s="24"/>
      <c r="U21" s="24"/>
      <c r="V21" s="24"/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</row>
    <row r="22" ht="19.5" customHeight="1">
      <c r="A22" s="23" t="str">
        <f>IF(Roster!$A$20&lt;&gt;"",Roster!$A$20,"")</f>
        <v>Kit Asterin</v>
      </c>
      <c r="B22" s="24">
        <v>1.0</v>
      </c>
      <c r="C22" s="24">
        <v>1.0</v>
      </c>
      <c r="D22" s="24">
        <v>1.0</v>
      </c>
      <c r="E22" s="24">
        <v>1.0</v>
      </c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24"/>
      <c r="T22" s="24"/>
      <c r="U22" s="24"/>
      <c r="V22" s="24"/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</row>
    <row r="23" ht="19.5" customHeight="1">
      <c r="A23" s="23" t="str">
        <f>IF(Roster!$A$21&lt;&gt;"",Roster!$A$21,"")</f>
        <v>Kristin Dudley</v>
      </c>
      <c r="B23" s="24">
        <v>1.0</v>
      </c>
      <c r="C23" s="24">
        <v>1.0</v>
      </c>
      <c r="D23" s="24">
        <v>1.0</v>
      </c>
      <c r="E23" s="24">
        <v>1.0</v>
      </c>
      <c r="F23" s="24"/>
      <c r="G23" s="24"/>
      <c r="H23" s="24"/>
      <c r="I23" s="24"/>
      <c r="J23" s="24"/>
      <c r="K23" s="24"/>
      <c r="L23" s="24"/>
      <c r="M23" s="24"/>
      <c r="N23" s="24"/>
      <c r="O23" s="24"/>
      <c r="P23" s="24"/>
      <c r="Q23" s="24"/>
      <c r="R23" s="24"/>
      <c r="S23" s="24"/>
      <c r="T23" s="24"/>
      <c r="U23" s="24"/>
      <c r="V23" s="24"/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</row>
    <row r="24" ht="19.5" customHeight="1">
      <c r="A24" s="23" t="str">
        <f>IF(Roster!$A$22&lt;&gt;"",Roster!$A$22,"")</f>
        <v>Lexie Thomas</v>
      </c>
      <c r="B24" s="24">
        <v>1.0</v>
      </c>
      <c r="C24" s="24">
        <v>1.0</v>
      </c>
      <c r="D24" s="24">
        <v>1.0</v>
      </c>
      <c r="E24" s="24">
        <v>1.0</v>
      </c>
      <c r="F24" s="24"/>
      <c r="G24" s="24"/>
      <c r="H24" s="24"/>
      <c r="I24" s="24"/>
      <c r="J24" s="24"/>
      <c r="K24" s="24"/>
      <c r="L24" s="24"/>
      <c r="M24" s="24"/>
      <c r="N24" s="24"/>
      <c r="O24" s="24"/>
      <c r="P24" s="24"/>
      <c r="Q24" s="24"/>
      <c r="R24" s="24"/>
      <c r="S24" s="24"/>
      <c r="T24" s="24"/>
      <c r="U24" s="24"/>
      <c r="V24" s="24"/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</row>
    <row r="25" ht="19.5" customHeight="1">
      <c r="A25" s="23" t="str">
        <f>IF(Roster!$A$23&lt;&gt;"",Roster!$A$23,"")</f>
        <v>Lucas Jones</v>
      </c>
      <c r="B25" s="25">
        <v>1.0</v>
      </c>
      <c r="C25" s="25">
        <v>1.0</v>
      </c>
      <c r="D25" s="24">
        <v>0.0</v>
      </c>
      <c r="E25" s="24">
        <v>0.0</v>
      </c>
      <c r="F25" s="24"/>
      <c r="G25" s="24"/>
      <c r="H25" s="24"/>
      <c r="I25" s="24"/>
      <c r="J25" s="24"/>
      <c r="K25" s="24"/>
      <c r="L25" s="24"/>
      <c r="M25" s="24"/>
      <c r="N25" s="24"/>
      <c r="O25" s="24"/>
      <c r="P25" s="24"/>
      <c r="Q25" s="24"/>
      <c r="R25" s="24"/>
      <c r="S25" s="24"/>
      <c r="T25" s="24"/>
      <c r="U25" s="24"/>
      <c r="V25" s="24"/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</row>
    <row r="26" ht="19.5" customHeight="1">
      <c r="A26" s="23" t="str">
        <f>IF(Roster!$A$24&lt;&gt;"",Roster!$A$24,"")</f>
        <v>Max Sheppard</v>
      </c>
      <c r="B26" s="24">
        <v>1.0</v>
      </c>
      <c r="C26" s="24">
        <v>1.0</v>
      </c>
      <c r="D26" s="24">
        <v>1.0</v>
      </c>
      <c r="E26" s="24">
        <v>1.0</v>
      </c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24"/>
      <c r="T26" s="24"/>
      <c r="U26" s="24"/>
      <c r="V26" s="24"/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</row>
    <row r="27" ht="19.5" customHeight="1">
      <c r="A27" s="23" t="str">
        <f>IF(Roster!$A$25&lt;&gt;"",Roster!$A$25,"")</f>
        <v>Lucius Christie</v>
      </c>
      <c r="B27" s="24">
        <v>1.0</v>
      </c>
      <c r="C27" s="24">
        <v>1.0</v>
      </c>
      <c r="D27" s="24">
        <v>1.0</v>
      </c>
      <c r="E27" s="24">
        <v>1.0</v>
      </c>
      <c r="F27" s="24"/>
      <c r="G27" s="24"/>
      <c r="H27" s="24"/>
      <c r="I27" s="24"/>
      <c r="J27" s="24"/>
      <c r="K27" s="24"/>
      <c r="L27" s="24"/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  <c r="X27" s="24"/>
      <c r="Y27" s="24"/>
      <c r="Z27" s="24"/>
      <c r="AA27" s="24"/>
      <c r="AB27" s="24"/>
      <c r="AC27" s="24"/>
      <c r="AD27" s="24"/>
      <c r="AE27" s="24"/>
      <c r="AF27" s="24"/>
      <c r="AG27" s="24"/>
      <c r="AH27" s="24"/>
      <c r="AI27" s="24"/>
      <c r="AJ27" s="24"/>
      <c r="AK27" s="24"/>
      <c r="AL27" s="24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</row>
    <row r="28" ht="19.5" customHeight="1">
      <c r="A28" s="23" t="str">
        <f>IF(Roster!$A$26&lt;&gt;"",Roster!$A$26,"")</f>
        <v>Patrick McMullen</v>
      </c>
      <c r="B28" s="24">
        <v>1.0</v>
      </c>
      <c r="C28" s="24">
        <v>1.0</v>
      </c>
      <c r="D28" s="24">
        <v>1.0</v>
      </c>
      <c r="E28" s="24">
        <v>1.0</v>
      </c>
      <c r="F28" s="24"/>
      <c r="G28" s="24"/>
      <c r="H28" s="24"/>
      <c r="I28" s="24"/>
      <c r="J28" s="24"/>
      <c r="K28" s="24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/>
      <c r="AH28" s="24"/>
      <c r="AI28" s="24"/>
      <c r="AJ28" s="24"/>
      <c r="AK28" s="24"/>
      <c r="AL28" s="24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</row>
    <row r="29" ht="19.5" customHeight="1">
      <c r="A29" s="23" t="str">
        <f>IF(Roster!$A$27&lt;&gt;"",Roster!$A$27,"")</f>
        <v>Rachel Graber</v>
      </c>
      <c r="B29" s="24">
        <v>1.0</v>
      </c>
      <c r="C29" s="24">
        <v>1.0</v>
      </c>
      <c r="D29" s="24">
        <v>1.0</v>
      </c>
      <c r="E29" s="24">
        <v>1.0</v>
      </c>
      <c r="F29" s="24"/>
      <c r="G29" s="24"/>
      <c r="H29" s="24"/>
      <c r="I29" s="24"/>
      <c r="J29" s="24"/>
      <c r="K29" s="24"/>
      <c r="L29" s="24"/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/>
      <c r="AH29" s="24"/>
      <c r="AI29" s="24"/>
      <c r="AJ29" s="24"/>
      <c r="AK29" s="24"/>
      <c r="AL29" s="24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</row>
    <row r="30" ht="19.5" customHeight="1">
      <c r="A30" s="23" t="str">
        <f>IF(Roster!$A$28&lt;&gt;"",Roster!$A$28,"")</f>
        <v>Ryan Kindell</v>
      </c>
      <c r="B30" s="24">
        <v>1.0</v>
      </c>
      <c r="C30" s="24">
        <v>1.0</v>
      </c>
      <c r="D30" s="24">
        <v>1.0</v>
      </c>
      <c r="E30" s="24">
        <v>1.0</v>
      </c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24"/>
      <c r="T30" s="24"/>
      <c r="U30" s="24"/>
      <c r="V30" s="24"/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</row>
    <row r="31" ht="19.5" customHeight="1">
      <c r="A31" s="23" t="str">
        <f>IF(Roster!$A$29&lt;&gt;"",Roster!$A$29,"")</f>
        <v>Ryan Ward</v>
      </c>
      <c r="B31" s="25">
        <v>1.0</v>
      </c>
      <c r="C31" s="25">
        <v>1.0</v>
      </c>
      <c r="D31" s="25">
        <v>1.0</v>
      </c>
      <c r="E31" s="25">
        <v>1.0</v>
      </c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</row>
    <row r="32" ht="19.5" customHeight="1">
      <c r="A32" s="23" t="str">
        <f>IF(Roster!$A$30&lt;&gt;"",Roster!$A$30,"")</f>
        <v>Sam Gombiner</v>
      </c>
      <c r="B32" s="24">
        <v>1.0</v>
      </c>
      <c r="C32" s="24">
        <v>1.0</v>
      </c>
      <c r="D32" s="25">
        <v>0.0</v>
      </c>
      <c r="E32" s="25">
        <v>0.0</v>
      </c>
      <c r="F32" s="24"/>
      <c r="G32" s="24"/>
      <c r="H32" s="24"/>
      <c r="I32" s="24"/>
      <c r="J32" s="24"/>
      <c r="K32" s="24"/>
      <c r="L32" s="24"/>
      <c r="M32" s="24"/>
      <c r="N32" s="24"/>
      <c r="O32" s="24"/>
      <c r="P32" s="24"/>
      <c r="Q32" s="24"/>
      <c r="R32" s="24"/>
      <c r="S32" s="24"/>
      <c r="T32" s="24"/>
      <c r="U32" s="24"/>
      <c r="V32" s="24"/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</row>
    <row r="33" ht="19.5" customHeight="1">
      <c r="A33" s="23" t="str">
        <f>IF(Roster!$A$31&lt;&gt;"",Roster!$A$31,"")</f>
        <v>Sarah Kingsley-Hart</v>
      </c>
      <c r="B33" s="24">
        <v>1.0</v>
      </c>
      <c r="C33" s="24">
        <v>1.0</v>
      </c>
      <c r="D33" s="24">
        <v>1.0</v>
      </c>
      <c r="E33" s="24">
        <v>1.0</v>
      </c>
      <c r="F33" s="24"/>
      <c r="G33" s="24"/>
      <c r="H33" s="24"/>
      <c r="I33" s="24"/>
      <c r="J33" s="24"/>
      <c r="K33" s="24"/>
      <c r="L33" s="24"/>
      <c r="M33" s="24"/>
      <c r="N33" s="24"/>
      <c r="O33" s="24"/>
      <c r="P33" s="24"/>
      <c r="Q33" s="24"/>
      <c r="R33" s="24"/>
      <c r="S33" s="24"/>
      <c r="T33" s="24"/>
      <c r="U33" s="24"/>
      <c r="V33" s="24"/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</row>
    <row r="34" ht="19.5" customHeight="1">
      <c r="A34" s="23" t="str">
        <f>IF(Roster!$A$32&lt;&gt;"",Roster!$A$32,"")</f>
        <v>Sarah Lynch</v>
      </c>
      <c r="B34" s="24">
        <v>1.0</v>
      </c>
      <c r="C34" s="24">
        <v>1.0</v>
      </c>
      <c r="D34" s="24">
        <v>1.0</v>
      </c>
      <c r="E34" s="24">
        <v>1.0</v>
      </c>
      <c r="F34" s="24"/>
      <c r="G34" s="24"/>
      <c r="H34" s="24"/>
      <c r="I34" s="24"/>
      <c r="J34" s="24"/>
      <c r="K34" s="24"/>
      <c r="L34" s="24"/>
      <c r="M34" s="24"/>
      <c r="N34" s="24"/>
      <c r="O34" s="24"/>
      <c r="P34" s="24"/>
      <c r="Q34" s="24"/>
      <c r="R34" s="24"/>
      <c r="S34" s="24"/>
      <c r="T34" s="24"/>
      <c r="U34" s="24"/>
      <c r="V34" s="24"/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</row>
    <row r="35" ht="19.5" customHeight="1">
      <c r="A35" s="23" t="str">
        <f>IF(Roster!$A$33&lt;&gt;"",Roster!$A$33,"")</f>
        <v>Shani Rosenthal</v>
      </c>
      <c r="B35" s="24">
        <v>1.0</v>
      </c>
      <c r="C35" s="24">
        <v>1.0</v>
      </c>
      <c r="D35" s="24">
        <v>1.0</v>
      </c>
      <c r="E35" s="24">
        <v>1.0</v>
      </c>
      <c r="F35" s="24"/>
      <c r="G35" s="24"/>
      <c r="H35" s="24"/>
      <c r="I35" s="24"/>
      <c r="J35" s="24"/>
      <c r="K35" s="24"/>
      <c r="L35" s="24"/>
      <c r="M35" s="24"/>
      <c r="N35" s="24"/>
      <c r="O35" s="24"/>
      <c r="P35" s="24"/>
      <c r="Q35" s="24"/>
      <c r="R35" s="24"/>
      <c r="S35" s="24"/>
      <c r="T35" s="24"/>
      <c r="U35" s="24"/>
      <c r="V35" s="24"/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</row>
    <row r="36" ht="19.5" customHeight="1">
      <c r="A36" s="23" t="str">
        <f>IF(Roster!$A$34&lt;&gt;"",Roster!$A$34,"")</f>
        <v>Vivian Shen</v>
      </c>
      <c r="B36" s="25">
        <v>1.0</v>
      </c>
      <c r="C36" s="25">
        <v>1.0</v>
      </c>
      <c r="D36" s="25">
        <v>1.0</v>
      </c>
      <c r="E36" s="25">
        <v>1.0</v>
      </c>
      <c r="F36" s="24"/>
      <c r="G36" s="24"/>
      <c r="H36" s="24"/>
      <c r="I36" s="24"/>
      <c r="J36" s="24"/>
      <c r="K36" s="24"/>
      <c r="L36" s="24"/>
      <c r="M36" s="24"/>
      <c r="N36" s="24"/>
      <c r="O36" s="24"/>
      <c r="P36" s="24"/>
      <c r="Q36" s="24"/>
      <c r="R36" s="24"/>
      <c r="S36" s="24"/>
      <c r="T36" s="24"/>
      <c r="U36" s="24"/>
      <c r="V36" s="24"/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/>
      <c r="AL36" s="24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</row>
    <row r="37" ht="19.5" customHeight="1">
      <c r="A37" s="23" t="str">
        <f>IF(Roster!$A$35&lt;&gt;"",Roster!$A$35,"")</f>
        <v>Zach Esakof</v>
      </c>
      <c r="B37" s="25">
        <v>1.0</v>
      </c>
      <c r="C37" s="25">
        <v>1.0</v>
      </c>
      <c r="D37" s="25">
        <v>0.0</v>
      </c>
      <c r="E37" s="25">
        <v>0.0</v>
      </c>
      <c r="F37" s="24"/>
      <c r="G37" s="24"/>
      <c r="H37" s="24"/>
      <c r="I37" s="24"/>
      <c r="J37" s="24"/>
      <c r="K37" s="24"/>
      <c r="L37" s="24"/>
      <c r="M37" s="24"/>
      <c r="N37" s="24"/>
      <c r="O37" s="24"/>
      <c r="P37" s="24"/>
      <c r="Q37" s="24"/>
      <c r="R37" s="24"/>
      <c r="S37" s="24"/>
      <c r="T37" s="24"/>
      <c r="U37" s="24"/>
      <c r="V37" s="24"/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</row>
    <row r="38" ht="19.5" customHeight="1">
      <c r="A38" s="23" t="str">
        <f>IF(Roster!$A$36&lt;&gt;"",Roster!$A$36,"")</f>
        <v>Annette Kukunas-Piper</v>
      </c>
      <c r="B38" s="24" t="s">
        <v>45</v>
      </c>
      <c r="C38" s="24" t="s">
        <v>45</v>
      </c>
      <c r="D38" s="24" t="s">
        <v>45</v>
      </c>
      <c r="E38" s="24" t="s">
        <v>45</v>
      </c>
      <c r="F38" s="24"/>
      <c r="G38" s="24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24"/>
      <c r="T38" s="24"/>
      <c r="U38" s="24"/>
      <c r="V38" s="24"/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</row>
    <row r="39" ht="19.5" customHeight="1">
      <c r="A39" s="23" t="str">
        <f>IF(Roster!$A$37&lt;&gt;"",Roster!$A$37,"")</f>
        <v>Matt Duffy</v>
      </c>
      <c r="B39" s="24" t="s">
        <v>45</v>
      </c>
      <c r="C39" s="24" t="s">
        <v>45</v>
      </c>
      <c r="D39" s="24" t="s">
        <v>45</v>
      </c>
      <c r="E39" s="24" t="s">
        <v>45</v>
      </c>
      <c r="F39" s="24"/>
      <c r="G39" s="24"/>
      <c r="H39" s="24"/>
      <c r="I39" s="24"/>
      <c r="J39" s="24"/>
      <c r="K39" s="24"/>
      <c r="L39" s="24"/>
      <c r="M39" s="24"/>
      <c r="N39" s="24"/>
      <c r="O39" s="24"/>
      <c r="P39" s="24"/>
      <c r="Q39" s="24"/>
      <c r="R39" s="24"/>
      <c r="S39" s="24"/>
      <c r="T39" s="24"/>
      <c r="U39" s="24"/>
      <c r="V39" s="24"/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</row>
    <row r="40" ht="19.5" customHeight="1">
      <c r="A40" s="23" t="str">
        <f>IF(Roster!$A$38&lt;&gt;"",Roster!$A$38,"")</f>
        <v>Ryan Birchard</v>
      </c>
      <c r="B40" s="24" t="s">
        <v>45</v>
      </c>
      <c r="C40" s="24" t="s">
        <v>45</v>
      </c>
      <c r="D40" s="24" t="s">
        <v>45</v>
      </c>
      <c r="E40" s="24" t="s">
        <v>45</v>
      </c>
      <c r="F40" s="24"/>
      <c r="G40" s="24"/>
      <c r="H40" s="24"/>
      <c r="I40" s="24"/>
      <c r="J40" s="24"/>
      <c r="K40" s="24"/>
      <c r="L40" s="24"/>
      <c r="M40" s="24"/>
      <c r="N40" s="24"/>
      <c r="O40" s="24"/>
      <c r="P40" s="24"/>
      <c r="Q40" s="24"/>
      <c r="R40" s="24"/>
      <c r="S40" s="24"/>
      <c r="T40" s="24"/>
      <c r="U40" s="24"/>
      <c r="V40" s="24"/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</row>
    <row r="41" ht="19.5" customHeight="1">
      <c r="A41" s="23" t="str">
        <f>IF(Roster!$A$39&lt;&gt;"",Roster!$A$39,"")</f>
        <v/>
      </c>
      <c r="B41" s="24"/>
      <c r="C41" s="24"/>
      <c r="D41" s="24"/>
      <c r="E41" s="24"/>
      <c r="F41" s="24"/>
      <c r="G41" s="24"/>
      <c r="H41" s="24"/>
      <c r="I41" s="24"/>
      <c r="J41" s="24"/>
      <c r="K41" s="24"/>
      <c r="L41" s="24"/>
      <c r="M41" s="24"/>
      <c r="N41" s="24"/>
      <c r="O41" s="24"/>
      <c r="P41" s="24"/>
      <c r="Q41" s="24"/>
      <c r="R41" s="24"/>
      <c r="S41" s="24"/>
      <c r="T41" s="24"/>
      <c r="U41" s="24"/>
      <c r="V41" s="24"/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</row>
    <row r="42" ht="19.5" customHeight="1">
      <c r="A42" s="23" t="str">
        <f>IF(Roster!$A$40&lt;&gt;"",Roster!$A$40,"")</f>
        <v/>
      </c>
      <c r="B42" s="24"/>
      <c r="C42" s="24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24"/>
      <c r="T42" s="24"/>
      <c r="U42" s="24"/>
      <c r="V42" s="24"/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</row>
    <row r="43" ht="19.5" customHeight="1">
      <c r="A43" s="23" t="str">
        <f>IF(Roster!$A$41&lt;&gt;"",Roster!$A$41,"")</f>
        <v/>
      </c>
      <c r="B43" s="24"/>
      <c r="C43" s="24"/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</row>
    <row r="44" ht="19.5" customHeight="1">
      <c r="A44" s="23" t="str">
        <f>IF(Roster!$A$42&lt;&gt;"",Roster!$A$42,"")</f>
        <v/>
      </c>
      <c r="B44" s="24"/>
      <c r="C44" s="24"/>
      <c r="D44" s="24"/>
      <c r="E44" s="24"/>
      <c r="F44" s="24"/>
      <c r="G44" s="24"/>
      <c r="H44" s="24"/>
      <c r="I44" s="24"/>
      <c r="J44" s="24"/>
      <c r="K44" s="24"/>
      <c r="L44" s="24"/>
      <c r="M44" s="24"/>
      <c r="N44" s="24"/>
      <c r="O44" s="24"/>
      <c r="P44" s="24"/>
      <c r="Q44" s="24"/>
      <c r="R44" s="24"/>
      <c r="S44" s="24"/>
      <c r="T44" s="24"/>
      <c r="U44" s="24"/>
      <c r="V44" s="24"/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</row>
    <row r="45" ht="19.5" customHeight="1">
      <c r="A45" s="23" t="str">
        <f>IF(Roster!$A$43&lt;&gt;"",Roster!$A$43,"")</f>
        <v/>
      </c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O45" s="24"/>
      <c r="P45" s="24"/>
      <c r="Q45" s="24"/>
      <c r="R45" s="24"/>
      <c r="S45" s="24"/>
      <c r="T45" s="24"/>
      <c r="U45" s="24"/>
      <c r="V45" s="24"/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</row>
    <row r="46" ht="19.5" customHeight="1">
      <c r="A46" s="23" t="str">
        <f>IF(Roster!$A$44&lt;&gt;"",Roster!$A$44,"")</f>
        <v/>
      </c>
      <c r="B46" s="24"/>
      <c r="C46" s="24"/>
      <c r="D46" s="24"/>
      <c r="E46" s="24"/>
      <c r="F46" s="24"/>
      <c r="G46" s="24"/>
      <c r="H46" s="24"/>
      <c r="I46" s="24"/>
      <c r="J46" s="24"/>
      <c r="K46" s="24"/>
      <c r="L46" s="24"/>
      <c r="M46" s="24"/>
      <c r="N46" s="24"/>
      <c r="O46" s="24"/>
      <c r="P46" s="24"/>
      <c r="Q46" s="24"/>
      <c r="R46" s="24"/>
      <c r="S46" s="24"/>
      <c r="T46" s="24"/>
      <c r="U46" s="24"/>
      <c r="V46" s="24"/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</row>
    <row r="47" ht="19.5" customHeight="1">
      <c r="A47" s="23" t="str">
        <f>IF(Roster!$A$45&lt;&gt;"",Roster!$A$45,"")</f>
        <v/>
      </c>
      <c r="B47" s="24"/>
      <c r="C47" s="24"/>
      <c r="D47" s="24"/>
      <c r="E47" s="24"/>
      <c r="F47" s="24"/>
      <c r="G47" s="24"/>
      <c r="H47" s="24"/>
      <c r="I47" s="24"/>
      <c r="J47" s="24"/>
      <c r="K47" s="24"/>
      <c r="L47" s="24"/>
      <c r="M47" s="24"/>
      <c r="N47" s="24"/>
      <c r="O47" s="24"/>
      <c r="P47" s="24"/>
      <c r="Q47" s="24"/>
      <c r="R47" s="24"/>
      <c r="S47" s="24"/>
      <c r="T47" s="24"/>
      <c r="U47" s="24"/>
      <c r="V47" s="24"/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</row>
    <row r="48" ht="19.5" customHeight="1">
      <c r="A48" s="23" t="str">
        <f>IF(Roster!$A$46&lt;&gt;"",Roster!$A$46,"")</f>
        <v/>
      </c>
      <c r="B48" s="24"/>
      <c r="C48" s="24"/>
      <c r="D48" s="24"/>
      <c r="E48" s="24"/>
      <c r="F48" s="24"/>
      <c r="G48" s="24"/>
      <c r="H48" s="24"/>
      <c r="I48" s="24"/>
      <c r="J48" s="24"/>
      <c r="K48" s="24"/>
      <c r="L48" s="24"/>
      <c r="M48" s="24"/>
      <c r="N48" s="24"/>
      <c r="O48" s="24"/>
      <c r="P48" s="24"/>
      <c r="Q48" s="24"/>
      <c r="R48" s="24"/>
      <c r="S48" s="24"/>
      <c r="T48" s="24"/>
      <c r="U48" s="24"/>
      <c r="V48" s="24"/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</row>
    <row r="49" ht="19.5" customHeight="1">
      <c r="A49" s="23" t="str">
        <f>IF(Roster!$A$47&lt;&gt;"",Roster!$A$47,"")</f>
        <v/>
      </c>
      <c r="B49" s="24"/>
      <c r="C49" s="24"/>
      <c r="D49" s="24"/>
      <c r="E49" s="24"/>
      <c r="F49" s="24"/>
      <c r="G49" s="24"/>
      <c r="H49" s="24"/>
      <c r="I49" s="24"/>
      <c r="J49" s="24"/>
      <c r="K49" s="24"/>
      <c r="L49" s="24"/>
      <c r="M49" s="24"/>
      <c r="N49" s="24"/>
      <c r="O49" s="24"/>
      <c r="P49" s="24"/>
      <c r="Q49" s="24"/>
      <c r="R49" s="24"/>
      <c r="S49" s="24"/>
      <c r="T49" s="24"/>
      <c r="U49" s="24"/>
      <c r="V49" s="24"/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</row>
    <row r="50" ht="19.5" customHeight="1">
      <c r="A50" s="23" t="str">
        <f>IF(Roster!$A$48&lt;&gt;"",Roster!$A$48,"")</f>
        <v/>
      </c>
      <c r="B50" s="24"/>
      <c r="C50" s="24"/>
      <c r="D50" s="24"/>
      <c r="E50" s="24"/>
      <c r="F50" s="24"/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24"/>
      <c r="T50" s="24"/>
      <c r="U50" s="24"/>
      <c r="V50" s="24"/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</row>
    <row r="51" ht="19.5" customHeight="1">
      <c r="A51" s="23" t="str">
        <f>IF(Roster!$A$49&lt;&gt;"",Roster!$A$49,"")</f>
        <v/>
      </c>
      <c r="B51" s="24"/>
      <c r="C51" s="24"/>
      <c r="D51" s="24"/>
      <c r="E51" s="24"/>
      <c r="F51" s="24"/>
      <c r="G51" s="24"/>
      <c r="H51" s="24"/>
      <c r="I51" s="24"/>
      <c r="J51" s="24"/>
      <c r="K51" s="24"/>
      <c r="L51" s="24"/>
      <c r="M51" s="24"/>
      <c r="N51" s="24"/>
      <c r="O51" s="24"/>
      <c r="P51" s="24"/>
      <c r="Q51" s="24"/>
      <c r="R51" s="24"/>
      <c r="S51" s="24"/>
      <c r="T51" s="24"/>
      <c r="U51" s="24"/>
      <c r="V51" s="24"/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</row>
    <row r="52" ht="19.5" customHeight="1">
      <c r="A52" s="23" t="str">
        <f>IF(Roster!$A$50&lt;&gt;"",Roster!$A$50,"")</f>
        <v/>
      </c>
      <c r="B52" s="24"/>
      <c r="C52" s="24"/>
      <c r="D52" s="24"/>
      <c r="E52" s="24"/>
      <c r="F52" s="24"/>
      <c r="G52" s="24"/>
      <c r="H52" s="24"/>
      <c r="I52" s="24"/>
      <c r="J52" s="24"/>
      <c r="K52" s="24"/>
      <c r="L52" s="24"/>
      <c r="M52" s="24"/>
      <c r="N52" s="24"/>
      <c r="O52" s="24"/>
      <c r="P52" s="24"/>
      <c r="Q52" s="24"/>
      <c r="R52" s="24"/>
      <c r="S52" s="24"/>
      <c r="T52" s="24"/>
      <c r="U52" s="24"/>
      <c r="V52" s="24"/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</row>
    <row r="53" ht="19.5" customHeight="1">
      <c r="A53" s="23" t="str">
        <f>IF(Roster!$A$51&lt;&gt;"",Roster!$A$51,"")</f>
        <v/>
      </c>
      <c r="B53" s="24"/>
      <c r="C53" s="24"/>
      <c r="D53" s="24"/>
      <c r="E53" s="24"/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24"/>
      <c r="Q53" s="24"/>
      <c r="R53" s="24"/>
      <c r="S53" s="24"/>
      <c r="T53" s="24"/>
      <c r="U53" s="24"/>
      <c r="V53" s="24"/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</row>
    <row r="54" ht="19.5" customHeight="1">
      <c r="A54" s="23" t="str">
        <f>IF(Roster!$A$52&lt;&gt;"",Roster!$A$52,"")</f>
        <v/>
      </c>
      <c r="B54" s="24"/>
      <c r="C54" s="24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24"/>
      <c r="T54" s="24"/>
      <c r="U54" s="24"/>
      <c r="V54" s="24"/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</row>
    <row r="55" ht="19.5" customHeight="1">
      <c r="A55" s="23" t="str">
        <f>IF(Roster!$A$53&lt;&gt;"",Roster!$A$53,"")</f>
        <v/>
      </c>
      <c r="B55" s="24"/>
      <c r="C55" s="24"/>
      <c r="D55" s="24"/>
      <c r="E55" s="24"/>
      <c r="F55" s="24"/>
      <c r="G55" s="24"/>
      <c r="H55" s="24"/>
      <c r="I55" s="24"/>
      <c r="J55" s="24"/>
      <c r="K55" s="24"/>
      <c r="L55" s="24"/>
      <c r="M55" s="24"/>
      <c r="N55" s="24"/>
      <c r="O55" s="24"/>
      <c r="P55" s="24"/>
      <c r="Q55" s="24"/>
      <c r="R55" s="24"/>
      <c r="S55" s="24"/>
      <c r="T55" s="24"/>
      <c r="U55" s="24"/>
      <c r="V55" s="24"/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</row>
    <row r="56" ht="19.5" customHeight="1">
      <c r="A56" s="23" t="str">
        <f>IF(Roster!$A$54&lt;&gt;"",Roster!$A$54,"")</f>
        <v/>
      </c>
      <c r="B56" s="24"/>
      <c r="C56" s="24"/>
      <c r="D56" s="24"/>
      <c r="E56" s="24"/>
      <c r="F56" s="24"/>
      <c r="G56" s="24"/>
      <c r="H56" s="24"/>
      <c r="I56" s="24"/>
      <c r="J56" s="24"/>
      <c r="K56" s="24"/>
      <c r="L56" s="24"/>
      <c r="M56" s="24"/>
      <c r="N56" s="24"/>
      <c r="O56" s="24"/>
      <c r="P56" s="24"/>
      <c r="Q56" s="24"/>
      <c r="R56" s="24"/>
      <c r="S56" s="24"/>
      <c r="T56" s="24"/>
      <c r="U56" s="24"/>
      <c r="V56" s="24"/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</row>
    <row r="57" ht="19.5" customHeight="1">
      <c r="A57" s="23" t="str">
        <f>IF(Roster!$A$55&lt;&gt;"",Roster!$A$55,"")</f>
        <v/>
      </c>
      <c r="B57" s="24"/>
      <c r="C57" s="24"/>
      <c r="D57" s="24"/>
      <c r="E57" s="24"/>
      <c r="F57" s="24"/>
      <c r="G57" s="24"/>
      <c r="H57" s="24"/>
      <c r="I57" s="24"/>
      <c r="J57" s="24"/>
      <c r="K57" s="24"/>
      <c r="L57" s="24"/>
      <c r="M57" s="24"/>
      <c r="N57" s="24"/>
      <c r="O57" s="24"/>
      <c r="P57" s="24"/>
      <c r="Q57" s="24"/>
      <c r="R57" s="24"/>
      <c r="S57" s="24"/>
      <c r="T57" s="24"/>
      <c r="U57" s="24"/>
      <c r="V57" s="24"/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</row>
    <row r="58" ht="19.5" customHeight="1">
      <c r="A58" s="23" t="str">
        <f>IF(Roster!$A$56&lt;&gt;"",Roster!$A$56,"")</f>
        <v/>
      </c>
      <c r="B58" s="24"/>
      <c r="C58" s="24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24"/>
      <c r="T58" s="24"/>
      <c r="U58" s="24"/>
      <c r="V58" s="24"/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</row>
    <row r="59" ht="19.5" customHeight="1">
      <c r="A59" s="23" t="str">
        <f>IF(Roster!$A$57&lt;&gt;"",Roster!$A$57,"")</f>
        <v/>
      </c>
      <c r="B59" s="24"/>
      <c r="C59" s="24"/>
      <c r="D59" s="24"/>
      <c r="E59" s="24"/>
      <c r="F59" s="24"/>
      <c r="G59" s="24"/>
      <c r="H59" s="24"/>
      <c r="I59" s="24"/>
      <c r="J59" s="24"/>
      <c r="K59" s="24"/>
      <c r="L59" s="24"/>
      <c r="M59" s="24"/>
      <c r="N59" s="24"/>
      <c r="O59" s="24"/>
      <c r="P59" s="24"/>
      <c r="Q59" s="24"/>
      <c r="R59" s="24"/>
      <c r="S59" s="24"/>
      <c r="T59" s="24"/>
      <c r="U59" s="24"/>
      <c r="V59" s="24"/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</row>
    <row r="60" ht="19.5" customHeight="1">
      <c r="A60" s="23" t="str">
        <f>IF(Roster!$A$58&lt;&gt;"",Roster!$A$58,"")</f>
        <v/>
      </c>
      <c r="B60" s="24"/>
      <c r="C60" s="24"/>
      <c r="D60" s="24"/>
      <c r="E60" s="24"/>
      <c r="F60" s="24"/>
      <c r="G60" s="24"/>
      <c r="H60" s="24"/>
      <c r="I60" s="24"/>
      <c r="J60" s="24"/>
      <c r="K60" s="24"/>
      <c r="L60" s="24"/>
      <c r="M60" s="24"/>
      <c r="N60" s="24"/>
      <c r="O60" s="24"/>
      <c r="P60" s="24"/>
      <c r="Q60" s="24"/>
      <c r="R60" s="24"/>
      <c r="S60" s="24"/>
      <c r="T60" s="24"/>
      <c r="U60" s="24"/>
      <c r="V60" s="24"/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</row>
    <row r="61" ht="19.5" customHeight="1">
      <c r="A61" s="23" t="str">
        <f>IF(Roster!$A$59&lt;&gt;"",Roster!$A$59,"")</f>
        <v/>
      </c>
      <c r="B61" s="24"/>
      <c r="C61" s="24"/>
      <c r="D61" s="24"/>
      <c r="E61" s="24"/>
      <c r="F61" s="24"/>
      <c r="G61" s="24"/>
      <c r="H61" s="24"/>
      <c r="I61" s="24"/>
      <c r="J61" s="24"/>
      <c r="K61" s="24"/>
      <c r="L61" s="24"/>
      <c r="M61" s="24"/>
      <c r="N61" s="24"/>
      <c r="O61" s="24"/>
      <c r="P61" s="24"/>
      <c r="Q61" s="24"/>
      <c r="R61" s="24"/>
      <c r="S61" s="24"/>
      <c r="T61" s="24"/>
      <c r="U61" s="24"/>
      <c r="V61" s="24"/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</row>
    <row r="62" ht="19.5" customHeight="1">
      <c r="A62" s="23" t="str">
        <f>IF(Roster!$A$60&lt;&gt;"",Roster!$A$60,"")</f>
        <v/>
      </c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24"/>
      <c r="T62" s="24"/>
      <c r="U62" s="24"/>
      <c r="V62" s="24"/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</row>
    <row r="63" ht="19.5" customHeight="1">
      <c r="A63" s="23" t="str">
        <f>IF(Roster!$A$61&lt;&gt;"",Roster!$A$61,"")</f>
        <v/>
      </c>
      <c r="B63" s="24"/>
      <c r="C63" s="24"/>
      <c r="D63" s="24"/>
      <c r="E63" s="24"/>
      <c r="F63" s="24"/>
      <c r="G63" s="24"/>
      <c r="H63" s="24"/>
      <c r="I63" s="24"/>
      <c r="J63" s="24"/>
      <c r="K63" s="24"/>
      <c r="L63" s="24"/>
      <c r="M63" s="24"/>
      <c r="N63" s="24"/>
      <c r="O63" s="24"/>
      <c r="P63" s="24"/>
      <c r="Q63" s="24"/>
      <c r="R63" s="24"/>
      <c r="S63" s="24"/>
      <c r="T63" s="24"/>
      <c r="U63" s="24"/>
      <c r="V63" s="24"/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</row>
    <row r="64" ht="19.5" customHeight="1">
      <c r="A64" s="23" t="str">
        <f>IF(Roster!$A$62&lt;&gt;"",Roster!$A$62,"")</f>
        <v/>
      </c>
      <c r="B64" s="24"/>
      <c r="C64" s="24"/>
      <c r="D64" s="24"/>
      <c r="E64" s="24"/>
      <c r="F64" s="24"/>
      <c r="G64" s="24"/>
      <c r="H64" s="24"/>
      <c r="I64" s="24"/>
      <c r="J64" s="24"/>
      <c r="K64" s="24"/>
      <c r="L64" s="24"/>
      <c r="M64" s="24"/>
      <c r="N64" s="24"/>
      <c r="O64" s="24"/>
      <c r="P64" s="24"/>
      <c r="Q64" s="24"/>
      <c r="R64" s="24"/>
      <c r="S64" s="24"/>
      <c r="T64" s="24"/>
      <c r="U64" s="24"/>
      <c r="V64" s="24"/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</row>
    <row r="65" ht="19.5" customHeight="1">
      <c r="A65" s="23" t="str">
        <f>IF(Roster!$A$63&lt;&gt;"",Roster!$A$63,"")</f>
        <v/>
      </c>
      <c r="B65" s="24"/>
      <c r="C65" s="24"/>
      <c r="D65" s="24"/>
      <c r="E65" s="24"/>
      <c r="F65" s="24"/>
      <c r="G65" s="24"/>
      <c r="H65" s="24"/>
      <c r="I65" s="24"/>
      <c r="J65" s="24"/>
      <c r="K65" s="24"/>
      <c r="L65" s="24"/>
      <c r="M65" s="24"/>
      <c r="N65" s="24"/>
      <c r="O65" s="24"/>
      <c r="P65" s="24"/>
      <c r="Q65" s="24"/>
      <c r="R65" s="24"/>
      <c r="S65" s="24"/>
      <c r="T65" s="24"/>
      <c r="U65" s="24"/>
      <c r="V65" s="24"/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</row>
    <row r="66" ht="19.5" customHeight="1">
      <c r="A66" s="23" t="str">
        <f>IF(Roster!$A$64&lt;&gt;"",Roster!$A$64,"")</f>
        <v/>
      </c>
      <c r="B66" s="24"/>
      <c r="C66" s="24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24"/>
      <c r="T66" s="24"/>
      <c r="U66" s="24"/>
      <c r="V66" s="24"/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</row>
    <row r="67" ht="19.5" customHeight="1">
      <c r="A67" s="23" t="str">
        <f>IF(Roster!$A$65&lt;&gt;"",Roster!$A$65,"")</f>
        <v/>
      </c>
      <c r="B67" s="24"/>
      <c r="C67" s="24"/>
      <c r="D67" s="24"/>
      <c r="E67" s="24"/>
      <c r="F67" s="24"/>
      <c r="G67" s="24"/>
      <c r="H67" s="24"/>
      <c r="I67" s="24"/>
      <c r="J67" s="24"/>
      <c r="K67" s="24"/>
      <c r="L67" s="24"/>
      <c r="M67" s="24"/>
      <c r="N67" s="24"/>
      <c r="O67" s="24"/>
      <c r="P67" s="24"/>
      <c r="Q67" s="24"/>
      <c r="R67" s="24"/>
      <c r="S67" s="24"/>
      <c r="T67" s="24"/>
      <c r="U67" s="24"/>
      <c r="V67" s="24"/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</row>
    <row r="68" ht="19.5" customHeight="1">
      <c r="A68" s="23" t="str">
        <f>IF(Roster!$A$66&lt;&gt;"",Roster!$A$66,"")</f>
        <v/>
      </c>
      <c r="B68" s="24"/>
      <c r="C68" s="24"/>
      <c r="D68" s="24"/>
      <c r="E68" s="24"/>
      <c r="F68" s="24"/>
      <c r="G68" s="24"/>
      <c r="H68" s="24"/>
      <c r="I68" s="24"/>
      <c r="J68" s="24"/>
      <c r="K68" s="24"/>
      <c r="L68" s="24"/>
      <c r="M68" s="24"/>
      <c r="N68" s="24"/>
      <c r="O68" s="24"/>
      <c r="P68" s="24"/>
      <c r="Q68" s="24"/>
      <c r="R68" s="24"/>
      <c r="S68" s="24"/>
      <c r="T68" s="24"/>
      <c r="U68" s="24"/>
      <c r="V68" s="24"/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</row>
    <row r="69" ht="19.5" customHeight="1">
      <c r="A69" s="23" t="str">
        <f>IF(Roster!$A$67&lt;&gt;"",Roster!$A$67,"")</f>
        <v/>
      </c>
      <c r="B69" s="24"/>
      <c r="C69" s="24"/>
      <c r="D69" s="24"/>
      <c r="E69" s="24"/>
      <c r="F69" s="24"/>
      <c r="G69" s="24"/>
      <c r="H69" s="24"/>
      <c r="I69" s="24"/>
      <c r="J69" s="24"/>
      <c r="K69" s="24"/>
      <c r="L69" s="24"/>
      <c r="M69" s="24"/>
      <c r="N69" s="24"/>
      <c r="O69" s="24"/>
      <c r="P69" s="24"/>
      <c r="Q69" s="24"/>
      <c r="R69" s="24"/>
      <c r="S69" s="24"/>
      <c r="T69" s="24"/>
      <c r="U69" s="24"/>
      <c r="V69" s="24"/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</row>
    <row r="70" ht="19.5" customHeight="1">
      <c r="A70" s="23" t="str">
        <f>IF(Roster!$A$68&lt;&gt;"",Roster!$A$68,"")</f>
        <v/>
      </c>
      <c r="B70" s="24"/>
      <c r="C70" s="24"/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24"/>
      <c r="T70" s="24"/>
      <c r="U70" s="24"/>
      <c r="V70" s="24"/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</row>
    <row r="71" ht="19.5" customHeight="1">
      <c r="A71" s="23" t="str">
        <f>IF(Roster!$A$69&lt;&gt;"",Roster!$A$69,"")</f>
        <v/>
      </c>
      <c r="B71" s="24"/>
      <c r="C71" s="24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</row>
    <row r="72" ht="19.5" customHeight="1">
      <c r="A72" s="23" t="str">
        <f>IF(Roster!$A$70&lt;&gt;"",Roster!$A$70,"")</f>
        <v/>
      </c>
      <c r="B72" s="24"/>
      <c r="C72" s="24"/>
      <c r="D72" s="24"/>
      <c r="E72" s="24"/>
      <c r="F72" s="24"/>
      <c r="G72" s="24"/>
      <c r="H72" s="24"/>
      <c r="I72" s="24"/>
      <c r="J72" s="24"/>
      <c r="K72" s="24"/>
      <c r="L72" s="24"/>
      <c r="M72" s="24"/>
      <c r="N72" s="24"/>
      <c r="O72" s="24"/>
      <c r="P72" s="24"/>
      <c r="Q72" s="24"/>
      <c r="R72" s="24"/>
      <c r="S72" s="24"/>
      <c r="T72" s="24"/>
      <c r="U72" s="24"/>
      <c r="V72" s="24"/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</row>
    <row r="73" ht="19.5" customHeight="1">
      <c r="A73" s="23" t="str">
        <f>IF(Roster!$A$71&lt;&gt;"",Roster!$A$71,"")</f>
        <v/>
      </c>
      <c r="B73" s="24"/>
      <c r="C73" s="24"/>
      <c r="D73" s="24"/>
      <c r="E73" s="24"/>
      <c r="F73" s="24"/>
      <c r="G73" s="24"/>
      <c r="H73" s="24"/>
      <c r="I73" s="24"/>
      <c r="J73" s="24"/>
      <c r="K73" s="24"/>
      <c r="L73" s="24"/>
      <c r="M73" s="24"/>
      <c r="N73" s="24"/>
      <c r="O73" s="24"/>
      <c r="P73" s="24"/>
      <c r="Q73" s="24"/>
      <c r="R73" s="24"/>
      <c r="S73" s="24"/>
      <c r="T73" s="24"/>
      <c r="U73" s="24"/>
      <c r="V73" s="24"/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</row>
    <row r="74" ht="19.5" customHeight="1">
      <c r="A74" s="23" t="str">
        <f>IF(Roster!$A$72&lt;&gt;"",Roster!$A$72,"")</f>
        <v/>
      </c>
      <c r="B74" s="24"/>
      <c r="C74" s="24"/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24"/>
      <c r="T74" s="24"/>
      <c r="U74" s="24"/>
      <c r="V74" s="24"/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</row>
    <row r="75" ht="19.5" customHeight="1">
      <c r="A75" s="23" t="str">
        <f>IF(Roster!$A$73&lt;&gt;"",Roster!$A$73,"")</f>
        <v/>
      </c>
      <c r="B75" s="24"/>
      <c r="C75" s="24"/>
      <c r="D75" s="24"/>
      <c r="E75" s="24"/>
      <c r="F75" s="24"/>
      <c r="G75" s="24"/>
      <c r="H75" s="24"/>
      <c r="I75" s="24"/>
      <c r="J75" s="24"/>
      <c r="K75" s="24"/>
      <c r="L75" s="24"/>
      <c r="M75" s="24"/>
      <c r="N75" s="24"/>
      <c r="O75" s="24"/>
      <c r="P75" s="24"/>
      <c r="Q75" s="24"/>
      <c r="R75" s="24"/>
      <c r="S75" s="24"/>
      <c r="T75" s="24"/>
      <c r="U75" s="24"/>
      <c r="V75" s="24"/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</row>
    <row r="76" ht="19.5" customHeight="1">
      <c r="A76" s="23" t="str">
        <f>IF(Roster!$A$74&lt;&gt;"",Roster!$A$74,"")</f>
        <v/>
      </c>
      <c r="B76" s="24"/>
      <c r="C76" s="24"/>
      <c r="D76" s="24"/>
      <c r="E76" s="24"/>
      <c r="F76" s="24"/>
      <c r="G76" s="24"/>
      <c r="H76" s="24"/>
      <c r="I76" s="24"/>
      <c r="J76" s="24"/>
      <c r="K76" s="24"/>
      <c r="L76" s="24"/>
      <c r="M76" s="24"/>
      <c r="N76" s="24"/>
      <c r="O76" s="24"/>
      <c r="P76" s="24"/>
      <c r="Q76" s="24"/>
      <c r="R76" s="24"/>
      <c r="S76" s="24"/>
      <c r="T76" s="24"/>
      <c r="U76" s="24"/>
      <c r="V76" s="24"/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</row>
    <row r="77" ht="19.5" customHeight="1">
      <c r="A77" s="23" t="str">
        <f>IF(Roster!$A$75&lt;&gt;"",Roster!$A$75,"")</f>
        <v/>
      </c>
      <c r="B77" s="24"/>
      <c r="C77" s="24"/>
      <c r="D77" s="24"/>
      <c r="E77" s="24"/>
      <c r="F77" s="24"/>
      <c r="G77" s="24"/>
      <c r="H77" s="24"/>
      <c r="I77" s="24"/>
      <c r="J77" s="24"/>
      <c r="K77" s="24"/>
      <c r="L77" s="24"/>
      <c r="M77" s="24"/>
      <c r="N77" s="24"/>
      <c r="O77" s="24"/>
      <c r="P77" s="24"/>
      <c r="Q77" s="24"/>
      <c r="R77" s="24"/>
      <c r="S77" s="24"/>
      <c r="T77" s="24"/>
      <c r="U77" s="24"/>
      <c r="V77" s="24"/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</row>
    <row r="78" ht="19.5" customHeight="1">
      <c r="A78" s="23" t="str">
        <f>IF(Roster!$A$76&lt;&gt;"",Roster!$A$76,"")</f>
        <v/>
      </c>
      <c r="B78" s="24"/>
      <c r="C78" s="24"/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/>
      <c r="Q78" s="24"/>
      <c r="R78" s="24"/>
      <c r="S78" s="24"/>
      <c r="T78" s="24"/>
      <c r="U78" s="24"/>
      <c r="V78" s="24"/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</row>
    <row r="79" ht="19.5" customHeight="1">
      <c r="A79" s="23" t="str">
        <f>IF(Roster!$A$77&lt;&gt;"",Roster!$A$77,"")</f>
        <v/>
      </c>
      <c r="B79" s="24"/>
      <c r="C79" s="24"/>
      <c r="D79" s="24"/>
      <c r="E79" s="24"/>
      <c r="F79" s="24"/>
      <c r="G79" s="24"/>
      <c r="H79" s="24"/>
      <c r="I79" s="24"/>
      <c r="J79" s="24"/>
      <c r="K79" s="24"/>
      <c r="L79" s="24"/>
      <c r="M79" s="24"/>
      <c r="N79" s="24"/>
      <c r="O79" s="24"/>
      <c r="P79" s="24"/>
      <c r="Q79" s="24"/>
      <c r="R79" s="24"/>
      <c r="S79" s="24"/>
      <c r="T79" s="24"/>
      <c r="U79" s="24"/>
      <c r="V79" s="24"/>
      <c r="W79" s="24"/>
      <c r="X79" s="24"/>
      <c r="Y79" s="24"/>
      <c r="Z79" s="24"/>
      <c r="AA79" s="24"/>
      <c r="AB79" s="24"/>
      <c r="AC79" s="24"/>
      <c r="AD79" s="24"/>
      <c r="AE79" s="24"/>
      <c r="AF79" s="24"/>
      <c r="AG79" s="24"/>
      <c r="AH79" s="24"/>
      <c r="AI79" s="24"/>
      <c r="AJ79" s="24"/>
      <c r="AK79" s="24"/>
      <c r="AL79" s="24"/>
      <c r="AM79" s="24"/>
      <c r="AN79" s="24"/>
      <c r="AO79" s="24"/>
      <c r="AP79" s="24"/>
      <c r="AQ79" s="24"/>
      <c r="AR79" s="24"/>
      <c r="AS79" s="24"/>
      <c r="AT79" s="24"/>
      <c r="AU79" s="24"/>
      <c r="AV79" s="24"/>
      <c r="AW79" s="24"/>
      <c r="AX79" s="24"/>
      <c r="AY79" s="24"/>
      <c r="AZ79" s="24"/>
    </row>
    <row r="80" ht="19.5" customHeight="1">
      <c r="A80" s="23" t="str">
        <f>IF(Roster!$A$78&lt;&gt;"",Roster!$A$78,"")</f>
        <v/>
      </c>
      <c r="B80" s="24"/>
      <c r="C80" s="24"/>
      <c r="D80" s="24"/>
      <c r="E80" s="24"/>
      <c r="F80" s="24"/>
      <c r="G80" s="24"/>
      <c r="H80" s="24"/>
      <c r="I80" s="24"/>
      <c r="J80" s="24"/>
      <c r="K80" s="24"/>
      <c r="L80" s="24"/>
      <c r="M80" s="24"/>
      <c r="N80" s="24"/>
      <c r="O80" s="24"/>
      <c r="P80" s="24"/>
      <c r="Q80" s="24"/>
      <c r="R80" s="24"/>
      <c r="S80" s="24"/>
      <c r="T80" s="24"/>
      <c r="U80" s="24"/>
      <c r="V80" s="24"/>
      <c r="W80" s="24"/>
      <c r="X80" s="24"/>
      <c r="Y80" s="24"/>
      <c r="Z80" s="24"/>
      <c r="AA80" s="24"/>
      <c r="AB80" s="24"/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</row>
    <row r="81" ht="19.5" customHeight="1">
      <c r="A81" s="23" t="str">
        <f>IF(Roster!$A$79&lt;&gt;"",Roster!$A$79,"")</f>
        <v/>
      </c>
      <c r="B81" s="24"/>
      <c r="C81" s="24"/>
      <c r="D81" s="24"/>
      <c r="E81" s="24"/>
      <c r="F81" s="24"/>
      <c r="G81" s="24"/>
      <c r="H81" s="24"/>
      <c r="I81" s="24"/>
      <c r="J81" s="24"/>
      <c r="K81" s="24"/>
      <c r="L81" s="24"/>
      <c r="M81" s="24"/>
      <c r="N81" s="24"/>
      <c r="O81" s="24"/>
      <c r="P81" s="24"/>
      <c r="Q81" s="24"/>
      <c r="R81" s="24"/>
      <c r="S81" s="24"/>
      <c r="T81" s="24"/>
      <c r="U81" s="24"/>
      <c r="V81" s="24"/>
      <c r="W81" s="24"/>
      <c r="X81" s="24"/>
      <c r="Y81" s="24"/>
      <c r="Z81" s="24"/>
      <c r="AA81" s="24"/>
      <c r="AB81" s="24"/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</row>
    <row r="82" ht="19.5" customHeight="1">
      <c r="A82" s="23" t="str">
        <f>IF(Roster!$A$80&lt;&gt;"",Roster!$A$80,"")</f>
        <v/>
      </c>
      <c r="B82" s="24"/>
      <c r="C82" s="24"/>
      <c r="D82" s="24"/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24"/>
      <c r="T82" s="24"/>
      <c r="U82" s="24"/>
      <c r="V82" s="24"/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</row>
    <row r="83" ht="19.5" customHeight="1">
      <c r="A83" s="23" t="str">
        <f>IF(Roster!$A$81&lt;&gt;"",Roster!$A$81,"")</f>
        <v/>
      </c>
      <c r="B83" s="24"/>
      <c r="C83" s="24"/>
      <c r="D83" s="24"/>
      <c r="E83" s="24"/>
      <c r="F83" s="24"/>
      <c r="G83" s="24"/>
      <c r="H83" s="24"/>
      <c r="I83" s="24"/>
      <c r="J83" s="24"/>
      <c r="K83" s="24"/>
      <c r="L83" s="24"/>
      <c r="M83" s="24"/>
      <c r="N83" s="24"/>
      <c r="O83" s="24"/>
      <c r="P83" s="24"/>
      <c r="Q83" s="24"/>
      <c r="R83" s="24"/>
      <c r="S83" s="24"/>
      <c r="T83" s="24"/>
      <c r="U83" s="24"/>
      <c r="V83" s="24"/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</row>
    <row r="84" ht="19.5" customHeight="1">
      <c r="A84" s="23" t="str">
        <f>IF(Roster!$A$82&lt;&gt;"",Roster!$A$82,"")</f>
        <v/>
      </c>
      <c r="B84" s="24"/>
      <c r="C84" s="24"/>
      <c r="D84" s="24"/>
      <c r="E84" s="24"/>
      <c r="F84" s="24"/>
      <c r="G84" s="24"/>
      <c r="H84" s="24"/>
      <c r="I84" s="24"/>
      <c r="J84" s="24"/>
      <c r="K84" s="24"/>
      <c r="L84" s="24"/>
      <c r="M84" s="24"/>
      <c r="N84" s="24"/>
      <c r="O84" s="24"/>
      <c r="P84" s="24"/>
      <c r="Q84" s="24"/>
      <c r="R84" s="24"/>
      <c r="S84" s="24"/>
      <c r="T84" s="24"/>
      <c r="U84" s="24"/>
      <c r="V84" s="24"/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</row>
    <row r="85" ht="19.5" customHeight="1">
      <c r="A85" s="23" t="str">
        <f>IF(Roster!$A$83&lt;&gt;"",Roster!$A$83,"")</f>
        <v/>
      </c>
      <c r="B85" s="24"/>
      <c r="C85" s="24"/>
      <c r="D85" s="24"/>
      <c r="E85" s="24"/>
      <c r="F85" s="24"/>
      <c r="G85" s="24"/>
      <c r="H85" s="24"/>
      <c r="I85" s="24"/>
      <c r="J85" s="24"/>
      <c r="K85" s="24"/>
      <c r="L85" s="24"/>
      <c r="M85" s="24"/>
      <c r="N85" s="24"/>
      <c r="O85" s="24"/>
      <c r="P85" s="24"/>
      <c r="Q85" s="24"/>
      <c r="R85" s="24"/>
      <c r="S85" s="24"/>
      <c r="T85" s="24"/>
      <c r="U85" s="24"/>
      <c r="V85" s="24"/>
      <c r="W85" s="24"/>
      <c r="X85" s="24"/>
      <c r="Y85" s="24"/>
      <c r="Z85" s="24"/>
      <c r="AA85" s="24"/>
      <c r="AB85" s="24"/>
      <c r="AC85" s="24"/>
      <c r="AD85" s="24"/>
      <c r="AE85" s="24"/>
      <c r="AF85" s="24"/>
      <c r="AG85" s="24"/>
      <c r="AH85" s="24"/>
      <c r="AI85" s="24"/>
      <c r="AJ85" s="24"/>
      <c r="AK85" s="24"/>
      <c r="AL85" s="24"/>
      <c r="AM85" s="24"/>
      <c r="AN85" s="24"/>
      <c r="AO85" s="24"/>
      <c r="AP85" s="24"/>
      <c r="AQ85" s="24"/>
      <c r="AR85" s="24"/>
      <c r="AS85" s="24"/>
      <c r="AT85" s="24"/>
      <c r="AU85" s="24"/>
      <c r="AV85" s="24"/>
      <c r="AW85" s="24"/>
      <c r="AX85" s="24"/>
      <c r="AY85" s="24"/>
      <c r="AZ85" s="24"/>
    </row>
    <row r="86" ht="19.5" customHeight="1">
      <c r="A86" s="23" t="str">
        <f>IF(Roster!$A$84&lt;&gt;"",Roster!$A$84,"")</f>
        <v/>
      </c>
      <c r="B86" s="24"/>
      <c r="C86" s="24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24"/>
      <c r="T86" s="24"/>
      <c r="U86" s="24"/>
      <c r="V86" s="24"/>
      <c r="W86" s="24"/>
      <c r="X86" s="24"/>
      <c r="Y86" s="24"/>
      <c r="Z86" s="24"/>
      <c r="AA86" s="24"/>
      <c r="AB86" s="24"/>
      <c r="AC86" s="24"/>
      <c r="AD86" s="24"/>
      <c r="AE86" s="24"/>
      <c r="AF86" s="24"/>
      <c r="AG86" s="24"/>
      <c r="AH86" s="24"/>
      <c r="AI86" s="24"/>
      <c r="AJ86" s="24"/>
      <c r="AK86" s="24"/>
      <c r="AL86" s="24"/>
      <c r="AM86" s="24"/>
      <c r="AN86" s="24"/>
      <c r="AO86" s="24"/>
      <c r="AP86" s="24"/>
      <c r="AQ86" s="24"/>
      <c r="AR86" s="24"/>
      <c r="AS86" s="24"/>
      <c r="AT86" s="24"/>
      <c r="AU86" s="24"/>
      <c r="AV86" s="24"/>
      <c r="AW86" s="24"/>
      <c r="AX86" s="24"/>
      <c r="AY86" s="24"/>
      <c r="AZ86" s="24"/>
    </row>
    <row r="87" ht="19.5" customHeight="1">
      <c r="A87" s="23" t="str">
        <f>IF(Roster!$A$85&lt;&gt;"",Roster!$A$85,"")</f>
        <v/>
      </c>
      <c r="B87" s="24"/>
      <c r="C87" s="24"/>
      <c r="D87" s="24"/>
      <c r="E87" s="24"/>
      <c r="F87" s="24"/>
      <c r="G87" s="24"/>
      <c r="H87" s="24"/>
      <c r="I87" s="24"/>
      <c r="J87" s="24"/>
      <c r="K87" s="24"/>
      <c r="L87" s="24"/>
      <c r="M87" s="24"/>
      <c r="N87" s="24"/>
      <c r="O87" s="24"/>
      <c r="P87" s="24"/>
      <c r="Q87" s="24"/>
      <c r="R87" s="24"/>
      <c r="S87" s="24"/>
      <c r="T87" s="24"/>
      <c r="U87" s="24"/>
      <c r="V87" s="24"/>
      <c r="W87" s="24"/>
      <c r="X87" s="24"/>
      <c r="Y87" s="24"/>
      <c r="Z87" s="24"/>
      <c r="AA87" s="24"/>
      <c r="AB87" s="24"/>
      <c r="AC87" s="24"/>
      <c r="AD87" s="24"/>
      <c r="AE87" s="24"/>
      <c r="AF87" s="24"/>
      <c r="AG87" s="24"/>
      <c r="AH87" s="24"/>
      <c r="AI87" s="24"/>
      <c r="AJ87" s="24"/>
      <c r="AK87" s="24"/>
      <c r="AL87" s="24"/>
      <c r="AM87" s="24"/>
      <c r="AN87" s="24"/>
      <c r="AO87" s="24"/>
      <c r="AP87" s="24"/>
      <c r="AQ87" s="24"/>
      <c r="AR87" s="24"/>
      <c r="AS87" s="24"/>
      <c r="AT87" s="24"/>
      <c r="AU87" s="24"/>
      <c r="AV87" s="24"/>
      <c r="AW87" s="24"/>
      <c r="AX87" s="24"/>
      <c r="AY87" s="24"/>
      <c r="AZ87" s="24"/>
    </row>
    <row r="88" ht="19.5" customHeight="1">
      <c r="A88" s="23" t="str">
        <f>IF(Roster!$A$86&lt;&gt;"",Roster!$A$86,"")</f>
        <v/>
      </c>
      <c r="B88" s="24"/>
      <c r="C88" s="24"/>
      <c r="D88" s="24"/>
      <c r="E88" s="24"/>
      <c r="F88" s="24"/>
      <c r="G88" s="24"/>
      <c r="H88" s="24"/>
      <c r="I88" s="24"/>
      <c r="J88" s="24"/>
      <c r="K88" s="24"/>
      <c r="L88" s="24"/>
      <c r="M88" s="24"/>
      <c r="N88" s="24"/>
      <c r="O88" s="24"/>
      <c r="P88" s="24"/>
      <c r="Q88" s="24"/>
      <c r="R88" s="24"/>
      <c r="S88" s="24"/>
      <c r="T88" s="24"/>
      <c r="U88" s="24"/>
      <c r="V88" s="24"/>
      <c r="W88" s="24"/>
      <c r="X88" s="24"/>
      <c r="Y88" s="24"/>
      <c r="Z88" s="24"/>
      <c r="AA88" s="24"/>
      <c r="AB88" s="24"/>
      <c r="AC88" s="24"/>
      <c r="AD88" s="24"/>
      <c r="AE88" s="24"/>
      <c r="AF88" s="24"/>
      <c r="AG88" s="24"/>
      <c r="AH88" s="24"/>
      <c r="AI88" s="24"/>
      <c r="AJ88" s="24"/>
      <c r="AK88" s="24"/>
      <c r="AL88" s="24"/>
      <c r="AM88" s="24"/>
      <c r="AN88" s="24"/>
      <c r="AO88" s="24"/>
      <c r="AP88" s="24"/>
      <c r="AQ88" s="24"/>
      <c r="AR88" s="24"/>
      <c r="AS88" s="24"/>
      <c r="AT88" s="24"/>
      <c r="AU88" s="24"/>
      <c r="AV88" s="24"/>
      <c r="AW88" s="24"/>
      <c r="AX88" s="24"/>
      <c r="AY88" s="24"/>
      <c r="AZ88" s="24"/>
    </row>
    <row r="89" ht="19.5" customHeight="1">
      <c r="A89" s="23" t="str">
        <f>IF(Roster!$A$87&lt;&gt;"",Roster!$A$87,"")</f>
        <v/>
      </c>
      <c r="B89" s="24"/>
      <c r="C89" s="24"/>
      <c r="D89" s="24"/>
      <c r="E89" s="24"/>
      <c r="F89" s="24"/>
      <c r="G89" s="24"/>
      <c r="H89" s="24"/>
      <c r="I89" s="24"/>
      <c r="J89" s="24"/>
      <c r="K89" s="24"/>
      <c r="L89" s="24"/>
      <c r="M89" s="24"/>
      <c r="N89" s="24"/>
      <c r="O89" s="24"/>
      <c r="P89" s="24"/>
      <c r="Q89" s="24"/>
      <c r="R89" s="24"/>
      <c r="S89" s="24"/>
      <c r="T89" s="24"/>
      <c r="U89" s="24"/>
      <c r="V89" s="24"/>
      <c r="W89" s="24"/>
      <c r="X89" s="24"/>
      <c r="Y89" s="24"/>
      <c r="Z89" s="24"/>
      <c r="AA89" s="24"/>
      <c r="AB89" s="24"/>
      <c r="AC89" s="24"/>
      <c r="AD89" s="24"/>
      <c r="AE89" s="24"/>
      <c r="AF89" s="24"/>
      <c r="AG89" s="24"/>
      <c r="AH89" s="24"/>
      <c r="AI89" s="24"/>
      <c r="AJ89" s="24"/>
      <c r="AK89" s="24"/>
      <c r="AL89" s="24"/>
      <c r="AM89" s="24"/>
      <c r="AN89" s="24"/>
      <c r="AO89" s="24"/>
      <c r="AP89" s="24"/>
      <c r="AQ89" s="24"/>
      <c r="AR89" s="24"/>
      <c r="AS89" s="24"/>
      <c r="AT89" s="24"/>
      <c r="AU89" s="24"/>
      <c r="AV89" s="24"/>
      <c r="AW89" s="24"/>
      <c r="AX89" s="24"/>
      <c r="AY89" s="24"/>
      <c r="AZ89" s="24"/>
    </row>
    <row r="90" ht="19.5" customHeight="1">
      <c r="A90" s="23" t="str">
        <f>IF(Roster!$A$88&lt;&gt;"",Roster!$A$88,"")</f>
        <v/>
      </c>
      <c r="B90" s="24"/>
      <c r="C90" s="24"/>
      <c r="D90" s="24"/>
      <c r="E90" s="24"/>
      <c r="F90" s="24"/>
      <c r="G90" s="24"/>
      <c r="H90" s="24"/>
      <c r="I90" s="24"/>
      <c r="J90" s="24"/>
      <c r="K90" s="24"/>
      <c r="L90" s="24"/>
      <c r="M90" s="24"/>
      <c r="N90" s="24"/>
      <c r="O90" s="24"/>
      <c r="P90" s="24"/>
      <c r="Q90" s="24"/>
      <c r="R90" s="24"/>
      <c r="S90" s="24"/>
      <c r="T90" s="24"/>
      <c r="U90" s="24"/>
      <c r="V90" s="24"/>
      <c r="W90" s="24"/>
      <c r="X90" s="24"/>
      <c r="Y90" s="24"/>
      <c r="Z90" s="24"/>
      <c r="AA90" s="24"/>
      <c r="AB90" s="24"/>
      <c r="AC90" s="24"/>
      <c r="AD90" s="24"/>
      <c r="AE90" s="24"/>
      <c r="AF90" s="24"/>
      <c r="AG90" s="24"/>
      <c r="AH90" s="24"/>
      <c r="AI90" s="24"/>
      <c r="AJ90" s="24"/>
      <c r="AK90" s="24"/>
      <c r="AL90" s="24"/>
      <c r="AM90" s="24"/>
      <c r="AN90" s="24"/>
      <c r="AO90" s="24"/>
      <c r="AP90" s="24"/>
      <c r="AQ90" s="24"/>
      <c r="AR90" s="24"/>
      <c r="AS90" s="24"/>
      <c r="AT90" s="24"/>
      <c r="AU90" s="24"/>
      <c r="AV90" s="24"/>
      <c r="AW90" s="24"/>
      <c r="AX90" s="24"/>
      <c r="AY90" s="24"/>
      <c r="AZ90" s="24"/>
    </row>
    <row r="91" ht="19.5" customHeight="1">
      <c r="A91" s="23" t="str">
        <f>IF(Roster!$A$89&lt;&gt;"",Roster!$A$89,"")</f>
        <v/>
      </c>
      <c r="B91" s="24"/>
      <c r="C91" s="24"/>
      <c r="D91" s="24"/>
      <c r="E91" s="24"/>
      <c r="F91" s="24"/>
      <c r="G91" s="24"/>
      <c r="H91" s="24"/>
      <c r="I91" s="24"/>
      <c r="J91" s="24"/>
      <c r="K91" s="24"/>
      <c r="L91" s="24"/>
      <c r="M91" s="24"/>
      <c r="N91" s="24"/>
      <c r="O91" s="24"/>
      <c r="P91" s="24"/>
      <c r="Q91" s="24"/>
      <c r="R91" s="24"/>
      <c r="S91" s="24"/>
      <c r="T91" s="24"/>
      <c r="U91" s="24"/>
      <c r="V91" s="24"/>
      <c r="W91" s="24"/>
      <c r="X91" s="24"/>
      <c r="Y91" s="24"/>
      <c r="Z91" s="24"/>
      <c r="AA91" s="24"/>
      <c r="AB91" s="24"/>
      <c r="AC91" s="24"/>
      <c r="AD91" s="24"/>
      <c r="AE91" s="24"/>
      <c r="AF91" s="24"/>
      <c r="AG91" s="24"/>
      <c r="AH91" s="24"/>
      <c r="AI91" s="24"/>
      <c r="AJ91" s="24"/>
      <c r="AK91" s="24"/>
      <c r="AL91" s="24"/>
      <c r="AM91" s="24"/>
      <c r="AN91" s="24"/>
      <c r="AO91" s="24"/>
      <c r="AP91" s="24"/>
      <c r="AQ91" s="24"/>
      <c r="AR91" s="24"/>
      <c r="AS91" s="24"/>
      <c r="AT91" s="24"/>
      <c r="AU91" s="24"/>
      <c r="AV91" s="24"/>
      <c r="AW91" s="24"/>
      <c r="AX91" s="24"/>
      <c r="AY91" s="24"/>
      <c r="AZ91" s="24"/>
    </row>
    <row r="92" ht="19.5" customHeight="1">
      <c r="A92" s="23" t="str">
        <f>IF(Roster!$A$90&lt;&gt;"",Roster!$A$90,"")</f>
        <v/>
      </c>
      <c r="B92" s="24"/>
      <c r="C92" s="24"/>
      <c r="D92" s="24"/>
      <c r="E92" s="24"/>
      <c r="F92" s="24"/>
      <c r="G92" s="24"/>
      <c r="H92" s="24"/>
      <c r="I92" s="24"/>
      <c r="J92" s="24"/>
      <c r="K92" s="24"/>
      <c r="L92" s="24"/>
      <c r="M92" s="24"/>
      <c r="N92" s="24"/>
      <c r="O92" s="24"/>
      <c r="P92" s="24"/>
      <c r="Q92" s="24"/>
      <c r="R92" s="24"/>
      <c r="S92" s="24"/>
      <c r="T92" s="24"/>
      <c r="U92" s="24"/>
      <c r="V92" s="24"/>
      <c r="W92" s="24"/>
      <c r="X92" s="24"/>
      <c r="Y92" s="24"/>
      <c r="Z92" s="24"/>
      <c r="AA92" s="24"/>
      <c r="AB92" s="24"/>
      <c r="AC92" s="24"/>
      <c r="AD92" s="24"/>
      <c r="AE92" s="24"/>
      <c r="AF92" s="24"/>
      <c r="AG92" s="24"/>
      <c r="AH92" s="24"/>
      <c r="AI92" s="24"/>
      <c r="AJ92" s="24"/>
      <c r="AK92" s="24"/>
      <c r="AL92" s="24"/>
      <c r="AM92" s="24"/>
      <c r="AN92" s="24"/>
      <c r="AO92" s="24"/>
      <c r="AP92" s="24"/>
      <c r="AQ92" s="24"/>
      <c r="AR92" s="24"/>
      <c r="AS92" s="24"/>
      <c r="AT92" s="24"/>
      <c r="AU92" s="24"/>
      <c r="AV92" s="24"/>
      <c r="AW92" s="24"/>
      <c r="AX92" s="24"/>
      <c r="AY92" s="24"/>
      <c r="AZ92" s="24"/>
    </row>
    <row r="93" ht="19.5" customHeight="1">
      <c r="A93" s="23" t="str">
        <f>IF(Roster!$A$91&lt;&gt;"",Roster!$A$91,"")</f>
        <v/>
      </c>
      <c r="B93" s="24"/>
      <c r="C93" s="24"/>
      <c r="D93" s="24"/>
      <c r="E93" s="24"/>
      <c r="F93" s="24"/>
      <c r="G93" s="24"/>
      <c r="H93" s="24"/>
      <c r="I93" s="24"/>
      <c r="J93" s="24"/>
      <c r="K93" s="24"/>
      <c r="L93" s="24"/>
      <c r="M93" s="24"/>
      <c r="N93" s="24"/>
      <c r="O93" s="24"/>
      <c r="P93" s="24"/>
      <c r="Q93" s="24"/>
      <c r="R93" s="24"/>
      <c r="S93" s="24"/>
      <c r="T93" s="24"/>
      <c r="U93" s="24"/>
      <c r="V93" s="24"/>
      <c r="W93" s="24"/>
      <c r="X93" s="24"/>
      <c r="Y93" s="24"/>
      <c r="Z93" s="24"/>
      <c r="AA93" s="24"/>
      <c r="AB93" s="24"/>
      <c r="AC93" s="24"/>
      <c r="AD93" s="24"/>
      <c r="AE93" s="24"/>
      <c r="AF93" s="24"/>
      <c r="AG93" s="24"/>
      <c r="AH93" s="24"/>
      <c r="AI93" s="24"/>
      <c r="AJ93" s="24"/>
      <c r="AK93" s="24"/>
      <c r="AL93" s="24"/>
      <c r="AM93" s="24"/>
      <c r="AN93" s="24"/>
      <c r="AO93" s="24"/>
      <c r="AP93" s="24"/>
      <c r="AQ93" s="24"/>
      <c r="AR93" s="24"/>
      <c r="AS93" s="24"/>
      <c r="AT93" s="24"/>
      <c r="AU93" s="24"/>
      <c r="AV93" s="24"/>
      <c r="AW93" s="24"/>
      <c r="AX93" s="24"/>
      <c r="AY93" s="24"/>
      <c r="AZ93" s="24"/>
    </row>
    <row r="94" ht="19.5" customHeight="1">
      <c r="A94" s="23" t="str">
        <f>IF(Roster!$A$92&lt;&gt;"",Roster!$A$92,"")</f>
        <v/>
      </c>
      <c r="B94" s="24"/>
      <c r="C94" s="24"/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24"/>
      <c r="O94" s="24"/>
      <c r="P94" s="24"/>
      <c r="Q94" s="24"/>
      <c r="R94" s="24"/>
      <c r="S94" s="24"/>
      <c r="T94" s="24"/>
      <c r="U94" s="24"/>
      <c r="V94" s="24"/>
      <c r="W94" s="24"/>
      <c r="X94" s="24"/>
      <c r="Y94" s="24"/>
      <c r="Z94" s="24"/>
      <c r="AA94" s="24"/>
      <c r="AB94" s="24"/>
      <c r="AC94" s="24"/>
      <c r="AD94" s="24"/>
      <c r="AE94" s="24"/>
      <c r="AF94" s="24"/>
      <c r="AG94" s="24"/>
      <c r="AH94" s="24"/>
      <c r="AI94" s="24"/>
      <c r="AJ94" s="24"/>
      <c r="AK94" s="24"/>
      <c r="AL94" s="24"/>
      <c r="AM94" s="24"/>
      <c r="AN94" s="24"/>
      <c r="AO94" s="24"/>
      <c r="AP94" s="24"/>
      <c r="AQ94" s="24"/>
      <c r="AR94" s="24"/>
      <c r="AS94" s="24"/>
      <c r="AT94" s="24"/>
      <c r="AU94" s="24"/>
      <c r="AV94" s="24"/>
      <c r="AW94" s="24"/>
      <c r="AX94" s="24"/>
      <c r="AY94" s="24"/>
      <c r="AZ94" s="24"/>
    </row>
    <row r="95" ht="19.5" customHeight="1">
      <c r="A95" s="23" t="str">
        <f>IF(Roster!$A$93&lt;&gt;"",Roster!$A$93,"")</f>
        <v/>
      </c>
      <c r="B95" s="24"/>
      <c r="C95" s="24"/>
      <c r="D95" s="24"/>
      <c r="E95" s="24"/>
      <c r="F95" s="24"/>
      <c r="G95" s="24"/>
      <c r="H95" s="24"/>
      <c r="I95" s="24"/>
      <c r="J95" s="24"/>
      <c r="K95" s="24"/>
      <c r="L95" s="24"/>
      <c r="M95" s="24"/>
      <c r="N95" s="24"/>
      <c r="O95" s="24"/>
      <c r="P95" s="24"/>
      <c r="Q95" s="24"/>
      <c r="R95" s="24"/>
      <c r="S95" s="24"/>
      <c r="T95" s="24"/>
      <c r="U95" s="24"/>
      <c r="V95" s="24"/>
      <c r="W95" s="24"/>
      <c r="X95" s="24"/>
      <c r="Y95" s="24"/>
      <c r="Z95" s="24"/>
      <c r="AA95" s="24"/>
      <c r="AB95" s="24"/>
      <c r="AC95" s="24"/>
      <c r="AD95" s="24"/>
      <c r="AE95" s="24"/>
      <c r="AF95" s="24"/>
      <c r="AG95" s="24"/>
      <c r="AH95" s="24"/>
      <c r="AI95" s="24"/>
      <c r="AJ95" s="24"/>
      <c r="AK95" s="24"/>
      <c r="AL95" s="24"/>
      <c r="AM95" s="24"/>
      <c r="AN95" s="24"/>
      <c r="AO95" s="24"/>
      <c r="AP95" s="24"/>
      <c r="AQ95" s="24"/>
      <c r="AR95" s="24"/>
      <c r="AS95" s="24"/>
      <c r="AT95" s="24"/>
      <c r="AU95" s="24"/>
      <c r="AV95" s="24"/>
      <c r="AW95" s="24"/>
      <c r="AX95" s="24"/>
      <c r="AY95" s="24"/>
      <c r="AZ95" s="24"/>
    </row>
    <row r="96" ht="19.5" customHeight="1">
      <c r="A96" s="23" t="str">
        <f>IF(Roster!$A$94&lt;&gt;"",Roster!$A$94,"")</f>
        <v/>
      </c>
      <c r="B96" s="24"/>
      <c r="C96" s="24"/>
      <c r="D96" s="24"/>
      <c r="E96" s="24"/>
      <c r="F96" s="24"/>
      <c r="G96" s="24"/>
      <c r="H96" s="24"/>
      <c r="I96" s="24"/>
      <c r="J96" s="24"/>
      <c r="K96" s="24"/>
      <c r="L96" s="24"/>
      <c r="M96" s="24"/>
      <c r="N96" s="24"/>
      <c r="O96" s="24"/>
      <c r="P96" s="24"/>
      <c r="Q96" s="24"/>
      <c r="R96" s="24"/>
      <c r="S96" s="24"/>
      <c r="T96" s="24"/>
      <c r="U96" s="24"/>
      <c r="V96" s="24"/>
      <c r="W96" s="24"/>
      <c r="X96" s="24"/>
      <c r="Y96" s="24"/>
      <c r="Z96" s="24"/>
      <c r="AA96" s="24"/>
      <c r="AB96" s="24"/>
      <c r="AC96" s="24"/>
      <c r="AD96" s="24"/>
      <c r="AE96" s="24"/>
      <c r="AF96" s="24"/>
      <c r="AG96" s="24"/>
      <c r="AH96" s="24"/>
      <c r="AI96" s="24"/>
      <c r="AJ96" s="24"/>
      <c r="AK96" s="24"/>
      <c r="AL96" s="24"/>
      <c r="AM96" s="24"/>
      <c r="AN96" s="24"/>
      <c r="AO96" s="24"/>
      <c r="AP96" s="24"/>
      <c r="AQ96" s="24"/>
      <c r="AR96" s="24"/>
      <c r="AS96" s="24"/>
      <c r="AT96" s="24"/>
      <c r="AU96" s="24"/>
      <c r="AV96" s="24"/>
      <c r="AW96" s="24"/>
      <c r="AX96" s="24"/>
      <c r="AY96" s="24"/>
      <c r="AZ96" s="24"/>
    </row>
    <row r="97" ht="19.5" customHeight="1">
      <c r="A97" s="23" t="str">
        <f>IF(Roster!$A$95&lt;&gt;"",Roster!$A$95,"")</f>
        <v/>
      </c>
      <c r="B97" s="24"/>
      <c r="C97" s="24"/>
      <c r="D97" s="24"/>
      <c r="E97" s="24"/>
      <c r="F97" s="24"/>
      <c r="G97" s="24"/>
      <c r="H97" s="24"/>
      <c r="I97" s="24"/>
      <c r="J97" s="24"/>
      <c r="K97" s="24"/>
      <c r="L97" s="24"/>
      <c r="M97" s="24"/>
      <c r="N97" s="24"/>
      <c r="O97" s="24"/>
      <c r="P97" s="24"/>
      <c r="Q97" s="24"/>
      <c r="R97" s="24"/>
      <c r="S97" s="24"/>
      <c r="T97" s="24"/>
      <c r="U97" s="24"/>
      <c r="V97" s="24"/>
      <c r="W97" s="24"/>
      <c r="X97" s="24"/>
      <c r="Y97" s="24"/>
      <c r="Z97" s="24"/>
      <c r="AA97" s="24"/>
      <c r="AB97" s="24"/>
      <c r="AC97" s="24"/>
      <c r="AD97" s="24"/>
      <c r="AE97" s="24"/>
      <c r="AF97" s="24"/>
      <c r="AG97" s="24"/>
      <c r="AH97" s="24"/>
      <c r="AI97" s="24"/>
      <c r="AJ97" s="24"/>
      <c r="AK97" s="24"/>
      <c r="AL97" s="24"/>
      <c r="AM97" s="24"/>
      <c r="AN97" s="24"/>
      <c r="AO97" s="24"/>
      <c r="AP97" s="24"/>
      <c r="AQ97" s="24"/>
      <c r="AR97" s="24"/>
      <c r="AS97" s="24"/>
      <c r="AT97" s="24"/>
      <c r="AU97" s="24"/>
      <c r="AV97" s="24"/>
      <c r="AW97" s="24"/>
      <c r="AX97" s="24"/>
      <c r="AY97" s="24"/>
      <c r="AZ97" s="24"/>
    </row>
    <row r="98" ht="19.5" customHeight="1">
      <c r="A98" s="23" t="str">
        <f>IF(Roster!$A$96&lt;&gt;"",Roster!$A$96,"")</f>
        <v/>
      </c>
      <c r="B98" s="24"/>
      <c r="C98" s="24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  <c r="R98" s="24"/>
      <c r="S98" s="24"/>
      <c r="T98" s="24"/>
      <c r="U98" s="24"/>
      <c r="V98" s="24"/>
      <c r="W98" s="24"/>
      <c r="X98" s="24"/>
      <c r="Y98" s="24"/>
      <c r="Z98" s="24"/>
      <c r="AA98" s="24"/>
      <c r="AB98" s="24"/>
      <c r="AC98" s="24"/>
      <c r="AD98" s="24"/>
      <c r="AE98" s="24"/>
      <c r="AF98" s="24"/>
      <c r="AG98" s="24"/>
      <c r="AH98" s="24"/>
      <c r="AI98" s="24"/>
      <c r="AJ98" s="24"/>
      <c r="AK98" s="24"/>
      <c r="AL98" s="24"/>
      <c r="AM98" s="24"/>
      <c r="AN98" s="24"/>
      <c r="AO98" s="24"/>
      <c r="AP98" s="24"/>
      <c r="AQ98" s="24"/>
      <c r="AR98" s="24"/>
      <c r="AS98" s="24"/>
      <c r="AT98" s="24"/>
      <c r="AU98" s="24"/>
      <c r="AV98" s="24"/>
      <c r="AW98" s="24"/>
      <c r="AX98" s="24"/>
      <c r="AY98" s="24"/>
      <c r="AZ98" s="24"/>
    </row>
    <row r="99" ht="19.5" customHeight="1">
      <c r="A99" s="23" t="str">
        <f>IF(Roster!$A$97&lt;&gt;"",Roster!$A$97,"")</f>
        <v/>
      </c>
      <c r="B99" s="24"/>
      <c r="C99" s="24"/>
      <c r="D99" s="24"/>
      <c r="E99" s="24"/>
      <c r="F99" s="24"/>
      <c r="G99" s="24"/>
      <c r="H99" s="24"/>
      <c r="I99" s="24"/>
      <c r="J99" s="24"/>
      <c r="K99" s="24"/>
      <c r="L99" s="24"/>
      <c r="M99" s="24"/>
      <c r="N99" s="24"/>
      <c r="O99" s="24"/>
      <c r="P99" s="24"/>
      <c r="Q99" s="24"/>
      <c r="R99" s="24"/>
      <c r="S99" s="24"/>
      <c r="T99" s="24"/>
      <c r="U99" s="24"/>
      <c r="V99" s="24"/>
      <c r="W99" s="24"/>
      <c r="X99" s="24"/>
      <c r="Y99" s="24"/>
      <c r="Z99" s="24"/>
      <c r="AA99" s="24"/>
      <c r="AB99" s="24"/>
      <c r="AC99" s="24"/>
      <c r="AD99" s="24"/>
      <c r="AE99" s="24"/>
      <c r="AF99" s="24"/>
      <c r="AG99" s="24"/>
      <c r="AH99" s="24"/>
      <c r="AI99" s="24"/>
      <c r="AJ99" s="24"/>
      <c r="AK99" s="24"/>
      <c r="AL99" s="24"/>
      <c r="AM99" s="24"/>
      <c r="AN99" s="24"/>
      <c r="AO99" s="24"/>
      <c r="AP99" s="24"/>
      <c r="AQ99" s="24"/>
      <c r="AR99" s="24"/>
      <c r="AS99" s="24"/>
      <c r="AT99" s="24"/>
      <c r="AU99" s="24"/>
      <c r="AV99" s="24"/>
      <c r="AW99" s="24"/>
      <c r="AX99" s="24"/>
      <c r="AY99" s="24"/>
      <c r="AZ99" s="24"/>
    </row>
    <row r="100" ht="19.5" customHeight="1">
      <c r="A100" s="23" t="str">
        <f>IF(Roster!$A$98&lt;&gt;"",Roster!$A$98,"")</f>
        <v/>
      </c>
      <c r="B100" s="24"/>
      <c r="C100" s="24"/>
      <c r="D100" s="24"/>
      <c r="E100" s="24"/>
      <c r="F100" s="24"/>
      <c r="G100" s="24"/>
      <c r="H100" s="24"/>
      <c r="I100" s="24"/>
      <c r="J100" s="24"/>
      <c r="K100" s="24"/>
      <c r="L100" s="24"/>
      <c r="M100" s="24"/>
      <c r="N100" s="24"/>
      <c r="O100" s="24"/>
      <c r="P100" s="24"/>
      <c r="Q100" s="24"/>
      <c r="R100" s="24"/>
      <c r="S100" s="24"/>
      <c r="T100" s="24"/>
      <c r="U100" s="24"/>
      <c r="V100" s="24"/>
      <c r="W100" s="24"/>
      <c r="X100" s="24"/>
      <c r="Y100" s="24"/>
      <c r="Z100" s="24"/>
      <c r="AA100" s="24"/>
      <c r="AB100" s="24"/>
      <c r="AC100" s="24"/>
      <c r="AD100" s="24"/>
      <c r="AE100" s="24"/>
      <c r="AF100" s="24"/>
      <c r="AG100" s="24"/>
      <c r="AH100" s="24"/>
      <c r="AI100" s="24"/>
      <c r="AJ100" s="24"/>
      <c r="AK100" s="24"/>
      <c r="AL100" s="24"/>
      <c r="AM100" s="24"/>
      <c r="AN100" s="24"/>
      <c r="AO100" s="24"/>
      <c r="AP100" s="24"/>
      <c r="AQ100" s="24"/>
      <c r="AR100" s="24"/>
      <c r="AS100" s="24"/>
      <c r="AT100" s="24"/>
      <c r="AU100" s="24"/>
      <c r="AV100" s="24"/>
      <c r="AW100" s="24"/>
      <c r="AX100" s="24"/>
      <c r="AY100" s="24"/>
      <c r="AZ100" s="24"/>
    </row>
    <row r="101" ht="19.5" customHeight="1">
      <c r="A101" s="23" t="str">
        <f>IF(Roster!$A$99&lt;&gt;"",Roster!$A$99,"")</f>
        <v/>
      </c>
      <c r="B101" s="24"/>
      <c r="C101" s="24"/>
      <c r="D101" s="24"/>
      <c r="E101" s="24"/>
      <c r="F101" s="24"/>
      <c r="G101" s="24"/>
      <c r="H101" s="24"/>
      <c r="I101" s="24"/>
      <c r="J101" s="24"/>
      <c r="K101" s="24"/>
      <c r="L101" s="24"/>
      <c r="M101" s="24"/>
      <c r="N101" s="24"/>
      <c r="O101" s="24"/>
      <c r="P101" s="24"/>
      <c r="Q101" s="24"/>
      <c r="R101" s="24"/>
      <c r="S101" s="24"/>
      <c r="T101" s="24"/>
      <c r="U101" s="24"/>
      <c r="V101" s="24"/>
      <c r="W101" s="24"/>
      <c r="X101" s="24"/>
      <c r="Y101" s="24"/>
      <c r="Z101" s="24"/>
      <c r="AA101" s="24"/>
      <c r="AB101" s="24"/>
      <c r="AC101" s="24"/>
      <c r="AD101" s="24"/>
      <c r="AE101" s="24"/>
      <c r="AF101" s="24"/>
      <c r="AG101" s="24"/>
      <c r="AH101" s="24"/>
      <c r="AI101" s="24"/>
      <c r="AJ101" s="24"/>
      <c r="AK101" s="24"/>
      <c r="AL101" s="24"/>
      <c r="AM101" s="24"/>
      <c r="AN101" s="24"/>
      <c r="AO101" s="24"/>
      <c r="AP101" s="24"/>
      <c r="AQ101" s="24"/>
      <c r="AR101" s="24"/>
      <c r="AS101" s="24"/>
      <c r="AT101" s="24"/>
      <c r="AU101" s="24"/>
      <c r="AV101" s="24"/>
      <c r="AW101" s="24"/>
      <c r="AX101" s="24"/>
      <c r="AY101" s="24"/>
      <c r="AZ101" s="24"/>
    </row>
    <row r="102" ht="19.5" customHeight="1">
      <c r="A102" s="23" t="str">
        <f>IF(Roster!$A$100&lt;&gt;"",Roster!$A$100,"")</f>
        <v/>
      </c>
      <c r="B102" s="24"/>
      <c r="C102" s="24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24"/>
      <c r="T102" s="24"/>
      <c r="U102" s="24"/>
      <c r="V102" s="24"/>
      <c r="W102" s="24"/>
      <c r="X102" s="24"/>
      <c r="Y102" s="24"/>
      <c r="Z102" s="24"/>
      <c r="AA102" s="24"/>
      <c r="AB102" s="24"/>
      <c r="AC102" s="24"/>
      <c r="AD102" s="24"/>
      <c r="AE102" s="24"/>
      <c r="AF102" s="24"/>
      <c r="AG102" s="24"/>
      <c r="AH102" s="24"/>
      <c r="AI102" s="24"/>
      <c r="AJ102" s="24"/>
      <c r="AK102" s="24"/>
      <c r="AL102" s="24"/>
      <c r="AM102" s="24"/>
      <c r="AN102" s="24"/>
      <c r="AO102" s="24"/>
      <c r="AP102" s="24"/>
      <c r="AQ102" s="24"/>
      <c r="AR102" s="24"/>
      <c r="AS102" s="24"/>
      <c r="AT102" s="24"/>
      <c r="AU102" s="24"/>
      <c r="AV102" s="24"/>
      <c r="AW102" s="24"/>
      <c r="AX102" s="24"/>
      <c r="AY102" s="24"/>
      <c r="AZ102" s="24"/>
    </row>
    <row r="103" ht="19.5" customHeight="1">
      <c r="A103" s="23" t="str">
        <f>IF(Roster!$A$101&lt;&gt;"",Roster!$A$101,"")</f>
        <v/>
      </c>
      <c r="B103" s="24"/>
      <c r="C103" s="24"/>
      <c r="D103" s="24"/>
      <c r="E103" s="24"/>
      <c r="F103" s="24"/>
      <c r="G103" s="24"/>
      <c r="H103" s="24"/>
      <c r="I103" s="24"/>
      <c r="J103" s="24"/>
      <c r="K103" s="24"/>
      <c r="L103" s="24"/>
      <c r="M103" s="24"/>
      <c r="N103" s="24"/>
      <c r="O103" s="24"/>
      <c r="P103" s="24"/>
      <c r="Q103" s="24"/>
      <c r="R103" s="24"/>
      <c r="S103" s="24"/>
      <c r="T103" s="24"/>
      <c r="U103" s="24"/>
      <c r="V103" s="24"/>
      <c r="W103" s="24"/>
      <c r="X103" s="24"/>
      <c r="Y103" s="24"/>
      <c r="Z103" s="24"/>
      <c r="AA103" s="24"/>
      <c r="AB103" s="24"/>
      <c r="AC103" s="24"/>
      <c r="AD103" s="24"/>
      <c r="AE103" s="24"/>
      <c r="AF103" s="24"/>
      <c r="AG103" s="24"/>
      <c r="AH103" s="24"/>
      <c r="AI103" s="24"/>
      <c r="AJ103" s="24"/>
      <c r="AK103" s="24"/>
      <c r="AL103" s="24"/>
      <c r="AM103" s="24"/>
      <c r="AN103" s="24"/>
      <c r="AO103" s="24"/>
      <c r="AP103" s="24"/>
      <c r="AQ103" s="24"/>
      <c r="AR103" s="24"/>
      <c r="AS103" s="24"/>
      <c r="AT103" s="24"/>
      <c r="AU103" s="24"/>
      <c r="AV103" s="24"/>
      <c r="AW103" s="24"/>
      <c r="AX103" s="24"/>
      <c r="AY103" s="24"/>
      <c r="AZ103" s="24"/>
    </row>
    <row r="104" ht="19.5" customHeight="1">
      <c r="A104" s="23" t="str">
        <f>IF(Roster!$A$102&lt;&gt;"",Roster!$A$102,"")</f>
        <v/>
      </c>
      <c r="B104" s="24"/>
      <c r="C104" s="24"/>
      <c r="D104" s="24"/>
      <c r="E104" s="24"/>
      <c r="F104" s="24"/>
      <c r="G104" s="24"/>
      <c r="H104" s="24"/>
      <c r="I104" s="24"/>
      <c r="J104" s="24"/>
      <c r="K104" s="24"/>
      <c r="L104" s="24"/>
      <c r="M104" s="24"/>
      <c r="N104" s="24"/>
      <c r="O104" s="24"/>
      <c r="P104" s="24"/>
      <c r="Q104" s="24"/>
      <c r="R104" s="24"/>
      <c r="S104" s="24"/>
      <c r="T104" s="24"/>
      <c r="U104" s="24"/>
      <c r="V104" s="24"/>
      <c r="W104" s="24"/>
      <c r="X104" s="24"/>
      <c r="Y104" s="24"/>
      <c r="Z104" s="24"/>
      <c r="AA104" s="24"/>
      <c r="AB104" s="24"/>
      <c r="AC104" s="24"/>
      <c r="AD104" s="24"/>
      <c r="AE104" s="24"/>
      <c r="AF104" s="24"/>
      <c r="AG104" s="24"/>
      <c r="AH104" s="24"/>
      <c r="AI104" s="24"/>
      <c r="AJ104" s="24"/>
      <c r="AK104" s="24"/>
      <c r="AL104" s="24"/>
      <c r="AM104" s="24"/>
      <c r="AN104" s="24"/>
      <c r="AO104" s="24"/>
      <c r="AP104" s="24"/>
      <c r="AQ104" s="24"/>
      <c r="AR104" s="24"/>
      <c r="AS104" s="24"/>
      <c r="AT104" s="24"/>
      <c r="AU104" s="24"/>
      <c r="AV104" s="24"/>
      <c r="AW104" s="24"/>
      <c r="AX104" s="24"/>
      <c r="AY104" s="24"/>
      <c r="AZ104" s="24"/>
    </row>
    <row r="105" ht="19.5" customHeight="1">
      <c r="A105" s="23" t="str">
        <f>IF(Roster!$A$103&lt;&gt;"",Roster!$A$103,"")</f>
        <v/>
      </c>
      <c r="B105" s="24"/>
      <c r="C105" s="24"/>
      <c r="D105" s="24"/>
      <c r="E105" s="24"/>
      <c r="F105" s="24"/>
      <c r="G105" s="24"/>
      <c r="H105" s="24"/>
      <c r="I105" s="24"/>
      <c r="J105" s="24"/>
      <c r="K105" s="24"/>
      <c r="L105" s="24"/>
      <c r="M105" s="24"/>
      <c r="N105" s="24"/>
      <c r="O105" s="24"/>
      <c r="P105" s="24"/>
      <c r="Q105" s="24"/>
      <c r="R105" s="24"/>
      <c r="S105" s="24"/>
      <c r="T105" s="24"/>
      <c r="U105" s="24"/>
      <c r="V105" s="24"/>
      <c r="W105" s="24"/>
      <c r="X105" s="24"/>
      <c r="Y105" s="24"/>
      <c r="Z105" s="24"/>
      <c r="AA105" s="24"/>
      <c r="AB105" s="24"/>
      <c r="AC105" s="24"/>
      <c r="AD105" s="24"/>
      <c r="AE105" s="24"/>
      <c r="AF105" s="24"/>
      <c r="AG105" s="24"/>
      <c r="AH105" s="24"/>
      <c r="AI105" s="24"/>
      <c r="AJ105" s="24"/>
      <c r="AK105" s="24"/>
      <c r="AL105" s="24"/>
      <c r="AM105" s="24"/>
      <c r="AN105" s="24"/>
      <c r="AO105" s="24"/>
      <c r="AP105" s="24"/>
      <c r="AQ105" s="24"/>
      <c r="AR105" s="24"/>
      <c r="AS105" s="24"/>
      <c r="AT105" s="24"/>
      <c r="AU105" s="24"/>
      <c r="AV105" s="24"/>
      <c r="AW105" s="24"/>
      <c r="AX105" s="24"/>
      <c r="AY105" s="24"/>
      <c r="AZ105" s="24"/>
    </row>
    <row r="106" ht="19.5" customHeight="1">
      <c r="A106" s="23" t="str">
        <f>IF(Roster!$A$104&lt;&gt;"",Roster!$A$104,"")</f>
        <v/>
      </c>
      <c r="B106" s="24"/>
      <c r="C106" s="24"/>
      <c r="D106" s="24"/>
      <c r="E106" s="24"/>
      <c r="F106" s="24"/>
      <c r="G106" s="24"/>
      <c r="H106" s="24"/>
      <c r="I106" s="24"/>
      <c r="J106" s="24"/>
      <c r="K106" s="24"/>
      <c r="L106" s="24"/>
      <c r="M106" s="24"/>
      <c r="N106" s="24"/>
      <c r="O106" s="24"/>
      <c r="P106" s="24"/>
      <c r="Q106" s="24"/>
      <c r="R106" s="24"/>
      <c r="S106" s="24"/>
      <c r="T106" s="24"/>
      <c r="U106" s="24"/>
      <c r="V106" s="24"/>
      <c r="W106" s="24"/>
      <c r="X106" s="24"/>
      <c r="Y106" s="24"/>
      <c r="Z106" s="24"/>
      <c r="AA106" s="24"/>
      <c r="AB106" s="24"/>
      <c r="AC106" s="24"/>
      <c r="AD106" s="24"/>
      <c r="AE106" s="24"/>
      <c r="AF106" s="24"/>
      <c r="AG106" s="24"/>
      <c r="AH106" s="24"/>
      <c r="AI106" s="24"/>
      <c r="AJ106" s="24"/>
      <c r="AK106" s="24"/>
      <c r="AL106" s="24"/>
      <c r="AM106" s="24"/>
      <c r="AN106" s="24"/>
      <c r="AO106" s="24"/>
      <c r="AP106" s="24"/>
      <c r="AQ106" s="24"/>
      <c r="AR106" s="24"/>
      <c r="AS106" s="24"/>
      <c r="AT106" s="24"/>
      <c r="AU106" s="24"/>
      <c r="AV106" s="24"/>
      <c r="AW106" s="24"/>
      <c r="AX106" s="24"/>
      <c r="AY106" s="24"/>
      <c r="AZ106" s="24"/>
    </row>
    <row r="107" ht="19.5" customHeight="1">
      <c r="A107" s="23" t="str">
        <f>IF(Roster!$A$105&lt;&gt;"",Roster!$A$105,"")</f>
        <v/>
      </c>
      <c r="B107" s="24"/>
      <c r="C107" s="24"/>
      <c r="D107" s="24"/>
      <c r="E107" s="24"/>
      <c r="F107" s="24"/>
      <c r="G107" s="24"/>
      <c r="H107" s="24"/>
      <c r="I107" s="24"/>
      <c r="J107" s="24"/>
      <c r="K107" s="24"/>
      <c r="L107" s="24"/>
      <c r="M107" s="24"/>
      <c r="N107" s="24"/>
      <c r="O107" s="24"/>
      <c r="P107" s="24"/>
      <c r="Q107" s="24"/>
      <c r="R107" s="24"/>
      <c r="S107" s="24"/>
      <c r="T107" s="24"/>
      <c r="U107" s="24"/>
      <c r="V107" s="24"/>
      <c r="W107" s="24"/>
      <c r="X107" s="24"/>
      <c r="Y107" s="24"/>
      <c r="Z107" s="24"/>
      <c r="AA107" s="24"/>
      <c r="AB107" s="24"/>
      <c r="AC107" s="24"/>
      <c r="AD107" s="24"/>
      <c r="AE107" s="24"/>
      <c r="AF107" s="24"/>
      <c r="AG107" s="24"/>
      <c r="AH107" s="24"/>
      <c r="AI107" s="24"/>
      <c r="AJ107" s="24"/>
      <c r="AK107" s="24"/>
      <c r="AL107" s="24"/>
      <c r="AM107" s="24"/>
      <c r="AN107" s="24"/>
      <c r="AO107" s="24"/>
      <c r="AP107" s="24"/>
      <c r="AQ107" s="24"/>
      <c r="AR107" s="24"/>
      <c r="AS107" s="24"/>
      <c r="AT107" s="24"/>
      <c r="AU107" s="24"/>
      <c r="AV107" s="24"/>
      <c r="AW107" s="24"/>
      <c r="AX107" s="24"/>
      <c r="AY107" s="24"/>
      <c r="AZ107" s="24"/>
    </row>
    <row r="108" ht="19.5" customHeight="1">
      <c r="A108" s="23" t="str">
        <f>IF(Roster!$A$106&lt;&gt;"",Roster!$A$106,"")</f>
        <v/>
      </c>
      <c r="B108" s="24"/>
      <c r="C108" s="24"/>
      <c r="D108" s="24"/>
      <c r="E108" s="24"/>
      <c r="F108" s="24"/>
      <c r="G108" s="24"/>
      <c r="H108" s="24"/>
      <c r="I108" s="24"/>
      <c r="J108" s="24"/>
      <c r="K108" s="24"/>
      <c r="L108" s="24"/>
      <c r="M108" s="24"/>
      <c r="N108" s="24"/>
      <c r="O108" s="24"/>
      <c r="P108" s="24"/>
      <c r="Q108" s="24"/>
      <c r="R108" s="24"/>
      <c r="S108" s="24"/>
      <c r="T108" s="24"/>
      <c r="U108" s="24"/>
      <c r="V108" s="24"/>
      <c r="W108" s="24"/>
      <c r="X108" s="24"/>
      <c r="Y108" s="24"/>
      <c r="Z108" s="24"/>
      <c r="AA108" s="24"/>
      <c r="AB108" s="24"/>
      <c r="AC108" s="24"/>
      <c r="AD108" s="24"/>
      <c r="AE108" s="24"/>
      <c r="AF108" s="24"/>
      <c r="AG108" s="24"/>
      <c r="AH108" s="24"/>
      <c r="AI108" s="24"/>
      <c r="AJ108" s="24"/>
      <c r="AK108" s="24"/>
      <c r="AL108" s="24"/>
      <c r="AM108" s="24"/>
      <c r="AN108" s="24"/>
      <c r="AO108" s="24"/>
      <c r="AP108" s="24"/>
      <c r="AQ108" s="24"/>
      <c r="AR108" s="24"/>
      <c r="AS108" s="24"/>
      <c r="AT108" s="24"/>
      <c r="AU108" s="24"/>
      <c r="AV108" s="24"/>
      <c r="AW108" s="24"/>
      <c r="AX108" s="24"/>
      <c r="AY108" s="24"/>
      <c r="AZ108" s="24"/>
    </row>
    <row r="109" ht="19.5" customHeight="1">
      <c r="A109" s="23" t="str">
        <f>IF(Roster!$A$107&lt;&gt;"",Roster!$A$107,"")</f>
        <v/>
      </c>
      <c r="B109" s="24"/>
      <c r="C109" s="24"/>
      <c r="D109" s="24"/>
      <c r="E109" s="24"/>
      <c r="F109" s="24"/>
      <c r="G109" s="24"/>
      <c r="H109" s="24"/>
      <c r="I109" s="24"/>
      <c r="J109" s="24"/>
      <c r="K109" s="24"/>
      <c r="L109" s="24"/>
      <c r="M109" s="24"/>
      <c r="N109" s="24"/>
      <c r="O109" s="24"/>
      <c r="P109" s="24"/>
      <c r="Q109" s="24"/>
      <c r="R109" s="24"/>
      <c r="S109" s="24"/>
      <c r="T109" s="24"/>
      <c r="U109" s="24"/>
      <c r="V109" s="24"/>
      <c r="W109" s="24"/>
      <c r="X109" s="24"/>
      <c r="Y109" s="24"/>
      <c r="Z109" s="24"/>
      <c r="AA109" s="24"/>
      <c r="AB109" s="24"/>
      <c r="AC109" s="24"/>
      <c r="AD109" s="24"/>
      <c r="AE109" s="24"/>
      <c r="AF109" s="24"/>
      <c r="AG109" s="24"/>
      <c r="AH109" s="24"/>
      <c r="AI109" s="24"/>
      <c r="AJ109" s="24"/>
      <c r="AK109" s="24"/>
      <c r="AL109" s="24"/>
      <c r="AM109" s="24"/>
      <c r="AN109" s="24"/>
      <c r="AO109" s="24"/>
      <c r="AP109" s="24"/>
      <c r="AQ109" s="24"/>
      <c r="AR109" s="24"/>
      <c r="AS109" s="24"/>
      <c r="AT109" s="24"/>
      <c r="AU109" s="24"/>
      <c r="AV109" s="24"/>
      <c r="AW109" s="24"/>
      <c r="AX109" s="24"/>
      <c r="AY109" s="24"/>
      <c r="AZ109" s="24"/>
    </row>
    <row r="110" ht="19.5" customHeight="1">
      <c r="A110" s="23" t="str">
        <f>IF(Roster!$A$108&lt;&gt;"",Roster!$A$108,"")</f>
        <v/>
      </c>
      <c r="B110" s="24"/>
      <c r="C110" s="24"/>
      <c r="D110" s="24"/>
      <c r="E110" s="24"/>
      <c r="F110" s="24"/>
      <c r="G110" s="24"/>
      <c r="H110" s="24"/>
      <c r="I110" s="24"/>
      <c r="J110" s="24"/>
      <c r="K110" s="24"/>
      <c r="L110" s="24"/>
      <c r="M110" s="24"/>
      <c r="N110" s="24"/>
      <c r="O110" s="24"/>
      <c r="P110" s="24"/>
      <c r="Q110" s="24"/>
      <c r="R110" s="24"/>
      <c r="S110" s="24"/>
      <c r="T110" s="24"/>
      <c r="U110" s="24"/>
      <c r="V110" s="24"/>
      <c r="W110" s="24"/>
      <c r="X110" s="24"/>
      <c r="Y110" s="24"/>
      <c r="Z110" s="24"/>
      <c r="AA110" s="24"/>
      <c r="AB110" s="24"/>
      <c r="AC110" s="24"/>
      <c r="AD110" s="24"/>
      <c r="AE110" s="24"/>
      <c r="AF110" s="24"/>
      <c r="AG110" s="24"/>
      <c r="AH110" s="24"/>
      <c r="AI110" s="24"/>
      <c r="AJ110" s="24"/>
      <c r="AK110" s="24"/>
      <c r="AL110" s="24"/>
      <c r="AM110" s="24"/>
      <c r="AN110" s="24"/>
      <c r="AO110" s="24"/>
      <c r="AP110" s="24"/>
      <c r="AQ110" s="24"/>
      <c r="AR110" s="24"/>
      <c r="AS110" s="24"/>
      <c r="AT110" s="24"/>
      <c r="AU110" s="24"/>
      <c r="AV110" s="24"/>
      <c r="AW110" s="24"/>
      <c r="AX110" s="24"/>
      <c r="AY110" s="24"/>
      <c r="AZ110" s="24"/>
    </row>
    <row r="111" ht="19.5" customHeight="1">
      <c r="A111" s="23" t="str">
        <f>IF(Roster!$A$109&lt;&gt;"",Roster!$A$109,"")</f>
        <v/>
      </c>
      <c r="B111" s="24"/>
      <c r="C111" s="24"/>
      <c r="D111" s="24"/>
      <c r="E111" s="24"/>
      <c r="F111" s="24"/>
      <c r="G111" s="24"/>
      <c r="H111" s="24"/>
      <c r="I111" s="24"/>
      <c r="J111" s="24"/>
      <c r="K111" s="24"/>
      <c r="L111" s="24"/>
      <c r="M111" s="24"/>
      <c r="N111" s="24"/>
      <c r="O111" s="24"/>
      <c r="P111" s="24"/>
      <c r="Q111" s="24"/>
      <c r="R111" s="24"/>
      <c r="S111" s="24"/>
      <c r="T111" s="24"/>
      <c r="U111" s="24"/>
      <c r="V111" s="24"/>
      <c r="W111" s="24"/>
      <c r="X111" s="24"/>
      <c r="Y111" s="24"/>
      <c r="Z111" s="24"/>
      <c r="AA111" s="24"/>
      <c r="AB111" s="24"/>
      <c r="AC111" s="24"/>
      <c r="AD111" s="24"/>
      <c r="AE111" s="24"/>
      <c r="AF111" s="24"/>
      <c r="AG111" s="24"/>
      <c r="AH111" s="24"/>
      <c r="AI111" s="24"/>
      <c r="AJ111" s="24"/>
      <c r="AK111" s="24"/>
      <c r="AL111" s="24"/>
      <c r="AM111" s="24"/>
      <c r="AN111" s="24"/>
      <c r="AO111" s="24"/>
      <c r="AP111" s="24"/>
      <c r="AQ111" s="24"/>
      <c r="AR111" s="24"/>
      <c r="AS111" s="24"/>
      <c r="AT111" s="24"/>
      <c r="AU111" s="24"/>
      <c r="AV111" s="24"/>
      <c r="AW111" s="24"/>
      <c r="AX111" s="24"/>
      <c r="AY111" s="24"/>
      <c r="AZ111" s="24"/>
    </row>
    <row r="112" ht="19.5" customHeight="1">
      <c r="A112" s="23" t="str">
        <f>IF(Roster!$A$110&lt;&gt;"",Roster!$A$110,"")</f>
        <v/>
      </c>
      <c r="B112" s="24"/>
      <c r="C112" s="24"/>
      <c r="D112" s="24"/>
      <c r="E112" s="24"/>
      <c r="F112" s="24"/>
      <c r="G112" s="24"/>
      <c r="H112" s="24"/>
      <c r="I112" s="24"/>
      <c r="J112" s="24"/>
      <c r="K112" s="24"/>
      <c r="L112" s="24"/>
      <c r="M112" s="24"/>
      <c r="N112" s="24"/>
      <c r="O112" s="24"/>
      <c r="P112" s="24"/>
      <c r="Q112" s="24"/>
      <c r="R112" s="24"/>
      <c r="S112" s="24"/>
      <c r="T112" s="24"/>
      <c r="U112" s="24"/>
      <c r="V112" s="24"/>
      <c r="W112" s="24"/>
      <c r="X112" s="24"/>
      <c r="Y112" s="24"/>
      <c r="Z112" s="24"/>
      <c r="AA112" s="24"/>
      <c r="AB112" s="24"/>
      <c r="AC112" s="24"/>
      <c r="AD112" s="24"/>
      <c r="AE112" s="24"/>
      <c r="AF112" s="24"/>
      <c r="AG112" s="24"/>
      <c r="AH112" s="24"/>
      <c r="AI112" s="24"/>
      <c r="AJ112" s="24"/>
      <c r="AK112" s="24"/>
      <c r="AL112" s="24"/>
      <c r="AM112" s="24"/>
      <c r="AN112" s="24"/>
      <c r="AO112" s="24"/>
      <c r="AP112" s="24"/>
      <c r="AQ112" s="24"/>
      <c r="AR112" s="24"/>
      <c r="AS112" s="24"/>
      <c r="AT112" s="24"/>
      <c r="AU112" s="24"/>
      <c r="AV112" s="24"/>
      <c r="AW112" s="24"/>
      <c r="AX112" s="24"/>
      <c r="AY112" s="24"/>
      <c r="AZ112" s="24"/>
    </row>
    <row r="113" ht="19.5" customHeight="1">
      <c r="A113" s="23" t="str">
        <f>IF(Roster!$A$111&lt;&gt;"",Roster!$A$111,"")</f>
        <v/>
      </c>
      <c r="B113" s="24"/>
      <c r="C113" s="24"/>
      <c r="D113" s="24"/>
      <c r="E113" s="24"/>
      <c r="F113" s="24"/>
      <c r="G113" s="24"/>
      <c r="H113" s="24"/>
      <c r="I113" s="24"/>
      <c r="J113" s="24"/>
      <c r="K113" s="24"/>
      <c r="L113" s="24"/>
      <c r="M113" s="24"/>
      <c r="N113" s="24"/>
      <c r="O113" s="24"/>
      <c r="P113" s="24"/>
      <c r="Q113" s="24"/>
      <c r="R113" s="24"/>
      <c r="S113" s="24"/>
      <c r="T113" s="24"/>
      <c r="U113" s="24"/>
      <c r="V113" s="24"/>
      <c r="W113" s="24"/>
      <c r="X113" s="24"/>
      <c r="Y113" s="24"/>
      <c r="Z113" s="24"/>
      <c r="AA113" s="24"/>
      <c r="AB113" s="24"/>
      <c r="AC113" s="24"/>
      <c r="AD113" s="24"/>
      <c r="AE113" s="24"/>
      <c r="AF113" s="24"/>
      <c r="AG113" s="24"/>
      <c r="AH113" s="24"/>
      <c r="AI113" s="24"/>
      <c r="AJ113" s="24"/>
      <c r="AK113" s="24"/>
      <c r="AL113" s="24"/>
      <c r="AM113" s="24"/>
      <c r="AN113" s="24"/>
      <c r="AO113" s="24"/>
      <c r="AP113" s="24"/>
      <c r="AQ113" s="24"/>
      <c r="AR113" s="24"/>
      <c r="AS113" s="24"/>
      <c r="AT113" s="24"/>
      <c r="AU113" s="24"/>
      <c r="AV113" s="24"/>
      <c r="AW113" s="24"/>
      <c r="AX113" s="24"/>
      <c r="AY113" s="24"/>
      <c r="AZ113" s="24"/>
    </row>
    <row r="114" ht="19.5" customHeight="1">
      <c r="A114" s="23" t="str">
        <f>IF(Roster!$A$112&lt;&gt;"",Roster!$A$112,"")</f>
        <v/>
      </c>
      <c r="B114" s="24"/>
      <c r="C114" s="24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/>
      <c r="Q114" s="24"/>
      <c r="R114" s="24"/>
      <c r="S114" s="24"/>
      <c r="T114" s="24"/>
      <c r="U114" s="24"/>
      <c r="V114" s="24"/>
      <c r="W114" s="24"/>
      <c r="X114" s="24"/>
      <c r="Y114" s="24"/>
      <c r="Z114" s="24"/>
      <c r="AA114" s="24"/>
      <c r="AB114" s="24"/>
      <c r="AC114" s="24"/>
      <c r="AD114" s="24"/>
      <c r="AE114" s="24"/>
      <c r="AF114" s="24"/>
      <c r="AG114" s="24"/>
      <c r="AH114" s="24"/>
      <c r="AI114" s="24"/>
      <c r="AJ114" s="24"/>
      <c r="AK114" s="24"/>
      <c r="AL114" s="24"/>
      <c r="AM114" s="24"/>
      <c r="AN114" s="24"/>
      <c r="AO114" s="24"/>
      <c r="AP114" s="24"/>
      <c r="AQ114" s="24"/>
      <c r="AR114" s="24"/>
      <c r="AS114" s="24"/>
      <c r="AT114" s="24"/>
      <c r="AU114" s="24"/>
      <c r="AV114" s="24"/>
      <c r="AW114" s="24"/>
      <c r="AX114" s="24"/>
      <c r="AY114" s="24"/>
      <c r="AZ114" s="24"/>
    </row>
    <row r="115" ht="19.5" customHeight="1">
      <c r="A115" s="23" t="str">
        <f>IF(Roster!$A$113&lt;&gt;"",Roster!$A$113,"")</f>
        <v/>
      </c>
      <c r="B115" s="24"/>
      <c r="C115" s="24"/>
      <c r="D115" s="24"/>
      <c r="E115" s="24"/>
      <c r="F115" s="24"/>
      <c r="G115" s="24"/>
      <c r="H115" s="24"/>
      <c r="I115" s="24"/>
      <c r="J115" s="24"/>
      <c r="K115" s="24"/>
      <c r="L115" s="24"/>
      <c r="M115" s="24"/>
      <c r="N115" s="24"/>
      <c r="O115" s="24"/>
      <c r="P115" s="24"/>
      <c r="Q115" s="24"/>
      <c r="R115" s="24"/>
      <c r="S115" s="24"/>
      <c r="T115" s="24"/>
      <c r="U115" s="24"/>
      <c r="V115" s="24"/>
      <c r="W115" s="24"/>
      <c r="X115" s="24"/>
      <c r="Y115" s="24"/>
      <c r="Z115" s="24"/>
      <c r="AA115" s="24"/>
      <c r="AB115" s="24"/>
      <c r="AC115" s="24"/>
      <c r="AD115" s="24"/>
      <c r="AE115" s="24"/>
      <c r="AF115" s="24"/>
      <c r="AG115" s="24"/>
      <c r="AH115" s="24"/>
      <c r="AI115" s="24"/>
      <c r="AJ115" s="24"/>
      <c r="AK115" s="24"/>
      <c r="AL115" s="24"/>
      <c r="AM115" s="24"/>
      <c r="AN115" s="24"/>
      <c r="AO115" s="24"/>
      <c r="AP115" s="24"/>
      <c r="AQ115" s="24"/>
      <c r="AR115" s="24"/>
      <c r="AS115" s="24"/>
      <c r="AT115" s="24"/>
      <c r="AU115" s="24"/>
      <c r="AV115" s="24"/>
      <c r="AW115" s="24"/>
      <c r="AX115" s="24"/>
      <c r="AY115" s="24"/>
      <c r="AZ115" s="24"/>
    </row>
    <row r="116" ht="19.5" customHeight="1">
      <c r="A116" s="23" t="str">
        <f>IF(Roster!$A$114&lt;&gt;"",Roster!$A$114,"")</f>
        <v/>
      </c>
      <c r="B116" s="24"/>
      <c r="C116" s="24"/>
      <c r="D116" s="24"/>
      <c r="E116" s="24"/>
      <c r="F116" s="24"/>
      <c r="G116" s="24"/>
      <c r="H116" s="24"/>
      <c r="I116" s="24"/>
      <c r="J116" s="24"/>
      <c r="K116" s="24"/>
      <c r="L116" s="24"/>
      <c r="M116" s="24"/>
      <c r="N116" s="24"/>
      <c r="O116" s="24"/>
      <c r="P116" s="24"/>
      <c r="Q116" s="24"/>
      <c r="R116" s="24"/>
      <c r="S116" s="24"/>
      <c r="T116" s="24"/>
      <c r="U116" s="24"/>
      <c r="V116" s="24"/>
      <c r="W116" s="24"/>
      <c r="X116" s="24"/>
      <c r="Y116" s="24"/>
      <c r="Z116" s="24"/>
      <c r="AA116" s="24"/>
      <c r="AB116" s="24"/>
      <c r="AC116" s="24"/>
      <c r="AD116" s="24"/>
      <c r="AE116" s="24"/>
      <c r="AF116" s="24"/>
      <c r="AG116" s="24"/>
      <c r="AH116" s="24"/>
      <c r="AI116" s="24"/>
      <c r="AJ116" s="24"/>
      <c r="AK116" s="24"/>
      <c r="AL116" s="24"/>
      <c r="AM116" s="24"/>
      <c r="AN116" s="24"/>
      <c r="AO116" s="24"/>
      <c r="AP116" s="24"/>
      <c r="AQ116" s="24"/>
      <c r="AR116" s="24"/>
      <c r="AS116" s="24"/>
      <c r="AT116" s="24"/>
      <c r="AU116" s="24"/>
      <c r="AV116" s="24"/>
      <c r="AW116" s="24"/>
      <c r="AX116" s="24"/>
      <c r="AY116" s="24"/>
      <c r="AZ116" s="24"/>
    </row>
    <row r="117" ht="19.5" customHeight="1">
      <c r="A117" s="23" t="str">
        <f>IF(Roster!$A$115&lt;&gt;"",Roster!$A$115,"")</f>
        <v/>
      </c>
      <c r="B117" s="24"/>
      <c r="C117" s="24"/>
      <c r="D117" s="24"/>
      <c r="E117" s="24"/>
      <c r="F117" s="24"/>
      <c r="G117" s="24"/>
      <c r="H117" s="24"/>
      <c r="I117" s="24"/>
      <c r="J117" s="24"/>
      <c r="K117" s="24"/>
      <c r="L117" s="24"/>
      <c r="M117" s="24"/>
      <c r="N117" s="24"/>
      <c r="O117" s="24"/>
      <c r="P117" s="24"/>
      <c r="Q117" s="24"/>
      <c r="R117" s="24"/>
      <c r="S117" s="24"/>
      <c r="T117" s="24"/>
      <c r="U117" s="24"/>
      <c r="V117" s="24"/>
      <c r="W117" s="24"/>
      <c r="X117" s="24"/>
      <c r="Y117" s="24"/>
      <c r="Z117" s="24"/>
      <c r="AA117" s="24"/>
      <c r="AB117" s="24"/>
      <c r="AC117" s="24"/>
      <c r="AD117" s="24"/>
      <c r="AE117" s="24"/>
      <c r="AF117" s="24"/>
      <c r="AG117" s="24"/>
      <c r="AH117" s="24"/>
      <c r="AI117" s="24"/>
      <c r="AJ117" s="24"/>
      <c r="AK117" s="24"/>
      <c r="AL117" s="24"/>
      <c r="AM117" s="24"/>
      <c r="AN117" s="24"/>
      <c r="AO117" s="24"/>
      <c r="AP117" s="24"/>
      <c r="AQ117" s="24"/>
      <c r="AR117" s="24"/>
      <c r="AS117" s="24"/>
      <c r="AT117" s="24"/>
      <c r="AU117" s="24"/>
      <c r="AV117" s="24"/>
      <c r="AW117" s="24"/>
      <c r="AX117" s="24"/>
      <c r="AY117" s="24"/>
      <c r="AZ117" s="24"/>
    </row>
    <row r="118" ht="19.5" customHeight="1">
      <c r="A118" s="23" t="str">
        <f>IF(Roster!$A$116&lt;&gt;"",Roster!$A$116,"")</f>
        <v/>
      </c>
      <c r="B118" s="24"/>
      <c r="C118" s="24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Q118" s="24"/>
      <c r="R118" s="24"/>
      <c r="S118" s="24"/>
      <c r="T118" s="24"/>
      <c r="U118" s="24"/>
      <c r="V118" s="24"/>
      <c r="W118" s="24"/>
      <c r="X118" s="24"/>
      <c r="Y118" s="24"/>
      <c r="Z118" s="24"/>
      <c r="AA118" s="24"/>
      <c r="AB118" s="24"/>
      <c r="AC118" s="24"/>
      <c r="AD118" s="24"/>
      <c r="AE118" s="24"/>
      <c r="AF118" s="24"/>
      <c r="AG118" s="24"/>
      <c r="AH118" s="24"/>
      <c r="AI118" s="24"/>
      <c r="AJ118" s="24"/>
      <c r="AK118" s="24"/>
      <c r="AL118" s="24"/>
      <c r="AM118" s="24"/>
      <c r="AN118" s="24"/>
      <c r="AO118" s="24"/>
      <c r="AP118" s="24"/>
      <c r="AQ118" s="24"/>
      <c r="AR118" s="24"/>
      <c r="AS118" s="24"/>
      <c r="AT118" s="24"/>
      <c r="AU118" s="24"/>
      <c r="AV118" s="24"/>
      <c r="AW118" s="24"/>
      <c r="AX118" s="24"/>
      <c r="AY118" s="24"/>
      <c r="AZ118" s="24"/>
    </row>
    <row r="119" ht="19.5" customHeight="1">
      <c r="A119" s="23" t="str">
        <f>IF(Roster!$A$117&lt;&gt;"",Roster!$A$117,"")</f>
        <v/>
      </c>
      <c r="B119" s="24"/>
      <c r="C119" s="24"/>
      <c r="D119" s="24"/>
      <c r="E119" s="24"/>
      <c r="F119" s="24"/>
      <c r="G119" s="24"/>
      <c r="H119" s="24"/>
      <c r="I119" s="24"/>
      <c r="J119" s="24"/>
      <c r="K119" s="24"/>
      <c r="L119" s="24"/>
      <c r="M119" s="24"/>
      <c r="N119" s="24"/>
      <c r="O119" s="24"/>
      <c r="P119" s="24"/>
      <c r="Q119" s="24"/>
      <c r="R119" s="24"/>
      <c r="S119" s="24"/>
      <c r="T119" s="24"/>
      <c r="U119" s="24"/>
      <c r="V119" s="24"/>
      <c r="W119" s="24"/>
      <c r="X119" s="24"/>
      <c r="Y119" s="24"/>
      <c r="Z119" s="24"/>
      <c r="AA119" s="24"/>
      <c r="AB119" s="24"/>
      <c r="AC119" s="24"/>
      <c r="AD119" s="24"/>
      <c r="AE119" s="24"/>
      <c r="AF119" s="24"/>
      <c r="AG119" s="24"/>
      <c r="AH119" s="24"/>
      <c r="AI119" s="24"/>
      <c r="AJ119" s="24"/>
      <c r="AK119" s="24"/>
      <c r="AL119" s="24"/>
      <c r="AM119" s="24"/>
      <c r="AN119" s="24"/>
      <c r="AO119" s="24"/>
      <c r="AP119" s="24"/>
      <c r="AQ119" s="24"/>
      <c r="AR119" s="24"/>
      <c r="AS119" s="24"/>
      <c r="AT119" s="24"/>
      <c r="AU119" s="24"/>
      <c r="AV119" s="24"/>
      <c r="AW119" s="24"/>
      <c r="AX119" s="24"/>
      <c r="AY119" s="24"/>
      <c r="AZ119" s="24"/>
    </row>
    <row r="120" ht="19.5" customHeight="1">
      <c r="A120" s="23" t="str">
        <f>IF(Roster!$A$118&lt;&gt;"",Roster!$A$118,"")</f>
        <v/>
      </c>
      <c r="B120" s="24"/>
      <c r="C120" s="24"/>
      <c r="D120" s="24"/>
      <c r="E120" s="24"/>
      <c r="F120" s="24"/>
      <c r="G120" s="24"/>
      <c r="H120" s="24"/>
      <c r="I120" s="24"/>
      <c r="J120" s="24"/>
      <c r="K120" s="24"/>
      <c r="L120" s="24"/>
      <c r="M120" s="24"/>
      <c r="N120" s="24"/>
      <c r="O120" s="24"/>
      <c r="P120" s="24"/>
      <c r="Q120" s="24"/>
      <c r="R120" s="24"/>
      <c r="S120" s="24"/>
      <c r="T120" s="24"/>
      <c r="U120" s="24"/>
      <c r="V120" s="24"/>
      <c r="W120" s="24"/>
      <c r="X120" s="24"/>
      <c r="Y120" s="24"/>
      <c r="Z120" s="24"/>
      <c r="AA120" s="24"/>
      <c r="AB120" s="24"/>
      <c r="AC120" s="24"/>
      <c r="AD120" s="24"/>
      <c r="AE120" s="24"/>
      <c r="AF120" s="24"/>
      <c r="AG120" s="24"/>
      <c r="AH120" s="24"/>
      <c r="AI120" s="24"/>
      <c r="AJ120" s="24"/>
      <c r="AK120" s="24"/>
      <c r="AL120" s="24"/>
      <c r="AM120" s="24"/>
      <c r="AN120" s="24"/>
      <c r="AO120" s="24"/>
      <c r="AP120" s="24"/>
      <c r="AQ120" s="24"/>
      <c r="AR120" s="24"/>
      <c r="AS120" s="24"/>
      <c r="AT120" s="24"/>
      <c r="AU120" s="24"/>
      <c r="AV120" s="24"/>
      <c r="AW120" s="24"/>
      <c r="AX120" s="24"/>
      <c r="AY120" s="24"/>
      <c r="AZ120" s="24"/>
    </row>
    <row r="121" ht="19.5" customHeight="1">
      <c r="A121" s="23" t="str">
        <f>IF(Roster!$A$119&lt;&gt;"",Roster!$A$119,"")</f>
        <v/>
      </c>
      <c r="B121" s="24"/>
      <c r="C121" s="24"/>
      <c r="D121" s="24"/>
      <c r="E121" s="24"/>
      <c r="F121" s="24"/>
      <c r="G121" s="24"/>
      <c r="H121" s="24"/>
      <c r="I121" s="24"/>
      <c r="J121" s="24"/>
      <c r="K121" s="24"/>
      <c r="L121" s="24"/>
      <c r="M121" s="24"/>
      <c r="N121" s="24"/>
      <c r="O121" s="24"/>
      <c r="P121" s="24"/>
      <c r="Q121" s="24"/>
      <c r="R121" s="24"/>
      <c r="S121" s="24"/>
      <c r="T121" s="24"/>
      <c r="U121" s="24"/>
      <c r="V121" s="24"/>
      <c r="W121" s="24"/>
      <c r="X121" s="24"/>
      <c r="Y121" s="24"/>
      <c r="Z121" s="24"/>
      <c r="AA121" s="24"/>
      <c r="AB121" s="24"/>
      <c r="AC121" s="24"/>
      <c r="AD121" s="24"/>
      <c r="AE121" s="24"/>
      <c r="AF121" s="24"/>
      <c r="AG121" s="24"/>
      <c r="AH121" s="24"/>
      <c r="AI121" s="24"/>
      <c r="AJ121" s="24"/>
      <c r="AK121" s="24"/>
      <c r="AL121" s="24"/>
      <c r="AM121" s="24"/>
      <c r="AN121" s="24"/>
      <c r="AO121" s="24"/>
      <c r="AP121" s="24"/>
      <c r="AQ121" s="24"/>
      <c r="AR121" s="24"/>
      <c r="AS121" s="24"/>
      <c r="AT121" s="24"/>
      <c r="AU121" s="24"/>
      <c r="AV121" s="24"/>
      <c r="AW121" s="24"/>
      <c r="AX121" s="24"/>
      <c r="AY121" s="24"/>
      <c r="AZ121" s="24"/>
    </row>
    <row r="122" ht="19.5" customHeight="1">
      <c r="A122" s="23" t="str">
        <f>IF(Roster!$A$120&lt;&gt;"",Roster!$A$120,"")</f>
        <v/>
      </c>
      <c r="B122" s="24"/>
      <c r="C122" s="24"/>
      <c r="D122" s="24"/>
      <c r="E122" s="24"/>
      <c r="F122" s="24"/>
      <c r="G122" s="24"/>
      <c r="H122" s="24"/>
      <c r="I122" s="24"/>
      <c r="J122" s="24"/>
      <c r="K122" s="24"/>
      <c r="L122" s="24"/>
      <c r="M122" s="24"/>
      <c r="N122" s="24"/>
      <c r="O122" s="24"/>
      <c r="P122" s="24"/>
      <c r="Q122" s="24"/>
      <c r="R122" s="24"/>
      <c r="S122" s="24"/>
      <c r="T122" s="24"/>
      <c r="U122" s="24"/>
      <c r="V122" s="24"/>
      <c r="W122" s="24"/>
      <c r="X122" s="24"/>
      <c r="Y122" s="24"/>
      <c r="Z122" s="24"/>
      <c r="AA122" s="24"/>
      <c r="AB122" s="24"/>
      <c r="AC122" s="24"/>
      <c r="AD122" s="24"/>
      <c r="AE122" s="24"/>
      <c r="AF122" s="24"/>
      <c r="AG122" s="24"/>
      <c r="AH122" s="24"/>
      <c r="AI122" s="24"/>
      <c r="AJ122" s="24"/>
      <c r="AK122" s="24"/>
      <c r="AL122" s="24"/>
      <c r="AM122" s="24"/>
      <c r="AN122" s="24"/>
      <c r="AO122" s="24"/>
      <c r="AP122" s="24"/>
      <c r="AQ122" s="24"/>
      <c r="AR122" s="24"/>
      <c r="AS122" s="24"/>
      <c r="AT122" s="24"/>
      <c r="AU122" s="24"/>
      <c r="AV122" s="24"/>
      <c r="AW122" s="24"/>
      <c r="AX122" s="24"/>
      <c r="AY122" s="24"/>
      <c r="AZ122" s="24"/>
    </row>
    <row r="123" ht="19.5" customHeight="1">
      <c r="A123" s="23" t="str">
        <f>IF(Roster!$A$121&lt;&gt;"",Roster!$A$121,"")</f>
        <v/>
      </c>
      <c r="B123" s="24"/>
      <c r="C123" s="24"/>
      <c r="D123" s="24"/>
      <c r="E123" s="24"/>
      <c r="F123" s="24"/>
      <c r="G123" s="24"/>
      <c r="H123" s="24"/>
      <c r="I123" s="24"/>
      <c r="J123" s="24"/>
      <c r="K123" s="24"/>
      <c r="L123" s="24"/>
      <c r="M123" s="24"/>
      <c r="N123" s="24"/>
      <c r="O123" s="24"/>
      <c r="P123" s="24"/>
      <c r="Q123" s="24"/>
      <c r="R123" s="24"/>
      <c r="S123" s="24"/>
      <c r="T123" s="24"/>
      <c r="U123" s="24"/>
      <c r="V123" s="24"/>
      <c r="W123" s="24"/>
      <c r="X123" s="24"/>
      <c r="Y123" s="24"/>
      <c r="Z123" s="24"/>
      <c r="AA123" s="24"/>
      <c r="AB123" s="24"/>
      <c r="AC123" s="24"/>
      <c r="AD123" s="24"/>
      <c r="AE123" s="24"/>
      <c r="AF123" s="24"/>
      <c r="AG123" s="24"/>
      <c r="AH123" s="24"/>
      <c r="AI123" s="24"/>
      <c r="AJ123" s="24"/>
      <c r="AK123" s="24"/>
      <c r="AL123" s="24"/>
      <c r="AM123" s="24"/>
      <c r="AN123" s="24"/>
      <c r="AO123" s="24"/>
      <c r="AP123" s="24"/>
      <c r="AQ123" s="24"/>
      <c r="AR123" s="24"/>
      <c r="AS123" s="24"/>
      <c r="AT123" s="24"/>
      <c r="AU123" s="24"/>
      <c r="AV123" s="24"/>
      <c r="AW123" s="24"/>
      <c r="AX123" s="24"/>
      <c r="AY123" s="24"/>
      <c r="AZ123" s="24"/>
    </row>
    <row r="124" ht="19.5" customHeight="1">
      <c r="A124" s="23" t="str">
        <f>IF(Roster!$A$122&lt;&gt;"",Roster!$A$122,"")</f>
        <v/>
      </c>
      <c r="B124" s="24"/>
      <c r="C124" s="24"/>
      <c r="D124" s="24"/>
      <c r="E124" s="24"/>
      <c r="F124" s="24"/>
      <c r="G124" s="24"/>
      <c r="H124" s="24"/>
      <c r="I124" s="24"/>
      <c r="J124" s="24"/>
      <c r="K124" s="24"/>
      <c r="L124" s="24"/>
      <c r="M124" s="24"/>
      <c r="N124" s="24"/>
      <c r="O124" s="24"/>
      <c r="P124" s="24"/>
      <c r="Q124" s="24"/>
      <c r="R124" s="24"/>
      <c r="S124" s="24"/>
      <c r="T124" s="24"/>
      <c r="U124" s="24"/>
      <c r="V124" s="24"/>
      <c r="W124" s="24"/>
      <c r="X124" s="24"/>
      <c r="Y124" s="24"/>
      <c r="Z124" s="24"/>
      <c r="AA124" s="24"/>
      <c r="AB124" s="24"/>
      <c r="AC124" s="24"/>
      <c r="AD124" s="24"/>
      <c r="AE124" s="24"/>
      <c r="AF124" s="24"/>
      <c r="AG124" s="24"/>
      <c r="AH124" s="24"/>
      <c r="AI124" s="24"/>
      <c r="AJ124" s="24"/>
      <c r="AK124" s="24"/>
      <c r="AL124" s="24"/>
      <c r="AM124" s="24"/>
      <c r="AN124" s="24"/>
      <c r="AO124" s="24"/>
      <c r="AP124" s="24"/>
      <c r="AQ124" s="24"/>
      <c r="AR124" s="24"/>
      <c r="AS124" s="24"/>
      <c r="AT124" s="24"/>
      <c r="AU124" s="24"/>
      <c r="AV124" s="24"/>
      <c r="AW124" s="24"/>
      <c r="AX124" s="24"/>
      <c r="AY124" s="24"/>
      <c r="AZ124" s="24"/>
    </row>
    <row r="125" ht="19.5" customHeight="1">
      <c r="A125" s="23" t="str">
        <f>IF(Roster!$A$123&lt;&gt;"",Roster!$A$123,"")</f>
        <v/>
      </c>
      <c r="B125" s="24"/>
      <c r="C125" s="24"/>
      <c r="D125" s="24"/>
      <c r="E125" s="24"/>
      <c r="F125" s="24"/>
      <c r="G125" s="24"/>
      <c r="H125" s="24"/>
      <c r="I125" s="24"/>
      <c r="J125" s="24"/>
      <c r="K125" s="24"/>
      <c r="L125" s="24"/>
      <c r="M125" s="24"/>
      <c r="N125" s="24"/>
      <c r="O125" s="24"/>
      <c r="P125" s="24"/>
      <c r="Q125" s="24"/>
      <c r="R125" s="24"/>
      <c r="S125" s="24"/>
      <c r="T125" s="24"/>
      <c r="U125" s="24"/>
      <c r="V125" s="24"/>
      <c r="W125" s="24"/>
      <c r="X125" s="24"/>
      <c r="Y125" s="24"/>
      <c r="Z125" s="24"/>
      <c r="AA125" s="24"/>
      <c r="AB125" s="24"/>
      <c r="AC125" s="24"/>
      <c r="AD125" s="24"/>
      <c r="AE125" s="24"/>
      <c r="AF125" s="24"/>
      <c r="AG125" s="24"/>
      <c r="AH125" s="24"/>
      <c r="AI125" s="24"/>
      <c r="AJ125" s="24"/>
      <c r="AK125" s="24"/>
      <c r="AL125" s="24"/>
      <c r="AM125" s="24"/>
      <c r="AN125" s="24"/>
      <c r="AO125" s="24"/>
      <c r="AP125" s="24"/>
      <c r="AQ125" s="24"/>
      <c r="AR125" s="24"/>
      <c r="AS125" s="24"/>
      <c r="AT125" s="24"/>
      <c r="AU125" s="24"/>
      <c r="AV125" s="24"/>
      <c r="AW125" s="24"/>
      <c r="AX125" s="24"/>
      <c r="AY125" s="24"/>
      <c r="AZ125" s="24"/>
    </row>
    <row r="126" ht="19.5" customHeight="1">
      <c r="A126" s="23" t="str">
        <f>IF(Roster!$A$124&lt;&gt;"",Roster!$A$124,"")</f>
        <v/>
      </c>
      <c r="B126" s="24"/>
      <c r="C126" s="24"/>
      <c r="D126" s="24"/>
      <c r="E126" s="24"/>
      <c r="F126" s="24"/>
      <c r="G126" s="24"/>
      <c r="H126" s="24"/>
      <c r="I126" s="24"/>
      <c r="J126" s="24"/>
      <c r="K126" s="24"/>
      <c r="L126" s="24"/>
      <c r="M126" s="24"/>
      <c r="N126" s="24"/>
      <c r="O126" s="24"/>
      <c r="P126" s="24"/>
      <c r="Q126" s="24"/>
      <c r="R126" s="24"/>
      <c r="S126" s="24"/>
      <c r="T126" s="24"/>
      <c r="U126" s="24"/>
      <c r="V126" s="24"/>
      <c r="W126" s="24"/>
      <c r="X126" s="24"/>
      <c r="Y126" s="24"/>
      <c r="Z126" s="24"/>
      <c r="AA126" s="24"/>
      <c r="AB126" s="24"/>
      <c r="AC126" s="24"/>
      <c r="AD126" s="24"/>
      <c r="AE126" s="24"/>
      <c r="AF126" s="24"/>
      <c r="AG126" s="24"/>
      <c r="AH126" s="24"/>
      <c r="AI126" s="24"/>
      <c r="AJ126" s="24"/>
      <c r="AK126" s="24"/>
      <c r="AL126" s="24"/>
      <c r="AM126" s="24"/>
      <c r="AN126" s="24"/>
      <c r="AO126" s="24"/>
      <c r="AP126" s="24"/>
      <c r="AQ126" s="24"/>
      <c r="AR126" s="24"/>
      <c r="AS126" s="24"/>
      <c r="AT126" s="24"/>
      <c r="AU126" s="24"/>
      <c r="AV126" s="24"/>
      <c r="AW126" s="24"/>
      <c r="AX126" s="24"/>
      <c r="AY126" s="24"/>
      <c r="AZ126" s="24"/>
    </row>
    <row r="127" ht="19.5" customHeight="1">
      <c r="A127" s="23" t="str">
        <f>IF(Roster!$A$125&lt;&gt;"",Roster!$A$125,"")</f>
        <v/>
      </c>
      <c r="B127" s="24"/>
      <c r="C127" s="24"/>
      <c r="D127" s="24"/>
      <c r="E127" s="24"/>
      <c r="F127" s="24"/>
      <c r="G127" s="24"/>
      <c r="H127" s="24"/>
      <c r="I127" s="24"/>
      <c r="J127" s="24"/>
      <c r="K127" s="24"/>
      <c r="L127" s="24"/>
      <c r="M127" s="24"/>
      <c r="N127" s="24"/>
      <c r="O127" s="24"/>
      <c r="P127" s="24"/>
      <c r="Q127" s="24"/>
      <c r="R127" s="24"/>
      <c r="S127" s="24"/>
      <c r="T127" s="24"/>
      <c r="U127" s="24"/>
      <c r="V127" s="24"/>
      <c r="W127" s="24"/>
      <c r="X127" s="24"/>
      <c r="Y127" s="24"/>
      <c r="Z127" s="24"/>
      <c r="AA127" s="24"/>
      <c r="AB127" s="24"/>
      <c r="AC127" s="24"/>
      <c r="AD127" s="24"/>
      <c r="AE127" s="24"/>
      <c r="AF127" s="24"/>
      <c r="AG127" s="24"/>
      <c r="AH127" s="24"/>
      <c r="AI127" s="24"/>
      <c r="AJ127" s="24"/>
      <c r="AK127" s="24"/>
      <c r="AL127" s="24"/>
      <c r="AM127" s="24"/>
      <c r="AN127" s="24"/>
      <c r="AO127" s="24"/>
      <c r="AP127" s="24"/>
      <c r="AQ127" s="24"/>
      <c r="AR127" s="24"/>
      <c r="AS127" s="24"/>
      <c r="AT127" s="24"/>
      <c r="AU127" s="24"/>
      <c r="AV127" s="24"/>
      <c r="AW127" s="24"/>
      <c r="AX127" s="24"/>
      <c r="AY127" s="24"/>
      <c r="AZ127" s="24"/>
    </row>
    <row r="128" ht="19.5" customHeight="1">
      <c r="A128" s="23" t="str">
        <f>IF(Roster!$A$126&lt;&gt;"",Roster!$A$126,"")</f>
        <v/>
      </c>
      <c r="B128" s="24"/>
      <c r="C128" s="24"/>
      <c r="D128" s="24"/>
      <c r="E128" s="24"/>
      <c r="F128" s="24"/>
      <c r="G128" s="24"/>
      <c r="H128" s="24"/>
      <c r="I128" s="24"/>
      <c r="J128" s="24"/>
      <c r="K128" s="24"/>
      <c r="L128" s="24"/>
      <c r="M128" s="24"/>
      <c r="N128" s="24"/>
      <c r="O128" s="24"/>
      <c r="P128" s="24"/>
      <c r="Q128" s="24"/>
      <c r="R128" s="24"/>
      <c r="S128" s="24"/>
      <c r="T128" s="24"/>
      <c r="U128" s="24"/>
      <c r="V128" s="24"/>
      <c r="W128" s="24"/>
      <c r="X128" s="24"/>
      <c r="Y128" s="24"/>
      <c r="Z128" s="24"/>
      <c r="AA128" s="24"/>
      <c r="AB128" s="24"/>
      <c r="AC128" s="24"/>
      <c r="AD128" s="24"/>
      <c r="AE128" s="24"/>
      <c r="AF128" s="24"/>
      <c r="AG128" s="24"/>
      <c r="AH128" s="24"/>
      <c r="AI128" s="24"/>
      <c r="AJ128" s="24"/>
      <c r="AK128" s="24"/>
      <c r="AL128" s="24"/>
      <c r="AM128" s="24"/>
      <c r="AN128" s="24"/>
      <c r="AO128" s="24"/>
      <c r="AP128" s="24"/>
      <c r="AQ128" s="24"/>
      <c r="AR128" s="24"/>
      <c r="AS128" s="24"/>
      <c r="AT128" s="24"/>
      <c r="AU128" s="24"/>
      <c r="AV128" s="24"/>
      <c r="AW128" s="24"/>
      <c r="AX128" s="24"/>
      <c r="AY128" s="24"/>
      <c r="AZ128" s="24"/>
    </row>
    <row r="129" ht="19.5" customHeight="1">
      <c r="A129" s="23" t="str">
        <f>IF(Roster!$A$127&lt;&gt;"",Roster!$A$127,"")</f>
        <v/>
      </c>
      <c r="B129" s="24"/>
      <c r="C129" s="24"/>
      <c r="D129" s="24"/>
      <c r="E129" s="24"/>
      <c r="F129" s="24"/>
      <c r="G129" s="24"/>
      <c r="H129" s="24"/>
      <c r="I129" s="24"/>
      <c r="J129" s="24"/>
      <c r="K129" s="24"/>
      <c r="L129" s="24"/>
      <c r="M129" s="24"/>
      <c r="N129" s="24"/>
      <c r="O129" s="24"/>
      <c r="P129" s="24"/>
      <c r="Q129" s="24"/>
      <c r="R129" s="24"/>
      <c r="S129" s="24"/>
      <c r="T129" s="24"/>
      <c r="U129" s="24"/>
      <c r="V129" s="24"/>
      <c r="W129" s="24"/>
      <c r="X129" s="24"/>
      <c r="Y129" s="24"/>
      <c r="Z129" s="24"/>
      <c r="AA129" s="24"/>
      <c r="AB129" s="24"/>
      <c r="AC129" s="24"/>
      <c r="AD129" s="24"/>
      <c r="AE129" s="24"/>
      <c r="AF129" s="24"/>
      <c r="AG129" s="24"/>
      <c r="AH129" s="24"/>
      <c r="AI129" s="24"/>
      <c r="AJ129" s="24"/>
      <c r="AK129" s="24"/>
      <c r="AL129" s="24"/>
      <c r="AM129" s="24"/>
      <c r="AN129" s="24"/>
      <c r="AO129" s="24"/>
      <c r="AP129" s="24"/>
      <c r="AQ129" s="24"/>
      <c r="AR129" s="24"/>
      <c r="AS129" s="24"/>
      <c r="AT129" s="24"/>
      <c r="AU129" s="24"/>
      <c r="AV129" s="24"/>
      <c r="AW129" s="24"/>
      <c r="AX129" s="24"/>
      <c r="AY129" s="24"/>
      <c r="AZ129" s="24"/>
    </row>
    <row r="130" ht="19.5" customHeight="1">
      <c r="A130" s="23" t="str">
        <f>IF(Roster!$A$128&lt;&gt;"",Roster!$A$128,"")</f>
        <v/>
      </c>
      <c r="B130" s="24"/>
      <c r="C130" s="24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24"/>
      <c r="T130" s="24"/>
      <c r="U130" s="24"/>
      <c r="V130" s="24"/>
      <c r="W130" s="24"/>
      <c r="X130" s="24"/>
      <c r="Y130" s="24"/>
      <c r="Z130" s="24"/>
      <c r="AA130" s="24"/>
      <c r="AB130" s="24"/>
      <c r="AC130" s="24"/>
      <c r="AD130" s="24"/>
      <c r="AE130" s="24"/>
      <c r="AF130" s="24"/>
      <c r="AG130" s="24"/>
      <c r="AH130" s="24"/>
      <c r="AI130" s="24"/>
      <c r="AJ130" s="24"/>
      <c r="AK130" s="24"/>
      <c r="AL130" s="24"/>
      <c r="AM130" s="24"/>
      <c r="AN130" s="24"/>
      <c r="AO130" s="24"/>
      <c r="AP130" s="24"/>
      <c r="AQ130" s="24"/>
      <c r="AR130" s="24"/>
      <c r="AS130" s="24"/>
      <c r="AT130" s="24"/>
      <c r="AU130" s="24"/>
      <c r="AV130" s="24"/>
      <c r="AW130" s="24"/>
      <c r="AX130" s="24"/>
      <c r="AY130" s="24"/>
      <c r="AZ130" s="24"/>
    </row>
    <row r="131" ht="19.5" customHeight="1">
      <c r="A131" s="23" t="str">
        <f>IF(Roster!$A$129&lt;&gt;"",Roster!$A$129,"")</f>
        <v/>
      </c>
      <c r="B131" s="24"/>
      <c r="C131" s="24"/>
      <c r="D131" s="24"/>
      <c r="E131" s="24"/>
      <c r="F131" s="24"/>
      <c r="G131" s="24"/>
      <c r="H131" s="24"/>
      <c r="I131" s="24"/>
      <c r="J131" s="24"/>
      <c r="K131" s="24"/>
      <c r="L131" s="24"/>
      <c r="M131" s="24"/>
      <c r="N131" s="24"/>
      <c r="O131" s="24"/>
      <c r="P131" s="24"/>
      <c r="Q131" s="24"/>
      <c r="R131" s="24"/>
      <c r="S131" s="24"/>
      <c r="T131" s="24"/>
      <c r="U131" s="24"/>
      <c r="V131" s="24"/>
      <c r="W131" s="24"/>
      <c r="X131" s="24"/>
      <c r="Y131" s="24"/>
      <c r="Z131" s="24"/>
      <c r="AA131" s="24"/>
      <c r="AB131" s="24"/>
      <c r="AC131" s="24"/>
      <c r="AD131" s="24"/>
      <c r="AE131" s="24"/>
      <c r="AF131" s="24"/>
      <c r="AG131" s="24"/>
      <c r="AH131" s="24"/>
      <c r="AI131" s="24"/>
      <c r="AJ131" s="24"/>
      <c r="AK131" s="24"/>
      <c r="AL131" s="24"/>
      <c r="AM131" s="24"/>
      <c r="AN131" s="24"/>
      <c r="AO131" s="24"/>
      <c r="AP131" s="24"/>
      <c r="AQ131" s="24"/>
      <c r="AR131" s="24"/>
      <c r="AS131" s="24"/>
      <c r="AT131" s="24"/>
      <c r="AU131" s="24"/>
      <c r="AV131" s="24"/>
      <c r="AW131" s="24"/>
      <c r="AX131" s="24"/>
      <c r="AY131" s="24"/>
      <c r="AZ131" s="24"/>
    </row>
    <row r="132" ht="19.5" customHeight="1">
      <c r="A132" s="23" t="str">
        <f>IF(Roster!$A$130&lt;&gt;"",Roster!$A$130,"")</f>
        <v/>
      </c>
      <c r="B132" s="24"/>
      <c r="C132" s="24"/>
      <c r="D132" s="24"/>
      <c r="E132" s="24"/>
      <c r="F132" s="24"/>
      <c r="G132" s="24"/>
      <c r="H132" s="24"/>
      <c r="I132" s="24"/>
      <c r="J132" s="24"/>
      <c r="K132" s="24"/>
      <c r="L132" s="24"/>
      <c r="M132" s="24"/>
      <c r="N132" s="24"/>
      <c r="O132" s="24"/>
      <c r="P132" s="24"/>
      <c r="Q132" s="24"/>
      <c r="R132" s="24"/>
      <c r="S132" s="24"/>
      <c r="T132" s="24"/>
      <c r="U132" s="24"/>
      <c r="V132" s="24"/>
      <c r="W132" s="24"/>
      <c r="X132" s="24"/>
      <c r="Y132" s="24"/>
      <c r="Z132" s="24"/>
      <c r="AA132" s="24"/>
      <c r="AB132" s="24"/>
      <c r="AC132" s="24"/>
      <c r="AD132" s="24"/>
      <c r="AE132" s="24"/>
      <c r="AF132" s="24"/>
      <c r="AG132" s="24"/>
      <c r="AH132" s="24"/>
      <c r="AI132" s="24"/>
      <c r="AJ132" s="24"/>
      <c r="AK132" s="24"/>
      <c r="AL132" s="24"/>
      <c r="AM132" s="24"/>
      <c r="AN132" s="24"/>
      <c r="AO132" s="24"/>
      <c r="AP132" s="24"/>
      <c r="AQ132" s="24"/>
      <c r="AR132" s="24"/>
      <c r="AS132" s="24"/>
      <c r="AT132" s="24"/>
      <c r="AU132" s="24"/>
      <c r="AV132" s="24"/>
      <c r="AW132" s="24"/>
      <c r="AX132" s="24"/>
      <c r="AY132" s="24"/>
      <c r="AZ132" s="24"/>
    </row>
    <row r="133" ht="19.5" customHeight="1">
      <c r="A133" s="23" t="str">
        <f>IF(Roster!$A$131&lt;&gt;"",Roster!$A$131,"")</f>
        <v/>
      </c>
      <c r="B133" s="24"/>
      <c r="C133" s="24"/>
      <c r="D133" s="24"/>
      <c r="E133" s="24"/>
      <c r="F133" s="24"/>
      <c r="G133" s="24"/>
      <c r="H133" s="24"/>
      <c r="I133" s="24"/>
      <c r="J133" s="24"/>
      <c r="K133" s="24"/>
      <c r="L133" s="24"/>
      <c r="M133" s="24"/>
      <c r="N133" s="24"/>
      <c r="O133" s="24"/>
      <c r="P133" s="24"/>
      <c r="Q133" s="24"/>
      <c r="R133" s="24"/>
      <c r="S133" s="24"/>
      <c r="T133" s="24"/>
      <c r="U133" s="24"/>
      <c r="V133" s="24"/>
      <c r="W133" s="24"/>
      <c r="X133" s="24"/>
      <c r="Y133" s="24"/>
      <c r="Z133" s="24"/>
      <c r="AA133" s="24"/>
      <c r="AB133" s="24"/>
      <c r="AC133" s="24"/>
      <c r="AD133" s="24"/>
      <c r="AE133" s="24"/>
      <c r="AF133" s="24"/>
      <c r="AG133" s="24"/>
      <c r="AH133" s="24"/>
      <c r="AI133" s="24"/>
      <c r="AJ133" s="24"/>
      <c r="AK133" s="24"/>
      <c r="AL133" s="24"/>
      <c r="AM133" s="24"/>
      <c r="AN133" s="24"/>
      <c r="AO133" s="24"/>
      <c r="AP133" s="24"/>
      <c r="AQ133" s="24"/>
      <c r="AR133" s="24"/>
      <c r="AS133" s="24"/>
      <c r="AT133" s="24"/>
      <c r="AU133" s="24"/>
      <c r="AV133" s="24"/>
      <c r="AW133" s="24"/>
      <c r="AX133" s="24"/>
      <c r="AY133" s="24"/>
      <c r="AZ133" s="24"/>
    </row>
    <row r="134" ht="19.5" customHeight="1">
      <c r="A134" s="23" t="str">
        <f>IF(Roster!$A$132&lt;&gt;"",Roster!$A$132,"")</f>
        <v/>
      </c>
      <c r="B134" s="24"/>
      <c r="C134" s="24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24"/>
      <c r="T134" s="24"/>
      <c r="U134" s="24"/>
      <c r="V134" s="24"/>
      <c r="W134" s="24"/>
      <c r="X134" s="24"/>
      <c r="Y134" s="24"/>
      <c r="Z134" s="24"/>
      <c r="AA134" s="24"/>
      <c r="AB134" s="24"/>
      <c r="AC134" s="24"/>
      <c r="AD134" s="24"/>
      <c r="AE134" s="24"/>
      <c r="AF134" s="24"/>
      <c r="AG134" s="24"/>
      <c r="AH134" s="24"/>
      <c r="AI134" s="24"/>
      <c r="AJ134" s="24"/>
      <c r="AK134" s="24"/>
      <c r="AL134" s="24"/>
      <c r="AM134" s="24"/>
      <c r="AN134" s="24"/>
      <c r="AO134" s="24"/>
      <c r="AP134" s="24"/>
      <c r="AQ134" s="24"/>
      <c r="AR134" s="24"/>
      <c r="AS134" s="24"/>
      <c r="AT134" s="24"/>
      <c r="AU134" s="24"/>
      <c r="AV134" s="24"/>
      <c r="AW134" s="24"/>
      <c r="AX134" s="24"/>
      <c r="AY134" s="24"/>
      <c r="AZ134" s="24"/>
    </row>
    <row r="135" ht="19.5" customHeight="1">
      <c r="A135" s="23" t="str">
        <f>IF(Roster!$A$133&lt;&gt;"",Roster!$A$133,"")</f>
        <v/>
      </c>
      <c r="B135" s="24"/>
      <c r="C135" s="24"/>
      <c r="D135" s="24"/>
      <c r="E135" s="24"/>
      <c r="F135" s="24"/>
      <c r="G135" s="24"/>
      <c r="H135" s="24"/>
      <c r="I135" s="24"/>
      <c r="J135" s="24"/>
      <c r="K135" s="24"/>
      <c r="L135" s="24"/>
      <c r="M135" s="24"/>
      <c r="N135" s="24"/>
      <c r="O135" s="24"/>
      <c r="P135" s="24"/>
      <c r="Q135" s="24"/>
      <c r="R135" s="24"/>
      <c r="S135" s="24"/>
      <c r="T135" s="24"/>
      <c r="U135" s="24"/>
      <c r="V135" s="24"/>
      <c r="W135" s="24"/>
      <c r="X135" s="24"/>
      <c r="Y135" s="24"/>
      <c r="Z135" s="24"/>
      <c r="AA135" s="24"/>
      <c r="AB135" s="24"/>
      <c r="AC135" s="24"/>
      <c r="AD135" s="24"/>
      <c r="AE135" s="24"/>
      <c r="AF135" s="24"/>
      <c r="AG135" s="24"/>
      <c r="AH135" s="24"/>
      <c r="AI135" s="24"/>
      <c r="AJ135" s="24"/>
      <c r="AK135" s="24"/>
      <c r="AL135" s="24"/>
      <c r="AM135" s="24"/>
      <c r="AN135" s="24"/>
      <c r="AO135" s="24"/>
      <c r="AP135" s="24"/>
      <c r="AQ135" s="24"/>
      <c r="AR135" s="24"/>
      <c r="AS135" s="24"/>
      <c r="AT135" s="24"/>
      <c r="AU135" s="24"/>
      <c r="AV135" s="24"/>
      <c r="AW135" s="24"/>
      <c r="AX135" s="24"/>
      <c r="AY135" s="24"/>
      <c r="AZ135" s="24"/>
    </row>
    <row r="136" ht="19.5" customHeight="1">
      <c r="A136" s="23" t="str">
        <f>IF(Roster!$A$134&lt;&gt;"",Roster!$A$134,"")</f>
        <v/>
      </c>
      <c r="B136" s="24"/>
      <c r="C136" s="24"/>
      <c r="D136" s="24"/>
      <c r="E136" s="24"/>
      <c r="F136" s="24"/>
      <c r="G136" s="24"/>
      <c r="H136" s="24"/>
      <c r="I136" s="24"/>
      <c r="J136" s="24"/>
      <c r="K136" s="24"/>
      <c r="L136" s="24"/>
      <c r="M136" s="24"/>
      <c r="N136" s="24"/>
      <c r="O136" s="24"/>
      <c r="P136" s="24"/>
      <c r="Q136" s="24"/>
      <c r="R136" s="24"/>
      <c r="S136" s="24"/>
      <c r="T136" s="24"/>
      <c r="U136" s="24"/>
      <c r="V136" s="24"/>
      <c r="W136" s="24"/>
      <c r="X136" s="24"/>
      <c r="Y136" s="24"/>
      <c r="Z136" s="24"/>
      <c r="AA136" s="24"/>
      <c r="AB136" s="24"/>
      <c r="AC136" s="24"/>
      <c r="AD136" s="24"/>
      <c r="AE136" s="24"/>
      <c r="AF136" s="24"/>
      <c r="AG136" s="24"/>
      <c r="AH136" s="24"/>
      <c r="AI136" s="24"/>
      <c r="AJ136" s="24"/>
      <c r="AK136" s="24"/>
      <c r="AL136" s="24"/>
      <c r="AM136" s="24"/>
      <c r="AN136" s="24"/>
      <c r="AO136" s="24"/>
      <c r="AP136" s="24"/>
      <c r="AQ136" s="24"/>
      <c r="AR136" s="24"/>
      <c r="AS136" s="24"/>
      <c r="AT136" s="24"/>
      <c r="AU136" s="24"/>
      <c r="AV136" s="24"/>
      <c r="AW136" s="24"/>
      <c r="AX136" s="24"/>
      <c r="AY136" s="24"/>
      <c r="AZ136" s="24"/>
    </row>
    <row r="137" ht="19.5" customHeight="1">
      <c r="A137" s="23" t="str">
        <f>IF(Roster!$A$135&lt;&gt;"",Roster!$A$135,"")</f>
        <v/>
      </c>
      <c r="B137" s="24"/>
      <c r="C137" s="24"/>
      <c r="D137" s="24"/>
      <c r="E137" s="24"/>
      <c r="F137" s="24"/>
      <c r="G137" s="24"/>
      <c r="H137" s="24"/>
      <c r="I137" s="24"/>
      <c r="J137" s="24"/>
      <c r="K137" s="24"/>
      <c r="L137" s="24"/>
      <c r="M137" s="24"/>
      <c r="N137" s="24"/>
      <c r="O137" s="24"/>
      <c r="P137" s="24"/>
      <c r="Q137" s="24"/>
      <c r="R137" s="24"/>
      <c r="S137" s="24"/>
      <c r="T137" s="24"/>
      <c r="U137" s="24"/>
      <c r="V137" s="24"/>
      <c r="W137" s="24"/>
      <c r="X137" s="24"/>
      <c r="Y137" s="24"/>
      <c r="Z137" s="24"/>
      <c r="AA137" s="24"/>
      <c r="AB137" s="24"/>
      <c r="AC137" s="24"/>
      <c r="AD137" s="24"/>
      <c r="AE137" s="24"/>
      <c r="AF137" s="24"/>
      <c r="AG137" s="24"/>
      <c r="AH137" s="24"/>
      <c r="AI137" s="24"/>
      <c r="AJ137" s="24"/>
      <c r="AK137" s="24"/>
      <c r="AL137" s="24"/>
      <c r="AM137" s="24"/>
      <c r="AN137" s="24"/>
      <c r="AO137" s="24"/>
      <c r="AP137" s="24"/>
      <c r="AQ137" s="24"/>
      <c r="AR137" s="24"/>
      <c r="AS137" s="24"/>
      <c r="AT137" s="24"/>
      <c r="AU137" s="24"/>
      <c r="AV137" s="24"/>
      <c r="AW137" s="24"/>
      <c r="AX137" s="24"/>
      <c r="AY137" s="24"/>
      <c r="AZ137" s="24"/>
    </row>
    <row r="138" ht="19.5" customHeight="1">
      <c r="A138" s="23" t="str">
        <f>IF(Roster!$A$136&lt;&gt;"",Roster!$A$136,"")</f>
        <v/>
      </c>
      <c r="B138" s="24"/>
      <c r="C138" s="24"/>
      <c r="D138" s="24"/>
      <c r="E138" s="24"/>
      <c r="F138" s="24"/>
      <c r="G138" s="24"/>
      <c r="H138" s="24"/>
      <c r="I138" s="24"/>
      <c r="J138" s="24"/>
      <c r="K138" s="24"/>
      <c r="L138" s="24"/>
      <c r="M138" s="24"/>
      <c r="N138" s="24"/>
      <c r="O138" s="24"/>
      <c r="P138" s="24"/>
      <c r="Q138" s="24"/>
      <c r="R138" s="24"/>
      <c r="S138" s="24"/>
      <c r="T138" s="24"/>
      <c r="U138" s="24"/>
      <c r="V138" s="24"/>
      <c r="W138" s="24"/>
      <c r="X138" s="24"/>
      <c r="Y138" s="24"/>
      <c r="Z138" s="24"/>
      <c r="AA138" s="24"/>
      <c r="AB138" s="24"/>
      <c r="AC138" s="24"/>
      <c r="AD138" s="24"/>
      <c r="AE138" s="24"/>
      <c r="AF138" s="24"/>
      <c r="AG138" s="24"/>
      <c r="AH138" s="24"/>
      <c r="AI138" s="24"/>
      <c r="AJ138" s="24"/>
      <c r="AK138" s="24"/>
      <c r="AL138" s="24"/>
      <c r="AM138" s="24"/>
      <c r="AN138" s="24"/>
      <c r="AO138" s="24"/>
      <c r="AP138" s="24"/>
      <c r="AQ138" s="24"/>
      <c r="AR138" s="24"/>
      <c r="AS138" s="24"/>
      <c r="AT138" s="24"/>
      <c r="AU138" s="24"/>
      <c r="AV138" s="24"/>
      <c r="AW138" s="24"/>
      <c r="AX138" s="24"/>
      <c r="AY138" s="24"/>
      <c r="AZ138" s="24"/>
    </row>
    <row r="139" ht="19.5" customHeight="1">
      <c r="A139" s="23" t="str">
        <f>IF(Roster!$A$137&lt;&gt;"",Roster!$A$137,"")</f>
        <v/>
      </c>
      <c r="B139" s="24"/>
      <c r="C139" s="24"/>
      <c r="D139" s="24"/>
      <c r="E139" s="24"/>
      <c r="F139" s="24"/>
      <c r="G139" s="24"/>
      <c r="H139" s="24"/>
      <c r="I139" s="24"/>
      <c r="J139" s="24"/>
      <c r="K139" s="24"/>
      <c r="L139" s="24"/>
      <c r="M139" s="24"/>
      <c r="N139" s="24"/>
      <c r="O139" s="24"/>
      <c r="P139" s="24"/>
      <c r="Q139" s="24"/>
      <c r="R139" s="24"/>
      <c r="S139" s="24"/>
      <c r="T139" s="24"/>
      <c r="U139" s="24"/>
      <c r="V139" s="24"/>
      <c r="W139" s="24"/>
      <c r="X139" s="24"/>
      <c r="Y139" s="24"/>
      <c r="Z139" s="24"/>
      <c r="AA139" s="24"/>
      <c r="AB139" s="24"/>
      <c r="AC139" s="24"/>
      <c r="AD139" s="24"/>
      <c r="AE139" s="24"/>
      <c r="AF139" s="24"/>
      <c r="AG139" s="24"/>
      <c r="AH139" s="24"/>
      <c r="AI139" s="24"/>
      <c r="AJ139" s="24"/>
      <c r="AK139" s="24"/>
      <c r="AL139" s="24"/>
      <c r="AM139" s="24"/>
      <c r="AN139" s="24"/>
      <c r="AO139" s="24"/>
      <c r="AP139" s="24"/>
      <c r="AQ139" s="24"/>
      <c r="AR139" s="24"/>
      <c r="AS139" s="24"/>
      <c r="AT139" s="24"/>
      <c r="AU139" s="24"/>
      <c r="AV139" s="24"/>
      <c r="AW139" s="24"/>
      <c r="AX139" s="24"/>
      <c r="AY139" s="24"/>
      <c r="AZ139" s="24"/>
    </row>
    <row r="140" ht="19.5" customHeight="1">
      <c r="A140" s="23" t="str">
        <f>IF(Roster!$A$138&lt;&gt;"",Roster!$A$138,"")</f>
        <v/>
      </c>
      <c r="B140" s="24"/>
      <c r="C140" s="24"/>
      <c r="D140" s="24"/>
      <c r="E140" s="24"/>
      <c r="F140" s="24"/>
      <c r="G140" s="24"/>
      <c r="H140" s="24"/>
      <c r="I140" s="24"/>
      <c r="J140" s="24"/>
      <c r="K140" s="24"/>
      <c r="L140" s="24"/>
      <c r="M140" s="24"/>
      <c r="N140" s="24"/>
      <c r="O140" s="24"/>
      <c r="P140" s="24"/>
      <c r="Q140" s="24"/>
      <c r="R140" s="24"/>
      <c r="S140" s="24"/>
      <c r="T140" s="24"/>
      <c r="U140" s="24"/>
      <c r="V140" s="24"/>
      <c r="W140" s="24"/>
      <c r="X140" s="24"/>
      <c r="Y140" s="24"/>
      <c r="Z140" s="24"/>
      <c r="AA140" s="24"/>
      <c r="AB140" s="24"/>
      <c r="AC140" s="24"/>
      <c r="AD140" s="24"/>
      <c r="AE140" s="24"/>
      <c r="AF140" s="24"/>
      <c r="AG140" s="24"/>
      <c r="AH140" s="24"/>
      <c r="AI140" s="24"/>
      <c r="AJ140" s="24"/>
      <c r="AK140" s="24"/>
      <c r="AL140" s="24"/>
      <c r="AM140" s="24"/>
      <c r="AN140" s="24"/>
      <c r="AO140" s="24"/>
      <c r="AP140" s="24"/>
      <c r="AQ140" s="24"/>
      <c r="AR140" s="24"/>
      <c r="AS140" s="24"/>
      <c r="AT140" s="24"/>
      <c r="AU140" s="24"/>
      <c r="AV140" s="24"/>
      <c r="AW140" s="24"/>
      <c r="AX140" s="24"/>
      <c r="AY140" s="24"/>
      <c r="AZ140" s="24"/>
    </row>
    <row r="141" ht="19.5" customHeight="1">
      <c r="A141" s="23" t="str">
        <f>IF(Roster!$A$139&lt;&gt;"",Roster!$A$139,"")</f>
        <v/>
      </c>
      <c r="B141" s="24"/>
      <c r="C141" s="24"/>
      <c r="D141" s="24"/>
      <c r="E141" s="24"/>
      <c r="F141" s="24"/>
      <c r="G141" s="24"/>
      <c r="H141" s="24"/>
      <c r="I141" s="24"/>
      <c r="J141" s="24"/>
      <c r="K141" s="24"/>
      <c r="L141" s="24"/>
      <c r="M141" s="24"/>
      <c r="N141" s="24"/>
      <c r="O141" s="24"/>
      <c r="P141" s="24"/>
      <c r="Q141" s="24"/>
      <c r="R141" s="24"/>
      <c r="S141" s="24"/>
      <c r="T141" s="24"/>
      <c r="U141" s="24"/>
      <c r="V141" s="24"/>
      <c r="W141" s="24"/>
      <c r="X141" s="24"/>
      <c r="Y141" s="24"/>
      <c r="Z141" s="24"/>
      <c r="AA141" s="24"/>
      <c r="AB141" s="24"/>
      <c r="AC141" s="24"/>
      <c r="AD141" s="24"/>
      <c r="AE141" s="24"/>
      <c r="AF141" s="24"/>
      <c r="AG141" s="24"/>
      <c r="AH141" s="24"/>
      <c r="AI141" s="24"/>
      <c r="AJ141" s="24"/>
      <c r="AK141" s="24"/>
      <c r="AL141" s="24"/>
      <c r="AM141" s="24"/>
      <c r="AN141" s="24"/>
      <c r="AO141" s="24"/>
      <c r="AP141" s="24"/>
      <c r="AQ141" s="24"/>
      <c r="AR141" s="24"/>
      <c r="AS141" s="24"/>
      <c r="AT141" s="24"/>
      <c r="AU141" s="24"/>
      <c r="AV141" s="24"/>
      <c r="AW141" s="24"/>
      <c r="AX141" s="24"/>
      <c r="AY141" s="24"/>
      <c r="AZ141" s="24"/>
    </row>
    <row r="142" ht="19.5" customHeight="1">
      <c r="A142" s="23" t="str">
        <f>IF(Roster!$A$140&lt;&gt;"",Roster!$A$140,"")</f>
        <v/>
      </c>
      <c r="B142" s="24"/>
      <c r="C142" s="24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24"/>
      <c r="T142" s="24"/>
      <c r="U142" s="24"/>
      <c r="V142" s="24"/>
      <c r="W142" s="24"/>
      <c r="X142" s="24"/>
      <c r="Y142" s="24"/>
      <c r="Z142" s="24"/>
      <c r="AA142" s="24"/>
      <c r="AB142" s="24"/>
      <c r="AC142" s="24"/>
      <c r="AD142" s="24"/>
      <c r="AE142" s="24"/>
      <c r="AF142" s="24"/>
      <c r="AG142" s="24"/>
      <c r="AH142" s="24"/>
      <c r="AI142" s="24"/>
      <c r="AJ142" s="24"/>
      <c r="AK142" s="24"/>
      <c r="AL142" s="24"/>
      <c r="AM142" s="24"/>
      <c r="AN142" s="24"/>
      <c r="AO142" s="24"/>
      <c r="AP142" s="24"/>
      <c r="AQ142" s="24"/>
      <c r="AR142" s="24"/>
      <c r="AS142" s="24"/>
      <c r="AT142" s="24"/>
      <c r="AU142" s="24"/>
      <c r="AV142" s="24"/>
      <c r="AW142" s="24"/>
      <c r="AX142" s="24"/>
      <c r="AY142" s="24"/>
      <c r="AZ142" s="24"/>
    </row>
    <row r="143" ht="19.5" customHeight="1">
      <c r="A143" s="23" t="str">
        <f>IF(Roster!$A$141&lt;&gt;"",Roster!$A$141,"")</f>
        <v/>
      </c>
      <c r="B143" s="24"/>
      <c r="C143" s="24"/>
      <c r="D143" s="24"/>
      <c r="E143" s="24"/>
      <c r="F143" s="24"/>
      <c r="G143" s="24"/>
      <c r="H143" s="24"/>
      <c r="I143" s="24"/>
      <c r="J143" s="24"/>
      <c r="K143" s="24"/>
      <c r="L143" s="24"/>
      <c r="M143" s="24"/>
      <c r="N143" s="24"/>
      <c r="O143" s="24"/>
      <c r="P143" s="24"/>
      <c r="Q143" s="24"/>
      <c r="R143" s="24"/>
      <c r="S143" s="24"/>
      <c r="T143" s="24"/>
      <c r="U143" s="24"/>
      <c r="V143" s="24"/>
      <c r="W143" s="24"/>
      <c r="X143" s="24"/>
      <c r="Y143" s="24"/>
      <c r="Z143" s="24"/>
      <c r="AA143" s="24"/>
      <c r="AB143" s="24"/>
      <c r="AC143" s="24"/>
      <c r="AD143" s="24"/>
      <c r="AE143" s="24"/>
      <c r="AF143" s="24"/>
      <c r="AG143" s="24"/>
      <c r="AH143" s="24"/>
      <c r="AI143" s="24"/>
      <c r="AJ143" s="24"/>
      <c r="AK143" s="24"/>
      <c r="AL143" s="24"/>
      <c r="AM143" s="24"/>
      <c r="AN143" s="24"/>
      <c r="AO143" s="24"/>
      <c r="AP143" s="24"/>
      <c r="AQ143" s="24"/>
      <c r="AR143" s="24"/>
      <c r="AS143" s="24"/>
      <c r="AT143" s="24"/>
      <c r="AU143" s="24"/>
      <c r="AV143" s="24"/>
      <c r="AW143" s="24"/>
      <c r="AX143" s="24"/>
      <c r="AY143" s="24"/>
      <c r="AZ143" s="24"/>
    </row>
    <row r="144" ht="19.5" customHeight="1">
      <c r="A144" s="23" t="str">
        <f>IF(Roster!$A$142&lt;&gt;"",Roster!$A$142,"")</f>
        <v/>
      </c>
      <c r="B144" s="24"/>
      <c r="C144" s="24"/>
      <c r="D144" s="24"/>
      <c r="E144" s="24"/>
      <c r="F144" s="24"/>
      <c r="G144" s="24"/>
      <c r="H144" s="24"/>
      <c r="I144" s="24"/>
      <c r="J144" s="24"/>
      <c r="K144" s="24"/>
      <c r="L144" s="24"/>
      <c r="M144" s="24"/>
      <c r="N144" s="24"/>
      <c r="O144" s="24"/>
      <c r="P144" s="24"/>
      <c r="Q144" s="24"/>
      <c r="R144" s="24"/>
      <c r="S144" s="24"/>
      <c r="T144" s="24"/>
      <c r="U144" s="24"/>
      <c r="V144" s="24"/>
      <c r="W144" s="24"/>
      <c r="X144" s="24"/>
      <c r="Y144" s="24"/>
      <c r="Z144" s="24"/>
      <c r="AA144" s="24"/>
      <c r="AB144" s="24"/>
      <c r="AC144" s="24"/>
      <c r="AD144" s="24"/>
      <c r="AE144" s="24"/>
      <c r="AF144" s="24"/>
      <c r="AG144" s="24"/>
      <c r="AH144" s="24"/>
      <c r="AI144" s="24"/>
      <c r="AJ144" s="24"/>
      <c r="AK144" s="24"/>
      <c r="AL144" s="24"/>
      <c r="AM144" s="24"/>
      <c r="AN144" s="24"/>
      <c r="AO144" s="24"/>
      <c r="AP144" s="24"/>
      <c r="AQ144" s="24"/>
      <c r="AR144" s="24"/>
      <c r="AS144" s="24"/>
      <c r="AT144" s="24"/>
      <c r="AU144" s="24"/>
      <c r="AV144" s="24"/>
      <c r="AW144" s="24"/>
      <c r="AX144" s="24"/>
      <c r="AY144" s="24"/>
      <c r="AZ144" s="24"/>
    </row>
    <row r="145" ht="19.5" customHeight="1">
      <c r="A145" s="23" t="str">
        <f>IF(Roster!$A$143&lt;&gt;"",Roster!$A$143,"")</f>
        <v/>
      </c>
      <c r="B145" s="24"/>
      <c r="C145" s="24"/>
      <c r="D145" s="24"/>
      <c r="E145" s="24"/>
      <c r="F145" s="24"/>
      <c r="G145" s="24"/>
      <c r="H145" s="24"/>
      <c r="I145" s="24"/>
      <c r="J145" s="24"/>
      <c r="K145" s="24"/>
      <c r="L145" s="24"/>
      <c r="M145" s="24"/>
      <c r="N145" s="24"/>
      <c r="O145" s="24"/>
      <c r="P145" s="24"/>
      <c r="Q145" s="24"/>
      <c r="R145" s="24"/>
      <c r="S145" s="24"/>
      <c r="T145" s="24"/>
      <c r="U145" s="24"/>
      <c r="V145" s="24"/>
      <c r="W145" s="24"/>
      <c r="X145" s="24"/>
      <c r="Y145" s="24"/>
      <c r="Z145" s="24"/>
      <c r="AA145" s="24"/>
      <c r="AB145" s="24"/>
      <c r="AC145" s="24"/>
      <c r="AD145" s="24"/>
      <c r="AE145" s="24"/>
      <c r="AF145" s="24"/>
      <c r="AG145" s="24"/>
      <c r="AH145" s="24"/>
      <c r="AI145" s="24"/>
      <c r="AJ145" s="24"/>
      <c r="AK145" s="24"/>
      <c r="AL145" s="24"/>
      <c r="AM145" s="24"/>
      <c r="AN145" s="24"/>
      <c r="AO145" s="24"/>
      <c r="AP145" s="24"/>
      <c r="AQ145" s="24"/>
      <c r="AR145" s="24"/>
      <c r="AS145" s="24"/>
      <c r="AT145" s="24"/>
      <c r="AU145" s="24"/>
      <c r="AV145" s="24"/>
      <c r="AW145" s="24"/>
      <c r="AX145" s="24"/>
      <c r="AY145" s="24"/>
      <c r="AZ145" s="24"/>
    </row>
    <row r="146" ht="19.5" customHeight="1">
      <c r="A146" s="23" t="str">
        <f>IF(Roster!$A$144&lt;&gt;"",Roster!$A$144,"")</f>
        <v/>
      </c>
      <c r="B146" s="24"/>
      <c r="C146" s="24"/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24"/>
      <c r="T146" s="24"/>
      <c r="U146" s="24"/>
      <c r="V146" s="24"/>
      <c r="W146" s="24"/>
      <c r="X146" s="24"/>
      <c r="Y146" s="24"/>
      <c r="Z146" s="24"/>
      <c r="AA146" s="24"/>
      <c r="AB146" s="24"/>
      <c r="AC146" s="24"/>
      <c r="AD146" s="24"/>
      <c r="AE146" s="24"/>
      <c r="AF146" s="24"/>
      <c r="AG146" s="24"/>
      <c r="AH146" s="24"/>
      <c r="AI146" s="24"/>
      <c r="AJ146" s="24"/>
      <c r="AK146" s="24"/>
      <c r="AL146" s="24"/>
      <c r="AM146" s="24"/>
      <c r="AN146" s="24"/>
      <c r="AO146" s="24"/>
      <c r="AP146" s="24"/>
      <c r="AQ146" s="24"/>
      <c r="AR146" s="24"/>
      <c r="AS146" s="24"/>
      <c r="AT146" s="24"/>
      <c r="AU146" s="24"/>
      <c r="AV146" s="24"/>
      <c r="AW146" s="24"/>
      <c r="AX146" s="24"/>
      <c r="AY146" s="24"/>
      <c r="AZ146" s="24"/>
    </row>
    <row r="147" ht="19.5" customHeight="1">
      <c r="A147" s="23" t="str">
        <f>IF(Roster!$A$145&lt;&gt;"",Roster!$A$145,"")</f>
        <v/>
      </c>
      <c r="B147" s="24"/>
      <c r="C147" s="24"/>
      <c r="D147" s="24"/>
      <c r="E147" s="24"/>
      <c r="F147" s="24"/>
      <c r="G147" s="24"/>
      <c r="H147" s="24"/>
      <c r="I147" s="24"/>
      <c r="J147" s="24"/>
      <c r="K147" s="24"/>
      <c r="L147" s="24"/>
      <c r="M147" s="24"/>
      <c r="N147" s="24"/>
      <c r="O147" s="24"/>
      <c r="P147" s="24"/>
      <c r="Q147" s="24"/>
      <c r="R147" s="24"/>
      <c r="S147" s="24"/>
      <c r="T147" s="24"/>
      <c r="U147" s="24"/>
      <c r="V147" s="24"/>
      <c r="W147" s="24"/>
      <c r="X147" s="24"/>
      <c r="Y147" s="24"/>
      <c r="Z147" s="24"/>
      <c r="AA147" s="24"/>
      <c r="AB147" s="24"/>
      <c r="AC147" s="24"/>
      <c r="AD147" s="24"/>
      <c r="AE147" s="24"/>
      <c r="AF147" s="24"/>
      <c r="AG147" s="24"/>
      <c r="AH147" s="24"/>
      <c r="AI147" s="24"/>
      <c r="AJ147" s="24"/>
      <c r="AK147" s="24"/>
      <c r="AL147" s="24"/>
      <c r="AM147" s="24"/>
      <c r="AN147" s="24"/>
      <c r="AO147" s="24"/>
      <c r="AP147" s="24"/>
      <c r="AQ147" s="24"/>
      <c r="AR147" s="24"/>
      <c r="AS147" s="24"/>
      <c r="AT147" s="24"/>
      <c r="AU147" s="24"/>
      <c r="AV147" s="24"/>
      <c r="AW147" s="24"/>
      <c r="AX147" s="24"/>
      <c r="AY147" s="24"/>
      <c r="AZ147" s="24"/>
    </row>
    <row r="148" ht="19.5" customHeight="1">
      <c r="A148" s="23" t="str">
        <f>IF(Roster!$A$146&lt;&gt;"",Roster!$A$146,"")</f>
        <v/>
      </c>
      <c r="B148" s="24"/>
      <c r="C148" s="24"/>
      <c r="D148" s="24"/>
      <c r="E148" s="24"/>
      <c r="F148" s="24"/>
      <c r="G148" s="24"/>
      <c r="H148" s="24"/>
      <c r="I148" s="24"/>
      <c r="J148" s="24"/>
      <c r="K148" s="24"/>
      <c r="L148" s="24"/>
      <c r="M148" s="24"/>
      <c r="N148" s="24"/>
      <c r="O148" s="24"/>
      <c r="P148" s="24"/>
      <c r="Q148" s="24"/>
      <c r="R148" s="24"/>
      <c r="S148" s="24"/>
      <c r="T148" s="24"/>
      <c r="U148" s="24"/>
      <c r="V148" s="24"/>
      <c r="W148" s="24"/>
      <c r="X148" s="24"/>
      <c r="Y148" s="24"/>
      <c r="Z148" s="24"/>
      <c r="AA148" s="24"/>
      <c r="AB148" s="24"/>
      <c r="AC148" s="24"/>
      <c r="AD148" s="24"/>
      <c r="AE148" s="24"/>
      <c r="AF148" s="24"/>
      <c r="AG148" s="24"/>
      <c r="AH148" s="24"/>
      <c r="AI148" s="24"/>
      <c r="AJ148" s="24"/>
      <c r="AK148" s="24"/>
      <c r="AL148" s="24"/>
      <c r="AM148" s="24"/>
      <c r="AN148" s="24"/>
      <c r="AO148" s="24"/>
      <c r="AP148" s="24"/>
      <c r="AQ148" s="24"/>
      <c r="AR148" s="24"/>
      <c r="AS148" s="24"/>
      <c r="AT148" s="24"/>
      <c r="AU148" s="24"/>
      <c r="AV148" s="24"/>
      <c r="AW148" s="24"/>
      <c r="AX148" s="24"/>
      <c r="AY148" s="24"/>
      <c r="AZ148" s="24"/>
    </row>
    <row r="149" ht="19.5" customHeight="1">
      <c r="A149" s="23" t="str">
        <f>IF(Roster!$A$147&lt;&gt;"",Roster!$A$147,"")</f>
        <v/>
      </c>
      <c r="B149" s="24"/>
      <c r="C149" s="24"/>
      <c r="D149" s="24"/>
      <c r="E149" s="24"/>
      <c r="F149" s="24"/>
      <c r="G149" s="24"/>
      <c r="H149" s="24"/>
      <c r="I149" s="24"/>
      <c r="J149" s="24"/>
      <c r="K149" s="24"/>
      <c r="L149" s="24"/>
      <c r="M149" s="24"/>
      <c r="N149" s="24"/>
      <c r="O149" s="24"/>
      <c r="P149" s="24"/>
      <c r="Q149" s="24"/>
      <c r="R149" s="24"/>
      <c r="S149" s="24"/>
      <c r="T149" s="24"/>
      <c r="U149" s="24"/>
      <c r="V149" s="24"/>
      <c r="W149" s="24"/>
      <c r="X149" s="24"/>
      <c r="Y149" s="24"/>
      <c r="Z149" s="24"/>
      <c r="AA149" s="24"/>
      <c r="AB149" s="24"/>
      <c r="AC149" s="24"/>
      <c r="AD149" s="24"/>
      <c r="AE149" s="24"/>
      <c r="AF149" s="24"/>
      <c r="AG149" s="24"/>
      <c r="AH149" s="24"/>
      <c r="AI149" s="24"/>
      <c r="AJ149" s="24"/>
      <c r="AK149" s="24"/>
      <c r="AL149" s="24"/>
      <c r="AM149" s="24"/>
      <c r="AN149" s="24"/>
      <c r="AO149" s="24"/>
      <c r="AP149" s="24"/>
      <c r="AQ149" s="24"/>
      <c r="AR149" s="24"/>
      <c r="AS149" s="24"/>
      <c r="AT149" s="24"/>
      <c r="AU149" s="24"/>
      <c r="AV149" s="24"/>
      <c r="AW149" s="24"/>
      <c r="AX149" s="24"/>
      <c r="AY149" s="24"/>
      <c r="AZ149" s="24"/>
    </row>
    <row r="150" ht="19.5" customHeight="1">
      <c r="A150" s="23" t="str">
        <f>IF(Roster!$A$148&lt;&gt;"",Roster!$A$148,"")</f>
        <v/>
      </c>
      <c r="B150" s="24"/>
      <c r="C150" s="24"/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  <c r="Q150" s="24"/>
      <c r="R150" s="24"/>
      <c r="S150" s="24"/>
      <c r="T150" s="24"/>
      <c r="U150" s="24"/>
      <c r="V150" s="24"/>
      <c r="W150" s="24"/>
      <c r="X150" s="24"/>
      <c r="Y150" s="24"/>
      <c r="Z150" s="24"/>
      <c r="AA150" s="24"/>
      <c r="AB150" s="24"/>
      <c r="AC150" s="24"/>
      <c r="AD150" s="24"/>
      <c r="AE150" s="24"/>
      <c r="AF150" s="24"/>
      <c r="AG150" s="24"/>
      <c r="AH150" s="24"/>
      <c r="AI150" s="24"/>
      <c r="AJ150" s="24"/>
      <c r="AK150" s="24"/>
      <c r="AL150" s="24"/>
      <c r="AM150" s="24"/>
      <c r="AN150" s="24"/>
      <c r="AO150" s="24"/>
      <c r="AP150" s="24"/>
      <c r="AQ150" s="24"/>
      <c r="AR150" s="24"/>
      <c r="AS150" s="24"/>
      <c r="AT150" s="24"/>
      <c r="AU150" s="24"/>
      <c r="AV150" s="24"/>
      <c r="AW150" s="24"/>
      <c r="AX150" s="24"/>
      <c r="AY150" s="24"/>
      <c r="AZ150" s="24"/>
    </row>
    <row r="151" ht="19.5" customHeight="1">
      <c r="A151" s="23" t="str">
        <f>IF(Roster!$A$149&lt;&gt;"",Roster!$A$149,"")</f>
        <v/>
      </c>
      <c r="B151" s="24"/>
      <c r="C151" s="24"/>
      <c r="D151" s="24"/>
      <c r="E151" s="24"/>
      <c r="F151" s="24"/>
      <c r="G151" s="24"/>
      <c r="H151" s="24"/>
      <c r="I151" s="24"/>
      <c r="J151" s="24"/>
      <c r="K151" s="24"/>
      <c r="L151" s="24"/>
      <c r="M151" s="24"/>
      <c r="N151" s="24"/>
      <c r="O151" s="24"/>
      <c r="P151" s="24"/>
      <c r="Q151" s="24"/>
      <c r="R151" s="24"/>
      <c r="S151" s="24"/>
      <c r="T151" s="24"/>
      <c r="U151" s="24"/>
      <c r="V151" s="24"/>
      <c r="W151" s="24"/>
      <c r="X151" s="24"/>
      <c r="Y151" s="24"/>
      <c r="Z151" s="24"/>
      <c r="AA151" s="24"/>
      <c r="AB151" s="24"/>
      <c r="AC151" s="24"/>
      <c r="AD151" s="24"/>
      <c r="AE151" s="24"/>
      <c r="AF151" s="24"/>
      <c r="AG151" s="24"/>
      <c r="AH151" s="24"/>
      <c r="AI151" s="24"/>
      <c r="AJ151" s="24"/>
      <c r="AK151" s="24"/>
      <c r="AL151" s="24"/>
      <c r="AM151" s="24"/>
      <c r="AN151" s="24"/>
      <c r="AO151" s="24"/>
      <c r="AP151" s="24"/>
      <c r="AQ151" s="24"/>
      <c r="AR151" s="24"/>
      <c r="AS151" s="24"/>
      <c r="AT151" s="24"/>
      <c r="AU151" s="24"/>
      <c r="AV151" s="24"/>
      <c r="AW151" s="24"/>
      <c r="AX151" s="24"/>
      <c r="AY151" s="24"/>
      <c r="AZ151" s="24"/>
    </row>
    <row r="152" ht="19.5" customHeight="1">
      <c r="A152" s="23" t="str">
        <f>IF(Roster!$A$150&lt;&gt;"",Roster!$A$150,"")</f>
        <v/>
      </c>
      <c r="B152" s="24"/>
      <c r="C152" s="24"/>
      <c r="D152" s="24"/>
      <c r="E152" s="24"/>
      <c r="F152" s="24"/>
      <c r="G152" s="24"/>
      <c r="H152" s="24"/>
      <c r="I152" s="24"/>
      <c r="J152" s="24"/>
      <c r="K152" s="24"/>
      <c r="L152" s="24"/>
      <c r="M152" s="24"/>
      <c r="N152" s="24"/>
      <c r="O152" s="24"/>
      <c r="P152" s="24"/>
      <c r="Q152" s="24"/>
      <c r="R152" s="24"/>
      <c r="S152" s="24"/>
      <c r="T152" s="24"/>
      <c r="U152" s="24"/>
      <c r="V152" s="24"/>
      <c r="W152" s="24"/>
      <c r="X152" s="24"/>
      <c r="Y152" s="24"/>
      <c r="Z152" s="24"/>
      <c r="AA152" s="24"/>
      <c r="AB152" s="24"/>
      <c r="AC152" s="24"/>
      <c r="AD152" s="24"/>
      <c r="AE152" s="24"/>
      <c r="AF152" s="24"/>
      <c r="AG152" s="24"/>
      <c r="AH152" s="24"/>
      <c r="AI152" s="24"/>
      <c r="AJ152" s="24"/>
      <c r="AK152" s="24"/>
      <c r="AL152" s="24"/>
      <c r="AM152" s="24"/>
      <c r="AN152" s="24"/>
      <c r="AO152" s="24"/>
      <c r="AP152" s="24"/>
      <c r="AQ152" s="24"/>
      <c r="AR152" s="24"/>
      <c r="AS152" s="24"/>
      <c r="AT152" s="24"/>
      <c r="AU152" s="24"/>
      <c r="AV152" s="24"/>
      <c r="AW152" s="24"/>
      <c r="AX152" s="24"/>
      <c r="AY152" s="24"/>
      <c r="AZ152" s="24"/>
    </row>
    <row r="153" ht="19.5" customHeight="1">
      <c r="A153" s="23" t="str">
        <f>IF(Roster!$A$151&lt;&gt;"",Roster!$A$151,"")</f>
        <v/>
      </c>
      <c r="B153" s="24"/>
      <c r="C153" s="24"/>
      <c r="D153" s="24"/>
      <c r="E153" s="24"/>
      <c r="F153" s="24"/>
      <c r="G153" s="24"/>
      <c r="H153" s="24"/>
      <c r="I153" s="24"/>
      <c r="J153" s="24"/>
      <c r="K153" s="24"/>
      <c r="L153" s="24"/>
      <c r="M153" s="24"/>
      <c r="N153" s="24"/>
      <c r="O153" s="24"/>
      <c r="P153" s="24"/>
      <c r="Q153" s="24"/>
      <c r="R153" s="24"/>
      <c r="S153" s="24"/>
      <c r="T153" s="24"/>
      <c r="U153" s="24"/>
      <c r="V153" s="24"/>
      <c r="W153" s="24"/>
      <c r="X153" s="24"/>
      <c r="Y153" s="24"/>
      <c r="Z153" s="24"/>
      <c r="AA153" s="24"/>
      <c r="AB153" s="24"/>
      <c r="AC153" s="24"/>
      <c r="AD153" s="24"/>
      <c r="AE153" s="24"/>
      <c r="AF153" s="24"/>
      <c r="AG153" s="24"/>
      <c r="AH153" s="24"/>
      <c r="AI153" s="24"/>
      <c r="AJ153" s="24"/>
      <c r="AK153" s="24"/>
      <c r="AL153" s="24"/>
      <c r="AM153" s="24"/>
      <c r="AN153" s="24"/>
      <c r="AO153" s="24"/>
      <c r="AP153" s="24"/>
      <c r="AQ153" s="24"/>
      <c r="AR153" s="24"/>
      <c r="AS153" s="24"/>
      <c r="AT153" s="24"/>
      <c r="AU153" s="24"/>
      <c r="AV153" s="24"/>
      <c r="AW153" s="24"/>
      <c r="AX153" s="24"/>
      <c r="AY153" s="24"/>
      <c r="AZ153" s="24"/>
    </row>
    <row r="154" ht="19.5" customHeight="1">
      <c r="A154" s="23" t="str">
        <f>IF(Roster!$A$152&lt;&gt;"",Roster!$A$152,"")</f>
        <v/>
      </c>
      <c r="B154" s="24"/>
      <c r="C154" s="24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24"/>
      <c r="T154" s="24"/>
      <c r="U154" s="24"/>
      <c r="V154" s="24"/>
      <c r="W154" s="24"/>
      <c r="X154" s="24"/>
      <c r="Y154" s="24"/>
      <c r="Z154" s="24"/>
      <c r="AA154" s="24"/>
      <c r="AB154" s="24"/>
      <c r="AC154" s="24"/>
      <c r="AD154" s="24"/>
      <c r="AE154" s="24"/>
      <c r="AF154" s="24"/>
      <c r="AG154" s="24"/>
      <c r="AH154" s="24"/>
      <c r="AI154" s="24"/>
      <c r="AJ154" s="24"/>
      <c r="AK154" s="24"/>
      <c r="AL154" s="24"/>
      <c r="AM154" s="24"/>
      <c r="AN154" s="24"/>
      <c r="AO154" s="24"/>
      <c r="AP154" s="24"/>
      <c r="AQ154" s="24"/>
      <c r="AR154" s="24"/>
      <c r="AS154" s="24"/>
      <c r="AT154" s="24"/>
      <c r="AU154" s="24"/>
      <c r="AV154" s="24"/>
      <c r="AW154" s="24"/>
      <c r="AX154" s="24"/>
      <c r="AY154" s="24"/>
      <c r="AZ154" s="24"/>
    </row>
    <row r="155" ht="19.5" customHeight="1">
      <c r="A155" s="23" t="str">
        <f>IF(Roster!$A$153&lt;&gt;"",Roster!$A$153,"")</f>
        <v/>
      </c>
      <c r="B155" s="24"/>
      <c r="C155" s="24"/>
      <c r="D155" s="24"/>
      <c r="E155" s="24"/>
      <c r="F155" s="24"/>
      <c r="G155" s="24"/>
      <c r="H155" s="24"/>
      <c r="I155" s="24"/>
      <c r="J155" s="24"/>
      <c r="K155" s="24"/>
      <c r="L155" s="24"/>
      <c r="M155" s="24"/>
      <c r="N155" s="24"/>
      <c r="O155" s="24"/>
      <c r="P155" s="24"/>
      <c r="Q155" s="24"/>
      <c r="R155" s="24"/>
      <c r="S155" s="24"/>
      <c r="T155" s="24"/>
      <c r="U155" s="24"/>
      <c r="V155" s="24"/>
      <c r="W155" s="24"/>
      <c r="X155" s="24"/>
      <c r="Y155" s="24"/>
      <c r="Z155" s="24"/>
      <c r="AA155" s="24"/>
      <c r="AB155" s="24"/>
      <c r="AC155" s="24"/>
      <c r="AD155" s="24"/>
      <c r="AE155" s="24"/>
      <c r="AF155" s="24"/>
      <c r="AG155" s="24"/>
      <c r="AH155" s="24"/>
      <c r="AI155" s="24"/>
      <c r="AJ155" s="24"/>
      <c r="AK155" s="24"/>
      <c r="AL155" s="24"/>
      <c r="AM155" s="24"/>
      <c r="AN155" s="24"/>
      <c r="AO155" s="24"/>
      <c r="AP155" s="24"/>
      <c r="AQ155" s="24"/>
      <c r="AR155" s="24"/>
      <c r="AS155" s="24"/>
      <c r="AT155" s="24"/>
      <c r="AU155" s="24"/>
      <c r="AV155" s="24"/>
      <c r="AW155" s="24"/>
      <c r="AX155" s="24"/>
      <c r="AY155" s="24"/>
      <c r="AZ155" s="24"/>
    </row>
    <row r="156" ht="19.5" customHeight="1">
      <c r="A156" s="23" t="str">
        <f>IF(Roster!$A$154&lt;&gt;"",Roster!$A$154,"")</f>
        <v/>
      </c>
      <c r="B156" s="24"/>
      <c r="C156" s="24"/>
      <c r="D156" s="24"/>
      <c r="E156" s="24"/>
      <c r="F156" s="24"/>
      <c r="G156" s="24"/>
      <c r="H156" s="24"/>
      <c r="I156" s="24"/>
      <c r="J156" s="24"/>
      <c r="K156" s="24"/>
      <c r="L156" s="24"/>
      <c r="M156" s="24"/>
      <c r="N156" s="24"/>
      <c r="O156" s="24"/>
      <c r="P156" s="24"/>
      <c r="Q156" s="24"/>
      <c r="R156" s="24"/>
      <c r="S156" s="24"/>
      <c r="T156" s="24"/>
      <c r="U156" s="24"/>
      <c r="V156" s="24"/>
      <c r="W156" s="24"/>
      <c r="X156" s="24"/>
      <c r="Y156" s="24"/>
      <c r="Z156" s="24"/>
      <c r="AA156" s="24"/>
      <c r="AB156" s="24"/>
      <c r="AC156" s="24"/>
      <c r="AD156" s="24"/>
      <c r="AE156" s="24"/>
      <c r="AF156" s="24"/>
      <c r="AG156" s="24"/>
      <c r="AH156" s="24"/>
      <c r="AI156" s="24"/>
      <c r="AJ156" s="24"/>
      <c r="AK156" s="24"/>
      <c r="AL156" s="24"/>
      <c r="AM156" s="24"/>
      <c r="AN156" s="24"/>
      <c r="AO156" s="24"/>
      <c r="AP156" s="24"/>
      <c r="AQ156" s="24"/>
      <c r="AR156" s="24"/>
      <c r="AS156" s="24"/>
      <c r="AT156" s="24"/>
      <c r="AU156" s="24"/>
      <c r="AV156" s="24"/>
      <c r="AW156" s="24"/>
      <c r="AX156" s="24"/>
      <c r="AY156" s="24"/>
      <c r="AZ156" s="24"/>
    </row>
    <row r="157" ht="19.5" customHeight="1">
      <c r="A157" s="23" t="str">
        <f>IF(Roster!$A$155&lt;&gt;"",Roster!$A$155,"")</f>
        <v/>
      </c>
      <c r="B157" s="24"/>
      <c r="C157" s="24"/>
      <c r="D157" s="24"/>
      <c r="E157" s="24"/>
      <c r="F157" s="24"/>
      <c r="G157" s="24"/>
      <c r="H157" s="24"/>
      <c r="I157" s="24"/>
      <c r="J157" s="24"/>
      <c r="K157" s="24"/>
      <c r="L157" s="24"/>
      <c r="M157" s="24"/>
      <c r="N157" s="24"/>
      <c r="O157" s="24"/>
      <c r="P157" s="24"/>
      <c r="Q157" s="24"/>
      <c r="R157" s="24"/>
      <c r="S157" s="24"/>
      <c r="T157" s="24"/>
      <c r="U157" s="24"/>
      <c r="V157" s="24"/>
      <c r="W157" s="24"/>
      <c r="X157" s="24"/>
      <c r="Y157" s="24"/>
      <c r="Z157" s="24"/>
      <c r="AA157" s="24"/>
      <c r="AB157" s="24"/>
      <c r="AC157" s="24"/>
      <c r="AD157" s="24"/>
      <c r="AE157" s="24"/>
      <c r="AF157" s="24"/>
      <c r="AG157" s="24"/>
      <c r="AH157" s="24"/>
      <c r="AI157" s="24"/>
      <c r="AJ157" s="24"/>
      <c r="AK157" s="24"/>
      <c r="AL157" s="24"/>
      <c r="AM157" s="24"/>
      <c r="AN157" s="24"/>
      <c r="AO157" s="24"/>
      <c r="AP157" s="24"/>
      <c r="AQ157" s="24"/>
      <c r="AR157" s="24"/>
      <c r="AS157" s="24"/>
      <c r="AT157" s="24"/>
      <c r="AU157" s="24"/>
      <c r="AV157" s="24"/>
      <c r="AW157" s="24"/>
      <c r="AX157" s="24"/>
      <c r="AY157" s="24"/>
      <c r="AZ157" s="24"/>
    </row>
    <row r="158" ht="19.5" customHeight="1">
      <c r="A158" s="23" t="str">
        <f>IF(Roster!$A$156&lt;&gt;"",Roster!$A$156,"")</f>
        <v/>
      </c>
      <c r="B158" s="24"/>
      <c r="C158" s="24"/>
      <c r="D158" s="24"/>
      <c r="E158" s="24"/>
      <c r="F158" s="24"/>
      <c r="G158" s="24"/>
      <c r="H158" s="24"/>
      <c r="I158" s="24"/>
      <c r="J158" s="24"/>
      <c r="K158" s="24"/>
      <c r="L158" s="24"/>
      <c r="M158" s="24"/>
      <c r="N158" s="24"/>
      <c r="O158" s="24"/>
      <c r="P158" s="24"/>
      <c r="Q158" s="24"/>
      <c r="R158" s="24"/>
      <c r="S158" s="24"/>
      <c r="T158" s="24"/>
      <c r="U158" s="24"/>
      <c r="V158" s="24"/>
      <c r="W158" s="24"/>
      <c r="X158" s="24"/>
      <c r="Y158" s="24"/>
      <c r="Z158" s="24"/>
      <c r="AA158" s="24"/>
      <c r="AB158" s="24"/>
      <c r="AC158" s="24"/>
      <c r="AD158" s="24"/>
      <c r="AE158" s="24"/>
      <c r="AF158" s="24"/>
      <c r="AG158" s="24"/>
      <c r="AH158" s="24"/>
      <c r="AI158" s="24"/>
      <c r="AJ158" s="24"/>
      <c r="AK158" s="24"/>
      <c r="AL158" s="24"/>
      <c r="AM158" s="24"/>
      <c r="AN158" s="24"/>
      <c r="AO158" s="24"/>
      <c r="AP158" s="24"/>
      <c r="AQ158" s="24"/>
      <c r="AR158" s="24"/>
      <c r="AS158" s="24"/>
      <c r="AT158" s="24"/>
      <c r="AU158" s="24"/>
      <c r="AV158" s="24"/>
      <c r="AW158" s="24"/>
      <c r="AX158" s="24"/>
      <c r="AY158" s="24"/>
      <c r="AZ158" s="24"/>
    </row>
    <row r="159" ht="19.5" customHeight="1">
      <c r="A159" s="23" t="str">
        <f>IF(Roster!$A$157&lt;&gt;"",Roster!$A$157,"")</f>
        <v/>
      </c>
      <c r="B159" s="24"/>
      <c r="C159" s="24"/>
      <c r="D159" s="24"/>
      <c r="E159" s="24"/>
      <c r="F159" s="24"/>
      <c r="G159" s="24"/>
      <c r="H159" s="24"/>
      <c r="I159" s="24"/>
      <c r="J159" s="24"/>
      <c r="K159" s="24"/>
      <c r="L159" s="24"/>
      <c r="M159" s="24"/>
      <c r="N159" s="24"/>
      <c r="O159" s="24"/>
      <c r="P159" s="24"/>
      <c r="Q159" s="24"/>
      <c r="R159" s="24"/>
      <c r="S159" s="24"/>
      <c r="T159" s="24"/>
      <c r="U159" s="24"/>
      <c r="V159" s="24"/>
      <c r="W159" s="24"/>
      <c r="X159" s="24"/>
      <c r="Y159" s="24"/>
      <c r="Z159" s="24"/>
      <c r="AA159" s="24"/>
      <c r="AB159" s="24"/>
      <c r="AC159" s="24"/>
      <c r="AD159" s="24"/>
      <c r="AE159" s="24"/>
      <c r="AF159" s="24"/>
      <c r="AG159" s="24"/>
      <c r="AH159" s="24"/>
      <c r="AI159" s="24"/>
      <c r="AJ159" s="24"/>
      <c r="AK159" s="24"/>
      <c r="AL159" s="24"/>
      <c r="AM159" s="24"/>
      <c r="AN159" s="24"/>
      <c r="AO159" s="24"/>
      <c r="AP159" s="24"/>
      <c r="AQ159" s="24"/>
      <c r="AR159" s="24"/>
      <c r="AS159" s="24"/>
      <c r="AT159" s="24"/>
      <c r="AU159" s="24"/>
      <c r="AV159" s="24"/>
      <c r="AW159" s="24"/>
      <c r="AX159" s="24"/>
      <c r="AY159" s="24"/>
      <c r="AZ159" s="24"/>
    </row>
    <row r="160" ht="19.5" customHeight="1">
      <c r="A160" s="23" t="str">
        <f>IF(Roster!$A$158&lt;&gt;"",Roster!$A$158,"")</f>
        <v/>
      </c>
      <c r="B160" s="24"/>
      <c r="C160" s="24"/>
      <c r="D160" s="24"/>
      <c r="E160" s="24"/>
      <c r="F160" s="24"/>
      <c r="G160" s="24"/>
      <c r="H160" s="24"/>
      <c r="I160" s="24"/>
      <c r="J160" s="24"/>
      <c r="K160" s="24"/>
      <c r="L160" s="24"/>
      <c r="M160" s="24"/>
      <c r="N160" s="24"/>
      <c r="O160" s="24"/>
      <c r="P160" s="24"/>
      <c r="Q160" s="24"/>
      <c r="R160" s="24"/>
      <c r="S160" s="24"/>
      <c r="T160" s="24"/>
      <c r="U160" s="24"/>
      <c r="V160" s="24"/>
      <c r="W160" s="24"/>
      <c r="X160" s="24"/>
      <c r="Y160" s="24"/>
      <c r="Z160" s="24"/>
      <c r="AA160" s="24"/>
      <c r="AB160" s="24"/>
      <c r="AC160" s="24"/>
      <c r="AD160" s="24"/>
      <c r="AE160" s="24"/>
      <c r="AF160" s="24"/>
      <c r="AG160" s="24"/>
      <c r="AH160" s="24"/>
      <c r="AI160" s="24"/>
      <c r="AJ160" s="24"/>
      <c r="AK160" s="24"/>
      <c r="AL160" s="24"/>
      <c r="AM160" s="24"/>
      <c r="AN160" s="24"/>
      <c r="AO160" s="24"/>
      <c r="AP160" s="24"/>
      <c r="AQ160" s="24"/>
      <c r="AR160" s="24"/>
      <c r="AS160" s="24"/>
      <c r="AT160" s="24"/>
      <c r="AU160" s="24"/>
      <c r="AV160" s="24"/>
      <c r="AW160" s="24"/>
      <c r="AX160" s="24"/>
      <c r="AY160" s="24"/>
      <c r="AZ160" s="24"/>
    </row>
    <row r="161" ht="19.5" customHeight="1">
      <c r="A161" s="23" t="str">
        <f>IF(Roster!$A$159&lt;&gt;"",Roster!$A$159,"")</f>
        <v/>
      </c>
      <c r="B161" s="24"/>
      <c r="C161" s="24"/>
      <c r="D161" s="24"/>
      <c r="E161" s="24"/>
      <c r="F161" s="24"/>
      <c r="G161" s="24"/>
      <c r="H161" s="24"/>
      <c r="I161" s="24"/>
      <c r="J161" s="24"/>
      <c r="K161" s="24"/>
      <c r="L161" s="24"/>
      <c r="M161" s="24"/>
      <c r="N161" s="24"/>
      <c r="O161" s="24"/>
      <c r="P161" s="24"/>
      <c r="Q161" s="24"/>
      <c r="R161" s="24"/>
      <c r="S161" s="24"/>
      <c r="T161" s="24"/>
      <c r="U161" s="24"/>
      <c r="V161" s="24"/>
      <c r="W161" s="24"/>
      <c r="X161" s="24"/>
      <c r="Y161" s="24"/>
      <c r="Z161" s="24"/>
      <c r="AA161" s="24"/>
      <c r="AB161" s="24"/>
      <c r="AC161" s="24"/>
      <c r="AD161" s="24"/>
      <c r="AE161" s="24"/>
      <c r="AF161" s="24"/>
      <c r="AG161" s="24"/>
      <c r="AH161" s="24"/>
      <c r="AI161" s="24"/>
      <c r="AJ161" s="24"/>
      <c r="AK161" s="24"/>
      <c r="AL161" s="24"/>
      <c r="AM161" s="24"/>
      <c r="AN161" s="24"/>
      <c r="AO161" s="24"/>
      <c r="AP161" s="24"/>
      <c r="AQ161" s="24"/>
      <c r="AR161" s="24"/>
      <c r="AS161" s="24"/>
      <c r="AT161" s="24"/>
      <c r="AU161" s="24"/>
      <c r="AV161" s="24"/>
      <c r="AW161" s="24"/>
      <c r="AX161" s="24"/>
      <c r="AY161" s="24"/>
      <c r="AZ161" s="24"/>
    </row>
    <row r="162" ht="19.5" customHeight="1">
      <c r="A162" s="23" t="str">
        <f>IF(Roster!$A$160&lt;&gt;"",Roster!$A$160,"")</f>
        <v/>
      </c>
      <c r="B162" s="24"/>
      <c r="C162" s="24"/>
      <c r="D162" s="24"/>
      <c r="E162" s="24"/>
      <c r="F162" s="24"/>
      <c r="G162" s="24"/>
      <c r="H162" s="24"/>
      <c r="I162" s="24"/>
      <c r="J162" s="24"/>
      <c r="K162" s="24"/>
      <c r="L162" s="24"/>
      <c r="M162" s="24"/>
      <c r="N162" s="24"/>
      <c r="O162" s="24"/>
      <c r="P162" s="24"/>
      <c r="Q162" s="24"/>
      <c r="R162" s="24"/>
      <c r="S162" s="24"/>
      <c r="T162" s="24"/>
      <c r="U162" s="24"/>
      <c r="V162" s="24"/>
      <c r="W162" s="24"/>
      <c r="X162" s="24"/>
      <c r="Y162" s="24"/>
      <c r="Z162" s="24"/>
      <c r="AA162" s="24"/>
      <c r="AB162" s="24"/>
      <c r="AC162" s="24"/>
      <c r="AD162" s="24"/>
      <c r="AE162" s="24"/>
      <c r="AF162" s="24"/>
      <c r="AG162" s="24"/>
      <c r="AH162" s="24"/>
      <c r="AI162" s="24"/>
      <c r="AJ162" s="24"/>
      <c r="AK162" s="24"/>
      <c r="AL162" s="24"/>
      <c r="AM162" s="24"/>
      <c r="AN162" s="24"/>
      <c r="AO162" s="24"/>
      <c r="AP162" s="24"/>
      <c r="AQ162" s="24"/>
      <c r="AR162" s="24"/>
      <c r="AS162" s="24"/>
      <c r="AT162" s="24"/>
      <c r="AU162" s="24"/>
      <c r="AV162" s="24"/>
      <c r="AW162" s="24"/>
      <c r="AX162" s="24"/>
      <c r="AY162" s="24"/>
      <c r="AZ162" s="24"/>
    </row>
    <row r="163" ht="19.5" customHeight="1">
      <c r="A163" s="23" t="str">
        <f>IF(Roster!$A$161&lt;&gt;"",Roster!$A$161,"")</f>
        <v/>
      </c>
      <c r="B163" s="24"/>
      <c r="C163" s="24"/>
      <c r="D163" s="24"/>
      <c r="E163" s="24"/>
      <c r="F163" s="24"/>
      <c r="G163" s="24"/>
      <c r="H163" s="24"/>
      <c r="I163" s="24"/>
      <c r="J163" s="24"/>
      <c r="K163" s="24"/>
      <c r="L163" s="24"/>
      <c r="M163" s="24"/>
      <c r="N163" s="24"/>
      <c r="O163" s="24"/>
      <c r="P163" s="24"/>
      <c r="Q163" s="24"/>
      <c r="R163" s="24"/>
      <c r="S163" s="24"/>
      <c r="T163" s="24"/>
      <c r="U163" s="24"/>
      <c r="V163" s="24"/>
      <c r="W163" s="24"/>
      <c r="X163" s="24"/>
      <c r="Y163" s="24"/>
      <c r="Z163" s="24"/>
      <c r="AA163" s="24"/>
      <c r="AB163" s="24"/>
      <c r="AC163" s="24"/>
      <c r="AD163" s="24"/>
      <c r="AE163" s="24"/>
      <c r="AF163" s="24"/>
      <c r="AG163" s="24"/>
      <c r="AH163" s="24"/>
      <c r="AI163" s="24"/>
      <c r="AJ163" s="24"/>
      <c r="AK163" s="24"/>
      <c r="AL163" s="24"/>
      <c r="AM163" s="24"/>
      <c r="AN163" s="24"/>
      <c r="AO163" s="24"/>
      <c r="AP163" s="24"/>
      <c r="AQ163" s="24"/>
      <c r="AR163" s="24"/>
      <c r="AS163" s="24"/>
      <c r="AT163" s="24"/>
      <c r="AU163" s="24"/>
      <c r="AV163" s="24"/>
      <c r="AW163" s="24"/>
      <c r="AX163" s="24"/>
      <c r="AY163" s="24"/>
      <c r="AZ163" s="24"/>
    </row>
    <row r="164" ht="19.5" customHeight="1">
      <c r="A164" s="23" t="str">
        <f>IF(Roster!$A$162&lt;&gt;"",Roster!$A$162,"")</f>
        <v/>
      </c>
      <c r="B164" s="24"/>
      <c r="C164" s="24"/>
      <c r="D164" s="24"/>
      <c r="E164" s="24"/>
      <c r="F164" s="24"/>
      <c r="G164" s="24"/>
      <c r="H164" s="24"/>
      <c r="I164" s="24"/>
      <c r="J164" s="24"/>
      <c r="K164" s="24"/>
      <c r="L164" s="24"/>
      <c r="M164" s="24"/>
      <c r="N164" s="24"/>
      <c r="O164" s="24"/>
      <c r="P164" s="24"/>
      <c r="Q164" s="24"/>
      <c r="R164" s="24"/>
      <c r="S164" s="24"/>
      <c r="T164" s="24"/>
      <c r="U164" s="24"/>
      <c r="V164" s="24"/>
      <c r="W164" s="24"/>
      <c r="X164" s="24"/>
      <c r="Y164" s="24"/>
      <c r="Z164" s="24"/>
      <c r="AA164" s="24"/>
      <c r="AB164" s="24"/>
      <c r="AC164" s="24"/>
      <c r="AD164" s="24"/>
      <c r="AE164" s="24"/>
      <c r="AF164" s="24"/>
      <c r="AG164" s="24"/>
      <c r="AH164" s="24"/>
      <c r="AI164" s="24"/>
      <c r="AJ164" s="24"/>
      <c r="AK164" s="24"/>
      <c r="AL164" s="24"/>
      <c r="AM164" s="24"/>
      <c r="AN164" s="24"/>
      <c r="AO164" s="24"/>
      <c r="AP164" s="24"/>
      <c r="AQ164" s="24"/>
      <c r="AR164" s="24"/>
      <c r="AS164" s="24"/>
      <c r="AT164" s="24"/>
      <c r="AU164" s="24"/>
      <c r="AV164" s="24"/>
      <c r="AW164" s="24"/>
      <c r="AX164" s="24"/>
      <c r="AY164" s="24"/>
      <c r="AZ164" s="24"/>
    </row>
    <row r="165" ht="19.5" customHeight="1">
      <c r="A165" s="23" t="str">
        <f>IF(Roster!$A$163&lt;&gt;"",Roster!$A$163,"")</f>
        <v/>
      </c>
      <c r="B165" s="24"/>
      <c r="C165" s="24"/>
      <c r="D165" s="24"/>
      <c r="E165" s="24"/>
      <c r="F165" s="24"/>
      <c r="G165" s="24"/>
      <c r="H165" s="24"/>
      <c r="I165" s="24"/>
      <c r="J165" s="24"/>
      <c r="K165" s="24"/>
      <c r="L165" s="24"/>
      <c r="M165" s="24"/>
      <c r="N165" s="24"/>
      <c r="O165" s="24"/>
      <c r="P165" s="24"/>
      <c r="Q165" s="24"/>
      <c r="R165" s="24"/>
      <c r="S165" s="24"/>
      <c r="T165" s="24"/>
      <c r="U165" s="24"/>
      <c r="V165" s="24"/>
      <c r="W165" s="24"/>
      <c r="X165" s="24"/>
      <c r="Y165" s="24"/>
      <c r="Z165" s="24"/>
      <c r="AA165" s="24"/>
      <c r="AB165" s="24"/>
      <c r="AC165" s="24"/>
      <c r="AD165" s="24"/>
      <c r="AE165" s="24"/>
      <c r="AF165" s="24"/>
      <c r="AG165" s="24"/>
      <c r="AH165" s="24"/>
      <c r="AI165" s="24"/>
      <c r="AJ165" s="24"/>
      <c r="AK165" s="24"/>
      <c r="AL165" s="24"/>
      <c r="AM165" s="24"/>
      <c r="AN165" s="24"/>
      <c r="AO165" s="24"/>
      <c r="AP165" s="24"/>
      <c r="AQ165" s="24"/>
      <c r="AR165" s="24"/>
      <c r="AS165" s="24"/>
      <c r="AT165" s="24"/>
      <c r="AU165" s="24"/>
      <c r="AV165" s="24"/>
      <c r="AW165" s="24"/>
      <c r="AX165" s="24"/>
      <c r="AY165" s="24"/>
      <c r="AZ165" s="24"/>
    </row>
    <row r="166" ht="19.5" customHeight="1">
      <c r="A166" s="23" t="str">
        <f>IF(Roster!$A$164&lt;&gt;"",Roster!$A$164,"")</f>
        <v/>
      </c>
      <c r="B166" s="24"/>
      <c r="C166" s="24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24"/>
      <c r="O166" s="24"/>
      <c r="P166" s="24"/>
      <c r="Q166" s="24"/>
      <c r="R166" s="24"/>
      <c r="S166" s="24"/>
      <c r="T166" s="24"/>
      <c r="U166" s="24"/>
      <c r="V166" s="24"/>
      <c r="W166" s="24"/>
      <c r="X166" s="24"/>
      <c r="Y166" s="24"/>
      <c r="Z166" s="24"/>
      <c r="AA166" s="24"/>
      <c r="AB166" s="24"/>
      <c r="AC166" s="24"/>
      <c r="AD166" s="24"/>
      <c r="AE166" s="24"/>
      <c r="AF166" s="24"/>
      <c r="AG166" s="24"/>
      <c r="AH166" s="24"/>
      <c r="AI166" s="24"/>
      <c r="AJ166" s="24"/>
      <c r="AK166" s="24"/>
      <c r="AL166" s="24"/>
      <c r="AM166" s="24"/>
      <c r="AN166" s="24"/>
      <c r="AO166" s="24"/>
      <c r="AP166" s="24"/>
      <c r="AQ166" s="24"/>
      <c r="AR166" s="24"/>
      <c r="AS166" s="24"/>
      <c r="AT166" s="24"/>
      <c r="AU166" s="24"/>
      <c r="AV166" s="24"/>
      <c r="AW166" s="24"/>
      <c r="AX166" s="24"/>
      <c r="AY166" s="24"/>
      <c r="AZ166" s="24"/>
    </row>
    <row r="167" ht="19.5" customHeight="1">
      <c r="A167" s="23" t="str">
        <f>IF(Roster!$A$165&lt;&gt;"",Roster!$A$165,"")</f>
        <v/>
      </c>
      <c r="B167" s="24"/>
      <c r="C167" s="24"/>
      <c r="D167" s="24"/>
      <c r="E167" s="24"/>
      <c r="F167" s="24"/>
      <c r="G167" s="24"/>
      <c r="H167" s="24"/>
      <c r="I167" s="24"/>
      <c r="J167" s="24"/>
      <c r="K167" s="24"/>
      <c r="L167" s="24"/>
      <c r="M167" s="24"/>
      <c r="N167" s="24"/>
      <c r="O167" s="24"/>
      <c r="P167" s="24"/>
      <c r="Q167" s="24"/>
      <c r="R167" s="24"/>
      <c r="S167" s="24"/>
      <c r="T167" s="24"/>
      <c r="U167" s="24"/>
      <c r="V167" s="24"/>
      <c r="W167" s="24"/>
      <c r="X167" s="24"/>
      <c r="Y167" s="24"/>
      <c r="Z167" s="24"/>
      <c r="AA167" s="24"/>
      <c r="AB167" s="24"/>
      <c r="AC167" s="24"/>
      <c r="AD167" s="24"/>
      <c r="AE167" s="24"/>
      <c r="AF167" s="24"/>
      <c r="AG167" s="24"/>
      <c r="AH167" s="24"/>
      <c r="AI167" s="24"/>
      <c r="AJ167" s="24"/>
      <c r="AK167" s="24"/>
      <c r="AL167" s="24"/>
      <c r="AM167" s="24"/>
      <c r="AN167" s="24"/>
      <c r="AO167" s="24"/>
      <c r="AP167" s="24"/>
      <c r="AQ167" s="24"/>
      <c r="AR167" s="24"/>
      <c r="AS167" s="24"/>
      <c r="AT167" s="24"/>
      <c r="AU167" s="24"/>
      <c r="AV167" s="24"/>
      <c r="AW167" s="24"/>
      <c r="AX167" s="24"/>
      <c r="AY167" s="24"/>
      <c r="AZ167" s="24"/>
    </row>
    <row r="168" ht="19.5" customHeight="1">
      <c r="A168" s="23" t="str">
        <f>IF(Roster!$A$166&lt;&gt;"",Roster!$A$166,"")</f>
        <v/>
      </c>
      <c r="B168" s="24"/>
      <c r="C168" s="24"/>
      <c r="D168" s="24"/>
      <c r="E168" s="24"/>
      <c r="F168" s="24"/>
      <c r="G168" s="24"/>
      <c r="H168" s="24"/>
      <c r="I168" s="24"/>
      <c r="J168" s="24"/>
      <c r="K168" s="24"/>
      <c r="L168" s="24"/>
      <c r="M168" s="24"/>
      <c r="N168" s="24"/>
      <c r="O168" s="24"/>
      <c r="P168" s="24"/>
      <c r="Q168" s="24"/>
      <c r="R168" s="24"/>
      <c r="S168" s="24"/>
      <c r="T168" s="24"/>
      <c r="U168" s="24"/>
      <c r="V168" s="24"/>
      <c r="W168" s="24"/>
      <c r="X168" s="24"/>
      <c r="Y168" s="24"/>
      <c r="Z168" s="24"/>
      <c r="AA168" s="24"/>
      <c r="AB168" s="24"/>
      <c r="AC168" s="24"/>
      <c r="AD168" s="24"/>
      <c r="AE168" s="24"/>
      <c r="AF168" s="24"/>
      <c r="AG168" s="24"/>
      <c r="AH168" s="24"/>
      <c r="AI168" s="24"/>
      <c r="AJ168" s="24"/>
      <c r="AK168" s="24"/>
      <c r="AL168" s="24"/>
      <c r="AM168" s="24"/>
      <c r="AN168" s="24"/>
      <c r="AO168" s="24"/>
      <c r="AP168" s="24"/>
      <c r="AQ168" s="24"/>
      <c r="AR168" s="24"/>
      <c r="AS168" s="24"/>
      <c r="AT168" s="24"/>
      <c r="AU168" s="24"/>
      <c r="AV168" s="24"/>
      <c r="AW168" s="24"/>
      <c r="AX168" s="24"/>
      <c r="AY168" s="24"/>
      <c r="AZ168" s="24"/>
    </row>
    <row r="169" ht="19.5" customHeight="1">
      <c r="A169" s="23" t="str">
        <f>IF(Roster!$A$167&lt;&gt;"",Roster!$A$167,"")</f>
        <v/>
      </c>
      <c r="B169" s="24"/>
      <c r="C169" s="24"/>
      <c r="D169" s="24"/>
      <c r="E169" s="24"/>
      <c r="F169" s="24"/>
      <c r="G169" s="24"/>
      <c r="H169" s="24"/>
      <c r="I169" s="24"/>
      <c r="J169" s="24"/>
      <c r="K169" s="24"/>
      <c r="L169" s="24"/>
      <c r="M169" s="24"/>
      <c r="N169" s="24"/>
      <c r="O169" s="24"/>
      <c r="P169" s="24"/>
      <c r="Q169" s="24"/>
      <c r="R169" s="24"/>
      <c r="S169" s="24"/>
      <c r="T169" s="24"/>
      <c r="U169" s="24"/>
      <c r="V169" s="24"/>
      <c r="W169" s="24"/>
      <c r="X169" s="24"/>
      <c r="Y169" s="24"/>
      <c r="Z169" s="24"/>
      <c r="AA169" s="24"/>
      <c r="AB169" s="24"/>
      <c r="AC169" s="24"/>
      <c r="AD169" s="24"/>
      <c r="AE169" s="24"/>
      <c r="AF169" s="24"/>
      <c r="AG169" s="24"/>
      <c r="AH169" s="24"/>
      <c r="AI169" s="24"/>
      <c r="AJ169" s="24"/>
      <c r="AK169" s="24"/>
      <c r="AL169" s="24"/>
      <c r="AM169" s="24"/>
      <c r="AN169" s="24"/>
      <c r="AO169" s="24"/>
      <c r="AP169" s="24"/>
      <c r="AQ169" s="24"/>
      <c r="AR169" s="24"/>
      <c r="AS169" s="24"/>
      <c r="AT169" s="24"/>
      <c r="AU169" s="24"/>
      <c r="AV169" s="24"/>
      <c r="AW169" s="24"/>
      <c r="AX169" s="24"/>
      <c r="AY169" s="24"/>
      <c r="AZ169" s="24"/>
    </row>
    <row r="170" ht="19.5" customHeight="1">
      <c r="A170" s="23" t="str">
        <f>IF(Roster!$A$168&lt;&gt;"",Roster!$A$168,"")</f>
        <v/>
      </c>
      <c r="B170" s="24"/>
      <c r="C170" s="24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  <c r="S170" s="24"/>
      <c r="T170" s="24"/>
      <c r="U170" s="24"/>
      <c r="V170" s="24"/>
      <c r="W170" s="24"/>
      <c r="X170" s="24"/>
      <c r="Y170" s="24"/>
      <c r="Z170" s="24"/>
      <c r="AA170" s="24"/>
      <c r="AB170" s="24"/>
      <c r="AC170" s="24"/>
      <c r="AD170" s="24"/>
      <c r="AE170" s="24"/>
      <c r="AF170" s="24"/>
      <c r="AG170" s="24"/>
      <c r="AH170" s="24"/>
      <c r="AI170" s="24"/>
      <c r="AJ170" s="24"/>
      <c r="AK170" s="24"/>
      <c r="AL170" s="24"/>
      <c r="AM170" s="24"/>
      <c r="AN170" s="24"/>
      <c r="AO170" s="24"/>
      <c r="AP170" s="24"/>
      <c r="AQ170" s="24"/>
      <c r="AR170" s="24"/>
      <c r="AS170" s="24"/>
      <c r="AT170" s="24"/>
      <c r="AU170" s="24"/>
      <c r="AV170" s="24"/>
      <c r="AW170" s="24"/>
      <c r="AX170" s="24"/>
      <c r="AY170" s="24"/>
      <c r="AZ170" s="24"/>
    </row>
    <row r="171" ht="19.5" customHeight="1">
      <c r="A171" s="23" t="str">
        <f>IF(Roster!$A$169&lt;&gt;"",Roster!$A$169,"")</f>
        <v/>
      </c>
      <c r="B171" s="24"/>
      <c r="C171" s="24"/>
      <c r="D171" s="24"/>
      <c r="E171" s="24"/>
      <c r="F171" s="24"/>
      <c r="G171" s="24"/>
      <c r="H171" s="24"/>
      <c r="I171" s="24"/>
      <c r="J171" s="24"/>
      <c r="K171" s="24"/>
      <c r="L171" s="24"/>
      <c r="M171" s="24"/>
      <c r="N171" s="24"/>
      <c r="O171" s="24"/>
      <c r="P171" s="24"/>
      <c r="Q171" s="24"/>
      <c r="R171" s="24"/>
      <c r="S171" s="24"/>
      <c r="T171" s="24"/>
      <c r="U171" s="24"/>
      <c r="V171" s="24"/>
      <c r="W171" s="24"/>
      <c r="X171" s="24"/>
      <c r="Y171" s="24"/>
      <c r="Z171" s="24"/>
      <c r="AA171" s="24"/>
      <c r="AB171" s="24"/>
      <c r="AC171" s="24"/>
      <c r="AD171" s="24"/>
      <c r="AE171" s="24"/>
      <c r="AF171" s="24"/>
      <c r="AG171" s="24"/>
      <c r="AH171" s="24"/>
      <c r="AI171" s="24"/>
      <c r="AJ171" s="24"/>
      <c r="AK171" s="24"/>
      <c r="AL171" s="24"/>
      <c r="AM171" s="24"/>
      <c r="AN171" s="24"/>
      <c r="AO171" s="24"/>
      <c r="AP171" s="24"/>
      <c r="AQ171" s="24"/>
      <c r="AR171" s="24"/>
      <c r="AS171" s="24"/>
      <c r="AT171" s="24"/>
      <c r="AU171" s="24"/>
      <c r="AV171" s="24"/>
      <c r="AW171" s="24"/>
      <c r="AX171" s="24"/>
      <c r="AY171" s="24"/>
      <c r="AZ171" s="24"/>
    </row>
    <row r="172" ht="19.5" customHeight="1">
      <c r="A172" s="23" t="str">
        <f>IF(Roster!$A$170&lt;&gt;"",Roster!$A$170,"")</f>
        <v/>
      </c>
      <c r="B172" s="24"/>
      <c r="C172" s="24"/>
      <c r="D172" s="24"/>
      <c r="E172" s="24"/>
      <c r="F172" s="24"/>
      <c r="G172" s="24"/>
      <c r="H172" s="24"/>
      <c r="I172" s="24"/>
      <c r="J172" s="24"/>
      <c r="K172" s="24"/>
      <c r="L172" s="24"/>
      <c r="M172" s="24"/>
      <c r="N172" s="24"/>
      <c r="O172" s="24"/>
      <c r="P172" s="24"/>
      <c r="Q172" s="24"/>
      <c r="R172" s="24"/>
      <c r="S172" s="24"/>
      <c r="T172" s="24"/>
      <c r="U172" s="24"/>
      <c r="V172" s="24"/>
      <c r="W172" s="24"/>
      <c r="X172" s="24"/>
      <c r="Y172" s="24"/>
      <c r="Z172" s="24"/>
      <c r="AA172" s="24"/>
      <c r="AB172" s="24"/>
      <c r="AC172" s="24"/>
      <c r="AD172" s="24"/>
      <c r="AE172" s="24"/>
      <c r="AF172" s="24"/>
      <c r="AG172" s="24"/>
      <c r="AH172" s="24"/>
      <c r="AI172" s="24"/>
      <c r="AJ172" s="24"/>
      <c r="AK172" s="24"/>
      <c r="AL172" s="24"/>
      <c r="AM172" s="24"/>
      <c r="AN172" s="24"/>
      <c r="AO172" s="24"/>
      <c r="AP172" s="24"/>
      <c r="AQ172" s="24"/>
      <c r="AR172" s="24"/>
      <c r="AS172" s="24"/>
      <c r="AT172" s="24"/>
      <c r="AU172" s="24"/>
      <c r="AV172" s="24"/>
      <c r="AW172" s="24"/>
      <c r="AX172" s="24"/>
      <c r="AY172" s="24"/>
      <c r="AZ172" s="24"/>
    </row>
    <row r="173" ht="19.5" customHeight="1">
      <c r="A173" s="23" t="str">
        <f>IF(Roster!$A$171&lt;&gt;"",Roster!$A$171,"")</f>
        <v/>
      </c>
      <c r="B173" s="24"/>
      <c r="C173" s="24"/>
      <c r="D173" s="24"/>
      <c r="E173" s="24"/>
      <c r="F173" s="24"/>
      <c r="G173" s="24"/>
      <c r="H173" s="24"/>
      <c r="I173" s="24"/>
      <c r="J173" s="24"/>
      <c r="K173" s="24"/>
      <c r="L173" s="24"/>
      <c r="M173" s="24"/>
      <c r="N173" s="24"/>
      <c r="O173" s="24"/>
      <c r="P173" s="24"/>
      <c r="Q173" s="24"/>
      <c r="R173" s="24"/>
      <c r="S173" s="24"/>
      <c r="T173" s="24"/>
      <c r="U173" s="24"/>
      <c r="V173" s="24"/>
      <c r="W173" s="24"/>
      <c r="X173" s="24"/>
      <c r="Y173" s="24"/>
      <c r="Z173" s="24"/>
      <c r="AA173" s="24"/>
      <c r="AB173" s="24"/>
      <c r="AC173" s="24"/>
      <c r="AD173" s="24"/>
      <c r="AE173" s="24"/>
      <c r="AF173" s="24"/>
      <c r="AG173" s="24"/>
      <c r="AH173" s="24"/>
      <c r="AI173" s="24"/>
      <c r="AJ173" s="24"/>
      <c r="AK173" s="24"/>
      <c r="AL173" s="24"/>
      <c r="AM173" s="24"/>
      <c r="AN173" s="24"/>
      <c r="AO173" s="24"/>
      <c r="AP173" s="24"/>
      <c r="AQ173" s="24"/>
      <c r="AR173" s="24"/>
      <c r="AS173" s="24"/>
      <c r="AT173" s="24"/>
      <c r="AU173" s="24"/>
      <c r="AV173" s="24"/>
      <c r="AW173" s="24"/>
      <c r="AX173" s="24"/>
      <c r="AY173" s="24"/>
      <c r="AZ173" s="24"/>
    </row>
    <row r="174" ht="19.5" customHeight="1">
      <c r="A174" s="23" t="str">
        <f>IF(Roster!$A$172&lt;&gt;"",Roster!$A$172,"")</f>
        <v/>
      </c>
      <c r="B174" s="24"/>
      <c r="C174" s="24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  <c r="S174" s="24"/>
      <c r="T174" s="24"/>
      <c r="U174" s="24"/>
      <c r="V174" s="24"/>
      <c r="W174" s="24"/>
      <c r="X174" s="24"/>
      <c r="Y174" s="24"/>
      <c r="Z174" s="24"/>
      <c r="AA174" s="24"/>
      <c r="AB174" s="24"/>
      <c r="AC174" s="24"/>
      <c r="AD174" s="24"/>
      <c r="AE174" s="24"/>
      <c r="AF174" s="24"/>
      <c r="AG174" s="24"/>
      <c r="AH174" s="24"/>
      <c r="AI174" s="24"/>
      <c r="AJ174" s="24"/>
      <c r="AK174" s="24"/>
      <c r="AL174" s="24"/>
      <c r="AM174" s="24"/>
      <c r="AN174" s="24"/>
      <c r="AO174" s="24"/>
      <c r="AP174" s="24"/>
      <c r="AQ174" s="24"/>
      <c r="AR174" s="24"/>
      <c r="AS174" s="24"/>
      <c r="AT174" s="24"/>
      <c r="AU174" s="24"/>
      <c r="AV174" s="24"/>
      <c r="AW174" s="24"/>
      <c r="AX174" s="24"/>
      <c r="AY174" s="24"/>
      <c r="AZ174" s="24"/>
    </row>
    <row r="175" ht="19.5" customHeight="1">
      <c r="A175" s="23" t="str">
        <f>IF(Roster!$A$173&lt;&gt;"",Roster!$A$173,"")</f>
        <v/>
      </c>
      <c r="B175" s="24"/>
      <c r="C175" s="24"/>
      <c r="D175" s="24"/>
      <c r="E175" s="24"/>
      <c r="F175" s="24"/>
      <c r="G175" s="24"/>
      <c r="H175" s="24"/>
      <c r="I175" s="24"/>
      <c r="J175" s="24"/>
      <c r="K175" s="24"/>
      <c r="L175" s="24"/>
      <c r="M175" s="24"/>
      <c r="N175" s="24"/>
      <c r="O175" s="24"/>
      <c r="P175" s="24"/>
      <c r="Q175" s="24"/>
      <c r="R175" s="24"/>
      <c r="S175" s="24"/>
      <c r="T175" s="24"/>
      <c r="U175" s="24"/>
      <c r="V175" s="24"/>
      <c r="W175" s="24"/>
      <c r="X175" s="24"/>
      <c r="Y175" s="24"/>
      <c r="Z175" s="24"/>
      <c r="AA175" s="24"/>
      <c r="AB175" s="24"/>
      <c r="AC175" s="24"/>
      <c r="AD175" s="24"/>
      <c r="AE175" s="24"/>
      <c r="AF175" s="24"/>
      <c r="AG175" s="24"/>
      <c r="AH175" s="24"/>
      <c r="AI175" s="24"/>
      <c r="AJ175" s="24"/>
      <c r="AK175" s="24"/>
      <c r="AL175" s="24"/>
      <c r="AM175" s="24"/>
      <c r="AN175" s="24"/>
      <c r="AO175" s="24"/>
      <c r="AP175" s="24"/>
      <c r="AQ175" s="24"/>
      <c r="AR175" s="24"/>
      <c r="AS175" s="24"/>
      <c r="AT175" s="24"/>
      <c r="AU175" s="24"/>
      <c r="AV175" s="24"/>
      <c r="AW175" s="24"/>
      <c r="AX175" s="24"/>
      <c r="AY175" s="24"/>
      <c r="AZ175" s="24"/>
    </row>
    <row r="176" ht="19.5" customHeight="1">
      <c r="A176" s="23" t="str">
        <f>IF(Roster!$A$174&lt;&gt;"",Roster!$A$174,"")</f>
        <v/>
      </c>
      <c r="B176" s="24"/>
      <c r="C176" s="24"/>
      <c r="D176" s="24"/>
      <c r="E176" s="24"/>
      <c r="F176" s="24"/>
      <c r="G176" s="24"/>
      <c r="H176" s="24"/>
      <c r="I176" s="24"/>
      <c r="J176" s="24"/>
      <c r="K176" s="24"/>
      <c r="L176" s="24"/>
      <c r="M176" s="24"/>
      <c r="N176" s="24"/>
      <c r="O176" s="24"/>
      <c r="P176" s="24"/>
      <c r="Q176" s="24"/>
      <c r="R176" s="24"/>
      <c r="S176" s="24"/>
      <c r="T176" s="24"/>
      <c r="U176" s="24"/>
      <c r="V176" s="24"/>
      <c r="W176" s="24"/>
      <c r="X176" s="24"/>
      <c r="Y176" s="24"/>
      <c r="Z176" s="24"/>
      <c r="AA176" s="24"/>
      <c r="AB176" s="24"/>
      <c r="AC176" s="24"/>
      <c r="AD176" s="24"/>
      <c r="AE176" s="24"/>
      <c r="AF176" s="24"/>
      <c r="AG176" s="24"/>
      <c r="AH176" s="24"/>
      <c r="AI176" s="24"/>
      <c r="AJ176" s="24"/>
      <c r="AK176" s="24"/>
      <c r="AL176" s="24"/>
      <c r="AM176" s="24"/>
      <c r="AN176" s="24"/>
      <c r="AO176" s="24"/>
      <c r="AP176" s="24"/>
      <c r="AQ176" s="24"/>
      <c r="AR176" s="24"/>
      <c r="AS176" s="24"/>
      <c r="AT176" s="24"/>
      <c r="AU176" s="24"/>
      <c r="AV176" s="24"/>
      <c r="AW176" s="24"/>
      <c r="AX176" s="24"/>
      <c r="AY176" s="24"/>
      <c r="AZ176" s="24"/>
    </row>
    <row r="177" ht="19.5" customHeight="1">
      <c r="A177" s="23" t="str">
        <f>IF(Roster!$A$175&lt;&gt;"",Roster!$A$175,"")</f>
        <v/>
      </c>
      <c r="B177" s="24"/>
      <c r="C177" s="24"/>
      <c r="D177" s="24"/>
      <c r="E177" s="24"/>
      <c r="F177" s="24"/>
      <c r="G177" s="24"/>
      <c r="H177" s="24"/>
      <c r="I177" s="24"/>
      <c r="J177" s="24"/>
      <c r="K177" s="24"/>
      <c r="L177" s="24"/>
      <c r="M177" s="24"/>
      <c r="N177" s="24"/>
      <c r="O177" s="24"/>
      <c r="P177" s="24"/>
      <c r="Q177" s="24"/>
      <c r="R177" s="24"/>
      <c r="S177" s="24"/>
      <c r="T177" s="24"/>
      <c r="U177" s="24"/>
      <c r="V177" s="24"/>
      <c r="W177" s="24"/>
      <c r="X177" s="24"/>
      <c r="Y177" s="24"/>
      <c r="Z177" s="24"/>
      <c r="AA177" s="24"/>
      <c r="AB177" s="24"/>
      <c r="AC177" s="24"/>
      <c r="AD177" s="24"/>
      <c r="AE177" s="24"/>
      <c r="AF177" s="24"/>
      <c r="AG177" s="24"/>
      <c r="AH177" s="24"/>
      <c r="AI177" s="24"/>
      <c r="AJ177" s="24"/>
      <c r="AK177" s="24"/>
      <c r="AL177" s="24"/>
      <c r="AM177" s="24"/>
      <c r="AN177" s="24"/>
      <c r="AO177" s="24"/>
      <c r="AP177" s="24"/>
      <c r="AQ177" s="24"/>
      <c r="AR177" s="24"/>
      <c r="AS177" s="24"/>
      <c r="AT177" s="24"/>
      <c r="AU177" s="24"/>
      <c r="AV177" s="24"/>
      <c r="AW177" s="24"/>
      <c r="AX177" s="24"/>
      <c r="AY177" s="24"/>
      <c r="AZ177" s="24"/>
    </row>
    <row r="178" ht="19.5" customHeight="1">
      <c r="A178" s="23" t="str">
        <f>IF(Roster!$A$176&lt;&gt;"",Roster!$A$176,"")</f>
        <v/>
      </c>
      <c r="B178" s="24"/>
      <c r="C178" s="24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  <c r="S178" s="24"/>
      <c r="T178" s="24"/>
      <c r="U178" s="24"/>
      <c r="V178" s="24"/>
      <c r="W178" s="24"/>
      <c r="X178" s="24"/>
      <c r="Y178" s="24"/>
      <c r="Z178" s="24"/>
      <c r="AA178" s="24"/>
      <c r="AB178" s="24"/>
      <c r="AC178" s="24"/>
      <c r="AD178" s="24"/>
      <c r="AE178" s="24"/>
      <c r="AF178" s="24"/>
      <c r="AG178" s="24"/>
      <c r="AH178" s="24"/>
      <c r="AI178" s="24"/>
      <c r="AJ178" s="24"/>
      <c r="AK178" s="24"/>
      <c r="AL178" s="24"/>
      <c r="AM178" s="24"/>
      <c r="AN178" s="24"/>
      <c r="AO178" s="24"/>
      <c r="AP178" s="24"/>
      <c r="AQ178" s="24"/>
      <c r="AR178" s="24"/>
      <c r="AS178" s="24"/>
      <c r="AT178" s="24"/>
      <c r="AU178" s="24"/>
      <c r="AV178" s="24"/>
      <c r="AW178" s="24"/>
      <c r="AX178" s="24"/>
      <c r="AY178" s="24"/>
      <c r="AZ178" s="24"/>
    </row>
    <row r="179" ht="19.5" customHeight="1">
      <c r="A179" s="23" t="str">
        <f>IF(Roster!$A$177&lt;&gt;"",Roster!$A$177,"")</f>
        <v/>
      </c>
      <c r="B179" s="24"/>
      <c r="C179" s="24"/>
      <c r="D179" s="24"/>
      <c r="E179" s="24"/>
      <c r="F179" s="24"/>
      <c r="G179" s="24"/>
      <c r="H179" s="24"/>
      <c r="I179" s="24"/>
      <c r="J179" s="24"/>
      <c r="K179" s="24"/>
      <c r="L179" s="24"/>
      <c r="M179" s="24"/>
      <c r="N179" s="24"/>
      <c r="O179" s="24"/>
      <c r="P179" s="24"/>
      <c r="Q179" s="24"/>
      <c r="R179" s="24"/>
      <c r="S179" s="24"/>
      <c r="T179" s="24"/>
      <c r="U179" s="24"/>
      <c r="V179" s="24"/>
      <c r="W179" s="24"/>
      <c r="X179" s="24"/>
      <c r="Y179" s="24"/>
      <c r="Z179" s="24"/>
      <c r="AA179" s="24"/>
      <c r="AB179" s="24"/>
      <c r="AC179" s="24"/>
      <c r="AD179" s="24"/>
      <c r="AE179" s="24"/>
      <c r="AF179" s="24"/>
      <c r="AG179" s="24"/>
      <c r="AH179" s="24"/>
      <c r="AI179" s="24"/>
      <c r="AJ179" s="24"/>
      <c r="AK179" s="24"/>
      <c r="AL179" s="24"/>
      <c r="AM179" s="24"/>
      <c r="AN179" s="24"/>
      <c r="AO179" s="24"/>
      <c r="AP179" s="24"/>
      <c r="AQ179" s="24"/>
      <c r="AR179" s="24"/>
      <c r="AS179" s="24"/>
      <c r="AT179" s="24"/>
      <c r="AU179" s="24"/>
      <c r="AV179" s="24"/>
      <c r="AW179" s="24"/>
      <c r="AX179" s="24"/>
      <c r="AY179" s="24"/>
      <c r="AZ179" s="24"/>
    </row>
    <row r="180" ht="19.5" customHeight="1">
      <c r="A180" s="23" t="str">
        <f>IF(Roster!$A$178&lt;&gt;"",Roster!$A$178,"")</f>
        <v/>
      </c>
      <c r="B180" s="24"/>
      <c r="C180" s="24"/>
      <c r="D180" s="24"/>
      <c r="E180" s="24"/>
      <c r="F180" s="24"/>
      <c r="G180" s="24"/>
      <c r="H180" s="24"/>
      <c r="I180" s="24"/>
      <c r="J180" s="24"/>
      <c r="K180" s="24"/>
      <c r="L180" s="24"/>
      <c r="M180" s="24"/>
      <c r="N180" s="24"/>
      <c r="O180" s="24"/>
      <c r="P180" s="24"/>
      <c r="Q180" s="24"/>
      <c r="R180" s="24"/>
      <c r="S180" s="24"/>
      <c r="T180" s="24"/>
      <c r="U180" s="24"/>
      <c r="V180" s="24"/>
      <c r="W180" s="24"/>
      <c r="X180" s="24"/>
      <c r="Y180" s="24"/>
      <c r="Z180" s="24"/>
      <c r="AA180" s="24"/>
      <c r="AB180" s="24"/>
      <c r="AC180" s="24"/>
      <c r="AD180" s="24"/>
      <c r="AE180" s="24"/>
      <c r="AF180" s="24"/>
      <c r="AG180" s="24"/>
      <c r="AH180" s="24"/>
      <c r="AI180" s="24"/>
      <c r="AJ180" s="24"/>
      <c r="AK180" s="24"/>
      <c r="AL180" s="24"/>
      <c r="AM180" s="24"/>
      <c r="AN180" s="24"/>
      <c r="AO180" s="24"/>
      <c r="AP180" s="24"/>
      <c r="AQ180" s="24"/>
      <c r="AR180" s="24"/>
      <c r="AS180" s="24"/>
      <c r="AT180" s="24"/>
      <c r="AU180" s="24"/>
      <c r="AV180" s="24"/>
      <c r="AW180" s="24"/>
      <c r="AX180" s="24"/>
      <c r="AY180" s="24"/>
      <c r="AZ180" s="24"/>
    </row>
    <row r="181" ht="19.5" customHeight="1">
      <c r="A181" s="23" t="str">
        <f>IF(Roster!$A$179&lt;&gt;"",Roster!$A$179,"")</f>
        <v/>
      </c>
      <c r="B181" s="24"/>
      <c r="C181" s="24"/>
      <c r="D181" s="24"/>
      <c r="E181" s="24"/>
      <c r="F181" s="24"/>
      <c r="G181" s="24"/>
      <c r="H181" s="24"/>
      <c r="I181" s="24"/>
      <c r="J181" s="24"/>
      <c r="K181" s="24"/>
      <c r="L181" s="24"/>
      <c r="M181" s="24"/>
      <c r="N181" s="24"/>
      <c r="O181" s="24"/>
      <c r="P181" s="24"/>
      <c r="Q181" s="24"/>
      <c r="R181" s="24"/>
      <c r="S181" s="24"/>
      <c r="T181" s="24"/>
      <c r="U181" s="24"/>
      <c r="V181" s="24"/>
      <c r="W181" s="24"/>
      <c r="X181" s="24"/>
      <c r="Y181" s="24"/>
      <c r="Z181" s="24"/>
      <c r="AA181" s="24"/>
      <c r="AB181" s="24"/>
      <c r="AC181" s="24"/>
      <c r="AD181" s="24"/>
      <c r="AE181" s="24"/>
      <c r="AF181" s="24"/>
      <c r="AG181" s="24"/>
      <c r="AH181" s="24"/>
      <c r="AI181" s="24"/>
      <c r="AJ181" s="24"/>
      <c r="AK181" s="24"/>
      <c r="AL181" s="24"/>
      <c r="AM181" s="24"/>
      <c r="AN181" s="24"/>
      <c r="AO181" s="24"/>
      <c r="AP181" s="24"/>
      <c r="AQ181" s="24"/>
      <c r="AR181" s="24"/>
      <c r="AS181" s="24"/>
      <c r="AT181" s="24"/>
      <c r="AU181" s="24"/>
      <c r="AV181" s="24"/>
      <c r="AW181" s="24"/>
      <c r="AX181" s="24"/>
      <c r="AY181" s="24"/>
      <c r="AZ181" s="24"/>
    </row>
    <row r="182" ht="19.5" customHeight="1">
      <c r="A182" s="23" t="str">
        <f>IF(Roster!$A$180&lt;&gt;"",Roster!$A$180,"")</f>
        <v/>
      </c>
      <c r="B182" s="24"/>
      <c r="C182" s="24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  <c r="S182" s="24"/>
      <c r="T182" s="24"/>
      <c r="U182" s="24"/>
      <c r="V182" s="24"/>
      <c r="W182" s="24"/>
      <c r="X182" s="24"/>
      <c r="Y182" s="24"/>
      <c r="Z182" s="24"/>
      <c r="AA182" s="24"/>
      <c r="AB182" s="24"/>
      <c r="AC182" s="24"/>
      <c r="AD182" s="24"/>
      <c r="AE182" s="24"/>
      <c r="AF182" s="24"/>
      <c r="AG182" s="24"/>
      <c r="AH182" s="24"/>
      <c r="AI182" s="24"/>
      <c r="AJ182" s="24"/>
      <c r="AK182" s="24"/>
      <c r="AL182" s="24"/>
      <c r="AM182" s="24"/>
      <c r="AN182" s="24"/>
      <c r="AO182" s="24"/>
      <c r="AP182" s="24"/>
      <c r="AQ182" s="24"/>
      <c r="AR182" s="24"/>
      <c r="AS182" s="24"/>
      <c r="AT182" s="24"/>
      <c r="AU182" s="24"/>
      <c r="AV182" s="24"/>
      <c r="AW182" s="24"/>
      <c r="AX182" s="24"/>
      <c r="AY182" s="24"/>
      <c r="AZ182" s="24"/>
    </row>
    <row r="183" ht="19.5" customHeight="1">
      <c r="A183" s="23" t="str">
        <f>IF(Roster!$A$181&lt;&gt;"",Roster!$A$181,"")</f>
        <v/>
      </c>
      <c r="B183" s="24"/>
      <c r="C183" s="24"/>
      <c r="D183" s="24"/>
      <c r="E183" s="24"/>
      <c r="F183" s="24"/>
      <c r="G183" s="24"/>
      <c r="H183" s="24"/>
      <c r="I183" s="24"/>
      <c r="J183" s="24"/>
      <c r="K183" s="24"/>
      <c r="L183" s="24"/>
      <c r="M183" s="24"/>
      <c r="N183" s="24"/>
      <c r="O183" s="24"/>
      <c r="P183" s="24"/>
      <c r="Q183" s="24"/>
      <c r="R183" s="24"/>
      <c r="S183" s="24"/>
      <c r="T183" s="24"/>
      <c r="U183" s="24"/>
      <c r="V183" s="24"/>
      <c r="W183" s="24"/>
      <c r="X183" s="24"/>
      <c r="Y183" s="24"/>
      <c r="Z183" s="24"/>
      <c r="AA183" s="24"/>
      <c r="AB183" s="24"/>
      <c r="AC183" s="24"/>
      <c r="AD183" s="24"/>
      <c r="AE183" s="24"/>
      <c r="AF183" s="24"/>
      <c r="AG183" s="24"/>
      <c r="AH183" s="24"/>
      <c r="AI183" s="24"/>
      <c r="AJ183" s="24"/>
      <c r="AK183" s="24"/>
      <c r="AL183" s="24"/>
      <c r="AM183" s="24"/>
      <c r="AN183" s="24"/>
      <c r="AO183" s="24"/>
      <c r="AP183" s="24"/>
      <c r="AQ183" s="24"/>
      <c r="AR183" s="24"/>
      <c r="AS183" s="24"/>
      <c r="AT183" s="24"/>
      <c r="AU183" s="24"/>
      <c r="AV183" s="24"/>
      <c r="AW183" s="24"/>
      <c r="AX183" s="24"/>
      <c r="AY183" s="24"/>
      <c r="AZ183" s="24"/>
    </row>
    <row r="184" ht="19.5" customHeight="1">
      <c r="A184" s="23" t="str">
        <f>IF(Roster!$A$182&lt;&gt;"",Roster!$A$182,"")</f>
        <v/>
      </c>
      <c r="B184" s="24"/>
      <c r="C184" s="24"/>
      <c r="D184" s="24"/>
      <c r="E184" s="24"/>
      <c r="F184" s="24"/>
      <c r="G184" s="24"/>
      <c r="H184" s="24"/>
      <c r="I184" s="24"/>
      <c r="J184" s="24"/>
      <c r="K184" s="24"/>
      <c r="L184" s="24"/>
      <c r="M184" s="24"/>
      <c r="N184" s="24"/>
      <c r="O184" s="24"/>
      <c r="P184" s="24"/>
      <c r="Q184" s="24"/>
      <c r="R184" s="24"/>
      <c r="S184" s="24"/>
      <c r="T184" s="24"/>
      <c r="U184" s="24"/>
      <c r="V184" s="24"/>
      <c r="W184" s="24"/>
      <c r="X184" s="24"/>
      <c r="Y184" s="24"/>
      <c r="Z184" s="24"/>
      <c r="AA184" s="24"/>
      <c r="AB184" s="24"/>
      <c r="AC184" s="24"/>
      <c r="AD184" s="24"/>
      <c r="AE184" s="24"/>
      <c r="AF184" s="24"/>
      <c r="AG184" s="24"/>
      <c r="AH184" s="24"/>
      <c r="AI184" s="24"/>
      <c r="AJ184" s="24"/>
      <c r="AK184" s="24"/>
      <c r="AL184" s="24"/>
      <c r="AM184" s="24"/>
      <c r="AN184" s="24"/>
      <c r="AO184" s="24"/>
      <c r="AP184" s="24"/>
      <c r="AQ184" s="24"/>
      <c r="AR184" s="24"/>
      <c r="AS184" s="24"/>
      <c r="AT184" s="24"/>
      <c r="AU184" s="24"/>
      <c r="AV184" s="24"/>
      <c r="AW184" s="24"/>
      <c r="AX184" s="24"/>
      <c r="AY184" s="24"/>
      <c r="AZ184" s="24"/>
    </row>
    <row r="185" ht="19.5" customHeight="1">
      <c r="A185" s="23" t="str">
        <f>IF(Roster!$A$183&lt;&gt;"",Roster!$A$183,"")</f>
        <v/>
      </c>
      <c r="B185" s="24"/>
      <c r="C185" s="24"/>
      <c r="D185" s="24"/>
      <c r="E185" s="24"/>
      <c r="F185" s="24"/>
      <c r="G185" s="24"/>
      <c r="H185" s="24"/>
      <c r="I185" s="24"/>
      <c r="J185" s="24"/>
      <c r="K185" s="24"/>
      <c r="L185" s="24"/>
      <c r="M185" s="24"/>
      <c r="N185" s="24"/>
      <c r="O185" s="24"/>
      <c r="P185" s="24"/>
      <c r="Q185" s="24"/>
      <c r="R185" s="24"/>
      <c r="S185" s="24"/>
      <c r="T185" s="24"/>
      <c r="U185" s="24"/>
      <c r="V185" s="24"/>
      <c r="W185" s="24"/>
      <c r="X185" s="24"/>
      <c r="Y185" s="24"/>
      <c r="Z185" s="24"/>
      <c r="AA185" s="24"/>
      <c r="AB185" s="24"/>
      <c r="AC185" s="24"/>
      <c r="AD185" s="24"/>
      <c r="AE185" s="24"/>
      <c r="AF185" s="24"/>
      <c r="AG185" s="24"/>
      <c r="AH185" s="24"/>
      <c r="AI185" s="24"/>
      <c r="AJ185" s="24"/>
      <c r="AK185" s="24"/>
      <c r="AL185" s="24"/>
      <c r="AM185" s="24"/>
      <c r="AN185" s="24"/>
      <c r="AO185" s="24"/>
      <c r="AP185" s="24"/>
      <c r="AQ185" s="24"/>
      <c r="AR185" s="24"/>
      <c r="AS185" s="24"/>
      <c r="AT185" s="24"/>
      <c r="AU185" s="24"/>
      <c r="AV185" s="24"/>
      <c r="AW185" s="24"/>
      <c r="AX185" s="24"/>
      <c r="AY185" s="24"/>
      <c r="AZ185" s="24"/>
    </row>
    <row r="186" ht="19.5" customHeight="1">
      <c r="A186" s="23" t="str">
        <f>IF(Roster!$A$184&lt;&gt;"",Roster!$A$184,"")</f>
        <v/>
      </c>
      <c r="B186" s="24"/>
      <c r="C186" s="24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  <c r="S186" s="24"/>
      <c r="T186" s="24"/>
      <c r="U186" s="24"/>
      <c r="V186" s="24"/>
      <c r="W186" s="24"/>
      <c r="X186" s="24"/>
      <c r="Y186" s="24"/>
      <c r="Z186" s="24"/>
      <c r="AA186" s="24"/>
      <c r="AB186" s="24"/>
      <c r="AC186" s="24"/>
      <c r="AD186" s="24"/>
      <c r="AE186" s="24"/>
      <c r="AF186" s="24"/>
      <c r="AG186" s="24"/>
      <c r="AH186" s="24"/>
      <c r="AI186" s="24"/>
      <c r="AJ186" s="24"/>
      <c r="AK186" s="24"/>
      <c r="AL186" s="24"/>
      <c r="AM186" s="24"/>
      <c r="AN186" s="24"/>
      <c r="AO186" s="24"/>
      <c r="AP186" s="24"/>
      <c r="AQ186" s="24"/>
      <c r="AR186" s="24"/>
      <c r="AS186" s="24"/>
      <c r="AT186" s="24"/>
      <c r="AU186" s="24"/>
      <c r="AV186" s="24"/>
      <c r="AW186" s="24"/>
      <c r="AX186" s="24"/>
      <c r="AY186" s="24"/>
      <c r="AZ186" s="24"/>
    </row>
    <row r="187" ht="19.5" customHeight="1">
      <c r="A187" s="23" t="str">
        <f>IF(Roster!$A$185&lt;&gt;"",Roster!$A$185,"")</f>
        <v/>
      </c>
      <c r="B187" s="24"/>
      <c r="C187" s="24"/>
      <c r="D187" s="24"/>
      <c r="E187" s="24"/>
      <c r="F187" s="24"/>
      <c r="G187" s="24"/>
      <c r="H187" s="24"/>
      <c r="I187" s="24"/>
      <c r="J187" s="24"/>
      <c r="K187" s="24"/>
      <c r="L187" s="24"/>
      <c r="M187" s="24"/>
      <c r="N187" s="24"/>
      <c r="O187" s="24"/>
      <c r="P187" s="24"/>
      <c r="Q187" s="24"/>
      <c r="R187" s="24"/>
      <c r="S187" s="24"/>
      <c r="T187" s="24"/>
      <c r="U187" s="24"/>
      <c r="V187" s="24"/>
      <c r="W187" s="24"/>
      <c r="X187" s="24"/>
      <c r="Y187" s="24"/>
      <c r="Z187" s="24"/>
      <c r="AA187" s="24"/>
      <c r="AB187" s="24"/>
      <c r="AC187" s="24"/>
      <c r="AD187" s="24"/>
      <c r="AE187" s="24"/>
      <c r="AF187" s="24"/>
      <c r="AG187" s="24"/>
      <c r="AH187" s="24"/>
      <c r="AI187" s="24"/>
      <c r="AJ187" s="24"/>
      <c r="AK187" s="24"/>
      <c r="AL187" s="24"/>
      <c r="AM187" s="24"/>
      <c r="AN187" s="24"/>
      <c r="AO187" s="24"/>
      <c r="AP187" s="24"/>
      <c r="AQ187" s="24"/>
      <c r="AR187" s="24"/>
      <c r="AS187" s="24"/>
      <c r="AT187" s="24"/>
      <c r="AU187" s="24"/>
      <c r="AV187" s="24"/>
      <c r="AW187" s="24"/>
      <c r="AX187" s="24"/>
      <c r="AY187" s="24"/>
      <c r="AZ187" s="24"/>
    </row>
    <row r="188" ht="19.5" customHeight="1">
      <c r="A188" s="23" t="str">
        <f>IF(Roster!$A$186&lt;&gt;"",Roster!$A$186,"")</f>
        <v/>
      </c>
      <c r="B188" s="24"/>
      <c r="C188" s="24"/>
      <c r="D188" s="24"/>
      <c r="E188" s="24"/>
      <c r="F188" s="24"/>
      <c r="G188" s="24"/>
      <c r="H188" s="24"/>
      <c r="I188" s="24"/>
      <c r="J188" s="24"/>
      <c r="K188" s="24"/>
      <c r="L188" s="24"/>
      <c r="M188" s="24"/>
      <c r="N188" s="24"/>
      <c r="O188" s="24"/>
      <c r="P188" s="24"/>
      <c r="Q188" s="24"/>
      <c r="R188" s="24"/>
      <c r="S188" s="24"/>
      <c r="T188" s="24"/>
      <c r="U188" s="24"/>
      <c r="V188" s="24"/>
      <c r="W188" s="24"/>
      <c r="X188" s="24"/>
      <c r="Y188" s="24"/>
      <c r="Z188" s="24"/>
      <c r="AA188" s="24"/>
      <c r="AB188" s="24"/>
      <c r="AC188" s="24"/>
      <c r="AD188" s="24"/>
      <c r="AE188" s="24"/>
      <c r="AF188" s="24"/>
      <c r="AG188" s="24"/>
      <c r="AH188" s="24"/>
      <c r="AI188" s="24"/>
      <c r="AJ188" s="24"/>
      <c r="AK188" s="24"/>
      <c r="AL188" s="24"/>
      <c r="AM188" s="24"/>
      <c r="AN188" s="24"/>
      <c r="AO188" s="24"/>
      <c r="AP188" s="24"/>
      <c r="AQ188" s="24"/>
      <c r="AR188" s="24"/>
      <c r="AS188" s="24"/>
      <c r="AT188" s="24"/>
      <c r="AU188" s="24"/>
      <c r="AV188" s="24"/>
      <c r="AW188" s="24"/>
      <c r="AX188" s="24"/>
      <c r="AY188" s="24"/>
      <c r="AZ188" s="24"/>
    </row>
    <row r="189" ht="19.5" customHeight="1">
      <c r="A189" s="23" t="str">
        <f>IF(Roster!$A$187&lt;&gt;"",Roster!$A$187,"")</f>
        <v/>
      </c>
      <c r="B189" s="24"/>
      <c r="C189" s="24"/>
      <c r="D189" s="24"/>
      <c r="E189" s="24"/>
      <c r="F189" s="24"/>
      <c r="G189" s="24"/>
      <c r="H189" s="24"/>
      <c r="I189" s="24"/>
      <c r="J189" s="24"/>
      <c r="K189" s="24"/>
      <c r="L189" s="24"/>
      <c r="M189" s="24"/>
      <c r="N189" s="24"/>
      <c r="O189" s="24"/>
      <c r="P189" s="24"/>
      <c r="Q189" s="24"/>
      <c r="R189" s="24"/>
      <c r="S189" s="24"/>
      <c r="T189" s="24"/>
      <c r="U189" s="24"/>
      <c r="V189" s="24"/>
      <c r="W189" s="24"/>
      <c r="X189" s="24"/>
      <c r="Y189" s="24"/>
      <c r="Z189" s="24"/>
      <c r="AA189" s="24"/>
      <c r="AB189" s="24"/>
      <c r="AC189" s="24"/>
      <c r="AD189" s="24"/>
      <c r="AE189" s="24"/>
      <c r="AF189" s="24"/>
      <c r="AG189" s="24"/>
      <c r="AH189" s="24"/>
      <c r="AI189" s="24"/>
      <c r="AJ189" s="24"/>
      <c r="AK189" s="24"/>
      <c r="AL189" s="24"/>
      <c r="AM189" s="24"/>
      <c r="AN189" s="24"/>
      <c r="AO189" s="24"/>
      <c r="AP189" s="24"/>
      <c r="AQ189" s="24"/>
      <c r="AR189" s="24"/>
      <c r="AS189" s="24"/>
      <c r="AT189" s="24"/>
      <c r="AU189" s="24"/>
      <c r="AV189" s="24"/>
      <c r="AW189" s="24"/>
      <c r="AX189" s="24"/>
      <c r="AY189" s="24"/>
      <c r="AZ189" s="24"/>
    </row>
    <row r="190" ht="19.5" customHeight="1">
      <c r="A190" s="23" t="str">
        <f>IF(Roster!$A$188&lt;&gt;"",Roster!$A$188,"")</f>
        <v/>
      </c>
      <c r="B190" s="24"/>
      <c r="C190" s="24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  <c r="S190" s="24"/>
      <c r="T190" s="24"/>
      <c r="U190" s="24"/>
      <c r="V190" s="24"/>
      <c r="W190" s="24"/>
      <c r="X190" s="24"/>
      <c r="Y190" s="24"/>
      <c r="Z190" s="24"/>
      <c r="AA190" s="24"/>
      <c r="AB190" s="24"/>
      <c r="AC190" s="24"/>
      <c r="AD190" s="24"/>
      <c r="AE190" s="24"/>
      <c r="AF190" s="24"/>
      <c r="AG190" s="24"/>
      <c r="AH190" s="24"/>
      <c r="AI190" s="24"/>
      <c r="AJ190" s="24"/>
      <c r="AK190" s="24"/>
      <c r="AL190" s="24"/>
      <c r="AM190" s="24"/>
      <c r="AN190" s="24"/>
      <c r="AO190" s="24"/>
      <c r="AP190" s="24"/>
      <c r="AQ190" s="24"/>
      <c r="AR190" s="24"/>
      <c r="AS190" s="24"/>
      <c r="AT190" s="24"/>
      <c r="AU190" s="24"/>
      <c r="AV190" s="24"/>
      <c r="AW190" s="24"/>
      <c r="AX190" s="24"/>
      <c r="AY190" s="24"/>
      <c r="AZ190" s="24"/>
    </row>
    <row r="191" ht="19.5" customHeight="1">
      <c r="A191" s="23" t="str">
        <f>IF(Roster!$A$189&lt;&gt;"",Roster!$A$189,"")</f>
        <v/>
      </c>
      <c r="B191" s="24"/>
      <c r="C191" s="24"/>
      <c r="D191" s="24"/>
      <c r="E191" s="24"/>
      <c r="F191" s="24"/>
      <c r="G191" s="24"/>
      <c r="H191" s="24"/>
      <c r="I191" s="24"/>
      <c r="J191" s="24"/>
      <c r="K191" s="24"/>
      <c r="L191" s="24"/>
      <c r="M191" s="24"/>
      <c r="N191" s="24"/>
      <c r="O191" s="24"/>
      <c r="P191" s="24"/>
      <c r="Q191" s="24"/>
      <c r="R191" s="24"/>
      <c r="S191" s="24"/>
      <c r="T191" s="24"/>
      <c r="U191" s="24"/>
      <c r="V191" s="24"/>
      <c r="W191" s="24"/>
      <c r="X191" s="24"/>
      <c r="Y191" s="24"/>
      <c r="Z191" s="24"/>
      <c r="AA191" s="24"/>
      <c r="AB191" s="24"/>
      <c r="AC191" s="24"/>
      <c r="AD191" s="24"/>
      <c r="AE191" s="24"/>
      <c r="AF191" s="24"/>
      <c r="AG191" s="24"/>
      <c r="AH191" s="24"/>
      <c r="AI191" s="24"/>
      <c r="AJ191" s="24"/>
      <c r="AK191" s="24"/>
      <c r="AL191" s="24"/>
      <c r="AM191" s="24"/>
      <c r="AN191" s="24"/>
      <c r="AO191" s="24"/>
      <c r="AP191" s="24"/>
      <c r="AQ191" s="24"/>
      <c r="AR191" s="24"/>
      <c r="AS191" s="24"/>
      <c r="AT191" s="24"/>
      <c r="AU191" s="24"/>
      <c r="AV191" s="24"/>
      <c r="AW191" s="24"/>
      <c r="AX191" s="24"/>
      <c r="AY191" s="24"/>
      <c r="AZ191" s="24"/>
    </row>
    <row r="192" ht="19.5" customHeight="1">
      <c r="A192" s="23" t="str">
        <f>IF(Roster!$A$190&lt;&gt;"",Roster!$A$190,"")</f>
        <v/>
      </c>
      <c r="B192" s="24"/>
      <c r="C192" s="24"/>
      <c r="D192" s="24"/>
      <c r="E192" s="24"/>
      <c r="F192" s="24"/>
      <c r="G192" s="24"/>
      <c r="H192" s="24"/>
      <c r="I192" s="24"/>
      <c r="J192" s="24"/>
      <c r="K192" s="24"/>
      <c r="L192" s="24"/>
      <c r="M192" s="24"/>
      <c r="N192" s="24"/>
      <c r="O192" s="24"/>
      <c r="P192" s="24"/>
      <c r="Q192" s="24"/>
      <c r="R192" s="24"/>
      <c r="S192" s="24"/>
      <c r="T192" s="24"/>
      <c r="U192" s="24"/>
      <c r="V192" s="24"/>
      <c r="W192" s="24"/>
      <c r="X192" s="24"/>
      <c r="Y192" s="24"/>
      <c r="Z192" s="24"/>
      <c r="AA192" s="24"/>
      <c r="AB192" s="24"/>
      <c r="AC192" s="24"/>
      <c r="AD192" s="24"/>
      <c r="AE192" s="24"/>
      <c r="AF192" s="24"/>
      <c r="AG192" s="24"/>
      <c r="AH192" s="24"/>
      <c r="AI192" s="24"/>
      <c r="AJ192" s="24"/>
      <c r="AK192" s="24"/>
      <c r="AL192" s="24"/>
      <c r="AM192" s="24"/>
      <c r="AN192" s="24"/>
      <c r="AO192" s="24"/>
      <c r="AP192" s="24"/>
      <c r="AQ192" s="24"/>
      <c r="AR192" s="24"/>
      <c r="AS192" s="24"/>
      <c r="AT192" s="24"/>
      <c r="AU192" s="24"/>
      <c r="AV192" s="24"/>
      <c r="AW192" s="24"/>
      <c r="AX192" s="24"/>
      <c r="AY192" s="24"/>
      <c r="AZ192" s="24"/>
    </row>
    <row r="193" ht="19.5" customHeight="1">
      <c r="A193" s="23" t="str">
        <f>IF(Roster!$A$191&lt;&gt;"",Roster!$A$191,"")</f>
        <v/>
      </c>
      <c r="B193" s="24"/>
      <c r="C193" s="24"/>
      <c r="D193" s="24"/>
      <c r="E193" s="24"/>
      <c r="F193" s="24"/>
      <c r="G193" s="24"/>
      <c r="H193" s="24"/>
      <c r="I193" s="24"/>
      <c r="J193" s="24"/>
      <c r="K193" s="24"/>
      <c r="L193" s="24"/>
      <c r="M193" s="24"/>
      <c r="N193" s="24"/>
      <c r="O193" s="24"/>
      <c r="P193" s="24"/>
      <c r="Q193" s="24"/>
      <c r="R193" s="24"/>
      <c r="S193" s="24"/>
      <c r="T193" s="24"/>
      <c r="U193" s="24"/>
      <c r="V193" s="24"/>
      <c r="W193" s="24"/>
      <c r="X193" s="24"/>
      <c r="Y193" s="24"/>
      <c r="Z193" s="24"/>
      <c r="AA193" s="24"/>
      <c r="AB193" s="24"/>
      <c r="AC193" s="24"/>
      <c r="AD193" s="24"/>
      <c r="AE193" s="24"/>
      <c r="AF193" s="24"/>
      <c r="AG193" s="24"/>
      <c r="AH193" s="24"/>
      <c r="AI193" s="24"/>
      <c r="AJ193" s="24"/>
      <c r="AK193" s="24"/>
      <c r="AL193" s="24"/>
      <c r="AM193" s="24"/>
      <c r="AN193" s="24"/>
      <c r="AO193" s="24"/>
      <c r="AP193" s="24"/>
      <c r="AQ193" s="24"/>
      <c r="AR193" s="24"/>
      <c r="AS193" s="24"/>
      <c r="AT193" s="24"/>
      <c r="AU193" s="24"/>
      <c r="AV193" s="24"/>
      <c r="AW193" s="24"/>
      <c r="AX193" s="24"/>
      <c r="AY193" s="24"/>
      <c r="AZ193" s="24"/>
    </row>
    <row r="194" ht="19.5" customHeight="1">
      <c r="A194" s="23" t="str">
        <f>IF(Roster!$A$192&lt;&gt;"",Roster!$A$192,"")</f>
        <v/>
      </c>
      <c r="B194" s="24"/>
      <c r="C194" s="24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  <c r="S194" s="24"/>
      <c r="T194" s="24"/>
      <c r="U194" s="24"/>
      <c r="V194" s="24"/>
      <c r="W194" s="24"/>
      <c r="X194" s="24"/>
      <c r="Y194" s="24"/>
      <c r="Z194" s="24"/>
      <c r="AA194" s="24"/>
      <c r="AB194" s="24"/>
      <c r="AC194" s="24"/>
      <c r="AD194" s="24"/>
      <c r="AE194" s="24"/>
      <c r="AF194" s="24"/>
      <c r="AG194" s="24"/>
      <c r="AH194" s="24"/>
      <c r="AI194" s="24"/>
      <c r="AJ194" s="24"/>
      <c r="AK194" s="24"/>
      <c r="AL194" s="24"/>
      <c r="AM194" s="24"/>
      <c r="AN194" s="24"/>
      <c r="AO194" s="24"/>
      <c r="AP194" s="24"/>
      <c r="AQ194" s="24"/>
      <c r="AR194" s="24"/>
      <c r="AS194" s="24"/>
      <c r="AT194" s="24"/>
      <c r="AU194" s="24"/>
      <c r="AV194" s="24"/>
      <c r="AW194" s="24"/>
      <c r="AX194" s="24"/>
      <c r="AY194" s="24"/>
      <c r="AZ194" s="24"/>
    </row>
    <row r="195" ht="19.5" customHeight="1">
      <c r="A195" s="23" t="str">
        <f>IF(Roster!$A$193&lt;&gt;"",Roster!$A$193,"")</f>
        <v/>
      </c>
      <c r="B195" s="24"/>
      <c r="C195" s="24"/>
      <c r="D195" s="24"/>
      <c r="E195" s="24"/>
      <c r="F195" s="24"/>
      <c r="G195" s="24"/>
      <c r="H195" s="24"/>
      <c r="I195" s="24"/>
      <c r="J195" s="24"/>
      <c r="K195" s="24"/>
      <c r="L195" s="24"/>
      <c r="M195" s="24"/>
      <c r="N195" s="24"/>
      <c r="O195" s="24"/>
      <c r="P195" s="24"/>
      <c r="Q195" s="24"/>
      <c r="R195" s="24"/>
      <c r="S195" s="24"/>
      <c r="T195" s="24"/>
      <c r="U195" s="24"/>
      <c r="V195" s="24"/>
      <c r="W195" s="24"/>
      <c r="X195" s="24"/>
      <c r="Y195" s="24"/>
      <c r="Z195" s="24"/>
      <c r="AA195" s="24"/>
      <c r="AB195" s="24"/>
      <c r="AC195" s="24"/>
      <c r="AD195" s="24"/>
      <c r="AE195" s="24"/>
      <c r="AF195" s="24"/>
      <c r="AG195" s="24"/>
      <c r="AH195" s="24"/>
      <c r="AI195" s="24"/>
      <c r="AJ195" s="24"/>
      <c r="AK195" s="24"/>
      <c r="AL195" s="24"/>
      <c r="AM195" s="24"/>
      <c r="AN195" s="24"/>
      <c r="AO195" s="24"/>
      <c r="AP195" s="24"/>
      <c r="AQ195" s="24"/>
      <c r="AR195" s="24"/>
      <c r="AS195" s="24"/>
      <c r="AT195" s="24"/>
      <c r="AU195" s="24"/>
      <c r="AV195" s="24"/>
      <c r="AW195" s="24"/>
      <c r="AX195" s="24"/>
      <c r="AY195" s="24"/>
      <c r="AZ195" s="24"/>
    </row>
    <row r="196" ht="19.5" customHeight="1">
      <c r="A196" s="23" t="str">
        <f>IF(Roster!$A$194&lt;&gt;"",Roster!$A$194,"")</f>
        <v/>
      </c>
      <c r="B196" s="24"/>
      <c r="C196" s="24"/>
      <c r="D196" s="24"/>
      <c r="E196" s="24"/>
      <c r="F196" s="24"/>
      <c r="G196" s="24"/>
      <c r="H196" s="24"/>
      <c r="I196" s="24"/>
      <c r="J196" s="24"/>
      <c r="K196" s="24"/>
      <c r="L196" s="24"/>
      <c r="M196" s="24"/>
      <c r="N196" s="24"/>
      <c r="O196" s="24"/>
      <c r="P196" s="24"/>
      <c r="Q196" s="24"/>
      <c r="R196" s="24"/>
      <c r="S196" s="24"/>
      <c r="T196" s="24"/>
      <c r="U196" s="24"/>
      <c r="V196" s="24"/>
      <c r="W196" s="24"/>
      <c r="X196" s="24"/>
      <c r="Y196" s="24"/>
      <c r="Z196" s="24"/>
      <c r="AA196" s="24"/>
      <c r="AB196" s="24"/>
      <c r="AC196" s="24"/>
      <c r="AD196" s="24"/>
      <c r="AE196" s="24"/>
      <c r="AF196" s="24"/>
      <c r="AG196" s="24"/>
      <c r="AH196" s="24"/>
      <c r="AI196" s="24"/>
      <c r="AJ196" s="24"/>
      <c r="AK196" s="24"/>
      <c r="AL196" s="24"/>
      <c r="AM196" s="24"/>
      <c r="AN196" s="24"/>
      <c r="AO196" s="24"/>
      <c r="AP196" s="24"/>
      <c r="AQ196" s="24"/>
      <c r="AR196" s="24"/>
      <c r="AS196" s="24"/>
      <c r="AT196" s="24"/>
      <c r="AU196" s="24"/>
      <c r="AV196" s="24"/>
      <c r="AW196" s="24"/>
      <c r="AX196" s="24"/>
      <c r="AY196" s="24"/>
      <c r="AZ196" s="24"/>
    </row>
    <row r="197" ht="19.5" customHeight="1">
      <c r="A197" s="23" t="str">
        <f>IF(Roster!$A$195&lt;&gt;"",Roster!$A$195,"")</f>
        <v/>
      </c>
      <c r="B197" s="24"/>
      <c r="C197" s="24"/>
      <c r="D197" s="24"/>
      <c r="E197" s="24"/>
      <c r="F197" s="24"/>
      <c r="G197" s="24"/>
      <c r="H197" s="24"/>
      <c r="I197" s="24"/>
      <c r="J197" s="24"/>
      <c r="K197" s="24"/>
      <c r="L197" s="24"/>
      <c r="M197" s="24"/>
      <c r="N197" s="24"/>
      <c r="O197" s="24"/>
      <c r="P197" s="24"/>
      <c r="Q197" s="24"/>
      <c r="R197" s="24"/>
      <c r="S197" s="24"/>
      <c r="T197" s="24"/>
      <c r="U197" s="24"/>
      <c r="V197" s="24"/>
      <c r="W197" s="24"/>
      <c r="X197" s="24"/>
      <c r="Y197" s="24"/>
      <c r="Z197" s="24"/>
      <c r="AA197" s="24"/>
      <c r="AB197" s="24"/>
      <c r="AC197" s="24"/>
      <c r="AD197" s="24"/>
      <c r="AE197" s="24"/>
      <c r="AF197" s="24"/>
      <c r="AG197" s="24"/>
      <c r="AH197" s="24"/>
      <c r="AI197" s="24"/>
      <c r="AJ197" s="24"/>
      <c r="AK197" s="24"/>
      <c r="AL197" s="24"/>
      <c r="AM197" s="24"/>
      <c r="AN197" s="24"/>
      <c r="AO197" s="24"/>
      <c r="AP197" s="24"/>
      <c r="AQ197" s="24"/>
      <c r="AR197" s="24"/>
      <c r="AS197" s="24"/>
      <c r="AT197" s="24"/>
      <c r="AU197" s="24"/>
      <c r="AV197" s="24"/>
      <c r="AW197" s="24"/>
      <c r="AX197" s="24"/>
      <c r="AY197" s="24"/>
      <c r="AZ197" s="24"/>
    </row>
    <row r="198" ht="19.5" customHeight="1">
      <c r="A198" s="23" t="str">
        <f>IF(Roster!$A$196&lt;&gt;"",Roster!$A$196,"")</f>
        <v/>
      </c>
      <c r="B198" s="24"/>
      <c r="C198" s="24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  <c r="S198" s="24"/>
      <c r="T198" s="24"/>
      <c r="U198" s="24"/>
      <c r="V198" s="24"/>
      <c r="W198" s="24"/>
      <c r="X198" s="24"/>
      <c r="Y198" s="24"/>
      <c r="Z198" s="24"/>
      <c r="AA198" s="24"/>
      <c r="AB198" s="24"/>
      <c r="AC198" s="24"/>
      <c r="AD198" s="24"/>
      <c r="AE198" s="24"/>
      <c r="AF198" s="24"/>
      <c r="AG198" s="24"/>
      <c r="AH198" s="24"/>
      <c r="AI198" s="24"/>
      <c r="AJ198" s="24"/>
      <c r="AK198" s="24"/>
      <c r="AL198" s="24"/>
      <c r="AM198" s="24"/>
      <c r="AN198" s="24"/>
      <c r="AO198" s="24"/>
      <c r="AP198" s="24"/>
      <c r="AQ198" s="24"/>
      <c r="AR198" s="24"/>
      <c r="AS198" s="24"/>
      <c r="AT198" s="24"/>
      <c r="AU198" s="24"/>
      <c r="AV198" s="24"/>
      <c r="AW198" s="24"/>
      <c r="AX198" s="24"/>
      <c r="AY198" s="24"/>
      <c r="AZ198" s="24"/>
    </row>
    <row r="199" ht="19.5" customHeight="1">
      <c r="A199" s="23" t="str">
        <f>IF(Roster!$A$197&lt;&gt;"",Roster!$A$197,"")</f>
        <v/>
      </c>
      <c r="B199" s="24"/>
      <c r="C199" s="24"/>
      <c r="D199" s="24"/>
      <c r="E199" s="24"/>
      <c r="F199" s="24"/>
      <c r="G199" s="24"/>
      <c r="H199" s="24"/>
      <c r="I199" s="24"/>
      <c r="J199" s="24"/>
      <c r="K199" s="24"/>
      <c r="L199" s="24"/>
      <c r="M199" s="24"/>
      <c r="N199" s="24"/>
      <c r="O199" s="24"/>
      <c r="P199" s="24"/>
      <c r="Q199" s="24"/>
      <c r="R199" s="24"/>
      <c r="S199" s="24"/>
      <c r="T199" s="24"/>
      <c r="U199" s="24"/>
      <c r="V199" s="24"/>
      <c r="W199" s="24"/>
      <c r="X199" s="24"/>
      <c r="Y199" s="24"/>
      <c r="Z199" s="24"/>
      <c r="AA199" s="24"/>
      <c r="AB199" s="24"/>
      <c r="AC199" s="24"/>
      <c r="AD199" s="24"/>
      <c r="AE199" s="24"/>
      <c r="AF199" s="24"/>
      <c r="AG199" s="24"/>
      <c r="AH199" s="24"/>
      <c r="AI199" s="24"/>
      <c r="AJ199" s="24"/>
      <c r="AK199" s="24"/>
      <c r="AL199" s="24"/>
      <c r="AM199" s="24"/>
      <c r="AN199" s="24"/>
      <c r="AO199" s="24"/>
      <c r="AP199" s="24"/>
      <c r="AQ199" s="24"/>
      <c r="AR199" s="24"/>
      <c r="AS199" s="24"/>
      <c r="AT199" s="24"/>
      <c r="AU199" s="24"/>
      <c r="AV199" s="24"/>
      <c r="AW199" s="24"/>
      <c r="AX199" s="24"/>
      <c r="AY199" s="24"/>
      <c r="AZ199" s="24"/>
    </row>
    <row r="200" ht="19.5" customHeight="1">
      <c r="A200" s="23" t="str">
        <f>IF(Roster!$A$198&lt;&gt;"",Roster!$A$198,"")</f>
        <v/>
      </c>
      <c r="B200" s="24"/>
      <c r="C200" s="24"/>
      <c r="D200" s="24"/>
      <c r="E200" s="24"/>
      <c r="F200" s="24"/>
      <c r="G200" s="24"/>
      <c r="H200" s="24"/>
      <c r="I200" s="24"/>
      <c r="J200" s="24"/>
      <c r="K200" s="24"/>
      <c r="L200" s="24"/>
      <c r="M200" s="24"/>
      <c r="N200" s="24"/>
      <c r="O200" s="24"/>
      <c r="P200" s="24"/>
      <c r="Q200" s="24"/>
      <c r="R200" s="24"/>
      <c r="S200" s="24"/>
      <c r="T200" s="24"/>
      <c r="U200" s="24"/>
      <c r="V200" s="24"/>
      <c r="W200" s="24"/>
      <c r="X200" s="24"/>
      <c r="Y200" s="24"/>
      <c r="Z200" s="24"/>
      <c r="AA200" s="24"/>
      <c r="AB200" s="24"/>
      <c r="AC200" s="24"/>
      <c r="AD200" s="24"/>
      <c r="AE200" s="24"/>
      <c r="AF200" s="24"/>
      <c r="AG200" s="24"/>
      <c r="AH200" s="24"/>
      <c r="AI200" s="24"/>
      <c r="AJ200" s="24"/>
      <c r="AK200" s="24"/>
      <c r="AL200" s="24"/>
      <c r="AM200" s="24"/>
      <c r="AN200" s="24"/>
      <c r="AO200" s="24"/>
      <c r="AP200" s="24"/>
      <c r="AQ200" s="24"/>
      <c r="AR200" s="24"/>
      <c r="AS200" s="24"/>
      <c r="AT200" s="24"/>
      <c r="AU200" s="24"/>
      <c r="AV200" s="24"/>
      <c r="AW200" s="24"/>
      <c r="AX200" s="24"/>
      <c r="AY200" s="24"/>
      <c r="AZ200" s="24"/>
    </row>
    <row r="201" ht="19.5" customHeight="1">
      <c r="A201" s="23" t="str">
        <f>IF(Roster!$A$199&lt;&gt;"",Roster!$A$199,"")</f>
        <v/>
      </c>
      <c r="B201" s="24"/>
      <c r="C201" s="24"/>
      <c r="D201" s="24"/>
      <c r="E201" s="24"/>
      <c r="F201" s="24"/>
      <c r="G201" s="24"/>
      <c r="H201" s="24"/>
      <c r="I201" s="24"/>
      <c r="J201" s="24"/>
      <c r="K201" s="24"/>
      <c r="L201" s="24"/>
      <c r="M201" s="24"/>
      <c r="N201" s="24"/>
      <c r="O201" s="24"/>
      <c r="P201" s="24"/>
      <c r="Q201" s="24"/>
      <c r="R201" s="24"/>
      <c r="S201" s="24"/>
      <c r="T201" s="24"/>
      <c r="U201" s="24"/>
      <c r="V201" s="24"/>
      <c r="W201" s="24"/>
      <c r="X201" s="24"/>
      <c r="Y201" s="24"/>
      <c r="Z201" s="24"/>
      <c r="AA201" s="24"/>
      <c r="AB201" s="24"/>
      <c r="AC201" s="24"/>
      <c r="AD201" s="24"/>
      <c r="AE201" s="24"/>
      <c r="AF201" s="24"/>
      <c r="AG201" s="24"/>
      <c r="AH201" s="24"/>
      <c r="AI201" s="24"/>
      <c r="AJ201" s="24"/>
      <c r="AK201" s="24"/>
      <c r="AL201" s="24"/>
      <c r="AM201" s="24"/>
      <c r="AN201" s="24"/>
      <c r="AO201" s="24"/>
      <c r="AP201" s="24"/>
      <c r="AQ201" s="24"/>
      <c r="AR201" s="24"/>
      <c r="AS201" s="24"/>
      <c r="AT201" s="24"/>
      <c r="AU201" s="24"/>
      <c r="AV201" s="24"/>
      <c r="AW201" s="24"/>
      <c r="AX201" s="24"/>
      <c r="AY201" s="24"/>
      <c r="AZ201" s="24"/>
    </row>
    <row r="202" ht="19.5" customHeight="1">
      <c r="A202" s="23" t="str">
        <f>IF(Roster!$A$200&lt;&gt;"",Roster!$A$200,"")</f>
        <v/>
      </c>
      <c r="B202" s="24"/>
      <c r="C202" s="24"/>
      <c r="D202" s="24"/>
      <c r="E202" s="24"/>
      <c r="F202" s="24"/>
      <c r="G202" s="24"/>
      <c r="H202" s="24"/>
      <c r="I202" s="24"/>
      <c r="J202" s="24"/>
      <c r="K202" s="24"/>
      <c r="L202" s="24"/>
      <c r="M202" s="24"/>
      <c r="N202" s="24"/>
      <c r="O202" s="24"/>
      <c r="P202" s="24"/>
      <c r="Q202" s="24"/>
      <c r="R202" s="24"/>
      <c r="S202" s="24"/>
      <c r="T202" s="24"/>
      <c r="U202" s="24"/>
      <c r="V202" s="24"/>
      <c r="W202" s="24"/>
      <c r="X202" s="24"/>
      <c r="Y202" s="24"/>
      <c r="Z202" s="24"/>
      <c r="AA202" s="24"/>
      <c r="AB202" s="24"/>
      <c r="AC202" s="24"/>
      <c r="AD202" s="24"/>
      <c r="AE202" s="24"/>
      <c r="AF202" s="24"/>
      <c r="AG202" s="24"/>
      <c r="AH202" s="24"/>
      <c r="AI202" s="24"/>
      <c r="AJ202" s="24"/>
      <c r="AK202" s="24"/>
      <c r="AL202" s="24"/>
      <c r="AM202" s="24"/>
      <c r="AN202" s="24"/>
      <c r="AO202" s="24"/>
      <c r="AP202" s="24"/>
      <c r="AQ202" s="24"/>
      <c r="AR202" s="24"/>
      <c r="AS202" s="24"/>
      <c r="AT202" s="24"/>
      <c r="AU202" s="24"/>
      <c r="AV202" s="24"/>
      <c r="AW202" s="24"/>
      <c r="AX202" s="24"/>
      <c r="AY202" s="24"/>
      <c r="AZ202" s="24"/>
    </row>
    <row r="203" ht="19.5" customHeight="1">
      <c r="A203" s="23" t="str">
        <f>IF(Roster!$A$201&lt;&gt;"",Roster!$A$201,"")</f>
        <v/>
      </c>
      <c r="B203" s="24"/>
      <c r="C203" s="24"/>
      <c r="D203" s="24"/>
      <c r="E203" s="24"/>
      <c r="F203" s="24"/>
      <c r="G203" s="24"/>
      <c r="H203" s="24"/>
      <c r="I203" s="24"/>
      <c r="J203" s="24"/>
      <c r="K203" s="24"/>
      <c r="L203" s="24"/>
      <c r="M203" s="24"/>
      <c r="N203" s="24"/>
      <c r="O203" s="24"/>
      <c r="P203" s="24"/>
      <c r="Q203" s="24"/>
      <c r="R203" s="24"/>
      <c r="S203" s="24"/>
      <c r="T203" s="24"/>
      <c r="U203" s="24"/>
      <c r="V203" s="24"/>
      <c r="W203" s="24"/>
      <c r="X203" s="24"/>
      <c r="Y203" s="24"/>
      <c r="Z203" s="24"/>
      <c r="AA203" s="24"/>
      <c r="AB203" s="24"/>
      <c r="AC203" s="24"/>
      <c r="AD203" s="24"/>
      <c r="AE203" s="24"/>
      <c r="AF203" s="24"/>
      <c r="AG203" s="24"/>
      <c r="AH203" s="24"/>
      <c r="AI203" s="24"/>
      <c r="AJ203" s="24"/>
      <c r="AK203" s="24"/>
      <c r="AL203" s="24"/>
      <c r="AM203" s="24"/>
      <c r="AN203" s="24"/>
      <c r="AO203" s="24"/>
      <c r="AP203" s="24"/>
      <c r="AQ203" s="24"/>
      <c r="AR203" s="24"/>
      <c r="AS203" s="24"/>
      <c r="AT203" s="24"/>
      <c r="AU203" s="24"/>
      <c r="AV203" s="24"/>
      <c r="AW203" s="24"/>
      <c r="AX203" s="24"/>
      <c r="AY203" s="24"/>
      <c r="AZ203" s="24"/>
    </row>
    <row r="204" ht="19.5" customHeight="1">
      <c r="A204" s="23" t="str">
        <f>IF(Roster!$A$202&lt;&gt;"",Roster!$A$202,"")</f>
        <v/>
      </c>
      <c r="B204" s="24"/>
      <c r="C204" s="24"/>
      <c r="D204" s="24"/>
      <c r="E204" s="24"/>
      <c r="F204" s="24"/>
      <c r="G204" s="24"/>
      <c r="H204" s="24"/>
      <c r="I204" s="24"/>
      <c r="J204" s="24"/>
      <c r="K204" s="24"/>
      <c r="L204" s="24"/>
      <c r="M204" s="24"/>
      <c r="N204" s="24"/>
      <c r="O204" s="24"/>
      <c r="P204" s="24"/>
      <c r="Q204" s="24"/>
      <c r="R204" s="24"/>
      <c r="S204" s="24"/>
      <c r="T204" s="24"/>
      <c r="U204" s="24"/>
      <c r="V204" s="24"/>
      <c r="W204" s="24"/>
      <c r="X204" s="24"/>
      <c r="Y204" s="24"/>
      <c r="Z204" s="24"/>
      <c r="AA204" s="24"/>
      <c r="AB204" s="24"/>
      <c r="AC204" s="24"/>
      <c r="AD204" s="24"/>
      <c r="AE204" s="24"/>
      <c r="AF204" s="24"/>
      <c r="AG204" s="24"/>
      <c r="AH204" s="24"/>
      <c r="AI204" s="24"/>
      <c r="AJ204" s="24"/>
      <c r="AK204" s="24"/>
      <c r="AL204" s="24"/>
      <c r="AM204" s="24"/>
      <c r="AN204" s="24"/>
      <c r="AO204" s="24"/>
      <c r="AP204" s="24"/>
      <c r="AQ204" s="24"/>
      <c r="AR204" s="24"/>
      <c r="AS204" s="24"/>
      <c r="AT204" s="24"/>
      <c r="AU204" s="24"/>
      <c r="AV204" s="24"/>
      <c r="AW204" s="24"/>
      <c r="AX204" s="24"/>
      <c r="AY204" s="24"/>
      <c r="AZ204" s="24"/>
    </row>
    <row r="205" ht="19.5" customHeight="1">
      <c r="A205" s="23" t="str">
        <f>IF(Roster!$A$203&lt;&gt;"",Roster!$A$203,"")</f>
        <v/>
      </c>
      <c r="B205" s="24"/>
      <c r="C205" s="24"/>
      <c r="D205" s="24"/>
      <c r="E205" s="24"/>
      <c r="F205" s="24"/>
      <c r="G205" s="24"/>
      <c r="H205" s="24"/>
      <c r="I205" s="24"/>
      <c r="J205" s="24"/>
      <c r="K205" s="24"/>
      <c r="L205" s="24"/>
      <c r="M205" s="24"/>
      <c r="N205" s="24"/>
      <c r="O205" s="24"/>
      <c r="P205" s="24"/>
      <c r="Q205" s="24"/>
      <c r="R205" s="24"/>
      <c r="S205" s="24"/>
      <c r="T205" s="24"/>
      <c r="U205" s="24"/>
      <c r="V205" s="24"/>
      <c r="W205" s="24"/>
      <c r="X205" s="24"/>
      <c r="Y205" s="24"/>
      <c r="Z205" s="24"/>
      <c r="AA205" s="24"/>
      <c r="AB205" s="24"/>
      <c r="AC205" s="24"/>
      <c r="AD205" s="24"/>
      <c r="AE205" s="24"/>
      <c r="AF205" s="24"/>
      <c r="AG205" s="24"/>
      <c r="AH205" s="24"/>
      <c r="AI205" s="24"/>
      <c r="AJ205" s="24"/>
      <c r="AK205" s="24"/>
      <c r="AL205" s="24"/>
      <c r="AM205" s="24"/>
      <c r="AN205" s="24"/>
      <c r="AO205" s="24"/>
      <c r="AP205" s="24"/>
      <c r="AQ205" s="24"/>
      <c r="AR205" s="24"/>
      <c r="AS205" s="24"/>
      <c r="AT205" s="24"/>
      <c r="AU205" s="24"/>
      <c r="AV205" s="24"/>
      <c r="AW205" s="24"/>
      <c r="AX205" s="24"/>
      <c r="AY205" s="24"/>
      <c r="AZ205" s="24"/>
    </row>
    <row r="206" ht="19.5" customHeight="1">
      <c r="A206" s="23" t="str">
        <f>IF(Roster!$A$204&lt;&gt;"",Roster!$A$204,"")</f>
        <v/>
      </c>
      <c r="B206" s="24"/>
      <c r="C206" s="24"/>
      <c r="D206" s="24"/>
      <c r="E206" s="24"/>
      <c r="F206" s="24"/>
      <c r="G206" s="24"/>
      <c r="H206" s="24"/>
      <c r="I206" s="24"/>
      <c r="J206" s="24"/>
      <c r="K206" s="24"/>
      <c r="L206" s="24"/>
      <c r="M206" s="24"/>
      <c r="N206" s="24"/>
      <c r="O206" s="24"/>
      <c r="P206" s="24"/>
      <c r="Q206" s="24"/>
      <c r="R206" s="24"/>
      <c r="S206" s="24"/>
      <c r="T206" s="24"/>
      <c r="U206" s="24"/>
      <c r="V206" s="24"/>
      <c r="W206" s="24"/>
      <c r="X206" s="24"/>
      <c r="Y206" s="24"/>
      <c r="Z206" s="24"/>
      <c r="AA206" s="24"/>
      <c r="AB206" s="24"/>
      <c r="AC206" s="24"/>
      <c r="AD206" s="24"/>
      <c r="AE206" s="24"/>
      <c r="AF206" s="24"/>
      <c r="AG206" s="24"/>
      <c r="AH206" s="24"/>
      <c r="AI206" s="24"/>
      <c r="AJ206" s="24"/>
      <c r="AK206" s="24"/>
      <c r="AL206" s="24"/>
      <c r="AM206" s="24"/>
      <c r="AN206" s="24"/>
      <c r="AO206" s="24"/>
      <c r="AP206" s="24"/>
      <c r="AQ206" s="24"/>
      <c r="AR206" s="24"/>
      <c r="AS206" s="24"/>
      <c r="AT206" s="24"/>
      <c r="AU206" s="24"/>
      <c r="AV206" s="24"/>
      <c r="AW206" s="24"/>
      <c r="AX206" s="24"/>
      <c r="AY206" s="24"/>
      <c r="AZ206" s="24"/>
    </row>
    <row r="207" ht="19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</row>
    <row r="208" ht="19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</row>
    <row r="209" ht="19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  <c r="AN358" s="4"/>
      <c r="AO358" s="4"/>
      <c r="AP358" s="4"/>
      <c r="AQ358" s="4"/>
      <c r="AR358" s="4"/>
      <c r="AS358" s="4"/>
      <c r="AT358" s="4"/>
      <c r="AU358" s="4"/>
      <c r="AV358" s="4"/>
      <c r="AW358" s="4"/>
      <c r="AX358" s="4"/>
      <c r="AY358" s="4"/>
      <c r="AZ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  <c r="AM359" s="4"/>
      <c r="AN359" s="4"/>
      <c r="AO359" s="4"/>
      <c r="AP359" s="4"/>
      <c r="AQ359" s="4"/>
      <c r="AR359" s="4"/>
      <c r="AS359" s="4"/>
      <c r="AT359" s="4"/>
      <c r="AU359" s="4"/>
      <c r="AV359" s="4"/>
      <c r="AW359" s="4"/>
      <c r="AX359" s="4"/>
      <c r="AY359" s="4"/>
      <c r="AZ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  <c r="AO360" s="4"/>
      <c r="AP360" s="4"/>
      <c r="AQ360" s="4"/>
      <c r="AR360" s="4"/>
      <c r="AS360" s="4"/>
      <c r="AT360" s="4"/>
      <c r="AU360" s="4"/>
      <c r="AV360" s="4"/>
      <c r="AW360" s="4"/>
      <c r="AX360" s="4"/>
      <c r="AY360" s="4"/>
      <c r="AZ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  <c r="AO361" s="4"/>
      <c r="AP361" s="4"/>
      <c r="AQ361" s="4"/>
      <c r="AR361" s="4"/>
      <c r="AS361" s="4"/>
      <c r="AT361" s="4"/>
      <c r="AU361" s="4"/>
      <c r="AV361" s="4"/>
      <c r="AW361" s="4"/>
      <c r="AX361" s="4"/>
      <c r="AY361" s="4"/>
      <c r="AZ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  <c r="AO362" s="4"/>
      <c r="AP362" s="4"/>
      <c r="AQ362" s="4"/>
      <c r="AR362" s="4"/>
      <c r="AS362" s="4"/>
      <c r="AT362" s="4"/>
      <c r="AU362" s="4"/>
      <c r="AV362" s="4"/>
      <c r="AW362" s="4"/>
      <c r="AX362" s="4"/>
      <c r="AY362" s="4"/>
      <c r="AZ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  <c r="AO363" s="4"/>
      <c r="AP363" s="4"/>
      <c r="AQ363" s="4"/>
      <c r="AR363" s="4"/>
      <c r="AS363" s="4"/>
      <c r="AT363" s="4"/>
      <c r="AU363" s="4"/>
      <c r="AV363" s="4"/>
      <c r="AW363" s="4"/>
      <c r="AX363" s="4"/>
      <c r="AY363" s="4"/>
      <c r="AZ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  <c r="AO364" s="4"/>
      <c r="AP364" s="4"/>
      <c r="AQ364" s="4"/>
      <c r="AR364" s="4"/>
      <c r="AS364" s="4"/>
      <c r="AT364" s="4"/>
      <c r="AU364" s="4"/>
      <c r="AV364" s="4"/>
      <c r="AW364" s="4"/>
      <c r="AX364" s="4"/>
      <c r="AY364" s="4"/>
      <c r="AZ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  <c r="AO365" s="4"/>
      <c r="AP365" s="4"/>
      <c r="AQ365" s="4"/>
      <c r="AR365" s="4"/>
      <c r="AS365" s="4"/>
      <c r="AT365" s="4"/>
      <c r="AU365" s="4"/>
      <c r="AV365" s="4"/>
      <c r="AW365" s="4"/>
      <c r="AX365" s="4"/>
      <c r="AY365" s="4"/>
      <c r="AZ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  <c r="AO366" s="4"/>
      <c r="AP366" s="4"/>
      <c r="AQ366" s="4"/>
      <c r="AR366" s="4"/>
      <c r="AS366" s="4"/>
      <c r="AT366" s="4"/>
      <c r="AU366" s="4"/>
      <c r="AV366" s="4"/>
      <c r="AW366" s="4"/>
      <c r="AX366" s="4"/>
      <c r="AY366" s="4"/>
      <c r="AZ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  <c r="AO367" s="4"/>
      <c r="AP367" s="4"/>
      <c r="AQ367" s="4"/>
      <c r="AR367" s="4"/>
      <c r="AS367" s="4"/>
      <c r="AT367" s="4"/>
      <c r="AU367" s="4"/>
      <c r="AV367" s="4"/>
      <c r="AW367" s="4"/>
      <c r="AX367" s="4"/>
      <c r="AY367" s="4"/>
      <c r="AZ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  <c r="AO368" s="4"/>
      <c r="AP368" s="4"/>
      <c r="AQ368" s="4"/>
      <c r="AR368" s="4"/>
      <c r="AS368" s="4"/>
      <c r="AT368" s="4"/>
      <c r="AU368" s="4"/>
      <c r="AV368" s="4"/>
      <c r="AW368" s="4"/>
      <c r="AX368" s="4"/>
      <c r="AY368" s="4"/>
      <c r="AZ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  <c r="AN369" s="4"/>
      <c r="AO369" s="4"/>
      <c r="AP369" s="4"/>
      <c r="AQ369" s="4"/>
      <c r="AR369" s="4"/>
      <c r="AS369" s="4"/>
      <c r="AT369" s="4"/>
      <c r="AU369" s="4"/>
      <c r="AV369" s="4"/>
      <c r="AW369" s="4"/>
      <c r="AX369" s="4"/>
      <c r="AY369" s="4"/>
      <c r="AZ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  <c r="AO370" s="4"/>
      <c r="AP370" s="4"/>
      <c r="AQ370" s="4"/>
      <c r="AR370" s="4"/>
      <c r="AS370" s="4"/>
      <c r="AT370" s="4"/>
      <c r="AU370" s="4"/>
      <c r="AV370" s="4"/>
      <c r="AW370" s="4"/>
      <c r="AX370" s="4"/>
      <c r="AY370" s="4"/>
      <c r="AZ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  <c r="AO371" s="4"/>
      <c r="AP371" s="4"/>
      <c r="AQ371" s="4"/>
      <c r="AR371" s="4"/>
      <c r="AS371" s="4"/>
      <c r="AT371" s="4"/>
      <c r="AU371" s="4"/>
      <c r="AV371" s="4"/>
      <c r="AW371" s="4"/>
      <c r="AX371" s="4"/>
      <c r="AY371" s="4"/>
      <c r="AZ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  <c r="AO372" s="4"/>
      <c r="AP372" s="4"/>
      <c r="AQ372" s="4"/>
      <c r="AR372" s="4"/>
      <c r="AS372" s="4"/>
      <c r="AT372" s="4"/>
      <c r="AU372" s="4"/>
      <c r="AV372" s="4"/>
      <c r="AW372" s="4"/>
      <c r="AX372" s="4"/>
      <c r="AY372" s="4"/>
      <c r="AZ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  <c r="AO373" s="4"/>
      <c r="AP373" s="4"/>
      <c r="AQ373" s="4"/>
      <c r="AR373" s="4"/>
      <c r="AS373" s="4"/>
      <c r="AT373" s="4"/>
      <c r="AU373" s="4"/>
      <c r="AV373" s="4"/>
      <c r="AW373" s="4"/>
      <c r="AX373" s="4"/>
      <c r="AY373" s="4"/>
      <c r="AZ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  <c r="AO374" s="4"/>
      <c r="AP374" s="4"/>
      <c r="AQ374" s="4"/>
      <c r="AR374" s="4"/>
      <c r="AS374" s="4"/>
      <c r="AT374" s="4"/>
      <c r="AU374" s="4"/>
      <c r="AV374" s="4"/>
      <c r="AW374" s="4"/>
      <c r="AX374" s="4"/>
      <c r="AY374" s="4"/>
      <c r="AZ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  <c r="AN375" s="4"/>
      <c r="AO375" s="4"/>
      <c r="AP375" s="4"/>
      <c r="AQ375" s="4"/>
      <c r="AR375" s="4"/>
      <c r="AS375" s="4"/>
      <c r="AT375" s="4"/>
      <c r="AU375" s="4"/>
      <c r="AV375" s="4"/>
      <c r="AW375" s="4"/>
      <c r="AX375" s="4"/>
      <c r="AY375" s="4"/>
      <c r="AZ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  <c r="AN376" s="4"/>
      <c r="AO376" s="4"/>
      <c r="AP376" s="4"/>
      <c r="AQ376" s="4"/>
      <c r="AR376" s="4"/>
      <c r="AS376" s="4"/>
      <c r="AT376" s="4"/>
      <c r="AU376" s="4"/>
      <c r="AV376" s="4"/>
      <c r="AW376" s="4"/>
      <c r="AX376" s="4"/>
      <c r="AY376" s="4"/>
      <c r="AZ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  <c r="AN377" s="4"/>
      <c r="AO377" s="4"/>
      <c r="AP377" s="4"/>
      <c r="AQ377" s="4"/>
      <c r="AR377" s="4"/>
      <c r="AS377" s="4"/>
      <c r="AT377" s="4"/>
      <c r="AU377" s="4"/>
      <c r="AV377" s="4"/>
      <c r="AW377" s="4"/>
      <c r="AX377" s="4"/>
      <c r="AY377" s="4"/>
      <c r="AZ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  <c r="AO378" s="4"/>
      <c r="AP378" s="4"/>
      <c r="AQ378" s="4"/>
      <c r="AR378" s="4"/>
      <c r="AS378" s="4"/>
      <c r="AT378" s="4"/>
      <c r="AU378" s="4"/>
      <c r="AV378" s="4"/>
      <c r="AW378" s="4"/>
      <c r="AX378" s="4"/>
      <c r="AY378" s="4"/>
      <c r="AZ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  <c r="AN379" s="4"/>
      <c r="AO379" s="4"/>
      <c r="AP379" s="4"/>
      <c r="AQ379" s="4"/>
      <c r="AR379" s="4"/>
      <c r="AS379" s="4"/>
      <c r="AT379" s="4"/>
      <c r="AU379" s="4"/>
      <c r="AV379" s="4"/>
      <c r="AW379" s="4"/>
      <c r="AX379" s="4"/>
      <c r="AY379" s="4"/>
      <c r="AZ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  <c r="AO380" s="4"/>
      <c r="AP380" s="4"/>
      <c r="AQ380" s="4"/>
      <c r="AR380" s="4"/>
      <c r="AS380" s="4"/>
      <c r="AT380" s="4"/>
      <c r="AU380" s="4"/>
      <c r="AV380" s="4"/>
      <c r="AW380" s="4"/>
      <c r="AX380" s="4"/>
      <c r="AY380" s="4"/>
      <c r="AZ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O381" s="4"/>
      <c r="AP381" s="4"/>
      <c r="AQ381" s="4"/>
      <c r="AR381" s="4"/>
      <c r="AS381" s="4"/>
      <c r="AT381" s="4"/>
      <c r="AU381" s="4"/>
      <c r="AV381" s="4"/>
      <c r="AW381" s="4"/>
      <c r="AX381" s="4"/>
      <c r="AY381" s="4"/>
      <c r="AZ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  <c r="AO382" s="4"/>
      <c r="AP382" s="4"/>
      <c r="AQ382" s="4"/>
      <c r="AR382" s="4"/>
      <c r="AS382" s="4"/>
      <c r="AT382" s="4"/>
      <c r="AU382" s="4"/>
      <c r="AV382" s="4"/>
      <c r="AW382" s="4"/>
      <c r="AX382" s="4"/>
      <c r="AY382" s="4"/>
      <c r="AZ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O383" s="4"/>
      <c r="AP383" s="4"/>
      <c r="AQ383" s="4"/>
      <c r="AR383" s="4"/>
      <c r="AS383" s="4"/>
      <c r="AT383" s="4"/>
      <c r="AU383" s="4"/>
      <c r="AV383" s="4"/>
      <c r="AW383" s="4"/>
      <c r="AX383" s="4"/>
      <c r="AY383" s="4"/>
      <c r="AZ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4"/>
      <c r="AP384" s="4"/>
      <c r="AQ384" s="4"/>
      <c r="AR384" s="4"/>
      <c r="AS384" s="4"/>
      <c r="AT384" s="4"/>
      <c r="AU384" s="4"/>
      <c r="AV384" s="4"/>
      <c r="AW384" s="4"/>
      <c r="AX384" s="4"/>
      <c r="AY384" s="4"/>
      <c r="AZ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O385" s="4"/>
      <c r="AP385" s="4"/>
      <c r="AQ385" s="4"/>
      <c r="AR385" s="4"/>
      <c r="AS385" s="4"/>
      <c r="AT385" s="4"/>
      <c r="AU385" s="4"/>
      <c r="AV385" s="4"/>
      <c r="AW385" s="4"/>
      <c r="AX385" s="4"/>
      <c r="AY385" s="4"/>
      <c r="AZ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  <c r="AO386" s="4"/>
      <c r="AP386" s="4"/>
      <c r="AQ386" s="4"/>
      <c r="AR386" s="4"/>
      <c r="AS386" s="4"/>
      <c r="AT386" s="4"/>
      <c r="AU386" s="4"/>
      <c r="AV386" s="4"/>
      <c r="AW386" s="4"/>
      <c r="AX386" s="4"/>
      <c r="AY386" s="4"/>
      <c r="AZ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4"/>
      <c r="AP387" s="4"/>
      <c r="AQ387" s="4"/>
      <c r="AR387" s="4"/>
      <c r="AS387" s="4"/>
      <c r="AT387" s="4"/>
      <c r="AU387" s="4"/>
      <c r="AV387" s="4"/>
      <c r="AW387" s="4"/>
      <c r="AX387" s="4"/>
      <c r="AY387" s="4"/>
      <c r="AZ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  <c r="AO388" s="4"/>
      <c r="AP388" s="4"/>
      <c r="AQ388" s="4"/>
      <c r="AR388" s="4"/>
      <c r="AS388" s="4"/>
      <c r="AT388" s="4"/>
      <c r="AU388" s="4"/>
      <c r="AV388" s="4"/>
      <c r="AW388" s="4"/>
      <c r="AX388" s="4"/>
      <c r="AY388" s="4"/>
      <c r="AZ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O389" s="4"/>
      <c r="AP389" s="4"/>
      <c r="AQ389" s="4"/>
      <c r="AR389" s="4"/>
      <c r="AS389" s="4"/>
      <c r="AT389" s="4"/>
      <c r="AU389" s="4"/>
      <c r="AV389" s="4"/>
      <c r="AW389" s="4"/>
      <c r="AX389" s="4"/>
      <c r="AY389" s="4"/>
      <c r="AZ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O390" s="4"/>
      <c r="AP390" s="4"/>
      <c r="AQ390" s="4"/>
      <c r="AR390" s="4"/>
      <c r="AS390" s="4"/>
      <c r="AT390" s="4"/>
      <c r="AU390" s="4"/>
      <c r="AV390" s="4"/>
      <c r="AW390" s="4"/>
      <c r="AX390" s="4"/>
      <c r="AY390" s="4"/>
      <c r="AZ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  <c r="AO391" s="4"/>
      <c r="AP391" s="4"/>
      <c r="AQ391" s="4"/>
      <c r="AR391" s="4"/>
      <c r="AS391" s="4"/>
      <c r="AT391" s="4"/>
      <c r="AU391" s="4"/>
      <c r="AV391" s="4"/>
      <c r="AW391" s="4"/>
      <c r="AX391" s="4"/>
      <c r="AY391" s="4"/>
      <c r="AZ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  <c r="AO392" s="4"/>
      <c r="AP392" s="4"/>
      <c r="AQ392" s="4"/>
      <c r="AR392" s="4"/>
      <c r="AS392" s="4"/>
      <c r="AT392" s="4"/>
      <c r="AU392" s="4"/>
      <c r="AV392" s="4"/>
      <c r="AW392" s="4"/>
      <c r="AX392" s="4"/>
      <c r="AY392" s="4"/>
      <c r="AZ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O393" s="4"/>
      <c r="AP393" s="4"/>
      <c r="AQ393" s="4"/>
      <c r="AR393" s="4"/>
      <c r="AS393" s="4"/>
      <c r="AT393" s="4"/>
      <c r="AU393" s="4"/>
      <c r="AV393" s="4"/>
      <c r="AW393" s="4"/>
      <c r="AX393" s="4"/>
      <c r="AY393" s="4"/>
      <c r="AZ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  <c r="AO394" s="4"/>
      <c r="AP394" s="4"/>
      <c r="AQ394" s="4"/>
      <c r="AR394" s="4"/>
      <c r="AS394" s="4"/>
      <c r="AT394" s="4"/>
      <c r="AU394" s="4"/>
      <c r="AV394" s="4"/>
      <c r="AW394" s="4"/>
      <c r="AX394" s="4"/>
      <c r="AY394" s="4"/>
      <c r="AZ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  <c r="AO395" s="4"/>
      <c r="AP395" s="4"/>
      <c r="AQ395" s="4"/>
      <c r="AR395" s="4"/>
      <c r="AS395" s="4"/>
      <c r="AT395" s="4"/>
      <c r="AU395" s="4"/>
      <c r="AV395" s="4"/>
      <c r="AW395" s="4"/>
      <c r="AX395" s="4"/>
      <c r="AY395" s="4"/>
      <c r="AZ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  <c r="AO396" s="4"/>
      <c r="AP396" s="4"/>
      <c r="AQ396" s="4"/>
      <c r="AR396" s="4"/>
      <c r="AS396" s="4"/>
      <c r="AT396" s="4"/>
      <c r="AU396" s="4"/>
      <c r="AV396" s="4"/>
      <c r="AW396" s="4"/>
      <c r="AX396" s="4"/>
      <c r="AY396" s="4"/>
      <c r="AZ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  <c r="AO397" s="4"/>
      <c r="AP397" s="4"/>
      <c r="AQ397" s="4"/>
      <c r="AR397" s="4"/>
      <c r="AS397" s="4"/>
      <c r="AT397" s="4"/>
      <c r="AU397" s="4"/>
      <c r="AV397" s="4"/>
      <c r="AW397" s="4"/>
      <c r="AX397" s="4"/>
      <c r="AY397" s="4"/>
      <c r="AZ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O398" s="4"/>
      <c r="AP398" s="4"/>
      <c r="AQ398" s="4"/>
      <c r="AR398" s="4"/>
      <c r="AS398" s="4"/>
      <c r="AT398" s="4"/>
      <c r="AU398" s="4"/>
      <c r="AV398" s="4"/>
      <c r="AW398" s="4"/>
      <c r="AX398" s="4"/>
      <c r="AY398" s="4"/>
      <c r="AZ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  <c r="AO399" s="4"/>
      <c r="AP399" s="4"/>
      <c r="AQ399" s="4"/>
      <c r="AR399" s="4"/>
      <c r="AS399" s="4"/>
      <c r="AT399" s="4"/>
      <c r="AU399" s="4"/>
      <c r="AV399" s="4"/>
      <c r="AW399" s="4"/>
      <c r="AX399" s="4"/>
      <c r="AY399" s="4"/>
      <c r="AZ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  <c r="AO400" s="4"/>
      <c r="AP400" s="4"/>
      <c r="AQ400" s="4"/>
      <c r="AR400" s="4"/>
      <c r="AS400" s="4"/>
      <c r="AT400" s="4"/>
      <c r="AU400" s="4"/>
      <c r="AV400" s="4"/>
      <c r="AW400" s="4"/>
      <c r="AX400" s="4"/>
      <c r="AY400" s="4"/>
      <c r="AZ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O401" s="4"/>
      <c r="AP401" s="4"/>
      <c r="AQ401" s="4"/>
      <c r="AR401" s="4"/>
      <c r="AS401" s="4"/>
      <c r="AT401" s="4"/>
      <c r="AU401" s="4"/>
      <c r="AV401" s="4"/>
      <c r="AW401" s="4"/>
      <c r="AX401" s="4"/>
      <c r="AY401" s="4"/>
      <c r="AZ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O402" s="4"/>
      <c r="AP402" s="4"/>
      <c r="AQ402" s="4"/>
      <c r="AR402" s="4"/>
      <c r="AS402" s="4"/>
      <c r="AT402" s="4"/>
      <c r="AU402" s="4"/>
      <c r="AV402" s="4"/>
      <c r="AW402" s="4"/>
      <c r="AX402" s="4"/>
      <c r="AY402" s="4"/>
      <c r="AZ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O403" s="4"/>
      <c r="AP403" s="4"/>
      <c r="AQ403" s="4"/>
      <c r="AR403" s="4"/>
      <c r="AS403" s="4"/>
      <c r="AT403" s="4"/>
      <c r="AU403" s="4"/>
      <c r="AV403" s="4"/>
      <c r="AW403" s="4"/>
      <c r="AX403" s="4"/>
      <c r="AY403" s="4"/>
      <c r="AZ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  <c r="AO404" s="4"/>
      <c r="AP404" s="4"/>
      <c r="AQ404" s="4"/>
      <c r="AR404" s="4"/>
      <c r="AS404" s="4"/>
      <c r="AT404" s="4"/>
      <c r="AU404" s="4"/>
      <c r="AV404" s="4"/>
      <c r="AW404" s="4"/>
      <c r="AX404" s="4"/>
      <c r="AY404" s="4"/>
      <c r="AZ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O405" s="4"/>
      <c r="AP405" s="4"/>
      <c r="AQ405" s="4"/>
      <c r="AR405" s="4"/>
      <c r="AS405" s="4"/>
      <c r="AT405" s="4"/>
      <c r="AU405" s="4"/>
      <c r="AV405" s="4"/>
      <c r="AW405" s="4"/>
      <c r="AX405" s="4"/>
      <c r="AY405" s="4"/>
      <c r="AZ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O406" s="4"/>
      <c r="AP406" s="4"/>
      <c r="AQ406" s="4"/>
      <c r="AR406" s="4"/>
      <c r="AS406" s="4"/>
      <c r="AT406" s="4"/>
      <c r="AU406" s="4"/>
      <c r="AV406" s="4"/>
      <c r="AW406" s="4"/>
      <c r="AX406" s="4"/>
      <c r="AY406" s="4"/>
      <c r="AZ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  <c r="AL407" s="4"/>
      <c r="AM407" s="4"/>
      <c r="AN407" s="4"/>
      <c r="AO407" s="4"/>
      <c r="AP407" s="4"/>
      <c r="AQ407" s="4"/>
      <c r="AR407" s="4"/>
      <c r="AS407" s="4"/>
      <c r="AT407" s="4"/>
      <c r="AU407" s="4"/>
      <c r="AV407" s="4"/>
      <c r="AW407" s="4"/>
      <c r="AX407" s="4"/>
      <c r="AY407" s="4"/>
      <c r="AZ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  <c r="AL408" s="4"/>
      <c r="AM408" s="4"/>
      <c r="AN408" s="4"/>
      <c r="AO408" s="4"/>
      <c r="AP408" s="4"/>
      <c r="AQ408" s="4"/>
      <c r="AR408" s="4"/>
      <c r="AS408" s="4"/>
      <c r="AT408" s="4"/>
      <c r="AU408" s="4"/>
      <c r="AV408" s="4"/>
      <c r="AW408" s="4"/>
      <c r="AX408" s="4"/>
      <c r="AY408" s="4"/>
      <c r="AZ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  <c r="AL409" s="4"/>
      <c r="AM409" s="4"/>
      <c r="AN409" s="4"/>
      <c r="AO409" s="4"/>
      <c r="AP409" s="4"/>
      <c r="AQ409" s="4"/>
      <c r="AR409" s="4"/>
      <c r="AS409" s="4"/>
      <c r="AT409" s="4"/>
      <c r="AU409" s="4"/>
      <c r="AV409" s="4"/>
      <c r="AW409" s="4"/>
      <c r="AX409" s="4"/>
      <c r="AY409" s="4"/>
      <c r="AZ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  <c r="AL410" s="4"/>
      <c r="AM410" s="4"/>
      <c r="AN410" s="4"/>
      <c r="AO410" s="4"/>
      <c r="AP410" s="4"/>
      <c r="AQ410" s="4"/>
      <c r="AR410" s="4"/>
      <c r="AS410" s="4"/>
      <c r="AT410" s="4"/>
      <c r="AU410" s="4"/>
      <c r="AV410" s="4"/>
      <c r="AW410" s="4"/>
      <c r="AX410" s="4"/>
      <c r="AY410" s="4"/>
      <c r="AZ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  <c r="AL411" s="4"/>
      <c r="AM411" s="4"/>
      <c r="AN411" s="4"/>
      <c r="AO411" s="4"/>
      <c r="AP411" s="4"/>
      <c r="AQ411" s="4"/>
      <c r="AR411" s="4"/>
      <c r="AS411" s="4"/>
      <c r="AT411" s="4"/>
      <c r="AU411" s="4"/>
      <c r="AV411" s="4"/>
      <c r="AW411" s="4"/>
      <c r="AX411" s="4"/>
      <c r="AY411" s="4"/>
      <c r="AZ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  <c r="AL412" s="4"/>
      <c r="AM412" s="4"/>
      <c r="AN412" s="4"/>
      <c r="AO412" s="4"/>
      <c r="AP412" s="4"/>
      <c r="AQ412" s="4"/>
      <c r="AR412" s="4"/>
      <c r="AS412" s="4"/>
      <c r="AT412" s="4"/>
      <c r="AU412" s="4"/>
      <c r="AV412" s="4"/>
      <c r="AW412" s="4"/>
      <c r="AX412" s="4"/>
      <c r="AY412" s="4"/>
      <c r="AZ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  <c r="AK413" s="4"/>
      <c r="AL413" s="4"/>
      <c r="AM413" s="4"/>
      <c r="AN413" s="4"/>
      <c r="AO413" s="4"/>
      <c r="AP413" s="4"/>
      <c r="AQ413" s="4"/>
      <c r="AR413" s="4"/>
      <c r="AS413" s="4"/>
      <c r="AT413" s="4"/>
      <c r="AU413" s="4"/>
      <c r="AV413" s="4"/>
      <c r="AW413" s="4"/>
      <c r="AX413" s="4"/>
      <c r="AY413" s="4"/>
      <c r="AZ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  <c r="AK414" s="4"/>
      <c r="AL414" s="4"/>
      <c r="AM414" s="4"/>
      <c r="AN414" s="4"/>
      <c r="AO414" s="4"/>
      <c r="AP414" s="4"/>
      <c r="AQ414" s="4"/>
      <c r="AR414" s="4"/>
      <c r="AS414" s="4"/>
      <c r="AT414" s="4"/>
      <c r="AU414" s="4"/>
      <c r="AV414" s="4"/>
      <c r="AW414" s="4"/>
      <c r="AX414" s="4"/>
      <c r="AY414" s="4"/>
      <c r="AZ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  <c r="AK415" s="4"/>
      <c r="AL415" s="4"/>
      <c r="AM415" s="4"/>
      <c r="AN415" s="4"/>
      <c r="AO415" s="4"/>
      <c r="AP415" s="4"/>
      <c r="AQ415" s="4"/>
      <c r="AR415" s="4"/>
      <c r="AS415" s="4"/>
      <c r="AT415" s="4"/>
      <c r="AU415" s="4"/>
      <c r="AV415" s="4"/>
      <c r="AW415" s="4"/>
      <c r="AX415" s="4"/>
      <c r="AY415" s="4"/>
      <c r="AZ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  <c r="AK416" s="4"/>
      <c r="AL416" s="4"/>
      <c r="AM416" s="4"/>
      <c r="AN416" s="4"/>
      <c r="AO416" s="4"/>
      <c r="AP416" s="4"/>
      <c r="AQ416" s="4"/>
      <c r="AR416" s="4"/>
      <c r="AS416" s="4"/>
      <c r="AT416" s="4"/>
      <c r="AU416" s="4"/>
      <c r="AV416" s="4"/>
      <c r="AW416" s="4"/>
      <c r="AX416" s="4"/>
      <c r="AY416" s="4"/>
      <c r="AZ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  <c r="AK417" s="4"/>
      <c r="AL417" s="4"/>
      <c r="AM417" s="4"/>
      <c r="AN417" s="4"/>
      <c r="AO417" s="4"/>
      <c r="AP417" s="4"/>
      <c r="AQ417" s="4"/>
      <c r="AR417" s="4"/>
      <c r="AS417" s="4"/>
      <c r="AT417" s="4"/>
      <c r="AU417" s="4"/>
      <c r="AV417" s="4"/>
      <c r="AW417" s="4"/>
      <c r="AX417" s="4"/>
      <c r="AY417" s="4"/>
      <c r="AZ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  <c r="AJ418" s="4"/>
      <c r="AK418" s="4"/>
      <c r="AL418" s="4"/>
      <c r="AM418" s="4"/>
      <c r="AN418" s="4"/>
      <c r="AO418" s="4"/>
      <c r="AP418" s="4"/>
      <c r="AQ418" s="4"/>
      <c r="AR418" s="4"/>
      <c r="AS418" s="4"/>
      <c r="AT418" s="4"/>
      <c r="AU418" s="4"/>
      <c r="AV418" s="4"/>
      <c r="AW418" s="4"/>
      <c r="AX418" s="4"/>
      <c r="AY418" s="4"/>
      <c r="AZ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  <c r="AK419" s="4"/>
      <c r="AL419" s="4"/>
      <c r="AM419" s="4"/>
      <c r="AN419" s="4"/>
      <c r="AO419" s="4"/>
      <c r="AP419" s="4"/>
      <c r="AQ419" s="4"/>
      <c r="AR419" s="4"/>
      <c r="AS419" s="4"/>
      <c r="AT419" s="4"/>
      <c r="AU419" s="4"/>
      <c r="AV419" s="4"/>
      <c r="AW419" s="4"/>
      <c r="AX419" s="4"/>
      <c r="AY419" s="4"/>
      <c r="AZ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  <c r="AK420" s="4"/>
      <c r="AL420" s="4"/>
      <c r="AM420" s="4"/>
      <c r="AN420" s="4"/>
      <c r="AO420" s="4"/>
      <c r="AP420" s="4"/>
      <c r="AQ420" s="4"/>
      <c r="AR420" s="4"/>
      <c r="AS420" s="4"/>
      <c r="AT420" s="4"/>
      <c r="AU420" s="4"/>
      <c r="AV420" s="4"/>
      <c r="AW420" s="4"/>
      <c r="AX420" s="4"/>
      <c r="AY420" s="4"/>
      <c r="AZ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  <c r="AK421" s="4"/>
      <c r="AL421" s="4"/>
      <c r="AM421" s="4"/>
      <c r="AN421" s="4"/>
      <c r="AO421" s="4"/>
      <c r="AP421" s="4"/>
      <c r="AQ421" s="4"/>
      <c r="AR421" s="4"/>
      <c r="AS421" s="4"/>
      <c r="AT421" s="4"/>
      <c r="AU421" s="4"/>
      <c r="AV421" s="4"/>
      <c r="AW421" s="4"/>
      <c r="AX421" s="4"/>
      <c r="AY421" s="4"/>
      <c r="AZ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  <c r="AI422" s="4"/>
      <c r="AJ422" s="4"/>
      <c r="AK422" s="4"/>
      <c r="AL422" s="4"/>
      <c r="AM422" s="4"/>
      <c r="AN422" s="4"/>
      <c r="AO422" s="4"/>
      <c r="AP422" s="4"/>
      <c r="AQ422" s="4"/>
      <c r="AR422" s="4"/>
      <c r="AS422" s="4"/>
      <c r="AT422" s="4"/>
      <c r="AU422" s="4"/>
      <c r="AV422" s="4"/>
      <c r="AW422" s="4"/>
      <c r="AX422" s="4"/>
      <c r="AY422" s="4"/>
      <c r="AZ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  <c r="AH423" s="4"/>
      <c r="AI423" s="4"/>
      <c r="AJ423" s="4"/>
      <c r="AK423" s="4"/>
      <c r="AL423" s="4"/>
      <c r="AM423" s="4"/>
      <c r="AN423" s="4"/>
      <c r="AO423" s="4"/>
      <c r="AP423" s="4"/>
      <c r="AQ423" s="4"/>
      <c r="AR423" s="4"/>
      <c r="AS423" s="4"/>
      <c r="AT423" s="4"/>
      <c r="AU423" s="4"/>
      <c r="AV423" s="4"/>
      <c r="AW423" s="4"/>
      <c r="AX423" s="4"/>
      <c r="AY423" s="4"/>
      <c r="AZ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4"/>
      <c r="AI424" s="4"/>
      <c r="AJ424" s="4"/>
      <c r="AK424" s="4"/>
      <c r="AL424" s="4"/>
      <c r="AM424" s="4"/>
      <c r="AN424" s="4"/>
      <c r="AO424" s="4"/>
      <c r="AP424" s="4"/>
      <c r="AQ424" s="4"/>
      <c r="AR424" s="4"/>
      <c r="AS424" s="4"/>
      <c r="AT424" s="4"/>
      <c r="AU424" s="4"/>
      <c r="AV424" s="4"/>
      <c r="AW424" s="4"/>
      <c r="AX424" s="4"/>
      <c r="AY424" s="4"/>
      <c r="AZ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  <c r="AH425" s="4"/>
      <c r="AI425" s="4"/>
      <c r="AJ425" s="4"/>
      <c r="AK425" s="4"/>
      <c r="AL425" s="4"/>
      <c r="AM425" s="4"/>
      <c r="AN425" s="4"/>
      <c r="AO425" s="4"/>
      <c r="AP425" s="4"/>
      <c r="AQ425" s="4"/>
      <c r="AR425" s="4"/>
      <c r="AS425" s="4"/>
      <c r="AT425" s="4"/>
      <c r="AU425" s="4"/>
      <c r="AV425" s="4"/>
      <c r="AW425" s="4"/>
      <c r="AX425" s="4"/>
      <c r="AY425" s="4"/>
      <c r="AZ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  <c r="AH426" s="4"/>
      <c r="AI426" s="4"/>
      <c r="AJ426" s="4"/>
      <c r="AK426" s="4"/>
      <c r="AL426" s="4"/>
      <c r="AM426" s="4"/>
      <c r="AN426" s="4"/>
      <c r="AO426" s="4"/>
      <c r="AP426" s="4"/>
      <c r="AQ426" s="4"/>
      <c r="AR426" s="4"/>
      <c r="AS426" s="4"/>
      <c r="AT426" s="4"/>
      <c r="AU426" s="4"/>
      <c r="AV426" s="4"/>
      <c r="AW426" s="4"/>
      <c r="AX426" s="4"/>
      <c r="AY426" s="4"/>
      <c r="AZ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/>
      <c r="AJ427" s="4"/>
      <c r="AK427" s="4"/>
      <c r="AL427" s="4"/>
      <c r="AM427" s="4"/>
      <c r="AN427" s="4"/>
      <c r="AO427" s="4"/>
      <c r="AP427" s="4"/>
      <c r="AQ427" s="4"/>
      <c r="AR427" s="4"/>
      <c r="AS427" s="4"/>
      <c r="AT427" s="4"/>
      <c r="AU427" s="4"/>
      <c r="AV427" s="4"/>
      <c r="AW427" s="4"/>
      <c r="AX427" s="4"/>
      <c r="AY427" s="4"/>
      <c r="AZ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  <c r="AI428" s="4"/>
      <c r="AJ428" s="4"/>
      <c r="AK428" s="4"/>
      <c r="AL428" s="4"/>
      <c r="AM428" s="4"/>
      <c r="AN428" s="4"/>
      <c r="AO428" s="4"/>
      <c r="AP428" s="4"/>
      <c r="AQ428" s="4"/>
      <c r="AR428" s="4"/>
      <c r="AS428" s="4"/>
      <c r="AT428" s="4"/>
      <c r="AU428" s="4"/>
      <c r="AV428" s="4"/>
      <c r="AW428" s="4"/>
      <c r="AX428" s="4"/>
      <c r="AY428" s="4"/>
      <c r="AZ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  <c r="AJ429" s="4"/>
      <c r="AK429" s="4"/>
      <c r="AL429" s="4"/>
      <c r="AM429" s="4"/>
      <c r="AN429" s="4"/>
      <c r="AO429" s="4"/>
      <c r="AP429" s="4"/>
      <c r="AQ429" s="4"/>
      <c r="AR429" s="4"/>
      <c r="AS429" s="4"/>
      <c r="AT429" s="4"/>
      <c r="AU429" s="4"/>
      <c r="AV429" s="4"/>
      <c r="AW429" s="4"/>
      <c r="AX429" s="4"/>
      <c r="AY429" s="4"/>
      <c r="AZ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  <c r="AJ430" s="4"/>
      <c r="AK430" s="4"/>
      <c r="AL430" s="4"/>
      <c r="AM430" s="4"/>
      <c r="AN430" s="4"/>
      <c r="AO430" s="4"/>
      <c r="AP430" s="4"/>
      <c r="AQ430" s="4"/>
      <c r="AR430" s="4"/>
      <c r="AS430" s="4"/>
      <c r="AT430" s="4"/>
      <c r="AU430" s="4"/>
      <c r="AV430" s="4"/>
      <c r="AW430" s="4"/>
      <c r="AX430" s="4"/>
      <c r="AY430" s="4"/>
      <c r="AZ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  <c r="AJ431" s="4"/>
      <c r="AK431" s="4"/>
      <c r="AL431" s="4"/>
      <c r="AM431" s="4"/>
      <c r="AN431" s="4"/>
      <c r="AO431" s="4"/>
      <c r="AP431" s="4"/>
      <c r="AQ431" s="4"/>
      <c r="AR431" s="4"/>
      <c r="AS431" s="4"/>
      <c r="AT431" s="4"/>
      <c r="AU431" s="4"/>
      <c r="AV431" s="4"/>
      <c r="AW431" s="4"/>
      <c r="AX431" s="4"/>
      <c r="AY431" s="4"/>
      <c r="AZ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  <c r="AJ432" s="4"/>
      <c r="AK432" s="4"/>
      <c r="AL432" s="4"/>
      <c r="AM432" s="4"/>
      <c r="AN432" s="4"/>
      <c r="AO432" s="4"/>
      <c r="AP432" s="4"/>
      <c r="AQ432" s="4"/>
      <c r="AR432" s="4"/>
      <c r="AS432" s="4"/>
      <c r="AT432" s="4"/>
      <c r="AU432" s="4"/>
      <c r="AV432" s="4"/>
      <c r="AW432" s="4"/>
      <c r="AX432" s="4"/>
      <c r="AY432" s="4"/>
      <c r="AZ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  <c r="AJ433" s="4"/>
      <c r="AK433" s="4"/>
      <c r="AL433" s="4"/>
      <c r="AM433" s="4"/>
      <c r="AN433" s="4"/>
      <c r="AO433" s="4"/>
      <c r="AP433" s="4"/>
      <c r="AQ433" s="4"/>
      <c r="AR433" s="4"/>
      <c r="AS433" s="4"/>
      <c r="AT433" s="4"/>
      <c r="AU433" s="4"/>
      <c r="AV433" s="4"/>
      <c r="AW433" s="4"/>
      <c r="AX433" s="4"/>
      <c r="AY433" s="4"/>
      <c r="AZ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  <c r="AJ434" s="4"/>
      <c r="AK434" s="4"/>
      <c r="AL434" s="4"/>
      <c r="AM434" s="4"/>
      <c r="AN434" s="4"/>
      <c r="AO434" s="4"/>
      <c r="AP434" s="4"/>
      <c r="AQ434" s="4"/>
      <c r="AR434" s="4"/>
      <c r="AS434" s="4"/>
      <c r="AT434" s="4"/>
      <c r="AU434" s="4"/>
      <c r="AV434" s="4"/>
      <c r="AW434" s="4"/>
      <c r="AX434" s="4"/>
      <c r="AY434" s="4"/>
      <c r="AZ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  <c r="AI435" s="4"/>
      <c r="AJ435" s="4"/>
      <c r="AK435" s="4"/>
      <c r="AL435" s="4"/>
      <c r="AM435" s="4"/>
      <c r="AN435" s="4"/>
      <c r="AO435" s="4"/>
      <c r="AP435" s="4"/>
      <c r="AQ435" s="4"/>
      <c r="AR435" s="4"/>
      <c r="AS435" s="4"/>
      <c r="AT435" s="4"/>
      <c r="AU435" s="4"/>
      <c r="AV435" s="4"/>
      <c r="AW435" s="4"/>
      <c r="AX435" s="4"/>
      <c r="AY435" s="4"/>
      <c r="AZ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4"/>
      <c r="AI436" s="4"/>
      <c r="AJ436" s="4"/>
      <c r="AK436" s="4"/>
      <c r="AL436" s="4"/>
      <c r="AM436" s="4"/>
      <c r="AN436" s="4"/>
      <c r="AO436" s="4"/>
      <c r="AP436" s="4"/>
      <c r="AQ436" s="4"/>
      <c r="AR436" s="4"/>
      <c r="AS436" s="4"/>
      <c r="AT436" s="4"/>
      <c r="AU436" s="4"/>
      <c r="AV436" s="4"/>
      <c r="AW436" s="4"/>
      <c r="AX436" s="4"/>
      <c r="AY436" s="4"/>
      <c r="AZ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  <c r="AJ437" s="4"/>
      <c r="AK437" s="4"/>
      <c r="AL437" s="4"/>
      <c r="AM437" s="4"/>
      <c r="AN437" s="4"/>
      <c r="AO437" s="4"/>
      <c r="AP437" s="4"/>
      <c r="AQ437" s="4"/>
      <c r="AR437" s="4"/>
      <c r="AS437" s="4"/>
      <c r="AT437" s="4"/>
      <c r="AU437" s="4"/>
      <c r="AV437" s="4"/>
      <c r="AW437" s="4"/>
      <c r="AX437" s="4"/>
      <c r="AY437" s="4"/>
      <c r="AZ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  <c r="AJ438" s="4"/>
      <c r="AK438" s="4"/>
      <c r="AL438" s="4"/>
      <c r="AM438" s="4"/>
      <c r="AN438" s="4"/>
      <c r="AO438" s="4"/>
      <c r="AP438" s="4"/>
      <c r="AQ438" s="4"/>
      <c r="AR438" s="4"/>
      <c r="AS438" s="4"/>
      <c r="AT438" s="4"/>
      <c r="AU438" s="4"/>
      <c r="AV438" s="4"/>
      <c r="AW438" s="4"/>
      <c r="AX438" s="4"/>
      <c r="AY438" s="4"/>
      <c r="AZ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  <c r="AJ439" s="4"/>
      <c r="AK439" s="4"/>
      <c r="AL439" s="4"/>
      <c r="AM439" s="4"/>
      <c r="AN439" s="4"/>
      <c r="AO439" s="4"/>
      <c r="AP439" s="4"/>
      <c r="AQ439" s="4"/>
      <c r="AR439" s="4"/>
      <c r="AS439" s="4"/>
      <c r="AT439" s="4"/>
      <c r="AU439" s="4"/>
      <c r="AV439" s="4"/>
      <c r="AW439" s="4"/>
      <c r="AX439" s="4"/>
      <c r="AY439" s="4"/>
      <c r="AZ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  <c r="AI440" s="4"/>
      <c r="AJ440" s="4"/>
      <c r="AK440" s="4"/>
      <c r="AL440" s="4"/>
      <c r="AM440" s="4"/>
      <c r="AN440" s="4"/>
      <c r="AO440" s="4"/>
      <c r="AP440" s="4"/>
      <c r="AQ440" s="4"/>
      <c r="AR440" s="4"/>
      <c r="AS440" s="4"/>
      <c r="AT440" s="4"/>
      <c r="AU440" s="4"/>
      <c r="AV440" s="4"/>
      <c r="AW440" s="4"/>
      <c r="AX440" s="4"/>
      <c r="AY440" s="4"/>
      <c r="AZ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4"/>
      <c r="AI441" s="4"/>
      <c r="AJ441" s="4"/>
      <c r="AK441" s="4"/>
      <c r="AL441" s="4"/>
      <c r="AM441" s="4"/>
      <c r="AN441" s="4"/>
      <c r="AO441" s="4"/>
      <c r="AP441" s="4"/>
      <c r="AQ441" s="4"/>
      <c r="AR441" s="4"/>
      <c r="AS441" s="4"/>
      <c r="AT441" s="4"/>
      <c r="AU441" s="4"/>
      <c r="AV441" s="4"/>
      <c r="AW441" s="4"/>
      <c r="AX441" s="4"/>
      <c r="AY441" s="4"/>
      <c r="AZ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4"/>
      <c r="AI442" s="4"/>
      <c r="AJ442" s="4"/>
      <c r="AK442" s="4"/>
      <c r="AL442" s="4"/>
      <c r="AM442" s="4"/>
      <c r="AN442" s="4"/>
      <c r="AO442" s="4"/>
      <c r="AP442" s="4"/>
      <c r="AQ442" s="4"/>
      <c r="AR442" s="4"/>
      <c r="AS442" s="4"/>
      <c r="AT442" s="4"/>
      <c r="AU442" s="4"/>
      <c r="AV442" s="4"/>
      <c r="AW442" s="4"/>
      <c r="AX442" s="4"/>
      <c r="AY442" s="4"/>
      <c r="AZ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  <c r="AI443" s="4"/>
      <c r="AJ443" s="4"/>
      <c r="AK443" s="4"/>
      <c r="AL443" s="4"/>
      <c r="AM443" s="4"/>
      <c r="AN443" s="4"/>
      <c r="AO443" s="4"/>
      <c r="AP443" s="4"/>
      <c r="AQ443" s="4"/>
      <c r="AR443" s="4"/>
      <c r="AS443" s="4"/>
      <c r="AT443" s="4"/>
      <c r="AU443" s="4"/>
      <c r="AV443" s="4"/>
      <c r="AW443" s="4"/>
      <c r="AX443" s="4"/>
      <c r="AY443" s="4"/>
      <c r="AZ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4"/>
      <c r="AI444" s="4"/>
      <c r="AJ444" s="4"/>
      <c r="AK444" s="4"/>
      <c r="AL444" s="4"/>
      <c r="AM444" s="4"/>
      <c r="AN444" s="4"/>
      <c r="AO444" s="4"/>
      <c r="AP444" s="4"/>
      <c r="AQ444" s="4"/>
      <c r="AR444" s="4"/>
      <c r="AS444" s="4"/>
      <c r="AT444" s="4"/>
      <c r="AU444" s="4"/>
      <c r="AV444" s="4"/>
      <c r="AW444" s="4"/>
      <c r="AX444" s="4"/>
      <c r="AY444" s="4"/>
      <c r="AZ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4"/>
      <c r="AI445" s="4"/>
      <c r="AJ445" s="4"/>
      <c r="AK445" s="4"/>
      <c r="AL445" s="4"/>
      <c r="AM445" s="4"/>
      <c r="AN445" s="4"/>
      <c r="AO445" s="4"/>
      <c r="AP445" s="4"/>
      <c r="AQ445" s="4"/>
      <c r="AR445" s="4"/>
      <c r="AS445" s="4"/>
      <c r="AT445" s="4"/>
      <c r="AU445" s="4"/>
      <c r="AV445" s="4"/>
      <c r="AW445" s="4"/>
      <c r="AX445" s="4"/>
      <c r="AY445" s="4"/>
      <c r="AZ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4"/>
      <c r="AI446" s="4"/>
      <c r="AJ446" s="4"/>
      <c r="AK446" s="4"/>
      <c r="AL446" s="4"/>
      <c r="AM446" s="4"/>
      <c r="AN446" s="4"/>
      <c r="AO446" s="4"/>
      <c r="AP446" s="4"/>
      <c r="AQ446" s="4"/>
      <c r="AR446" s="4"/>
      <c r="AS446" s="4"/>
      <c r="AT446" s="4"/>
      <c r="AU446" s="4"/>
      <c r="AV446" s="4"/>
      <c r="AW446" s="4"/>
      <c r="AX446" s="4"/>
      <c r="AY446" s="4"/>
      <c r="AZ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  <c r="AH447" s="4"/>
      <c r="AI447" s="4"/>
      <c r="AJ447" s="4"/>
      <c r="AK447" s="4"/>
      <c r="AL447" s="4"/>
      <c r="AM447" s="4"/>
      <c r="AN447" s="4"/>
      <c r="AO447" s="4"/>
      <c r="AP447" s="4"/>
      <c r="AQ447" s="4"/>
      <c r="AR447" s="4"/>
      <c r="AS447" s="4"/>
      <c r="AT447" s="4"/>
      <c r="AU447" s="4"/>
      <c r="AV447" s="4"/>
      <c r="AW447" s="4"/>
      <c r="AX447" s="4"/>
      <c r="AY447" s="4"/>
      <c r="AZ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  <c r="AH448" s="4"/>
      <c r="AI448" s="4"/>
      <c r="AJ448" s="4"/>
      <c r="AK448" s="4"/>
      <c r="AL448" s="4"/>
      <c r="AM448" s="4"/>
      <c r="AN448" s="4"/>
      <c r="AO448" s="4"/>
      <c r="AP448" s="4"/>
      <c r="AQ448" s="4"/>
      <c r="AR448" s="4"/>
      <c r="AS448" s="4"/>
      <c r="AT448" s="4"/>
      <c r="AU448" s="4"/>
      <c r="AV448" s="4"/>
      <c r="AW448" s="4"/>
      <c r="AX448" s="4"/>
      <c r="AY448" s="4"/>
      <c r="AZ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  <c r="AJ449" s="4"/>
      <c r="AK449" s="4"/>
      <c r="AL449" s="4"/>
      <c r="AM449" s="4"/>
      <c r="AN449" s="4"/>
      <c r="AO449" s="4"/>
      <c r="AP449" s="4"/>
      <c r="AQ449" s="4"/>
      <c r="AR449" s="4"/>
      <c r="AS449" s="4"/>
      <c r="AT449" s="4"/>
      <c r="AU449" s="4"/>
      <c r="AV449" s="4"/>
      <c r="AW449" s="4"/>
      <c r="AX449" s="4"/>
      <c r="AY449" s="4"/>
      <c r="AZ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  <c r="AJ450" s="4"/>
      <c r="AK450" s="4"/>
      <c r="AL450" s="4"/>
      <c r="AM450" s="4"/>
      <c r="AN450" s="4"/>
      <c r="AO450" s="4"/>
      <c r="AP450" s="4"/>
      <c r="AQ450" s="4"/>
      <c r="AR450" s="4"/>
      <c r="AS450" s="4"/>
      <c r="AT450" s="4"/>
      <c r="AU450" s="4"/>
      <c r="AV450" s="4"/>
      <c r="AW450" s="4"/>
      <c r="AX450" s="4"/>
      <c r="AY450" s="4"/>
      <c r="AZ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  <c r="AJ451" s="4"/>
      <c r="AK451" s="4"/>
      <c r="AL451" s="4"/>
      <c r="AM451" s="4"/>
      <c r="AN451" s="4"/>
      <c r="AO451" s="4"/>
      <c r="AP451" s="4"/>
      <c r="AQ451" s="4"/>
      <c r="AR451" s="4"/>
      <c r="AS451" s="4"/>
      <c r="AT451" s="4"/>
      <c r="AU451" s="4"/>
      <c r="AV451" s="4"/>
      <c r="AW451" s="4"/>
      <c r="AX451" s="4"/>
      <c r="AY451" s="4"/>
      <c r="AZ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  <c r="AI452" s="4"/>
      <c r="AJ452" s="4"/>
      <c r="AK452" s="4"/>
      <c r="AL452" s="4"/>
      <c r="AM452" s="4"/>
      <c r="AN452" s="4"/>
      <c r="AO452" s="4"/>
      <c r="AP452" s="4"/>
      <c r="AQ452" s="4"/>
      <c r="AR452" s="4"/>
      <c r="AS452" s="4"/>
      <c r="AT452" s="4"/>
      <c r="AU452" s="4"/>
      <c r="AV452" s="4"/>
      <c r="AW452" s="4"/>
      <c r="AX452" s="4"/>
      <c r="AY452" s="4"/>
      <c r="AZ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/>
      <c r="AJ453" s="4"/>
      <c r="AK453" s="4"/>
      <c r="AL453" s="4"/>
      <c r="AM453" s="4"/>
      <c r="AN453" s="4"/>
      <c r="AO453" s="4"/>
      <c r="AP453" s="4"/>
      <c r="AQ453" s="4"/>
      <c r="AR453" s="4"/>
      <c r="AS453" s="4"/>
      <c r="AT453" s="4"/>
      <c r="AU453" s="4"/>
      <c r="AV453" s="4"/>
      <c r="AW453" s="4"/>
      <c r="AX453" s="4"/>
      <c r="AY453" s="4"/>
      <c r="AZ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  <c r="AJ454" s="4"/>
      <c r="AK454" s="4"/>
      <c r="AL454" s="4"/>
      <c r="AM454" s="4"/>
      <c r="AN454" s="4"/>
      <c r="AO454" s="4"/>
      <c r="AP454" s="4"/>
      <c r="AQ454" s="4"/>
      <c r="AR454" s="4"/>
      <c r="AS454" s="4"/>
      <c r="AT454" s="4"/>
      <c r="AU454" s="4"/>
      <c r="AV454" s="4"/>
      <c r="AW454" s="4"/>
      <c r="AX454" s="4"/>
      <c r="AY454" s="4"/>
      <c r="AZ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  <c r="AJ455" s="4"/>
      <c r="AK455" s="4"/>
      <c r="AL455" s="4"/>
      <c r="AM455" s="4"/>
      <c r="AN455" s="4"/>
      <c r="AO455" s="4"/>
      <c r="AP455" s="4"/>
      <c r="AQ455" s="4"/>
      <c r="AR455" s="4"/>
      <c r="AS455" s="4"/>
      <c r="AT455" s="4"/>
      <c r="AU455" s="4"/>
      <c r="AV455" s="4"/>
      <c r="AW455" s="4"/>
      <c r="AX455" s="4"/>
      <c r="AY455" s="4"/>
      <c r="AZ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  <c r="AJ456" s="4"/>
      <c r="AK456" s="4"/>
      <c r="AL456" s="4"/>
      <c r="AM456" s="4"/>
      <c r="AN456" s="4"/>
      <c r="AO456" s="4"/>
      <c r="AP456" s="4"/>
      <c r="AQ456" s="4"/>
      <c r="AR456" s="4"/>
      <c r="AS456" s="4"/>
      <c r="AT456" s="4"/>
      <c r="AU456" s="4"/>
      <c r="AV456" s="4"/>
      <c r="AW456" s="4"/>
      <c r="AX456" s="4"/>
      <c r="AY456" s="4"/>
      <c r="AZ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  <c r="AJ457" s="4"/>
      <c r="AK457" s="4"/>
      <c r="AL457" s="4"/>
      <c r="AM457" s="4"/>
      <c r="AN457" s="4"/>
      <c r="AO457" s="4"/>
      <c r="AP457" s="4"/>
      <c r="AQ457" s="4"/>
      <c r="AR457" s="4"/>
      <c r="AS457" s="4"/>
      <c r="AT457" s="4"/>
      <c r="AU457" s="4"/>
      <c r="AV457" s="4"/>
      <c r="AW457" s="4"/>
      <c r="AX457" s="4"/>
      <c r="AY457" s="4"/>
      <c r="AZ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  <c r="AH458" s="4"/>
      <c r="AI458" s="4"/>
      <c r="AJ458" s="4"/>
      <c r="AK458" s="4"/>
      <c r="AL458" s="4"/>
      <c r="AM458" s="4"/>
      <c r="AN458" s="4"/>
      <c r="AO458" s="4"/>
      <c r="AP458" s="4"/>
      <c r="AQ458" s="4"/>
      <c r="AR458" s="4"/>
      <c r="AS458" s="4"/>
      <c r="AT458" s="4"/>
      <c r="AU458" s="4"/>
      <c r="AV458" s="4"/>
      <c r="AW458" s="4"/>
      <c r="AX458" s="4"/>
      <c r="AY458" s="4"/>
      <c r="AZ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  <c r="AH459" s="4"/>
      <c r="AI459" s="4"/>
      <c r="AJ459" s="4"/>
      <c r="AK459" s="4"/>
      <c r="AL459" s="4"/>
      <c r="AM459" s="4"/>
      <c r="AN459" s="4"/>
      <c r="AO459" s="4"/>
      <c r="AP459" s="4"/>
      <c r="AQ459" s="4"/>
      <c r="AR459" s="4"/>
      <c r="AS459" s="4"/>
      <c r="AT459" s="4"/>
      <c r="AU459" s="4"/>
      <c r="AV459" s="4"/>
      <c r="AW459" s="4"/>
      <c r="AX459" s="4"/>
      <c r="AY459" s="4"/>
      <c r="AZ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4"/>
      <c r="AI460" s="4"/>
      <c r="AJ460" s="4"/>
      <c r="AK460" s="4"/>
      <c r="AL460" s="4"/>
      <c r="AM460" s="4"/>
      <c r="AN460" s="4"/>
      <c r="AO460" s="4"/>
      <c r="AP460" s="4"/>
      <c r="AQ460" s="4"/>
      <c r="AR460" s="4"/>
      <c r="AS460" s="4"/>
      <c r="AT460" s="4"/>
      <c r="AU460" s="4"/>
      <c r="AV460" s="4"/>
      <c r="AW460" s="4"/>
      <c r="AX460" s="4"/>
      <c r="AY460" s="4"/>
      <c r="AZ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4"/>
      <c r="AI461" s="4"/>
      <c r="AJ461" s="4"/>
      <c r="AK461" s="4"/>
      <c r="AL461" s="4"/>
      <c r="AM461" s="4"/>
      <c r="AN461" s="4"/>
      <c r="AO461" s="4"/>
      <c r="AP461" s="4"/>
      <c r="AQ461" s="4"/>
      <c r="AR461" s="4"/>
      <c r="AS461" s="4"/>
      <c r="AT461" s="4"/>
      <c r="AU461" s="4"/>
      <c r="AV461" s="4"/>
      <c r="AW461" s="4"/>
      <c r="AX461" s="4"/>
      <c r="AY461" s="4"/>
      <c r="AZ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  <c r="AH462" s="4"/>
      <c r="AI462" s="4"/>
      <c r="AJ462" s="4"/>
      <c r="AK462" s="4"/>
      <c r="AL462" s="4"/>
      <c r="AM462" s="4"/>
      <c r="AN462" s="4"/>
      <c r="AO462" s="4"/>
      <c r="AP462" s="4"/>
      <c r="AQ462" s="4"/>
      <c r="AR462" s="4"/>
      <c r="AS462" s="4"/>
      <c r="AT462" s="4"/>
      <c r="AU462" s="4"/>
      <c r="AV462" s="4"/>
      <c r="AW462" s="4"/>
      <c r="AX462" s="4"/>
      <c r="AY462" s="4"/>
      <c r="AZ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  <c r="AH463" s="4"/>
      <c r="AI463" s="4"/>
      <c r="AJ463" s="4"/>
      <c r="AK463" s="4"/>
      <c r="AL463" s="4"/>
      <c r="AM463" s="4"/>
      <c r="AN463" s="4"/>
      <c r="AO463" s="4"/>
      <c r="AP463" s="4"/>
      <c r="AQ463" s="4"/>
      <c r="AR463" s="4"/>
      <c r="AS463" s="4"/>
      <c r="AT463" s="4"/>
      <c r="AU463" s="4"/>
      <c r="AV463" s="4"/>
      <c r="AW463" s="4"/>
      <c r="AX463" s="4"/>
      <c r="AY463" s="4"/>
      <c r="AZ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  <c r="AI464" s="4"/>
      <c r="AJ464" s="4"/>
      <c r="AK464" s="4"/>
      <c r="AL464" s="4"/>
      <c r="AM464" s="4"/>
      <c r="AN464" s="4"/>
      <c r="AO464" s="4"/>
      <c r="AP464" s="4"/>
      <c r="AQ464" s="4"/>
      <c r="AR464" s="4"/>
      <c r="AS464" s="4"/>
      <c r="AT464" s="4"/>
      <c r="AU464" s="4"/>
      <c r="AV464" s="4"/>
      <c r="AW464" s="4"/>
      <c r="AX464" s="4"/>
      <c r="AY464" s="4"/>
      <c r="AZ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  <c r="AJ465" s="4"/>
      <c r="AK465" s="4"/>
      <c r="AL465" s="4"/>
      <c r="AM465" s="4"/>
      <c r="AN465" s="4"/>
      <c r="AO465" s="4"/>
      <c r="AP465" s="4"/>
      <c r="AQ465" s="4"/>
      <c r="AR465" s="4"/>
      <c r="AS465" s="4"/>
      <c r="AT465" s="4"/>
      <c r="AU465" s="4"/>
      <c r="AV465" s="4"/>
      <c r="AW465" s="4"/>
      <c r="AX465" s="4"/>
      <c r="AY465" s="4"/>
      <c r="AZ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  <c r="AJ466" s="4"/>
      <c r="AK466" s="4"/>
      <c r="AL466" s="4"/>
      <c r="AM466" s="4"/>
      <c r="AN466" s="4"/>
      <c r="AO466" s="4"/>
      <c r="AP466" s="4"/>
      <c r="AQ466" s="4"/>
      <c r="AR466" s="4"/>
      <c r="AS466" s="4"/>
      <c r="AT466" s="4"/>
      <c r="AU466" s="4"/>
      <c r="AV466" s="4"/>
      <c r="AW466" s="4"/>
      <c r="AX466" s="4"/>
      <c r="AY466" s="4"/>
      <c r="AZ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/>
      <c r="AI467" s="4"/>
      <c r="AJ467" s="4"/>
      <c r="AK467" s="4"/>
      <c r="AL467" s="4"/>
      <c r="AM467" s="4"/>
      <c r="AN467" s="4"/>
      <c r="AO467" s="4"/>
      <c r="AP467" s="4"/>
      <c r="AQ467" s="4"/>
      <c r="AR467" s="4"/>
      <c r="AS467" s="4"/>
      <c r="AT467" s="4"/>
      <c r="AU467" s="4"/>
      <c r="AV467" s="4"/>
      <c r="AW467" s="4"/>
      <c r="AX467" s="4"/>
      <c r="AY467" s="4"/>
      <c r="AZ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  <c r="AH468" s="4"/>
      <c r="AI468" s="4"/>
      <c r="AJ468" s="4"/>
      <c r="AK468" s="4"/>
      <c r="AL468" s="4"/>
      <c r="AM468" s="4"/>
      <c r="AN468" s="4"/>
      <c r="AO468" s="4"/>
      <c r="AP468" s="4"/>
      <c r="AQ468" s="4"/>
      <c r="AR468" s="4"/>
      <c r="AS468" s="4"/>
      <c r="AT468" s="4"/>
      <c r="AU468" s="4"/>
      <c r="AV468" s="4"/>
      <c r="AW468" s="4"/>
      <c r="AX468" s="4"/>
      <c r="AY468" s="4"/>
      <c r="AZ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  <c r="AH469" s="4"/>
      <c r="AI469" s="4"/>
      <c r="AJ469" s="4"/>
      <c r="AK469" s="4"/>
      <c r="AL469" s="4"/>
      <c r="AM469" s="4"/>
      <c r="AN469" s="4"/>
      <c r="AO469" s="4"/>
      <c r="AP469" s="4"/>
      <c r="AQ469" s="4"/>
      <c r="AR469" s="4"/>
      <c r="AS469" s="4"/>
      <c r="AT469" s="4"/>
      <c r="AU469" s="4"/>
      <c r="AV469" s="4"/>
      <c r="AW469" s="4"/>
      <c r="AX469" s="4"/>
      <c r="AY469" s="4"/>
      <c r="AZ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  <c r="AH470" s="4"/>
      <c r="AI470" s="4"/>
      <c r="AJ470" s="4"/>
      <c r="AK470" s="4"/>
      <c r="AL470" s="4"/>
      <c r="AM470" s="4"/>
      <c r="AN470" s="4"/>
      <c r="AO470" s="4"/>
      <c r="AP470" s="4"/>
      <c r="AQ470" s="4"/>
      <c r="AR470" s="4"/>
      <c r="AS470" s="4"/>
      <c r="AT470" s="4"/>
      <c r="AU470" s="4"/>
      <c r="AV470" s="4"/>
      <c r="AW470" s="4"/>
      <c r="AX470" s="4"/>
      <c r="AY470" s="4"/>
      <c r="AZ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  <c r="AI471" s="4"/>
      <c r="AJ471" s="4"/>
      <c r="AK471" s="4"/>
      <c r="AL471" s="4"/>
      <c r="AM471" s="4"/>
      <c r="AN471" s="4"/>
      <c r="AO471" s="4"/>
      <c r="AP471" s="4"/>
      <c r="AQ471" s="4"/>
      <c r="AR471" s="4"/>
      <c r="AS471" s="4"/>
      <c r="AT471" s="4"/>
      <c r="AU471" s="4"/>
      <c r="AV471" s="4"/>
      <c r="AW471" s="4"/>
      <c r="AX471" s="4"/>
      <c r="AY471" s="4"/>
      <c r="AZ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4"/>
      <c r="AI472" s="4"/>
      <c r="AJ472" s="4"/>
      <c r="AK472" s="4"/>
      <c r="AL472" s="4"/>
      <c r="AM472" s="4"/>
      <c r="AN472" s="4"/>
      <c r="AO472" s="4"/>
      <c r="AP472" s="4"/>
      <c r="AQ472" s="4"/>
      <c r="AR472" s="4"/>
      <c r="AS472" s="4"/>
      <c r="AT472" s="4"/>
      <c r="AU472" s="4"/>
      <c r="AV472" s="4"/>
      <c r="AW472" s="4"/>
      <c r="AX472" s="4"/>
      <c r="AY472" s="4"/>
      <c r="AZ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  <c r="AI473" s="4"/>
      <c r="AJ473" s="4"/>
      <c r="AK473" s="4"/>
      <c r="AL473" s="4"/>
      <c r="AM473" s="4"/>
      <c r="AN473" s="4"/>
      <c r="AO473" s="4"/>
      <c r="AP473" s="4"/>
      <c r="AQ473" s="4"/>
      <c r="AR473" s="4"/>
      <c r="AS473" s="4"/>
      <c r="AT473" s="4"/>
      <c r="AU473" s="4"/>
      <c r="AV473" s="4"/>
      <c r="AW473" s="4"/>
      <c r="AX473" s="4"/>
      <c r="AY473" s="4"/>
      <c r="AZ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  <c r="AI474" s="4"/>
      <c r="AJ474" s="4"/>
      <c r="AK474" s="4"/>
      <c r="AL474" s="4"/>
      <c r="AM474" s="4"/>
      <c r="AN474" s="4"/>
      <c r="AO474" s="4"/>
      <c r="AP474" s="4"/>
      <c r="AQ474" s="4"/>
      <c r="AR474" s="4"/>
      <c r="AS474" s="4"/>
      <c r="AT474" s="4"/>
      <c r="AU474" s="4"/>
      <c r="AV474" s="4"/>
      <c r="AW474" s="4"/>
      <c r="AX474" s="4"/>
      <c r="AY474" s="4"/>
      <c r="AZ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  <c r="AJ475" s="4"/>
      <c r="AK475" s="4"/>
      <c r="AL475" s="4"/>
      <c r="AM475" s="4"/>
      <c r="AN475" s="4"/>
      <c r="AO475" s="4"/>
      <c r="AP475" s="4"/>
      <c r="AQ475" s="4"/>
      <c r="AR475" s="4"/>
      <c r="AS475" s="4"/>
      <c r="AT475" s="4"/>
      <c r="AU475" s="4"/>
      <c r="AV475" s="4"/>
      <c r="AW475" s="4"/>
      <c r="AX475" s="4"/>
      <c r="AY475" s="4"/>
      <c r="AZ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  <c r="AJ476" s="4"/>
      <c r="AK476" s="4"/>
      <c r="AL476" s="4"/>
      <c r="AM476" s="4"/>
      <c r="AN476" s="4"/>
      <c r="AO476" s="4"/>
      <c r="AP476" s="4"/>
      <c r="AQ476" s="4"/>
      <c r="AR476" s="4"/>
      <c r="AS476" s="4"/>
      <c r="AT476" s="4"/>
      <c r="AU476" s="4"/>
      <c r="AV476" s="4"/>
      <c r="AW476" s="4"/>
      <c r="AX476" s="4"/>
      <c r="AY476" s="4"/>
      <c r="AZ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  <c r="AI477" s="4"/>
      <c r="AJ477" s="4"/>
      <c r="AK477" s="4"/>
      <c r="AL477" s="4"/>
      <c r="AM477" s="4"/>
      <c r="AN477" s="4"/>
      <c r="AO477" s="4"/>
      <c r="AP477" s="4"/>
      <c r="AQ477" s="4"/>
      <c r="AR477" s="4"/>
      <c r="AS477" s="4"/>
      <c r="AT477" s="4"/>
      <c r="AU477" s="4"/>
      <c r="AV477" s="4"/>
      <c r="AW477" s="4"/>
      <c r="AX477" s="4"/>
      <c r="AY477" s="4"/>
      <c r="AZ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/>
      <c r="AJ478" s="4"/>
      <c r="AK478" s="4"/>
      <c r="AL478" s="4"/>
      <c r="AM478" s="4"/>
      <c r="AN478" s="4"/>
      <c r="AO478" s="4"/>
      <c r="AP478" s="4"/>
      <c r="AQ478" s="4"/>
      <c r="AR478" s="4"/>
      <c r="AS478" s="4"/>
      <c r="AT478" s="4"/>
      <c r="AU478" s="4"/>
      <c r="AV478" s="4"/>
      <c r="AW478" s="4"/>
      <c r="AX478" s="4"/>
      <c r="AY478" s="4"/>
      <c r="AZ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  <c r="AJ479" s="4"/>
      <c r="AK479" s="4"/>
      <c r="AL479" s="4"/>
      <c r="AM479" s="4"/>
      <c r="AN479" s="4"/>
      <c r="AO479" s="4"/>
      <c r="AP479" s="4"/>
      <c r="AQ479" s="4"/>
      <c r="AR479" s="4"/>
      <c r="AS479" s="4"/>
      <c r="AT479" s="4"/>
      <c r="AU479" s="4"/>
      <c r="AV479" s="4"/>
      <c r="AW479" s="4"/>
      <c r="AX479" s="4"/>
      <c r="AY479" s="4"/>
      <c r="AZ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  <c r="AJ480" s="4"/>
      <c r="AK480" s="4"/>
      <c r="AL480" s="4"/>
      <c r="AM480" s="4"/>
      <c r="AN480" s="4"/>
      <c r="AO480" s="4"/>
      <c r="AP480" s="4"/>
      <c r="AQ480" s="4"/>
      <c r="AR480" s="4"/>
      <c r="AS480" s="4"/>
      <c r="AT480" s="4"/>
      <c r="AU480" s="4"/>
      <c r="AV480" s="4"/>
      <c r="AW480" s="4"/>
      <c r="AX480" s="4"/>
      <c r="AY480" s="4"/>
      <c r="AZ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  <c r="AH481" s="4"/>
      <c r="AI481" s="4"/>
      <c r="AJ481" s="4"/>
      <c r="AK481" s="4"/>
      <c r="AL481" s="4"/>
      <c r="AM481" s="4"/>
      <c r="AN481" s="4"/>
      <c r="AO481" s="4"/>
      <c r="AP481" s="4"/>
      <c r="AQ481" s="4"/>
      <c r="AR481" s="4"/>
      <c r="AS481" s="4"/>
      <c r="AT481" s="4"/>
      <c r="AU481" s="4"/>
      <c r="AV481" s="4"/>
      <c r="AW481" s="4"/>
      <c r="AX481" s="4"/>
      <c r="AY481" s="4"/>
      <c r="AZ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  <c r="AI482" s="4"/>
      <c r="AJ482" s="4"/>
      <c r="AK482" s="4"/>
      <c r="AL482" s="4"/>
      <c r="AM482" s="4"/>
      <c r="AN482" s="4"/>
      <c r="AO482" s="4"/>
      <c r="AP482" s="4"/>
      <c r="AQ482" s="4"/>
      <c r="AR482" s="4"/>
      <c r="AS482" s="4"/>
      <c r="AT482" s="4"/>
      <c r="AU482" s="4"/>
      <c r="AV482" s="4"/>
      <c r="AW482" s="4"/>
      <c r="AX482" s="4"/>
      <c r="AY482" s="4"/>
      <c r="AZ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  <c r="AJ483" s="4"/>
      <c r="AK483" s="4"/>
      <c r="AL483" s="4"/>
      <c r="AM483" s="4"/>
      <c r="AN483" s="4"/>
      <c r="AO483" s="4"/>
      <c r="AP483" s="4"/>
      <c r="AQ483" s="4"/>
      <c r="AR483" s="4"/>
      <c r="AS483" s="4"/>
      <c r="AT483" s="4"/>
      <c r="AU483" s="4"/>
      <c r="AV483" s="4"/>
      <c r="AW483" s="4"/>
      <c r="AX483" s="4"/>
      <c r="AY483" s="4"/>
      <c r="AZ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  <c r="AI484" s="4"/>
      <c r="AJ484" s="4"/>
      <c r="AK484" s="4"/>
      <c r="AL484" s="4"/>
      <c r="AM484" s="4"/>
      <c r="AN484" s="4"/>
      <c r="AO484" s="4"/>
      <c r="AP484" s="4"/>
      <c r="AQ484" s="4"/>
      <c r="AR484" s="4"/>
      <c r="AS484" s="4"/>
      <c r="AT484" s="4"/>
      <c r="AU484" s="4"/>
      <c r="AV484" s="4"/>
      <c r="AW484" s="4"/>
      <c r="AX484" s="4"/>
      <c r="AY484" s="4"/>
      <c r="AZ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4"/>
      <c r="AI485" s="4"/>
      <c r="AJ485" s="4"/>
      <c r="AK485" s="4"/>
      <c r="AL485" s="4"/>
      <c r="AM485" s="4"/>
      <c r="AN485" s="4"/>
      <c r="AO485" s="4"/>
      <c r="AP485" s="4"/>
      <c r="AQ485" s="4"/>
      <c r="AR485" s="4"/>
      <c r="AS485" s="4"/>
      <c r="AT485" s="4"/>
      <c r="AU485" s="4"/>
      <c r="AV485" s="4"/>
      <c r="AW485" s="4"/>
      <c r="AX485" s="4"/>
      <c r="AY485" s="4"/>
      <c r="AZ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  <c r="AH486" s="4"/>
      <c r="AI486" s="4"/>
      <c r="AJ486" s="4"/>
      <c r="AK486" s="4"/>
      <c r="AL486" s="4"/>
      <c r="AM486" s="4"/>
      <c r="AN486" s="4"/>
      <c r="AO486" s="4"/>
      <c r="AP486" s="4"/>
      <c r="AQ486" s="4"/>
      <c r="AR486" s="4"/>
      <c r="AS486" s="4"/>
      <c r="AT486" s="4"/>
      <c r="AU486" s="4"/>
      <c r="AV486" s="4"/>
      <c r="AW486" s="4"/>
      <c r="AX486" s="4"/>
      <c r="AY486" s="4"/>
      <c r="AZ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  <c r="AH487" s="4"/>
      <c r="AI487" s="4"/>
      <c r="AJ487" s="4"/>
      <c r="AK487" s="4"/>
      <c r="AL487" s="4"/>
      <c r="AM487" s="4"/>
      <c r="AN487" s="4"/>
      <c r="AO487" s="4"/>
      <c r="AP487" s="4"/>
      <c r="AQ487" s="4"/>
      <c r="AR487" s="4"/>
      <c r="AS487" s="4"/>
      <c r="AT487" s="4"/>
      <c r="AU487" s="4"/>
      <c r="AV487" s="4"/>
      <c r="AW487" s="4"/>
      <c r="AX487" s="4"/>
      <c r="AY487" s="4"/>
      <c r="AZ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4"/>
      <c r="AI488" s="4"/>
      <c r="AJ488" s="4"/>
      <c r="AK488" s="4"/>
      <c r="AL488" s="4"/>
      <c r="AM488" s="4"/>
      <c r="AN488" s="4"/>
      <c r="AO488" s="4"/>
      <c r="AP488" s="4"/>
      <c r="AQ488" s="4"/>
      <c r="AR488" s="4"/>
      <c r="AS488" s="4"/>
      <c r="AT488" s="4"/>
      <c r="AU488" s="4"/>
      <c r="AV488" s="4"/>
      <c r="AW488" s="4"/>
      <c r="AX488" s="4"/>
      <c r="AY488" s="4"/>
      <c r="AZ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4"/>
      <c r="AI489" s="4"/>
      <c r="AJ489" s="4"/>
      <c r="AK489" s="4"/>
      <c r="AL489" s="4"/>
      <c r="AM489" s="4"/>
      <c r="AN489" s="4"/>
      <c r="AO489" s="4"/>
      <c r="AP489" s="4"/>
      <c r="AQ489" s="4"/>
      <c r="AR489" s="4"/>
      <c r="AS489" s="4"/>
      <c r="AT489" s="4"/>
      <c r="AU489" s="4"/>
      <c r="AV489" s="4"/>
      <c r="AW489" s="4"/>
      <c r="AX489" s="4"/>
      <c r="AY489" s="4"/>
      <c r="AZ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  <c r="AH490" s="4"/>
      <c r="AI490" s="4"/>
      <c r="AJ490" s="4"/>
      <c r="AK490" s="4"/>
      <c r="AL490" s="4"/>
      <c r="AM490" s="4"/>
      <c r="AN490" s="4"/>
      <c r="AO490" s="4"/>
      <c r="AP490" s="4"/>
      <c r="AQ490" s="4"/>
      <c r="AR490" s="4"/>
      <c r="AS490" s="4"/>
      <c r="AT490" s="4"/>
      <c r="AU490" s="4"/>
      <c r="AV490" s="4"/>
      <c r="AW490" s="4"/>
      <c r="AX490" s="4"/>
      <c r="AY490" s="4"/>
      <c r="AZ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  <c r="AH491" s="4"/>
      <c r="AI491" s="4"/>
      <c r="AJ491" s="4"/>
      <c r="AK491" s="4"/>
      <c r="AL491" s="4"/>
      <c r="AM491" s="4"/>
      <c r="AN491" s="4"/>
      <c r="AO491" s="4"/>
      <c r="AP491" s="4"/>
      <c r="AQ491" s="4"/>
      <c r="AR491" s="4"/>
      <c r="AS491" s="4"/>
      <c r="AT491" s="4"/>
      <c r="AU491" s="4"/>
      <c r="AV491" s="4"/>
      <c r="AW491" s="4"/>
      <c r="AX491" s="4"/>
      <c r="AY491" s="4"/>
      <c r="AZ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  <c r="AH492" s="4"/>
      <c r="AI492" s="4"/>
      <c r="AJ492" s="4"/>
      <c r="AK492" s="4"/>
      <c r="AL492" s="4"/>
      <c r="AM492" s="4"/>
      <c r="AN492" s="4"/>
      <c r="AO492" s="4"/>
      <c r="AP492" s="4"/>
      <c r="AQ492" s="4"/>
      <c r="AR492" s="4"/>
      <c r="AS492" s="4"/>
      <c r="AT492" s="4"/>
      <c r="AU492" s="4"/>
      <c r="AV492" s="4"/>
      <c r="AW492" s="4"/>
      <c r="AX492" s="4"/>
      <c r="AY492" s="4"/>
      <c r="AZ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  <c r="AJ493" s="4"/>
      <c r="AK493" s="4"/>
      <c r="AL493" s="4"/>
      <c r="AM493" s="4"/>
      <c r="AN493" s="4"/>
      <c r="AO493" s="4"/>
      <c r="AP493" s="4"/>
      <c r="AQ493" s="4"/>
      <c r="AR493" s="4"/>
      <c r="AS493" s="4"/>
      <c r="AT493" s="4"/>
      <c r="AU493" s="4"/>
      <c r="AV493" s="4"/>
      <c r="AW493" s="4"/>
      <c r="AX493" s="4"/>
      <c r="AY493" s="4"/>
      <c r="AZ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  <c r="AJ494" s="4"/>
      <c r="AK494" s="4"/>
      <c r="AL494" s="4"/>
      <c r="AM494" s="4"/>
      <c r="AN494" s="4"/>
      <c r="AO494" s="4"/>
      <c r="AP494" s="4"/>
      <c r="AQ494" s="4"/>
      <c r="AR494" s="4"/>
      <c r="AS494" s="4"/>
      <c r="AT494" s="4"/>
      <c r="AU494" s="4"/>
      <c r="AV494" s="4"/>
      <c r="AW494" s="4"/>
      <c r="AX494" s="4"/>
      <c r="AY494" s="4"/>
      <c r="AZ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  <c r="AJ495" s="4"/>
      <c r="AK495" s="4"/>
      <c r="AL495" s="4"/>
      <c r="AM495" s="4"/>
      <c r="AN495" s="4"/>
      <c r="AO495" s="4"/>
      <c r="AP495" s="4"/>
      <c r="AQ495" s="4"/>
      <c r="AR495" s="4"/>
      <c r="AS495" s="4"/>
      <c r="AT495" s="4"/>
      <c r="AU495" s="4"/>
      <c r="AV495" s="4"/>
      <c r="AW495" s="4"/>
      <c r="AX495" s="4"/>
      <c r="AY495" s="4"/>
      <c r="AZ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  <c r="AJ496" s="4"/>
      <c r="AK496" s="4"/>
      <c r="AL496" s="4"/>
      <c r="AM496" s="4"/>
      <c r="AN496" s="4"/>
      <c r="AO496" s="4"/>
      <c r="AP496" s="4"/>
      <c r="AQ496" s="4"/>
      <c r="AR496" s="4"/>
      <c r="AS496" s="4"/>
      <c r="AT496" s="4"/>
      <c r="AU496" s="4"/>
      <c r="AV496" s="4"/>
      <c r="AW496" s="4"/>
      <c r="AX496" s="4"/>
      <c r="AY496" s="4"/>
      <c r="AZ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  <c r="AJ497" s="4"/>
      <c r="AK497" s="4"/>
      <c r="AL497" s="4"/>
      <c r="AM497" s="4"/>
      <c r="AN497" s="4"/>
      <c r="AO497" s="4"/>
      <c r="AP497" s="4"/>
      <c r="AQ497" s="4"/>
      <c r="AR497" s="4"/>
      <c r="AS497" s="4"/>
      <c r="AT497" s="4"/>
      <c r="AU497" s="4"/>
      <c r="AV497" s="4"/>
      <c r="AW497" s="4"/>
      <c r="AX497" s="4"/>
      <c r="AY497" s="4"/>
      <c r="AZ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  <c r="AJ498" s="4"/>
      <c r="AK498" s="4"/>
      <c r="AL498" s="4"/>
      <c r="AM498" s="4"/>
      <c r="AN498" s="4"/>
      <c r="AO498" s="4"/>
      <c r="AP498" s="4"/>
      <c r="AQ498" s="4"/>
      <c r="AR498" s="4"/>
      <c r="AS498" s="4"/>
      <c r="AT498" s="4"/>
      <c r="AU498" s="4"/>
      <c r="AV498" s="4"/>
      <c r="AW498" s="4"/>
      <c r="AX498" s="4"/>
      <c r="AY498" s="4"/>
      <c r="AZ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  <c r="AH499" s="4"/>
      <c r="AI499" s="4"/>
      <c r="AJ499" s="4"/>
      <c r="AK499" s="4"/>
      <c r="AL499" s="4"/>
      <c r="AM499" s="4"/>
      <c r="AN499" s="4"/>
      <c r="AO499" s="4"/>
      <c r="AP499" s="4"/>
      <c r="AQ499" s="4"/>
      <c r="AR499" s="4"/>
      <c r="AS499" s="4"/>
      <c r="AT499" s="4"/>
      <c r="AU499" s="4"/>
      <c r="AV499" s="4"/>
      <c r="AW499" s="4"/>
      <c r="AX499" s="4"/>
      <c r="AY499" s="4"/>
      <c r="AZ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  <c r="AJ500" s="4"/>
      <c r="AK500" s="4"/>
      <c r="AL500" s="4"/>
      <c r="AM500" s="4"/>
      <c r="AN500" s="4"/>
      <c r="AO500" s="4"/>
      <c r="AP500" s="4"/>
      <c r="AQ500" s="4"/>
      <c r="AR500" s="4"/>
      <c r="AS500" s="4"/>
      <c r="AT500" s="4"/>
      <c r="AU500" s="4"/>
      <c r="AV500" s="4"/>
      <c r="AW500" s="4"/>
      <c r="AX500" s="4"/>
      <c r="AY500" s="4"/>
      <c r="AZ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4"/>
      <c r="AI501" s="4"/>
      <c r="AJ501" s="4"/>
      <c r="AK501" s="4"/>
      <c r="AL501" s="4"/>
      <c r="AM501" s="4"/>
      <c r="AN501" s="4"/>
      <c r="AO501" s="4"/>
      <c r="AP501" s="4"/>
      <c r="AQ501" s="4"/>
      <c r="AR501" s="4"/>
      <c r="AS501" s="4"/>
      <c r="AT501" s="4"/>
      <c r="AU501" s="4"/>
      <c r="AV501" s="4"/>
      <c r="AW501" s="4"/>
      <c r="AX501" s="4"/>
      <c r="AY501" s="4"/>
      <c r="AZ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4"/>
      <c r="AI502" s="4"/>
      <c r="AJ502" s="4"/>
      <c r="AK502" s="4"/>
      <c r="AL502" s="4"/>
      <c r="AM502" s="4"/>
      <c r="AN502" s="4"/>
      <c r="AO502" s="4"/>
      <c r="AP502" s="4"/>
      <c r="AQ502" s="4"/>
      <c r="AR502" s="4"/>
      <c r="AS502" s="4"/>
      <c r="AT502" s="4"/>
      <c r="AU502" s="4"/>
      <c r="AV502" s="4"/>
      <c r="AW502" s="4"/>
      <c r="AX502" s="4"/>
      <c r="AY502" s="4"/>
      <c r="AZ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  <c r="AH503" s="4"/>
      <c r="AI503" s="4"/>
      <c r="AJ503" s="4"/>
      <c r="AK503" s="4"/>
      <c r="AL503" s="4"/>
      <c r="AM503" s="4"/>
      <c r="AN503" s="4"/>
      <c r="AO503" s="4"/>
      <c r="AP503" s="4"/>
      <c r="AQ503" s="4"/>
      <c r="AR503" s="4"/>
      <c r="AS503" s="4"/>
      <c r="AT503" s="4"/>
      <c r="AU503" s="4"/>
      <c r="AV503" s="4"/>
      <c r="AW503" s="4"/>
      <c r="AX503" s="4"/>
      <c r="AY503" s="4"/>
      <c r="AZ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  <c r="AI504" s="4"/>
      <c r="AJ504" s="4"/>
      <c r="AK504" s="4"/>
      <c r="AL504" s="4"/>
      <c r="AM504" s="4"/>
      <c r="AN504" s="4"/>
      <c r="AO504" s="4"/>
      <c r="AP504" s="4"/>
      <c r="AQ504" s="4"/>
      <c r="AR504" s="4"/>
      <c r="AS504" s="4"/>
      <c r="AT504" s="4"/>
      <c r="AU504" s="4"/>
      <c r="AV504" s="4"/>
      <c r="AW504" s="4"/>
      <c r="AX504" s="4"/>
      <c r="AY504" s="4"/>
      <c r="AZ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  <c r="AH505" s="4"/>
      <c r="AI505" s="4"/>
      <c r="AJ505" s="4"/>
      <c r="AK505" s="4"/>
      <c r="AL505" s="4"/>
      <c r="AM505" s="4"/>
      <c r="AN505" s="4"/>
      <c r="AO505" s="4"/>
      <c r="AP505" s="4"/>
      <c r="AQ505" s="4"/>
      <c r="AR505" s="4"/>
      <c r="AS505" s="4"/>
      <c r="AT505" s="4"/>
      <c r="AU505" s="4"/>
      <c r="AV505" s="4"/>
      <c r="AW505" s="4"/>
      <c r="AX505" s="4"/>
      <c r="AY505" s="4"/>
      <c r="AZ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  <c r="AH506" s="4"/>
      <c r="AI506" s="4"/>
      <c r="AJ506" s="4"/>
      <c r="AK506" s="4"/>
      <c r="AL506" s="4"/>
      <c r="AM506" s="4"/>
      <c r="AN506" s="4"/>
      <c r="AO506" s="4"/>
      <c r="AP506" s="4"/>
      <c r="AQ506" s="4"/>
      <c r="AR506" s="4"/>
      <c r="AS506" s="4"/>
      <c r="AT506" s="4"/>
      <c r="AU506" s="4"/>
      <c r="AV506" s="4"/>
      <c r="AW506" s="4"/>
      <c r="AX506" s="4"/>
      <c r="AY506" s="4"/>
      <c r="AZ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4"/>
      <c r="AI507" s="4"/>
      <c r="AJ507" s="4"/>
      <c r="AK507" s="4"/>
      <c r="AL507" s="4"/>
      <c r="AM507" s="4"/>
      <c r="AN507" s="4"/>
      <c r="AO507" s="4"/>
      <c r="AP507" s="4"/>
      <c r="AQ507" s="4"/>
      <c r="AR507" s="4"/>
      <c r="AS507" s="4"/>
      <c r="AT507" s="4"/>
      <c r="AU507" s="4"/>
      <c r="AV507" s="4"/>
      <c r="AW507" s="4"/>
      <c r="AX507" s="4"/>
      <c r="AY507" s="4"/>
      <c r="AZ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  <c r="AH508" s="4"/>
      <c r="AI508" s="4"/>
      <c r="AJ508" s="4"/>
      <c r="AK508" s="4"/>
      <c r="AL508" s="4"/>
      <c r="AM508" s="4"/>
      <c r="AN508" s="4"/>
      <c r="AO508" s="4"/>
      <c r="AP508" s="4"/>
      <c r="AQ508" s="4"/>
      <c r="AR508" s="4"/>
      <c r="AS508" s="4"/>
      <c r="AT508" s="4"/>
      <c r="AU508" s="4"/>
      <c r="AV508" s="4"/>
      <c r="AW508" s="4"/>
      <c r="AX508" s="4"/>
      <c r="AY508" s="4"/>
      <c r="AZ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4"/>
      <c r="AI509" s="4"/>
      <c r="AJ509" s="4"/>
      <c r="AK509" s="4"/>
      <c r="AL509" s="4"/>
      <c r="AM509" s="4"/>
      <c r="AN509" s="4"/>
      <c r="AO509" s="4"/>
      <c r="AP509" s="4"/>
      <c r="AQ509" s="4"/>
      <c r="AR509" s="4"/>
      <c r="AS509" s="4"/>
      <c r="AT509" s="4"/>
      <c r="AU509" s="4"/>
      <c r="AV509" s="4"/>
      <c r="AW509" s="4"/>
      <c r="AX509" s="4"/>
      <c r="AY509" s="4"/>
      <c r="AZ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4"/>
      <c r="AI510" s="4"/>
      <c r="AJ510" s="4"/>
      <c r="AK510" s="4"/>
      <c r="AL510" s="4"/>
      <c r="AM510" s="4"/>
      <c r="AN510" s="4"/>
      <c r="AO510" s="4"/>
      <c r="AP510" s="4"/>
      <c r="AQ510" s="4"/>
      <c r="AR510" s="4"/>
      <c r="AS510" s="4"/>
      <c r="AT510" s="4"/>
      <c r="AU510" s="4"/>
      <c r="AV510" s="4"/>
      <c r="AW510" s="4"/>
      <c r="AX510" s="4"/>
      <c r="AY510" s="4"/>
      <c r="AZ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  <c r="AH511" s="4"/>
      <c r="AI511" s="4"/>
      <c r="AJ511" s="4"/>
      <c r="AK511" s="4"/>
      <c r="AL511" s="4"/>
      <c r="AM511" s="4"/>
      <c r="AN511" s="4"/>
      <c r="AO511" s="4"/>
      <c r="AP511" s="4"/>
      <c r="AQ511" s="4"/>
      <c r="AR511" s="4"/>
      <c r="AS511" s="4"/>
      <c r="AT511" s="4"/>
      <c r="AU511" s="4"/>
      <c r="AV511" s="4"/>
      <c r="AW511" s="4"/>
      <c r="AX511" s="4"/>
      <c r="AY511" s="4"/>
      <c r="AZ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  <c r="AH512" s="4"/>
      <c r="AI512" s="4"/>
      <c r="AJ512" s="4"/>
      <c r="AK512" s="4"/>
      <c r="AL512" s="4"/>
      <c r="AM512" s="4"/>
      <c r="AN512" s="4"/>
      <c r="AO512" s="4"/>
      <c r="AP512" s="4"/>
      <c r="AQ512" s="4"/>
      <c r="AR512" s="4"/>
      <c r="AS512" s="4"/>
      <c r="AT512" s="4"/>
      <c r="AU512" s="4"/>
      <c r="AV512" s="4"/>
      <c r="AW512" s="4"/>
      <c r="AX512" s="4"/>
      <c r="AY512" s="4"/>
      <c r="AZ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  <c r="AH513" s="4"/>
      <c r="AI513" s="4"/>
      <c r="AJ513" s="4"/>
      <c r="AK513" s="4"/>
      <c r="AL513" s="4"/>
      <c r="AM513" s="4"/>
      <c r="AN513" s="4"/>
      <c r="AO513" s="4"/>
      <c r="AP513" s="4"/>
      <c r="AQ513" s="4"/>
      <c r="AR513" s="4"/>
      <c r="AS513" s="4"/>
      <c r="AT513" s="4"/>
      <c r="AU513" s="4"/>
      <c r="AV513" s="4"/>
      <c r="AW513" s="4"/>
      <c r="AX513" s="4"/>
      <c r="AY513" s="4"/>
      <c r="AZ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  <c r="AI514" s="4"/>
      <c r="AJ514" s="4"/>
      <c r="AK514" s="4"/>
      <c r="AL514" s="4"/>
      <c r="AM514" s="4"/>
      <c r="AN514" s="4"/>
      <c r="AO514" s="4"/>
      <c r="AP514" s="4"/>
      <c r="AQ514" s="4"/>
      <c r="AR514" s="4"/>
      <c r="AS514" s="4"/>
      <c r="AT514" s="4"/>
      <c r="AU514" s="4"/>
      <c r="AV514" s="4"/>
      <c r="AW514" s="4"/>
      <c r="AX514" s="4"/>
      <c r="AY514" s="4"/>
      <c r="AZ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  <c r="AJ515" s="4"/>
      <c r="AK515" s="4"/>
      <c r="AL515" s="4"/>
      <c r="AM515" s="4"/>
      <c r="AN515" s="4"/>
      <c r="AO515" s="4"/>
      <c r="AP515" s="4"/>
      <c r="AQ515" s="4"/>
      <c r="AR515" s="4"/>
      <c r="AS515" s="4"/>
      <c r="AT515" s="4"/>
      <c r="AU515" s="4"/>
      <c r="AV515" s="4"/>
      <c r="AW515" s="4"/>
      <c r="AX515" s="4"/>
      <c r="AY515" s="4"/>
      <c r="AZ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  <c r="AJ516" s="4"/>
      <c r="AK516" s="4"/>
      <c r="AL516" s="4"/>
      <c r="AM516" s="4"/>
      <c r="AN516" s="4"/>
      <c r="AO516" s="4"/>
      <c r="AP516" s="4"/>
      <c r="AQ516" s="4"/>
      <c r="AR516" s="4"/>
      <c r="AS516" s="4"/>
      <c r="AT516" s="4"/>
      <c r="AU516" s="4"/>
      <c r="AV516" s="4"/>
      <c r="AW516" s="4"/>
      <c r="AX516" s="4"/>
      <c r="AY516" s="4"/>
      <c r="AZ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  <c r="AH517" s="4"/>
      <c r="AI517" s="4"/>
      <c r="AJ517" s="4"/>
      <c r="AK517" s="4"/>
      <c r="AL517" s="4"/>
      <c r="AM517" s="4"/>
      <c r="AN517" s="4"/>
      <c r="AO517" s="4"/>
      <c r="AP517" s="4"/>
      <c r="AQ517" s="4"/>
      <c r="AR517" s="4"/>
      <c r="AS517" s="4"/>
      <c r="AT517" s="4"/>
      <c r="AU517" s="4"/>
      <c r="AV517" s="4"/>
      <c r="AW517" s="4"/>
      <c r="AX517" s="4"/>
      <c r="AY517" s="4"/>
      <c r="AZ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  <c r="AJ518" s="4"/>
      <c r="AK518" s="4"/>
      <c r="AL518" s="4"/>
      <c r="AM518" s="4"/>
      <c r="AN518" s="4"/>
      <c r="AO518" s="4"/>
      <c r="AP518" s="4"/>
      <c r="AQ518" s="4"/>
      <c r="AR518" s="4"/>
      <c r="AS518" s="4"/>
      <c r="AT518" s="4"/>
      <c r="AU518" s="4"/>
      <c r="AV518" s="4"/>
      <c r="AW518" s="4"/>
      <c r="AX518" s="4"/>
      <c r="AY518" s="4"/>
      <c r="AZ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  <c r="AJ519" s="4"/>
      <c r="AK519" s="4"/>
      <c r="AL519" s="4"/>
      <c r="AM519" s="4"/>
      <c r="AN519" s="4"/>
      <c r="AO519" s="4"/>
      <c r="AP519" s="4"/>
      <c r="AQ519" s="4"/>
      <c r="AR519" s="4"/>
      <c r="AS519" s="4"/>
      <c r="AT519" s="4"/>
      <c r="AU519" s="4"/>
      <c r="AV519" s="4"/>
      <c r="AW519" s="4"/>
      <c r="AX519" s="4"/>
      <c r="AY519" s="4"/>
      <c r="AZ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  <c r="AI520" s="4"/>
      <c r="AJ520" s="4"/>
      <c r="AK520" s="4"/>
      <c r="AL520" s="4"/>
      <c r="AM520" s="4"/>
      <c r="AN520" s="4"/>
      <c r="AO520" s="4"/>
      <c r="AP520" s="4"/>
      <c r="AQ520" s="4"/>
      <c r="AR520" s="4"/>
      <c r="AS520" s="4"/>
      <c r="AT520" s="4"/>
      <c r="AU520" s="4"/>
      <c r="AV520" s="4"/>
      <c r="AW520" s="4"/>
      <c r="AX520" s="4"/>
      <c r="AY520" s="4"/>
      <c r="AZ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  <c r="AH521" s="4"/>
      <c r="AI521" s="4"/>
      <c r="AJ521" s="4"/>
      <c r="AK521" s="4"/>
      <c r="AL521" s="4"/>
      <c r="AM521" s="4"/>
      <c r="AN521" s="4"/>
      <c r="AO521" s="4"/>
      <c r="AP521" s="4"/>
      <c r="AQ521" s="4"/>
      <c r="AR521" s="4"/>
      <c r="AS521" s="4"/>
      <c r="AT521" s="4"/>
      <c r="AU521" s="4"/>
      <c r="AV521" s="4"/>
      <c r="AW521" s="4"/>
      <c r="AX521" s="4"/>
      <c r="AY521" s="4"/>
      <c r="AZ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  <c r="AH522" s="4"/>
      <c r="AI522" s="4"/>
      <c r="AJ522" s="4"/>
      <c r="AK522" s="4"/>
      <c r="AL522" s="4"/>
      <c r="AM522" s="4"/>
      <c r="AN522" s="4"/>
      <c r="AO522" s="4"/>
      <c r="AP522" s="4"/>
      <c r="AQ522" s="4"/>
      <c r="AR522" s="4"/>
      <c r="AS522" s="4"/>
      <c r="AT522" s="4"/>
      <c r="AU522" s="4"/>
      <c r="AV522" s="4"/>
      <c r="AW522" s="4"/>
      <c r="AX522" s="4"/>
      <c r="AY522" s="4"/>
      <c r="AZ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  <c r="AH523" s="4"/>
      <c r="AI523" s="4"/>
      <c r="AJ523" s="4"/>
      <c r="AK523" s="4"/>
      <c r="AL523" s="4"/>
      <c r="AM523" s="4"/>
      <c r="AN523" s="4"/>
      <c r="AO523" s="4"/>
      <c r="AP523" s="4"/>
      <c r="AQ523" s="4"/>
      <c r="AR523" s="4"/>
      <c r="AS523" s="4"/>
      <c r="AT523" s="4"/>
      <c r="AU523" s="4"/>
      <c r="AV523" s="4"/>
      <c r="AW523" s="4"/>
      <c r="AX523" s="4"/>
      <c r="AY523" s="4"/>
      <c r="AZ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  <c r="AH524" s="4"/>
      <c r="AI524" s="4"/>
      <c r="AJ524" s="4"/>
      <c r="AK524" s="4"/>
      <c r="AL524" s="4"/>
      <c r="AM524" s="4"/>
      <c r="AN524" s="4"/>
      <c r="AO524" s="4"/>
      <c r="AP524" s="4"/>
      <c r="AQ524" s="4"/>
      <c r="AR524" s="4"/>
      <c r="AS524" s="4"/>
      <c r="AT524" s="4"/>
      <c r="AU524" s="4"/>
      <c r="AV524" s="4"/>
      <c r="AW524" s="4"/>
      <c r="AX524" s="4"/>
      <c r="AY524" s="4"/>
      <c r="AZ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  <c r="AH525" s="4"/>
      <c r="AI525" s="4"/>
      <c r="AJ525" s="4"/>
      <c r="AK525" s="4"/>
      <c r="AL525" s="4"/>
      <c r="AM525" s="4"/>
      <c r="AN525" s="4"/>
      <c r="AO525" s="4"/>
      <c r="AP525" s="4"/>
      <c r="AQ525" s="4"/>
      <c r="AR525" s="4"/>
      <c r="AS525" s="4"/>
      <c r="AT525" s="4"/>
      <c r="AU525" s="4"/>
      <c r="AV525" s="4"/>
      <c r="AW525" s="4"/>
      <c r="AX525" s="4"/>
      <c r="AY525" s="4"/>
      <c r="AZ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  <c r="AH526" s="4"/>
      <c r="AI526" s="4"/>
      <c r="AJ526" s="4"/>
      <c r="AK526" s="4"/>
      <c r="AL526" s="4"/>
      <c r="AM526" s="4"/>
      <c r="AN526" s="4"/>
      <c r="AO526" s="4"/>
      <c r="AP526" s="4"/>
      <c r="AQ526" s="4"/>
      <c r="AR526" s="4"/>
      <c r="AS526" s="4"/>
      <c r="AT526" s="4"/>
      <c r="AU526" s="4"/>
      <c r="AV526" s="4"/>
      <c r="AW526" s="4"/>
      <c r="AX526" s="4"/>
      <c r="AY526" s="4"/>
      <c r="AZ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  <c r="AH527" s="4"/>
      <c r="AI527" s="4"/>
      <c r="AJ527" s="4"/>
      <c r="AK527" s="4"/>
      <c r="AL527" s="4"/>
      <c r="AM527" s="4"/>
      <c r="AN527" s="4"/>
      <c r="AO527" s="4"/>
      <c r="AP527" s="4"/>
      <c r="AQ527" s="4"/>
      <c r="AR527" s="4"/>
      <c r="AS527" s="4"/>
      <c r="AT527" s="4"/>
      <c r="AU527" s="4"/>
      <c r="AV527" s="4"/>
      <c r="AW527" s="4"/>
      <c r="AX527" s="4"/>
      <c r="AY527" s="4"/>
      <c r="AZ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  <c r="AH528" s="4"/>
      <c r="AI528" s="4"/>
      <c r="AJ528" s="4"/>
      <c r="AK528" s="4"/>
      <c r="AL528" s="4"/>
      <c r="AM528" s="4"/>
      <c r="AN528" s="4"/>
      <c r="AO528" s="4"/>
      <c r="AP528" s="4"/>
      <c r="AQ528" s="4"/>
      <c r="AR528" s="4"/>
      <c r="AS528" s="4"/>
      <c r="AT528" s="4"/>
      <c r="AU528" s="4"/>
      <c r="AV528" s="4"/>
      <c r="AW528" s="4"/>
      <c r="AX528" s="4"/>
      <c r="AY528" s="4"/>
      <c r="AZ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  <c r="AH529" s="4"/>
      <c r="AI529" s="4"/>
      <c r="AJ529" s="4"/>
      <c r="AK529" s="4"/>
      <c r="AL529" s="4"/>
      <c r="AM529" s="4"/>
      <c r="AN529" s="4"/>
      <c r="AO529" s="4"/>
      <c r="AP529" s="4"/>
      <c r="AQ529" s="4"/>
      <c r="AR529" s="4"/>
      <c r="AS529" s="4"/>
      <c r="AT529" s="4"/>
      <c r="AU529" s="4"/>
      <c r="AV529" s="4"/>
      <c r="AW529" s="4"/>
      <c r="AX529" s="4"/>
      <c r="AY529" s="4"/>
      <c r="AZ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  <c r="AH530" s="4"/>
      <c r="AI530" s="4"/>
      <c r="AJ530" s="4"/>
      <c r="AK530" s="4"/>
      <c r="AL530" s="4"/>
      <c r="AM530" s="4"/>
      <c r="AN530" s="4"/>
      <c r="AO530" s="4"/>
      <c r="AP530" s="4"/>
      <c r="AQ530" s="4"/>
      <c r="AR530" s="4"/>
      <c r="AS530" s="4"/>
      <c r="AT530" s="4"/>
      <c r="AU530" s="4"/>
      <c r="AV530" s="4"/>
      <c r="AW530" s="4"/>
      <c r="AX530" s="4"/>
      <c r="AY530" s="4"/>
      <c r="AZ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  <c r="AH531" s="4"/>
      <c r="AI531" s="4"/>
      <c r="AJ531" s="4"/>
      <c r="AK531" s="4"/>
      <c r="AL531" s="4"/>
      <c r="AM531" s="4"/>
      <c r="AN531" s="4"/>
      <c r="AO531" s="4"/>
      <c r="AP531" s="4"/>
      <c r="AQ531" s="4"/>
      <c r="AR531" s="4"/>
      <c r="AS531" s="4"/>
      <c r="AT531" s="4"/>
      <c r="AU531" s="4"/>
      <c r="AV531" s="4"/>
      <c r="AW531" s="4"/>
      <c r="AX531" s="4"/>
      <c r="AY531" s="4"/>
      <c r="AZ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  <c r="AH532" s="4"/>
      <c r="AI532" s="4"/>
      <c r="AJ532" s="4"/>
      <c r="AK532" s="4"/>
      <c r="AL532" s="4"/>
      <c r="AM532" s="4"/>
      <c r="AN532" s="4"/>
      <c r="AO532" s="4"/>
      <c r="AP532" s="4"/>
      <c r="AQ532" s="4"/>
      <c r="AR532" s="4"/>
      <c r="AS532" s="4"/>
      <c r="AT532" s="4"/>
      <c r="AU532" s="4"/>
      <c r="AV532" s="4"/>
      <c r="AW532" s="4"/>
      <c r="AX532" s="4"/>
      <c r="AY532" s="4"/>
      <c r="AZ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  <c r="AH533" s="4"/>
      <c r="AI533" s="4"/>
      <c r="AJ533" s="4"/>
      <c r="AK533" s="4"/>
      <c r="AL533" s="4"/>
      <c r="AM533" s="4"/>
      <c r="AN533" s="4"/>
      <c r="AO533" s="4"/>
      <c r="AP533" s="4"/>
      <c r="AQ533" s="4"/>
      <c r="AR533" s="4"/>
      <c r="AS533" s="4"/>
      <c r="AT533" s="4"/>
      <c r="AU533" s="4"/>
      <c r="AV533" s="4"/>
      <c r="AW533" s="4"/>
      <c r="AX533" s="4"/>
      <c r="AY533" s="4"/>
      <c r="AZ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  <c r="AH534" s="4"/>
      <c r="AI534" s="4"/>
      <c r="AJ534" s="4"/>
      <c r="AK534" s="4"/>
      <c r="AL534" s="4"/>
      <c r="AM534" s="4"/>
      <c r="AN534" s="4"/>
      <c r="AO534" s="4"/>
      <c r="AP534" s="4"/>
      <c r="AQ534" s="4"/>
      <c r="AR534" s="4"/>
      <c r="AS534" s="4"/>
      <c r="AT534" s="4"/>
      <c r="AU534" s="4"/>
      <c r="AV534" s="4"/>
      <c r="AW534" s="4"/>
      <c r="AX534" s="4"/>
      <c r="AY534" s="4"/>
      <c r="AZ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  <c r="AH535" s="4"/>
      <c r="AI535" s="4"/>
      <c r="AJ535" s="4"/>
      <c r="AK535" s="4"/>
      <c r="AL535" s="4"/>
      <c r="AM535" s="4"/>
      <c r="AN535" s="4"/>
      <c r="AO535" s="4"/>
      <c r="AP535" s="4"/>
      <c r="AQ535" s="4"/>
      <c r="AR535" s="4"/>
      <c r="AS535" s="4"/>
      <c r="AT535" s="4"/>
      <c r="AU535" s="4"/>
      <c r="AV535" s="4"/>
      <c r="AW535" s="4"/>
      <c r="AX535" s="4"/>
      <c r="AY535" s="4"/>
      <c r="AZ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  <c r="AH536" s="4"/>
      <c r="AI536" s="4"/>
      <c r="AJ536" s="4"/>
      <c r="AK536" s="4"/>
      <c r="AL536" s="4"/>
      <c r="AM536" s="4"/>
      <c r="AN536" s="4"/>
      <c r="AO536" s="4"/>
      <c r="AP536" s="4"/>
      <c r="AQ536" s="4"/>
      <c r="AR536" s="4"/>
      <c r="AS536" s="4"/>
      <c r="AT536" s="4"/>
      <c r="AU536" s="4"/>
      <c r="AV536" s="4"/>
      <c r="AW536" s="4"/>
      <c r="AX536" s="4"/>
      <c r="AY536" s="4"/>
      <c r="AZ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  <c r="AH537" s="4"/>
      <c r="AI537" s="4"/>
      <c r="AJ537" s="4"/>
      <c r="AK537" s="4"/>
      <c r="AL537" s="4"/>
      <c r="AM537" s="4"/>
      <c r="AN537" s="4"/>
      <c r="AO537" s="4"/>
      <c r="AP537" s="4"/>
      <c r="AQ537" s="4"/>
      <c r="AR537" s="4"/>
      <c r="AS537" s="4"/>
      <c r="AT537" s="4"/>
      <c r="AU537" s="4"/>
      <c r="AV537" s="4"/>
      <c r="AW537" s="4"/>
      <c r="AX537" s="4"/>
      <c r="AY537" s="4"/>
      <c r="AZ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  <c r="AH538" s="4"/>
      <c r="AI538" s="4"/>
      <c r="AJ538" s="4"/>
      <c r="AK538" s="4"/>
      <c r="AL538" s="4"/>
      <c r="AM538" s="4"/>
      <c r="AN538" s="4"/>
      <c r="AO538" s="4"/>
      <c r="AP538" s="4"/>
      <c r="AQ538" s="4"/>
      <c r="AR538" s="4"/>
      <c r="AS538" s="4"/>
      <c r="AT538" s="4"/>
      <c r="AU538" s="4"/>
      <c r="AV538" s="4"/>
      <c r="AW538" s="4"/>
      <c r="AX538" s="4"/>
      <c r="AY538" s="4"/>
      <c r="AZ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  <c r="AH539" s="4"/>
      <c r="AI539" s="4"/>
      <c r="AJ539" s="4"/>
      <c r="AK539" s="4"/>
      <c r="AL539" s="4"/>
      <c r="AM539" s="4"/>
      <c r="AN539" s="4"/>
      <c r="AO539" s="4"/>
      <c r="AP539" s="4"/>
      <c r="AQ539" s="4"/>
      <c r="AR539" s="4"/>
      <c r="AS539" s="4"/>
      <c r="AT539" s="4"/>
      <c r="AU539" s="4"/>
      <c r="AV539" s="4"/>
      <c r="AW539" s="4"/>
      <c r="AX539" s="4"/>
      <c r="AY539" s="4"/>
      <c r="AZ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  <c r="AH540" s="4"/>
      <c r="AI540" s="4"/>
      <c r="AJ540" s="4"/>
      <c r="AK540" s="4"/>
      <c r="AL540" s="4"/>
      <c r="AM540" s="4"/>
      <c r="AN540" s="4"/>
      <c r="AO540" s="4"/>
      <c r="AP540" s="4"/>
      <c r="AQ540" s="4"/>
      <c r="AR540" s="4"/>
      <c r="AS540" s="4"/>
      <c r="AT540" s="4"/>
      <c r="AU540" s="4"/>
      <c r="AV540" s="4"/>
      <c r="AW540" s="4"/>
      <c r="AX540" s="4"/>
      <c r="AY540" s="4"/>
      <c r="AZ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  <c r="AH541" s="4"/>
      <c r="AI541" s="4"/>
      <c r="AJ541" s="4"/>
      <c r="AK541" s="4"/>
      <c r="AL541" s="4"/>
      <c r="AM541" s="4"/>
      <c r="AN541" s="4"/>
      <c r="AO541" s="4"/>
      <c r="AP541" s="4"/>
      <c r="AQ541" s="4"/>
      <c r="AR541" s="4"/>
      <c r="AS541" s="4"/>
      <c r="AT541" s="4"/>
      <c r="AU541" s="4"/>
      <c r="AV541" s="4"/>
      <c r="AW541" s="4"/>
      <c r="AX541" s="4"/>
      <c r="AY541" s="4"/>
      <c r="AZ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  <c r="AH542" s="4"/>
      <c r="AI542" s="4"/>
      <c r="AJ542" s="4"/>
      <c r="AK542" s="4"/>
      <c r="AL542" s="4"/>
      <c r="AM542" s="4"/>
      <c r="AN542" s="4"/>
      <c r="AO542" s="4"/>
      <c r="AP542" s="4"/>
      <c r="AQ542" s="4"/>
      <c r="AR542" s="4"/>
      <c r="AS542" s="4"/>
      <c r="AT542" s="4"/>
      <c r="AU542" s="4"/>
      <c r="AV542" s="4"/>
      <c r="AW542" s="4"/>
      <c r="AX542" s="4"/>
      <c r="AY542" s="4"/>
      <c r="AZ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  <c r="AH543" s="4"/>
      <c r="AI543" s="4"/>
      <c r="AJ543" s="4"/>
      <c r="AK543" s="4"/>
      <c r="AL543" s="4"/>
      <c r="AM543" s="4"/>
      <c r="AN543" s="4"/>
      <c r="AO543" s="4"/>
      <c r="AP543" s="4"/>
      <c r="AQ543" s="4"/>
      <c r="AR543" s="4"/>
      <c r="AS543" s="4"/>
      <c r="AT543" s="4"/>
      <c r="AU543" s="4"/>
      <c r="AV543" s="4"/>
      <c r="AW543" s="4"/>
      <c r="AX543" s="4"/>
      <c r="AY543" s="4"/>
      <c r="AZ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  <c r="AH544" s="4"/>
      <c r="AI544" s="4"/>
      <c r="AJ544" s="4"/>
      <c r="AK544" s="4"/>
      <c r="AL544" s="4"/>
      <c r="AM544" s="4"/>
      <c r="AN544" s="4"/>
      <c r="AO544" s="4"/>
      <c r="AP544" s="4"/>
      <c r="AQ544" s="4"/>
      <c r="AR544" s="4"/>
      <c r="AS544" s="4"/>
      <c r="AT544" s="4"/>
      <c r="AU544" s="4"/>
      <c r="AV544" s="4"/>
      <c r="AW544" s="4"/>
      <c r="AX544" s="4"/>
      <c r="AY544" s="4"/>
      <c r="AZ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  <c r="AH545" s="4"/>
      <c r="AI545" s="4"/>
      <c r="AJ545" s="4"/>
      <c r="AK545" s="4"/>
      <c r="AL545" s="4"/>
      <c r="AM545" s="4"/>
      <c r="AN545" s="4"/>
      <c r="AO545" s="4"/>
      <c r="AP545" s="4"/>
      <c r="AQ545" s="4"/>
      <c r="AR545" s="4"/>
      <c r="AS545" s="4"/>
      <c r="AT545" s="4"/>
      <c r="AU545" s="4"/>
      <c r="AV545" s="4"/>
      <c r="AW545" s="4"/>
      <c r="AX545" s="4"/>
      <c r="AY545" s="4"/>
      <c r="AZ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  <c r="AH546" s="4"/>
      <c r="AI546" s="4"/>
      <c r="AJ546" s="4"/>
      <c r="AK546" s="4"/>
      <c r="AL546" s="4"/>
      <c r="AM546" s="4"/>
      <c r="AN546" s="4"/>
      <c r="AO546" s="4"/>
      <c r="AP546" s="4"/>
      <c r="AQ546" s="4"/>
      <c r="AR546" s="4"/>
      <c r="AS546" s="4"/>
      <c r="AT546" s="4"/>
      <c r="AU546" s="4"/>
      <c r="AV546" s="4"/>
      <c r="AW546" s="4"/>
      <c r="AX546" s="4"/>
      <c r="AY546" s="4"/>
      <c r="AZ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  <c r="AH547" s="4"/>
      <c r="AI547" s="4"/>
      <c r="AJ547" s="4"/>
      <c r="AK547" s="4"/>
      <c r="AL547" s="4"/>
      <c r="AM547" s="4"/>
      <c r="AN547" s="4"/>
      <c r="AO547" s="4"/>
      <c r="AP547" s="4"/>
      <c r="AQ547" s="4"/>
      <c r="AR547" s="4"/>
      <c r="AS547" s="4"/>
      <c r="AT547" s="4"/>
      <c r="AU547" s="4"/>
      <c r="AV547" s="4"/>
      <c r="AW547" s="4"/>
      <c r="AX547" s="4"/>
      <c r="AY547" s="4"/>
      <c r="AZ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  <c r="AH548" s="4"/>
      <c r="AI548" s="4"/>
      <c r="AJ548" s="4"/>
      <c r="AK548" s="4"/>
      <c r="AL548" s="4"/>
      <c r="AM548" s="4"/>
      <c r="AN548" s="4"/>
      <c r="AO548" s="4"/>
      <c r="AP548" s="4"/>
      <c r="AQ548" s="4"/>
      <c r="AR548" s="4"/>
      <c r="AS548" s="4"/>
      <c r="AT548" s="4"/>
      <c r="AU548" s="4"/>
      <c r="AV548" s="4"/>
      <c r="AW548" s="4"/>
      <c r="AX548" s="4"/>
      <c r="AY548" s="4"/>
      <c r="AZ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  <c r="AH549" s="4"/>
      <c r="AI549" s="4"/>
      <c r="AJ549" s="4"/>
      <c r="AK549" s="4"/>
      <c r="AL549" s="4"/>
      <c r="AM549" s="4"/>
      <c r="AN549" s="4"/>
      <c r="AO549" s="4"/>
      <c r="AP549" s="4"/>
      <c r="AQ549" s="4"/>
      <c r="AR549" s="4"/>
      <c r="AS549" s="4"/>
      <c r="AT549" s="4"/>
      <c r="AU549" s="4"/>
      <c r="AV549" s="4"/>
      <c r="AW549" s="4"/>
      <c r="AX549" s="4"/>
      <c r="AY549" s="4"/>
      <c r="AZ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  <c r="AH550" s="4"/>
      <c r="AI550" s="4"/>
      <c r="AJ550" s="4"/>
      <c r="AK550" s="4"/>
      <c r="AL550" s="4"/>
      <c r="AM550" s="4"/>
      <c r="AN550" s="4"/>
      <c r="AO550" s="4"/>
      <c r="AP550" s="4"/>
      <c r="AQ550" s="4"/>
      <c r="AR550" s="4"/>
      <c r="AS550" s="4"/>
      <c r="AT550" s="4"/>
      <c r="AU550" s="4"/>
      <c r="AV550" s="4"/>
      <c r="AW550" s="4"/>
      <c r="AX550" s="4"/>
      <c r="AY550" s="4"/>
      <c r="AZ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  <c r="AH551" s="4"/>
      <c r="AI551" s="4"/>
      <c r="AJ551" s="4"/>
      <c r="AK551" s="4"/>
      <c r="AL551" s="4"/>
      <c r="AM551" s="4"/>
      <c r="AN551" s="4"/>
      <c r="AO551" s="4"/>
      <c r="AP551" s="4"/>
      <c r="AQ551" s="4"/>
      <c r="AR551" s="4"/>
      <c r="AS551" s="4"/>
      <c r="AT551" s="4"/>
      <c r="AU551" s="4"/>
      <c r="AV551" s="4"/>
      <c r="AW551" s="4"/>
      <c r="AX551" s="4"/>
      <c r="AY551" s="4"/>
      <c r="AZ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  <c r="AH552" s="4"/>
      <c r="AI552" s="4"/>
      <c r="AJ552" s="4"/>
      <c r="AK552" s="4"/>
      <c r="AL552" s="4"/>
      <c r="AM552" s="4"/>
      <c r="AN552" s="4"/>
      <c r="AO552" s="4"/>
      <c r="AP552" s="4"/>
      <c r="AQ552" s="4"/>
      <c r="AR552" s="4"/>
      <c r="AS552" s="4"/>
      <c r="AT552" s="4"/>
      <c r="AU552" s="4"/>
      <c r="AV552" s="4"/>
      <c r="AW552" s="4"/>
      <c r="AX552" s="4"/>
      <c r="AY552" s="4"/>
      <c r="AZ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  <c r="AH553" s="4"/>
      <c r="AI553" s="4"/>
      <c r="AJ553" s="4"/>
      <c r="AK553" s="4"/>
      <c r="AL553" s="4"/>
      <c r="AM553" s="4"/>
      <c r="AN553" s="4"/>
      <c r="AO553" s="4"/>
      <c r="AP553" s="4"/>
      <c r="AQ553" s="4"/>
      <c r="AR553" s="4"/>
      <c r="AS553" s="4"/>
      <c r="AT553" s="4"/>
      <c r="AU553" s="4"/>
      <c r="AV553" s="4"/>
      <c r="AW553" s="4"/>
      <c r="AX553" s="4"/>
      <c r="AY553" s="4"/>
      <c r="AZ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  <c r="AH554" s="4"/>
      <c r="AI554" s="4"/>
      <c r="AJ554" s="4"/>
      <c r="AK554" s="4"/>
      <c r="AL554" s="4"/>
      <c r="AM554" s="4"/>
      <c r="AN554" s="4"/>
      <c r="AO554" s="4"/>
      <c r="AP554" s="4"/>
      <c r="AQ554" s="4"/>
      <c r="AR554" s="4"/>
      <c r="AS554" s="4"/>
      <c r="AT554" s="4"/>
      <c r="AU554" s="4"/>
      <c r="AV554" s="4"/>
      <c r="AW554" s="4"/>
      <c r="AX554" s="4"/>
      <c r="AY554" s="4"/>
      <c r="AZ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  <c r="AH555" s="4"/>
      <c r="AI555" s="4"/>
      <c r="AJ555" s="4"/>
      <c r="AK555" s="4"/>
      <c r="AL555" s="4"/>
      <c r="AM555" s="4"/>
      <c r="AN555" s="4"/>
      <c r="AO555" s="4"/>
      <c r="AP555" s="4"/>
      <c r="AQ555" s="4"/>
      <c r="AR555" s="4"/>
      <c r="AS555" s="4"/>
      <c r="AT555" s="4"/>
      <c r="AU555" s="4"/>
      <c r="AV555" s="4"/>
      <c r="AW555" s="4"/>
      <c r="AX555" s="4"/>
      <c r="AY555" s="4"/>
      <c r="AZ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  <c r="AH556" s="4"/>
      <c r="AI556" s="4"/>
      <c r="AJ556" s="4"/>
      <c r="AK556" s="4"/>
      <c r="AL556" s="4"/>
      <c r="AM556" s="4"/>
      <c r="AN556" s="4"/>
      <c r="AO556" s="4"/>
      <c r="AP556" s="4"/>
      <c r="AQ556" s="4"/>
      <c r="AR556" s="4"/>
      <c r="AS556" s="4"/>
      <c r="AT556" s="4"/>
      <c r="AU556" s="4"/>
      <c r="AV556" s="4"/>
      <c r="AW556" s="4"/>
      <c r="AX556" s="4"/>
      <c r="AY556" s="4"/>
      <c r="AZ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  <c r="AH557" s="4"/>
      <c r="AI557" s="4"/>
      <c r="AJ557" s="4"/>
      <c r="AK557" s="4"/>
      <c r="AL557" s="4"/>
      <c r="AM557" s="4"/>
      <c r="AN557" s="4"/>
      <c r="AO557" s="4"/>
      <c r="AP557" s="4"/>
      <c r="AQ557" s="4"/>
      <c r="AR557" s="4"/>
      <c r="AS557" s="4"/>
      <c r="AT557" s="4"/>
      <c r="AU557" s="4"/>
      <c r="AV557" s="4"/>
      <c r="AW557" s="4"/>
      <c r="AX557" s="4"/>
      <c r="AY557" s="4"/>
      <c r="AZ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  <c r="AH558" s="4"/>
      <c r="AI558" s="4"/>
      <c r="AJ558" s="4"/>
      <c r="AK558" s="4"/>
      <c r="AL558" s="4"/>
      <c r="AM558" s="4"/>
      <c r="AN558" s="4"/>
      <c r="AO558" s="4"/>
      <c r="AP558" s="4"/>
      <c r="AQ558" s="4"/>
      <c r="AR558" s="4"/>
      <c r="AS558" s="4"/>
      <c r="AT558" s="4"/>
      <c r="AU558" s="4"/>
      <c r="AV558" s="4"/>
      <c r="AW558" s="4"/>
      <c r="AX558" s="4"/>
      <c r="AY558" s="4"/>
      <c r="AZ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  <c r="AH559" s="4"/>
      <c r="AI559" s="4"/>
      <c r="AJ559" s="4"/>
      <c r="AK559" s="4"/>
      <c r="AL559" s="4"/>
      <c r="AM559" s="4"/>
      <c r="AN559" s="4"/>
      <c r="AO559" s="4"/>
      <c r="AP559" s="4"/>
      <c r="AQ559" s="4"/>
      <c r="AR559" s="4"/>
      <c r="AS559" s="4"/>
      <c r="AT559" s="4"/>
      <c r="AU559" s="4"/>
      <c r="AV559" s="4"/>
      <c r="AW559" s="4"/>
      <c r="AX559" s="4"/>
      <c r="AY559" s="4"/>
      <c r="AZ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  <c r="AH560" s="4"/>
      <c r="AI560" s="4"/>
      <c r="AJ560" s="4"/>
      <c r="AK560" s="4"/>
      <c r="AL560" s="4"/>
      <c r="AM560" s="4"/>
      <c r="AN560" s="4"/>
      <c r="AO560" s="4"/>
      <c r="AP560" s="4"/>
      <c r="AQ560" s="4"/>
      <c r="AR560" s="4"/>
      <c r="AS560" s="4"/>
      <c r="AT560" s="4"/>
      <c r="AU560" s="4"/>
      <c r="AV560" s="4"/>
      <c r="AW560" s="4"/>
      <c r="AX560" s="4"/>
      <c r="AY560" s="4"/>
      <c r="AZ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  <c r="AH561" s="4"/>
      <c r="AI561" s="4"/>
      <c r="AJ561" s="4"/>
      <c r="AK561" s="4"/>
      <c r="AL561" s="4"/>
      <c r="AM561" s="4"/>
      <c r="AN561" s="4"/>
      <c r="AO561" s="4"/>
      <c r="AP561" s="4"/>
      <c r="AQ561" s="4"/>
      <c r="AR561" s="4"/>
      <c r="AS561" s="4"/>
      <c r="AT561" s="4"/>
      <c r="AU561" s="4"/>
      <c r="AV561" s="4"/>
      <c r="AW561" s="4"/>
      <c r="AX561" s="4"/>
      <c r="AY561" s="4"/>
      <c r="AZ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  <c r="AH562" s="4"/>
      <c r="AI562" s="4"/>
      <c r="AJ562" s="4"/>
      <c r="AK562" s="4"/>
      <c r="AL562" s="4"/>
      <c r="AM562" s="4"/>
      <c r="AN562" s="4"/>
      <c r="AO562" s="4"/>
      <c r="AP562" s="4"/>
      <c r="AQ562" s="4"/>
      <c r="AR562" s="4"/>
      <c r="AS562" s="4"/>
      <c r="AT562" s="4"/>
      <c r="AU562" s="4"/>
      <c r="AV562" s="4"/>
      <c r="AW562" s="4"/>
      <c r="AX562" s="4"/>
      <c r="AY562" s="4"/>
      <c r="AZ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  <c r="AH563" s="4"/>
      <c r="AI563" s="4"/>
      <c r="AJ563" s="4"/>
      <c r="AK563" s="4"/>
      <c r="AL563" s="4"/>
      <c r="AM563" s="4"/>
      <c r="AN563" s="4"/>
      <c r="AO563" s="4"/>
      <c r="AP563" s="4"/>
      <c r="AQ563" s="4"/>
      <c r="AR563" s="4"/>
      <c r="AS563" s="4"/>
      <c r="AT563" s="4"/>
      <c r="AU563" s="4"/>
      <c r="AV563" s="4"/>
      <c r="AW563" s="4"/>
      <c r="AX563" s="4"/>
      <c r="AY563" s="4"/>
      <c r="AZ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  <c r="AH564" s="4"/>
      <c r="AI564" s="4"/>
      <c r="AJ564" s="4"/>
      <c r="AK564" s="4"/>
      <c r="AL564" s="4"/>
      <c r="AM564" s="4"/>
      <c r="AN564" s="4"/>
      <c r="AO564" s="4"/>
      <c r="AP564" s="4"/>
      <c r="AQ564" s="4"/>
      <c r="AR564" s="4"/>
      <c r="AS564" s="4"/>
      <c r="AT564" s="4"/>
      <c r="AU564" s="4"/>
      <c r="AV564" s="4"/>
      <c r="AW564" s="4"/>
      <c r="AX564" s="4"/>
      <c r="AY564" s="4"/>
      <c r="AZ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  <c r="AH565" s="4"/>
      <c r="AI565" s="4"/>
      <c r="AJ565" s="4"/>
      <c r="AK565" s="4"/>
      <c r="AL565" s="4"/>
      <c r="AM565" s="4"/>
      <c r="AN565" s="4"/>
      <c r="AO565" s="4"/>
      <c r="AP565" s="4"/>
      <c r="AQ565" s="4"/>
      <c r="AR565" s="4"/>
      <c r="AS565" s="4"/>
      <c r="AT565" s="4"/>
      <c r="AU565" s="4"/>
      <c r="AV565" s="4"/>
      <c r="AW565" s="4"/>
      <c r="AX565" s="4"/>
      <c r="AY565" s="4"/>
      <c r="AZ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  <c r="AH566" s="4"/>
      <c r="AI566" s="4"/>
      <c r="AJ566" s="4"/>
      <c r="AK566" s="4"/>
      <c r="AL566" s="4"/>
      <c r="AM566" s="4"/>
      <c r="AN566" s="4"/>
      <c r="AO566" s="4"/>
      <c r="AP566" s="4"/>
      <c r="AQ566" s="4"/>
      <c r="AR566" s="4"/>
      <c r="AS566" s="4"/>
      <c r="AT566" s="4"/>
      <c r="AU566" s="4"/>
      <c r="AV566" s="4"/>
      <c r="AW566" s="4"/>
      <c r="AX566" s="4"/>
      <c r="AY566" s="4"/>
      <c r="AZ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  <c r="AH567" s="4"/>
      <c r="AI567" s="4"/>
      <c r="AJ567" s="4"/>
      <c r="AK567" s="4"/>
      <c r="AL567" s="4"/>
      <c r="AM567" s="4"/>
      <c r="AN567" s="4"/>
      <c r="AO567" s="4"/>
      <c r="AP567" s="4"/>
      <c r="AQ567" s="4"/>
      <c r="AR567" s="4"/>
      <c r="AS567" s="4"/>
      <c r="AT567" s="4"/>
      <c r="AU567" s="4"/>
      <c r="AV567" s="4"/>
      <c r="AW567" s="4"/>
      <c r="AX567" s="4"/>
      <c r="AY567" s="4"/>
      <c r="AZ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  <c r="AH568" s="4"/>
      <c r="AI568" s="4"/>
      <c r="AJ568" s="4"/>
      <c r="AK568" s="4"/>
      <c r="AL568" s="4"/>
      <c r="AM568" s="4"/>
      <c r="AN568" s="4"/>
      <c r="AO568" s="4"/>
      <c r="AP568" s="4"/>
      <c r="AQ568" s="4"/>
      <c r="AR568" s="4"/>
      <c r="AS568" s="4"/>
      <c r="AT568" s="4"/>
      <c r="AU568" s="4"/>
      <c r="AV568" s="4"/>
      <c r="AW568" s="4"/>
      <c r="AX568" s="4"/>
      <c r="AY568" s="4"/>
      <c r="AZ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  <c r="AH569" s="4"/>
      <c r="AI569" s="4"/>
      <c r="AJ569" s="4"/>
      <c r="AK569" s="4"/>
      <c r="AL569" s="4"/>
      <c r="AM569" s="4"/>
      <c r="AN569" s="4"/>
      <c r="AO569" s="4"/>
      <c r="AP569" s="4"/>
      <c r="AQ569" s="4"/>
      <c r="AR569" s="4"/>
      <c r="AS569" s="4"/>
      <c r="AT569" s="4"/>
      <c r="AU569" s="4"/>
      <c r="AV569" s="4"/>
      <c r="AW569" s="4"/>
      <c r="AX569" s="4"/>
      <c r="AY569" s="4"/>
      <c r="AZ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  <c r="AH570" s="4"/>
      <c r="AI570" s="4"/>
      <c r="AJ570" s="4"/>
      <c r="AK570" s="4"/>
      <c r="AL570" s="4"/>
      <c r="AM570" s="4"/>
      <c r="AN570" s="4"/>
      <c r="AO570" s="4"/>
      <c r="AP570" s="4"/>
      <c r="AQ570" s="4"/>
      <c r="AR570" s="4"/>
      <c r="AS570" s="4"/>
      <c r="AT570" s="4"/>
      <c r="AU570" s="4"/>
      <c r="AV570" s="4"/>
      <c r="AW570" s="4"/>
      <c r="AX570" s="4"/>
      <c r="AY570" s="4"/>
      <c r="AZ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  <c r="AH571" s="4"/>
      <c r="AI571" s="4"/>
      <c r="AJ571" s="4"/>
      <c r="AK571" s="4"/>
      <c r="AL571" s="4"/>
      <c r="AM571" s="4"/>
      <c r="AN571" s="4"/>
      <c r="AO571" s="4"/>
      <c r="AP571" s="4"/>
      <c r="AQ571" s="4"/>
      <c r="AR571" s="4"/>
      <c r="AS571" s="4"/>
      <c r="AT571" s="4"/>
      <c r="AU571" s="4"/>
      <c r="AV571" s="4"/>
      <c r="AW571" s="4"/>
      <c r="AX571" s="4"/>
      <c r="AY571" s="4"/>
      <c r="AZ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  <c r="AH572" s="4"/>
      <c r="AI572" s="4"/>
      <c r="AJ572" s="4"/>
      <c r="AK572" s="4"/>
      <c r="AL572" s="4"/>
      <c r="AM572" s="4"/>
      <c r="AN572" s="4"/>
      <c r="AO572" s="4"/>
      <c r="AP572" s="4"/>
      <c r="AQ572" s="4"/>
      <c r="AR572" s="4"/>
      <c r="AS572" s="4"/>
      <c r="AT572" s="4"/>
      <c r="AU572" s="4"/>
      <c r="AV572" s="4"/>
      <c r="AW572" s="4"/>
      <c r="AX572" s="4"/>
      <c r="AY572" s="4"/>
      <c r="AZ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  <c r="AH573" s="4"/>
      <c r="AI573" s="4"/>
      <c r="AJ573" s="4"/>
      <c r="AK573" s="4"/>
      <c r="AL573" s="4"/>
      <c r="AM573" s="4"/>
      <c r="AN573" s="4"/>
      <c r="AO573" s="4"/>
      <c r="AP573" s="4"/>
      <c r="AQ573" s="4"/>
      <c r="AR573" s="4"/>
      <c r="AS573" s="4"/>
      <c r="AT573" s="4"/>
      <c r="AU573" s="4"/>
      <c r="AV573" s="4"/>
      <c r="AW573" s="4"/>
      <c r="AX573" s="4"/>
      <c r="AY573" s="4"/>
      <c r="AZ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  <c r="AH574" s="4"/>
      <c r="AI574" s="4"/>
      <c r="AJ574" s="4"/>
      <c r="AK574" s="4"/>
      <c r="AL574" s="4"/>
      <c r="AM574" s="4"/>
      <c r="AN574" s="4"/>
      <c r="AO574" s="4"/>
      <c r="AP574" s="4"/>
      <c r="AQ574" s="4"/>
      <c r="AR574" s="4"/>
      <c r="AS574" s="4"/>
      <c r="AT574" s="4"/>
      <c r="AU574" s="4"/>
      <c r="AV574" s="4"/>
      <c r="AW574" s="4"/>
      <c r="AX574" s="4"/>
      <c r="AY574" s="4"/>
      <c r="AZ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  <c r="AH575" s="4"/>
      <c r="AI575" s="4"/>
      <c r="AJ575" s="4"/>
      <c r="AK575" s="4"/>
      <c r="AL575" s="4"/>
      <c r="AM575" s="4"/>
      <c r="AN575" s="4"/>
      <c r="AO575" s="4"/>
      <c r="AP575" s="4"/>
      <c r="AQ575" s="4"/>
      <c r="AR575" s="4"/>
      <c r="AS575" s="4"/>
      <c r="AT575" s="4"/>
      <c r="AU575" s="4"/>
      <c r="AV575" s="4"/>
      <c r="AW575" s="4"/>
      <c r="AX575" s="4"/>
      <c r="AY575" s="4"/>
      <c r="AZ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  <c r="AH576" s="4"/>
      <c r="AI576" s="4"/>
      <c r="AJ576" s="4"/>
      <c r="AK576" s="4"/>
      <c r="AL576" s="4"/>
      <c r="AM576" s="4"/>
      <c r="AN576" s="4"/>
      <c r="AO576" s="4"/>
      <c r="AP576" s="4"/>
      <c r="AQ576" s="4"/>
      <c r="AR576" s="4"/>
      <c r="AS576" s="4"/>
      <c r="AT576" s="4"/>
      <c r="AU576" s="4"/>
      <c r="AV576" s="4"/>
      <c r="AW576" s="4"/>
      <c r="AX576" s="4"/>
      <c r="AY576" s="4"/>
      <c r="AZ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  <c r="AH577" s="4"/>
      <c r="AI577" s="4"/>
      <c r="AJ577" s="4"/>
      <c r="AK577" s="4"/>
      <c r="AL577" s="4"/>
      <c r="AM577" s="4"/>
      <c r="AN577" s="4"/>
      <c r="AO577" s="4"/>
      <c r="AP577" s="4"/>
      <c r="AQ577" s="4"/>
      <c r="AR577" s="4"/>
      <c r="AS577" s="4"/>
      <c r="AT577" s="4"/>
      <c r="AU577" s="4"/>
      <c r="AV577" s="4"/>
      <c r="AW577" s="4"/>
      <c r="AX577" s="4"/>
      <c r="AY577" s="4"/>
      <c r="AZ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  <c r="AH578" s="4"/>
      <c r="AI578" s="4"/>
      <c r="AJ578" s="4"/>
      <c r="AK578" s="4"/>
      <c r="AL578" s="4"/>
      <c r="AM578" s="4"/>
      <c r="AN578" s="4"/>
      <c r="AO578" s="4"/>
      <c r="AP578" s="4"/>
      <c r="AQ578" s="4"/>
      <c r="AR578" s="4"/>
      <c r="AS578" s="4"/>
      <c r="AT578" s="4"/>
      <c r="AU578" s="4"/>
      <c r="AV578" s="4"/>
      <c r="AW578" s="4"/>
      <c r="AX578" s="4"/>
      <c r="AY578" s="4"/>
      <c r="AZ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  <c r="AH579" s="4"/>
      <c r="AI579" s="4"/>
      <c r="AJ579" s="4"/>
      <c r="AK579" s="4"/>
      <c r="AL579" s="4"/>
      <c r="AM579" s="4"/>
      <c r="AN579" s="4"/>
      <c r="AO579" s="4"/>
      <c r="AP579" s="4"/>
      <c r="AQ579" s="4"/>
      <c r="AR579" s="4"/>
      <c r="AS579" s="4"/>
      <c r="AT579" s="4"/>
      <c r="AU579" s="4"/>
      <c r="AV579" s="4"/>
      <c r="AW579" s="4"/>
      <c r="AX579" s="4"/>
      <c r="AY579" s="4"/>
      <c r="AZ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  <c r="AH580" s="4"/>
      <c r="AI580" s="4"/>
      <c r="AJ580" s="4"/>
      <c r="AK580" s="4"/>
      <c r="AL580" s="4"/>
      <c r="AM580" s="4"/>
      <c r="AN580" s="4"/>
      <c r="AO580" s="4"/>
      <c r="AP580" s="4"/>
      <c r="AQ580" s="4"/>
      <c r="AR580" s="4"/>
      <c r="AS580" s="4"/>
      <c r="AT580" s="4"/>
      <c r="AU580" s="4"/>
      <c r="AV580" s="4"/>
      <c r="AW580" s="4"/>
      <c r="AX580" s="4"/>
      <c r="AY580" s="4"/>
      <c r="AZ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  <c r="AH581" s="4"/>
      <c r="AI581" s="4"/>
      <c r="AJ581" s="4"/>
      <c r="AK581" s="4"/>
      <c r="AL581" s="4"/>
      <c r="AM581" s="4"/>
      <c r="AN581" s="4"/>
      <c r="AO581" s="4"/>
      <c r="AP581" s="4"/>
      <c r="AQ581" s="4"/>
      <c r="AR581" s="4"/>
      <c r="AS581" s="4"/>
      <c r="AT581" s="4"/>
      <c r="AU581" s="4"/>
      <c r="AV581" s="4"/>
      <c r="AW581" s="4"/>
      <c r="AX581" s="4"/>
      <c r="AY581" s="4"/>
      <c r="AZ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  <c r="AH582" s="4"/>
      <c r="AI582" s="4"/>
      <c r="AJ582" s="4"/>
      <c r="AK582" s="4"/>
      <c r="AL582" s="4"/>
      <c r="AM582" s="4"/>
      <c r="AN582" s="4"/>
      <c r="AO582" s="4"/>
      <c r="AP582" s="4"/>
      <c r="AQ582" s="4"/>
      <c r="AR582" s="4"/>
      <c r="AS582" s="4"/>
      <c r="AT582" s="4"/>
      <c r="AU582" s="4"/>
      <c r="AV582" s="4"/>
      <c r="AW582" s="4"/>
      <c r="AX582" s="4"/>
      <c r="AY582" s="4"/>
      <c r="AZ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  <c r="AH583" s="4"/>
      <c r="AI583" s="4"/>
      <c r="AJ583" s="4"/>
      <c r="AK583" s="4"/>
      <c r="AL583" s="4"/>
      <c r="AM583" s="4"/>
      <c r="AN583" s="4"/>
      <c r="AO583" s="4"/>
      <c r="AP583" s="4"/>
      <c r="AQ583" s="4"/>
      <c r="AR583" s="4"/>
      <c r="AS583" s="4"/>
      <c r="AT583" s="4"/>
      <c r="AU583" s="4"/>
      <c r="AV583" s="4"/>
      <c r="AW583" s="4"/>
      <c r="AX583" s="4"/>
      <c r="AY583" s="4"/>
      <c r="AZ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  <c r="AH584" s="4"/>
      <c r="AI584" s="4"/>
      <c r="AJ584" s="4"/>
      <c r="AK584" s="4"/>
      <c r="AL584" s="4"/>
      <c r="AM584" s="4"/>
      <c r="AN584" s="4"/>
      <c r="AO584" s="4"/>
      <c r="AP584" s="4"/>
      <c r="AQ584" s="4"/>
      <c r="AR584" s="4"/>
      <c r="AS584" s="4"/>
      <c r="AT584" s="4"/>
      <c r="AU584" s="4"/>
      <c r="AV584" s="4"/>
      <c r="AW584" s="4"/>
      <c r="AX584" s="4"/>
      <c r="AY584" s="4"/>
      <c r="AZ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  <c r="AH585" s="4"/>
      <c r="AI585" s="4"/>
      <c r="AJ585" s="4"/>
      <c r="AK585" s="4"/>
      <c r="AL585" s="4"/>
      <c r="AM585" s="4"/>
      <c r="AN585" s="4"/>
      <c r="AO585" s="4"/>
      <c r="AP585" s="4"/>
      <c r="AQ585" s="4"/>
      <c r="AR585" s="4"/>
      <c r="AS585" s="4"/>
      <c r="AT585" s="4"/>
      <c r="AU585" s="4"/>
      <c r="AV585" s="4"/>
      <c r="AW585" s="4"/>
      <c r="AX585" s="4"/>
      <c r="AY585" s="4"/>
      <c r="AZ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  <c r="AH586" s="4"/>
      <c r="AI586" s="4"/>
      <c r="AJ586" s="4"/>
      <c r="AK586" s="4"/>
      <c r="AL586" s="4"/>
      <c r="AM586" s="4"/>
      <c r="AN586" s="4"/>
      <c r="AO586" s="4"/>
      <c r="AP586" s="4"/>
      <c r="AQ586" s="4"/>
      <c r="AR586" s="4"/>
      <c r="AS586" s="4"/>
      <c r="AT586" s="4"/>
      <c r="AU586" s="4"/>
      <c r="AV586" s="4"/>
      <c r="AW586" s="4"/>
      <c r="AX586" s="4"/>
      <c r="AY586" s="4"/>
      <c r="AZ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  <c r="AH587" s="4"/>
      <c r="AI587" s="4"/>
      <c r="AJ587" s="4"/>
      <c r="AK587" s="4"/>
      <c r="AL587" s="4"/>
      <c r="AM587" s="4"/>
      <c r="AN587" s="4"/>
      <c r="AO587" s="4"/>
      <c r="AP587" s="4"/>
      <c r="AQ587" s="4"/>
      <c r="AR587" s="4"/>
      <c r="AS587" s="4"/>
      <c r="AT587" s="4"/>
      <c r="AU587" s="4"/>
      <c r="AV587" s="4"/>
      <c r="AW587" s="4"/>
      <c r="AX587" s="4"/>
      <c r="AY587" s="4"/>
      <c r="AZ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  <c r="AH588" s="4"/>
      <c r="AI588" s="4"/>
      <c r="AJ588" s="4"/>
      <c r="AK588" s="4"/>
      <c r="AL588" s="4"/>
      <c r="AM588" s="4"/>
      <c r="AN588" s="4"/>
      <c r="AO588" s="4"/>
      <c r="AP588" s="4"/>
      <c r="AQ588" s="4"/>
      <c r="AR588" s="4"/>
      <c r="AS588" s="4"/>
      <c r="AT588" s="4"/>
      <c r="AU588" s="4"/>
      <c r="AV588" s="4"/>
      <c r="AW588" s="4"/>
      <c r="AX588" s="4"/>
      <c r="AY588" s="4"/>
      <c r="AZ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  <c r="AH589" s="4"/>
      <c r="AI589" s="4"/>
      <c r="AJ589" s="4"/>
      <c r="AK589" s="4"/>
      <c r="AL589" s="4"/>
      <c r="AM589" s="4"/>
      <c r="AN589" s="4"/>
      <c r="AO589" s="4"/>
      <c r="AP589" s="4"/>
      <c r="AQ589" s="4"/>
      <c r="AR589" s="4"/>
      <c r="AS589" s="4"/>
      <c r="AT589" s="4"/>
      <c r="AU589" s="4"/>
      <c r="AV589" s="4"/>
      <c r="AW589" s="4"/>
      <c r="AX589" s="4"/>
      <c r="AY589" s="4"/>
      <c r="AZ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  <c r="AH590" s="4"/>
      <c r="AI590" s="4"/>
      <c r="AJ590" s="4"/>
      <c r="AK590" s="4"/>
      <c r="AL590" s="4"/>
      <c r="AM590" s="4"/>
      <c r="AN590" s="4"/>
      <c r="AO590" s="4"/>
      <c r="AP590" s="4"/>
      <c r="AQ590" s="4"/>
      <c r="AR590" s="4"/>
      <c r="AS590" s="4"/>
      <c r="AT590" s="4"/>
      <c r="AU590" s="4"/>
      <c r="AV590" s="4"/>
      <c r="AW590" s="4"/>
      <c r="AX590" s="4"/>
      <c r="AY590" s="4"/>
      <c r="AZ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  <c r="AH591" s="4"/>
      <c r="AI591" s="4"/>
      <c r="AJ591" s="4"/>
      <c r="AK591" s="4"/>
      <c r="AL591" s="4"/>
      <c r="AM591" s="4"/>
      <c r="AN591" s="4"/>
      <c r="AO591" s="4"/>
      <c r="AP591" s="4"/>
      <c r="AQ591" s="4"/>
      <c r="AR591" s="4"/>
      <c r="AS591" s="4"/>
      <c r="AT591" s="4"/>
      <c r="AU591" s="4"/>
      <c r="AV591" s="4"/>
      <c r="AW591" s="4"/>
      <c r="AX591" s="4"/>
      <c r="AY591" s="4"/>
      <c r="AZ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  <c r="AH592" s="4"/>
      <c r="AI592" s="4"/>
      <c r="AJ592" s="4"/>
      <c r="AK592" s="4"/>
      <c r="AL592" s="4"/>
      <c r="AM592" s="4"/>
      <c r="AN592" s="4"/>
      <c r="AO592" s="4"/>
      <c r="AP592" s="4"/>
      <c r="AQ592" s="4"/>
      <c r="AR592" s="4"/>
      <c r="AS592" s="4"/>
      <c r="AT592" s="4"/>
      <c r="AU592" s="4"/>
      <c r="AV592" s="4"/>
      <c r="AW592" s="4"/>
      <c r="AX592" s="4"/>
      <c r="AY592" s="4"/>
      <c r="AZ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  <c r="AH593" s="4"/>
      <c r="AI593" s="4"/>
      <c r="AJ593" s="4"/>
      <c r="AK593" s="4"/>
      <c r="AL593" s="4"/>
      <c r="AM593" s="4"/>
      <c r="AN593" s="4"/>
      <c r="AO593" s="4"/>
      <c r="AP593" s="4"/>
      <c r="AQ593" s="4"/>
      <c r="AR593" s="4"/>
      <c r="AS593" s="4"/>
      <c r="AT593" s="4"/>
      <c r="AU593" s="4"/>
      <c r="AV593" s="4"/>
      <c r="AW593" s="4"/>
      <c r="AX593" s="4"/>
      <c r="AY593" s="4"/>
      <c r="AZ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  <c r="AH594" s="4"/>
      <c r="AI594" s="4"/>
      <c r="AJ594" s="4"/>
      <c r="AK594" s="4"/>
      <c r="AL594" s="4"/>
      <c r="AM594" s="4"/>
      <c r="AN594" s="4"/>
      <c r="AO594" s="4"/>
      <c r="AP594" s="4"/>
      <c r="AQ594" s="4"/>
      <c r="AR594" s="4"/>
      <c r="AS594" s="4"/>
      <c r="AT594" s="4"/>
      <c r="AU594" s="4"/>
      <c r="AV594" s="4"/>
      <c r="AW594" s="4"/>
      <c r="AX594" s="4"/>
      <c r="AY594" s="4"/>
      <c r="AZ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  <c r="AH595" s="4"/>
      <c r="AI595" s="4"/>
      <c r="AJ595" s="4"/>
      <c r="AK595" s="4"/>
      <c r="AL595" s="4"/>
      <c r="AM595" s="4"/>
      <c r="AN595" s="4"/>
      <c r="AO595" s="4"/>
      <c r="AP595" s="4"/>
      <c r="AQ595" s="4"/>
      <c r="AR595" s="4"/>
      <c r="AS595" s="4"/>
      <c r="AT595" s="4"/>
      <c r="AU595" s="4"/>
      <c r="AV595" s="4"/>
      <c r="AW595" s="4"/>
      <c r="AX595" s="4"/>
      <c r="AY595" s="4"/>
      <c r="AZ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  <c r="AG596" s="4"/>
      <c r="AH596" s="4"/>
      <c r="AI596" s="4"/>
      <c r="AJ596" s="4"/>
      <c r="AK596" s="4"/>
      <c r="AL596" s="4"/>
      <c r="AM596" s="4"/>
      <c r="AN596" s="4"/>
      <c r="AO596" s="4"/>
      <c r="AP596" s="4"/>
      <c r="AQ596" s="4"/>
      <c r="AR596" s="4"/>
      <c r="AS596" s="4"/>
      <c r="AT596" s="4"/>
      <c r="AU596" s="4"/>
      <c r="AV596" s="4"/>
      <c r="AW596" s="4"/>
      <c r="AX596" s="4"/>
      <c r="AY596" s="4"/>
      <c r="AZ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  <c r="AG597" s="4"/>
      <c r="AH597" s="4"/>
      <c r="AI597" s="4"/>
      <c r="AJ597" s="4"/>
      <c r="AK597" s="4"/>
      <c r="AL597" s="4"/>
      <c r="AM597" s="4"/>
      <c r="AN597" s="4"/>
      <c r="AO597" s="4"/>
      <c r="AP597" s="4"/>
      <c r="AQ597" s="4"/>
      <c r="AR597" s="4"/>
      <c r="AS597" s="4"/>
      <c r="AT597" s="4"/>
      <c r="AU597" s="4"/>
      <c r="AV597" s="4"/>
      <c r="AW597" s="4"/>
      <c r="AX597" s="4"/>
      <c r="AY597" s="4"/>
      <c r="AZ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  <c r="AG598" s="4"/>
      <c r="AH598" s="4"/>
      <c r="AI598" s="4"/>
      <c r="AJ598" s="4"/>
      <c r="AK598" s="4"/>
      <c r="AL598" s="4"/>
      <c r="AM598" s="4"/>
      <c r="AN598" s="4"/>
      <c r="AO598" s="4"/>
      <c r="AP598" s="4"/>
      <c r="AQ598" s="4"/>
      <c r="AR598" s="4"/>
      <c r="AS598" s="4"/>
      <c r="AT598" s="4"/>
      <c r="AU598" s="4"/>
      <c r="AV598" s="4"/>
      <c r="AW598" s="4"/>
      <c r="AX598" s="4"/>
      <c r="AY598" s="4"/>
      <c r="AZ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  <c r="AH599" s="4"/>
      <c r="AI599" s="4"/>
      <c r="AJ599" s="4"/>
      <c r="AK599" s="4"/>
      <c r="AL599" s="4"/>
      <c r="AM599" s="4"/>
      <c r="AN599" s="4"/>
      <c r="AO599" s="4"/>
      <c r="AP599" s="4"/>
      <c r="AQ599" s="4"/>
      <c r="AR599" s="4"/>
      <c r="AS599" s="4"/>
      <c r="AT599" s="4"/>
      <c r="AU599" s="4"/>
      <c r="AV599" s="4"/>
      <c r="AW599" s="4"/>
      <c r="AX599" s="4"/>
      <c r="AY599" s="4"/>
      <c r="AZ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  <c r="AH600" s="4"/>
      <c r="AI600" s="4"/>
      <c r="AJ600" s="4"/>
      <c r="AK600" s="4"/>
      <c r="AL600" s="4"/>
      <c r="AM600" s="4"/>
      <c r="AN600" s="4"/>
      <c r="AO600" s="4"/>
      <c r="AP600" s="4"/>
      <c r="AQ600" s="4"/>
      <c r="AR600" s="4"/>
      <c r="AS600" s="4"/>
      <c r="AT600" s="4"/>
      <c r="AU600" s="4"/>
      <c r="AV600" s="4"/>
      <c r="AW600" s="4"/>
      <c r="AX600" s="4"/>
      <c r="AY600" s="4"/>
      <c r="AZ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  <c r="AH601" s="4"/>
      <c r="AI601" s="4"/>
      <c r="AJ601" s="4"/>
      <c r="AK601" s="4"/>
      <c r="AL601" s="4"/>
      <c r="AM601" s="4"/>
      <c r="AN601" s="4"/>
      <c r="AO601" s="4"/>
      <c r="AP601" s="4"/>
      <c r="AQ601" s="4"/>
      <c r="AR601" s="4"/>
      <c r="AS601" s="4"/>
      <c r="AT601" s="4"/>
      <c r="AU601" s="4"/>
      <c r="AV601" s="4"/>
      <c r="AW601" s="4"/>
      <c r="AX601" s="4"/>
      <c r="AY601" s="4"/>
      <c r="AZ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  <c r="AG602" s="4"/>
      <c r="AH602" s="4"/>
      <c r="AI602" s="4"/>
      <c r="AJ602" s="4"/>
      <c r="AK602" s="4"/>
      <c r="AL602" s="4"/>
      <c r="AM602" s="4"/>
      <c r="AN602" s="4"/>
      <c r="AO602" s="4"/>
      <c r="AP602" s="4"/>
      <c r="AQ602" s="4"/>
      <c r="AR602" s="4"/>
      <c r="AS602" s="4"/>
      <c r="AT602" s="4"/>
      <c r="AU602" s="4"/>
      <c r="AV602" s="4"/>
      <c r="AW602" s="4"/>
      <c r="AX602" s="4"/>
      <c r="AY602" s="4"/>
      <c r="AZ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  <c r="AG603" s="4"/>
      <c r="AH603" s="4"/>
      <c r="AI603" s="4"/>
      <c r="AJ603" s="4"/>
      <c r="AK603" s="4"/>
      <c r="AL603" s="4"/>
      <c r="AM603" s="4"/>
      <c r="AN603" s="4"/>
      <c r="AO603" s="4"/>
      <c r="AP603" s="4"/>
      <c r="AQ603" s="4"/>
      <c r="AR603" s="4"/>
      <c r="AS603" s="4"/>
      <c r="AT603" s="4"/>
      <c r="AU603" s="4"/>
      <c r="AV603" s="4"/>
      <c r="AW603" s="4"/>
      <c r="AX603" s="4"/>
      <c r="AY603" s="4"/>
      <c r="AZ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  <c r="AG604" s="4"/>
      <c r="AH604" s="4"/>
      <c r="AI604" s="4"/>
      <c r="AJ604" s="4"/>
      <c r="AK604" s="4"/>
      <c r="AL604" s="4"/>
      <c r="AM604" s="4"/>
      <c r="AN604" s="4"/>
      <c r="AO604" s="4"/>
      <c r="AP604" s="4"/>
      <c r="AQ604" s="4"/>
      <c r="AR604" s="4"/>
      <c r="AS604" s="4"/>
      <c r="AT604" s="4"/>
      <c r="AU604" s="4"/>
      <c r="AV604" s="4"/>
      <c r="AW604" s="4"/>
      <c r="AX604" s="4"/>
      <c r="AY604" s="4"/>
      <c r="AZ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  <c r="AG605" s="4"/>
      <c r="AH605" s="4"/>
      <c r="AI605" s="4"/>
      <c r="AJ605" s="4"/>
      <c r="AK605" s="4"/>
      <c r="AL605" s="4"/>
      <c r="AM605" s="4"/>
      <c r="AN605" s="4"/>
      <c r="AO605" s="4"/>
      <c r="AP605" s="4"/>
      <c r="AQ605" s="4"/>
      <c r="AR605" s="4"/>
      <c r="AS605" s="4"/>
      <c r="AT605" s="4"/>
      <c r="AU605" s="4"/>
      <c r="AV605" s="4"/>
      <c r="AW605" s="4"/>
      <c r="AX605" s="4"/>
      <c r="AY605" s="4"/>
      <c r="AZ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  <c r="AG606" s="4"/>
      <c r="AH606" s="4"/>
      <c r="AI606" s="4"/>
      <c r="AJ606" s="4"/>
      <c r="AK606" s="4"/>
      <c r="AL606" s="4"/>
      <c r="AM606" s="4"/>
      <c r="AN606" s="4"/>
      <c r="AO606" s="4"/>
      <c r="AP606" s="4"/>
      <c r="AQ606" s="4"/>
      <c r="AR606" s="4"/>
      <c r="AS606" s="4"/>
      <c r="AT606" s="4"/>
      <c r="AU606" s="4"/>
      <c r="AV606" s="4"/>
      <c r="AW606" s="4"/>
      <c r="AX606" s="4"/>
      <c r="AY606" s="4"/>
      <c r="AZ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  <c r="AG607" s="4"/>
      <c r="AH607" s="4"/>
      <c r="AI607" s="4"/>
      <c r="AJ607" s="4"/>
      <c r="AK607" s="4"/>
      <c r="AL607" s="4"/>
      <c r="AM607" s="4"/>
      <c r="AN607" s="4"/>
      <c r="AO607" s="4"/>
      <c r="AP607" s="4"/>
      <c r="AQ607" s="4"/>
      <c r="AR607" s="4"/>
      <c r="AS607" s="4"/>
      <c r="AT607" s="4"/>
      <c r="AU607" s="4"/>
      <c r="AV607" s="4"/>
      <c r="AW607" s="4"/>
      <c r="AX607" s="4"/>
      <c r="AY607" s="4"/>
      <c r="AZ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  <c r="AH608" s="4"/>
      <c r="AI608" s="4"/>
      <c r="AJ608" s="4"/>
      <c r="AK608" s="4"/>
      <c r="AL608" s="4"/>
      <c r="AM608" s="4"/>
      <c r="AN608" s="4"/>
      <c r="AO608" s="4"/>
      <c r="AP608" s="4"/>
      <c r="AQ608" s="4"/>
      <c r="AR608" s="4"/>
      <c r="AS608" s="4"/>
      <c r="AT608" s="4"/>
      <c r="AU608" s="4"/>
      <c r="AV608" s="4"/>
      <c r="AW608" s="4"/>
      <c r="AX608" s="4"/>
      <c r="AY608" s="4"/>
      <c r="AZ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  <c r="AH609" s="4"/>
      <c r="AI609" s="4"/>
      <c r="AJ609" s="4"/>
      <c r="AK609" s="4"/>
      <c r="AL609" s="4"/>
      <c r="AM609" s="4"/>
      <c r="AN609" s="4"/>
      <c r="AO609" s="4"/>
      <c r="AP609" s="4"/>
      <c r="AQ609" s="4"/>
      <c r="AR609" s="4"/>
      <c r="AS609" s="4"/>
      <c r="AT609" s="4"/>
      <c r="AU609" s="4"/>
      <c r="AV609" s="4"/>
      <c r="AW609" s="4"/>
      <c r="AX609" s="4"/>
      <c r="AY609" s="4"/>
      <c r="AZ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  <c r="AH610" s="4"/>
      <c r="AI610" s="4"/>
      <c r="AJ610" s="4"/>
      <c r="AK610" s="4"/>
      <c r="AL610" s="4"/>
      <c r="AM610" s="4"/>
      <c r="AN610" s="4"/>
      <c r="AO610" s="4"/>
      <c r="AP610" s="4"/>
      <c r="AQ610" s="4"/>
      <c r="AR610" s="4"/>
      <c r="AS610" s="4"/>
      <c r="AT610" s="4"/>
      <c r="AU610" s="4"/>
      <c r="AV610" s="4"/>
      <c r="AW610" s="4"/>
      <c r="AX610" s="4"/>
      <c r="AY610" s="4"/>
      <c r="AZ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  <c r="AG611" s="4"/>
      <c r="AH611" s="4"/>
      <c r="AI611" s="4"/>
      <c r="AJ611" s="4"/>
      <c r="AK611" s="4"/>
      <c r="AL611" s="4"/>
      <c r="AM611" s="4"/>
      <c r="AN611" s="4"/>
      <c r="AO611" s="4"/>
      <c r="AP611" s="4"/>
      <c r="AQ611" s="4"/>
      <c r="AR611" s="4"/>
      <c r="AS611" s="4"/>
      <c r="AT611" s="4"/>
      <c r="AU611" s="4"/>
      <c r="AV611" s="4"/>
      <c r="AW611" s="4"/>
      <c r="AX611" s="4"/>
      <c r="AY611" s="4"/>
      <c r="AZ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  <c r="AG612" s="4"/>
      <c r="AH612" s="4"/>
      <c r="AI612" s="4"/>
      <c r="AJ612" s="4"/>
      <c r="AK612" s="4"/>
      <c r="AL612" s="4"/>
      <c r="AM612" s="4"/>
      <c r="AN612" s="4"/>
      <c r="AO612" s="4"/>
      <c r="AP612" s="4"/>
      <c r="AQ612" s="4"/>
      <c r="AR612" s="4"/>
      <c r="AS612" s="4"/>
      <c r="AT612" s="4"/>
      <c r="AU612" s="4"/>
      <c r="AV612" s="4"/>
      <c r="AW612" s="4"/>
      <c r="AX612" s="4"/>
      <c r="AY612" s="4"/>
      <c r="AZ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  <c r="AG613" s="4"/>
      <c r="AH613" s="4"/>
      <c r="AI613" s="4"/>
      <c r="AJ613" s="4"/>
      <c r="AK613" s="4"/>
      <c r="AL613" s="4"/>
      <c r="AM613" s="4"/>
      <c r="AN613" s="4"/>
      <c r="AO613" s="4"/>
      <c r="AP613" s="4"/>
      <c r="AQ613" s="4"/>
      <c r="AR613" s="4"/>
      <c r="AS613" s="4"/>
      <c r="AT613" s="4"/>
      <c r="AU613" s="4"/>
      <c r="AV613" s="4"/>
      <c r="AW613" s="4"/>
      <c r="AX613" s="4"/>
      <c r="AY613" s="4"/>
      <c r="AZ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  <c r="AG614" s="4"/>
      <c r="AH614" s="4"/>
      <c r="AI614" s="4"/>
      <c r="AJ614" s="4"/>
      <c r="AK614" s="4"/>
      <c r="AL614" s="4"/>
      <c r="AM614" s="4"/>
      <c r="AN614" s="4"/>
      <c r="AO614" s="4"/>
      <c r="AP614" s="4"/>
      <c r="AQ614" s="4"/>
      <c r="AR614" s="4"/>
      <c r="AS614" s="4"/>
      <c r="AT614" s="4"/>
      <c r="AU614" s="4"/>
      <c r="AV614" s="4"/>
      <c r="AW614" s="4"/>
      <c r="AX614" s="4"/>
      <c r="AY614" s="4"/>
      <c r="AZ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  <c r="AG615" s="4"/>
      <c r="AH615" s="4"/>
      <c r="AI615" s="4"/>
      <c r="AJ615" s="4"/>
      <c r="AK615" s="4"/>
      <c r="AL615" s="4"/>
      <c r="AM615" s="4"/>
      <c r="AN615" s="4"/>
      <c r="AO615" s="4"/>
      <c r="AP615" s="4"/>
      <c r="AQ615" s="4"/>
      <c r="AR615" s="4"/>
      <c r="AS615" s="4"/>
      <c r="AT615" s="4"/>
      <c r="AU615" s="4"/>
      <c r="AV615" s="4"/>
      <c r="AW615" s="4"/>
      <c r="AX615" s="4"/>
      <c r="AY615" s="4"/>
      <c r="AZ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  <c r="AG616" s="4"/>
      <c r="AH616" s="4"/>
      <c r="AI616" s="4"/>
      <c r="AJ616" s="4"/>
      <c r="AK616" s="4"/>
      <c r="AL616" s="4"/>
      <c r="AM616" s="4"/>
      <c r="AN616" s="4"/>
      <c r="AO616" s="4"/>
      <c r="AP616" s="4"/>
      <c r="AQ616" s="4"/>
      <c r="AR616" s="4"/>
      <c r="AS616" s="4"/>
      <c r="AT616" s="4"/>
      <c r="AU616" s="4"/>
      <c r="AV616" s="4"/>
      <c r="AW616" s="4"/>
      <c r="AX616" s="4"/>
      <c r="AY616" s="4"/>
      <c r="AZ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  <c r="AH617" s="4"/>
      <c r="AI617" s="4"/>
      <c r="AJ617" s="4"/>
      <c r="AK617" s="4"/>
      <c r="AL617" s="4"/>
      <c r="AM617" s="4"/>
      <c r="AN617" s="4"/>
      <c r="AO617" s="4"/>
      <c r="AP617" s="4"/>
      <c r="AQ617" s="4"/>
      <c r="AR617" s="4"/>
      <c r="AS617" s="4"/>
      <c r="AT617" s="4"/>
      <c r="AU617" s="4"/>
      <c r="AV617" s="4"/>
      <c r="AW617" s="4"/>
      <c r="AX617" s="4"/>
      <c r="AY617" s="4"/>
      <c r="AZ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  <c r="AH618" s="4"/>
      <c r="AI618" s="4"/>
      <c r="AJ618" s="4"/>
      <c r="AK618" s="4"/>
      <c r="AL618" s="4"/>
      <c r="AM618" s="4"/>
      <c r="AN618" s="4"/>
      <c r="AO618" s="4"/>
      <c r="AP618" s="4"/>
      <c r="AQ618" s="4"/>
      <c r="AR618" s="4"/>
      <c r="AS618" s="4"/>
      <c r="AT618" s="4"/>
      <c r="AU618" s="4"/>
      <c r="AV618" s="4"/>
      <c r="AW618" s="4"/>
      <c r="AX618" s="4"/>
      <c r="AY618" s="4"/>
      <c r="AZ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  <c r="AH619" s="4"/>
      <c r="AI619" s="4"/>
      <c r="AJ619" s="4"/>
      <c r="AK619" s="4"/>
      <c r="AL619" s="4"/>
      <c r="AM619" s="4"/>
      <c r="AN619" s="4"/>
      <c r="AO619" s="4"/>
      <c r="AP619" s="4"/>
      <c r="AQ619" s="4"/>
      <c r="AR619" s="4"/>
      <c r="AS619" s="4"/>
      <c r="AT619" s="4"/>
      <c r="AU619" s="4"/>
      <c r="AV619" s="4"/>
      <c r="AW619" s="4"/>
      <c r="AX619" s="4"/>
      <c r="AY619" s="4"/>
      <c r="AZ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  <c r="AG620" s="4"/>
      <c r="AH620" s="4"/>
      <c r="AI620" s="4"/>
      <c r="AJ620" s="4"/>
      <c r="AK620" s="4"/>
      <c r="AL620" s="4"/>
      <c r="AM620" s="4"/>
      <c r="AN620" s="4"/>
      <c r="AO620" s="4"/>
      <c r="AP620" s="4"/>
      <c r="AQ620" s="4"/>
      <c r="AR620" s="4"/>
      <c r="AS620" s="4"/>
      <c r="AT620" s="4"/>
      <c r="AU620" s="4"/>
      <c r="AV620" s="4"/>
      <c r="AW620" s="4"/>
      <c r="AX620" s="4"/>
      <c r="AY620" s="4"/>
      <c r="AZ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  <c r="AH621" s="4"/>
      <c r="AI621" s="4"/>
      <c r="AJ621" s="4"/>
      <c r="AK621" s="4"/>
      <c r="AL621" s="4"/>
      <c r="AM621" s="4"/>
      <c r="AN621" s="4"/>
      <c r="AO621" s="4"/>
      <c r="AP621" s="4"/>
      <c r="AQ621" s="4"/>
      <c r="AR621" s="4"/>
      <c r="AS621" s="4"/>
      <c r="AT621" s="4"/>
      <c r="AU621" s="4"/>
      <c r="AV621" s="4"/>
      <c r="AW621" s="4"/>
      <c r="AX621" s="4"/>
      <c r="AY621" s="4"/>
      <c r="AZ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  <c r="AG622" s="4"/>
      <c r="AH622" s="4"/>
      <c r="AI622" s="4"/>
      <c r="AJ622" s="4"/>
      <c r="AK622" s="4"/>
      <c r="AL622" s="4"/>
      <c r="AM622" s="4"/>
      <c r="AN622" s="4"/>
      <c r="AO622" s="4"/>
      <c r="AP622" s="4"/>
      <c r="AQ622" s="4"/>
      <c r="AR622" s="4"/>
      <c r="AS622" s="4"/>
      <c r="AT622" s="4"/>
      <c r="AU622" s="4"/>
      <c r="AV622" s="4"/>
      <c r="AW622" s="4"/>
      <c r="AX622" s="4"/>
      <c r="AY622" s="4"/>
      <c r="AZ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  <c r="AG623" s="4"/>
      <c r="AH623" s="4"/>
      <c r="AI623" s="4"/>
      <c r="AJ623" s="4"/>
      <c r="AK623" s="4"/>
      <c r="AL623" s="4"/>
      <c r="AM623" s="4"/>
      <c r="AN623" s="4"/>
      <c r="AO623" s="4"/>
      <c r="AP623" s="4"/>
      <c r="AQ623" s="4"/>
      <c r="AR623" s="4"/>
      <c r="AS623" s="4"/>
      <c r="AT623" s="4"/>
      <c r="AU623" s="4"/>
      <c r="AV623" s="4"/>
      <c r="AW623" s="4"/>
      <c r="AX623" s="4"/>
      <c r="AY623" s="4"/>
      <c r="AZ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  <c r="AG624" s="4"/>
      <c r="AH624" s="4"/>
      <c r="AI624" s="4"/>
      <c r="AJ624" s="4"/>
      <c r="AK624" s="4"/>
      <c r="AL624" s="4"/>
      <c r="AM624" s="4"/>
      <c r="AN624" s="4"/>
      <c r="AO624" s="4"/>
      <c r="AP624" s="4"/>
      <c r="AQ624" s="4"/>
      <c r="AR624" s="4"/>
      <c r="AS624" s="4"/>
      <c r="AT624" s="4"/>
      <c r="AU624" s="4"/>
      <c r="AV624" s="4"/>
      <c r="AW624" s="4"/>
      <c r="AX624" s="4"/>
      <c r="AY624" s="4"/>
      <c r="AZ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  <c r="AG625" s="4"/>
      <c r="AH625" s="4"/>
      <c r="AI625" s="4"/>
      <c r="AJ625" s="4"/>
      <c r="AK625" s="4"/>
      <c r="AL625" s="4"/>
      <c r="AM625" s="4"/>
      <c r="AN625" s="4"/>
      <c r="AO625" s="4"/>
      <c r="AP625" s="4"/>
      <c r="AQ625" s="4"/>
      <c r="AR625" s="4"/>
      <c r="AS625" s="4"/>
      <c r="AT625" s="4"/>
      <c r="AU625" s="4"/>
      <c r="AV625" s="4"/>
      <c r="AW625" s="4"/>
      <c r="AX625" s="4"/>
      <c r="AY625" s="4"/>
      <c r="AZ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  <c r="AH626" s="4"/>
      <c r="AI626" s="4"/>
      <c r="AJ626" s="4"/>
      <c r="AK626" s="4"/>
      <c r="AL626" s="4"/>
      <c r="AM626" s="4"/>
      <c r="AN626" s="4"/>
      <c r="AO626" s="4"/>
      <c r="AP626" s="4"/>
      <c r="AQ626" s="4"/>
      <c r="AR626" s="4"/>
      <c r="AS626" s="4"/>
      <c r="AT626" s="4"/>
      <c r="AU626" s="4"/>
      <c r="AV626" s="4"/>
      <c r="AW626" s="4"/>
      <c r="AX626" s="4"/>
      <c r="AY626" s="4"/>
      <c r="AZ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  <c r="AH627" s="4"/>
      <c r="AI627" s="4"/>
      <c r="AJ627" s="4"/>
      <c r="AK627" s="4"/>
      <c r="AL627" s="4"/>
      <c r="AM627" s="4"/>
      <c r="AN627" s="4"/>
      <c r="AO627" s="4"/>
      <c r="AP627" s="4"/>
      <c r="AQ627" s="4"/>
      <c r="AR627" s="4"/>
      <c r="AS627" s="4"/>
      <c r="AT627" s="4"/>
      <c r="AU627" s="4"/>
      <c r="AV627" s="4"/>
      <c r="AW627" s="4"/>
      <c r="AX627" s="4"/>
      <c r="AY627" s="4"/>
      <c r="AZ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  <c r="AH628" s="4"/>
      <c r="AI628" s="4"/>
      <c r="AJ628" s="4"/>
      <c r="AK628" s="4"/>
      <c r="AL628" s="4"/>
      <c r="AM628" s="4"/>
      <c r="AN628" s="4"/>
      <c r="AO628" s="4"/>
      <c r="AP628" s="4"/>
      <c r="AQ628" s="4"/>
      <c r="AR628" s="4"/>
      <c r="AS628" s="4"/>
      <c r="AT628" s="4"/>
      <c r="AU628" s="4"/>
      <c r="AV628" s="4"/>
      <c r="AW628" s="4"/>
      <c r="AX628" s="4"/>
      <c r="AY628" s="4"/>
      <c r="AZ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  <c r="AG629" s="4"/>
      <c r="AH629" s="4"/>
      <c r="AI629" s="4"/>
      <c r="AJ629" s="4"/>
      <c r="AK629" s="4"/>
      <c r="AL629" s="4"/>
      <c r="AM629" s="4"/>
      <c r="AN629" s="4"/>
      <c r="AO629" s="4"/>
      <c r="AP629" s="4"/>
      <c r="AQ629" s="4"/>
      <c r="AR629" s="4"/>
      <c r="AS629" s="4"/>
      <c r="AT629" s="4"/>
      <c r="AU629" s="4"/>
      <c r="AV629" s="4"/>
      <c r="AW629" s="4"/>
      <c r="AX629" s="4"/>
      <c r="AY629" s="4"/>
      <c r="AZ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  <c r="AG630" s="4"/>
      <c r="AH630" s="4"/>
      <c r="AI630" s="4"/>
      <c r="AJ630" s="4"/>
      <c r="AK630" s="4"/>
      <c r="AL630" s="4"/>
      <c r="AM630" s="4"/>
      <c r="AN630" s="4"/>
      <c r="AO630" s="4"/>
      <c r="AP630" s="4"/>
      <c r="AQ630" s="4"/>
      <c r="AR630" s="4"/>
      <c r="AS630" s="4"/>
      <c r="AT630" s="4"/>
      <c r="AU630" s="4"/>
      <c r="AV630" s="4"/>
      <c r="AW630" s="4"/>
      <c r="AX630" s="4"/>
      <c r="AY630" s="4"/>
      <c r="AZ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  <c r="AG631" s="4"/>
      <c r="AH631" s="4"/>
      <c r="AI631" s="4"/>
      <c r="AJ631" s="4"/>
      <c r="AK631" s="4"/>
      <c r="AL631" s="4"/>
      <c r="AM631" s="4"/>
      <c r="AN631" s="4"/>
      <c r="AO631" s="4"/>
      <c r="AP631" s="4"/>
      <c r="AQ631" s="4"/>
      <c r="AR631" s="4"/>
      <c r="AS631" s="4"/>
      <c r="AT631" s="4"/>
      <c r="AU631" s="4"/>
      <c r="AV631" s="4"/>
      <c r="AW631" s="4"/>
      <c r="AX631" s="4"/>
      <c r="AY631" s="4"/>
      <c r="AZ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  <c r="AG632" s="4"/>
      <c r="AH632" s="4"/>
      <c r="AI632" s="4"/>
      <c r="AJ632" s="4"/>
      <c r="AK632" s="4"/>
      <c r="AL632" s="4"/>
      <c r="AM632" s="4"/>
      <c r="AN632" s="4"/>
      <c r="AO632" s="4"/>
      <c r="AP632" s="4"/>
      <c r="AQ632" s="4"/>
      <c r="AR632" s="4"/>
      <c r="AS632" s="4"/>
      <c r="AT632" s="4"/>
      <c r="AU632" s="4"/>
      <c r="AV632" s="4"/>
      <c r="AW632" s="4"/>
      <c r="AX632" s="4"/>
      <c r="AY632" s="4"/>
      <c r="AZ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  <c r="AG633" s="4"/>
      <c r="AH633" s="4"/>
      <c r="AI633" s="4"/>
      <c r="AJ633" s="4"/>
      <c r="AK633" s="4"/>
      <c r="AL633" s="4"/>
      <c r="AM633" s="4"/>
      <c r="AN633" s="4"/>
      <c r="AO633" s="4"/>
      <c r="AP633" s="4"/>
      <c r="AQ633" s="4"/>
      <c r="AR633" s="4"/>
      <c r="AS633" s="4"/>
      <c r="AT633" s="4"/>
      <c r="AU633" s="4"/>
      <c r="AV633" s="4"/>
      <c r="AW633" s="4"/>
      <c r="AX633" s="4"/>
      <c r="AY633" s="4"/>
      <c r="AZ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  <c r="AG634" s="4"/>
      <c r="AH634" s="4"/>
      <c r="AI634" s="4"/>
      <c r="AJ634" s="4"/>
      <c r="AK634" s="4"/>
      <c r="AL634" s="4"/>
      <c r="AM634" s="4"/>
      <c r="AN634" s="4"/>
      <c r="AO634" s="4"/>
      <c r="AP634" s="4"/>
      <c r="AQ634" s="4"/>
      <c r="AR634" s="4"/>
      <c r="AS634" s="4"/>
      <c r="AT634" s="4"/>
      <c r="AU634" s="4"/>
      <c r="AV634" s="4"/>
      <c r="AW634" s="4"/>
      <c r="AX634" s="4"/>
      <c r="AY634" s="4"/>
      <c r="AZ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  <c r="AH635" s="4"/>
      <c r="AI635" s="4"/>
      <c r="AJ635" s="4"/>
      <c r="AK635" s="4"/>
      <c r="AL635" s="4"/>
      <c r="AM635" s="4"/>
      <c r="AN635" s="4"/>
      <c r="AO635" s="4"/>
      <c r="AP635" s="4"/>
      <c r="AQ635" s="4"/>
      <c r="AR635" s="4"/>
      <c r="AS635" s="4"/>
      <c r="AT635" s="4"/>
      <c r="AU635" s="4"/>
      <c r="AV635" s="4"/>
      <c r="AW635" s="4"/>
      <c r="AX635" s="4"/>
      <c r="AY635" s="4"/>
      <c r="AZ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  <c r="AH636" s="4"/>
      <c r="AI636" s="4"/>
      <c r="AJ636" s="4"/>
      <c r="AK636" s="4"/>
      <c r="AL636" s="4"/>
      <c r="AM636" s="4"/>
      <c r="AN636" s="4"/>
      <c r="AO636" s="4"/>
      <c r="AP636" s="4"/>
      <c r="AQ636" s="4"/>
      <c r="AR636" s="4"/>
      <c r="AS636" s="4"/>
      <c r="AT636" s="4"/>
      <c r="AU636" s="4"/>
      <c r="AV636" s="4"/>
      <c r="AW636" s="4"/>
      <c r="AX636" s="4"/>
      <c r="AY636" s="4"/>
      <c r="AZ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  <c r="AH637" s="4"/>
      <c r="AI637" s="4"/>
      <c r="AJ637" s="4"/>
      <c r="AK637" s="4"/>
      <c r="AL637" s="4"/>
      <c r="AM637" s="4"/>
      <c r="AN637" s="4"/>
      <c r="AO637" s="4"/>
      <c r="AP637" s="4"/>
      <c r="AQ637" s="4"/>
      <c r="AR637" s="4"/>
      <c r="AS637" s="4"/>
      <c r="AT637" s="4"/>
      <c r="AU637" s="4"/>
      <c r="AV637" s="4"/>
      <c r="AW637" s="4"/>
      <c r="AX637" s="4"/>
      <c r="AY637" s="4"/>
      <c r="AZ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  <c r="AG638" s="4"/>
      <c r="AH638" s="4"/>
      <c r="AI638" s="4"/>
      <c r="AJ638" s="4"/>
      <c r="AK638" s="4"/>
      <c r="AL638" s="4"/>
      <c r="AM638" s="4"/>
      <c r="AN638" s="4"/>
      <c r="AO638" s="4"/>
      <c r="AP638" s="4"/>
      <c r="AQ638" s="4"/>
      <c r="AR638" s="4"/>
      <c r="AS638" s="4"/>
      <c r="AT638" s="4"/>
      <c r="AU638" s="4"/>
      <c r="AV638" s="4"/>
      <c r="AW638" s="4"/>
      <c r="AX638" s="4"/>
      <c r="AY638" s="4"/>
      <c r="AZ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  <c r="AG639" s="4"/>
      <c r="AH639" s="4"/>
      <c r="AI639" s="4"/>
      <c r="AJ639" s="4"/>
      <c r="AK639" s="4"/>
      <c r="AL639" s="4"/>
      <c r="AM639" s="4"/>
      <c r="AN639" s="4"/>
      <c r="AO639" s="4"/>
      <c r="AP639" s="4"/>
      <c r="AQ639" s="4"/>
      <c r="AR639" s="4"/>
      <c r="AS639" s="4"/>
      <c r="AT639" s="4"/>
      <c r="AU639" s="4"/>
      <c r="AV639" s="4"/>
      <c r="AW639" s="4"/>
      <c r="AX639" s="4"/>
      <c r="AY639" s="4"/>
      <c r="AZ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  <c r="AG640" s="4"/>
      <c r="AH640" s="4"/>
      <c r="AI640" s="4"/>
      <c r="AJ640" s="4"/>
      <c r="AK640" s="4"/>
      <c r="AL640" s="4"/>
      <c r="AM640" s="4"/>
      <c r="AN640" s="4"/>
      <c r="AO640" s="4"/>
      <c r="AP640" s="4"/>
      <c r="AQ640" s="4"/>
      <c r="AR640" s="4"/>
      <c r="AS640" s="4"/>
      <c r="AT640" s="4"/>
      <c r="AU640" s="4"/>
      <c r="AV640" s="4"/>
      <c r="AW640" s="4"/>
      <c r="AX640" s="4"/>
      <c r="AY640" s="4"/>
      <c r="AZ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  <c r="AG641" s="4"/>
      <c r="AH641" s="4"/>
      <c r="AI641" s="4"/>
      <c r="AJ641" s="4"/>
      <c r="AK641" s="4"/>
      <c r="AL641" s="4"/>
      <c r="AM641" s="4"/>
      <c r="AN641" s="4"/>
      <c r="AO641" s="4"/>
      <c r="AP641" s="4"/>
      <c r="AQ641" s="4"/>
      <c r="AR641" s="4"/>
      <c r="AS641" s="4"/>
      <c r="AT641" s="4"/>
      <c r="AU641" s="4"/>
      <c r="AV641" s="4"/>
      <c r="AW641" s="4"/>
      <c r="AX641" s="4"/>
      <c r="AY641" s="4"/>
      <c r="AZ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  <c r="AG642" s="4"/>
      <c r="AH642" s="4"/>
      <c r="AI642" s="4"/>
      <c r="AJ642" s="4"/>
      <c r="AK642" s="4"/>
      <c r="AL642" s="4"/>
      <c r="AM642" s="4"/>
      <c r="AN642" s="4"/>
      <c r="AO642" s="4"/>
      <c r="AP642" s="4"/>
      <c r="AQ642" s="4"/>
      <c r="AR642" s="4"/>
      <c r="AS642" s="4"/>
      <c r="AT642" s="4"/>
      <c r="AU642" s="4"/>
      <c r="AV642" s="4"/>
      <c r="AW642" s="4"/>
      <c r="AX642" s="4"/>
      <c r="AY642" s="4"/>
      <c r="AZ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  <c r="AG643" s="4"/>
      <c r="AH643" s="4"/>
      <c r="AI643" s="4"/>
      <c r="AJ643" s="4"/>
      <c r="AK643" s="4"/>
      <c r="AL643" s="4"/>
      <c r="AM643" s="4"/>
      <c r="AN643" s="4"/>
      <c r="AO643" s="4"/>
      <c r="AP643" s="4"/>
      <c r="AQ643" s="4"/>
      <c r="AR643" s="4"/>
      <c r="AS643" s="4"/>
      <c r="AT643" s="4"/>
      <c r="AU643" s="4"/>
      <c r="AV643" s="4"/>
      <c r="AW643" s="4"/>
      <c r="AX643" s="4"/>
      <c r="AY643" s="4"/>
      <c r="AZ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  <c r="AG644" s="4"/>
      <c r="AH644" s="4"/>
      <c r="AI644" s="4"/>
      <c r="AJ644" s="4"/>
      <c r="AK644" s="4"/>
      <c r="AL644" s="4"/>
      <c r="AM644" s="4"/>
      <c r="AN644" s="4"/>
      <c r="AO644" s="4"/>
      <c r="AP644" s="4"/>
      <c r="AQ644" s="4"/>
      <c r="AR644" s="4"/>
      <c r="AS644" s="4"/>
      <c r="AT644" s="4"/>
      <c r="AU644" s="4"/>
      <c r="AV644" s="4"/>
      <c r="AW644" s="4"/>
      <c r="AX644" s="4"/>
      <c r="AY644" s="4"/>
      <c r="AZ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  <c r="AG645" s="4"/>
      <c r="AH645" s="4"/>
      <c r="AI645" s="4"/>
      <c r="AJ645" s="4"/>
      <c r="AK645" s="4"/>
      <c r="AL645" s="4"/>
      <c r="AM645" s="4"/>
      <c r="AN645" s="4"/>
      <c r="AO645" s="4"/>
      <c r="AP645" s="4"/>
      <c r="AQ645" s="4"/>
      <c r="AR645" s="4"/>
      <c r="AS645" s="4"/>
      <c r="AT645" s="4"/>
      <c r="AU645" s="4"/>
      <c r="AV645" s="4"/>
      <c r="AW645" s="4"/>
      <c r="AX645" s="4"/>
      <c r="AY645" s="4"/>
      <c r="AZ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  <c r="AG646" s="4"/>
      <c r="AH646" s="4"/>
      <c r="AI646" s="4"/>
      <c r="AJ646" s="4"/>
      <c r="AK646" s="4"/>
      <c r="AL646" s="4"/>
      <c r="AM646" s="4"/>
      <c r="AN646" s="4"/>
      <c r="AO646" s="4"/>
      <c r="AP646" s="4"/>
      <c r="AQ646" s="4"/>
      <c r="AR646" s="4"/>
      <c r="AS646" s="4"/>
      <c r="AT646" s="4"/>
      <c r="AU646" s="4"/>
      <c r="AV646" s="4"/>
      <c r="AW646" s="4"/>
      <c r="AX646" s="4"/>
      <c r="AY646" s="4"/>
      <c r="AZ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  <c r="AG647" s="4"/>
      <c r="AH647" s="4"/>
      <c r="AI647" s="4"/>
      <c r="AJ647" s="4"/>
      <c r="AK647" s="4"/>
      <c r="AL647" s="4"/>
      <c r="AM647" s="4"/>
      <c r="AN647" s="4"/>
      <c r="AO647" s="4"/>
      <c r="AP647" s="4"/>
      <c r="AQ647" s="4"/>
      <c r="AR647" s="4"/>
      <c r="AS647" s="4"/>
      <c r="AT647" s="4"/>
      <c r="AU647" s="4"/>
      <c r="AV647" s="4"/>
      <c r="AW647" s="4"/>
      <c r="AX647" s="4"/>
      <c r="AY647" s="4"/>
      <c r="AZ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  <c r="AG648" s="4"/>
      <c r="AH648" s="4"/>
      <c r="AI648" s="4"/>
      <c r="AJ648" s="4"/>
      <c r="AK648" s="4"/>
      <c r="AL648" s="4"/>
      <c r="AM648" s="4"/>
      <c r="AN648" s="4"/>
      <c r="AO648" s="4"/>
      <c r="AP648" s="4"/>
      <c r="AQ648" s="4"/>
      <c r="AR648" s="4"/>
      <c r="AS648" s="4"/>
      <c r="AT648" s="4"/>
      <c r="AU648" s="4"/>
      <c r="AV648" s="4"/>
      <c r="AW648" s="4"/>
      <c r="AX648" s="4"/>
      <c r="AY648" s="4"/>
      <c r="AZ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  <c r="AG649" s="4"/>
      <c r="AH649" s="4"/>
      <c r="AI649" s="4"/>
      <c r="AJ649" s="4"/>
      <c r="AK649" s="4"/>
      <c r="AL649" s="4"/>
      <c r="AM649" s="4"/>
      <c r="AN649" s="4"/>
      <c r="AO649" s="4"/>
      <c r="AP649" s="4"/>
      <c r="AQ649" s="4"/>
      <c r="AR649" s="4"/>
      <c r="AS649" s="4"/>
      <c r="AT649" s="4"/>
      <c r="AU649" s="4"/>
      <c r="AV649" s="4"/>
      <c r="AW649" s="4"/>
      <c r="AX649" s="4"/>
      <c r="AY649" s="4"/>
      <c r="AZ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  <c r="AG650" s="4"/>
      <c r="AH650" s="4"/>
      <c r="AI650" s="4"/>
      <c r="AJ650" s="4"/>
      <c r="AK650" s="4"/>
      <c r="AL650" s="4"/>
      <c r="AM650" s="4"/>
      <c r="AN650" s="4"/>
      <c r="AO650" s="4"/>
      <c r="AP650" s="4"/>
      <c r="AQ650" s="4"/>
      <c r="AR650" s="4"/>
      <c r="AS650" s="4"/>
      <c r="AT650" s="4"/>
      <c r="AU650" s="4"/>
      <c r="AV650" s="4"/>
      <c r="AW650" s="4"/>
      <c r="AX650" s="4"/>
      <c r="AY650" s="4"/>
      <c r="AZ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  <c r="AG651" s="4"/>
      <c r="AH651" s="4"/>
      <c r="AI651" s="4"/>
      <c r="AJ651" s="4"/>
      <c r="AK651" s="4"/>
      <c r="AL651" s="4"/>
      <c r="AM651" s="4"/>
      <c r="AN651" s="4"/>
      <c r="AO651" s="4"/>
      <c r="AP651" s="4"/>
      <c r="AQ651" s="4"/>
      <c r="AR651" s="4"/>
      <c r="AS651" s="4"/>
      <c r="AT651" s="4"/>
      <c r="AU651" s="4"/>
      <c r="AV651" s="4"/>
      <c r="AW651" s="4"/>
      <c r="AX651" s="4"/>
      <c r="AY651" s="4"/>
      <c r="AZ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  <c r="AG652" s="4"/>
      <c r="AH652" s="4"/>
      <c r="AI652" s="4"/>
      <c r="AJ652" s="4"/>
      <c r="AK652" s="4"/>
      <c r="AL652" s="4"/>
      <c r="AM652" s="4"/>
      <c r="AN652" s="4"/>
      <c r="AO652" s="4"/>
      <c r="AP652" s="4"/>
      <c r="AQ652" s="4"/>
      <c r="AR652" s="4"/>
      <c r="AS652" s="4"/>
      <c r="AT652" s="4"/>
      <c r="AU652" s="4"/>
      <c r="AV652" s="4"/>
      <c r="AW652" s="4"/>
      <c r="AX652" s="4"/>
      <c r="AY652" s="4"/>
      <c r="AZ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  <c r="AG653" s="4"/>
      <c r="AH653" s="4"/>
      <c r="AI653" s="4"/>
      <c r="AJ653" s="4"/>
      <c r="AK653" s="4"/>
      <c r="AL653" s="4"/>
      <c r="AM653" s="4"/>
      <c r="AN653" s="4"/>
      <c r="AO653" s="4"/>
      <c r="AP653" s="4"/>
      <c r="AQ653" s="4"/>
      <c r="AR653" s="4"/>
      <c r="AS653" s="4"/>
      <c r="AT653" s="4"/>
      <c r="AU653" s="4"/>
      <c r="AV653" s="4"/>
      <c r="AW653" s="4"/>
      <c r="AX653" s="4"/>
      <c r="AY653" s="4"/>
      <c r="AZ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  <c r="AG654" s="4"/>
      <c r="AH654" s="4"/>
      <c r="AI654" s="4"/>
      <c r="AJ654" s="4"/>
      <c r="AK654" s="4"/>
      <c r="AL654" s="4"/>
      <c r="AM654" s="4"/>
      <c r="AN654" s="4"/>
      <c r="AO654" s="4"/>
      <c r="AP654" s="4"/>
      <c r="AQ654" s="4"/>
      <c r="AR654" s="4"/>
      <c r="AS654" s="4"/>
      <c r="AT654" s="4"/>
      <c r="AU654" s="4"/>
      <c r="AV654" s="4"/>
      <c r="AW654" s="4"/>
      <c r="AX654" s="4"/>
      <c r="AY654" s="4"/>
      <c r="AZ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  <c r="AG655" s="4"/>
      <c r="AH655" s="4"/>
      <c r="AI655" s="4"/>
      <c r="AJ655" s="4"/>
      <c r="AK655" s="4"/>
      <c r="AL655" s="4"/>
      <c r="AM655" s="4"/>
      <c r="AN655" s="4"/>
      <c r="AO655" s="4"/>
      <c r="AP655" s="4"/>
      <c r="AQ655" s="4"/>
      <c r="AR655" s="4"/>
      <c r="AS655" s="4"/>
      <c r="AT655" s="4"/>
      <c r="AU655" s="4"/>
      <c r="AV655" s="4"/>
      <c r="AW655" s="4"/>
      <c r="AX655" s="4"/>
      <c r="AY655" s="4"/>
      <c r="AZ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  <c r="AG656" s="4"/>
      <c r="AH656" s="4"/>
      <c r="AI656" s="4"/>
      <c r="AJ656" s="4"/>
      <c r="AK656" s="4"/>
      <c r="AL656" s="4"/>
      <c r="AM656" s="4"/>
      <c r="AN656" s="4"/>
      <c r="AO656" s="4"/>
      <c r="AP656" s="4"/>
      <c r="AQ656" s="4"/>
      <c r="AR656" s="4"/>
      <c r="AS656" s="4"/>
      <c r="AT656" s="4"/>
      <c r="AU656" s="4"/>
      <c r="AV656" s="4"/>
      <c r="AW656" s="4"/>
      <c r="AX656" s="4"/>
      <c r="AY656" s="4"/>
      <c r="AZ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  <c r="AG657" s="4"/>
      <c r="AH657" s="4"/>
      <c r="AI657" s="4"/>
      <c r="AJ657" s="4"/>
      <c r="AK657" s="4"/>
      <c r="AL657" s="4"/>
      <c r="AM657" s="4"/>
      <c r="AN657" s="4"/>
      <c r="AO657" s="4"/>
      <c r="AP657" s="4"/>
      <c r="AQ657" s="4"/>
      <c r="AR657" s="4"/>
      <c r="AS657" s="4"/>
      <c r="AT657" s="4"/>
      <c r="AU657" s="4"/>
      <c r="AV657" s="4"/>
      <c r="AW657" s="4"/>
      <c r="AX657" s="4"/>
      <c r="AY657" s="4"/>
      <c r="AZ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  <c r="AG658" s="4"/>
      <c r="AH658" s="4"/>
      <c r="AI658" s="4"/>
      <c r="AJ658" s="4"/>
      <c r="AK658" s="4"/>
      <c r="AL658" s="4"/>
      <c r="AM658" s="4"/>
      <c r="AN658" s="4"/>
      <c r="AO658" s="4"/>
      <c r="AP658" s="4"/>
      <c r="AQ658" s="4"/>
      <c r="AR658" s="4"/>
      <c r="AS658" s="4"/>
      <c r="AT658" s="4"/>
      <c r="AU658" s="4"/>
      <c r="AV658" s="4"/>
      <c r="AW658" s="4"/>
      <c r="AX658" s="4"/>
      <c r="AY658" s="4"/>
      <c r="AZ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  <c r="AG659" s="4"/>
      <c r="AH659" s="4"/>
      <c r="AI659" s="4"/>
      <c r="AJ659" s="4"/>
      <c r="AK659" s="4"/>
      <c r="AL659" s="4"/>
      <c r="AM659" s="4"/>
      <c r="AN659" s="4"/>
      <c r="AO659" s="4"/>
      <c r="AP659" s="4"/>
      <c r="AQ659" s="4"/>
      <c r="AR659" s="4"/>
      <c r="AS659" s="4"/>
      <c r="AT659" s="4"/>
      <c r="AU659" s="4"/>
      <c r="AV659" s="4"/>
      <c r="AW659" s="4"/>
      <c r="AX659" s="4"/>
      <c r="AY659" s="4"/>
      <c r="AZ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  <c r="AG660" s="4"/>
      <c r="AH660" s="4"/>
      <c r="AI660" s="4"/>
      <c r="AJ660" s="4"/>
      <c r="AK660" s="4"/>
      <c r="AL660" s="4"/>
      <c r="AM660" s="4"/>
      <c r="AN660" s="4"/>
      <c r="AO660" s="4"/>
      <c r="AP660" s="4"/>
      <c r="AQ660" s="4"/>
      <c r="AR660" s="4"/>
      <c r="AS660" s="4"/>
      <c r="AT660" s="4"/>
      <c r="AU660" s="4"/>
      <c r="AV660" s="4"/>
      <c r="AW660" s="4"/>
      <c r="AX660" s="4"/>
      <c r="AY660" s="4"/>
      <c r="AZ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  <c r="AG661" s="4"/>
      <c r="AH661" s="4"/>
      <c r="AI661" s="4"/>
      <c r="AJ661" s="4"/>
      <c r="AK661" s="4"/>
      <c r="AL661" s="4"/>
      <c r="AM661" s="4"/>
      <c r="AN661" s="4"/>
      <c r="AO661" s="4"/>
      <c r="AP661" s="4"/>
      <c r="AQ661" s="4"/>
      <c r="AR661" s="4"/>
      <c r="AS661" s="4"/>
      <c r="AT661" s="4"/>
      <c r="AU661" s="4"/>
      <c r="AV661" s="4"/>
      <c r="AW661" s="4"/>
      <c r="AX661" s="4"/>
      <c r="AY661" s="4"/>
      <c r="AZ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  <c r="AG662" s="4"/>
      <c r="AH662" s="4"/>
      <c r="AI662" s="4"/>
      <c r="AJ662" s="4"/>
      <c r="AK662" s="4"/>
      <c r="AL662" s="4"/>
      <c r="AM662" s="4"/>
      <c r="AN662" s="4"/>
      <c r="AO662" s="4"/>
      <c r="AP662" s="4"/>
      <c r="AQ662" s="4"/>
      <c r="AR662" s="4"/>
      <c r="AS662" s="4"/>
      <c r="AT662" s="4"/>
      <c r="AU662" s="4"/>
      <c r="AV662" s="4"/>
      <c r="AW662" s="4"/>
      <c r="AX662" s="4"/>
      <c r="AY662" s="4"/>
      <c r="AZ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  <c r="AG663" s="4"/>
      <c r="AH663" s="4"/>
      <c r="AI663" s="4"/>
      <c r="AJ663" s="4"/>
      <c r="AK663" s="4"/>
      <c r="AL663" s="4"/>
      <c r="AM663" s="4"/>
      <c r="AN663" s="4"/>
      <c r="AO663" s="4"/>
      <c r="AP663" s="4"/>
      <c r="AQ663" s="4"/>
      <c r="AR663" s="4"/>
      <c r="AS663" s="4"/>
      <c r="AT663" s="4"/>
      <c r="AU663" s="4"/>
      <c r="AV663" s="4"/>
      <c r="AW663" s="4"/>
      <c r="AX663" s="4"/>
      <c r="AY663" s="4"/>
      <c r="AZ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  <c r="AG664" s="4"/>
      <c r="AH664" s="4"/>
      <c r="AI664" s="4"/>
      <c r="AJ664" s="4"/>
      <c r="AK664" s="4"/>
      <c r="AL664" s="4"/>
      <c r="AM664" s="4"/>
      <c r="AN664" s="4"/>
      <c r="AO664" s="4"/>
      <c r="AP664" s="4"/>
      <c r="AQ664" s="4"/>
      <c r="AR664" s="4"/>
      <c r="AS664" s="4"/>
      <c r="AT664" s="4"/>
      <c r="AU664" s="4"/>
      <c r="AV664" s="4"/>
      <c r="AW664" s="4"/>
      <c r="AX664" s="4"/>
      <c r="AY664" s="4"/>
      <c r="AZ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  <c r="AG665" s="4"/>
      <c r="AH665" s="4"/>
      <c r="AI665" s="4"/>
      <c r="AJ665" s="4"/>
      <c r="AK665" s="4"/>
      <c r="AL665" s="4"/>
      <c r="AM665" s="4"/>
      <c r="AN665" s="4"/>
      <c r="AO665" s="4"/>
      <c r="AP665" s="4"/>
      <c r="AQ665" s="4"/>
      <c r="AR665" s="4"/>
      <c r="AS665" s="4"/>
      <c r="AT665" s="4"/>
      <c r="AU665" s="4"/>
      <c r="AV665" s="4"/>
      <c r="AW665" s="4"/>
      <c r="AX665" s="4"/>
      <c r="AY665" s="4"/>
      <c r="AZ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  <c r="AG666" s="4"/>
      <c r="AH666" s="4"/>
      <c r="AI666" s="4"/>
      <c r="AJ666" s="4"/>
      <c r="AK666" s="4"/>
      <c r="AL666" s="4"/>
      <c r="AM666" s="4"/>
      <c r="AN666" s="4"/>
      <c r="AO666" s="4"/>
      <c r="AP666" s="4"/>
      <c r="AQ666" s="4"/>
      <c r="AR666" s="4"/>
      <c r="AS666" s="4"/>
      <c r="AT666" s="4"/>
      <c r="AU666" s="4"/>
      <c r="AV666" s="4"/>
      <c r="AW666" s="4"/>
      <c r="AX666" s="4"/>
      <c r="AY666" s="4"/>
      <c r="AZ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  <c r="AG667" s="4"/>
      <c r="AH667" s="4"/>
      <c r="AI667" s="4"/>
      <c r="AJ667" s="4"/>
      <c r="AK667" s="4"/>
      <c r="AL667" s="4"/>
      <c r="AM667" s="4"/>
      <c r="AN667" s="4"/>
      <c r="AO667" s="4"/>
      <c r="AP667" s="4"/>
      <c r="AQ667" s="4"/>
      <c r="AR667" s="4"/>
      <c r="AS667" s="4"/>
      <c r="AT667" s="4"/>
      <c r="AU667" s="4"/>
      <c r="AV667" s="4"/>
      <c r="AW667" s="4"/>
      <c r="AX667" s="4"/>
      <c r="AY667" s="4"/>
      <c r="AZ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  <c r="AG668" s="4"/>
      <c r="AH668" s="4"/>
      <c r="AI668" s="4"/>
      <c r="AJ668" s="4"/>
      <c r="AK668" s="4"/>
      <c r="AL668" s="4"/>
      <c r="AM668" s="4"/>
      <c r="AN668" s="4"/>
      <c r="AO668" s="4"/>
      <c r="AP668" s="4"/>
      <c r="AQ668" s="4"/>
      <c r="AR668" s="4"/>
      <c r="AS668" s="4"/>
      <c r="AT668" s="4"/>
      <c r="AU668" s="4"/>
      <c r="AV668" s="4"/>
      <c r="AW668" s="4"/>
      <c r="AX668" s="4"/>
      <c r="AY668" s="4"/>
      <c r="AZ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  <c r="AG669" s="4"/>
      <c r="AH669" s="4"/>
      <c r="AI669" s="4"/>
      <c r="AJ669" s="4"/>
      <c r="AK669" s="4"/>
      <c r="AL669" s="4"/>
      <c r="AM669" s="4"/>
      <c r="AN669" s="4"/>
      <c r="AO669" s="4"/>
      <c r="AP669" s="4"/>
      <c r="AQ669" s="4"/>
      <c r="AR669" s="4"/>
      <c r="AS669" s="4"/>
      <c r="AT669" s="4"/>
      <c r="AU669" s="4"/>
      <c r="AV669" s="4"/>
      <c r="AW669" s="4"/>
      <c r="AX669" s="4"/>
      <c r="AY669" s="4"/>
      <c r="AZ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  <c r="AG670" s="4"/>
      <c r="AH670" s="4"/>
      <c r="AI670" s="4"/>
      <c r="AJ670" s="4"/>
      <c r="AK670" s="4"/>
      <c r="AL670" s="4"/>
      <c r="AM670" s="4"/>
      <c r="AN670" s="4"/>
      <c r="AO670" s="4"/>
      <c r="AP670" s="4"/>
      <c r="AQ670" s="4"/>
      <c r="AR670" s="4"/>
      <c r="AS670" s="4"/>
      <c r="AT670" s="4"/>
      <c r="AU670" s="4"/>
      <c r="AV670" s="4"/>
      <c r="AW670" s="4"/>
      <c r="AX670" s="4"/>
      <c r="AY670" s="4"/>
      <c r="AZ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  <c r="AG671" s="4"/>
      <c r="AH671" s="4"/>
      <c r="AI671" s="4"/>
      <c r="AJ671" s="4"/>
      <c r="AK671" s="4"/>
      <c r="AL671" s="4"/>
      <c r="AM671" s="4"/>
      <c r="AN671" s="4"/>
      <c r="AO671" s="4"/>
      <c r="AP671" s="4"/>
      <c r="AQ671" s="4"/>
      <c r="AR671" s="4"/>
      <c r="AS671" s="4"/>
      <c r="AT671" s="4"/>
      <c r="AU671" s="4"/>
      <c r="AV671" s="4"/>
      <c r="AW671" s="4"/>
      <c r="AX671" s="4"/>
      <c r="AY671" s="4"/>
      <c r="AZ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  <c r="AG672" s="4"/>
      <c r="AH672" s="4"/>
      <c r="AI672" s="4"/>
      <c r="AJ672" s="4"/>
      <c r="AK672" s="4"/>
      <c r="AL672" s="4"/>
      <c r="AM672" s="4"/>
      <c r="AN672" s="4"/>
      <c r="AO672" s="4"/>
      <c r="AP672" s="4"/>
      <c r="AQ672" s="4"/>
      <c r="AR672" s="4"/>
      <c r="AS672" s="4"/>
      <c r="AT672" s="4"/>
      <c r="AU672" s="4"/>
      <c r="AV672" s="4"/>
      <c r="AW672" s="4"/>
      <c r="AX672" s="4"/>
      <c r="AY672" s="4"/>
      <c r="AZ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  <c r="AG673" s="4"/>
      <c r="AH673" s="4"/>
      <c r="AI673" s="4"/>
      <c r="AJ673" s="4"/>
      <c r="AK673" s="4"/>
      <c r="AL673" s="4"/>
      <c r="AM673" s="4"/>
      <c r="AN673" s="4"/>
      <c r="AO673" s="4"/>
      <c r="AP673" s="4"/>
      <c r="AQ673" s="4"/>
      <c r="AR673" s="4"/>
      <c r="AS673" s="4"/>
      <c r="AT673" s="4"/>
      <c r="AU673" s="4"/>
      <c r="AV673" s="4"/>
      <c r="AW673" s="4"/>
      <c r="AX673" s="4"/>
      <c r="AY673" s="4"/>
      <c r="AZ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  <c r="AG674" s="4"/>
      <c r="AH674" s="4"/>
      <c r="AI674" s="4"/>
      <c r="AJ674" s="4"/>
      <c r="AK674" s="4"/>
      <c r="AL674" s="4"/>
      <c r="AM674" s="4"/>
      <c r="AN674" s="4"/>
      <c r="AO674" s="4"/>
      <c r="AP674" s="4"/>
      <c r="AQ674" s="4"/>
      <c r="AR674" s="4"/>
      <c r="AS674" s="4"/>
      <c r="AT674" s="4"/>
      <c r="AU674" s="4"/>
      <c r="AV674" s="4"/>
      <c r="AW674" s="4"/>
      <c r="AX674" s="4"/>
      <c r="AY674" s="4"/>
      <c r="AZ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  <c r="AG675" s="4"/>
      <c r="AH675" s="4"/>
      <c r="AI675" s="4"/>
      <c r="AJ675" s="4"/>
      <c r="AK675" s="4"/>
      <c r="AL675" s="4"/>
      <c r="AM675" s="4"/>
      <c r="AN675" s="4"/>
      <c r="AO675" s="4"/>
      <c r="AP675" s="4"/>
      <c r="AQ675" s="4"/>
      <c r="AR675" s="4"/>
      <c r="AS675" s="4"/>
      <c r="AT675" s="4"/>
      <c r="AU675" s="4"/>
      <c r="AV675" s="4"/>
      <c r="AW675" s="4"/>
      <c r="AX675" s="4"/>
      <c r="AY675" s="4"/>
      <c r="AZ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  <c r="AG676" s="4"/>
      <c r="AH676" s="4"/>
      <c r="AI676" s="4"/>
      <c r="AJ676" s="4"/>
      <c r="AK676" s="4"/>
      <c r="AL676" s="4"/>
      <c r="AM676" s="4"/>
      <c r="AN676" s="4"/>
      <c r="AO676" s="4"/>
      <c r="AP676" s="4"/>
      <c r="AQ676" s="4"/>
      <c r="AR676" s="4"/>
      <c r="AS676" s="4"/>
      <c r="AT676" s="4"/>
      <c r="AU676" s="4"/>
      <c r="AV676" s="4"/>
      <c r="AW676" s="4"/>
      <c r="AX676" s="4"/>
      <c r="AY676" s="4"/>
      <c r="AZ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  <c r="AG677" s="4"/>
      <c r="AH677" s="4"/>
      <c r="AI677" s="4"/>
      <c r="AJ677" s="4"/>
      <c r="AK677" s="4"/>
      <c r="AL677" s="4"/>
      <c r="AM677" s="4"/>
      <c r="AN677" s="4"/>
      <c r="AO677" s="4"/>
      <c r="AP677" s="4"/>
      <c r="AQ677" s="4"/>
      <c r="AR677" s="4"/>
      <c r="AS677" s="4"/>
      <c r="AT677" s="4"/>
      <c r="AU677" s="4"/>
      <c r="AV677" s="4"/>
      <c r="AW677" s="4"/>
      <c r="AX677" s="4"/>
      <c r="AY677" s="4"/>
      <c r="AZ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  <c r="AG678" s="4"/>
      <c r="AH678" s="4"/>
      <c r="AI678" s="4"/>
      <c r="AJ678" s="4"/>
      <c r="AK678" s="4"/>
      <c r="AL678" s="4"/>
      <c r="AM678" s="4"/>
      <c r="AN678" s="4"/>
      <c r="AO678" s="4"/>
      <c r="AP678" s="4"/>
      <c r="AQ678" s="4"/>
      <c r="AR678" s="4"/>
      <c r="AS678" s="4"/>
      <c r="AT678" s="4"/>
      <c r="AU678" s="4"/>
      <c r="AV678" s="4"/>
      <c r="AW678" s="4"/>
      <c r="AX678" s="4"/>
      <c r="AY678" s="4"/>
      <c r="AZ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  <c r="AG679" s="4"/>
      <c r="AH679" s="4"/>
      <c r="AI679" s="4"/>
      <c r="AJ679" s="4"/>
      <c r="AK679" s="4"/>
      <c r="AL679" s="4"/>
      <c r="AM679" s="4"/>
      <c r="AN679" s="4"/>
      <c r="AO679" s="4"/>
      <c r="AP679" s="4"/>
      <c r="AQ679" s="4"/>
      <c r="AR679" s="4"/>
      <c r="AS679" s="4"/>
      <c r="AT679" s="4"/>
      <c r="AU679" s="4"/>
      <c r="AV679" s="4"/>
      <c r="AW679" s="4"/>
      <c r="AX679" s="4"/>
      <c r="AY679" s="4"/>
      <c r="AZ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  <c r="AG680" s="4"/>
      <c r="AH680" s="4"/>
      <c r="AI680" s="4"/>
      <c r="AJ680" s="4"/>
      <c r="AK680" s="4"/>
      <c r="AL680" s="4"/>
      <c r="AM680" s="4"/>
      <c r="AN680" s="4"/>
      <c r="AO680" s="4"/>
      <c r="AP680" s="4"/>
      <c r="AQ680" s="4"/>
      <c r="AR680" s="4"/>
      <c r="AS680" s="4"/>
      <c r="AT680" s="4"/>
      <c r="AU680" s="4"/>
      <c r="AV680" s="4"/>
      <c r="AW680" s="4"/>
      <c r="AX680" s="4"/>
      <c r="AY680" s="4"/>
      <c r="AZ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  <c r="AG681" s="4"/>
      <c r="AH681" s="4"/>
      <c r="AI681" s="4"/>
      <c r="AJ681" s="4"/>
      <c r="AK681" s="4"/>
      <c r="AL681" s="4"/>
      <c r="AM681" s="4"/>
      <c r="AN681" s="4"/>
      <c r="AO681" s="4"/>
      <c r="AP681" s="4"/>
      <c r="AQ681" s="4"/>
      <c r="AR681" s="4"/>
      <c r="AS681" s="4"/>
      <c r="AT681" s="4"/>
      <c r="AU681" s="4"/>
      <c r="AV681" s="4"/>
      <c r="AW681" s="4"/>
      <c r="AX681" s="4"/>
      <c r="AY681" s="4"/>
      <c r="AZ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  <c r="AG682" s="4"/>
      <c r="AH682" s="4"/>
      <c r="AI682" s="4"/>
      <c r="AJ682" s="4"/>
      <c r="AK682" s="4"/>
      <c r="AL682" s="4"/>
      <c r="AM682" s="4"/>
      <c r="AN682" s="4"/>
      <c r="AO682" s="4"/>
      <c r="AP682" s="4"/>
      <c r="AQ682" s="4"/>
      <c r="AR682" s="4"/>
      <c r="AS682" s="4"/>
      <c r="AT682" s="4"/>
      <c r="AU682" s="4"/>
      <c r="AV682" s="4"/>
      <c r="AW682" s="4"/>
      <c r="AX682" s="4"/>
      <c r="AY682" s="4"/>
      <c r="AZ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  <c r="AG683" s="4"/>
      <c r="AH683" s="4"/>
      <c r="AI683" s="4"/>
      <c r="AJ683" s="4"/>
      <c r="AK683" s="4"/>
      <c r="AL683" s="4"/>
      <c r="AM683" s="4"/>
      <c r="AN683" s="4"/>
      <c r="AO683" s="4"/>
      <c r="AP683" s="4"/>
      <c r="AQ683" s="4"/>
      <c r="AR683" s="4"/>
      <c r="AS683" s="4"/>
      <c r="AT683" s="4"/>
      <c r="AU683" s="4"/>
      <c r="AV683" s="4"/>
      <c r="AW683" s="4"/>
      <c r="AX683" s="4"/>
      <c r="AY683" s="4"/>
      <c r="AZ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  <c r="AG684" s="4"/>
      <c r="AH684" s="4"/>
      <c r="AI684" s="4"/>
      <c r="AJ684" s="4"/>
      <c r="AK684" s="4"/>
      <c r="AL684" s="4"/>
      <c r="AM684" s="4"/>
      <c r="AN684" s="4"/>
      <c r="AO684" s="4"/>
      <c r="AP684" s="4"/>
      <c r="AQ684" s="4"/>
      <c r="AR684" s="4"/>
      <c r="AS684" s="4"/>
      <c r="AT684" s="4"/>
      <c r="AU684" s="4"/>
      <c r="AV684" s="4"/>
      <c r="AW684" s="4"/>
      <c r="AX684" s="4"/>
      <c r="AY684" s="4"/>
      <c r="AZ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  <c r="AG685" s="4"/>
      <c r="AH685" s="4"/>
      <c r="AI685" s="4"/>
      <c r="AJ685" s="4"/>
      <c r="AK685" s="4"/>
      <c r="AL685" s="4"/>
      <c r="AM685" s="4"/>
      <c r="AN685" s="4"/>
      <c r="AO685" s="4"/>
      <c r="AP685" s="4"/>
      <c r="AQ685" s="4"/>
      <c r="AR685" s="4"/>
      <c r="AS685" s="4"/>
      <c r="AT685" s="4"/>
      <c r="AU685" s="4"/>
      <c r="AV685" s="4"/>
      <c r="AW685" s="4"/>
      <c r="AX685" s="4"/>
      <c r="AY685" s="4"/>
      <c r="AZ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  <c r="AG686" s="4"/>
      <c r="AH686" s="4"/>
      <c r="AI686" s="4"/>
      <c r="AJ686" s="4"/>
      <c r="AK686" s="4"/>
      <c r="AL686" s="4"/>
      <c r="AM686" s="4"/>
      <c r="AN686" s="4"/>
      <c r="AO686" s="4"/>
      <c r="AP686" s="4"/>
      <c r="AQ686" s="4"/>
      <c r="AR686" s="4"/>
      <c r="AS686" s="4"/>
      <c r="AT686" s="4"/>
      <c r="AU686" s="4"/>
      <c r="AV686" s="4"/>
      <c r="AW686" s="4"/>
      <c r="AX686" s="4"/>
      <c r="AY686" s="4"/>
      <c r="AZ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  <c r="AG687" s="4"/>
      <c r="AH687" s="4"/>
      <c r="AI687" s="4"/>
      <c r="AJ687" s="4"/>
      <c r="AK687" s="4"/>
      <c r="AL687" s="4"/>
      <c r="AM687" s="4"/>
      <c r="AN687" s="4"/>
      <c r="AO687" s="4"/>
      <c r="AP687" s="4"/>
      <c r="AQ687" s="4"/>
      <c r="AR687" s="4"/>
      <c r="AS687" s="4"/>
      <c r="AT687" s="4"/>
      <c r="AU687" s="4"/>
      <c r="AV687" s="4"/>
      <c r="AW687" s="4"/>
      <c r="AX687" s="4"/>
      <c r="AY687" s="4"/>
      <c r="AZ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  <c r="AG688" s="4"/>
      <c r="AH688" s="4"/>
      <c r="AI688" s="4"/>
      <c r="AJ688" s="4"/>
      <c r="AK688" s="4"/>
      <c r="AL688" s="4"/>
      <c r="AM688" s="4"/>
      <c r="AN688" s="4"/>
      <c r="AO688" s="4"/>
      <c r="AP688" s="4"/>
      <c r="AQ688" s="4"/>
      <c r="AR688" s="4"/>
      <c r="AS688" s="4"/>
      <c r="AT688" s="4"/>
      <c r="AU688" s="4"/>
      <c r="AV688" s="4"/>
      <c r="AW688" s="4"/>
      <c r="AX688" s="4"/>
      <c r="AY688" s="4"/>
      <c r="AZ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  <c r="AG689" s="4"/>
      <c r="AH689" s="4"/>
      <c r="AI689" s="4"/>
      <c r="AJ689" s="4"/>
      <c r="AK689" s="4"/>
      <c r="AL689" s="4"/>
      <c r="AM689" s="4"/>
      <c r="AN689" s="4"/>
      <c r="AO689" s="4"/>
      <c r="AP689" s="4"/>
      <c r="AQ689" s="4"/>
      <c r="AR689" s="4"/>
      <c r="AS689" s="4"/>
      <c r="AT689" s="4"/>
      <c r="AU689" s="4"/>
      <c r="AV689" s="4"/>
      <c r="AW689" s="4"/>
      <c r="AX689" s="4"/>
      <c r="AY689" s="4"/>
      <c r="AZ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  <c r="AG690" s="4"/>
      <c r="AH690" s="4"/>
      <c r="AI690" s="4"/>
      <c r="AJ690" s="4"/>
      <c r="AK690" s="4"/>
      <c r="AL690" s="4"/>
      <c r="AM690" s="4"/>
      <c r="AN690" s="4"/>
      <c r="AO690" s="4"/>
      <c r="AP690" s="4"/>
      <c r="AQ690" s="4"/>
      <c r="AR690" s="4"/>
      <c r="AS690" s="4"/>
      <c r="AT690" s="4"/>
      <c r="AU690" s="4"/>
      <c r="AV690" s="4"/>
      <c r="AW690" s="4"/>
      <c r="AX690" s="4"/>
      <c r="AY690" s="4"/>
      <c r="AZ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  <c r="AG691" s="4"/>
      <c r="AH691" s="4"/>
      <c r="AI691" s="4"/>
      <c r="AJ691" s="4"/>
      <c r="AK691" s="4"/>
      <c r="AL691" s="4"/>
      <c r="AM691" s="4"/>
      <c r="AN691" s="4"/>
      <c r="AO691" s="4"/>
      <c r="AP691" s="4"/>
      <c r="AQ691" s="4"/>
      <c r="AR691" s="4"/>
      <c r="AS691" s="4"/>
      <c r="AT691" s="4"/>
      <c r="AU691" s="4"/>
      <c r="AV691" s="4"/>
      <c r="AW691" s="4"/>
      <c r="AX691" s="4"/>
      <c r="AY691" s="4"/>
      <c r="AZ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  <c r="AG692" s="4"/>
      <c r="AH692" s="4"/>
      <c r="AI692" s="4"/>
      <c r="AJ692" s="4"/>
      <c r="AK692" s="4"/>
      <c r="AL692" s="4"/>
      <c r="AM692" s="4"/>
      <c r="AN692" s="4"/>
      <c r="AO692" s="4"/>
      <c r="AP692" s="4"/>
      <c r="AQ692" s="4"/>
      <c r="AR692" s="4"/>
      <c r="AS692" s="4"/>
      <c r="AT692" s="4"/>
      <c r="AU692" s="4"/>
      <c r="AV692" s="4"/>
      <c r="AW692" s="4"/>
      <c r="AX692" s="4"/>
      <c r="AY692" s="4"/>
      <c r="AZ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  <c r="AG693" s="4"/>
      <c r="AH693" s="4"/>
      <c r="AI693" s="4"/>
      <c r="AJ693" s="4"/>
      <c r="AK693" s="4"/>
      <c r="AL693" s="4"/>
      <c r="AM693" s="4"/>
      <c r="AN693" s="4"/>
      <c r="AO693" s="4"/>
      <c r="AP693" s="4"/>
      <c r="AQ693" s="4"/>
      <c r="AR693" s="4"/>
      <c r="AS693" s="4"/>
      <c r="AT693" s="4"/>
      <c r="AU693" s="4"/>
      <c r="AV693" s="4"/>
      <c r="AW693" s="4"/>
      <c r="AX693" s="4"/>
      <c r="AY693" s="4"/>
      <c r="AZ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  <c r="AG694" s="4"/>
      <c r="AH694" s="4"/>
      <c r="AI694" s="4"/>
      <c r="AJ694" s="4"/>
      <c r="AK694" s="4"/>
      <c r="AL694" s="4"/>
      <c r="AM694" s="4"/>
      <c r="AN694" s="4"/>
      <c r="AO694" s="4"/>
      <c r="AP694" s="4"/>
      <c r="AQ694" s="4"/>
      <c r="AR694" s="4"/>
      <c r="AS694" s="4"/>
      <c r="AT694" s="4"/>
      <c r="AU694" s="4"/>
      <c r="AV694" s="4"/>
      <c r="AW694" s="4"/>
      <c r="AX694" s="4"/>
      <c r="AY694" s="4"/>
      <c r="AZ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  <c r="AG695" s="4"/>
      <c r="AH695" s="4"/>
      <c r="AI695" s="4"/>
      <c r="AJ695" s="4"/>
      <c r="AK695" s="4"/>
      <c r="AL695" s="4"/>
      <c r="AM695" s="4"/>
      <c r="AN695" s="4"/>
      <c r="AO695" s="4"/>
      <c r="AP695" s="4"/>
      <c r="AQ695" s="4"/>
      <c r="AR695" s="4"/>
      <c r="AS695" s="4"/>
      <c r="AT695" s="4"/>
      <c r="AU695" s="4"/>
      <c r="AV695" s="4"/>
      <c r="AW695" s="4"/>
      <c r="AX695" s="4"/>
      <c r="AY695" s="4"/>
      <c r="AZ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  <c r="AG696" s="4"/>
      <c r="AH696" s="4"/>
      <c r="AI696" s="4"/>
      <c r="AJ696" s="4"/>
      <c r="AK696" s="4"/>
      <c r="AL696" s="4"/>
      <c r="AM696" s="4"/>
      <c r="AN696" s="4"/>
      <c r="AO696" s="4"/>
      <c r="AP696" s="4"/>
      <c r="AQ696" s="4"/>
      <c r="AR696" s="4"/>
      <c r="AS696" s="4"/>
      <c r="AT696" s="4"/>
      <c r="AU696" s="4"/>
      <c r="AV696" s="4"/>
      <c r="AW696" s="4"/>
      <c r="AX696" s="4"/>
      <c r="AY696" s="4"/>
      <c r="AZ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  <c r="AG697" s="4"/>
      <c r="AH697" s="4"/>
      <c r="AI697" s="4"/>
      <c r="AJ697" s="4"/>
      <c r="AK697" s="4"/>
      <c r="AL697" s="4"/>
      <c r="AM697" s="4"/>
      <c r="AN697" s="4"/>
      <c r="AO697" s="4"/>
      <c r="AP697" s="4"/>
      <c r="AQ697" s="4"/>
      <c r="AR697" s="4"/>
      <c r="AS697" s="4"/>
      <c r="AT697" s="4"/>
      <c r="AU697" s="4"/>
      <c r="AV697" s="4"/>
      <c r="AW697" s="4"/>
      <c r="AX697" s="4"/>
      <c r="AY697" s="4"/>
      <c r="AZ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4"/>
      <c r="AH698" s="4"/>
      <c r="AI698" s="4"/>
      <c r="AJ698" s="4"/>
      <c r="AK698" s="4"/>
      <c r="AL698" s="4"/>
      <c r="AM698" s="4"/>
      <c r="AN698" s="4"/>
      <c r="AO698" s="4"/>
      <c r="AP698" s="4"/>
      <c r="AQ698" s="4"/>
      <c r="AR698" s="4"/>
      <c r="AS698" s="4"/>
      <c r="AT698" s="4"/>
      <c r="AU698" s="4"/>
      <c r="AV698" s="4"/>
      <c r="AW698" s="4"/>
      <c r="AX698" s="4"/>
      <c r="AY698" s="4"/>
      <c r="AZ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4"/>
      <c r="AH699" s="4"/>
      <c r="AI699" s="4"/>
      <c r="AJ699" s="4"/>
      <c r="AK699" s="4"/>
      <c r="AL699" s="4"/>
      <c r="AM699" s="4"/>
      <c r="AN699" s="4"/>
      <c r="AO699" s="4"/>
      <c r="AP699" s="4"/>
      <c r="AQ699" s="4"/>
      <c r="AR699" s="4"/>
      <c r="AS699" s="4"/>
      <c r="AT699" s="4"/>
      <c r="AU699" s="4"/>
      <c r="AV699" s="4"/>
      <c r="AW699" s="4"/>
      <c r="AX699" s="4"/>
      <c r="AY699" s="4"/>
      <c r="AZ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4"/>
      <c r="AH700" s="4"/>
      <c r="AI700" s="4"/>
      <c r="AJ700" s="4"/>
      <c r="AK700" s="4"/>
      <c r="AL700" s="4"/>
      <c r="AM700" s="4"/>
      <c r="AN700" s="4"/>
      <c r="AO700" s="4"/>
      <c r="AP700" s="4"/>
      <c r="AQ700" s="4"/>
      <c r="AR700" s="4"/>
      <c r="AS700" s="4"/>
      <c r="AT700" s="4"/>
      <c r="AU700" s="4"/>
      <c r="AV700" s="4"/>
      <c r="AW700" s="4"/>
      <c r="AX700" s="4"/>
      <c r="AY700" s="4"/>
      <c r="AZ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  <c r="AG701" s="4"/>
      <c r="AH701" s="4"/>
      <c r="AI701" s="4"/>
      <c r="AJ701" s="4"/>
      <c r="AK701" s="4"/>
      <c r="AL701" s="4"/>
      <c r="AM701" s="4"/>
      <c r="AN701" s="4"/>
      <c r="AO701" s="4"/>
      <c r="AP701" s="4"/>
      <c r="AQ701" s="4"/>
      <c r="AR701" s="4"/>
      <c r="AS701" s="4"/>
      <c r="AT701" s="4"/>
      <c r="AU701" s="4"/>
      <c r="AV701" s="4"/>
      <c r="AW701" s="4"/>
      <c r="AX701" s="4"/>
      <c r="AY701" s="4"/>
      <c r="AZ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  <c r="AG702" s="4"/>
      <c r="AH702" s="4"/>
      <c r="AI702" s="4"/>
      <c r="AJ702" s="4"/>
      <c r="AK702" s="4"/>
      <c r="AL702" s="4"/>
      <c r="AM702" s="4"/>
      <c r="AN702" s="4"/>
      <c r="AO702" s="4"/>
      <c r="AP702" s="4"/>
      <c r="AQ702" s="4"/>
      <c r="AR702" s="4"/>
      <c r="AS702" s="4"/>
      <c r="AT702" s="4"/>
      <c r="AU702" s="4"/>
      <c r="AV702" s="4"/>
      <c r="AW702" s="4"/>
      <c r="AX702" s="4"/>
      <c r="AY702" s="4"/>
      <c r="AZ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  <c r="AG703" s="4"/>
      <c r="AH703" s="4"/>
      <c r="AI703" s="4"/>
      <c r="AJ703" s="4"/>
      <c r="AK703" s="4"/>
      <c r="AL703" s="4"/>
      <c r="AM703" s="4"/>
      <c r="AN703" s="4"/>
      <c r="AO703" s="4"/>
      <c r="AP703" s="4"/>
      <c r="AQ703" s="4"/>
      <c r="AR703" s="4"/>
      <c r="AS703" s="4"/>
      <c r="AT703" s="4"/>
      <c r="AU703" s="4"/>
      <c r="AV703" s="4"/>
      <c r="AW703" s="4"/>
      <c r="AX703" s="4"/>
      <c r="AY703" s="4"/>
      <c r="AZ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  <c r="AG704" s="4"/>
      <c r="AH704" s="4"/>
      <c r="AI704" s="4"/>
      <c r="AJ704" s="4"/>
      <c r="AK704" s="4"/>
      <c r="AL704" s="4"/>
      <c r="AM704" s="4"/>
      <c r="AN704" s="4"/>
      <c r="AO704" s="4"/>
      <c r="AP704" s="4"/>
      <c r="AQ704" s="4"/>
      <c r="AR704" s="4"/>
      <c r="AS704" s="4"/>
      <c r="AT704" s="4"/>
      <c r="AU704" s="4"/>
      <c r="AV704" s="4"/>
      <c r="AW704" s="4"/>
      <c r="AX704" s="4"/>
      <c r="AY704" s="4"/>
      <c r="AZ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  <c r="AG705" s="4"/>
      <c r="AH705" s="4"/>
      <c r="AI705" s="4"/>
      <c r="AJ705" s="4"/>
      <c r="AK705" s="4"/>
      <c r="AL705" s="4"/>
      <c r="AM705" s="4"/>
      <c r="AN705" s="4"/>
      <c r="AO705" s="4"/>
      <c r="AP705" s="4"/>
      <c r="AQ705" s="4"/>
      <c r="AR705" s="4"/>
      <c r="AS705" s="4"/>
      <c r="AT705" s="4"/>
      <c r="AU705" s="4"/>
      <c r="AV705" s="4"/>
      <c r="AW705" s="4"/>
      <c r="AX705" s="4"/>
      <c r="AY705" s="4"/>
      <c r="AZ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  <c r="AG706" s="4"/>
      <c r="AH706" s="4"/>
      <c r="AI706" s="4"/>
      <c r="AJ706" s="4"/>
      <c r="AK706" s="4"/>
      <c r="AL706" s="4"/>
      <c r="AM706" s="4"/>
      <c r="AN706" s="4"/>
      <c r="AO706" s="4"/>
      <c r="AP706" s="4"/>
      <c r="AQ706" s="4"/>
      <c r="AR706" s="4"/>
      <c r="AS706" s="4"/>
      <c r="AT706" s="4"/>
      <c r="AU706" s="4"/>
      <c r="AV706" s="4"/>
      <c r="AW706" s="4"/>
      <c r="AX706" s="4"/>
      <c r="AY706" s="4"/>
      <c r="AZ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4"/>
      <c r="AH707" s="4"/>
      <c r="AI707" s="4"/>
      <c r="AJ707" s="4"/>
      <c r="AK707" s="4"/>
      <c r="AL707" s="4"/>
      <c r="AM707" s="4"/>
      <c r="AN707" s="4"/>
      <c r="AO707" s="4"/>
      <c r="AP707" s="4"/>
      <c r="AQ707" s="4"/>
      <c r="AR707" s="4"/>
      <c r="AS707" s="4"/>
      <c r="AT707" s="4"/>
      <c r="AU707" s="4"/>
      <c r="AV707" s="4"/>
      <c r="AW707" s="4"/>
      <c r="AX707" s="4"/>
      <c r="AY707" s="4"/>
      <c r="AZ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  <c r="AG708" s="4"/>
      <c r="AH708" s="4"/>
      <c r="AI708" s="4"/>
      <c r="AJ708" s="4"/>
      <c r="AK708" s="4"/>
      <c r="AL708" s="4"/>
      <c r="AM708" s="4"/>
      <c r="AN708" s="4"/>
      <c r="AO708" s="4"/>
      <c r="AP708" s="4"/>
      <c r="AQ708" s="4"/>
      <c r="AR708" s="4"/>
      <c r="AS708" s="4"/>
      <c r="AT708" s="4"/>
      <c r="AU708" s="4"/>
      <c r="AV708" s="4"/>
      <c r="AW708" s="4"/>
      <c r="AX708" s="4"/>
      <c r="AY708" s="4"/>
      <c r="AZ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4"/>
      <c r="AH709" s="4"/>
      <c r="AI709" s="4"/>
      <c r="AJ709" s="4"/>
      <c r="AK709" s="4"/>
      <c r="AL709" s="4"/>
      <c r="AM709" s="4"/>
      <c r="AN709" s="4"/>
      <c r="AO709" s="4"/>
      <c r="AP709" s="4"/>
      <c r="AQ709" s="4"/>
      <c r="AR709" s="4"/>
      <c r="AS709" s="4"/>
      <c r="AT709" s="4"/>
      <c r="AU709" s="4"/>
      <c r="AV709" s="4"/>
      <c r="AW709" s="4"/>
      <c r="AX709" s="4"/>
      <c r="AY709" s="4"/>
      <c r="AZ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  <c r="AG710" s="4"/>
      <c r="AH710" s="4"/>
      <c r="AI710" s="4"/>
      <c r="AJ710" s="4"/>
      <c r="AK710" s="4"/>
      <c r="AL710" s="4"/>
      <c r="AM710" s="4"/>
      <c r="AN710" s="4"/>
      <c r="AO710" s="4"/>
      <c r="AP710" s="4"/>
      <c r="AQ710" s="4"/>
      <c r="AR710" s="4"/>
      <c r="AS710" s="4"/>
      <c r="AT710" s="4"/>
      <c r="AU710" s="4"/>
      <c r="AV710" s="4"/>
      <c r="AW710" s="4"/>
      <c r="AX710" s="4"/>
      <c r="AY710" s="4"/>
      <c r="AZ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  <c r="AG711" s="4"/>
      <c r="AH711" s="4"/>
      <c r="AI711" s="4"/>
      <c r="AJ711" s="4"/>
      <c r="AK711" s="4"/>
      <c r="AL711" s="4"/>
      <c r="AM711" s="4"/>
      <c r="AN711" s="4"/>
      <c r="AO711" s="4"/>
      <c r="AP711" s="4"/>
      <c r="AQ711" s="4"/>
      <c r="AR711" s="4"/>
      <c r="AS711" s="4"/>
      <c r="AT711" s="4"/>
      <c r="AU711" s="4"/>
      <c r="AV711" s="4"/>
      <c r="AW711" s="4"/>
      <c r="AX711" s="4"/>
      <c r="AY711" s="4"/>
      <c r="AZ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  <c r="AG712" s="4"/>
      <c r="AH712" s="4"/>
      <c r="AI712" s="4"/>
      <c r="AJ712" s="4"/>
      <c r="AK712" s="4"/>
      <c r="AL712" s="4"/>
      <c r="AM712" s="4"/>
      <c r="AN712" s="4"/>
      <c r="AO712" s="4"/>
      <c r="AP712" s="4"/>
      <c r="AQ712" s="4"/>
      <c r="AR712" s="4"/>
      <c r="AS712" s="4"/>
      <c r="AT712" s="4"/>
      <c r="AU712" s="4"/>
      <c r="AV712" s="4"/>
      <c r="AW712" s="4"/>
      <c r="AX712" s="4"/>
      <c r="AY712" s="4"/>
      <c r="AZ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  <c r="AG713" s="4"/>
      <c r="AH713" s="4"/>
      <c r="AI713" s="4"/>
      <c r="AJ713" s="4"/>
      <c r="AK713" s="4"/>
      <c r="AL713" s="4"/>
      <c r="AM713" s="4"/>
      <c r="AN713" s="4"/>
      <c r="AO713" s="4"/>
      <c r="AP713" s="4"/>
      <c r="AQ713" s="4"/>
      <c r="AR713" s="4"/>
      <c r="AS713" s="4"/>
      <c r="AT713" s="4"/>
      <c r="AU713" s="4"/>
      <c r="AV713" s="4"/>
      <c r="AW713" s="4"/>
      <c r="AX713" s="4"/>
      <c r="AY713" s="4"/>
      <c r="AZ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  <c r="AG714" s="4"/>
      <c r="AH714" s="4"/>
      <c r="AI714" s="4"/>
      <c r="AJ714" s="4"/>
      <c r="AK714" s="4"/>
      <c r="AL714" s="4"/>
      <c r="AM714" s="4"/>
      <c r="AN714" s="4"/>
      <c r="AO714" s="4"/>
      <c r="AP714" s="4"/>
      <c r="AQ714" s="4"/>
      <c r="AR714" s="4"/>
      <c r="AS714" s="4"/>
      <c r="AT714" s="4"/>
      <c r="AU714" s="4"/>
      <c r="AV714" s="4"/>
      <c r="AW714" s="4"/>
      <c r="AX714" s="4"/>
      <c r="AY714" s="4"/>
      <c r="AZ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  <c r="AG715" s="4"/>
      <c r="AH715" s="4"/>
      <c r="AI715" s="4"/>
      <c r="AJ715" s="4"/>
      <c r="AK715" s="4"/>
      <c r="AL715" s="4"/>
      <c r="AM715" s="4"/>
      <c r="AN715" s="4"/>
      <c r="AO715" s="4"/>
      <c r="AP715" s="4"/>
      <c r="AQ715" s="4"/>
      <c r="AR715" s="4"/>
      <c r="AS715" s="4"/>
      <c r="AT715" s="4"/>
      <c r="AU715" s="4"/>
      <c r="AV715" s="4"/>
      <c r="AW715" s="4"/>
      <c r="AX715" s="4"/>
      <c r="AY715" s="4"/>
      <c r="AZ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  <c r="AG716" s="4"/>
      <c r="AH716" s="4"/>
      <c r="AI716" s="4"/>
      <c r="AJ716" s="4"/>
      <c r="AK716" s="4"/>
      <c r="AL716" s="4"/>
      <c r="AM716" s="4"/>
      <c r="AN716" s="4"/>
      <c r="AO716" s="4"/>
      <c r="AP716" s="4"/>
      <c r="AQ716" s="4"/>
      <c r="AR716" s="4"/>
      <c r="AS716" s="4"/>
      <c r="AT716" s="4"/>
      <c r="AU716" s="4"/>
      <c r="AV716" s="4"/>
      <c r="AW716" s="4"/>
      <c r="AX716" s="4"/>
      <c r="AY716" s="4"/>
      <c r="AZ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  <c r="AG717" s="4"/>
      <c r="AH717" s="4"/>
      <c r="AI717" s="4"/>
      <c r="AJ717" s="4"/>
      <c r="AK717" s="4"/>
      <c r="AL717" s="4"/>
      <c r="AM717" s="4"/>
      <c r="AN717" s="4"/>
      <c r="AO717" s="4"/>
      <c r="AP717" s="4"/>
      <c r="AQ717" s="4"/>
      <c r="AR717" s="4"/>
      <c r="AS717" s="4"/>
      <c r="AT717" s="4"/>
      <c r="AU717" s="4"/>
      <c r="AV717" s="4"/>
      <c r="AW717" s="4"/>
      <c r="AX717" s="4"/>
      <c r="AY717" s="4"/>
      <c r="AZ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  <c r="AG718" s="4"/>
      <c r="AH718" s="4"/>
      <c r="AI718" s="4"/>
      <c r="AJ718" s="4"/>
      <c r="AK718" s="4"/>
      <c r="AL718" s="4"/>
      <c r="AM718" s="4"/>
      <c r="AN718" s="4"/>
      <c r="AO718" s="4"/>
      <c r="AP718" s="4"/>
      <c r="AQ718" s="4"/>
      <c r="AR718" s="4"/>
      <c r="AS718" s="4"/>
      <c r="AT718" s="4"/>
      <c r="AU718" s="4"/>
      <c r="AV718" s="4"/>
      <c r="AW718" s="4"/>
      <c r="AX718" s="4"/>
      <c r="AY718" s="4"/>
      <c r="AZ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  <c r="AG719" s="4"/>
      <c r="AH719" s="4"/>
      <c r="AI719" s="4"/>
      <c r="AJ719" s="4"/>
      <c r="AK719" s="4"/>
      <c r="AL719" s="4"/>
      <c r="AM719" s="4"/>
      <c r="AN719" s="4"/>
      <c r="AO719" s="4"/>
      <c r="AP719" s="4"/>
      <c r="AQ719" s="4"/>
      <c r="AR719" s="4"/>
      <c r="AS719" s="4"/>
      <c r="AT719" s="4"/>
      <c r="AU719" s="4"/>
      <c r="AV719" s="4"/>
      <c r="AW719" s="4"/>
      <c r="AX719" s="4"/>
      <c r="AY719" s="4"/>
      <c r="AZ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  <c r="AG720" s="4"/>
      <c r="AH720" s="4"/>
      <c r="AI720" s="4"/>
      <c r="AJ720" s="4"/>
      <c r="AK720" s="4"/>
      <c r="AL720" s="4"/>
      <c r="AM720" s="4"/>
      <c r="AN720" s="4"/>
      <c r="AO720" s="4"/>
      <c r="AP720" s="4"/>
      <c r="AQ720" s="4"/>
      <c r="AR720" s="4"/>
      <c r="AS720" s="4"/>
      <c r="AT720" s="4"/>
      <c r="AU720" s="4"/>
      <c r="AV720" s="4"/>
      <c r="AW720" s="4"/>
      <c r="AX720" s="4"/>
      <c r="AY720" s="4"/>
      <c r="AZ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  <c r="AG721" s="4"/>
      <c r="AH721" s="4"/>
      <c r="AI721" s="4"/>
      <c r="AJ721" s="4"/>
      <c r="AK721" s="4"/>
      <c r="AL721" s="4"/>
      <c r="AM721" s="4"/>
      <c r="AN721" s="4"/>
      <c r="AO721" s="4"/>
      <c r="AP721" s="4"/>
      <c r="AQ721" s="4"/>
      <c r="AR721" s="4"/>
      <c r="AS721" s="4"/>
      <c r="AT721" s="4"/>
      <c r="AU721" s="4"/>
      <c r="AV721" s="4"/>
      <c r="AW721" s="4"/>
      <c r="AX721" s="4"/>
      <c r="AY721" s="4"/>
      <c r="AZ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  <c r="AG722" s="4"/>
      <c r="AH722" s="4"/>
      <c r="AI722" s="4"/>
      <c r="AJ722" s="4"/>
      <c r="AK722" s="4"/>
      <c r="AL722" s="4"/>
      <c r="AM722" s="4"/>
      <c r="AN722" s="4"/>
      <c r="AO722" s="4"/>
      <c r="AP722" s="4"/>
      <c r="AQ722" s="4"/>
      <c r="AR722" s="4"/>
      <c r="AS722" s="4"/>
      <c r="AT722" s="4"/>
      <c r="AU722" s="4"/>
      <c r="AV722" s="4"/>
      <c r="AW722" s="4"/>
      <c r="AX722" s="4"/>
      <c r="AY722" s="4"/>
      <c r="AZ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  <c r="AG723" s="4"/>
      <c r="AH723" s="4"/>
      <c r="AI723" s="4"/>
      <c r="AJ723" s="4"/>
      <c r="AK723" s="4"/>
      <c r="AL723" s="4"/>
      <c r="AM723" s="4"/>
      <c r="AN723" s="4"/>
      <c r="AO723" s="4"/>
      <c r="AP723" s="4"/>
      <c r="AQ723" s="4"/>
      <c r="AR723" s="4"/>
      <c r="AS723" s="4"/>
      <c r="AT723" s="4"/>
      <c r="AU723" s="4"/>
      <c r="AV723" s="4"/>
      <c r="AW723" s="4"/>
      <c r="AX723" s="4"/>
      <c r="AY723" s="4"/>
      <c r="AZ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  <c r="AG724" s="4"/>
      <c r="AH724" s="4"/>
      <c r="AI724" s="4"/>
      <c r="AJ724" s="4"/>
      <c r="AK724" s="4"/>
      <c r="AL724" s="4"/>
      <c r="AM724" s="4"/>
      <c r="AN724" s="4"/>
      <c r="AO724" s="4"/>
      <c r="AP724" s="4"/>
      <c r="AQ724" s="4"/>
      <c r="AR724" s="4"/>
      <c r="AS724" s="4"/>
      <c r="AT724" s="4"/>
      <c r="AU724" s="4"/>
      <c r="AV724" s="4"/>
      <c r="AW724" s="4"/>
      <c r="AX724" s="4"/>
      <c r="AY724" s="4"/>
      <c r="AZ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4"/>
      <c r="AH725" s="4"/>
      <c r="AI725" s="4"/>
      <c r="AJ725" s="4"/>
      <c r="AK725" s="4"/>
      <c r="AL725" s="4"/>
      <c r="AM725" s="4"/>
      <c r="AN725" s="4"/>
      <c r="AO725" s="4"/>
      <c r="AP725" s="4"/>
      <c r="AQ725" s="4"/>
      <c r="AR725" s="4"/>
      <c r="AS725" s="4"/>
      <c r="AT725" s="4"/>
      <c r="AU725" s="4"/>
      <c r="AV725" s="4"/>
      <c r="AW725" s="4"/>
      <c r="AX725" s="4"/>
      <c r="AY725" s="4"/>
      <c r="AZ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4"/>
      <c r="AH726" s="4"/>
      <c r="AI726" s="4"/>
      <c r="AJ726" s="4"/>
      <c r="AK726" s="4"/>
      <c r="AL726" s="4"/>
      <c r="AM726" s="4"/>
      <c r="AN726" s="4"/>
      <c r="AO726" s="4"/>
      <c r="AP726" s="4"/>
      <c r="AQ726" s="4"/>
      <c r="AR726" s="4"/>
      <c r="AS726" s="4"/>
      <c r="AT726" s="4"/>
      <c r="AU726" s="4"/>
      <c r="AV726" s="4"/>
      <c r="AW726" s="4"/>
      <c r="AX726" s="4"/>
      <c r="AY726" s="4"/>
      <c r="AZ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4"/>
      <c r="AH727" s="4"/>
      <c r="AI727" s="4"/>
      <c r="AJ727" s="4"/>
      <c r="AK727" s="4"/>
      <c r="AL727" s="4"/>
      <c r="AM727" s="4"/>
      <c r="AN727" s="4"/>
      <c r="AO727" s="4"/>
      <c r="AP727" s="4"/>
      <c r="AQ727" s="4"/>
      <c r="AR727" s="4"/>
      <c r="AS727" s="4"/>
      <c r="AT727" s="4"/>
      <c r="AU727" s="4"/>
      <c r="AV727" s="4"/>
      <c r="AW727" s="4"/>
      <c r="AX727" s="4"/>
      <c r="AY727" s="4"/>
      <c r="AZ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  <c r="AG728" s="4"/>
      <c r="AH728" s="4"/>
      <c r="AI728" s="4"/>
      <c r="AJ728" s="4"/>
      <c r="AK728" s="4"/>
      <c r="AL728" s="4"/>
      <c r="AM728" s="4"/>
      <c r="AN728" s="4"/>
      <c r="AO728" s="4"/>
      <c r="AP728" s="4"/>
      <c r="AQ728" s="4"/>
      <c r="AR728" s="4"/>
      <c r="AS728" s="4"/>
      <c r="AT728" s="4"/>
      <c r="AU728" s="4"/>
      <c r="AV728" s="4"/>
      <c r="AW728" s="4"/>
      <c r="AX728" s="4"/>
      <c r="AY728" s="4"/>
      <c r="AZ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  <c r="AG729" s="4"/>
      <c r="AH729" s="4"/>
      <c r="AI729" s="4"/>
      <c r="AJ729" s="4"/>
      <c r="AK729" s="4"/>
      <c r="AL729" s="4"/>
      <c r="AM729" s="4"/>
      <c r="AN729" s="4"/>
      <c r="AO729" s="4"/>
      <c r="AP729" s="4"/>
      <c r="AQ729" s="4"/>
      <c r="AR729" s="4"/>
      <c r="AS729" s="4"/>
      <c r="AT729" s="4"/>
      <c r="AU729" s="4"/>
      <c r="AV729" s="4"/>
      <c r="AW729" s="4"/>
      <c r="AX729" s="4"/>
      <c r="AY729" s="4"/>
      <c r="AZ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  <c r="AG730" s="4"/>
      <c r="AH730" s="4"/>
      <c r="AI730" s="4"/>
      <c r="AJ730" s="4"/>
      <c r="AK730" s="4"/>
      <c r="AL730" s="4"/>
      <c r="AM730" s="4"/>
      <c r="AN730" s="4"/>
      <c r="AO730" s="4"/>
      <c r="AP730" s="4"/>
      <c r="AQ730" s="4"/>
      <c r="AR730" s="4"/>
      <c r="AS730" s="4"/>
      <c r="AT730" s="4"/>
      <c r="AU730" s="4"/>
      <c r="AV730" s="4"/>
      <c r="AW730" s="4"/>
      <c r="AX730" s="4"/>
      <c r="AY730" s="4"/>
      <c r="AZ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  <c r="AG731" s="4"/>
      <c r="AH731" s="4"/>
      <c r="AI731" s="4"/>
      <c r="AJ731" s="4"/>
      <c r="AK731" s="4"/>
      <c r="AL731" s="4"/>
      <c r="AM731" s="4"/>
      <c r="AN731" s="4"/>
      <c r="AO731" s="4"/>
      <c r="AP731" s="4"/>
      <c r="AQ731" s="4"/>
      <c r="AR731" s="4"/>
      <c r="AS731" s="4"/>
      <c r="AT731" s="4"/>
      <c r="AU731" s="4"/>
      <c r="AV731" s="4"/>
      <c r="AW731" s="4"/>
      <c r="AX731" s="4"/>
      <c r="AY731" s="4"/>
      <c r="AZ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  <c r="AG732" s="4"/>
      <c r="AH732" s="4"/>
      <c r="AI732" s="4"/>
      <c r="AJ732" s="4"/>
      <c r="AK732" s="4"/>
      <c r="AL732" s="4"/>
      <c r="AM732" s="4"/>
      <c r="AN732" s="4"/>
      <c r="AO732" s="4"/>
      <c r="AP732" s="4"/>
      <c r="AQ732" s="4"/>
      <c r="AR732" s="4"/>
      <c r="AS732" s="4"/>
      <c r="AT732" s="4"/>
      <c r="AU732" s="4"/>
      <c r="AV732" s="4"/>
      <c r="AW732" s="4"/>
      <c r="AX732" s="4"/>
      <c r="AY732" s="4"/>
      <c r="AZ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  <c r="AG733" s="4"/>
      <c r="AH733" s="4"/>
      <c r="AI733" s="4"/>
      <c r="AJ733" s="4"/>
      <c r="AK733" s="4"/>
      <c r="AL733" s="4"/>
      <c r="AM733" s="4"/>
      <c r="AN733" s="4"/>
      <c r="AO733" s="4"/>
      <c r="AP733" s="4"/>
      <c r="AQ733" s="4"/>
      <c r="AR733" s="4"/>
      <c r="AS733" s="4"/>
      <c r="AT733" s="4"/>
      <c r="AU733" s="4"/>
      <c r="AV733" s="4"/>
      <c r="AW733" s="4"/>
      <c r="AX733" s="4"/>
      <c r="AY733" s="4"/>
      <c r="AZ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4"/>
      <c r="AH734" s="4"/>
      <c r="AI734" s="4"/>
      <c r="AJ734" s="4"/>
      <c r="AK734" s="4"/>
      <c r="AL734" s="4"/>
      <c r="AM734" s="4"/>
      <c r="AN734" s="4"/>
      <c r="AO734" s="4"/>
      <c r="AP734" s="4"/>
      <c r="AQ734" s="4"/>
      <c r="AR734" s="4"/>
      <c r="AS734" s="4"/>
      <c r="AT734" s="4"/>
      <c r="AU734" s="4"/>
      <c r="AV734" s="4"/>
      <c r="AW734" s="4"/>
      <c r="AX734" s="4"/>
      <c r="AY734" s="4"/>
      <c r="AZ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4"/>
      <c r="AH735" s="4"/>
      <c r="AI735" s="4"/>
      <c r="AJ735" s="4"/>
      <c r="AK735" s="4"/>
      <c r="AL735" s="4"/>
      <c r="AM735" s="4"/>
      <c r="AN735" s="4"/>
      <c r="AO735" s="4"/>
      <c r="AP735" s="4"/>
      <c r="AQ735" s="4"/>
      <c r="AR735" s="4"/>
      <c r="AS735" s="4"/>
      <c r="AT735" s="4"/>
      <c r="AU735" s="4"/>
      <c r="AV735" s="4"/>
      <c r="AW735" s="4"/>
      <c r="AX735" s="4"/>
      <c r="AY735" s="4"/>
      <c r="AZ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4"/>
      <c r="AH736" s="4"/>
      <c r="AI736" s="4"/>
      <c r="AJ736" s="4"/>
      <c r="AK736" s="4"/>
      <c r="AL736" s="4"/>
      <c r="AM736" s="4"/>
      <c r="AN736" s="4"/>
      <c r="AO736" s="4"/>
      <c r="AP736" s="4"/>
      <c r="AQ736" s="4"/>
      <c r="AR736" s="4"/>
      <c r="AS736" s="4"/>
      <c r="AT736" s="4"/>
      <c r="AU736" s="4"/>
      <c r="AV736" s="4"/>
      <c r="AW736" s="4"/>
      <c r="AX736" s="4"/>
      <c r="AY736" s="4"/>
      <c r="AZ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  <c r="AG737" s="4"/>
      <c r="AH737" s="4"/>
      <c r="AI737" s="4"/>
      <c r="AJ737" s="4"/>
      <c r="AK737" s="4"/>
      <c r="AL737" s="4"/>
      <c r="AM737" s="4"/>
      <c r="AN737" s="4"/>
      <c r="AO737" s="4"/>
      <c r="AP737" s="4"/>
      <c r="AQ737" s="4"/>
      <c r="AR737" s="4"/>
      <c r="AS737" s="4"/>
      <c r="AT737" s="4"/>
      <c r="AU737" s="4"/>
      <c r="AV737" s="4"/>
      <c r="AW737" s="4"/>
      <c r="AX737" s="4"/>
      <c r="AY737" s="4"/>
      <c r="AZ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  <c r="AG738" s="4"/>
      <c r="AH738" s="4"/>
      <c r="AI738" s="4"/>
      <c r="AJ738" s="4"/>
      <c r="AK738" s="4"/>
      <c r="AL738" s="4"/>
      <c r="AM738" s="4"/>
      <c r="AN738" s="4"/>
      <c r="AO738" s="4"/>
      <c r="AP738" s="4"/>
      <c r="AQ738" s="4"/>
      <c r="AR738" s="4"/>
      <c r="AS738" s="4"/>
      <c r="AT738" s="4"/>
      <c r="AU738" s="4"/>
      <c r="AV738" s="4"/>
      <c r="AW738" s="4"/>
      <c r="AX738" s="4"/>
      <c r="AY738" s="4"/>
      <c r="AZ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  <c r="AG739" s="4"/>
      <c r="AH739" s="4"/>
      <c r="AI739" s="4"/>
      <c r="AJ739" s="4"/>
      <c r="AK739" s="4"/>
      <c r="AL739" s="4"/>
      <c r="AM739" s="4"/>
      <c r="AN739" s="4"/>
      <c r="AO739" s="4"/>
      <c r="AP739" s="4"/>
      <c r="AQ739" s="4"/>
      <c r="AR739" s="4"/>
      <c r="AS739" s="4"/>
      <c r="AT739" s="4"/>
      <c r="AU739" s="4"/>
      <c r="AV739" s="4"/>
      <c r="AW739" s="4"/>
      <c r="AX739" s="4"/>
      <c r="AY739" s="4"/>
      <c r="AZ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  <c r="AG740" s="4"/>
      <c r="AH740" s="4"/>
      <c r="AI740" s="4"/>
      <c r="AJ740" s="4"/>
      <c r="AK740" s="4"/>
      <c r="AL740" s="4"/>
      <c r="AM740" s="4"/>
      <c r="AN740" s="4"/>
      <c r="AO740" s="4"/>
      <c r="AP740" s="4"/>
      <c r="AQ740" s="4"/>
      <c r="AR740" s="4"/>
      <c r="AS740" s="4"/>
      <c r="AT740" s="4"/>
      <c r="AU740" s="4"/>
      <c r="AV740" s="4"/>
      <c r="AW740" s="4"/>
      <c r="AX740" s="4"/>
      <c r="AY740" s="4"/>
      <c r="AZ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  <c r="AG741" s="4"/>
      <c r="AH741" s="4"/>
      <c r="AI741" s="4"/>
      <c r="AJ741" s="4"/>
      <c r="AK741" s="4"/>
      <c r="AL741" s="4"/>
      <c r="AM741" s="4"/>
      <c r="AN741" s="4"/>
      <c r="AO741" s="4"/>
      <c r="AP741" s="4"/>
      <c r="AQ741" s="4"/>
      <c r="AR741" s="4"/>
      <c r="AS741" s="4"/>
      <c r="AT741" s="4"/>
      <c r="AU741" s="4"/>
      <c r="AV741" s="4"/>
      <c r="AW741" s="4"/>
      <c r="AX741" s="4"/>
      <c r="AY741" s="4"/>
      <c r="AZ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  <c r="AG742" s="4"/>
      <c r="AH742" s="4"/>
      <c r="AI742" s="4"/>
      <c r="AJ742" s="4"/>
      <c r="AK742" s="4"/>
      <c r="AL742" s="4"/>
      <c r="AM742" s="4"/>
      <c r="AN742" s="4"/>
      <c r="AO742" s="4"/>
      <c r="AP742" s="4"/>
      <c r="AQ742" s="4"/>
      <c r="AR742" s="4"/>
      <c r="AS742" s="4"/>
      <c r="AT742" s="4"/>
      <c r="AU742" s="4"/>
      <c r="AV742" s="4"/>
      <c r="AW742" s="4"/>
      <c r="AX742" s="4"/>
      <c r="AY742" s="4"/>
      <c r="AZ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4"/>
      <c r="AH743" s="4"/>
      <c r="AI743" s="4"/>
      <c r="AJ743" s="4"/>
      <c r="AK743" s="4"/>
      <c r="AL743" s="4"/>
      <c r="AM743" s="4"/>
      <c r="AN743" s="4"/>
      <c r="AO743" s="4"/>
      <c r="AP743" s="4"/>
      <c r="AQ743" s="4"/>
      <c r="AR743" s="4"/>
      <c r="AS743" s="4"/>
      <c r="AT743" s="4"/>
      <c r="AU743" s="4"/>
      <c r="AV743" s="4"/>
      <c r="AW743" s="4"/>
      <c r="AX743" s="4"/>
      <c r="AY743" s="4"/>
      <c r="AZ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  <c r="AG744" s="4"/>
      <c r="AH744" s="4"/>
      <c r="AI744" s="4"/>
      <c r="AJ744" s="4"/>
      <c r="AK744" s="4"/>
      <c r="AL744" s="4"/>
      <c r="AM744" s="4"/>
      <c r="AN744" s="4"/>
      <c r="AO744" s="4"/>
      <c r="AP744" s="4"/>
      <c r="AQ744" s="4"/>
      <c r="AR744" s="4"/>
      <c r="AS744" s="4"/>
      <c r="AT744" s="4"/>
      <c r="AU744" s="4"/>
      <c r="AV744" s="4"/>
      <c r="AW744" s="4"/>
      <c r="AX744" s="4"/>
      <c r="AY744" s="4"/>
      <c r="AZ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  <c r="AG745" s="4"/>
      <c r="AH745" s="4"/>
      <c r="AI745" s="4"/>
      <c r="AJ745" s="4"/>
      <c r="AK745" s="4"/>
      <c r="AL745" s="4"/>
      <c r="AM745" s="4"/>
      <c r="AN745" s="4"/>
      <c r="AO745" s="4"/>
      <c r="AP745" s="4"/>
      <c r="AQ745" s="4"/>
      <c r="AR745" s="4"/>
      <c r="AS745" s="4"/>
      <c r="AT745" s="4"/>
      <c r="AU745" s="4"/>
      <c r="AV745" s="4"/>
      <c r="AW745" s="4"/>
      <c r="AX745" s="4"/>
      <c r="AY745" s="4"/>
      <c r="AZ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  <c r="AG746" s="4"/>
      <c r="AH746" s="4"/>
      <c r="AI746" s="4"/>
      <c r="AJ746" s="4"/>
      <c r="AK746" s="4"/>
      <c r="AL746" s="4"/>
      <c r="AM746" s="4"/>
      <c r="AN746" s="4"/>
      <c r="AO746" s="4"/>
      <c r="AP746" s="4"/>
      <c r="AQ746" s="4"/>
      <c r="AR746" s="4"/>
      <c r="AS746" s="4"/>
      <c r="AT746" s="4"/>
      <c r="AU746" s="4"/>
      <c r="AV746" s="4"/>
      <c r="AW746" s="4"/>
      <c r="AX746" s="4"/>
      <c r="AY746" s="4"/>
      <c r="AZ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  <c r="AG747" s="4"/>
      <c r="AH747" s="4"/>
      <c r="AI747" s="4"/>
      <c r="AJ747" s="4"/>
      <c r="AK747" s="4"/>
      <c r="AL747" s="4"/>
      <c r="AM747" s="4"/>
      <c r="AN747" s="4"/>
      <c r="AO747" s="4"/>
      <c r="AP747" s="4"/>
      <c r="AQ747" s="4"/>
      <c r="AR747" s="4"/>
      <c r="AS747" s="4"/>
      <c r="AT747" s="4"/>
      <c r="AU747" s="4"/>
      <c r="AV747" s="4"/>
      <c r="AW747" s="4"/>
      <c r="AX747" s="4"/>
      <c r="AY747" s="4"/>
      <c r="AZ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  <c r="AG748" s="4"/>
      <c r="AH748" s="4"/>
      <c r="AI748" s="4"/>
      <c r="AJ748" s="4"/>
      <c r="AK748" s="4"/>
      <c r="AL748" s="4"/>
      <c r="AM748" s="4"/>
      <c r="AN748" s="4"/>
      <c r="AO748" s="4"/>
      <c r="AP748" s="4"/>
      <c r="AQ748" s="4"/>
      <c r="AR748" s="4"/>
      <c r="AS748" s="4"/>
      <c r="AT748" s="4"/>
      <c r="AU748" s="4"/>
      <c r="AV748" s="4"/>
      <c r="AW748" s="4"/>
      <c r="AX748" s="4"/>
      <c r="AY748" s="4"/>
      <c r="AZ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  <c r="AG749" s="4"/>
      <c r="AH749" s="4"/>
      <c r="AI749" s="4"/>
      <c r="AJ749" s="4"/>
      <c r="AK749" s="4"/>
      <c r="AL749" s="4"/>
      <c r="AM749" s="4"/>
      <c r="AN749" s="4"/>
      <c r="AO749" s="4"/>
      <c r="AP749" s="4"/>
      <c r="AQ749" s="4"/>
      <c r="AR749" s="4"/>
      <c r="AS749" s="4"/>
      <c r="AT749" s="4"/>
      <c r="AU749" s="4"/>
      <c r="AV749" s="4"/>
      <c r="AW749" s="4"/>
      <c r="AX749" s="4"/>
      <c r="AY749" s="4"/>
      <c r="AZ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  <c r="AG750" s="4"/>
      <c r="AH750" s="4"/>
      <c r="AI750" s="4"/>
      <c r="AJ750" s="4"/>
      <c r="AK750" s="4"/>
      <c r="AL750" s="4"/>
      <c r="AM750" s="4"/>
      <c r="AN750" s="4"/>
      <c r="AO750" s="4"/>
      <c r="AP750" s="4"/>
      <c r="AQ750" s="4"/>
      <c r="AR750" s="4"/>
      <c r="AS750" s="4"/>
      <c r="AT750" s="4"/>
      <c r="AU750" s="4"/>
      <c r="AV750" s="4"/>
      <c r="AW750" s="4"/>
      <c r="AX750" s="4"/>
      <c r="AY750" s="4"/>
      <c r="AZ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  <c r="AG751" s="4"/>
      <c r="AH751" s="4"/>
      <c r="AI751" s="4"/>
      <c r="AJ751" s="4"/>
      <c r="AK751" s="4"/>
      <c r="AL751" s="4"/>
      <c r="AM751" s="4"/>
      <c r="AN751" s="4"/>
      <c r="AO751" s="4"/>
      <c r="AP751" s="4"/>
      <c r="AQ751" s="4"/>
      <c r="AR751" s="4"/>
      <c r="AS751" s="4"/>
      <c r="AT751" s="4"/>
      <c r="AU751" s="4"/>
      <c r="AV751" s="4"/>
      <c r="AW751" s="4"/>
      <c r="AX751" s="4"/>
      <c r="AY751" s="4"/>
      <c r="AZ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  <c r="AG752" s="4"/>
      <c r="AH752" s="4"/>
      <c r="AI752" s="4"/>
      <c r="AJ752" s="4"/>
      <c r="AK752" s="4"/>
      <c r="AL752" s="4"/>
      <c r="AM752" s="4"/>
      <c r="AN752" s="4"/>
      <c r="AO752" s="4"/>
      <c r="AP752" s="4"/>
      <c r="AQ752" s="4"/>
      <c r="AR752" s="4"/>
      <c r="AS752" s="4"/>
      <c r="AT752" s="4"/>
      <c r="AU752" s="4"/>
      <c r="AV752" s="4"/>
      <c r="AW752" s="4"/>
      <c r="AX752" s="4"/>
      <c r="AY752" s="4"/>
      <c r="AZ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  <c r="AG753" s="4"/>
      <c r="AH753" s="4"/>
      <c r="AI753" s="4"/>
      <c r="AJ753" s="4"/>
      <c r="AK753" s="4"/>
      <c r="AL753" s="4"/>
      <c r="AM753" s="4"/>
      <c r="AN753" s="4"/>
      <c r="AO753" s="4"/>
      <c r="AP753" s="4"/>
      <c r="AQ753" s="4"/>
      <c r="AR753" s="4"/>
      <c r="AS753" s="4"/>
      <c r="AT753" s="4"/>
      <c r="AU753" s="4"/>
      <c r="AV753" s="4"/>
      <c r="AW753" s="4"/>
      <c r="AX753" s="4"/>
      <c r="AY753" s="4"/>
      <c r="AZ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  <c r="AG754" s="4"/>
      <c r="AH754" s="4"/>
      <c r="AI754" s="4"/>
      <c r="AJ754" s="4"/>
      <c r="AK754" s="4"/>
      <c r="AL754" s="4"/>
      <c r="AM754" s="4"/>
      <c r="AN754" s="4"/>
      <c r="AO754" s="4"/>
      <c r="AP754" s="4"/>
      <c r="AQ754" s="4"/>
      <c r="AR754" s="4"/>
      <c r="AS754" s="4"/>
      <c r="AT754" s="4"/>
      <c r="AU754" s="4"/>
      <c r="AV754" s="4"/>
      <c r="AW754" s="4"/>
      <c r="AX754" s="4"/>
      <c r="AY754" s="4"/>
      <c r="AZ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  <c r="AG755" s="4"/>
      <c r="AH755" s="4"/>
      <c r="AI755" s="4"/>
      <c r="AJ755" s="4"/>
      <c r="AK755" s="4"/>
      <c r="AL755" s="4"/>
      <c r="AM755" s="4"/>
      <c r="AN755" s="4"/>
      <c r="AO755" s="4"/>
      <c r="AP755" s="4"/>
      <c r="AQ755" s="4"/>
      <c r="AR755" s="4"/>
      <c r="AS755" s="4"/>
      <c r="AT755" s="4"/>
      <c r="AU755" s="4"/>
      <c r="AV755" s="4"/>
      <c r="AW755" s="4"/>
      <c r="AX755" s="4"/>
      <c r="AY755" s="4"/>
      <c r="AZ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  <c r="AG756" s="4"/>
      <c r="AH756" s="4"/>
      <c r="AI756" s="4"/>
      <c r="AJ756" s="4"/>
      <c r="AK756" s="4"/>
      <c r="AL756" s="4"/>
      <c r="AM756" s="4"/>
      <c r="AN756" s="4"/>
      <c r="AO756" s="4"/>
      <c r="AP756" s="4"/>
      <c r="AQ756" s="4"/>
      <c r="AR756" s="4"/>
      <c r="AS756" s="4"/>
      <c r="AT756" s="4"/>
      <c r="AU756" s="4"/>
      <c r="AV756" s="4"/>
      <c r="AW756" s="4"/>
      <c r="AX756" s="4"/>
      <c r="AY756" s="4"/>
      <c r="AZ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  <c r="AG757" s="4"/>
      <c r="AH757" s="4"/>
      <c r="AI757" s="4"/>
      <c r="AJ757" s="4"/>
      <c r="AK757" s="4"/>
      <c r="AL757" s="4"/>
      <c r="AM757" s="4"/>
      <c r="AN757" s="4"/>
      <c r="AO757" s="4"/>
      <c r="AP757" s="4"/>
      <c r="AQ757" s="4"/>
      <c r="AR757" s="4"/>
      <c r="AS757" s="4"/>
      <c r="AT757" s="4"/>
      <c r="AU757" s="4"/>
      <c r="AV757" s="4"/>
      <c r="AW757" s="4"/>
      <c r="AX757" s="4"/>
      <c r="AY757" s="4"/>
      <c r="AZ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  <c r="AG758" s="4"/>
      <c r="AH758" s="4"/>
      <c r="AI758" s="4"/>
      <c r="AJ758" s="4"/>
      <c r="AK758" s="4"/>
      <c r="AL758" s="4"/>
      <c r="AM758" s="4"/>
      <c r="AN758" s="4"/>
      <c r="AO758" s="4"/>
      <c r="AP758" s="4"/>
      <c r="AQ758" s="4"/>
      <c r="AR758" s="4"/>
      <c r="AS758" s="4"/>
      <c r="AT758" s="4"/>
      <c r="AU758" s="4"/>
      <c r="AV758" s="4"/>
      <c r="AW758" s="4"/>
      <c r="AX758" s="4"/>
      <c r="AY758" s="4"/>
      <c r="AZ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  <c r="AG759" s="4"/>
      <c r="AH759" s="4"/>
      <c r="AI759" s="4"/>
      <c r="AJ759" s="4"/>
      <c r="AK759" s="4"/>
      <c r="AL759" s="4"/>
      <c r="AM759" s="4"/>
      <c r="AN759" s="4"/>
      <c r="AO759" s="4"/>
      <c r="AP759" s="4"/>
      <c r="AQ759" s="4"/>
      <c r="AR759" s="4"/>
      <c r="AS759" s="4"/>
      <c r="AT759" s="4"/>
      <c r="AU759" s="4"/>
      <c r="AV759" s="4"/>
      <c r="AW759" s="4"/>
      <c r="AX759" s="4"/>
      <c r="AY759" s="4"/>
      <c r="AZ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  <c r="AG760" s="4"/>
      <c r="AH760" s="4"/>
      <c r="AI760" s="4"/>
      <c r="AJ760" s="4"/>
      <c r="AK760" s="4"/>
      <c r="AL760" s="4"/>
      <c r="AM760" s="4"/>
      <c r="AN760" s="4"/>
      <c r="AO760" s="4"/>
      <c r="AP760" s="4"/>
      <c r="AQ760" s="4"/>
      <c r="AR760" s="4"/>
      <c r="AS760" s="4"/>
      <c r="AT760" s="4"/>
      <c r="AU760" s="4"/>
      <c r="AV760" s="4"/>
      <c r="AW760" s="4"/>
      <c r="AX760" s="4"/>
      <c r="AY760" s="4"/>
      <c r="AZ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4"/>
      <c r="AH761" s="4"/>
      <c r="AI761" s="4"/>
      <c r="AJ761" s="4"/>
      <c r="AK761" s="4"/>
      <c r="AL761" s="4"/>
      <c r="AM761" s="4"/>
      <c r="AN761" s="4"/>
      <c r="AO761" s="4"/>
      <c r="AP761" s="4"/>
      <c r="AQ761" s="4"/>
      <c r="AR761" s="4"/>
      <c r="AS761" s="4"/>
      <c r="AT761" s="4"/>
      <c r="AU761" s="4"/>
      <c r="AV761" s="4"/>
      <c r="AW761" s="4"/>
      <c r="AX761" s="4"/>
      <c r="AY761" s="4"/>
      <c r="AZ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4"/>
      <c r="AH762" s="4"/>
      <c r="AI762" s="4"/>
      <c r="AJ762" s="4"/>
      <c r="AK762" s="4"/>
      <c r="AL762" s="4"/>
      <c r="AM762" s="4"/>
      <c r="AN762" s="4"/>
      <c r="AO762" s="4"/>
      <c r="AP762" s="4"/>
      <c r="AQ762" s="4"/>
      <c r="AR762" s="4"/>
      <c r="AS762" s="4"/>
      <c r="AT762" s="4"/>
      <c r="AU762" s="4"/>
      <c r="AV762" s="4"/>
      <c r="AW762" s="4"/>
      <c r="AX762" s="4"/>
      <c r="AY762" s="4"/>
      <c r="AZ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  <c r="AG763" s="4"/>
      <c r="AH763" s="4"/>
      <c r="AI763" s="4"/>
      <c r="AJ763" s="4"/>
      <c r="AK763" s="4"/>
      <c r="AL763" s="4"/>
      <c r="AM763" s="4"/>
      <c r="AN763" s="4"/>
      <c r="AO763" s="4"/>
      <c r="AP763" s="4"/>
      <c r="AQ763" s="4"/>
      <c r="AR763" s="4"/>
      <c r="AS763" s="4"/>
      <c r="AT763" s="4"/>
      <c r="AU763" s="4"/>
      <c r="AV763" s="4"/>
      <c r="AW763" s="4"/>
      <c r="AX763" s="4"/>
      <c r="AY763" s="4"/>
      <c r="AZ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  <c r="AG764" s="4"/>
      <c r="AH764" s="4"/>
      <c r="AI764" s="4"/>
      <c r="AJ764" s="4"/>
      <c r="AK764" s="4"/>
      <c r="AL764" s="4"/>
      <c r="AM764" s="4"/>
      <c r="AN764" s="4"/>
      <c r="AO764" s="4"/>
      <c r="AP764" s="4"/>
      <c r="AQ764" s="4"/>
      <c r="AR764" s="4"/>
      <c r="AS764" s="4"/>
      <c r="AT764" s="4"/>
      <c r="AU764" s="4"/>
      <c r="AV764" s="4"/>
      <c r="AW764" s="4"/>
      <c r="AX764" s="4"/>
      <c r="AY764" s="4"/>
      <c r="AZ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  <c r="AG765" s="4"/>
      <c r="AH765" s="4"/>
      <c r="AI765" s="4"/>
      <c r="AJ765" s="4"/>
      <c r="AK765" s="4"/>
      <c r="AL765" s="4"/>
      <c r="AM765" s="4"/>
      <c r="AN765" s="4"/>
      <c r="AO765" s="4"/>
      <c r="AP765" s="4"/>
      <c r="AQ765" s="4"/>
      <c r="AR765" s="4"/>
      <c r="AS765" s="4"/>
      <c r="AT765" s="4"/>
      <c r="AU765" s="4"/>
      <c r="AV765" s="4"/>
      <c r="AW765" s="4"/>
      <c r="AX765" s="4"/>
      <c r="AY765" s="4"/>
      <c r="AZ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  <c r="AG766" s="4"/>
      <c r="AH766" s="4"/>
      <c r="AI766" s="4"/>
      <c r="AJ766" s="4"/>
      <c r="AK766" s="4"/>
      <c r="AL766" s="4"/>
      <c r="AM766" s="4"/>
      <c r="AN766" s="4"/>
      <c r="AO766" s="4"/>
      <c r="AP766" s="4"/>
      <c r="AQ766" s="4"/>
      <c r="AR766" s="4"/>
      <c r="AS766" s="4"/>
      <c r="AT766" s="4"/>
      <c r="AU766" s="4"/>
      <c r="AV766" s="4"/>
      <c r="AW766" s="4"/>
      <c r="AX766" s="4"/>
      <c r="AY766" s="4"/>
      <c r="AZ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  <c r="AG767" s="4"/>
      <c r="AH767" s="4"/>
      <c r="AI767" s="4"/>
      <c r="AJ767" s="4"/>
      <c r="AK767" s="4"/>
      <c r="AL767" s="4"/>
      <c r="AM767" s="4"/>
      <c r="AN767" s="4"/>
      <c r="AO767" s="4"/>
      <c r="AP767" s="4"/>
      <c r="AQ767" s="4"/>
      <c r="AR767" s="4"/>
      <c r="AS767" s="4"/>
      <c r="AT767" s="4"/>
      <c r="AU767" s="4"/>
      <c r="AV767" s="4"/>
      <c r="AW767" s="4"/>
      <c r="AX767" s="4"/>
      <c r="AY767" s="4"/>
      <c r="AZ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  <c r="AG768" s="4"/>
      <c r="AH768" s="4"/>
      <c r="AI768" s="4"/>
      <c r="AJ768" s="4"/>
      <c r="AK768" s="4"/>
      <c r="AL768" s="4"/>
      <c r="AM768" s="4"/>
      <c r="AN768" s="4"/>
      <c r="AO768" s="4"/>
      <c r="AP768" s="4"/>
      <c r="AQ768" s="4"/>
      <c r="AR768" s="4"/>
      <c r="AS768" s="4"/>
      <c r="AT768" s="4"/>
      <c r="AU768" s="4"/>
      <c r="AV768" s="4"/>
      <c r="AW768" s="4"/>
      <c r="AX768" s="4"/>
      <c r="AY768" s="4"/>
      <c r="AZ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  <c r="AG769" s="4"/>
      <c r="AH769" s="4"/>
      <c r="AI769" s="4"/>
      <c r="AJ769" s="4"/>
      <c r="AK769" s="4"/>
      <c r="AL769" s="4"/>
      <c r="AM769" s="4"/>
      <c r="AN769" s="4"/>
      <c r="AO769" s="4"/>
      <c r="AP769" s="4"/>
      <c r="AQ769" s="4"/>
      <c r="AR769" s="4"/>
      <c r="AS769" s="4"/>
      <c r="AT769" s="4"/>
      <c r="AU769" s="4"/>
      <c r="AV769" s="4"/>
      <c r="AW769" s="4"/>
      <c r="AX769" s="4"/>
      <c r="AY769" s="4"/>
      <c r="AZ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  <c r="AG770" s="4"/>
      <c r="AH770" s="4"/>
      <c r="AI770" s="4"/>
      <c r="AJ770" s="4"/>
      <c r="AK770" s="4"/>
      <c r="AL770" s="4"/>
      <c r="AM770" s="4"/>
      <c r="AN770" s="4"/>
      <c r="AO770" s="4"/>
      <c r="AP770" s="4"/>
      <c r="AQ770" s="4"/>
      <c r="AR770" s="4"/>
      <c r="AS770" s="4"/>
      <c r="AT770" s="4"/>
      <c r="AU770" s="4"/>
      <c r="AV770" s="4"/>
      <c r="AW770" s="4"/>
      <c r="AX770" s="4"/>
      <c r="AY770" s="4"/>
      <c r="AZ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4"/>
      <c r="AH771" s="4"/>
      <c r="AI771" s="4"/>
      <c r="AJ771" s="4"/>
      <c r="AK771" s="4"/>
      <c r="AL771" s="4"/>
      <c r="AM771" s="4"/>
      <c r="AN771" s="4"/>
      <c r="AO771" s="4"/>
      <c r="AP771" s="4"/>
      <c r="AQ771" s="4"/>
      <c r="AR771" s="4"/>
      <c r="AS771" s="4"/>
      <c r="AT771" s="4"/>
      <c r="AU771" s="4"/>
      <c r="AV771" s="4"/>
      <c r="AW771" s="4"/>
      <c r="AX771" s="4"/>
      <c r="AY771" s="4"/>
      <c r="AZ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4"/>
      <c r="AH772" s="4"/>
      <c r="AI772" s="4"/>
      <c r="AJ772" s="4"/>
      <c r="AK772" s="4"/>
      <c r="AL772" s="4"/>
      <c r="AM772" s="4"/>
      <c r="AN772" s="4"/>
      <c r="AO772" s="4"/>
      <c r="AP772" s="4"/>
      <c r="AQ772" s="4"/>
      <c r="AR772" s="4"/>
      <c r="AS772" s="4"/>
      <c r="AT772" s="4"/>
      <c r="AU772" s="4"/>
      <c r="AV772" s="4"/>
      <c r="AW772" s="4"/>
      <c r="AX772" s="4"/>
      <c r="AY772" s="4"/>
      <c r="AZ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  <c r="AG773" s="4"/>
      <c r="AH773" s="4"/>
      <c r="AI773" s="4"/>
      <c r="AJ773" s="4"/>
      <c r="AK773" s="4"/>
      <c r="AL773" s="4"/>
      <c r="AM773" s="4"/>
      <c r="AN773" s="4"/>
      <c r="AO773" s="4"/>
      <c r="AP773" s="4"/>
      <c r="AQ773" s="4"/>
      <c r="AR773" s="4"/>
      <c r="AS773" s="4"/>
      <c r="AT773" s="4"/>
      <c r="AU773" s="4"/>
      <c r="AV773" s="4"/>
      <c r="AW773" s="4"/>
      <c r="AX773" s="4"/>
      <c r="AY773" s="4"/>
      <c r="AZ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  <c r="AG774" s="4"/>
      <c r="AH774" s="4"/>
      <c r="AI774" s="4"/>
      <c r="AJ774" s="4"/>
      <c r="AK774" s="4"/>
      <c r="AL774" s="4"/>
      <c r="AM774" s="4"/>
      <c r="AN774" s="4"/>
      <c r="AO774" s="4"/>
      <c r="AP774" s="4"/>
      <c r="AQ774" s="4"/>
      <c r="AR774" s="4"/>
      <c r="AS774" s="4"/>
      <c r="AT774" s="4"/>
      <c r="AU774" s="4"/>
      <c r="AV774" s="4"/>
      <c r="AW774" s="4"/>
      <c r="AX774" s="4"/>
      <c r="AY774" s="4"/>
      <c r="AZ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  <c r="AG775" s="4"/>
      <c r="AH775" s="4"/>
      <c r="AI775" s="4"/>
      <c r="AJ775" s="4"/>
      <c r="AK775" s="4"/>
      <c r="AL775" s="4"/>
      <c r="AM775" s="4"/>
      <c r="AN775" s="4"/>
      <c r="AO775" s="4"/>
      <c r="AP775" s="4"/>
      <c r="AQ775" s="4"/>
      <c r="AR775" s="4"/>
      <c r="AS775" s="4"/>
      <c r="AT775" s="4"/>
      <c r="AU775" s="4"/>
      <c r="AV775" s="4"/>
      <c r="AW775" s="4"/>
      <c r="AX775" s="4"/>
      <c r="AY775" s="4"/>
      <c r="AZ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  <c r="AG776" s="4"/>
      <c r="AH776" s="4"/>
      <c r="AI776" s="4"/>
      <c r="AJ776" s="4"/>
      <c r="AK776" s="4"/>
      <c r="AL776" s="4"/>
      <c r="AM776" s="4"/>
      <c r="AN776" s="4"/>
      <c r="AO776" s="4"/>
      <c r="AP776" s="4"/>
      <c r="AQ776" s="4"/>
      <c r="AR776" s="4"/>
      <c r="AS776" s="4"/>
      <c r="AT776" s="4"/>
      <c r="AU776" s="4"/>
      <c r="AV776" s="4"/>
      <c r="AW776" s="4"/>
      <c r="AX776" s="4"/>
      <c r="AY776" s="4"/>
      <c r="AZ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  <c r="AG777" s="4"/>
      <c r="AH777" s="4"/>
      <c r="AI777" s="4"/>
      <c r="AJ777" s="4"/>
      <c r="AK777" s="4"/>
      <c r="AL777" s="4"/>
      <c r="AM777" s="4"/>
      <c r="AN777" s="4"/>
      <c r="AO777" s="4"/>
      <c r="AP777" s="4"/>
      <c r="AQ777" s="4"/>
      <c r="AR777" s="4"/>
      <c r="AS777" s="4"/>
      <c r="AT777" s="4"/>
      <c r="AU777" s="4"/>
      <c r="AV777" s="4"/>
      <c r="AW777" s="4"/>
      <c r="AX777" s="4"/>
      <c r="AY777" s="4"/>
      <c r="AZ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  <c r="AG778" s="4"/>
      <c r="AH778" s="4"/>
      <c r="AI778" s="4"/>
      <c r="AJ778" s="4"/>
      <c r="AK778" s="4"/>
      <c r="AL778" s="4"/>
      <c r="AM778" s="4"/>
      <c r="AN778" s="4"/>
      <c r="AO778" s="4"/>
      <c r="AP778" s="4"/>
      <c r="AQ778" s="4"/>
      <c r="AR778" s="4"/>
      <c r="AS778" s="4"/>
      <c r="AT778" s="4"/>
      <c r="AU778" s="4"/>
      <c r="AV778" s="4"/>
      <c r="AW778" s="4"/>
      <c r="AX778" s="4"/>
      <c r="AY778" s="4"/>
      <c r="AZ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4"/>
      <c r="AH779" s="4"/>
      <c r="AI779" s="4"/>
      <c r="AJ779" s="4"/>
      <c r="AK779" s="4"/>
      <c r="AL779" s="4"/>
      <c r="AM779" s="4"/>
      <c r="AN779" s="4"/>
      <c r="AO779" s="4"/>
      <c r="AP779" s="4"/>
      <c r="AQ779" s="4"/>
      <c r="AR779" s="4"/>
      <c r="AS779" s="4"/>
      <c r="AT779" s="4"/>
      <c r="AU779" s="4"/>
      <c r="AV779" s="4"/>
      <c r="AW779" s="4"/>
      <c r="AX779" s="4"/>
      <c r="AY779" s="4"/>
      <c r="AZ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4"/>
      <c r="AH780" s="4"/>
      <c r="AI780" s="4"/>
      <c r="AJ780" s="4"/>
      <c r="AK780" s="4"/>
      <c r="AL780" s="4"/>
      <c r="AM780" s="4"/>
      <c r="AN780" s="4"/>
      <c r="AO780" s="4"/>
      <c r="AP780" s="4"/>
      <c r="AQ780" s="4"/>
      <c r="AR780" s="4"/>
      <c r="AS780" s="4"/>
      <c r="AT780" s="4"/>
      <c r="AU780" s="4"/>
      <c r="AV780" s="4"/>
      <c r="AW780" s="4"/>
      <c r="AX780" s="4"/>
      <c r="AY780" s="4"/>
      <c r="AZ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  <c r="AG781" s="4"/>
      <c r="AH781" s="4"/>
      <c r="AI781" s="4"/>
      <c r="AJ781" s="4"/>
      <c r="AK781" s="4"/>
      <c r="AL781" s="4"/>
      <c r="AM781" s="4"/>
      <c r="AN781" s="4"/>
      <c r="AO781" s="4"/>
      <c r="AP781" s="4"/>
      <c r="AQ781" s="4"/>
      <c r="AR781" s="4"/>
      <c r="AS781" s="4"/>
      <c r="AT781" s="4"/>
      <c r="AU781" s="4"/>
      <c r="AV781" s="4"/>
      <c r="AW781" s="4"/>
      <c r="AX781" s="4"/>
      <c r="AY781" s="4"/>
      <c r="AZ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  <c r="AG782" s="4"/>
      <c r="AH782" s="4"/>
      <c r="AI782" s="4"/>
      <c r="AJ782" s="4"/>
      <c r="AK782" s="4"/>
      <c r="AL782" s="4"/>
      <c r="AM782" s="4"/>
      <c r="AN782" s="4"/>
      <c r="AO782" s="4"/>
      <c r="AP782" s="4"/>
      <c r="AQ782" s="4"/>
      <c r="AR782" s="4"/>
      <c r="AS782" s="4"/>
      <c r="AT782" s="4"/>
      <c r="AU782" s="4"/>
      <c r="AV782" s="4"/>
      <c r="AW782" s="4"/>
      <c r="AX782" s="4"/>
      <c r="AY782" s="4"/>
      <c r="AZ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  <c r="AG783" s="4"/>
      <c r="AH783" s="4"/>
      <c r="AI783" s="4"/>
      <c r="AJ783" s="4"/>
      <c r="AK783" s="4"/>
      <c r="AL783" s="4"/>
      <c r="AM783" s="4"/>
      <c r="AN783" s="4"/>
      <c r="AO783" s="4"/>
      <c r="AP783" s="4"/>
      <c r="AQ783" s="4"/>
      <c r="AR783" s="4"/>
      <c r="AS783" s="4"/>
      <c r="AT783" s="4"/>
      <c r="AU783" s="4"/>
      <c r="AV783" s="4"/>
      <c r="AW783" s="4"/>
      <c r="AX783" s="4"/>
      <c r="AY783" s="4"/>
      <c r="AZ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  <c r="AG784" s="4"/>
      <c r="AH784" s="4"/>
      <c r="AI784" s="4"/>
      <c r="AJ784" s="4"/>
      <c r="AK784" s="4"/>
      <c r="AL784" s="4"/>
      <c r="AM784" s="4"/>
      <c r="AN784" s="4"/>
      <c r="AO784" s="4"/>
      <c r="AP784" s="4"/>
      <c r="AQ784" s="4"/>
      <c r="AR784" s="4"/>
      <c r="AS784" s="4"/>
      <c r="AT784" s="4"/>
      <c r="AU784" s="4"/>
      <c r="AV784" s="4"/>
      <c r="AW784" s="4"/>
      <c r="AX784" s="4"/>
      <c r="AY784" s="4"/>
      <c r="AZ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  <c r="AG785" s="4"/>
      <c r="AH785" s="4"/>
      <c r="AI785" s="4"/>
      <c r="AJ785" s="4"/>
      <c r="AK785" s="4"/>
      <c r="AL785" s="4"/>
      <c r="AM785" s="4"/>
      <c r="AN785" s="4"/>
      <c r="AO785" s="4"/>
      <c r="AP785" s="4"/>
      <c r="AQ785" s="4"/>
      <c r="AR785" s="4"/>
      <c r="AS785" s="4"/>
      <c r="AT785" s="4"/>
      <c r="AU785" s="4"/>
      <c r="AV785" s="4"/>
      <c r="AW785" s="4"/>
      <c r="AX785" s="4"/>
      <c r="AY785" s="4"/>
      <c r="AZ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  <c r="AG786" s="4"/>
      <c r="AH786" s="4"/>
      <c r="AI786" s="4"/>
      <c r="AJ786" s="4"/>
      <c r="AK786" s="4"/>
      <c r="AL786" s="4"/>
      <c r="AM786" s="4"/>
      <c r="AN786" s="4"/>
      <c r="AO786" s="4"/>
      <c r="AP786" s="4"/>
      <c r="AQ786" s="4"/>
      <c r="AR786" s="4"/>
      <c r="AS786" s="4"/>
      <c r="AT786" s="4"/>
      <c r="AU786" s="4"/>
      <c r="AV786" s="4"/>
      <c r="AW786" s="4"/>
      <c r="AX786" s="4"/>
      <c r="AY786" s="4"/>
      <c r="AZ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  <c r="AG787" s="4"/>
      <c r="AH787" s="4"/>
      <c r="AI787" s="4"/>
      <c r="AJ787" s="4"/>
      <c r="AK787" s="4"/>
      <c r="AL787" s="4"/>
      <c r="AM787" s="4"/>
      <c r="AN787" s="4"/>
      <c r="AO787" s="4"/>
      <c r="AP787" s="4"/>
      <c r="AQ787" s="4"/>
      <c r="AR787" s="4"/>
      <c r="AS787" s="4"/>
      <c r="AT787" s="4"/>
      <c r="AU787" s="4"/>
      <c r="AV787" s="4"/>
      <c r="AW787" s="4"/>
      <c r="AX787" s="4"/>
      <c r="AY787" s="4"/>
      <c r="AZ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  <c r="AG788" s="4"/>
      <c r="AH788" s="4"/>
      <c r="AI788" s="4"/>
      <c r="AJ788" s="4"/>
      <c r="AK788" s="4"/>
      <c r="AL788" s="4"/>
      <c r="AM788" s="4"/>
      <c r="AN788" s="4"/>
      <c r="AO788" s="4"/>
      <c r="AP788" s="4"/>
      <c r="AQ788" s="4"/>
      <c r="AR788" s="4"/>
      <c r="AS788" s="4"/>
      <c r="AT788" s="4"/>
      <c r="AU788" s="4"/>
      <c r="AV788" s="4"/>
      <c r="AW788" s="4"/>
      <c r="AX788" s="4"/>
      <c r="AY788" s="4"/>
      <c r="AZ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  <c r="AG789" s="4"/>
      <c r="AH789" s="4"/>
      <c r="AI789" s="4"/>
      <c r="AJ789" s="4"/>
      <c r="AK789" s="4"/>
      <c r="AL789" s="4"/>
      <c r="AM789" s="4"/>
      <c r="AN789" s="4"/>
      <c r="AO789" s="4"/>
      <c r="AP789" s="4"/>
      <c r="AQ789" s="4"/>
      <c r="AR789" s="4"/>
      <c r="AS789" s="4"/>
      <c r="AT789" s="4"/>
      <c r="AU789" s="4"/>
      <c r="AV789" s="4"/>
      <c r="AW789" s="4"/>
      <c r="AX789" s="4"/>
      <c r="AY789" s="4"/>
      <c r="AZ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  <c r="AG790" s="4"/>
      <c r="AH790" s="4"/>
      <c r="AI790" s="4"/>
      <c r="AJ790" s="4"/>
      <c r="AK790" s="4"/>
      <c r="AL790" s="4"/>
      <c r="AM790" s="4"/>
      <c r="AN790" s="4"/>
      <c r="AO790" s="4"/>
      <c r="AP790" s="4"/>
      <c r="AQ790" s="4"/>
      <c r="AR790" s="4"/>
      <c r="AS790" s="4"/>
      <c r="AT790" s="4"/>
      <c r="AU790" s="4"/>
      <c r="AV790" s="4"/>
      <c r="AW790" s="4"/>
      <c r="AX790" s="4"/>
      <c r="AY790" s="4"/>
      <c r="AZ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  <c r="AG791" s="4"/>
      <c r="AH791" s="4"/>
      <c r="AI791" s="4"/>
      <c r="AJ791" s="4"/>
      <c r="AK791" s="4"/>
      <c r="AL791" s="4"/>
      <c r="AM791" s="4"/>
      <c r="AN791" s="4"/>
      <c r="AO791" s="4"/>
      <c r="AP791" s="4"/>
      <c r="AQ791" s="4"/>
      <c r="AR791" s="4"/>
      <c r="AS791" s="4"/>
      <c r="AT791" s="4"/>
      <c r="AU791" s="4"/>
      <c r="AV791" s="4"/>
      <c r="AW791" s="4"/>
      <c r="AX791" s="4"/>
      <c r="AY791" s="4"/>
      <c r="AZ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  <c r="AG792" s="4"/>
      <c r="AH792" s="4"/>
      <c r="AI792" s="4"/>
      <c r="AJ792" s="4"/>
      <c r="AK792" s="4"/>
      <c r="AL792" s="4"/>
      <c r="AM792" s="4"/>
      <c r="AN792" s="4"/>
      <c r="AO792" s="4"/>
      <c r="AP792" s="4"/>
      <c r="AQ792" s="4"/>
      <c r="AR792" s="4"/>
      <c r="AS792" s="4"/>
      <c r="AT792" s="4"/>
      <c r="AU792" s="4"/>
      <c r="AV792" s="4"/>
      <c r="AW792" s="4"/>
      <c r="AX792" s="4"/>
      <c r="AY792" s="4"/>
      <c r="AZ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  <c r="AG793" s="4"/>
      <c r="AH793" s="4"/>
      <c r="AI793" s="4"/>
      <c r="AJ793" s="4"/>
      <c r="AK793" s="4"/>
      <c r="AL793" s="4"/>
      <c r="AM793" s="4"/>
      <c r="AN793" s="4"/>
      <c r="AO793" s="4"/>
      <c r="AP793" s="4"/>
      <c r="AQ793" s="4"/>
      <c r="AR793" s="4"/>
      <c r="AS793" s="4"/>
      <c r="AT793" s="4"/>
      <c r="AU793" s="4"/>
      <c r="AV793" s="4"/>
      <c r="AW793" s="4"/>
      <c r="AX793" s="4"/>
      <c r="AY793" s="4"/>
      <c r="AZ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  <c r="AG794" s="4"/>
      <c r="AH794" s="4"/>
      <c r="AI794" s="4"/>
      <c r="AJ794" s="4"/>
      <c r="AK794" s="4"/>
      <c r="AL794" s="4"/>
      <c r="AM794" s="4"/>
      <c r="AN794" s="4"/>
      <c r="AO794" s="4"/>
      <c r="AP794" s="4"/>
      <c r="AQ794" s="4"/>
      <c r="AR794" s="4"/>
      <c r="AS794" s="4"/>
      <c r="AT794" s="4"/>
      <c r="AU794" s="4"/>
      <c r="AV794" s="4"/>
      <c r="AW794" s="4"/>
      <c r="AX794" s="4"/>
      <c r="AY794" s="4"/>
      <c r="AZ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  <c r="AG795" s="4"/>
      <c r="AH795" s="4"/>
      <c r="AI795" s="4"/>
      <c r="AJ795" s="4"/>
      <c r="AK795" s="4"/>
      <c r="AL795" s="4"/>
      <c r="AM795" s="4"/>
      <c r="AN795" s="4"/>
      <c r="AO795" s="4"/>
      <c r="AP795" s="4"/>
      <c r="AQ795" s="4"/>
      <c r="AR795" s="4"/>
      <c r="AS795" s="4"/>
      <c r="AT795" s="4"/>
      <c r="AU795" s="4"/>
      <c r="AV795" s="4"/>
      <c r="AW795" s="4"/>
      <c r="AX795" s="4"/>
      <c r="AY795" s="4"/>
      <c r="AZ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  <c r="AG796" s="4"/>
      <c r="AH796" s="4"/>
      <c r="AI796" s="4"/>
      <c r="AJ796" s="4"/>
      <c r="AK796" s="4"/>
      <c r="AL796" s="4"/>
      <c r="AM796" s="4"/>
      <c r="AN796" s="4"/>
      <c r="AO796" s="4"/>
      <c r="AP796" s="4"/>
      <c r="AQ796" s="4"/>
      <c r="AR796" s="4"/>
      <c r="AS796" s="4"/>
      <c r="AT796" s="4"/>
      <c r="AU796" s="4"/>
      <c r="AV796" s="4"/>
      <c r="AW796" s="4"/>
      <c r="AX796" s="4"/>
      <c r="AY796" s="4"/>
      <c r="AZ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  <c r="AG797" s="4"/>
      <c r="AH797" s="4"/>
      <c r="AI797" s="4"/>
      <c r="AJ797" s="4"/>
      <c r="AK797" s="4"/>
      <c r="AL797" s="4"/>
      <c r="AM797" s="4"/>
      <c r="AN797" s="4"/>
      <c r="AO797" s="4"/>
      <c r="AP797" s="4"/>
      <c r="AQ797" s="4"/>
      <c r="AR797" s="4"/>
      <c r="AS797" s="4"/>
      <c r="AT797" s="4"/>
      <c r="AU797" s="4"/>
      <c r="AV797" s="4"/>
      <c r="AW797" s="4"/>
      <c r="AX797" s="4"/>
      <c r="AY797" s="4"/>
      <c r="AZ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4"/>
      <c r="AH798" s="4"/>
      <c r="AI798" s="4"/>
      <c r="AJ798" s="4"/>
      <c r="AK798" s="4"/>
      <c r="AL798" s="4"/>
      <c r="AM798" s="4"/>
      <c r="AN798" s="4"/>
      <c r="AO798" s="4"/>
      <c r="AP798" s="4"/>
      <c r="AQ798" s="4"/>
      <c r="AR798" s="4"/>
      <c r="AS798" s="4"/>
      <c r="AT798" s="4"/>
      <c r="AU798" s="4"/>
      <c r="AV798" s="4"/>
      <c r="AW798" s="4"/>
      <c r="AX798" s="4"/>
      <c r="AY798" s="4"/>
      <c r="AZ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4"/>
      <c r="AH799" s="4"/>
      <c r="AI799" s="4"/>
      <c r="AJ799" s="4"/>
      <c r="AK799" s="4"/>
      <c r="AL799" s="4"/>
      <c r="AM799" s="4"/>
      <c r="AN799" s="4"/>
      <c r="AO799" s="4"/>
      <c r="AP799" s="4"/>
      <c r="AQ799" s="4"/>
      <c r="AR799" s="4"/>
      <c r="AS799" s="4"/>
      <c r="AT799" s="4"/>
      <c r="AU799" s="4"/>
      <c r="AV799" s="4"/>
      <c r="AW799" s="4"/>
      <c r="AX799" s="4"/>
      <c r="AY799" s="4"/>
      <c r="AZ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  <c r="AG800" s="4"/>
      <c r="AH800" s="4"/>
      <c r="AI800" s="4"/>
      <c r="AJ800" s="4"/>
      <c r="AK800" s="4"/>
      <c r="AL800" s="4"/>
      <c r="AM800" s="4"/>
      <c r="AN800" s="4"/>
      <c r="AO800" s="4"/>
      <c r="AP800" s="4"/>
      <c r="AQ800" s="4"/>
      <c r="AR800" s="4"/>
      <c r="AS800" s="4"/>
      <c r="AT800" s="4"/>
      <c r="AU800" s="4"/>
      <c r="AV800" s="4"/>
      <c r="AW800" s="4"/>
      <c r="AX800" s="4"/>
      <c r="AY800" s="4"/>
      <c r="AZ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  <c r="AG801" s="4"/>
      <c r="AH801" s="4"/>
      <c r="AI801" s="4"/>
      <c r="AJ801" s="4"/>
      <c r="AK801" s="4"/>
      <c r="AL801" s="4"/>
      <c r="AM801" s="4"/>
      <c r="AN801" s="4"/>
      <c r="AO801" s="4"/>
      <c r="AP801" s="4"/>
      <c r="AQ801" s="4"/>
      <c r="AR801" s="4"/>
      <c r="AS801" s="4"/>
      <c r="AT801" s="4"/>
      <c r="AU801" s="4"/>
      <c r="AV801" s="4"/>
      <c r="AW801" s="4"/>
      <c r="AX801" s="4"/>
      <c r="AY801" s="4"/>
      <c r="AZ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  <c r="AG802" s="4"/>
      <c r="AH802" s="4"/>
      <c r="AI802" s="4"/>
      <c r="AJ802" s="4"/>
      <c r="AK802" s="4"/>
      <c r="AL802" s="4"/>
      <c r="AM802" s="4"/>
      <c r="AN802" s="4"/>
      <c r="AO802" s="4"/>
      <c r="AP802" s="4"/>
      <c r="AQ802" s="4"/>
      <c r="AR802" s="4"/>
      <c r="AS802" s="4"/>
      <c r="AT802" s="4"/>
      <c r="AU802" s="4"/>
      <c r="AV802" s="4"/>
      <c r="AW802" s="4"/>
      <c r="AX802" s="4"/>
      <c r="AY802" s="4"/>
      <c r="AZ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  <c r="AG803" s="4"/>
      <c r="AH803" s="4"/>
      <c r="AI803" s="4"/>
      <c r="AJ803" s="4"/>
      <c r="AK803" s="4"/>
      <c r="AL803" s="4"/>
      <c r="AM803" s="4"/>
      <c r="AN803" s="4"/>
      <c r="AO803" s="4"/>
      <c r="AP803" s="4"/>
      <c r="AQ803" s="4"/>
      <c r="AR803" s="4"/>
      <c r="AS803" s="4"/>
      <c r="AT803" s="4"/>
      <c r="AU803" s="4"/>
      <c r="AV803" s="4"/>
      <c r="AW803" s="4"/>
      <c r="AX803" s="4"/>
      <c r="AY803" s="4"/>
      <c r="AZ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  <c r="AG804" s="4"/>
      <c r="AH804" s="4"/>
      <c r="AI804" s="4"/>
      <c r="AJ804" s="4"/>
      <c r="AK804" s="4"/>
      <c r="AL804" s="4"/>
      <c r="AM804" s="4"/>
      <c r="AN804" s="4"/>
      <c r="AO804" s="4"/>
      <c r="AP804" s="4"/>
      <c r="AQ804" s="4"/>
      <c r="AR804" s="4"/>
      <c r="AS804" s="4"/>
      <c r="AT804" s="4"/>
      <c r="AU804" s="4"/>
      <c r="AV804" s="4"/>
      <c r="AW804" s="4"/>
      <c r="AX804" s="4"/>
      <c r="AY804" s="4"/>
      <c r="AZ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  <c r="AG805" s="4"/>
      <c r="AH805" s="4"/>
      <c r="AI805" s="4"/>
      <c r="AJ805" s="4"/>
      <c r="AK805" s="4"/>
      <c r="AL805" s="4"/>
      <c r="AM805" s="4"/>
      <c r="AN805" s="4"/>
      <c r="AO805" s="4"/>
      <c r="AP805" s="4"/>
      <c r="AQ805" s="4"/>
      <c r="AR805" s="4"/>
      <c r="AS805" s="4"/>
      <c r="AT805" s="4"/>
      <c r="AU805" s="4"/>
      <c r="AV805" s="4"/>
      <c r="AW805" s="4"/>
      <c r="AX805" s="4"/>
      <c r="AY805" s="4"/>
      <c r="AZ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4"/>
      <c r="AH806" s="4"/>
      <c r="AI806" s="4"/>
      <c r="AJ806" s="4"/>
      <c r="AK806" s="4"/>
      <c r="AL806" s="4"/>
      <c r="AM806" s="4"/>
      <c r="AN806" s="4"/>
      <c r="AO806" s="4"/>
      <c r="AP806" s="4"/>
      <c r="AQ806" s="4"/>
      <c r="AR806" s="4"/>
      <c r="AS806" s="4"/>
      <c r="AT806" s="4"/>
      <c r="AU806" s="4"/>
      <c r="AV806" s="4"/>
      <c r="AW806" s="4"/>
      <c r="AX806" s="4"/>
      <c r="AY806" s="4"/>
      <c r="AZ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4"/>
      <c r="AH807" s="4"/>
      <c r="AI807" s="4"/>
      <c r="AJ807" s="4"/>
      <c r="AK807" s="4"/>
      <c r="AL807" s="4"/>
      <c r="AM807" s="4"/>
      <c r="AN807" s="4"/>
      <c r="AO807" s="4"/>
      <c r="AP807" s="4"/>
      <c r="AQ807" s="4"/>
      <c r="AR807" s="4"/>
      <c r="AS807" s="4"/>
      <c r="AT807" s="4"/>
      <c r="AU807" s="4"/>
      <c r="AV807" s="4"/>
      <c r="AW807" s="4"/>
      <c r="AX807" s="4"/>
      <c r="AY807" s="4"/>
      <c r="AZ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4"/>
      <c r="AH808" s="4"/>
      <c r="AI808" s="4"/>
      <c r="AJ808" s="4"/>
      <c r="AK808" s="4"/>
      <c r="AL808" s="4"/>
      <c r="AM808" s="4"/>
      <c r="AN808" s="4"/>
      <c r="AO808" s="4"/>
      <c r="AP808" s="4"/>
      <c r="AQ808" s="4"/>
      <c r="AR808" s="4"/>
      <c r="AS808" s="4"/>
      <c r="AT808" s="4"/>
      <c r="AU808" s="4"/>
      <c r="AV808" s="4"/>
      <c r="AW808" s="4"/>
      <c r="AX808" s="4"/>
      <c r="AY808" s="4"/>
      <c r="AZ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  <c r="AG809" s="4"/>
      <c r="AH809" s="4"/>
      <c r="AI809" s="4"/>
      <c r="AJ809" s="4"/>
      <c r="AK809" s="4"/>
      <c r="AL809" s="4"/>
      <c r="AM809" s="4"/>
      <c r="AN809" s="4"/>
      <c r="AO809" s="4"/>
      <c r="AP809" s="4"/>
      <c r="AQ809" s="4"/>
      <c r="AR809" s="4"/>
      <c r="AS809" s="4"/>
      <c r="AT809" s="4"/>
      <c r="AU809" s="4"/>
      <c r="AV809" s="4"/>
      <c r="AW809" s="4"/>
      <c r="AX809" s="4"/>
      <c r="AY809" s="4"/>
      <c r="AZ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  <c r="AG810" s="4"/>
      <c r="AH810" s="4"/>
      <c r="AI810" s="4"/>
      <c r="AJ810" s="4"/>
      <c r="AK810" s="4"/>
      <c r="AL810" s="4"/>
      <c r="AM810" s="4"/>
      <c r="AN810" s="4"/>
      <c r="AO810" s="4"/>
      <c r="AP810" s="4"/>
      <c r="AQ810" s="4"/>
      <c r="AR810" s="4"/>
      <c r="AS810" s="4"/>
      <c r="AT810" s="4"/>
      <c r="AU810" s="4"/>
      <c r="AV810" s="4"/>
      <c r="AW810" s="4"/>
      <c r="AX810" s="4"/>
      <c r="AY810" s="4"/>
      <c r="AZ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  <c r="AG811" s="4"/>
      <c r="AH811" s="4"/>
      <c r="AI811" s="4"/>
      <c r="AJ811" s="4"/>
      <c r="AK811" s="4"/>
      <c r="AL811" s="4"/>
      <c r="AM811" s="4"/>
      <c r="AN811" s="4"/>
      <c r="AO811" s="4"/>
      <c r="AP811" s="4"/>
      <c r="AQ811" s="4"/>
      <c r="AR811" s="4"/>
      <c r="AS811" s="4"/>
      <c r="AT811" s="4"/>
      <c r="AU811" s="4"/>
      <c r="AV811" s="4"/>
      <c r="AW811" s="4"/>
      <c r="AX811" s="4"/>
      <c r="AY811" s="4"/>
      <c r="AZ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  <c r="AG812" s="4"/>
      <c r="AH812" s="4"/>
      <c r="AI812" s="4"/>
      <c r="AJ812" s="4"/>
      <c r="AK812" s="4"/>
      <c r="AL812" s="4"/>
      <c r="AM812" s="4"/>
      <c r="AN812" s="4"/>
      <c r="AO812" s="4"/>
      <c r="AP812" s="4"/>
      <c r="AQ812" s="4"/>
      <c r="AR812" s="4"/>
      <c r="AS812" s="4"/>
      <c r="AT812" s="4"/>
      <c r="AU812" s="4"/>
      <c r="AV812" s="4"/>
      <c r="AW812" s="4"/>
      <c r="AX812" s="4"/>
      <c r="AY812" s="4"/>
      <c r="AZ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  <c r="AG813" s="4"/>
      <c r="AH813" s="4"/>
      <c r="AI813" s="4"/>
      <c r="AJ813" s="4"/>
      <c r="AK813" s="4"/>
      <c r="AL813" s="4"/>
      <c r="AM813" s="4"/>
      <c r="AN813" s="4"/>
      <c r="AO813" s="4"/>
      <c r="AP813" s="4"/>
      <c r="AQ813" s="4"/>
      <c r="AR813" s="4"/>
      <c r="AS813" s="4"/>
      <c r="AT813" s="4"/>
      <c r="AU813" s="4"/>
      <c r="AV813" s="4"/>
      <c r="AW813" s="4"/>
      <c r="AX813" s="4"/>
      <c r="AY813" s="4"/>
      <c r="AZ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  <c r="AG814" s="4"/>
      <c r="AH814" s="4"/>
      <c r="AI814" s="4"/>
      <c r="AJ814" s="4"/>
      <c r="AK814" s="4"/>
      <c r="AL814" s="4"/>
      <c r="AM814" s="4"/>
      <c r="AN814" s="4"/>
      <c r="AO814" s="4"/>
      <c r="AP814" s="4"/>
      <c r="AQ814" s="4"/>
      <c r="AR814" s="4"/>
      <c r="AS814" s="4"/>
      <c r="AT814" s="4"/>
      <c r="AU814" s="4"/>
      <c r="AV814" s="4"/>
      <c r="AW814" s="4"/>
      <c r="AX814" s="4"/>
      <c r="AY814" s="4"/>
      <c r="AZ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  <c r="AG815" s="4"/>
      <c r="AH815" s="4"/>
      <c r="AI815" s="4"/>
      <c r="AJ815" s="4"/>
      <c r="AK815" s="4"/>
      <c r="AL815" s="4"/>
      <c r="AM815" s="4"/>
      <c r="AN815" s="4"/>
      <c r="AO815" s="4"/>
      <c r="AP815" s="4"/>
      <c r="AQ815" s="4"/>
      <c r="AR815" s="4"/>
      <c r="AS815" s="4"/>
      <c r="AT815" s="4"/>
      <c r="AU815" s="4"/>
      <c r="AV815" s="4"/>
      <c r="AW815" s="4"/>
      <c r="AX815" s="4"/>
      <c r="AY815" s="4"/>
      <c r="AZ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  <c r="AG816" s="4"/>
      <c r="AH816" s="4"/>
      <c r="AI816" s="4"/>
      <c r="AJ816" s="4"/>
      <c r="AK816" s="4"/>
      <c r="AL816" s="4"/>
      <c r="AM816" s="4"/>
      <c r="AN816" s="4"/>
      <c r="AO816" s="4"/>
      <c r="AP816" s="4"/>
      <c r="AQ816" s="4"/>
      <c r="AR816" s="4"/>
      <c r="AS816" s="4"/>
      <c r="AT816" s="4"/>
      <c r="AU816" s="4"/>
      <c r="AV816" s="4"/>
      <c r="AW816" s="4"/>
      <c r="AX816" s="4"/>
      <c r="AY816" s="4"/>
      <c r="AZ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  <c r="AG817" s="4"/>
      <c r="AH817" s="4"/>
      <c r="AI817" s="4"/>
      <c r="AJ817" s="4"/>
      <c r="AK817" s="4"/>
      <c r="AL817" s="4"/>
      <c r="AM817" s="4"/>
      <c r="AN817" s="4"/>
      <c r="AO817" s="4"/>
      <c r="AP817" s="4"/>
      <c r="AQ817" s="4"/>
      <c r="AR817" s="4"/>
      <c r="AS817" s="4"/>
      <c r="AT817" s="4"/>
      <c r="AU817" s="4"/>
      <c r="AV817" s="4"/>
      <c r="AW817" s="4"/>
      <c r="AX817" s="4"/>
      <c r="AY817" s="4"/>
      <c r="AZ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  <c r="AG818" s="4"/>
      <c r="AH818" s="4"/>
      <c r="AI818" s="4"/>
      <c r="AJ818" s="4"/>
      <c r="AK818" s="4"/>
      <c r="AL818" s="4"/>
      <c r="AM818" s="4"/>
      <c r="AN818" s="4"/>
      <c r="AO818" s="4"/>
      <c r="AP818" s="4"/>
      <c r="AQ818" s="4"/>
      <c r="AR818" s="4"/>
      <c r="AS818" s="4"/>
      <c r="AT818" s="4"/>
      <c r="AU818" s="4"/>
      <c r="AV818" s="4"/>
      <c r="AW818" s="4"/>
      <c r="AX818" s="4"/>
      <c r="AY818" s="4"/>
      <c r="AZ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  <c r="AG819" s="4"/>
      <c r="AH819" s="4"/>
      <c r="AI819" s="4"/>
      <c r="AJ819" s="4"/>
      <c r="AK819" s="4"/>
      <c r="AL819" s="4"/>
      <c r="AM819" s="4"/>
      <c r="AN819" s="4"/>
      <c r="AO819" s="4"/>
      <c r="AP819" s="4"/>
      <c r="AQ819" s="4"/>
      <c r="AR819" s="4"/>
      <c r="AS819" s="4"/>
      <c r="AT819" s="4"/>
      <c r="AU819" s="4"/>
      <c r="AV819" s="4"/>
      <c r="AW819" s="4"/>
      <c r="AX819" s="4"/>
      <c r="AY819" s="4"/>
      <c r="AZ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  <c r="AG820" s="4"/>
      <c r="AH820" s="4"/>
      <c r="AI820" s="4"/>
      <c r="AJ820" s="4"/>
      <c r="AK820" s="4"/>
      <c r="AL820" s="4"/>
      <c r="AM820" s="4"/>
      <c r="AN820" s="4"/>
      <c r="AO820" s="4"/>
      <c r="AP820" s="4"/>
      <c r="AQ820" s="4"/>
      <c r="AR820" s="4"/>
      <c r="AS820" s="4"/>
      <c r="AT820" s="4"/>
      <c r="AU820" s="4"/>
      <c r="AV820" s="4"/>
      <c r="AW820" s="4"/>
      <c r="AX820" s="4"/>
      <c r="AY820" s="4"/>
      <c r="AZ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  <c r="AG821" s="4"/>
      <c r="AH821" s="4"/>
      <c r="AI821" s="4"/>
      <c r="AJ821" s="4"/>
      <c r="AK821" s="4"/>
      <c r="AL821" s="4"/>
      <c r="AM821" s="4"/>
      <c r="AN821" s="4"/>
      <c r="AO821" s="4"/>
      <c r="AP821" s="4"/>
      <c r="AQ821" s="4"/>
      <c r="AR821" s="4"/>
      <c r="AS821" s="4"/>
      <c r="AT821" s="4"/>
      <c r="AU821" s="4"/>
      <c r="AV821" s="4"/>
      <c r="AW821" s="4"/>
      <c r="AX821" s="4"/>
      <c r="AY821" s="4"/>
      <c r="AZ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  <c r="AG822" s="4"/>
      <c r="AH822" s="4"/>
      <c r="AI822" s="4"/>
      <c r="AJ822" s="4"/>
      <c r="AK822" s="4"/>
      <c r="AL822" s="4"/>
      <c r="AM822" s="4"/>
      <c r="AN822" s="4"/>
      <c r="AO822" s="4"/>
      <c r="AP822" s="4"/>
      <c r="AQ822" s="4"/>
      <c r="AR822" s="4"/>
      <c r="AS822" s="4"/>
      <c r="AT822" s="4"/>
      <c r="AU822" s="4"/>
      <c r="AV822" s="4"/>
      <c r="AW822" s="4"/>
      <c r="AX822" s="4"/>
      <c r="AY822" s="4"/>
      <c r="AZ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  <c r="AG823" s="4"/>
      <c r="AH823" s="4"/>
      <c r="AI823" s="4"/>
      <c r="AJ823" s="4"/>
      <c r="AK823" s="4"/>
      <c r="AL823" s="4"/>
      <c r="AM823" s="4"/>
      <c r="AN823" s="4"/>
      <c r="AO823" s="4"/>
      <c r="AP823" s="4"/>
      <c r="AQ823" s="4"/>
      <c r="AR823" s="4"/>
      <c r="AS823" s="4"/>
      <c r="AT823" s="4"/>
      <c r="AU823" s="4"/>
      <c r="AV823" s="4"/>
      <c r="AW823" s="4"/>
      <c r="AX823" s="4"/>
      <c r="AY823" s="4"/>
      <c r="AZ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  <c r="AG824" s="4"/>
      <c r="AH824" s="4"/>
      <c r="AI824" s="4"/>
      <c r="AJ824" s="4"/>
      <c r="AK824" s="4"/>
      <c r="AL824" s="4"/>
      <c r="AM824" s="4"/>
      <c r="AN824" s="4"/>
      <c r="AO824" s="4"/>
      <c r="AP824" s="4"/>
      <c r="AQ824" s="4"/>
      <c r="AR824" s="4"/>
      <c r="AS824" s="4"/>
      <c r="AT824" s="4"/>
      <c r="AU824" s="4"/>
      <c r="AV824" s="4"/>
      <c r="AW824" s="4"/>
      <c r="AX824" s="4"/>
      <c r="AY824" s="4"/>
      <c r="AZ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  <c r="AG825" s="4"/>
      <c r="AH825" s="4"/>
      <c r="AI825" s="4"/>
      <c r="AJ825" s="4"/>
      <c r="AK825" s="4"/>
      <c r="AL825" s="4"/>
      <c r="AM825" s="4"/>
      <c r="AN825" s="4"/>
      <c r="AO825" s="4"/>
      <c r="AP825" s="4"/>
      <c r="AQ825" s="4"/>
      <c r="AR825" s="4"/>
      <c r="AS825" s="4"/>
      <c r="AT825" s="4"/>
      <c r="AU825" s="4"/>
      <c r="AV825" s="4"/>
      <c r="AW825" s="4"/>
      <c r="AX825" s="4"/>
      <c r="AY825" s="4"/>
      <c r="AZ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  <c r="AG826" s="4"/>
      <c r="AH826" s="4"/>
      <c r="AI826" s="4"/>
      <c r="AJ826" s="4"/>
      <c r="AK826" s="4"/>
      <c r="AL826" s="4"/>
      <c r="AM826" s="4"/>
      <c r="AN826" s="4"/>
      <c r="AO826" s="4"/>
      <c r="AP826" s="4"/>
      <c r="AQ826" s="4"/>
      <c r="AR826" s="4"/>
      <c r="AS826" s="4"/>
      <c r="AT826" s="4"/>
      <c r="AU826" s="4"/>
      <c r="AV826" s="4"/>
      <c r="AW826" s="4"/>
      <c r="AX826" s="4"/>
      <c r="AY826" s="4"/>
      <c r="AZ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  <c r="AG827" s="4"/>
      <c r="AH827" s="4"/>
      <c r="AI827" s="4"/>
      <c r="AJ827" s="4"/>
      <c r="AK827" s="4"/>
      <c r="AL827" s="4"/>
      <c r="AM827" s="4"/>
      <c r="AN827" s="4"/>
      <c r="AO827" s="4"/>
      <c r="AP827" s="4"/>
      <c r="AQ827" s="4"/>
      <c r="AR827" s="4"/>
      <c r="AS827" s="4"/>
      <c r="AT827" s="4"/>
      <c r="AU827" s="4"/>
      <c r="AV827" s="4"/>
      <c r="AW827" s="4"/>
      <c r="AX827" s="4"/>
      <c r="AY827" s="4"/>
      <c r="AZ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  <c r="AG828" s="4"/>
      <c r="AH828" s="4"/>
      <c r="AI828" s="4"/>
      <c r="AJ828" s="4"/>
      <c r="AK828" s="4"/>
      <c r="AL828" s="4"/>
      <c r="AM828" s="4"/>
      <c r="AN828" s="4"/>
      <c r="AO828" s="4"/>
      <c r="AP828" s="4"/>
      <c r="AQ828" s="4"/>
      <c r="AR828" s="4"/>
      <c r="AS828" s="4"/>
      <c r="AT828" s="4"/>
      <c r="AU828" s="4"/>
      <c r="AV828" s="4"/>
      <c r="AW828" s="4"/>
      <c r="AX828" s="4"/>
      <c r="AY828" s="4"/>
      <c r="AZ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  <c r="AG829" s="4"/>
      <c r="AH829" s="4"/>
      <c r="AI829" s="4"/>
      <c r="AJ829" s="4"/>
      <c r="AK829" s="4"/>
      <c r="AL829" s="4"/>
      <c r="AM829" s="4"/>
      <c r="AN829" s="4"/>
      <c r="AO829" s="4"/>
      <c r="AP829" s="4"/>
      <c r="AQ829" s="4"/>
      <c r="AR829" s="4"/>
      <c r="AS829" s="4"/>
      <c r="AT829" s="4"/>
      <c r="AU829" s="4"/>
      <c r="AV829" s="4"/>
      <c r="AW829" s="4"/>
      <c r="AX829" s="4"/>
      <c r="AY829" s="4"/>
      <c r="AZ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  <c r="AG830" s="4"/>
      <c r="AH830" s="4"/>
      <c r="AI830" s="4"/>
      <c r="AJ830" s="4"/>
      <c r="AK830" s="4"/>
      <c r="AL830" s="4"/>
      <c r="AM830" s="4"/>
      <c r="AN830" s="4"/>
      <c r="AO830" s="4"/>
      <c r="AP830" s="4"/>
      <c r="AQ830" s="4"/>
      <c r="AR830" s="4"/>
      <c r="AS830" s="4"/>
      <c r="AT830" s="4"/>
      <c r="AU830" s="4"/>
      <c r="AV830" s="4"/>
      <c r="AW830" s="4"/>
      <c r="AX830" s="4"/>
      <c r="AY830" s="4"/>
      <c r="AZ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  <c r="AG831" s="4"/>
      <c r="AH831" s="4"/>
      <c r="AI831" s="4"/>
      <c r="AJ831" s="4"/>
      <c r="AK831" s="4"/>
      <c r="AL831" s="4"/>
      <c r="AM831" s="4"/>
      <c r="AN831" s="4"/>
      <c r="AO831" s="4"/>
      <c r="AP831" s="4"/>
      <c r="AQ831" s="4"/>
      <c r="AR831" s="4"/>
      <c r="AS831" s="4"/>
      <c r="AT831" s="4"/>
      <c r="AU831" s="4"/>
      <c r="AV831" s="4"/>
      <c r="AW831" s="4"/>
      <c r="AX831" s="4"/>
      <c r="AY831" s="4"/>
      <c r="AZ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  <c r="AG832" s="4"/>
      <c r="AH832" s="4"/>
      <c r="AI832" s="4"/>
      <c r="AJ832" s="4"/>
      <c r="AK832" s="4"/>
      <c r="AL832" s="4"/>
      <c r="AM832" s="4"/>
      <c r="AN832" s="4"/>
      <c r="AO832" s="4"/>
      <c r="AP832" s="4"/>
      <c r="AQ832" s="4"/>
      <c r="AR832" s="4"/>
      <c r="AS832" s="4"/>
      <c r="AT832" s="4"/>
      <c r="AU832" s="4"/>
      <c r="AV832" s="4"/>
      <c r="AW832" s="4"/>
      <c r="AX832" s="4"/>
      <c r="AY832" s="4"/>
      <c r="AZ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  <c r="AG833" s="4"/>
      <c r="AH833" s="4"/>
      <c r="AI833" s="4"/>
      <c r="AJ833" s="4"/>
      <c r="AK833" s="4"/>
      <c r="AL833" s="4"/>
      <c r="AM833" s="4"/>
      <c r="AN833" s="4"/>
      <c r="AO833" s="4"/>
      <c r="AP833" s="4"/>
      <c r="AQ833" s="4"/>
      <c r="AR833" s="4"/>
      <c r="AS833" s="4"/>
      <c r="AT833" s="4"/>
      <c r="AU833" s="4"/>
      <c r="AV833" s="4"/>
      <c r="AW833" s="4"/>
      <c r="AX833" s="4"/>
      <c r="AY833" s="4"/>
      <c r="AZ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  <c r="AG834" s="4"/>
      <c r="AH834" s="4"/>
      <c r="AI834" s="4"/>
      <c r="AJ834" s="4"/>
      <c r="AK834" s="4"/>
      <c r="AL834" s="4"/>
      <c r="AM834" s="4"/>
      <c r="AN834" s="4"/>
      <c r="AO834" s="4"/>
      <c r="AP834" s="4"/>
      <c r="AQ834" s="4"/>
      <c r="AR834" s="4"/>
      <c r="AS834" s="4"/>
      <c r="AT834" s="4"/>
      <c r="AU834" s="4"/>
      <c r="AV834" s="4"/>
      <c r="AW834" s="4"/>
      <c r="AX834" s="4"/>
      <c r="AY834" s="4"/>
      <c r="AZ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  <c r="AG835" s="4"/>
      <c r="AH835" s="4"/>
      <c r="AI835" s="4"/>
      <c r="AJ835" s="4"/>
      <c r="AK835" s="4"/>
      <c r="AL835" s="4"/>
      <c r="AM835" s="4"/>
      <c r="AN835" s="4"/>
      <c r="AO835" s="4"/>
      <c r="AP835" s="4"/>
      <c r="AQ835" s="4"/>
      <c r="AR835" s="4"/>
      <c r="AS835" s="4"/>
      <c r="AT835" s="4"/>
      <c r="AU835" s="4"/>
      <c r="AV835" s="4"/>
      <c r="AW835" s="4"/>
      <c r="AX835" s="4"/>
      <c r="AY835" s="4"/>
      <c r="AZ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  <c r="AG836" s="4"/>
      <c r="AH836" s="4"/>
      <c r="AI836" s="4"/>
      <c r="AJ836" s="4"/>
      <c r="AK836" s="4"/>
      <c r="AL836" s="4"/>
      <c r="AM836" s="4"/>
      <c r="AN836" s="4"/>
      <c r="AO836" s="4"/>
      <c r="AP836" s="4"/>
      <c r="AQ836" s="4"/>
      <c r="AR836" s="4"/>
      <c r="AS836" s="4"/>
      <c r="AT836" s="4"/>
      <c r="AU836" s="4"/>
      <c r="AV836" s="4"/>
      <c r="AW836" s="4"/>
      <c r="AX836" s="4"/>
      <c r="AY836" s="4"/>
      <c r="AZ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  <c r="AG837" s="4"/>
      <c r="AH837" s="4"/>
      <c r="AI837" s="4"/>
      <c r="AJ837" s="4"/>
      <c r="AK837" s="4"/>
      <c r="AL837" s="4"/>
      <c r="AM837" s="4"/>
      <c r="AN837" s="4"/>
      <c r="AO837" s="4"/>
      <c r="AP837" s="4"/>
      <c r="AQ837" s="4"/>
      <c r="AR837" s="4"/>
      <c r="AS837" s="4"/>
      <c r="AT837" s="4"/>
      <c r="AU837" s="4"/>
      <c r="AV837" s="4"/>
      <c r="AW837" s="4"/>
      <c r="AX837" s="4"/>
      <c r="AY837" s="4"/>
      <c r="AZ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  <c r="AG838" s="4"/>
      <c r="AH838" s="4"/>
      <c r="AI838" s="4"/>
      <c r="AJ838" s="4"/>
      <c r="AK838" s="4"/>
      <c r="AL838" s="4"/>
      <c r="AM838" s="4"/>
      <c r="AN838" s="4"/>
      <c r="AO838" s="4"/>
      <c r="AP838" s="4"/>
      <c r="AQ838" s="4"/>
      <c r="AR838" s="4"/>
      <c r="AS838" s="4"/>
      <c r="AT838" s="4"/>
      <c r="AU838" s="4"/>
      <c r="AV838" s="4"/>
      <c r="AW838" s="4"/>
      <c r="AX838" s="4"/>
      <c r="AY838" s="4"/>
      <c r="AZ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  <c r="AG839" s="4"/>
      <c r="AH839" s="4"/>
      <c r="AI839" s="4"/>
      <c r="AJ839" s="4"/>
      <c r="AK839" s="4"/>
      <c r="AL839" s="4"/>
      <c r="AM839" s="4"/>
      <c r="AN839" s="4"/>
      <c r="AO839" s="4"/>
      <c r="AP839" s="4"/>
      <c r="AQ839" s="4"/>
      <c r="AR839" s="4"/>
      <c r="AS839" s="4"/>
      <c r="AT839" s="4"/>
      <c r="AU839" s="4"/>
      <c r="AV839" s="4"/>
      <c r="AW839" s="4"/>
      <c r="AX839" s="4"/>
      <c r="AY839" s="4"/>
      <c r="AZ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  <c r="AG840" s="4"/>
      <c r="AH840" s="4"/>
      <c r="AI840" s="4"/>
      <c r="AJ840" s="4"/>
      <c r="AK840" s="4"/>
      <c r="AL840" s="4"/>
      <c r="AM840" s="4"/>
      <c r="AN840" s="4"/>
      <c r="AO840" s="4"/>
      <c r="AP840" s="4"/>
      <c r="AQ840" s="4"/>
      <c r="AR840" s="4"/>
      <c r="AS840" s="4"/>
      <c r="AT840" s="4"/>
      <c r="AU840" s="4"/>
      <c r="AV840" s="4"/>
      <c r="AW840" s="4"/>
      <c r="AX840" s="4"/>
      <c r="AY840" s="4"/>
      <c r="AZ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  <c r="AG841" s="4"/>
      <c r="AH841" s="4"/>
      <c r="AI841" s="4"/>
      <c r="AJ841" s="4"/>
      <c r="AK841" s="4"/>
      <c r="AL841" s="4"/>
      <c r="AM841" s="4"/>
      <c r="AN841" s="4"/>
      <c r="AO841" s="4"/>
      <c r="AP841" s="4"/>
      <c r="AQ841" s="4"/>
      <c r="AR841" s="4"/>
      <c r="AS841" s="4"/>
      <c r="AT841" s="4"/>
      <c r="AU841" s="4"/>
      <c r="AV841" s="4"/>
      <c r="AW841" s="4"/>
      <c r="AX841" s="4"/>
      <c r="AY841" s="4"/>
      <c r="AZ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  <c r="AG842" s="4"/>
      <c r="AH842" s="4"/>
      <c r="AI842" s="4"/>
      <c r="AJ842" s="4"/>
      <c r="AK842" s="4"/>
      <c r="AL842" s="4"/>
      <c r="AM842" s="4"/>
      <c r="AN842" s="4"/>
      <c r="AO842" s="4"/>
      <c r="AP842" s="4"/>
      <c r="AQ842" s="4"/>
      <c r="AR842" s="4"/>
      <c r="AS842" s="4"/>
      <c r="AT842" s="4"/>
      <c r="AU842" s="4"/>
      <c r="AV842" s="4"/>
      <c r="AW842" s="4"/>
      <c r="AX842" s="4"/>
      <c r="AY842" s="4"/>
      <c r="AZ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  <c r="AG843" s="4"/>
      <c r="AH843" s="4"/>
      <c r="AI843" s="4"/>
      <c r="AJ843" s="4"/>
      <c r="AK843" s="4"/>
      <c r="AL843" s="4"/>
      <c r="AM843" s="4"/>
      <c r="AN843" s="4"/>
      <c r="AO843" s="4"/>
      <c r="AP843" s="4"/>
      <c r="AQ843" s="4"/>
      <c r="AR843" s="4"/>
      <c r="AS843" s="4"/>
      <c r="AT843" s="4"/>
      <c r="AU843" s="4"/>
      <c r="AV843" s="4"/>
      <c r="AW843" s="4"/>
      <c r="AX843" s="4"/>
      <c r="AY843" s="4"/>
      <c r="AZ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  <c r="AG844" s="4"/>
      <c r="AH844" s="4"/>
      <c r="AI844" s="4"/>
      <c r="AJ844" s="4"/>
      <c r="AK844" s="4"/>
      <c r="AL844" s="4"/>
      <c r="AM844" s="4"/>
      <c r="AN844" s="4"/>
      <c r="AO844" s="4"/>
      <c r="AP844" s="4"/>
      <c r="AQ844" s="4"/>
      <c r="AR844" s="4"/>
      <c r="AS844" s="4"/>
      <c r="AT844" s="4"/>
      <c r="AU844" s="4"/>
      <c r="AV844" s="4"/>
      <c r="AW844" s="4"/>
      <c r="AX844" s="4"/>
      <c r="AY844" s="4"/>
      <c r="AZ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  <c r="AG845" s="4"/>
      <c r="AH845" s="4"/>
      <c r="AI845" s="4"/>
      <c r="AJ845" s="4"/>
      <c r="AK845" s="4"/>
      <c r="AL845" s="4"/>
      <c r="AM845" s="4"/>
      <c r="AN845" s="4"/>
      <c r="AO845" s="4"/>
      <c r="AP845" s="4"/>
      <c r="AQ845" s="4"/>
      <c r="AR845" s="4"/>
      <c r="AS845" s="4"/>
      <c r="AT845" s="4"/>
      <c r="AU845" s="4"/>
      <c r="AV845" s="4"/>
      <c r="AW845" s="4"/>
      <c r="AX845" s="4"/>
      <c r="AY845" s="4"/>
      <c r="AZ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  <c r="AG846" s="4"/>
      <c r="AH846" s="4"/>
      <c r="AI846" s="4"/>
      <c r="AJ846" s="4"/>
      <c r="AK846" s="4"/>
      <c r="AL846" s="4"/>
      <c r="AM846" s="4"/>
      <c r="AN846" s="4"/>
      <c r="AO846" s="4"/>
      <c r="AP846" s="4"/>
      <c r="AQ846" s="4"/>
      <c r="AR846" s="4"/>
      <c r="AS846" s="4"/>
      <c r="AT846" s="4"/>
      <c r="AU846" s="4"/>
      <c r="AV846" s="4"/>
      <c r="AW846" s="4"/>
      <c r="AX846" s="4"/>
      <c r="AY846" s="4"/>
      <c r="AZ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  <c r="AG847" s="4"/>
      <c r="AH847" s="4"/>
      <c r="AI847" s="4"/>
      <c r="AJ847" s="4"/>
      <c r="AK847" s="4"/>
      <c r="AL847" s="4"/>
      <c r="AM847" s="4"/>
      <c r="AN847" s="4"/>
      <c r="AO847" s="4"/>
      <c r="AP847" s="4"/>
      <c r="AQ847" s="4"/>
      <c r="AR847" s="4"/>
      <c r="AS847" s="4"/>
      <c r="AT847" s="4"/>
      <c r="AU847" s="4"/>
      <c r="AV847" s="4"/>
      <c r="AW847" s="4"/>
      <c r="AX847" s="4"/>
      <c r="AY847" s="4"/>
      <c r="AZ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  <c r="AG848" s="4"/>
      <c r="AH848" s="4"/>
      <c r="AI848" s="4"/>
      <c r="AJ848" s="4"/>
      <c r="AK848" s="4"/>
      <c r="AL848" s="4"/>
      <c r="AM848" s="4"/>
      <c r="AN848" s="4"/>
      <c r="AO848" s="4"/>
      <c r="AP848" s="4"/>
      <c r="AQ848" s="4"/>
      <c r="AR848" s="4"/>
      <c r="AS848" s="4"/>
      <c r="AT848" s="4"/>
      <c r="AU848" s="4"/>
      <c r="AV848" s="4"/>
      <c r="AW848" s="4"/>
      <c r="AX848" s="4"/>
      <c r="AY848" s="4"/>
      <c r="AZ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  <c r="AG849" s="4"/>
      <c r="AH849" s="4"/>
      <c r="AI849" s="4"/>
      <c r="AJ849" s="4"/>
      <c r="AK849" s="4"/>
      <c r="AL849" s="4"/>
      <c r="AM849" s="4"/>
      <c r="AN849" s="4"/>
      <c r="AO849" s="4"/>
      <c r="AP849" s="4"/>
      <c r="AQ849" s="4"/>
      <c r="AR849" s="4"/>
      <c r="AS849" s="4"/>
      <c r="AT849" s="4"/>
      <c r="AU849" s="4"/>
      <c r="AV849" s="4"/>
      <c r="AW849" s="4"/>
      <c r="AX849" s="4"/>
      <c r="AY849" s="4"/>
      <c r="AZ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  <c r="AG850" s="4"/>
      <c r="AH850" s="4"/>
      <c r="AI850" s="4"/>
      <c r="AJ850" s="4"/>
      <c r="AK850" s="4"/>
      <c r="AL850" s="4"/>
      <c r="AM850" s="4"/>
      <c r="AN850" s="4"/>
      <c r="AO850" s="4"/>
      <c r="AP850" s="4"/>
      <c r="AQ850" s="4"/>
      <c r="AR850" s="4"/>
      <c r="AS850" s="4"/>
      <c r="AT850" s="4"/>
      <c r="AU850" s="4"/>
      <c r="AV850" s="4"/>
      <c r="AW850" s="4"/>
      <c r="AX850" s="4"/>
      <c r="AY850" s="4"/>
      <c r="AZ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  <c r="AG851" s="4"/>
      <c r="AH851" s="4"/>
      <c r="AI851" s="4"/>
      <c r="AJ851" s="4"/>
      <c r="AK851" s="4"/>
      <c r="AL851" s="4"/>
      <c r="AM851" s="4"/>
      <c r="AN851" s="4"/>
      <c r="AO851" s="4"/>
      <c r="AP851" s="4"/>
      <c r="AQ851" s="4"/>
      <c r="AR851" s="4"/>
      <c r="AS851" s="4"/>
      <c r="AT851" s="4"/>
      <c r="AU851" s="4"/>
      <c r="AV851" s="4"/>
      <c r="AW851" s="4"/>
      <c r="AX851" s="4"/>
      <c r="AY851" s="4"/>
      <c r="AZ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  <c r="AG852" s="4"/>
      <c r="AH852" s="4"/>
      <c r="AI852" s="4"/>
      <c r="AJ852" s="4"/>
      <c r="AK852" s="4"/>
      <c r="AL852" s="4"/>
      <c r="AM852" s="4"/>
      <c r="AN852" s="4"/>
      <c r="AO852" s="4"/>
      <c r="AP852" s="4"/>
      <c r="AQ852" s="4"/>
      <c r="AR852" s="4"/>
      <c r="AS852" s="4"/>
      <c r="AT852" s="4"/>
      <c r="AU852" s="4"/>
      <c r="AV852" s="4"/>
      <c r="AW852" s="4"/>
      <c r="AX852" s="4"/>
      <c r="AY852" s="4"/>
      <c r="AZ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  <c r="AG853" s="4"/>
      <c r="AH853" s="4"/>
      <c r="AI853" s="4"/>
      <c r="AJ853" s="4"/>
      <c r="AK853" s="4"/>
      <c r="AL853" s="4"/>
      <c r="AM853" s="4"/>
      <c r="AN853" s="4"/>
      <c r="AO853" s="4"/>
      <c r="AP853" s="4"/>
      <c r="AQ853" s="4"/>
      <c r="AR853" s="4"/>
      <c r="AS853" s="4"/>
      <c r="AT853" s="4"/>
      <c r="AU853" s="4"/>
      <c r="AV853" s="4"/>
      <c r="AW853" s="4"/>
      <c r="AX853" s="4"/>
      <c r="AY853" s="4"/>
      <c r="AZ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  <c r="AG854" s="4"/>
      <c r="AH854" s="4"/>
      <c r="AI854" s="4"/>
      <c r="AJ854" s="4"/>
      <c r="AK854" s="4"/>
      <c r="AL854" s="4"/>
      <c r="AM854" s="4"/>
      <c r="AN854" s="4"/>
      <c r="AO854" s="4"/>
      <c r="AP854" s="4"/>
      <c r="AQ854" s="4"/>
      <c r="AR854" s="4"/>
      <c r="AS854" s="4"/>
      <c r="AT854" s="4"/>
      <c r="AU854" s="4"/>
      <c r="AV854" s="4"/>
      <c r="AW854" s="4"/>
      <c r="AX854" s="4"/>
      <c r="AY854" s="4"/>
      <c r="AZ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  <c r="AG855" s="4"/>
      <c r="AH855" s="4"/>
      <c r="AI855" s="4"/>
      <c r="AJ855" s="4"/>
      <c r="AK855" s="4"/>
      <c r="AL855" s="4"/>
      <c r="AM855" s="4"/>
      <c r="AN855" s="4"/>
      <c r="AO855" s="4"/>
      <c r="AP855" s="4"/>
      <c r="AQ855" s="4"/>
      <c r="AR855" s="4"/>
      <c r="AS855" s="4"/>
      <c r="AT855" s="4"/>
      <c r="AU855" s="4"/>
      <c r="AV855" s="4"/>
      <c r="AW855" s="4"/>
      <c r="AX855" s="4"/>
      <c r="AY855" s="4"/>
      <c r="AZ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  <c r="AG856" s="4"/>
      <c r="AH856" s="4"/>
      <c r="AI856" s="4"/>
      <c r="AJ856" s="4"/>
      <c r="AK856" s="4"/>
      <c r="AL856" s="4"/>
      <c r="AM856" s="4"/>
      <c r="AN856" s="4"/>
      <c r="AO856" s="4"/>
      <c r="AP856" s="4"/>
      <c r="AQ856" s="4"/>
      <c r="AR856" s="4"/>
      <c r="AS856" s="4"/>
      <c r="AT856" s="4"/>
      <c r="AU856" s="4"/>
      <c r="AV856" s="4"/>
      <c r="AW856" s="4"/>
      <c r="AX856" s="4"/>
      <c r="AY856" s="4"/>
      <c r="AZ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  <c r="AG857" s="4"/>
      <c r="AH857" s="4"/>
      <c r="AI857" s="4"/>
      <c r="AJ857" s="4"/>
      <c r="AK857" s="4"/>
      <c r="AL857" s="4"/>
      <c r="AM857" s="4"/>
      <c r="AN857" s="4"/>
      <c r="AO857" s="4"/>
      <c r="AP857" s="4"/>
      <c r="AQ857" s="4"/>
      <c r="AR857" s="4"/>
      <c r="AS857" s="4"/>
      <c r="AT857" s="4"/>
      <c r="AU857" s="4"/>
      <c r="AV857" s="4"/>
      <c r="AW857" s="4"/>
      <c r="AX857" s="4"/>
      <c r="AY857" s="4"/>
      <c r="AZ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  <c r="AG858" s="4"/>
      <c r="AH858" s="4"/>
      <c r="AI858" s="4"/>
      <c r="AJ858" s="4"/>
      <c r="AK858" s="4"/>
      <c r="AL858" s="4"/>
      <c r="AM858" s="4"/>
      <c r="AN858" s="4"/>
      <c r="AO858" s="4"/>
      <c r="AP858" s="4"/>
      <c r="AQ858" s="4"/>
      <c r="AR858" s="4"/>
      <c r="AS858" s="4"/>
      <c r="AT858" s="4"/>
      <c r="AU858" s="4"/>
      <c r="AV858" s="4"/>
      <c r="AW858" s="4"/>
      <c r="AX858" s="4"/>
      <c r="AY858" s="4"/>
      <c r="AZ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  <c r="AG859" s="4"/>
      <c r="AH859" s="4"/>
      <c r="AI859" s="4"/>
      <c r="AJ859" s="4"/>
      <c r="AK859" s="4"/>
      <c r="AL859" s="4"/>
      <c r="AM859" s="4"/>
      <c r="AN859" s="4"/>
      <c r="AO859" s="4"/>
      <c r="AP859" s="4"/>
      <c r="AQ859" s="4"/>
      <c r="AR859" s="4"/>
      <c r="AS859" s="4"/>
      <c r="AT859" s="4"/>
      <c r="AU859" s="4"/>
      <c r="AV859" s="4"/>
      <c r="AW859" s="4"/>
      <c r="AX859" s="4"/>
      <c r="AY859" s="4"/>
      <c r="AZ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  <c r="AG860" s="4"/>
      <c r="AH860" s="4"/>
      <c r="AI860" s="4"/>
      <c r="AJ860" s="4"/>
      <c r="AK860" s="4"/>
      <c r="AL860" s="4"/>
      <c r="AM860" s="4"/>
      <c r="AN860" s="4"/>
      <c r="AO860" s="4"/>
      <c r="AP860" s="4"/>
      <c r="AQ860" s="4"/>
      <c r="AR860" s="4"/>
      <c r="AS860" s="4"/>
      <c r="AT860" s="4"/>
      <c r="AU860" s="4"/>
      <c r="AV860" s="4"/>
      <c r="AW860" s="4"/>
      <c r="AX860" s="4"/>
      <c r="AY860" s="4"/>
      <c r="AZ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  <c r="AG861" s="4"/>
      <c r="AH861" s="4"/>
      <c r="AI861" s="4"/>
      <c r="AJ861" s="4"/>
      <c r="AK861" s="4"/>
      <c r="AL861" s="4"/>
      <c r="AM861" s="4"/>
      <c r="AN861" s="4"/>
      <c r="AO861" s="4"/>
      <c r="AP861" s="4"/>
      <c r="AQ861" s="4"/>
      <c r="AR861" s="4"/>
      <c r="AS861" s="4"/>
      <c r="AT861" s="4"/>
      <c r="AU861" s="4"/>
      <c r="AV861" s="4"/>
      <c r="AW861" s="4"/>
      <c r="AX861" s="4"/>
      <c r="AY861" s="4"/>
      <c r="AZ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  <c r="AG862" s="4"/>
      <c r="AH862" s="4"/>
      <c r="AI862" s="4"/>
      <c r="AJ862" s="4"/>
      <c r="AK862" s="4"/>
      <c r="AL862" s="4"/>
      <c r="AM862" s="4"/>
      <c r="AN862" s="4"/>
      <c r="AO862" s="4"/>
      <c r="AP862" s="4"/>
      <c r="AQ862" s="4"/>
      <c r="AR862" s="4"/>
      <c r="AS862" s="4"/>
      <c r="AT862" s="4"/>
      <c r="AU862" s="4"/>
      <c r="AV862" s="4"/>
      <c r="AW862" s="4"/>
      <c r="AX862" s="4"/>
      <c r="AY862" s="4"/>
      <c r="AZ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  <c r="AG863" s="4"/>
      <c r="AH863" s="4"/>
      <c r="AI863" s="4"/>
      <c r="AJ863" s="4"/>
      <c r="AK863" s="4"/>
      <c r="AL863" s="4"/>
      <c r="AM863" s="4"/>
      <c r="AN863" s="4"/>
      <c r="AO863" s="4"/>
      <c r="AP863" s="4"/>
      <c r="AQ863" s="4"/>
      <c r="AR863" s="4"/>
      <c r="AS863" s="4"/>
      <c r="AT863" s="4"/>
      <c r="AU863" s="4"/>
      <c r="AV863" s="4"/>
      <c r="AW863" s="4"/>
      <c r="AX863" s="4"/>
      <c r="AY863" s="4"/>
      <c r="AZ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  <c r="AG864" s="4"/>
      <c r="AH864" s="4"/>
      <c r="AI864" s="4"/>
      <c r="AJ864" s="4"/>
      <c r="AK864" s="4"/>
      <c r="AL864" s="4"/>
      <c r="AM864" s="4"/>
      <c r="AN864" s="4"/>
      <c r="AO864" s="4"/>
      <c r="AP864" s="4"/>
      <c r="AQ864" s="4"/>
      <c r="AR864" s="4"/>
      <c r="AS864" s="4"/>
      <c r="AT864" s="4"/>
      <c r="AU864" s="4"/>
      <c r="AV864" s="4"/>
      <c r="AW864" s="4"/>
      <c r="AX864" s="4"/>
      <c r="AY864" s="4"/>
      <c r="AZ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  <c r="AG865" s="4"/>
      <c r="AH865" s="4"/>
      <c r="AI865" s="4"/>
      <c r="AJ865" s="4"/>
      <c r="AK865" s="4"/>
      <c r="AL865" s="4"/>
      <c r="AM865" s="4"/>
      <c r="AN865" s="4"/>
      <c r="AO865" s="4"/>
      <c r="AP865" s="4"/>
      <c r="AQ865" s="4"/>
      <c r="AR865" s="4"/>
      <c r="AS865" s="4"/>
      <c r="AT865" s="4"/>
      <c r="AU865" s="4"/>
      <c r="AV865" s="4"/>
      <c r="AW865" s="4"/>
      <c r="AX865" s="4"/>
      <c r="AY865" s="4"/>
      <c r="AZ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  <c r="AG866" s="4"/>
      <c r="AH866" s="4"/>
      <c r="AI866" s="4"/>
      <c r="AJ866" s="4"/>
      <c r="AK866" s="4"/>
      <c r="AL866" s="4"/>
      <c r="AM866" s="4"/>
      <c r="AN866" s="4"/>
      <c r="AO866" s="4"/>
      <c r="AP866" s="4"/>
      <c r="AQ866" s="4"/>
      <c r="AR866" s="4"/>
      <c r="AS866" s="4"/>
      <c r="AT866" s="4"/>
      <c r="AU866" s="4"/>
      <c r="AV866" s="4"/>
      <c r="AW866" s="4"/>
      <c r="AX866" s="4"/>
      <c r="AY866" s="4"/>
      <c r="AZ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  <c r="AG867" s="4"/>
      <c r="AH867" s="4"/>
      <c r="AI867" s="4"/>
      <c r="AJ867" s="4"/>
      <c r="AK867" s="4"/>
      <c r="AL867" s="4"/>
      <c r="AM867" s="4"/>
      <c r="AN867" s="4"/>
      <c r="AO867" s="4"/>
      <c r="AP867" s="4"/>
      <c r="AQ867" s="4"/>
      <c r="AR867" s="4"/>
      <c r="AS867" s="4"/>
      <c r="AT867" s="4"/>
      <c r="AU867" s="4"/>
      <c r="AV867" s="4"/>
      <c r="AW867" s="4"/>
      <c r="AX867" s="4"/>
      <c r="AY867" s="4"/>
      <c r="AZ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  <c r="AG868" s="4"/>
      <c r="AH868" s="4"/>
      <c r="AI868" s="4"/>
      <c r="AJ868" s="4"/>
      <c r="AK868" s="4"/>
      <c r="AL868" s="4"/>
      <c r="AM868" s="4"/>
      <c r="AN868" s="4"/>
      <c r="AO868" s="4"/>
      <c r="AP868" s="4"/>
      <c r="AQ868" s="4"/>
      <c r="AR868" s="4"/>
      <c r="AS868" s="4"/>
      <c r="AT868" s="4"/>
      <c r="AU868" s="4"/>
      <c r="AV868" s="4"/>
      <c r="AW868" s="4"/>
      <c r="AX868" s="4"/>
      <c r="AY868" s="4"/>
      <c r="AZ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  <c r="AG869" s="4"/>
      <c r="AH869" s="4"/>
      <c r="AI869" s="4"/>
      <c r="AJ869" s="4"/>
      <c r="AK869" s="4"/>
      <c r="AL869" s="4"/>
      <c r="AM869" s="4"/>
      <c r="AN869" s="4"/>
      <c r="AO869" s="4"/>
      <c r="AP869" s="4"/>
      <c r="AQ869" s="4"/>
      <c r="AR869" s="4"/>
      <c r="AS869" s="4"/>
      <c r="AT869" s="4"/>
      <c r="AU869" s="4"/>
      <c r="AV869" s="4"/>
      <c r="AW869" s="4"/>
      <c r="AX869" s="4"/>
      <c r="AY869" s="4"/>
      <c r="AZ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  <c r="AG870" s="4"/>
      <c r="AH870" s="4"/>
      <c r="AI870" s="4"/>
      <c r="AJ870" s="4"/>
      <c r="AK870" s="4"/>
      <c r="AL870" s="4"/>
      <c r="AM870" s="4"/>
      <c r="AN870" s="4"/>
      <c r="AO870" s="4"/>
      <c r="AP870" s="4"/>
      <c r="AQ870" s="4"/>
      <c r="AR870" s="4"/>
      <c r="AS870" s="4"/>
      <c r="AT870" s="4"/>
      <c r="AU870" s="4"/>
      <c r="AV870" s="4"/>
      <c r="AW870" s="4"/>
      <c r="AX870" s="4"/>
      <c r="AY870" s="4"/>
      <c r="AZ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  <c r="AG871" s="4"/>
      <c r="AH871" s="4"/>
      <c r="AI871" s="4"/>
      <c r="AJ871" s="4"/>
      <c r="AK871" s="4"/>
      <c r="AL871" s="4"/>
      <c r="AM871" s="4"/>
      <c r="AN871" s="4"/>
      <c r="AO871" s="4"/>
      <c r="AP871" s="4"/>
      <c r="AQ871" s="4"/>
      <c r="AR871" s="4"/>
      <c r="AS871" s="4"/>
      <c r="AT871" s="4"/>
      <c r="AU871" s="4"/>
      <c r="AV871" s="4"/>
      <c r="AW871" s="4"/>
      <c r="AX871" s="4"/>
      <c r="AY871" s="4"/>
      <c r="AZ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  <c r="AG872" s="4"/>
      <c r="AH872" s="4"/>
      <c r="AI872" s="4"/>
      <c r="AJ872" s="4"/>
      <c r="AK872" s="4"/>
      <c r="AL872" s="4"/>
      <c r="AM872" s="4"/>
      <c r="AN872" s="4"/>
      <c r="AO872" s="4"/>
      <c r="AP872" s="4"/>
      <c r="AQ872" s="4"/>
      <c r="AR872" s="4"/>
      <c r="AS872" s="4"/>
      <c r="AT872" s="4"/>
      <c r="AU872" s="4"/>
      <c r="AV872" s="4"/>
      <c r="AW872" s="4"/>
      <c r="AX872" s="4"/>
      <c r="AY872" s="4"/>
      <c r="AZ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  <c r="AG873" s="4"/>
      <c r="AH873" s="4"/>
      <c r="AI873" s="4"/>
      <c r="AJ873" s="4"/>
      <c r="AK873" s="4"/>
      <c r="AL873" s="4"/>
      <c r="AM873" s="4"/>
      <c r="AN873" s="4"/>
      <c r="AO873" s="4"/>
      <c r="AP873" s="4"/>
      <c r="AQ873" s="4"/>
      <c r="AR873" s="4"/>
      <c r="AS873" s="4"/>
      <c r="AT873" s="4"/>
      <c r="AU873" s="4"/>
      <c r="AV873" s="4"/>
      <c r="AW873" s="4"/>
      <c r="AX873" s="4"/>
      <c r="AY873" s="4"/>
      <c r="AZ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  <c r="AG874" s="4"/>
      <c r="AH874" s="4"/>
      <c r="AI874" s="4"/>
      <c r="AJ874" s="4"/>
      <c r="AK874" s="4"/>
      <c r="AL874" s="4"/>
      <c r="AM874" s="4"/>
      <c r="AN874" s="4"/>
      <c r="AO874" s="4"/>
      <c r="AP874" s="4"/>
      <c r="AQ874" s="4"/>
      <c r="AR874" s="4"/>
      <c r="AS874" s="4"/>
      <c r="AT874" s="4"/>
      <c r="AU874" s="4"/>
      <c r="AV874" s="4"/>
      <c r="AW874" s="4"/>
      <c r="AX874" s="4"/>
      <c r="AY874" s="4"/>
      <c r="AZ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  <c r="AG875" s="4"/>
      <c r="AH875" s="4"/>
      <c r="AI875" s="4"/>
      <c r="AJ875" s="4"/>
      <c r="AK875" s="4"/>
      <c r="AL875" s="4"/>
      <c r="AM875" s="4"/>
      <c r="AN875" s="4"/>
      <c r="AO875" s="4"/>
      <c r="AP875" s="4"/>
      <c r="AQ875" s="4"/>
      <c r="AR875" s="4"/>
      <c r="AS875" s="4"/>
      <c r="AT875" s="4"/>
      <c r="AU875" s="4"/>
      <c r="AV875" s="4"/>
      <c r="AW875" s="4"/>
      <c r="AX875" s="4"/>
      <c r="AY875" s="4"/>
      <c r="AZ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  <c r="AG876" s="4"/>
      <c r="AH876" s="4"/>
      <c r="AI876" s="4"/>
      <c r="AJ876" s="4"/>
      <c r="AK876" s="4"/>
      <c r="AL876" s="4"/>
      <c r="AM876" s="4"/>
      <c r="AN876" s="4"/>
      <c r="AO876" s="4"/>
      <c r="AP876" s="4"/>
      <c r="AQ876" s="4"/>
      <c r="AR876" s="4"/>
      <c r="AS876" s="4"/>
      <c r="AT876" s="4"/>
      <c r="AU876" s="4"/>
      <c r="AV876" s="4"/>
      <c r="AW876" s="4"/>
      <c r="AX876" s="4"/>
      <c r="AY876" s="4"/>
      <c r="AZ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  <c r="AG877" s="4"/>
      <c r="AH877" s="4"/>
      <c r="AI877" s="4"/>
      <c r="AJ877" s="4"/>
      <c r="AK877" s="4"/>
      <c r="AL877" s="4"/>
      <c r="AM877" s="4"/>
      <c r="AN877" s="4"/>
      <c r="AO877" s="4"/>
      <c r="AP877" s="4"/>
      <c r="AQ877" s="4"/>
      <c r="AR877" s="4"/>
      <c r="AS877" s="4"/>
      <c r="AT877" s="4"/>
      <c r="AU877" s="4"/>
      <c r="AV877" s="4"/>
      <c r="AW877" s="4"/>
      <c r="AX877" s="4"/>
      <c r="AY877" s="4"/>
      <c r="AZ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  <c r="AG878" s="4"/>
      <c r="AH878" s="4"/>
      <c r="AI878" s="4"/>
      <c r="AJ878" s="4"/>
      <c r="AK878" s="4"/>
      <c r="AL878" s="4"/>
      <c r="AM878" s="4"/>
      <c r="AN878" s="4"/>
      <c r="AO878" s="4"/>
      <c r="AP878" s="4"/>
      <c r="AQ878" s="4"/>
      <c r="AR878" s="4"/>
      <c r="AS878" s="4"/>
      <c r="AT878" s="4"/>
      <c r="AU878" s="4"/>
      <c r="AV878" s="4"/>
      <c r="AW878" s="4"/>
      <c r="AX878" s="4"/>
      <c r="AY878" s="4"/>
      <c r="AZ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  <c r="AG879" s="4"/>
      <c r="AH879" s="4"/>
      <c r="AI879" s="4"/>
      <c r="AJ879" s="4"/>
      <c r="AK879" s="4"/>
      <c r="AL879" s="4"/>
      <c r="AM879" s="4"/>
      <c r="AN879" s="4"/>
      <c r="AO879" s="4"/>
      <c r="AP879" s="4"/>
      <c r="AQ879" s="4"/>
      <c r="AR879" s="4"/>
      <c r="AS879" s="4"/>
      <c r="AT879" s="4"/>
      <c r="AU879" s="4"/>
      <c r="AV879" s="4"/>
      <c r="AW879" s="4"/>
      <c r="AX879" s="4"/>
      <c r="AY879" s="4"/>
      <c r="AZ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  <c r="AG880" s="4"/>
      <c r="AH880" s="4"/>
      <c r="AI880" s="4"/>
      <c r="AJ880" s="4"/>
      <c r="AK880" s="4"/>
      <c r="AL880" s="4"/>
      <c r="AM880" s="4"/>
      <c r="AN880" s="4"/>
      <c r="AO880" s="4"/>
      <c r="AP880" s="4"/>
      <c r="AQ880" s="4"/>
      <c r="AR880" s="4"/>
      <c r="AS880" s="4"/>
      <c r="AT880" s="4"/>
      <c r="AU880" s="4"/>
      <c r="AV880" s="4"/>
      <c r="AW880" s="4"/>
      <c r="AX880" s="4"/>
      <c r="AY880" s="4"/>
      <c r="AZ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  <c r="AG881" s="4"/>
      <c r="AH881" s="4"/>
      <c r="AI881" s="4"/>
      <c r="AJ881" s="4"/>
      <c r="AK881" s="4"/>
      <c r="AL881" s="4"/>
      <c r="AM881" s="4"/>
      <c r="AN881" s="4"/>
      <c r="AO881" s="4"/>
      <c r="AP881" s="4"/>
      <c r="AQ881" s="4"/>
      <c r="AR881" s="4"/>
      <c r="AS881" s="4"/>
      <c r="AT881" s="4"/>
      <c r="AU881" s="4"/>
      <c r="AV881" s="4"/>
      <c r="AW881" s="4"/>
      <c r="AX881" s="4"/>
      <c r="AY881" s="4"/>
      <c r="AZ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  <c r="AG882" s="4"/>
      <c r="AH882" s="4"/>
      <c r="AI882" s="4"/>
      <c r="AJ882" s="4"/>
      <c r="AK882" s="4"/>
      <c r="AL882" s="4"/>
      <c r="AM882" s="4"/>
      <c r="AN882" s="4"/>
      <c r="AO882" s="4"/>
      <c r="AP882" s="4"/>
      <c r="AQ882" s="4"/>
      <c r="AR882" s="4"/>
      <c r="AS882" s="4"/>
      <c r="AT882" s="4"/>
      <c r="AU882" s="4"/>
      <c r="AV882" s="4"/>
      <c r="AW882" s="4"/>
      <c r="AX882" s="4"/>
      <c r="AY882" s="4"/>
      <c r="AZ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  <c r="AG883" s="4"/>
      <c r="AH883" s="4"/>
      <c r="AI883" s="4"/>
      <c r="AJ883" s="4"/>
      <c r="AK883" s="4"/>
      <c r="AL883" s="4"/>
      <c r="AM883" s="4"/>
      <c r="AN883" s="4"/>
      <c r="AO883" s="4"/>
      <c r="AP883" s="4"/>
      <c r="AQ883" s="4"/>
      <c r="AR883" s="4"/>
      <c r="AS883" s="4"/>
      <c r="AT883" s="4"/>
      <c r="AU883" s="4"/>
      <c r="AV883" s="4"/>
      <c r="AW883" s="4"/>
      <c r="AX883" s="4"/>
      <c r="AY883" s="4"/>
      <c r="AZ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  <c r="AG884" s="4"/>
      <c r="AH884" s="4"/>
      <c r="AI884" s="4"/>
      <c r="AJ884" s="4"/>
      <c r="AK884" s="4"/>
      <c r="AL884" s="4"/>
      <c r="AM884" s="4"/>
      <c r="AN884" s="4"/>
      <c r="AO884" s="4"/>
      <c r="AP884" s="4"/>
      <c r="AQ884" s="4"/>
      <c r="AR884" s="4"/>
      <c r="AS884" s="4"/>
      <c r="AT884" s="4"/>
      <c r="AU884" s="4"/>
      <c r="AV884" s="4"/>
      <c r="AW884" s="4"/>
      <c r="AX884" s="4"/>
      <c r="AY884" s="4"/>
      <c r="AZ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  <c r="AG885" s="4"/>
      <c r="AH885" s="4"/>
      <c r="AI885" s="4"/>
      <c r="AJ885" s="4"/>
      <c r="AK885" s="4"/>
      <c r="AL885" s="4"/>
      <c r="AM885" s="4"/>
      <c r="AN885" s="4"/>
      <c r="AO885" s="4"/>
      <c r="AP885" s="4"/>
      <c r="AQ885" s="4"/>
      <c r="AR885" s="4"/>
      <c r="AS885" s="4"/>
      <c r="AT885" s="4"/>
      <c r="AU885" s="4"/>
      <c r="AV885" s="4"/>
      <c r="AW885" s="4"/>
      <c r="AX885" s="4"/>
      <c r="AY885" s="4"/>
      <c r="AZ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  <c r="AG886" s="4"/>
      <c r="AH886" s="4"/>
      <c r="AI886" s="4"/>
      <c r="AJ886" s="4"/>
      <c r="AK886" s="4"/>
      <c r="AL886" s="4"/>
      <c r="AM886" s="4"/>
      <c r="AN886" s="4"/>
      <c r="AO886" s="4"/>
      <c r="AP886" s="4"/>
      <c r="AQ886" s="4"/>
      <c r="AR886" s="4"/>
      <c r="AS886" s="4"/>
      <c r="AT886" s="4"/>
      <c r="AU886" s="4"/>
      <c r="AV886" s="4"/>
      <c r="AW886" s="4"/>
      <c r="AX886" s="4"/>
      <c r="AY886" s="4"/>
      <c r="AZ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  <c r="AG887" s="4"/>
      <c r="AH887" s="4"/>
      <c r="AI887" s="4"/>
      <c r="AJ887" s="4"/>
      <c r="AK887" s="4"/>
      <c r="AL887" s="4"/>
      <c r="AM887" s="4"/>
      <c r="AN887" s="4"/>
      <c r="AO887" s="4"/>
      <c r="AP887" s="4"/>
      <c r="AQ887" s="4"/>
      <c r="AR887" s="4"/>
      <c r="AS887" s="4"/>
      <c r="AT887" s="4"/>
      <c r="AU887" s="4"/>
      <c r="AV887" s="4"/>
      <c r="AW887" s="4"/>
      <c r="AX887" s="4"/>
      <c r="AY887" s="4"/>
      <c r="AZ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  <c r="AG888" s="4"/>
      <c r="AH888" s="4"/>
      <c r="AI888" s="4"/>
      <c r="AJ888" s="4"/>
      <c r="AK888" s="4"/>
      <c r="AL888" s="4"/>
      <c r="AM888" s="4"/>
      <c r="AN888" s="4"/>
      <c r="AO888" s="4"/>
      <c r="AP888" s="4"/>
      <c r="AQ888" s="4"/>
      <c r="AR888" s="4"/>
      <c r="AS888" s="4"/>
      <c r="AT888" s="4"/>
      <c r="AU888" s="4"/>
      <c r="AV888" s="4"/>
      <c r="AW888" s="4"/>
      <c r="AX888" s="4"/>
      <c r="AY888" s="4"/>
      <c r="AZ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  <c r="AG889" s="4"/>
      <c r="AH889" s="4"/>
      <c r="AI889" s="4"/>
      <c r="AJ889" s="4"/>
      <c r="AK889" s="4"/>
      <c r="AL889" s="4"/>
      <c r="AM889" s="4"/>
      <c r="AN889" s="4"/>
      <c r="AO889" s="4"/>
      <c r="AP889" s="4"/>
      <c r="AQ889" s="4"/>
      <c r="AR889" s="4"/>
      <c r="AS889" s="4"/>
      <c r="AT889" s="4"/>
      <c r="AU889" s="4"/>
      <c r="AV889" s="4"/>
      <c r="AW889" s="4"/>
      <c r="AX889" s="4"/>
      <c r="AY889" s="4"/>
      <c r="AZ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  <c r="AG890" s="4"/>
      <c r="AH890" s="4"/>
      <c r="AI890" s="4"/>
      <c r="AJ890" s="4"/>
      <c r="AK890" s="4"/>
      <c r="AL890" s="4"/>
      <c r="AM890" s="4"/>
      <c r="AN890" s="4"/>
      <c r="AO890" s="4"/>
      <c r="AP890" s="4"/>
      <c r="AQ890" s="4"/>
      <c r="AR890" s="4"/>
      <c r="AS890" s="4"/>
      <c r="AT890" s="4"/>
      <c r="AU890" s="4"/>
      <c r="AV890" s="4"/>
      <c r="AW890" s="4"/>
      <c r="AX890" s="4"/>
      <c r="AY890" s="4"/>
      <c r="AZ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  <c r="AG891" s="4"/>
      <c r="AH891" s="4"/>
      <c r="AI891" s="4"/>
      <c r="AJ891" s="4"/>
      <c r="AK891" s="4"/>
      <c r="AL891" s="4"/>
      <c r="AM891" s="4"/>
      <c r="AN891" s="4"/>
      <c r="AO891" s="4"/>
      <c r="AP891" s="4"/>
      <c r="AQ891" s="4"/>
      <c r="AR891" s="4"/>
      <c r="AS891" s="4"/>
      <c r="AT891" s="4"/>
      <c r="AU891" s="4"/>
      <c r="AV891" s="4"/>
      <c r="AW891" s="4"/>
      <c r="AX891" s="4"/>
      <c r="AY891" s="4"/>
      <c r="AZ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  <c r="AG892" s="4"/>
      <c r="AH892" s="4"/>
      <c r="AI892" s="4"/>
      <c r="AJ892" s="4"/>
      <c r="AK892" s="4"/>
      <c r="AL892" s="4"/>
      <c r="AM892" s="4"/>
      <c r="AN892" s="4"/>
      <c r="AO892" s="4"/>
      <c r="AP892" s="4"/>
      <c r="AQ892" s="4"/>
      <c r="AR892" s="4"/>
      <c r="AS892" s="4"/>
      <c r="AT892" s="4"/>
      <c r="AU892" s="4"/>
      <c r="AV892" s="4"/>
      <c r="AW892" s="4"/>
      <c r="AX892" s="4"/>
      <c r="AY892" s="4"/>
      <c r="AZ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  <c r="AG893" s="4"/>
      <c r="AH893" s="4"/>
      <c r="AI893" s="4"/>
      <c r="AJ893" s="4"/>
      <c r="AK893" s="4"/>
      <c r="AL893" s="4"/>
      <c r="AM893" s="4"/>
      <c r="AN893" s="4"/>
      <c r="AO893" s="4"/>
      <c r="AP893" s="4"/>
      <c r="AQ893" s="4"/>
      <c r="AR893" s="4"/>
      <c r="AS893" s="4"/>
      <c r="AT893" s="4"/>
      <c r="AU893" s="4"/>
      <c r="AV893" s="4"/>
      <c r="AW893" s="4"/>
      <c r="AX893" s="4"/>
      <c r="AY893" s="4"/>
      <c r="AZ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  <c r="AG894" s="4"/>
      <c r="AH894" s="4"/>
      <c r="AI894" s="4"/>
      <c r="AJ894" s="4"/>
      <c r="AK894" s="4"/>
      <c r="AL894" s="4"/>
      <c r="AM894" s="4"/>
      <c r="AN894" s="4"/>
      <c r="AO894" s="4"/>
      <c r="AP894" s="4"/>
      <c r="AQ894" s="4"/>
      <c r="AR894" s="4"/>
      <c r="AS894" s="4"/>
      <c r="AT894" s="4"/>
      <c r="AU894" s="4"/>
      <c r="AV894" s="4"/>
      <c r="AW894" s="4"/>
      <c r="AX894" s="4"/>
      <c r="AY894" s="4"/>
      <c r="AZ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  <c r="AG895" s="4"/>
      <c r="AH895" s="4"/>
      <c r="AI895" s="4"/>
      <c r="AJ895" s="4"/>
      <c r="AK895" s="4"/>
      <c r="AL895" s="4"/>
      <c r="AM895" s="4"/>
      <c r="AN895" s="4"/>
      <c r="AO895" s="4"/>
      <c r="AP895" s="4"/>
      <c r="AQ895" s="4"/>
      <c r="AR895" s="4"/>
      <c r="AS895" s="4"/>
      <c r="AT895" s="4"/>
      <c r="AU895" s="4"/>
      <c r="AV895" s="4"/>
      <c r="AW895" s="4"/>
      <c r="AX895" s="4"/>
      <c r="AY895" s="4"/>
      <c r="AZ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  <c r="AG896" s="4"/>
      <c r="AH896" s="4"/>
      <c r="AI896" s="4"/>
      <c r="AJ896" s="4"/>
      <c r="AK896" s="4"/>
      <c r="AL896" s="4"/>
      <c r="AM896" s="4"/>
      <c r="AN896" s="4"/>
      <c r="AO896" s="4"/>
      <c r="AP896" s="4"/>
      <c r="AQ896" s="4"/>
      <c r="AR896" s="4"/>
      <c r="AS896" s="4"/>
      <c r="AT896" s="4"/>
      <c r="AU896" s="4"/>
      <c r="AV896" s="4"/>
      <c r="AW896" s="4"/>
      <c r="AX896" s="4"/>
      <c r="AY896" s="4"/>
      <c r="AZ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  <c r="AG897" s="4"/>
      <c r="AH897" s="4"/>
      <c r="AI897" s="4"/>
      <c r="AJ897" s="4"/>
      <c r="AK897" s="4"/>
      <c r="AL897" s="4"/>
      <c r="AM897" s="4"/>
      <c r="AN897" s="4"/>
      <c r="AO897" s="4"/>
      <c r="AP897" s="4"/>
      <c r="AQ897" s="4"/>
      <c r="AR897" s="4"/>
      <c r="AS897" s="4"/>
      <c r="AT897" s="4"/>
      <c r="AU897" s="4"/>
      <c r="AV897" s="4"/>
      <c r="AW897" s="4"/>
      <c r="AX897" s="4"/>
      <c r="AY897" s="4"/>
      <c r="AZ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  <c r="AG898" s="4"/>
      <c r="AH898" s="4"/>
      <c r="AI898" s="4"/>
      <c r="AJ898" s="4"/>
      <c r="AK898" s="4"/>
      <c r="AL898" s="4"/>
      <c r="AM898" s="4"/>
      <c r="AN898" s="4"/>
      <c r="AO898" s="4"/>
      <c r="AP898" s="4"/>
      <c r="AQ898" s="4"/>
      <c r="AR898" s="4"/>
      <c r="AS898" s="4"/>
      <c r="AT898" s="4"/>
      <c r="AU898" s="4"/>
      <c r="AV898" s="4"/>
      <c r="AW898" s="4"/>
      <c r="AX898" s="4"/>
      <c r="AY898" s="4"/>
      <c r="AZ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  <c r="AG899" s="4"/>
      <c r="AH899" s="4"/>
      <c r="AI899" s="4"/>
      <c r="AJ899" s="4"/>
      <c r="AK899" s="4"/>
      <c r="AL899" s="4"/>
      <c r="AM899" s="4"/>
      <c r="AN899" s="4"/>
      <c r="AO899" s="4"/>
      <c r="AP899" s="4"/>
      <c r="AQ899" s="4"/>
      <c r="AR899" s="4"/>
      <c r="AS899" s="4"/>
      <c r="AT899" s="4"/>
      <c r="AU899" s="4"/>
      <c r="AV899" s="4"/>
      <c r="AW899" s="4"/>
      <c r="AX899" s="4"/>
      <c r="AY899" s="4"/>
      <c r="AZ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  <c r="AG900" s="4"/>
      <c r="AH900" s="4"/>
      <c r="AI900" s="4"/>
      <c r="AJ900" s="4"/>
      <c r="AK900" s="4"/>
      <c r="AL900" s="4"/>
      <c r="AM900" s="4"/>
      <c r="AN900" s="4"/>
      <c r="AO900" s="4"/>
      <c r="AP900" s="4"/>
      <c r="AQ900" s="4"/>
      <c r="AR900" s="4"/>
      <c r="AS900" s="4"/>
      <c r="AT900" s="4"/>
      <c r="AU900" s="4"/>
      <c r="AV900" s="4"/>
      <c r="AW900" s="4"/>
      <c r="AX900" s="4"/>
      <c r="AY900" s="4"/>
      <c r="AZ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  <c r="AG901" s="4"/>
      <c r="AH901" s="4"/>
      <c r="AI901" s="4"/>
      <c r="AJ901" s="4"/>
      <c r="AK901" s="4"/>
      <c r="AL901" s="4"/>
      <c r="AM901" s="4"/>
      <c r="AN901" s="4"/>
      <c r="AO901" s="4"/>
      <c r="AP901" s="4"/>
      <c r="AQ901" s="4"/>
      <c r="AR901" s="4"/>
      <c r="AS901" s="4"/>
      <c r="AT901" s="4"/>
      <c r="AU901" s="4"/>
      <c r="AV901" s="4"/>
      <c r="AW901" s="4"/>
      <c r="AX901" s="4"/>
      <c r="AY901" s="4"/>
      <c r="AZ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  <c r="AG902" s="4"/>
      <c r="AH902" s="4"/>
      <c r="AI902" s="4"/>
      <c r="AJ902" s="4"/>
      <c r="AK902" s="4"/>
      <c r="AL902" s="4"/>
      <c r="AM902" s="4"/>
      <c r="AN902" s="4"/>
      <c r="AO902" s="4"/>
      <c r="AP902" s="4"/>
      <c r="AQ902" s="4"/>
      <c r="AR902" s="4"/>
      <c r="AS902" s="4"/>
      <c r="AT902" s="4"/>
      <c r="AU902" s="4"/>
      <c r="AV902" s="4"/>
      <c r="AW902" s="4"/>
      <c r="AX902" s="4"/>
      <c r="AY902" s="4"/>
      <c r="AZ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  <c r="AG903" s="4"/>
      <c r="AH903" s="4"/>
      <c r="AI903" s="4"/>
      <c r="AJ903" s="4"/>
      <c r="AK903" s="4"/>
      <c r="AL903" s="4"/>
      <c r="AM903" s="4"/>
      <c r="AN903" s="4"/>
      <c r="AO903" s="4"/>
      <c r="AP903" s="4"/>
      <c r="AQ903" s="4"/>
      <c r="AR903" s="4"/>
      <c r="AS903" s="4"/>
      <c r="AT903" s="4"/>
      <c r="AU903" s="4"/>
      <c r="AV903" s="4"/>
      <c r="AW903" s="4"/>
      <c r="AX903" s="4"/>
      <c r="AY903" s="4"/>
      <c r="AZ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  <c r="AG904" s="4"/>
      <c r="AH904" s="4"/>
      <c r="AI904" s="4"/>
      <c r="AJ904" s="4"/>
      <c r="AK904" s="4"/>
      <c r="AL904" s="4"/>
      <c r="AM904" s="4"/>
      <c r="AN904" s="4"/>
      <c r="AO904" s="4"/>
      <c r="AP904" s="4"/>
      <c r="AQ904" s="4"/>
      <c r="AR904" s="4"/>
      <c r="AS904" s="4"/>
      <c r="AT904" s="4"/>
      <c r="AU904" s="4"/>
      <c r="AV904" s="4"/>
      <c r="AW904" s="4"/>
      <c r="AX904" s="4"/>
      <c r="AY904" s="4"/>
      <c r="AZ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  <c r="AG905" s="4"/>
      <c r="AH905" s="4"/>
      <c r="AI905" s="4"/>
      <c r="AJ905" s="4"/>
      <c r="AK905" s="4"/>
      <c r="AL905" s="4"/>
      <c r="AM905" s="4"/>
      <c r="AN905" s="4"/>
      <c r="AO905" s="4"/>
      <c r="AP905" s="4"/>
      <c r="AQ905" s="4"/>
      <c r="AR905" s="4"/>
      <c r="AS905" s="4"/>
      <c r="AT905" s="4"/>
      <c r="AU905" s="4"/>
      <c r="AV905" s="4"/>
      <c r="AW905" s="4"/>
      <c r="AX905" s="4"/>
      <c r="AY905" s="4"/>
      <c r="AZ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  <c r="AG906" s="4"/>
      <c r="AH906" s="4"/>
      <c r="AI906" s="4"/>
      <c r="AJ906" s="4"/>
      <c r="AK906" s="4"/>
      <c r="AL906" s="4"/>
      <c r="AM906" s="4"/>
      <c r="AN906" s="4"/>
      <c r="AO906" s="4"/>
      <c r="AP906" s="4"/>
      <c r="AQ906" s="4"/>
      <c r="AR906" s="4"/>
      <c r="AS906" s="4"/>
      <c r="AT906" s="4"/>
      <c r="AU906" s="4"/>
      <c r="AV906" s="4"/>
      <c r="AW906" s="4"/>
      <c r="AX906" s="4"/>
      <c r="AY906" s="4"/>
      <c r="AZ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  <c r="AG907" s="4"/>
      <c r="AH907" s="4"/>
      <c r="AI907" s="4"/>
      <c r="AJ907" s="4"/>
      <c r="AK907" s="4"/>
      <c r="AL907" s="4"/>
      <c r="AM907" s="4"/>
      <c r="AN907" s="4"/>
      <c r="AO907" s="4"/>
      <c r="AP907" s="4"/>
      <c r="AQ907" s="4"/>
      <c r="AR907" s="4"/>
      <c r="AS907" s="4"/>
      <c r="AT907" s="4"/>
      <c r="AU907" s="4"/>
      <c r="AV907" s="4"/>
      <c r="AW907" s="4"/>
      <c r="AX907" s="4"/>
      <c r="AY907" s="4"/>
      <c r="AZ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  <c r="AG908" s="4"/>
      <c r="AH908" s="4"/>
      <c r="AI908" s="4"/>
      <c r="AJ908" s="4"/>
      <c r="AK908" s="4"/>
      <c r="AL908" s="4"/>
      <c r="AM908" s="4"/>
      <c r="AN908" s="4"/>
      <c r="AO908" s="4"/>
      <c r="AP908" s="4"/>
      <c r="AQ908" s="4"/>
      <c r="AR908" s="4"/>
      <c r="AS908" s="4"/>
      <c r="AT908" s="4"/>
      <c r="AU908" s="4"/>
      <c r="AV908" s="4"/>
      <c r="AW908" s="4"/>
      <c r="AX908" s="4"/>
      <c r="AY908" s="4"/>
      <c r="AZ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  <c r="AG909" s="4"/>
      <c r="AH909" s="4"/>
      <c r="AI909" s="4"/>
      <c r="AJ909" s="4"/>
      <c r="AK909" s="4"/>
      <c r="AL909" s="4"/>
      <c r="AM909" s="4"/>
      <c r="AN909" s="4"/>
      <c r="AO909" s="4"/>
      <c r="AP909" s="4"/>
      <c r="AQ909" s="4"/>
      <c r="AR909" s="4"/>
      <c r="AS909" s="4"/>
      <c r="AT909" s="4"/>
      <c r="AU909" s="4"/>
      <c r="AV909" s="4"/>
      <c r="AW909" s="4"/>
      <c r="AX909" s="4"/>
      <c r="AY909" s="4"/>
      <c r="AZ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  <c r="AG910" s="4"/>
      <c r="AH910" s="4"/>
      <c r="AI910" s="4"/>
      <c r="AJ910" s="4"/>
      <c r="AK910" s="4"/>
      <c r="AL910" s="4"/>
      <c r="AM910" s="4"/>
      <c r="AN910" s="4"/>
      <c r="AO910" s="4"/>
      <c r="AP910" s="4"/>
      <c r="AQ910" s="4"/>
      <c r="AR910" s="4"/>
      <c r="AS910" s="4"/>
      <c r="AT910" s="4"/>
      <c r="AU910" s="4"/>
      <c r="AV910" s="4"/>
      <c r="AW910" s="4"/>
      <c r="AX910" s="4"/>
      <c r="AY910" s="4"/>
      <c r="AZ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  <c r="AG911" s="4"/>
      <c r="AH911" s="4"/>
      <c r="AI911" s="4"/>
      <c r="AJ911" s="4"/>
      <c r="AK911" s="4"/>
      <c r="AL911" s="4"/>
      <c r="AM911" s="4"/>
      <c r="AN911" s="4"/>
      <c r="AO911" s="4"/>
      <c r="AP911" s="4"/>
      <c r="AQ911" s="4"/>
      <c r="AR911" s="4"/>
      <c r="AS911" s="4"/>
      <c r="AT911" s="4"/>
      <c r="AU911" s="4"/>
      <c r="AV911" s="4"/>
      <c r="AW911" s="4"/>
      <c r="AX911" s="4"/>
      <c r="AY911" s="4"/>
      <c r="AZ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  <c r="AG912" s="4"/>
      <c r="AH912" s="4"/>
      <c r="AI912" s="4"/>
      <c r="AJ912" s="4"/>
      <c r="AK912" s="4"/>
      <c r="AL912" s="4"/>
      <c r="AM912" s="4"/>
      <c r="AN912" s="4"/>
      <c r="AO912" s="4"/>
      <c r="AP912" s="4"/>
      <c r="AQ912" s="4"/>
      <c r="AR912" s="4"/>
      <c r="AS912" s="4"/>
      <c r="AT912" s="4"/>
      <c r="AU912" s="4"/>
      <c r="AV912" s="4"/>
      <c r="AW912" s="4"/>
      <c r="AX912" s="4"/>
      <c r="AY912" s="4"/>
      <c r="AZ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  <c r="AG913" s="4"/>
      <c r="AH913" s="4"/>
      <c r="AI913" s="4"/>
      <c r="AJ913" s="4"/>
      <c r="AK913" s="4"/>
      <c r="AL913" s="4"/>
      <c r="AM913" s="4"/>
      <c r="AN913" s="4"/>
      <c r="AO913" s="4"/>
      <c r="AP913" s="4"/>
      <c r="AQ913" s="4"/>
      <c r="AR913" s="4"/>
      <c r="AS913" s="4"/>
      <c r="AT913" s="4"/>
      <c r="AU913" s="4"/>
      <c r="AV913" s="4"/>
      <c r="AW913" s="4"/>
      <c r="AX913" s="4"/>
      <c r="AY913" s="4"/>
      <c r="AZ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  <c r="AG914" s="4"/>
      <c r="AH914" s="4"/>
      <c r="AI914" s="4"/>
      <c r="AJ914" s="4"/>
      <c r="AK914" s="4"/>
      <c r="AL914" s="4"/>
      <c r="AM914" s="4"/>
      <c r="AN914" s="4"/>
      <c r="AO914" s="4"/>
      <c r="AP914" s="4"/>
      <c r="AQ914" s="4"/>
      <c r="AR914" s="4"/>
      <c r="AS914" s="4"/>
      <c r="AT914" s="4"/>
      <c r="AU914" s="4"/>
      <c r="AV914" s="4"/>
      <c r="AW914" s="4"/>
      <c r="AX914" s="4"/>
      <c r="AY914" s="4"/>
      <c r="AZ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  <c r="AG915" s="4"/>
      <c r="AH915" s="4"/>
      <c r="AI915" s="4"/>
      <c r="AJ915" s="4"/>
      <c r="AK915" s="4"/>
      <c r="AL915" s="4"/>
      <c r="AM915" s="4"/>
      <c r="AN915" s="4"/>
      <c r="AO915" s="4"/>
      <c r="AP915" s="4"/>
      <c r="AQ915" s="4"/>
      <c r="AR915" s="4"/>
      <c r="AS915" s="4"/>
      <c r="AT915" s="4"/>
      <c r="AU915" s="4"/>
      <c r="AV915" s="4"/>
      <c r="AW915" s="4"/>
      <c r="AX915" s="4"/>
      <c r="AY915" s="4"/>
      <c r="AZ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  <c r="AG916" s="4"/>
      <c r="AH916" s="4"/>
      <c r="AI916" s="4"/>
      <c r="AJ916" s="4"/>
      <c r="AK916" s="4"/>
      <c r="AL916" s="4"/>
      <c r="AM916" s="4"/>
      <c r="AN916" s="4"/>
      <c r="AO916" s="4"/>
      <c r="AP916" s="4"/>
      <c r="AQ916" s="4"/>
      <c r="AR916" s="4"/>
      <c r="AS916" s="4"/>
      <c r="AT916" s="4"/>
      <c r="AU916" s="4"/>
      <c r="AV916" s="4"/>
      <c r="AW916" s="4"/>
      <c r="AX916" s="4"/>
      <c r="AY916" s="4"/>
      <c r="AZ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  <c r="AG917" s="4"/>
      <c r="AH917" s="4"/>
      <c r="AI917" s="4"/>
      <c r="AJ917" s="4"/>
      <c r="AK917" s="4"/>
      <c r="AL917" s="4"/>
      <c r="AM917" s="4"/>
      <c r="AN917" s="4"/>
      <c r="AO917" s="4"/>
      <c r="AP917" s="4"/>
      <c r="AQ917" s="4"/>
      <c r="AR917" s="4"/>
      <c r="AS917" s="4"/>
      <c r="AT917" s="4"/>
      <c r="AU917" s="4"/>
      <c r="AV917" s="4"/>
      <c r="AW917" s="4"/>
      <c r="AX917" s="4"/>
      <c r="AY917" s="4"/>
      <c r="AZ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  <c r="AG918" s="4"/>
      <c r="AH918" s="4"/>
      <c r="AI918" s="4"/>
      <c r="AJ918" s="4"/>
      <c r="AK918" s="4"/>
      <c r="AL918" s="4"/>
      <c r="AM918" s="4"/>
      <c r="AN918" s="4"/>
      <c r="AO918" s="4"/>
      <c r="AP918" s="4"/>
      <c r="AQ918" s="4"/>
      <c r="AR918" s="4"/>
      <c r="AS918" s="4"/>
      <c r="AT918" s="4"/>
      <c r="AU918" s="4"/>
      <c r="AV918" s="4"/>
      <c r="AW918" s="4"/>
      <c r="AX918" s="4"/>
      <c r="AY918" s="4"/>
      <c r="AZ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  <c r="AG919" s="4"/>
      <c r="AH919" s="4"/>
      <c r="AI919" s="4"/>
      <c r="AJ919" s="4"/>
      <c r="AK919" s="4"/>
      <c r="AL919" s="4"/>
      <c r="AM919" s="4"/>
      <c r="AN919" s="4"/>
      <c r="AO919" s="4"/>
      <c r="AP919" s="4"/>
      <c r="AQ919" s="4"/>
      <c r="AR919" s="4"/>
      <c r="AS919" s="4"/>
      <c r="AT919" s="4"/>
      <c r="AU919" s="4"/>
      <c r="AV919" s="4"/>
      <c r="AW919" s="4"/>
      <c r="AX919" s="4"/>
      <c r="AY919" s="4"/>
      <c r="AZ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  <c r="AG920" s="4"/>
      <c r="AH920" s="4"/>
      <c r="AI920" s="4"/>
      <c r="AJ920" s="4"/>
      <c r="AK920" s="4"/>
      <c r="AL920" s="4"/>
      <c r="AM920" s="4"/>
      <c r="AN920" s="4"/>
      <c r="AO920" s="4"/>
      <c r="AP920" s="4"/>
      <c r="AQ920" s="4"/>
      <c r="AR920" s="4"/>
      <c r="AS920" s="4"/>
      <c r="AT920" s="4"/>
      <c r="AU920" s="4"/>
      <c r="AV920" s="4"/>
      <c r="AW920" s="4"/>
      <c r="AX920" s="4"/>
      <c r="AY920" s="4"/>
      <c r="AZ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  <c r="AG921" s="4"/>
      <c r="AH921" s="4"/>
      <c r="AI921" s="4"/>
      <c r="AJ921" s="4"/>
      <c r="AK921" s="4"/>
      <c r="AL921" s="4"/>
      <c r="AM921" s="4"/>
      <c r="AN921" s="4"/>
      <c r="AO921" s="4"/>
      <c r="AP921" s="4"/>
      <c r="AQ921" s="4"/>
      <c r="AR921" s="4"/>
      <c r="AS921" s="4"/>
      <c r="AT921" s="4"/>
      <c r="AU921" s="4"/>
      <c r="AV921" s="4"/>
      <c r="AW921" s="4"/>
      <c r="AX921" s="4"/>
      <c r="AY921" s="4"/>
      <c r="AZ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  <c r="AG922" s="4"/>
      <c r="AH922" s="4"/>
      <c r="AI922" s="4"/>
      <c r="AJ922" s="4"/>
      <c r="AK922" s="4"/>
      <c r="AL922" s="4"/>
      <c r="AM922" s="4"/>
      <c r="AN922" s="4"/>
      <c r="AO922" s="4"/>
      <c r="AP922" s="4"/>
      <c r="AQ922" s="4"/>
      <c r="AR922" s="4"/>
      <c r="AS922" s="4"/>
      <c r="AT922" s="4"/>
      <c r="AU922" s="4"/>
      <c r="AV922" s="4"/>
      <c r="AW922" s="4"/>
      <c r="AX922" s="4"/>
      <c r="AY922" s="4"/>
      <c r="AZ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  <c r="AG923" s="4"/>
      <c r="AH923" s="4"/>
      <c r="AI923" s="4"/>
      <c r="AJ923" s="4"/>
      <c r="AK923" s="4"/>
      <c r="AL923" s="4"/>
      <c r="AM923" s="4"/>
      <c r="AN923" s="4"/>
      <c r="AO923" s="4"/>
      <c r="AP923" s="4"/>
      <c r="AQ923" s="4"/>
      <c r="AR923" s="4"/>
      <c r="AS923" s="4"/>
      <c r="AT923" s="4"/>
      <c r="AU923" s="4"/>
      <c r="AV923" s="4"/>
      <c r="AW923" s="4"/>
      <c r="AX923" s="4"/>
      <c r="AY923" s="4"/>
      <c r="AZ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  <c r="AG924" s="4"/>
      <c r="AH924" s="4"/>
      <c r="AI924" s="4"/>
      <c r="AJ924" s="4"/>
      <c r="AK924" s="4"/>
      <c r="AL924" s="4"/>
      <c r="AM924" s="4"/>
      <c r="AN924" s="4"/>
      <c r="AO924" s="4"/>
      <c r="AP924" s="4"/>
      <c r="AQ924" s="4"/>
      <c r="AR924" s="4"/>
      <c r="AS924" s="4"/>
      <c r="AT924" s="4"/>
      <c r="AU924" s="4"/>
      <c r="AV924" s="4"/>
      <c r="AW924" s="4"/>
      <c r="AX924" s="4"/>
      <c r="AY924" s="4"/>
      <c r="AZ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  <c r="AG925" s="4"/>
      <c r="AH925" s="4"/>
      <c r="AI925" s="4"/>
      <c r="AJ925" s="4"/>
      <c r="AK925" s="4"/>
      <c r="AL925" s="4"/>
      <c r="AM925" s="4"/>
      <c r="AN925" s="4"/>
      <c r="AO925" s="4"/>
      <c r="AP925" s="4"/>
      <c r="AQ925" s="4"/>
      <c r="AR925" s="4"/>
      <c r="AS925" s="4"/>
      <c r="AT925" s="4"/>
      <c r="AU925" s="4"/>
      <c r="AV925" s="4"/>
      <c r="AW925" s="4"/>
      <c r="AX925" s="4"/>
      <c r="AY925" s="4"/>
      <c r="AZ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  <c r="AG926" s="4"/>
      <c r="AH926" s="4"/>
      <c r="AI926" s="4"/>
      <c r="AJ926" s="4"/>
      <c r="AK926" s="4"/>
      <c r="AL926" s="4"/>
      <c r="AM926" s="4"/>
      <c r="AN926" s="4"/>
      <c r="AO926" s="4"/>
      <c r="AP926" s="4"/>
      <c r="AQ926" s="4"/>
      <c r="AR926" s="4"/>
      <c r="AS926" s="4"/>
      <c r="AT926" s="4"/>
      <c r="AU926" s="4"/>
      <c r="AV926" s="4"/>
      <c r="AW926" s="4"/>
      <c r="AX926" s="4"/>
      <c r="AY926" s="4"/>
      <c r="AZ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  <c r="AG927" s="4"/>
      <c r="AH927" s="4"/>
      <c r="AI927" s="4"/>
      <c r="AJ927" s="4"/>
      <c r="AK927" s="4"/>
      <c r="AL927" s="4"/>
      <c r="AM927" s="4"/>
      <c r="AN927" s="4"/>
      <c r="AO927" s="4"/>
      <c r="AP927" s="4"/>
      <c r="AQ927" s="4"/>
      <c r="AR927" s="4"/>
      <c r="AS927" s="4"/>
      <c r="AT927" s="4"/>
      <c r="AU927" s="4"/>
      <c r="AV927" s="4"/>
      <c r="AW927" s="4"/>
      <c r="AX927" s="4"/>
      <c r="AY927" s="4"/>
      <c r="AZ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  <c r="AG928" s="4"/>
      <c r="AH928" s="4"/>
      <c r="AI928" s="4"/>
      <c r="AJ928" s="4"/>
      <c r="AK928" s="4"/>
      <c r="AL928" s="4"/>
      <c r="AM928" s="4"/>
      <c r="AN928" s="4"/>
      <c r="AO928" s="4"/>
      <c r="AP928" s="4"/>
      <c r="AQ928" s="4"/>
      <c r="AR928" s="4"/>
      <c r="AS928" s="4"/>
      <c r="AT928" s="4"/>
      <c r="AU928" s="4"/>
      <c r="AV928" s="4"/>
      <c r="AW928" s="4"/>
      <c r="AX928" s="4"/>
      <c r="AY928" s="4"/>
      <c r="AZ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  <c r="AG929" s="4"/>
      <c r="AH929" s="4"/>
      <c r="AI929" s="4"/>
      <c r="AJ929" s="4"/>
      <c r="AK929" s="4"/>
      <c r="AL929" s="4"/>
      <c r="AM929" s="4"/>
      <c r="AN929" s="4"/>
      <c r="AO929" s="4"/>
      <c r="AP929" s="4"/>
      <c r="AQ929" s="4"/>
      <c r="AR929" s="4"/>
      <c r="AS929" s="4"/>
      <c r="AT929" s="4"/>
      <c r="AU929" s="4"/>
      <c r="AV929" s="4"/>
      <c r="AW929" s="4"/>
      <c r="AX929" s="4"/>
      <c r="AY929" s="4"/>
      <c r="AZ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  <c r="AG930" s="4"/>
      <c r="AH930" s="4"/>
      <c r="AI930" s="4"/>
      <c r="AJ930" s="4"/>
      <c r="AK930" s="4"/>
      <c r="AL930" s="4"/>
      <c r="AM930" s="4"/>
      <c r="AN930" s="4"/>
      <c r="AO930" s="4"/>
      <c r="AP930" s="4"/>
      <c r="AQ930" s="4"/>
      <c r="AR930" s="4"/>
      <c r="AS930" s="4"/>
      <c r="AT930" s="4"/>
      <c r="AU930" s="4"/>
      <c r="AV930" s="4"/>
      <c r="AW930" s="4"/>
      <c r="AX930" s="4"/>
      <c r="AY930" s="4"/>
      <c r="AZ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  <c r="AG931" s="4"/>
      <c r="AH931" s="4"/>
      <c r="AI931" s="4"/>
      <c r="AJ931" s="4"/>
      <c r="AK931" s="4"/>
      <c r="AL931" s="4"/>
      <c r="AM931" s="4"/>
      <c r="AN931" s="4"/>
      <c r="AO931" s="4"/>
      <c r="AP931" s="4"/>
      <c r="AQ931" s="4"/>
      <c r="AR931" s="4"/>
      <c r="AS931" s="4"/>
      <c r="AT931" s="4"/>
      <c r="AU931" s="4"/>
      <c r="AV931" s="4"/>
      <c r="AW931" s="4"/>
      <c r="AX931" s="4"/>
      <c r="AY931" s="4"/>
      <c r="AZ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  <c r="AG932" s="4"/>
      <c r="AH932" s="4"/>
      <c r="AI932" s="4"/>
      <c r="AJ932" s="4"/>
      <c r="AK932" s="4"/>
      <c r="AL932" s="4"/>
      <c r="AM932" s="4"/>
      <c r="AN932" s="4"/>
      <c r="AO932" s="4"/>
      <c r="AP932" s="4"/>
      <c r="AQ932" s="4"/>
      <c r="AR932" s="4"/>
      <c r="AS932" s="4"/>
      <c r="AT932" s="4"/>
      <c r="AU932" s="4"/>
      <c r="AV932" s="4"/>
      <c r="AW932" s="4"/>
      <c r="AX932" s="4"/>
      <c r="AY932" s="4"/>
      <c r="AZ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  <c r="AG933" s="4"/>
      <c r="AH933" s="4"/>
      <c r="AI933" s="4"/>
      <c r="AJ933" s="4"/>
      <c r="AK933" s="4"/>
      <c r="AL933" s="4"/>
      <c r="AM933" s="4"/>
      <c r="AN933" s="4"/>
      <c r="AO933" s="4"/>
      <c r="AP933" s="4"/>
      <c r="AQ933" s="4"/>
      <c r="AR933" s="4"/>
      <c r="AS933" s="4"/>
      <c r="AT933" s="4"/>
      <c r="AU933" s="4"/>
      <c r="AV933" s="4"/>
      <c r="AW933" s="4"/>
      <c r="AX933" s="4"/>
      <c r="AY933" s="4"/>
      <c r="AZ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  <c r="AG934" s="4"/>
      <c r="AH934" s="4"/>
      <c r="AI934" s="4"/>
      <c r="AJ934" s="4"/>
      <c r="AK934" s="4"/>
      <c r="AL934" s="4"/>
      <c r="AM934" s="4"/>
      <c r="AN934" s="4"/>
      <c r="AO934" s="4"/>
      <c r="AP934" s="4"/>
      <c r="AQ934" s="4"/>
      <c r="AR934" s="4"/>
      <c r="AS934" s="4"/>
      <c r="AT934" s="4"/>
      <c r="AU934" s="4"/>
      <c r="AV934" s="4"/>
      <c r="AW934" s="4"/>
      <c r="AX934" s="4"/>
      <c r="AY934" s="4"/>
      <c r="AZ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  <c r="AG935" s="4"/>
      <c r="AH935" s="4"/>
      <c r="AI935" s="4"/>
      <c r="AJ935" s="4"/>
      <c r="AK935" s="4"/>
      <c r="AL935" s="4"/>
      <c r="AM935" s="4"/>
      <c r="AN935" s="4"/>
      <c r="AO935" s="4"/>
      <c r="AP935" s="4"/>
      <c r="AQ935" s="4"/>
      <c r="AR935" s="4"/>
      <c r="AS935" s="4"/>
      <c r="AT935" s="4"/>
      <c r="AU935" s="4"/>
      <c r="AV935" s="4"/>
      <c r="AW935" s="4"/>
      <c r="AX935" s="4"/>
      <c r="AY935" s="4"/>
      <c r="AZ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  <c r="AG936" s="4"/>
      <c r="AH936" s="4"/>
      <c r="AI936" s="4"/>
      <c r="AJ936" s="4"/>
      <c r="AK936" s="4"/>
      <c r="AL936" s="4"/>
      <c r="AM936" s="4"/>
      <c r="AN936" s="4"/>
      <c r="AO936" s="4"/>
      <c r="AP936" s="4"/>
      <c r="AQ936" s="4"/>
      <c r="AR936" s="4"/>
      <c r="AS936" s="4"/>
      <c r="AT936" s="4"/>
      <c r="AU936" s="4"/>
      <c r="AV936" s="4"/>
      <c r="AW936" s="4"/>
      <c r="AX936" s="4"/>
      <c r="AY936" s="4"/>
      <c r="AZ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  <c r="AG937" s="4"/>
      <c r="AH937" s="4"/>
      <c r="AI937" s="4"/>
      <c r="AJ937" s="4"/>
      <c r="AK937" s="4"/>
      <c r="AL937" s="4"/>
      <c r="AM937" s="4"/>
      <c r="AN937" s="4"/>
      <c r="AO937" s="4"/>
      <c r="AP937" s="4"/>
      <c r="AQ937" s="4"/>
      <c r="AR937" s="4"/>
      <c r="AS937" s="4"/>
      <c r="AT937" s="4"/>
      <c r="AU937" s="4"/>
      <c r="AV937" s="4"/>
      <c r="AW937" s="4"/>
      <c r="AX937" s="4"/>
      <c r="AY937" s="4"/>
      <c r="AZ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  <c r="AG938" s="4"/>
      <c r="AH938" s="4"/>
      <c r="AI938" s="4"/>
      <c r="AJ938" s="4"/>
      <c r="AK938" s="4"/>
      <c r="AL938" s="4"/>
      <c r="AM938" s="4"/>
      <c r="AN938" s="4"/>
      <c r="AO938" s="4"/>
      <c r="AP938" s="4"/>
      <c r="AQ938" s="4"/>
      <c r="AR938" s="4"/>
      <c r="AS938" s="4"/>
      <c r="AT938" s="4"/>
      <c r="AU938" s="4"/>
      <c r="AV938" s="4"/>
      <c r="AW938" s="4"/>
      <c r="AX938" s="4"/>
      <c r="AY938" s="4"/>
      <c r="AZ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  <c r="AG939" s="4"/>
      <c r="AH939" s="4"/>
      <c r="AI939" s="4"/>
      <c r="AJ939" s="4"/>
      <c r="AK939" s="4"/>
      <c r="AL939" s="4"/>
      <c r="AM939" s="4"/>
      <c r="AN939" s="4"/>
      <c r="AO939" s="4"/>
      <c r="AP939" s="4"/>
      <c r="AQ939" s="4"/>
      <c r="AR939" s="4"/>
      <c r="AS939" s="4"/>
      <c r="AT939" s="4"/>
      <c r="AU939" s="4"/>
      <c r="AV939" s="4"/>
      <c r="AW939" s="4"/>
      <c r="AX939" s="4"/>
      <c r="AY939" s="4"/>
      <c r="AZ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  <c r="AG940" s="4"/>
      <c r="AH940" s="4"/>
      <c r="AI940" s="4"/>
      <c r="AJ940" s="4"/>
      <c r="AK940" s="4"/>
      <c r="AL940" s="4"/>
      <c r="AM940" s="4"/>
      <c r="AN940" s="4"/>
      <c r="AO940" s="4"/>
      <c r="AP940" s="4"/>
      <c r="AQ940" s="4"/>
      <c r="AR940" s="4"/>
      <c r="AS940" s="4"/>
      <c r="AT940" s="4"/>
      <c r="AU940" s="4"/>
      <c r="AV940" s="4"/>
      <c r="AW940" s="4"/>
      <c r="AX940" s="4"/>
      <c r="AY940" s="4"/>
      <c r="AZ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  <c r="AG941" s="4"/>
      <c r="AH941" s="4"/>
      <c r="AI941" s="4"/>
      <c r="AJ941" s="4"/>
      <c r="AK941" s="4"/>
      <c r="AL941" s="4"/>
      <c r="AM941" s="4"/>
      <c r="AN941" s="4"/>
      <c r="AO941" s="4"/>
      <c r="AP941" s="4"/>
      <c r="AQ941" s="4"/>
      <c r="AR941" s="4"/>
      <c r="AS941" s="4"/>
      <c r="AT941" s="4"/>
      <c r="AU941" s="4"/>
      <c r="AV941" s="4"/>
      <c r="AW941" s="4"/>
      <c r="AX941" s="4"/>
      <c r="AY941" s="4"/>
      <c r="AZ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  <c r="AG942" s="4"/>
      <c r="AH942" s="4"/>
      <c r="AI942" s="4"/>
      <c r="AJ942" s="4"/>
      <c r="AK942" s="4"/>
      <c r="AL942" s="4"/>
      <c r="AM942" s="4"/>
      <c r="AN942" s="4"/>
      <c r="AO942" s="4"/>
      <c r="AP942" s="4"/>
      <c r="AQ942" s="4"/>
      <c r="AR942" s="4"/>
      <c r="AS942" s="4"/>
      <c r="AT942" s="4"/>
      <c r="AU942" s="4"/>
      <c r="AV942" s="4"/>
      <c r="AW942" s="4"/>
      <c r="AX942" s="4"/>
      <c r="AY942" s="4"/>
      <c r="AZ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  <c r="AG943" s="4"/>
      <c r="AH943" s="4"/>
      <c r="AI943" s="4"/>
      <c r="AJ943" s="4"/>
      <c r="AK943" s="4"/>
      <c r="AL943" s="4"/>
      <c r="AM943" s="4"/>
      <c r="AN943" s="4"/>
      <c r="AO943" s="4"/>
      <c r="AP943" s="4"/>
      <c r="AQ943" s="4"/>
      <c r="AR943" s="4"/>
      <c r="AS943" s="4"/>
      <c r="AT943" s="4"/>
      <c r="AU943" s="4"/>
      <c r="AV943" s="4"/>
      <c r="AW943" s="4"/>
      <c r="AX943" s="4"/>
      <c r="AY943" s="4"/>
      <c r="AZ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  <c r="AG944" s="4"/>
      <c r="AH944" s="4"/>
      <c r="AI944" s="4"/>
      <c r="AJ944" s="4"/>
      <c r="AK944" s="4"/>
      <c r="AL944" s="4"/>
      <c r="AM944" s="4"/>
      <c r="AN944" s="4"/>
      <c r="AO944" s="4"/>
      <c r="AP944" s="4"/>
      <c r="AQ944" s="4"/>
      <c r="AR944" s="4"/>
      <c r="AS944" s="4"/>
      <c r="AT944" s="4"/>
      <c r="AU944" s="4"/>
      <c r="AV944" s="4"/>
      <c r="AW944" s="4"/>
      <c r="AX944" s="4"/>
      <c r="AY944" s="4"/>
      <c r="AZ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  <c r="AG945" s="4"/>
      <c r="AH945" s="4"/>
      <c r="AI945" s="4"/>
      <c r="AJ945" s="4"/>
      <c r="AK945" s="4"/>
      <c r="AL945" s="4"/>
      <c r="AM945" s="4"/>
      <c r="AN945" s="4"/>
      <c r="AO945" s="4"/>
      <c r="AP945" s="4"/>
      <c r="AQ945" s="4"/>
      <c r="AR945" s="4"/>
      <c r="AS945" s="4"/>
      <c r="AT945" s="4"/>
      <c r="AU945" s="4"/>
      <c r="AV945" s="4"/>
      <c r="AW945" s="4"/>
      <c r="AX945" s="4"/>
      <c r="AY945" s="4"/>
      <c r="AZ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  <c r="AG946" s="4"/>
      <c r="AH946" s="4"/>
      <c r="AI946" s="4"/>
      <c r="AJ946" s="4"/>
      <c r="AK946" s="4"/>
      <c r="AL946" s="4"/>
      <c r="AM946" s="4"/>
      <c r="AN946" s="4"/>
      <c r="AO946" s="4"/>
      <c r="AP946" s="4"/>
      <c r="AQ946" s="4"/>
      <c r="AR946" s="4"/>
      <c r="AS946" s="4"/>
      <c r="AT946" s="4"/>
      <c r="AU946" s="4"/>
      <c r="AV946" s="4"/>
      <c r="AW946" s="4"/>
      <c r="AX946" s="4"/>
      <c r="AY946" s="4"/>
      <c r="AZ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  <c r="AG947" s="4"/>
      <c r="AH947" s="4"/>
      <c r="AI947" s="4"/>
      <c r="AJ947" s="4"/>
      <c r="AK947" s="4"/>
      <c r="AL947" s="4"/>
      <c r="AM947" s="4"/>
      <c r="AN947" s="4"/>
      <c r="AO947" s="4"/>
      <c r="AP947" s="4"/>
      <c r="AQ947" s="4"/>
      <c r="AR947" s="4"/>
      <c r="AS947" s="4"/>
      <c r="AT947" s="4"/>
      <c r="AU947" s="4"/>
      <c r="AV947" s="4"/>
      <c r="AW947" s="4"/>
      <c r="AX947" s="4"/>
      <c r="AY947" s="4"/>
      <c r="AZ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  <c r="AG948" s="4"/>
      <c r="AH948" s="4"/>
      <c r="AI948" s="4"/>
      <c r="AJ948" s="4"/>
      <c r="AK948" s="4"/>
      <c r="AL948" s="4"/>
      <c r="AM948" s="4"/>
      <c r="AN948" s="4"/>
      <c r="AO948" s="4"/>
      <c r="AP948" s="4"/>
      <c r="AQ948" s="4"/>
      <c r="AR948" s="4"/>
      <c r="AS948" s="4"/>
      <c r="AT948" s="4"/>
      <c r="AU948" s="4"/>
      <c r="AV948" s="4"/>
      <c r="AW948" s="4"/>
      <c r="AX948" s="4"/>
      <c r="AY948" s="4"/>
      <c r="AZ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  <c r="AG949" s="4"/>
      <c r="AH949" s="4"/>
      <c r="AI949" s="4"/>
      <c r="AJ949" s="4"/>
      <c r="AK949" s="4"/>
      <c r="AL949" s="4"/>
      <c r="AM949" s="4"/>
      <c r="AN949" s="4"/>
      <c r="AO949" s="4"/>
      <c r="AP949" s="4"/>
      <c r="AQ949" s="4"/>
      <c r="AR949" s="4"/>
      <c r="AS949" s="4"/>
      <c r="AT949" s="4"/>
      <c r="AU949" s="4"/>
      <c r="AV949" s="4"/>
      <c r="AW949" s="4"/>
      <c r="AX949" s="4"/>
      <c r="AY949" s="4"/>
      <c r="AZ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  <c r="AG950" s="4"/>
      <c r="AH950" s="4"/>
      <c r="AI950" s="4"/>
      <c r="AJ950" s="4"/>
      <c r="AK950" s="4"/>
      <c r="AL950" s="4"/>
      <c r="AM950" s="4"/>
      <c r="AN950" s="4"/>
      <c r="AO950" s="4"/>
      <c r="AP950" s="4"/>
      <c r="AQ950" s="4"/>
      <c r="AR950" s="4"/>
      <c r="AS950" s="4"/>
      <c r="AT950" s="4"/>
      <c r="AU950" s="4"/>
      <c r="AV950" s="4"/>
      <c r="AW950" s="4"/>
      <c r="AX950" s="4"/>
      <c r="AY950" s="4"/>
      <c r="AZ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  <c r="AG951" s="4"/>
      <c r="AH951" s="4"/>
      <c r="AI951" s="4"/>
      <c r="AJ951" s="4"/>
      <c r="AK951" s="4"/>
      <c r="AL951" s="4"/>
      <c r="AM951" s="4"/>
      <c r="AN951" s="4"/>
      <c r="AO951" s="4"/>
      <c r="AP951" s="4"/>
      <c r="AQ951" s="4"/>
      <c r="AR951" s="4"/>
      <c r="AS951" s="4"/>
      <c r="AT951" s="4"/>
      <c r="AU951" s="4"/>
      <c r="AV951" s="4"/>
      <c r="AW951" s="4"/>
      <c r="AX951" s="4"/>
      <c r="AY951" s="4"/>
      <c r="AZ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  <c r="AG952" s="4"/>
      <c r="AH952" s="4"/>
      <c r="AI952" s="4"/>
      <c r="AJ952" s="4"/>
      <c r="AK952" s="4"/>
      <c r="AL952" s="4"/>
      <c r="AM952" s="4"/>
      <c r="AN952" s="4"/>
      <c r="AO952" s="4"/>
      <c r="AP952" s="4"/>
      <c r="AQ952" s="4"/>
      <c r="AR952" s="4"/>
      <c r="AS952" s="4"/>
      <c r="AT952" s="4"/>
      <c r="AU952" s="4"/>
      <c r="AV952" s="4"/>
      <c r="AW952" s="4"/>
      <c r="AX952" s="4"/>
      <c r="AY952" s="4"/>
      <c r="AZ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  <c r="AG953" s="4"/>
      <c r="AH953" s="4"/>
      <c r="AI953" s="4"/>
      <c r="AJ953" s="4"/>
      <c r="AK953" s="4"/>
      <c r="AL953" s="4"/>
      <c r="AM953" s="4"/>
      <c r="AN953" s="4"/>
      <c r="AO953" s="4"/>
      <c r="AP953" s="4"/>
      <c r="AQ953" s="4"/>
      <c r="AR953" s="4"/>
      <c r="AS953" s="4"/>
      <c r="AT953" s="4"/>
      <c r="AU953" s="4"/>
      <c r="AV953" s="4"/>
      <c r="AW953" s="4"/>
      <c r="AX953" s="4"/>
      <c r="AY953" s="4"/>
      <c r="AZ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  <c r="AG954" s="4"/>
      <c r="AH954" s="4"/>
      <c r="AI954" s="4"/>
      <c r="AJ954" s="4"/>
      <c r="AK954" s="4"/>
      <c r="AL954" s="4"/>
      <c r="AM954" s="4"/>
      <c r="AN954" s="4"/>
      <c r="AO954" s="4"/>
      <c r="AP954" s="4"/>
      <c r="AQ954" s="4"/>
      <c r="AR954" s="4"/>
      <c r="AS954" s="4"/>
      <c r="AT954" s="4"/>
      <c r="AU954" s="4"/>
      <c r="AV954" s="4"/>
      <c r="AW954" s="4"/>
      <c r="AX954" s="4"/>
      <c r="AY954" s="4"/>
      <c r="AZ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  <c r="AI955" s="4"/>
      <c r="AJ955" s="4"/>
      <c r="AK955" s="4"/>
      <c r="AL955" s="4"/>
      <c r="AM955" s="4"/>
      <c r="AN955" s="4"/>
      <c r="AO955" s="4"/>
      <c r="AP955" s="4"/>
      <c r="AQ955" s="4"/>
      <c r="AR955" s="4"/>
      <c r="AS955" s="4"/>
      <c r="AT955" s="4"/>
      <c r="AU955" s="4"/>
      <c r="AV955" s="4"/>
      <c r="AW955" s="4"/>
      <c r="AX955" s="4"/>
      <c r="AY955" s="4"/>
      <c r="AZ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  <c r="AI956" s="4"/>
      <c r="AJ956" s="4"/>
      <c r="AK956" s="4"/>
      <c r="AL956" s="4"/>
      <c r="AM956" s="4"/>
      <c r="AN956" s="4"/>
      <c r="AO956" s="4"/>
      <c r="AP956" s="4"/>
      <c r="AQ956" s="4"/>
      <c r="AR956" s="4"/>
      <c r="AS956" s="4"/>
      <c r="AT956" s="4"/>
      <c r="AU956" s="4"/>
      <c r="AV956" s="4"/>
      <c r="AW956" s="4"/>
      <c r="AX956" s="4"/>
      <c r="AY956" s="4"/>
      <c r="AZ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  <c r="AI957" s="4"/>
      <c r="AJ957" s="4"/>
      <c r="AK957" s="4"/>
      <c r="AL957" s="4"/>
      <c r="AM957" s="4"/>
      <c r="AN957" s="4"/>
      <c r="AO957" s="4"/>
      <c r="AP957" s="4"/>
      <c r="AQ957" s="4"/>
      <c r="AR957" s="4"/>
      <c r="AS957" s="4"/>
      <c r="AT957" s="4"/>
      <c r="AU957" s="4"/>
      <c r="AV957" s="4"/>
      <c r="AW957" s="4"/>
      <c r="AX957" s="4"/>
      <c r="AY957" s="4"/>
      <c r="AZ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  <c r="AI958" s="4"/>
      <c r="AJ958" s="4"/>
      <c r="AK958" s="4"/>
      <c r="AL958" s="4"/>
      <c r="AM958" s="4"/>
      <c r="AN958" s="4"/>
      <c r="AO958" s="4"/>
      <c r="AP958" s="4"/>
      <c r="AQ958" s="4"/>
      <c r="AR958" s="4"/>
      <c r="AS958" s="4"/>
      <c r="AT958" s="4"/>
      <c r="AU958" s="4"/>
      <c r="AV958" s="4"/>
      <c r="AW958" s="4"/>
      <c r="AX958" s="4"/>
      <c r="AY958" s="4"/>
      <c r="AZ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  <c r="AI959" s="4"/>
      <c r="AJ959" s="4"/>
      <c r="AK959" s="4"/>
      <c r="AL959" s="4"/>
      <c r="AM959" s="4"/>
      <c r="AN959" s="4"/>
      <c r="AO959" s="4"/>
      <c r="AP959" s="4"/>
      <c r="AQ959" s="4"/>
      <c r="AR959" s="4"/>
      <c r="AS959" s="4"/>
      <c r="AT959" s="4"/>
      <c r="AU959" s="4"/>
      <c r="AV959" s="4"/>
      <c r="AW959" s="4"/>
      <c r="AX959" s="4"/>
      <c r="AY959" s="4"/>
      <c r="AZ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  <c r="AI960" s="4"/>
      <c r="AJ960" s="4"/>
      <c r="AK960" s="4"/>
      <c r="AL960" s="4"/>
      <c r="AM960" s="4"/>
      <c r="AN960" s="4"/>
      <c r="AO960" s="4"/>
      <c r="AP960" s="4"/>
      <c r="AQ960" s="4"/>
      <c r="AR960" s="4"/>
      <c r="AS960" s="4"/>
      <c r="AT960" s="4"/>
      <c r="AU960" s="4"/>
      <c r="AV960" s="4"/>
      <c r="AW960" s="4"/>
      <c r="AX960" s="4"/>
      <c r="AY960" s="4"/>
      <c r="AZ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  <c r="AI961" s="4"/>
      <c r="AJ961" s="4"/>
      <c r="AK961" s="4"/>
      <c r="AL961" s="4"/>
      <c r="AM961" s="4"/>
      <c r="AN961" s="4"/>
      <c r="AO961" s="4"/>
      <c r="AP961" s="4"/>
      <c r="AQ961" s="4"/>
      <c r="AR961" s="4"/>
      <c r="AS961" s="4"/>
      <c r="AT961" s="4"/>
      <c r="AU961" s="4"/>
      <c r="AV961" s="4"/>
      <c r="AW961" s="4"/>
      <c r="AX961" s="4"/>
      <c r="AY961" s="4"/>
      <c r="AZ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  <c r="AI962" s="4"/>
      <c r="AJ962" s="4"/>
      <c r="AK962" s="4"/>
      <c r="AL962" s="4"/>
      <c r="AM962" s="4"/>
      <c r="AN962" s="4"/>
      <c r="AO962" s="4"/>
      <c r="AP962" s="4"/>
      <c r="AQ962" s="4"/>
      <c r="AR962" s="4"/>
      <c r="AS962" s="4"/>
      <c r="AT962" s="4"/>
      <c r="AU962" s="4"/>
      <c r="AV962" s="4"/>
      <c r="AW962" s="4"/>
      <c r="AX962" s="4"/>
      <c r="AY962" s="4"/>
      <c r="AZ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  <c r="AI963" s="4"/>
      <c r="AJ963" s="4"/>
      <c r="AK963" s="4"/>
      <c r="AL963" s="4"/>
      <c r="AM963" s="4"/>
      <c r="AN963" s="4"/>
      <c r="AO963" s="4"/>
      <c r="AP963" s="4"/>
      <c r="AQ963" s="4"/>
      <c r="AR963" s="4"/>
      <c r="AS963" s="4"/>
      <c r="AT963" s="4"/>
      <c r="AU963" s="4"/>
      <c r="AV963" s="4"/>
      <c r="AW963" s="4"/>
      <c r="AX963" s="4"/>
      <c r="AY963" s="4"/>
      <c r="AZ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4"/>
      <c r="AG964" s="4"/>
      <c r="AH964" s="4"/>
      <c r="AI964" s="4"/>
      <c r="AJ964" s="4"/>
      <c r="AK964" s="4"/>
      <c r="AL964" s="4"/>
      <c r="AM964" s="4"/>
      <c r="AN964" s="4"/>
      <c r="AO964" s="4"/>
      <c r="AP964" s="4"/>
      <c r="AQ964" s="4"/>
      <c r="AR964" s="4"/>
      <c r="AS964" s="4"/>
      <c r="AT964" s="4"/>
      <c r="AU964" s="4"/>
      <c r="AV964" s="4"/>
      <c r="AW964" s="4"/>
      <c r="AX964" s="4"/>
      <c r="AY964" s="4"/>
      <c r="AZ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4"/>
      <c r="AG965" s="4"/>
      <c r="AH965" s="4"/>
      <c r="AI965" s="4"/>
      <c r="AJ965" s="4"/>
      <c r="AK965" s="4"/>
      <c r="AL965" s="4"/>
      <c r="AM965" s="4"/>
      <c r="AN965" s="4"/>
      <c r="AO965" s="4"/>
      <c r="AP965" s="4"/>
      <c r="AQ965" s="4"/>
      <c r="AR965" s="4"/>
      <c r="AS965" s="4"/>
      <c r="AT965" s="4"/>
      <c r="AU965" s="4"/>
      <c r="AV965" s="4"/>
      <c r="AW965" s="4"/>
      <c r="AX965" s="4"/>
      <c r="AY965" s="4"/>
      <c r="AZ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4"/>
      <c r="AG966" s="4"/>
      <c r="AH966" s="4"/>
      <c r="AI966" s="4"/>
      <c r="AJ966" s="4"/>
      <c r="AK966" s="4"/>
      <c r="AL966" s="4"/>
      <c r="AM966" s="4"/>
      <c r="AN966" s="4"/>
      <c r="AO966" s="4"/>
      <c r="AP966" s="4"/>
      <c r="AQ966" s="4"/>
      <c r="AR966" s="4"/>
      <c r="AS966" s="4"/>
      <c r="AT966" s="4"/>
      <c r="AU966" s="4"/>
      <c r="AV966" s="4"/>
      <c r="AW966" s="4"/>
      <c r="AX966" s="4"/>
      <c r="AY966" s="4"/>
      <c r="AZ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4"/>
      <c r="AG967" s="4"/>
      <c r="AH967" s="4"/>
      <c r="AI967" s="4"/>
      <c r="AJ967" s="4"/>
      <c r="AK967" s="4"/>
      <c r="AL967" s="4"/>
      <c r="AM967" s="4"/>
      <c r="AN967" s="4"/>
      <c r="AO967" s="4"/>
      <c r="AP967" s="4"/>
      <c r="AQ967" s="4"/>
      <c r="AR967" s="4"/>
      <c r="AS967" s="4"/>
      <c r="AT967" s="4"/>
      <c r="AU967" s="4"/>
      <c r="AV967" s="4"/>
      <c r="AW967" s="4"/>
      <c r="AX967" s="4"/>
      <c r="AY967" s="4"/>
      <c r="AZ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4"/>
      <c r="AG968" s="4"/>
      <c r="AH968" s="4"/>
      <c r="AI968" s="4"/>
      <c r="AJ968" s="4"/>
      <c r="AK968" s="4"/>
      <c r="AL968" s="4"/>
      <c r="AM968" s="4"/>
      <c r="AN968" s="4"/>
      <c r="AO968" s="4"/>
      <c r="AP968" s="4"/>
      <c r="AQ968" s="4"/>
      <c r="AR968" s="4"/>
      <c r="AS968" s="4"/>
      <c r="AT968" s="4"/>
      <c r="AU968" s="4"/>
      <c r="AV968" s="4"/>
      <c r="AW968" s="4"/>
      <c r="AX968" s="4"/>
      <c r="AY968" s="4"/>
      <c r="AZ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4"/>
      <c r="AG969" s="4"/>
      <c r="AH969" s="4"/>
      <c r="AI969" s="4"/>
      <c r="AJ969" s="4"/>
      <c r="AK969" s="4"/>
      <c r="AL969" s="4"/>
      <c r="AM969" s="4"/>
      <c r="AN969" s="4"/>
      <c r="AO969" s="4"/>
      <c r="AP969" s="4"/>
      <c r="AQ969" s="4"/>
      <c r="AR969" s="4"/>
      <c r="AS969" s="4"/>
      <c r="AT969" s="4"/>
      <c r="AU969" s="4"/>
      <c r="AV969" s="4"/>
      <c r="AW969" s="4"/>
      <c r="AX969" s="4"/>
      <c r="AY969" s="4"/>
      <c r="AZ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4"/>
      <c r="AG970" s="4"/>
      <c r="AH970" s="4"/>
      <c r="AI970" s="4"/>
      <c r="AJ970" s="4"/>
      <c r="AK970" s="4"/>
      <c r="AL970" s="4"/>
      <c r="AM970" s="4"/>
      <c r="AN970" s="4"/>
      <c r="AO970" s="4"/>
      <c r="AP970" s="4"/>
      <c r="AQ970" s="4"/>
      <c r="AR970" s="4"/>
      <c r="AS970" s="4"/>
      <c r="AT970" s="4"/>
      <c r="AU970" s="4"/>
      <c r="AV970" s="4"/>
      <c r="AW970" s="4"/>
      <c r="AX970" s="4"/>
      <c r="AY970" s="4"/>
      <c r="AZ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4"/>
      <c r="AG971" s="4"/>
      <c r="AH971" s="4"/>
      <c r="AI971" s="4"/>
      <c r="AJ971" s="4"/>
      <c r="AK971" s="4"/>
      <c r="AL971" s="4"/>
      <c r="AM971" s="4"/>
      <c r="AN971" s="4"/>
      <c r="AO971" s="4"/>
      <c r="AP971" s="4"/>
      <c r="AQ971" s="4"/>
      <c r="AR971" s="4"/>
      <c r="AS971" s="4"/>
      <c r="AT971" s="4"/>
      <c r="AU971" s="4"/>
      <c r="AV971" s="4"/>
      <c r="AW971" s="4"/>
      <c r="AX971" s="4"/>
      <c r="AY971" s="4"/>
      <c r="AZ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4"/>
      <c r="AG972" s="4"/>
      <c r="AH972" s="4"/>
      <c r="AI972" s="4"/>
      <c r="AJ972" s="4"/>
      <c r="AK972" s="4"/>
      <c r="AL972" s="4"/>
      <c r="AM972" s="4"/>
      <c r="AN972" s="4"/>
      <c r="AO972" s="4"/>
      <c r="AP972" s="4"/>
      <c r="AQ972" s="4"/>
      <c r="AR972" s="4"/>
      <c r="AS972" s="4"/>
      <c r="AT972" s="4"/>
      <c r="AU972" s="4"/>
      <c r="AV972" s="4"/>
      <c r="AW972" s="4"/>
      <c r="AX972" s="4"/>
      <c r="AY972" s="4"/>
      <c r="AZ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  <c r="AG973" s="4"/>
      <c r="AH973" s="4"/>
      <c r="AI973" s="4"/>
      <c r="AJ973" s="4"/>
      <c r="AK973" s="4"/>
      <c r="AL973" s="4"/>
      <c r="AM973" s="4"/>
      <c r="AN973" s="4"/>
      <c r="AO973" s="4"/>
      <c r="AP973" s="4"/>
      <c r="AQ973" s="4"/>
      <c r="AR973" s="4"/>
      <c r="AS973" s="4"/>
      <c r="AT973" s="4"/>
      <c r="AU973" s="4"/>
      <c r="AV973" s="4"/>
      <c r="AW973" s="4"/>
      <c r="AX973" s="4"/>
      <c r="AY973" s="4"/>
      <c r="AZ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4"/>
      <c r="AG974" s="4"/>
      <c r="AH974" s="4"/>
      <c r="AI974" s="4"/>
      <c r="AJ974" s="4"/>
      <c r="AK974" s="4"/>
      <c r="AL974" s="4"/>
      <c r="AM974" s="4"/>
      <c r="AN974" s="4"/>
      <c r="AO974" s="4"/>
      <c r="AP974" s="4"/>
      <c r="AQ974" s="4"/>
      <c r="AR974" s="4"/>
      <c r="AS974" s="4"/>
      <c r="AT974" s="4"/>
      <c r="AU974" s="4"/>
      <c r="AV974" s="4"/>
      <c r="AW974" s="4"/>
      <c r="AX974" s="4"/>
      <c r="AY974" s="4"/>
      <c r="AZ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4"/>
      <c r="AG975" s="4"/>
      <c r="AH975" s="4"/>
      <c r="AI975" s="4"/>
      <c r="AJ975" s="4"/>
      <c r="AK975" s="4"/>
      <c r="AL975" s="4"/>
      <c r="AM975" s="4"/>
      <c r="AN975" s="4"/>
      <c r="AO975" s="4"/>
      <c r="AP975" s="4"/>
      <c r="AQ975" s="4"/>
      <c r="AR975" s="4"/>
      <c r="AS975" s="4"/>
      <c r="AT975" s="4"/>
      <c r="AU975" s="4"/>
      <c r="AV975" s="4"/>
      <c r="AW975" s="4"/>
      <c r="AX975" s="4"/>
      <c r="AY975" s="4"/>
      <c r="AZ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4"/>
      <c r="AG976" s="4"/>
      <c r="AH976" s="4"/>
      <c r="AI976" s="4"/>
      <c r="AJ976" s="4"/>
      <c r="AK976" s="4"/>
      <c r="AL976" s="4"/>
      <c r="AM976" s="4"/>
      <c r="AN976" s="4"/>
      <c r="AO976" s="4"/>
      <c r="AP976" s="4"/>
      <c r="AQ976" s="4"/>
      <c r="AR976" s="4"/>
      <c r="AS976" s="4"/>
      <c r="AT976" s="4"/>
      <c r="AU976" s="4"/>
      <c r="AV976" s="4"/>
      <c r="AW976" s="4"/>
      <c r="AX976" s="4"/>
      <c r="AY976" s="4"/>
      <c r="AZ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4"/>
      <c r="AG977" s="4"/>
      <c r="AH977" s="4"/>
      <c r="AI977" s="4"/>
      <c r="AJ977" s="4"/>
      <c r="AK977" s="4"/>
      <c r="AL977" s="4"/>
      <c r="AM977" s="4"/>
      <c r="AN977" s="4"/>
      <c r="AO977" s="4"/>
      <c r="AP977" s="4"/>
      <c r="AQ977" s="4"/>
      <c r="AR977" s="4"/>
      <c r="AS977" s="4"/>
      <c r="AT977" s="4"/>
      <c r="AU977" s="4"/>
      <c r="AV977" s="4"/>
      <c r="AW977" s="4"/>
      <c r="AX977" s="4"/>
      <c r="AY977" s="4"/>
      <c r="AZ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4"/>
      <c r="AG978" s="4"/>
      <c r="AH978" s="4"/>
      <c r="AI978" s="4"/>
      <c r="AJ978" s="4"/>
      <c r="AK978" s="4"/>
      <c r="AL978" s="4"/>
      <c r="AM978" s="4"/>
      <c r="AN978" s="4"/>
      <c r="AO978" s="4"/>
      <c r="AP978" s="4"/>
      <c r="AQ978" s="4"/>
      <c r="AR978" s="4"/>
      <c r="AS978" s="4"/>
      <c r="AT978" s="4"/>
      <c r="AU978" s="4"/>
      <c r="AV978" s="4"/>
      <c r="AW978" s="4"/>
      <c r="AX978" s="4"/>
      <c r="AY978" s="4"/>
      <c r="AZ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4"/>
      <c r="AG979" s="4"/>
      <c r="AH979" s="4"/>
      <c r="AI979" s="4"/>
      <c r="AJ979" s="4"/>
      <c r="AK979" s="4"/>
      <c r="AL979" s="4"/>
      <c r="AM979" s="4"/>
      <c r="AN979" s="4"/>
      <c r="AO979" s="4"/>
      <c r="AP979" s="4"/>
      <c r="AQ979" s="4"/>
      <c r="AR979" s="4"/>
      <c r="AS979" s="4"/>
      <c r="AT979" s="4"/>
      <c r="AU979" s="4"/>
      <c r="AV979" s="4"/>
      <c r="AW979" s="4"/>
      <c r="AX979" s="4"/>
      <c r="AY979" s="4"/>
      <c r="AZ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4"/>
      <c r="AG980" s="4"/>
      <c r="AH980" s="4"/>
      <c r="AI980" s="4"/>
      <c r="AJ980" s="4"/>
      <c r="AK980" s="4"/>
      <c r="AL980" s="4"/>
      <c r="AM980" s="4"/>
      <c r="AN980" s="4"/>
      <c r="AO980" s="4"/>
      <c r="AP980" s="4"/>
      <c r="AQ980" s="4"/>
      <c r="AR980" s="4"/>
      <c r="AS980" s="4"/>
      <c r="AT980" s="4"/>
      <c r="AU980" s="4"/>
      <c r="AV980" s="4"/>
      <c r="AW980" s="4"/>
      <c r="AX980" s="4"/>
      <c r="AY980" s="4"/>
      <c r="AZ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  <c r="AG981" s="4"/>
      <c r="AH981" s="4"/>
      <c r="AI981" s="4"/>
      <c r="AJ981" s="4"/>
      <c r="AK981" s="4"/>
      <c r="AL981" s="4"/>
      <c r="AM981" s="4"/>
      <c r="AN981" s="4"/>
      <c r="AO981" s="4"/>
      <c r="AP981" s="4"/>
      <c r="AQ981" s="4"/>
      <c r="AR981" s="4"/>
      <c r="AS981" s="4"/>
      <c r="AT981" s="4"/>
      <c r="AU981" s="4"/>
      <c r="AV981" s="4"/>
      <c r="AW981" s="4"/>
      <c r="AX981" s="4"/>
      <c r="AY981" s="4"/>
      <c r="AZ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  <c r="AG982" s="4"/>
      <c r="AH982" s="4"/>
      <c r="AI982" s="4"/>
      <c r="AJ982" s="4"/>
      <c r="AK982" s="4"/>
      <c r="AL982" s="4"/>
      <c r="AM982" s="4"/>
      <c r="AN982" s="4"/>
      <c r="AO982" s="4"/>
      <c r="AP982" s="4"/>
      <c r="AQ982" s="4"/>
      <c r="AR982" s="4"/>
      <c r="AS982" s="4"/>
      <c r="AT982" s="4"/>
      <c r="AU982" s="4"/>
      <c r="AV982" s="4"/>
      <c r="AW982" s="4"/>
      <c r="AX982" s="4"/>
      <c r="AY982" s="4"/>
      <c r="AZ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4"/>
      <c r="AG983" s="4"/>
      <c r="AH983" s="4"/>
      <c r="AI983" s="4"/>
      <c r="AJ983" s="4"/>
      <c r="AK983" s="4"/>
      <c r="AL983" s="4"/>
      <c r="AM983" s="4"/>
      <c r="AN983" s="4"/>
      <c r="AO983" s="4"/>
      <c r="AP983" s="4"/>
      <c r="AQ983" s="4"/>
      <c r="AR983" s="4"/>
      <c r="AS983" s="4"/>
      <c r="AT983" s="4"/>
      <c r="AU983" s="4"/>
      <c r="AV983" s="4"/>
      <c r="AW983" s="4"/>
      <c r="AX983" s="4"/>
      <c r="AY983" s="4"/>
      <c r="AZ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4"/>
      <c r="AG984" s="4"/>
      <c r="AH984" s="4"/>
      <c r="AI984" s="4"/>
      <c r="AJ984" s="4"/>
      <c r="AK984" s="4"/>
      <c r="AL984" s="4"/>
      <c r="AM984" s="4"/>
      <c r="AN984" s="4"/>
      <c r="AO984" s="4"/>
      <c r="AP984" s="4"/>
      <c r="AQ984" s="4"/>
      <c r="AR984" s="4"/>
      <c r="AS984" s="4"/>
      <c r="AT984" s="4"/>
      <c r="AU984" s="4"/>
      <c r="AV984" s="4"/>
      <c r="AW984" s="4"/>
      <c r="AX984" s="4"/>
      <c r="AY984" s="4"/>
      <c r="AZ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4"/>
      <c r="AG985" s="4"/>
      <c r="AH985" s="4"/>
      <c r="AI985" s="4"/>
      <c r="AJ985" s="4"/>
      <c r="AK985" s="4"/>
      <c r="AL985" s="4"/>
      <c r="AM985" s="4"/>
      <c r="AN985" s="4"/>
      <c r="AO985" s="4"/>
      <c r="AP985" s="4"/>
      <c r="AQ985" s="4"/>
      <c r="AR985" s="4"/>
      <c r="AS985" s="4"/>
      <c r="AT985" s="4"/>
      <c r="AU985" s="4"/>
      <c r="AV985" s="4"/>
      <c r="AW985" s="4"/>
      <c r="AX985" s="4"/>
      <c r="AY985" s="4"/>
      <c r="AZ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4"/>
      <c r="AG986" s="4"/>
      <c r="AH986" s="4"/>
      <c r="AI986" s="4"/>
      <c r="AJ986" s="4"/>
      <c r="AK986" s="4"/>
      <c r="AL986" s="4"/>
      <c r="AM986" s="4"/>
      <c r="AN986" s="4"/>
      <c r="AO986" s="4"/>
      <c r="AP986" s="4"/>
      <c r="AQ986" s="4"/>
      <c r="AR986" s="4"/>
      <c r="AS986" s="4"/>
      <c r="AT986" s="4"/>
      <c r="AU986" s="4"/>
      <c r="AV986" s="4"/>
      <c r="AW986" s="4"/>
      <c r="AX986" s="4"/>
      <c r="AY986" s="4"/>
      <c r="AZ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  <c r="AG987" s="4"/>
      <c r="AH987" s="4"/>
      <c r="AI987" s="4"/>
      <c r="AJ987" s="4"/>
      <c r="AK987" s="4"/>
      <c r="AL987" s="4"/>
      <c r="AM987" s="4"/>
      <c r="AN987" s="4"/>
      <c r="AO987" s="4"/>
      <c r="AP987" s="4"/>
      <c r="AQ987" s="4"/>
      <c r="AR987" s="4"/>
      <c r="AS987" s="4"/>
      <c r="AT987" s="4"/>
      <c r="AU987" s="4"/>
      <c r="AV987" s="4"/>
      <c r="AW987" s="4"/>
      <c r="AX987" s="4"/>
      <c r="AY987" s="4"/>
      <c r="AZ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4"/>
      <c r="AG988" s="4"/>
      <c r="AH988" s="4"/>
      <c r="AI988" s="4"/>
      <c r="AJ988" s="4"/>
      <c r="AK988" s="4"/>
      <c r="AL988" s="4"/>
      <c r="AM988" s="4"/>
      <c r="AN988" s="4"/>
      <c r="AO988" s="4"/>
      <c r="AP988" s="4"/>
      <c r="AQ988" s="4"/>
      <c r="AR988" s="4"/>
      <c r="AS988" s="4"/>
      <c r="AT988" s="4"/>
      <c r="AU988" s="4"/>
      <c r="AV988" s="4"/>
      <c r="AW988" s="4"/>
      <c r="AX988" s="4"/>
      <c r="AY988" s="4"/>
      <c r="AZ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4"/>
      <c r="AG989" s="4"/>
      <c r="AH989" s="4"/>
      <c r="AI989" s="4"/>
      <c r="AJ989" s="4"/>
      <c r="AK989" s="4"/>
      <c r="AL989" s="4"/>
      <c r="AM989" s="4"/>
      <c r="AN989" s="4"/>
      <c r="AO989" s="4"/>
      <c r="AP989" s="4"/>
      <c r="AQ989" s="4"/>
      <c r="AR989" s="4"/>
      <c r="AS989" s="4"/>
      <c r="AT989" s="4"/>
      <c r="AU989" s="4"/>
      <c r="AV989" s="4"/>
      <c r="AW989" s="4"/>
      <c r="AX989" s="4"/>
      <c r="AY989" s="4"/>
      <c r="AZ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4"/>
      <c r="AG990" s="4"/>
      <c r="AH990" s="4"/>
      <c r="AI990" s="4"/>
      <c r="AJ990" s="4"/>
      <c r="AK990" s="4"/>
      <c r="AL990" s="4"/>
      <c r="AM990" s="4"/>
      <c r="AN990" s="4"/>
      <c r="AO990" s="4"/>
      <c r="AP990" s="4"/>
      <c r="AQ990" s="4"/>
      <c r="AR990" s="4"/>
      <c r="AS990" s="4"/>
      <c r="AT990" s="4"/>
      <c r="AU990" s="4"/>
      <c r="AV990" s="4"/>
      <c r="AW990" s="4"/>
      <c r="AX990" s="4"/>
      <c r="AY990" s="4"/>
      <c r="AZ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4"/>
      <c r="AG991" s="4"/>
      <c r="AH991" s="4"/>
      <c r="AI991" s="4"/>
      <c r="AJ991" s="4"/>
      <c r="AK991" s="4"/>
      <c r="AL991" s="4"/>
      <c r="AM991" s="4"/>
      <c r="AN991" s="4"/>
      <c r="AO991" s="4"/>
      <c r="AP991" s="4"/>
      <c r="AQ991" s="4"/>
      <c r="AR991" s="4"/>
      <c r="AS991" s="4"/>
      <c r="AT991" s="4"/>
      <c r="AU991" s="4"/>
      <c r="AV991" s="4"/>
      <c r="AW991" s="4"/>
      <c r="AX991" s="4"/>
      <c r="AY991" s="4"/>
      <c r="AZ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4"/>
      <c r="AG992" s="4"/>
      <c r="AH992" s="4"/>
      <c r="AI992" s="4"/>
      <c r="AJ992" s="4"/>
      <c r="AK992" s="4"/>
      <c r="AL992" s="4"/>
      <c r="AM992" s="4"/>
      <c r="AN992" s="4"/>
      <c r="AO992" s="4"/>
      <c r="AP992" s="4"/>
      <c r="AQ992" s="4"/>
      <c r="AR992" s="4"/>
      <c r="AS992" s="4"/>
      <c r="AT992" s="4"/>
      <c r="AU992" s="4"/>
      <c r="AV992" s="4"/>
      <c r="AW992" s="4"/>
      <c r="AX992" s="4"/>
      <c r="AY992" s="4"/>
      <c r="AZ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4"/>
      <c r="AG993" s="4"/>
      <c r="AH993" s="4"/>
      <c r="AI993" s="4"/>
      <c r="AJ993" s="4"/>
      <c r="AK993" s="4"/>
      <c r="AL993" s="4"/>
      <c r="AM993" s="4"/>
      <c r="AN993" s="4"/>
      <c r="AO993" s="4"/>
      <c r="AP993" s="4"/>
      <c r="AQ993" s="4"/>
      <c r="AR993" s="4"/>
      <c r="AS993" s="4"/>
      <c r="AT993" s="4"/>
      <c r="AU993" s="4"/>
      <c r="AV993" s="4"/>
      <c r="AW993" s="4"/>
      <c r="AX993" s="4"/>
      <c r="AY993" s="4"/>
      <c r="AZ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4"/>
      <c r="AG994" s="4"/>
      <c r="AH994" s="4"/>
      <c r="AI994" s="4"/>
      <c r="AJ994" s="4"/>
      <c r="AK994" s="4"/>
      <c r="AL994" s="4"/>
      <c r="AM994" s="4"/>
      <c r="AN994" s="4"/>
      <c r="AO994" s="4"/>
      <c r="AP994" s="4"/>
      <c r="AQ994" s="4"/>
      <c r="AR994" s="4"/>
      <c r="AS994" s="4"/>
      <c r="AT994" s="4"/>
      <c r="AU994" s="4"/>
      <c r="AV994" s="4"/>
      <c r="AW994" s="4"/>
      <c r="AX994" s="4"/>
      <c r="AY994" s="4"/>
      <c r="AZ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4"/>
      <c r="AG995" s="4"/>
      <c r="AH995" s="4"/>
      <c r="AI995" s="4"/>
      <c r="AJ995" s="4"/>
      <c r="AK995" s="4"/>
      <c r="AL995" s="4"/>
      <c r="AM995" s="4"/>
      <c r="AN995" s="4"/>
      <c r="AO995" s="4"/>
      <c r="AP995" s="4"/>
      <c r="AQ995" s="4"/>
      <c r="AR995" s="4"/>
      <c r="AS995" s="4"/>
      <c r="AT995" s="4"/>
      <c r="AU995" s="4"/>
      <c r="AV995" s="4"/>
      <c r="AW995" s="4"/>
      <c r="AX995" s="4"/>
      <c r="AY995" s="4"/>
      <c r="AZ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  <c r="AF996" s="4"/>
      <c r="AG996" s="4"/>
      <c r="AH996" s="4"/>
      <c r="AI996" s="4"/>
      <c r="AJ996" s="4"/>
      <c r="AK996" s="4"/>
      <c r="AL996" s="4"/>
      <c r="AM996" s="4"/>
      <c r="AN996" s="4"/>
      <c r="AO996" s="4"/>
      <c r="AP996" s="4"/>
      <c r="AQ996" s="4"/>
      <c r="AR996" s="4"/>
      <c r="AS996" s="4"/>
      <c r="AT996" s="4"/>
      <c r="AU996" s="4"/>
      <c r="AV996" s="4"/>
      <c r="AW996" s="4"/>
      <c r="AX996" s="4"/>
      <c r="AY996" s="4"/>
      <c r="AZ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  <c r="AF997" s="4"/>
      <c r="AG997" s="4"/>
      <c r="AH997" s="4"/>
      <c r="AI997" s="4"/>
      <c r="AJ997" s="4"/>
      <c r="AK997" s="4"/>
      <c r="AL997" s="4"/>
      <c r="AM997" s="4"/>
      <c r="AN997" s="4"/>
      <c r="AO997" s="4"/>
      <c r="AP997" s="4"/>
      <c r="AQ997" s="4"/>
      <c r="AR997" s="4"/>
      <c r="AS997" s="4"/>
      <c r="AT997" s="4"/>
      <c r="AU997" s="4"/>
      <c r="AV997" s="4"/>
      <c r="AW997" s="4"/>
      <c r="AX997" s="4"/>
      <c r="AY997" s="4"/>
      <c r="AZ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  <c r="AF998" s="4"/>
      <c r="AG998" s="4"/>
      <c r="AH998" s="4"/>
      <c r="AI998" s="4"/>
      <c r="AJ998" s="4"/>
      <c r="AK998" s="4"/>
      <c r="AL998" s="4"/>
      <c r="AM998" s="4"/>
      <c r="AN998" s="4"/>
      <c r="AO998" s="4"/>
      <c r="AP998" s="4"/>
      <c r="AQ998" s="4"/>
      <c r="AR998" s="4"/>
      <c r="AS998" s="4"/>
      <c r="AT998" s="4"/>
      <c r="AU998" s="4"/>
      <c r="AV998" s="4"/>
      <c r="AW998" s="4"/>
      <c r="AX998" s="4"/>
      <c r="AY998" s="4"/>
      <c r="AZ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  <c r="AF999" s="4"/>
      <c r="AG999" s="4"/>
      <c r="AH999" s="4"/>
      <c r="AI999" s="4"/>
      <c r="AJ999" s="4"/>
      <c r="AK999" s="4"/>
      <c r="AL999" s="4"/>
      <c r="AM999" s="4"/>
      <c r="AN999" s="4"/>
      <c r="AO999" s="4"/>
      <c r="AP999" s="4"/>
      <c r="AQ999" s="4"/>
      <c r="AR999" s="4"/>
      <c r="AS999" s="4"/>
      <c r="AT999" s="4"/>
      <c r="AU999" s="4"/>
      <c r="AV999" s="4"/>
      <c r="AW999" s="4"/>
      <c r="AX999" s="4"/>
      <c r="AY999" s="4"/>
      <c r="AZ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  <c r="AC1000" s="4"/>
      <c r="AD1000" s="4"/>
      <c r="AE1000" s="4"/>
      <c r="AF1000" s="4"/>
      <c r="AG1000" s="4"/>
      <c r="AH1000" s="4"/>
      <c r="AI1000" s="4"/>
      <c r="AJ1000" s="4"/>
      <c r="AK1000" s="4"/>
      <c r="AL1000" s="4"/>
      <c r="AM1000" s="4"/>
      <c r="AN1000" s="4"/>
      <c r="AO1000" s="4"/>
      <c r="AP1000" s="4"/>
      <c r="AQ1000" s="4"/>
      <c r="AR1000" s="4"/>
      <c r="AS1000" s="4"/>
      <c r="AT1000" s="4"/>
      <c r="AU1000" s="4"/>
      <c r="AV1000" s="4"/>
      <c r="AW1000" s="4"/>
      <c r="AX1000" s="4"/>
      <c r="AY1000" s="4"/>
      <c r="AZ1000" s="4"/>
    </row>
  </sheetData>
  <mergeCells count="1">
    <mergeCell ref="B1:G1"/>
  </mergeCells>
  <dataValidations>
    <dataValidation type="list" allowBlank="1" sqref="B7:AZ40 D41:AZ200">
      <formula1>"1,0,X"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6.0" topLeftCell="A7" activePane="bottomLeft" state="frozen"/>
      <selection activeCell="B8" sqref="B8" pane="bottomLeft"/>
    </sheetView>
  </sheetViews>
  <sheetFormatPr customHeight="1" defaultColWidth="14.43" defaultRowHeight="15.0"/>
  <cols>
    <col customWidth="1" min="1" max="1" width="14.0"/>
    <col customWidth="1" min="2" max="2" width="24.0"/>
    <col customWidth="1" min="3" max="3" width="25.0"/>
    <col customWidth="1" min="4" max="4" width="21.71"/>
    <col customWidth="1" min="5" max="5" width="21.43"/>
    <col customWidth="1" min="6" max="6" width="16.0"/>
    <col customWidth="1" min="7" max="7" width="25.0"/>
    <col customWidth="1" min="8" max="8" width="20.0"/>
    <col customWidth="1" min="9" max="9" width="16.0"/>
    <col customWidth="1" min="10" max="10" width="22.0"/>
  </cols>
  <sheetData>
    <row r="1" ht="37.5" customHeight="1">
      <c r="A1" s="26" t="s">
        <v>46</v>
      </c>
      <c r="B1" s="27"/>
      <c r="C1" s="27"/>
      <c r="D1" s="27"/>
      <c r="E1" s="27"/>
      <c r="F1" s="27"/>
      <c r="G1" s="27"/>
      <c r="H1" s="27"/>
      <c r="I1" s="28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3.5" customHeight="1">
      <c r="A2" s="4"/>
      <c r="B2" s="4"/>
      <c r="C2" s="4"/>
      <c r="D2" s="4"/>
      <c r="E2" s="4"/>
      <c r="F2" s="29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30" t="s">
        <v>47</v>
      </c>
      <c r="B3" s="30" t="s">
        <v>48</v>
      </c>
      <c r="C3" s="30" t="s">
        <v>49</v>
      </c>
      <c r="D3" s="30" t="s">
        <v>50</v>
      </c>
      <c r="E3" s="30" t="s">
        <v>51</v>
      </c>
      <c r="F3" s="31"/>
      <c r="G3" s="30"/>
      <c r="H3" s="30"/>
      <c r="I3" s="30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32">
        <f>SUMIF(D7:D996,"Income",F7:F996)+SUMIF(D7:D996,"Fundraiser",F7:F996)</f>
        <v>2109</v>
      </c>
      <c r="B4" s="33">
        <f>SUMIF(D7:D996,"Expense",F7:F996)</f>
        <v>2139</v>
      </c>
      <c r="C4" s="34">
        <f>A4-B4</f>
        <v>-30</v>
      </c>
      <c r="D4" s="35">
        <f>IFERROR(AVERAGE(F7:F996),0)</f>
        <v>708</v>
      </c>
      <c r="E4" s="36">
        <f>COUNTIF(I7:I996,"Pending")</f>
        <v>0</v>
      </c>
      <c r="F4" s="29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7.5" customHeight="1">
      <c r="A5" s="4"/>
      <c r="B5" s="4"/>
      <c r="C5" s="4"/>
      <c r="D5" s="4"/>
      <c r="E5" s="4"/>
      <c r="F5" s="29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37" t="s">
        <v>52</v>
      </c>
      <c r="B6" s="37" t="s">
        <v>53</v>
      </c>
      <c r="C6" s="37" t="s">
        <v>12</v>
      </c>
      <c r="D6" s="37" t="s">
        <v>54</v>
      </c>
      <c r="E6" s="37" t="s">
        <v>55</v>
      </c>
      <c r="F6" s="38" t="s">
        <v>56</v>
      </c>
      <c r="G6" s="37" t="s">
        <v>57</v>
      </c>
      <c r="H6" s="37" t="s">
        <v>58</v>
      </c>
      <c r="I6" s="37" t="s">
        <v>5</v>
      </c>
      <c r="J6" s="5" t="s">
        <v>59</v>
      </c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9.5" customHeight="1">
      <c r="A7" s="39"/>
      <c r="B7" s="40" t="s">
        <v>60</v>
      </c>
      <c r="C7" s="40" t="s">
        <v>61</v>
      </c>
      <c r="D7" s="40" t="s">
        <v>62</v>
      </c>
      <c r="E7" s="40" t="s">
        <v>63</v>
      </c>
      <c r="F7" s="41">
        <v>920.0</v>
      </c>
      <c r="G7" s="40" t="s">
        <v>24</v>
      </c>
      <c r="H7" s="40"/>
      <c r="I7" s="40" t="s">
        <v>64</v>
      </c>
      <c r="J7" s="42">
        <f t="array" ref="J7">IF(G7="","",IFERROR(LET(ev_cost,INDEX(Events!$G$5:$G$506,MATCH(G7,Events!$A$5:$A$506,0)),ev_split,INDEX(Events!$I$5:$I$506,MATCH(G7,Events!$A$5:$A$506,0)),att_offset,MATCH(G7,Attendance!$B$3:$AZ$3,0),attendees,COUNTIF(INDEX(Attendance!$B$7:$AZ$206,0,att_offset),"1"),IF(ev_split="Equal Split",ev_cost/MAX(1,COUNTA(Roster!$A$5:$A$204)),ev_cost/MAX(1,attendees))),"N/A"))</f>
        <v>48.51851852</v>
      </c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9.5" customHeight="1">
      <c r="A8" s="39"/>
      <c r="B8" s="40" t="s">
        <v>65</v>
      </c>
      <c r="C8" s="43" t="s">
        <v>61</v>
      </c>
      <c r="D8" s="40" t="s">
        <v>62</v>
      </c>
      <c r="E8" s="40" t="s">
        <v>63</v>
      </c>
      <c r="F8" s="41">
        <v>1150.0</v>
      </c>
      <c r="G8" s="40" t="s">
        <v>28</v>
      </c>
      <c r="H8" s="40"/>
      <c r="I8" s="40" t="s">
        <v>64</v>
      </c>
      <c r="J8" s="42">
        <f t="array" ref="J8">IF(G8="","",IFERROR(LET(ev_cost,INDEX(Events!$G$5:$G$506,MATCH(G8,Events!$A$5:$A$506,0)),ev_split,INDEX(Events!$I$5:$I$506,MATCH(G8,Events!$A$5:$A$506,0)),att_offset,MATCH(G8,Attendance!$B$3:$AZ$3,0),attendees,COUNTIF(INDEX(Attendance!$B$7:$AZ$206,0,att_offset),"1"),IF(ev_split="Equal Split",ev_cost/MAX(1,COUNTA(Roster!$A$5:$A$204)),ev_cost/MAX(1,attendees))),"N/A"))</f>
        <v>38.88888889</v>
      </c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9.5" customHeight="1">
      <c r="A9" s="39"/>
      <c r="B9" s="40" t="s">
        <v>34</v>
      </c>
      <c r="C9" s="40" t="s">
        <v>66</v>
      </c>
      <c r="D9" s="40" t="s">
        <v>32</v>
      </c>
      <c r="E9" s="40" t="s">
        <v>63</v>
      </c>
      <c r="F9" s="41">
        <v>956.0</v>
      </c>
      <c r="G9" s="40" t="s">
        <v>34</v>
      </c>
      <c r="H9" s="40"/>
      <c r="I9" s="40" t="s">
        <v>64</v>
      </c>
      <c r="J9" s="42">
        <f t="array" ref="J9">IF(G9="","",IFERROR(LET(ev_cost,INDEX(Events!$G$5:$G$506,MATCH(G9,Events!$A$5:$A$506,0)),ev_split,INDEX(Events!$I$5:$I$506,MATCH(G9,Events!$A$5:$A$506,0)),att_offset,MATCH(G9,Attendance!$B$3:$AZ$3,0),attendees,COUNTIF(INDEX(Attendance!$B$7:$AZ$206,0,att_offset),"1"),IF(ev_split="Equal Split",ev_cost/MAX(1,COUNTA(Roster!$A$5:$A$204)),ev_cost/MAX(1,attendees))),"N/A"))</f>
        <v>-956</v>
      </c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9.5" customHeight="1">
      <c r="A10" s="44"/>
      <c r="B10" s="45" t="s">
        <v>31</v>
      </c>
      <c r="C10" s="45" t="s">
        <v>66</v>
      </c>
      <c r="D10" s="45" t="s">
        <v>32</v>
      </c>
      <c r="E10" s="45" t="s">
        <v>63</v>
      </c>
      <c r="F10" s="46">
        <v>123.0</v>
      </c>
      <c r="G10" s="45" t="s">
        <v>31</v>
      </c>
      <c r="H10" s="45"/>
      <c r="I10" s="45" t="s">
        <v>64</v>
      </c>
      <c r="J10" s="42">
        <f t="array" ref="J10">IF(G10="","",IFERROR(LET(ev_cost,INDEX(Events!$G$5:$G$506,MATCH(G10,Events!$A$5:$A$506,0)),ev_split,INDEX(Events!$I$5:$I$506,MATCH(G10,Events!$A$5:$A$506,0)),att_offset,MATCH(G10,Attendance!$B$3:$AZ$3,0),attendees,COUNTIF(INDEX(Attendance!$B$7:$AZ$206,0,att_offset),"1"),IF(ev_split="Equal Split",ev_cost/MAX(1,COUNTA(Roster!$A$5:$A$204)),ev_cost/MAX(1,attendees))),"N/A"))</f>
        <v>-123</v>
      </c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9.5" customHeight="1">
      <c r="A11" s="47"/>
      <c r="B11" s="48" t="s">
        <v>67</v>
      </c>
      <c r="C11" s="48" t="s">
        <v>66</v>
      </c>
      <c r="D11" s="48" t="s">
        <v>32</v>
      </c>
      <c r="E11" s="48" t="s">
        <v>63</v>
      </c>
      <c r="F11" s="49">
        <v>1030.0</v>
      </c>
      <c r="G11" s="48" t="s">
        <v>35</v>
      </c>
      <c r="H11" s="48"/>
      <c r="I11" s="48" t="s">
        <v>64</v>
      </c>
      <c r="J11" s="42">
        <f t="array" ref="J11">IF(G11="","",IFERROR(LET(ev_cost,INDEX(Events!$G$5:$G$506,MATCH(G11,Events!$A$5:$A$506,0)),ev_split,INDEX(Events!$I$5:$I$506,MATCH(G11,Events!$A$5:$A$506,0)),att_offset,MATCH(G11,Attendance!$B$3:$AZ$3,0),attendees,COUNTIF(INDEX(Attendance!$B$7:$AZ$206,0,att_offset),"1"),IF(ev_split="Equal Split",ev_cost/MAX(1,COUNTA(Roster!$A$5:$A$204)),ev_cost/MAX(1,attendees))),"N/A"))</f>
        <v>1030</v>
      </c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9.5" customHeight="1">
      <c r="A12" s="44"/>
      <c r="B12" s="50" t="s">
        <v>68</v>
      </c>
      <c r="C12" s="50" t="s">
        <v>69</v>
      </c>
      <c r="D12" s="50" t="s">
        <v>62</v>
      </c>
      <c r="E12" s="50" t="s">
        <v>63</v>
      </c>
      <c r="F12" s="49">
        <v>69.0</v>
      </c>
      <c r="G12" s="50" t="s">
        <v>22</v>
      </c>
      <c r="H12" s="45"/>
      <c r="I12" s="50" t="s">
        <v>64</v>
      </c>
      <c r="J12" s="42">
        <f t="array" ref="J12">IF(G12="","",IFERROR(LET(ev_cost,INDEX(Events!$G$5:$G$506,MATCH(G12,Events!$A$5:$A$506,0)),ev_split,INDEX(Events!$I$5:$I$506,MATCH(G12,Events!$A$5:$A$506,0)),att_offset,MATCH(G12,Attendance!$B$3:$AZ$3,0),attendees,COUNTIF(INDEX(Attendance!$B$7:$AZ$206,0,att_offset),"1"),IF(ev_split="Equal Split",ev_cost/MAX(1,COUNTA(Roster!$A$5:$A$204)),ev_cost/MAX(1,attendees))),"N/A"))</f>
        <v>2.225806452</v>
      </c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9.5" customHeight="1">
      <c r="A13" s="47"/>
      <c r="B13" s="48"/>
      <c r="C13" s="48"/>
      <c r="D13" s="48"/>
      <c r="E13" s="48"/>
      <c r="F13" s="51"/>
      <c r="G13" s="48"/>
      <c r="H13" s="48"/>
      <c r="I13" s="48"/>
      <c r="J13" s="42" t="str">
        <f t="array" ref="J13">IF(G13="","",IFERROR(LET(ev_cost,INDEX(Events!$G$5:$G$506,MATCH(G13,Events!$A$5:$A$506,0)),ev_split,INDEX(Events!$I$5:$I$506,MATCH(G13,Events!$A$5:$A$506,0)),att_offset,MATCH(G13,Attendance!$B$3:$AZ$3,0),attendees,COUNTIF(INDEX(Attendance!$B$7:$AZ$206,0,att_offset),"1"),IF(ev_split="Equal Split",ev_cost/MAX(1,COUNTA(Roster!$A$5:$A$204)),ev_cost/MAX(1,attendees))),"N/A"))</f>
        <v/>
      </c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9.5" customHeight="1">
      <c r="A14" s="44"/>
      <c r="B14" s="45"/>
      <c r="C14" s="45"/>
      <c r="D14" s="45"/>
      <c r="E14" s="45"/>
      <c r="F14" s="46"/>
      <c r="G14" s="45"/>
      <c r="H14" s="45"/>
      <c r="I14" s="45"/>
      <c r="J14" s="42" t="str">
        <f t="array" ref="J14">IF(G14="","",IFERROR(LET(ev_cost,INDEX(Events!$G$5:$G$506,MATCH(G14,Events!$A$5:$A$506,0)),ev_split,INDEX(Events!$I$5:$I$506,MATCH(G14,Events!$A$5:$A$506,0)),att_offset,MATCH(G14,Attendance!$B$3:$AZ$3,0),attendees,COUNTIF(INDEX(Attendance!$B$7:$AZ$206,0,att_offset),"1"),IF(ev_split="Equal Split",ev_cost/MAX(1,COUNTA(Roster!$A$5:$A$204)),ev_cost/MAX(1,attendees))),"N/A"))</f>
        <v/>
      </c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9.5" customHeight="1">
      <c r="A15" s="47"/>
      <c r="B15" s="48"/>
      <c r="C15" s="48"/>
      <c r="D15" s="48"/>
      <c r="E15" s="48"/>
      <c r="F15" s="51"/>
      <c r="G15" s="48"/>
      <c r="H15" s="48"/>
      <c r="I15" s="48"/>
      <c r="J15" s="42" t="str">
        <f t="array" ref="J15">IF(G15="","",IFERROR(LET(ev_cost,INDEX(Events!$G$5:$G$506,MATCH(G15,Events!$A$5:$A$506,0)),ev_split,INDEX(Events!$I$5:$I$506,MATCH(G15,Events!$A$5:$A$506,0)),att_offset,MATCH(G15,Attendance!$B$3:$AZ$3,0),attendees,COUNTIF(INDEX(Attendance!$B$7:$AZ$206,0,att_offset),"1"),IF(ev_split="Equal Split",ev_cost/MAX(1,COUNTA(Roster!$A$5:$A$204)),ev_cost/MAX(1,attendees))),"N/A"))</f>
        <v/>
      </c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9.5" customHeight="1">
      <c r="A16" s="44"/>
      <c r="B16" s="45"/>
      <c r="C16" s="45"/>
      <c r="D16" s="45"/>
      <c r="E16" s="45"/>
      <c r="F16" s="46"/>
      <c r="G16" s="45"/>
      <c r="H16" s="45"/>
      <c r="I16" s="45"/>
      <c r="J16" s="42" t="str">
        <f t="array" ref="J16">IF(G16="","",IFERROR(LET(ev_cost,INDEX(Events!$G$5:$G$506,MATCH(G16,Events!$A$5:$A$506,0)),ev_split,INDEX(Events!$I$5:$I$506,MATCH(G16,Events!$A$5:$A$506,0)),att_offset,MATCH(G16,Attendance!$B$3:$AZ$3,0),attendees,COUNTIF(INDEX(Attendance!$B$7:$AZ$206,0,att_offset),"1"),IF(ev_split="Equal Split",ev_cost/MAX(1,COUNTA(Roster!$A$5:$A$204)),ev_cost/MAX(1,attendees))),"N/A"))</f>
        <v/>
      </c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9.5" customHeight="1">
      <c r="A17" s="47"/>
      <c r="B17" s="48"/>
      <c r="C17" s="48"/>
      <c r="D17" s="48"/>
      <c r="E17" s="48"/>
      <c r="F17" s="51"/>
      <c r="G17" s="48"/>
      <c r="H17" s="48"/>
      <c r="I17" s="48"/>
      <c r="J17" s="42" t="str">
        <f t="array" ref="J17">IF(G17="","",IFERROR(LET(ev_cost,INDEX(Events!$G$5:$G$506,MATCH(G17,Events!$A$5:$A$506,0)),ev_split,INDEX(Events!$I$5:$I$506,MATCH(G17,Events!$A$5:$A$506,0)),att_offset,MATCH(G17,Attendance!$B$3:$AZ$3,0),attendees,COUNTIF(INDEX(Attendance!$B$7:$AZ$206,0,att_offset),"1"),IF(ev_split="Equal Split",ev_cost/MAX(1,COUNTA(Roster!$A$5:$A$204)),ev_cost/MAX(1,attendees))),"N/A"))</f>
        <v/>
      </c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9.5" customHeight="1">
      <c r="A18" s="44"/>
      <c r="B18" s="45"/>
      <c r="C18" s="45"/>
      <c r="D18" s="45"/>
      <c r="E18" s="45"/>
      <c r="F18" s="46"/>
      <c r="G18" s="45"/>
      <c r="H18" s="45"/>
      <c r="I18" s="45"/>
      <c r="J18" s="42" t="str">
        <f t="array" ref="J18">IF(G18="","",IFERROR(LET(ev_cost,INDEX(Events!$G$5:$G$506,MATCH(G18,Events!$A$5:$A$506,0)),ev_split,INDEX(Events!$I$5:$I$506,MATCH(G18,Events!$A$5:$A$506,0)),att_offset,MATCH(G18,Attendance!$B$3:$AZ$3,0),attendees,COUNTIF(INDEX(Attendance!$B$7:$AZ$206,0,att_offset),"1"),IF(ev_split="Equal Split",ev_cost/MAX(1,COUNTA(Roster!$A$5:$A$204)),ev_cost/MAX(1,attendees))),"N/A"))</f>
        <v/>
      </c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9.5" customHeight="1">
      <c r="A19" s="47"/>
      <c r="B19" s="48"/>
      <c r="C19" s="48"/>
      <c r="D19" s="48"/>
      <c r="E19" s="48"/>
      <c r="F19" s="51"/>
      <c r="G19" s="48"/>
      <c r="H19" s="48"/>
      <c r="I19" s="48"/>
      <c r="J19" s="42" t="str">
        <f t="array" ref="J19">IF(G19="","",IFERROR(LET(ev_cost,INDEX(Events!$G$5:$G$506,MATCH(G19,Events!$A$5:$A$506,0)),ev_split,INDEX(Events!$I$5:$I$506,MATCH(G19,Events!$A$5:$A$506,0)),att_offset,MATCH(G19,Attendance!$B$3:$AZ$3,0),attendees,COUNTIF(INDEX(Attendance!$B$7:$AZ$206,0,att_offset),"1"),IF(ev_split="Equal Split",ev_cost/MAX(1,COUNTA(Roster!$A$5:$A$204)),ev_cost/MAX(1,attendees))),"N/A"))</f>
        <v/>
      </c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9.5" customHeight="1">
      <c r="A20" s="44"/>
      <c r="B20" s="45"/>
      <c r="C20" s="45"/>
      <c r="D20" s="45"/>
      <c r="E20" s="45"/>
      <c r="F20" s="46"/>
      <c r="G20" s="45"/>
      <c r="H20" s="45"/>
      <c r="I20" s="45"/>
      <c r="J20" s="42" t="str">
        <f t="array" ref="J20">IF(G20="","",IFERROR(LET(ev_cost,INDEX(Events!$G$5:$G$506,MATCH(G20,Events!$A$5:$A$506,0)),ev_split,INDEX(Events!$I$5:$I$506,MATCH(G20,Events!$A$5:$A$506,0)),att_offset,MATCH(G20,Attendance!$B$3:$AZ$3,0),attendees,COUNTIF(INDEX(Attendance!$B$7:$AZ$206,0,att_offset),"1"),IF(ev_split="Equal Split",ev_cost/MAX(1,COUNTA(Roster!$A$5:$A$204)),ev_cost/MAX(1,attendees))),"N/A"))</f>
        <v/>
      </c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9.5" customHeight="1">
      <c r="A21" s="47"/>
      <c r="B21" s="48"/>
      <c r="C21" s="48"/>
      <c r="D21" s="48"/>
      <c r="E21" s="48"/>
      <c r="F21" s="51"/>
      <c r="G21" s="48"/>
      <c r="H21" s="48"/>
      <c r="I21" s="48"/>
      <c r="J21" s="42" t="str">
        <f t="array" ref="J21">IF(G21="","",IFERROR(LET(ev_cost,INDEX(Events!$G$5:$G$506,MATCH(G21,Events!$A$5:$A$506,0)),ev_split,INDEX(Events!$I$5:$I$506,MATCH(G21,Events!$A$5:$A$506,0)),att_offset,MATCH(G21,Attendance!$B$3:$AZ$3,0),attendees,COUNTIF(INDEX(Attendance!$B$7:$AZ$206,0,att_offset),"1"),IF(ev_split="Equal Split",ev_cost/MAX(1,COUNTA(Roster!$A$5:$A$204)),ev_cost/MAX(1,attendees))),"N/A"))</f>
        <v/>
      </c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9.5" customHeight="1">
      <c r="A22" s="44"/>
      <c r="B22" s="45"/>
      <c r="C22" s="45"/>
      <c r="D22" s="45"/>
      <c r="E22" s="45"/>
      <c r="F22" s="46"/>
      <c r="G22" s="45"/>
      <c r="H22" s="45"/>
      <c r="I22" s="45"/>
      <c r="J22" s="42" t="str">
        <f t="array" ref="J22">IF(G22="","",IFERROR(LET(ev_cost,INDEX(Events!$G$5:$G$506,MATCH(G22,Events!$A$5:$A$506,0)),ev_split,INDEX(Events!$I$5:$I$506,MATCH(G22,Events!$A$5:$A$506,0)),att_offset,MATCH(G22,Attendance!$B$3:$AZ$3,0),attendees,COUNTIF(INDEX(Attendance!$B$7:$AZ$206,0,att_offset),"1"),IF(ev_split="Equal Split",ev_cost/MAX(1,COUNTA(Roster!$A$5:$A$204)),ev_cost/MAX(1,attendees))),"N/A"))</f>
        <v/>
      </c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9.5" customHeight="1">
      <c r="A23" s="47"/>
      <c r="B23" s="48"/>
      <c r="C23" s="48"/>
      <c r="D23" s="48"/>
      <c r="E23" s="48"/>
      <c r="F23" s="51"/>
      <c r="G23" s="48"/>
      <c r="H23" s="48"/>
      <c r="I23" s="48"/>
      <c r="J23" s="42" t="str">
        <f t="array" ref="J23">IF(G23="","",IFERROR(LET(ev_cost,INDEX(Events!$G$5:$G$506,MATCH(G23,Events!$A$5:$A$506,0)),ev_split,INDEX(Events!$I$5:$I$506,MATCH(G23,Events!$A$5:$A$506,0)),att_offset,MATCH(G23,Attendance!$B$3:$AZ$3,0),attendees,COUNTIF(INDEX(Attendance!$B$7:$AZ$206,0,att_offset),"1"),IF(ev_split="Equal Split",ev_cost/MAX(1,COUNTA(Roster!$A$5:$A$204)),ev_cost/MAX(1,attendees))),"N/A"))</f>
        <v/>
      </c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9.5" customHeight="1">
      <c r="A24" s="44"/>
      <c r="B24" s="45"/>
      <c r="C24" s="45"/>
      <c r="D24" s="45"/>
      <c r="E24" s="45"/>
      <c r="F24" s="46"/>
      <c r="G24" s="45"/>
      <c r="H24" s="45"/>
      <c r="I24" s="45"/>
      <c r="J24" s="42" t="str">
        <f t="array" ref="J24">IF(G24="","",IFERROR(LET(ev_cost,INDEX(Events!$G$5:$G$506,MATCH(G24,Events!$A$5:$A$506,0)),ev_split,INDEX(Events!$I$5:$I$506,MATCH(G24,Events!$A$5:$A$506,0)),att_offset,MATCH(G24,Attendance!$B$3:$AZ$3,0),attendees,COUNTIF(INDEX(Attendance!$B$7:$AZ$206,0,att_offset),"1"),IF(ev_split="Equal Split",ev_cost/MAX(1,COUNTA(Roster!$A$5:$A$204)),ev_cost/MAX(1,attendees))),"N/A"))</f>
        <v/>
      </c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9.5" customHeight="1">
      <c r="A25" s="47"/>
      <c r="B25" s="48"/>
      <c r="C25" s="48"/>
      <c r="D25" s="48"/>
      <c r="E25" s="48"/>
      <c r="F25" s="51"/>
      <c r="G25" s="48"/>
      <c r="H25" s="48"/>
      <c r="I25" s="48"/>
      <c r="J25" s="42" t="str">
        <f t="array" ref="J25">IF(G25="","",IFERROR(LET(ev_cost,INDEX(Events!$G$5:$G$506,MATCH(G25,Events!$A$5:$A$506,0)),ev_split,INDEX(Events!$I$5:$I$506,MATCH(G25,Events!$A$5:$A$506,0)),att_offset,MATCH(G25,Attendance!$B$3:$AZ$3,0),attendees,COUNTIF(INDEX(Attendance!$B$7:$AZ$206,0,att_offset),"1"),IF(ev_split="Equal Split",ev_cost/MAX(1,COUNTA(Roster!$A$5:$A$204)),ev_cost/MAX(1,attendees))),"N/A"))</f>
        <v/>
      </c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9.5" customHeight="1">
      <c r="A26" s="44"/>
      <c r="B26" s="45"/>
      <c r="C26" s="45"/>
      <c r="D26" s="45"/>
      <c r="E26" s="45"/>
      <c r="F26" s="46"/>
      <c r="G26" s="45"/>
      <c r="H26" s="45"/>
      <c r="I26" s="45"/>
      <c r="J26" s="42" t="str">
        <f t="array" ref="J26">IF(G26="","",IFERROR(LET(ev_cost,INDEX(Events!$G$5:$G$506,MATCH(G26,Events!$A$5:$A$506,0)),ev_split,INDEX(Events!$I$5:$I$506,MATCH(G26,Events!$A$5:$A$506,0)),att_offset,MATCH(G26,Attendance!$B$3:$AZ$3,0),attendees,COUNTIF(INDEX(Attendance!$B$7:$AZ$206,0,att_offset),"1"),IF(ev_split="Equal Split",ev_cost/MAX(1,COUNTA(Roster!$A$5:$A$204)),ev_cost/MAX(1,attendees))),"N/A"))</f>
        <v/>
      </c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47"/>
      <c r="B27" s="48"/>
      <c r="C27" s="48"/>
      <c r="D27" s="48"/>
      <c r="E27" s="48"/>
      <c r="F27" s="51"/>
      <c r="G27" s="48"/>
      <c r="H27" s="48"/>
      <c r="I27" s="48"/>
      <c r="J27" s="42" t="str">
        <f t="array" ref="J27">IF(G27="","",IFERROR(LET(ev_cost,INDEX(Events!$G$5:$G$506,MATCH(G27,Events!$A$5:$A$506,0)),ev_split,INDEX(Events!$I$5:$I$506,MATCH(G27,Events!$A$5:$A$506,0)),att_offset,MATCH(G27,Attendance!$B$3:$AZ$3,0),attendees,COUNTIF(INDEX(Attendance!$B$7:$AZ$206,0,att_offset),"1"),IF(ev_split="Equal Split",ev_cost/MAX(1,COUNTA(Roster!$A$5:$A$204)),ev_cost/MAX(1,attendees))),"N/A"))</f>
        <v/>
      </c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44"/>
      <c r="B28" s="45"/>
      <c r="C28" s="45"/>
      <c r="D28" s="45"/>
      <c r="E28" s="45"/>
      <c r="F28" s="46"/>
      <c r="G28" s="45"/>
      <c r="H28" s="45"/>
      <c r="I28" s="45"/>
      <c r="J28" s="42" t="str">
        <f t="array" ref="J28">IF(G28="","",IFERROR(LET(ev_cost,INDEX(Events!$G$5:$G$506,MATCH(G28,Events!$A$5:$A$506,0)),ev_split,INDEX(Events!$I$5:$I$506,MATCH(G28,Events!$A$5:$A$506,0)),att_offset,MATCH(G28,Attendance!$B$3:$AZ$3,0),attendees,COUNTIF(INDEX(Attendance!$B$7:$AZ$206,0,att_offset),"1"),IF(ev_split="Equal Split",ev_cost/MAX(1,COUNTA(Roster!$A$5:$A$204)),ev_cost/MAX(1,attendees))),"N/A"))</f>
        <v/>
      </c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47"/>
      <c r="B29" s="48"/>
      <c r="C29" s="48"/>
      <c r="D29" s="48"/>
      <c r="E29" s="48"/>
      <c r="F29" s="51"/>
      <c r="G29" s="48"/>
      <c r="H29" s="48"/>
      <c r="I29" s="48"/>
      <c r="J29" s="42" t="str">
        <f t="array" ref="J29">IF(G29="","",IFERROR(LET(ev_cost,INDEX(Events!$G$5:$G$506,MATCH(G29,Events!$A$5:$A$506,0)),ev_split,INDEX(Events!$I$5:$I$506,MATCH(G29,Events!$A$5:$A$506,0)),att_offset,MATCH(G29,Attendance!$B$3:$AZ$3,0),attendees,COUNTIF(INDEX(Attendance!$B$7:$AZ$206,0,att_offset),"1"),IF(ev_split="Equal Split",ev_cost/MAX(1,COUNTA(Roster!$A$5:$A$204)),ev_cost/MAX(1,attendees))),"N/A"))</f>
        <v/>
      </c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44"/>
      <c r="B30" s="45"/>
      <c r="C30" s="45"/>
      <c r="D30" s="45"/>
      <c r="E30" s="45"/>
      <c r="F30" s="46"/>
      <c r="G30" s="45"/>
      <c r="H30" s="45"/>
      <c r="I30" s="45"/>
      <c r="J30" s="42" t="str">
        <f t="array" ref="J30">IF(G30="","",IFERROR(LET(ev_cost,INDEX(Events!$G$5:$G$506,MATCH(G30,Events!$A$5:$A$506,0)),ev_split,INDEX(Events!$I$5:$I$506,MATCH(G30,Events!$A$5:$A$506,0)),att_offset,MATCH(G30,Attendance!$B$3:$AZ$3,0),attendees,COUNTIF(INDEX(Attendance!$B$7:$AZ$206,0,att_offset),"1"),IF(ev_split="Equal Split",ev_cost/MAX(1,COUNTA(Roster!$A$5:$A$204)),ev_cost/MAX(1,attendees))),"N/A"))</f>
        <v/>
      </c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47"/>
      <c r="B31" s="48"/>
      <c r="C31" s="48"/>
      <c r="D31" s="48"/>
      <c r="E31" s="48"/>
      <c r="F31" s="51"/>
      <c r="G31" s="48"/>
      <c r="H31" s="48"/>
      <c r="I31" s="48"/>
      <c r="J31" s="42" t="str">
        <f t="array" ref="J31">IF(G31="","",IFERROR(LET(ev_cost,INDEX(Events!$G$5:$G$506,MATCH(G31,Events!$A$5:$A$506,0)),ev_split,INDEX(Events!$I$5:$I$506,MATCH(G31,Events!$A$5:$A$506,0)),att_offset,MATCH(G31,Attendance!$B$3:$AZ$3,0),attendees,COUNTIF(INDEX(Attendance!$B$7:$AZ$206,0,att_offset),"1"),IF(ev_split="Equal Split",ev_cost/MAX(1,COUNTA(Roster!$A$5:$A$204)),ev_cost/MAX(1,attendees))),"N/A"))</f>
        <v/>
      </c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44"/>
      <c r="B32" s="45"/>
      <c r="C32" s="45"/>
      <c r="D32" s="45"/>
      <c r="E32" s="45"/>
      <c r="F32" s="46"/>
      <c r="G32" s="45"/>
      <c r="H32" s="45"/>
      <c r="I32" s="45"/>
      <c r="J32" s="42" t="str">
        <f t="array" ref="J32">IF(G32="","",IFERROR(LET(ev_cost,INDEX(Events!$G$5:$G$506,MATCH(G32,Events!$A$5:$A$506,0)),ev_split,INDEX(Events!$I$5:$I$506,MATCH(G32,Events!$A$5:$A$506,0)),att_offset,MATCH(G32,Attendance!$B$3:$AZ$3,0),attendees,COUNTIF(INDEX(Attendance!$B$7:$AZ$206,0,att_offset),"1"),IF(ev_split="Equal Split",ev_cost/MAX(1,COUNTA(Roster!$A$5:$A$204)),ev_cost/MAX(1,attendees))),"N/A"))</f>
        <v/>
      </c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47"/>
      <c r="B33" s="48"/>
      <c r="C33" s="48"/>
      <c r="D33" s="48"/>
      <c r="E33" s="48"/>
      <c r="F33" s="51"/>
      <c r="G33" s="48"/>
      <c r="H33" s="48"/>
      <c r="I33" s="48"/>
      <c r="J33" s="42" t="str">
        <f t="array" ref="J33">IF(G33="","",IFERROR(LET(ev_cost,INDEX(Events!$G$5:$G$506,MATCH(G33,Events!$A$5:$A$506,0)),ev_split,INDEX(Events!$I$5:$I$506,MATCH(G33,Events!$A$5:$A$506,0)),att_offset,MATCH(G33,Attendance!$B$3:$AZ$3,0),attendees,COUNTIF(INDEX(Attendance!$B$7:$AZ$206,0,att_offset),"1"),IF(ev_split="Equal Split",ev_cost/MAX(1,COUNTA(Roster!$A$5:$A$204)),ev_cost/MAX(1,attendees))),"N/A"))</f>
        <v/>
      </c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44"/>
      <c r="B34" s="45"/>
      <c r="C34" s="45"/>
      <c r="D34" s="45"/>
      <c r="E34" s="45"/>
      <c r="F34" s="46"/>
      <c r="G34" s="45"/>
      <c r="H34" s="45"/>
      <c r="I34" s="45"/>
      <c r="J34" s="42" t="str">
        <f t="array" ref="J34">IF(G34="","",IFERROR(LET(ev_cost,INDEX(Events!$G$5:$G$506,MATCH(G34,Events!$A$5:$A$506,0)),ev_split,INDEX(Events!$I$5:$I$506,MATCH(G34,Events!$A$5:$A$506,0)),att_offset,MATCH(G34,Attendance!$B$3:$AZ$3,0),attendees,COUNTIF(INDEX(Attendance!$B$7:$AZ$206,0,att_offset),"1"),IF(ev_split="Equal Split",ev_cost/MAX(1,COUNTA(Roster!$A$5:$A$204)),ev_cost/MAX(1,attendees))),"N/A"))</f>
        <v/>
      </c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47"/>
      <c r="B35" s="48"/>
      <c r="C35" s="48"/>
      <c r="D35" s="48"/>
      <c r="E35" s="48"/>
      <c r="F35" s="51"/>
      <c r="G35" s="48"/>
      <c r="H35" s="48"/>
      <c r="I35" s="48"/>
      <c r="J35" s="42" t="str">
        <f t="array" ref="J35">IF(G35="","",IFERROR(LET(ev_cost,INDEX(Events!$G$5:$G$506,MATCH(G35,Events!$A$5:$A$506,0)),ev_split,INDEX(Events!$I$5:$I$506,MATCH(G35,Events!$A$5:$A$506,0)),att_offset,MATCH(G35,Attendance!$B$3:$AZ$3,0),attendees,COUNTIF(INDEX(Attendance!$B$7:$AZ$206,0,att_offset),"1"),IF(ev_split="Equal Split",ev_cost/MAX(1,COUNTA(Roster!$A$5:$A$204)),ev_cost/MAX(1,attendees))),"N/A"))</f>
        <v/>
      </c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44"/>
      <c r="B36" s="45"/>
      <c r="C36" s="45"/>
      <c r="D36" s="45"/>
      <c r="E36" s="45"/>
      <c r="F36" s="46"/>
      <c r="G36" s="45"/>
      <c r="H36" s="45"/>
      <c r="I36" s="45"/>
      <c r="J36" s="42" t="str">
        <f t="array" ref="J36">IF(G36="","",IFERROR(LET(ev_cost,INDEX(Events!$G$5:$G$506,MATCH(G36,Events!$A$5:$A$506,0)),ev_split,INDEX(Events!$I$5:$I$506,MATCH(G36,Events!$A$5:$A$506,0)),att_offset,MATCH(G36,Attendance!$B$3:$AZ$3,0),attendees,COUNTIF(INDEX(Attendance!$B$7:$AZ$206,0,att_offset),"1"),IF(ev_split="Equal Split",ev_cost/MAX(1,COUNTA(Roster!$A$5:$A$204)),ev_cost/MAX(1,attendees))),"N/A"))</f>
        <v/>
      </c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47"/>
      <c r="B37" s="48"/>
      <c r="C37" s="48"/>
      <c r="D37" s="48"/>
      <c r="E37" s="48"/>
      <c r="F37" s="51"/>
      <c r="G37" s="48"/>
      <c r="H37" s="48"/>
      <c r="I37" s="48"/>
      <c r="J37" s="42" t="str">
        <f t="array" ref="J37">IF(G37="","",IFERROR(LET(ev_cost,INDEX(Events!$G$5:$G$506,MATCH(G37,Events!$A$5:$A$506,0)),ev_split,INDEX(Events!$I$5:$I$506,MATCH(G37,Events!$A$5:$A$506,0)),att_offset,MATCH(G37,Attendance!$B$3:$AZ$3,0),attendees,COUNTIF(INDEX(Attendance!$B$7:$AZ$206,0,att_offset),"1"),IF(ev_split="Equal Split",ev_cost/MAX(1,COUNTA(Roster!$A$5:$A$204)),ev_cost/MAX(1,attendees))),"N/A"))</f>
        <v/>
      </c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44"/>
      <c r="B38" s="45"/>
      <c r="C38" s="45"/>
      <c r="D38" s="45"/>
      <c r="E38" s="45"/>
      <c r="F38" s="46"/>
      <c r="G38" s="45"/>
      <c r="H38" s="45"/>
      <c r="I38" s="45"/>
      <c r="J38" s="42" t="str">
        <f t="array" ref="J38">IF(G38="","",IFERROR(LET(ev_cost,INDEX(Events!$G$5:$G$506,MATCH(G38,Events!$A$5:$A$506,0)),ev_split,INDEX(Events!$I$5:$I$506,MATCH(G38,Events!$A$5:$A$506,0)),att_offset,MATCH(G38,Attendance!$B$3:$AZ$3,0),attendees,COUNTIF(INDEX(Attendance!$B$7:$AZ$206,0,att_offset),"1"),IF(ev_split="Equal Split",ev_cost/MAX(1,COUNTA(Roster!$A$5:$A$204)),ev_cost/MAX(1,attendees))),"N/A"))</f>
        <v/>
      </c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47"/>
      <c r="B39" s="48"/>
      <c r="C39" s="48"/>
      <c r="D39" s="48"/>
      <c r="E39" s="48"/>
      <c r="F39" s="51"/>
      <c r="G39" s="48"/>
      <c r="H39" s="48"/>
      <c r="I39" s="48"/>
      <c r="J39" s="42" t="str">
        <f t="array" ref="J39">IF(G39="","",IFERROR(LET(ev_cost,INDEX(Events!$G$5:$G$506,MATCH(G39,Events!$A$5:$A$506,0)),ev_split,INDEX(Events!$I$5:$I$506,MATCH(G39,Events!$A$5:$A$506,0)),att_offset,MATCH(G39,Attendance!$B$3:$AZ$3,0),attendees,COUNTIF(INDEX(Attendance!$B$7:$AZ$206,0,att_offset),"1"),IF(ev_split="Equal Split",ev_cost/MAX(1,COUNTA(Roster!$A$5:$A$204)),ev_cost/MAX(1,attendees))),"N/A"))</f>
        <v/>
      </c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44"/>
      <c r="B40" s="45"/>
      <c r="C40" s="45"/>
      <c r="D40" s="45"/>
      <c r="E40" s="45"/>
      <c r="F40" s="46"/>
      <c r="G40" s="45"/>
      <c r="H40" s="45"/>
      <c r="I40" s="45"/>
      <c r="J40" s="42" t="str">
        <f t="array" ref="J40">IF(G40="","",IFERROR(LET(ev_cost,INDEX(Events!$G$5:$G$506,MATCH(G40,Events!$A$5:$A$506,0)),ev_split,INDEX(Events!$I$5:$I$506,MATCH(G40,Events!$A$5:$A$506,0)),att_offset,MATCH(G40,Attendance!$B$3:$AZ$3,0),attendees,COUNTIF(INDEX(Attendance!$B$7:$AZ$206,0,att_offset),"1"),IF(ev_split="Equal Split",ev_cost/MAX(1,COUNTA(Roster!$A$5:$A$204)),ev_cost/MAX(1,attendees))),"N/A"))</f>
        <v/>
      </c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47"/>
      <c r="B41" s="48"/>
      <c r="C41" s="48"/>
      <c r="D41" s="48"/>
      <c r="E41" s="48"/>
      <c r="F41" s="51"/>
      <c r="G41" s="48"/>
      <c r="H41" s="48"/>
      <c r="I41" s="48"/>
      <c r="J41" s="42" t="str">
        <f t="array" ref="J41">IF(G41="","",IFERROR(LET(ev_cost,INDEX(Events!$G$5:$G$506,MATCH(G41,Events!$A$5:$A$506,0)),ev_split,INDEX(Events!$I$5:$I$506,MATCH(G41,Events!$A$5:$A$506,0)),att_offset,MATCH(G41,Attendance!$B$3:$AZ$3,0),attendees,COUNTIF(INDEX(Attendance!$B$7:$AZ$206,0,att_offset),"1"),IF(ev_split="Equal Split",ev_cost/MAX(1,COUNTA(Roster!$A$5:$A$204)),ev_cost/MAX(1,attendees))),"N/A"))</f>
        <v/>
      </c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44"/>
      <c r="B42" s="45"/>
      <c r="C42" s="45"/>
      <c r="D42" s="45"/>
      <c r="E42" s="45"/>
      <c r="F42" s="46"/>
      <c r="G42" s="45"/>
      <c r="H42" s="45"/>
      <c r="I42" s="45"/>
      <c r="J42" s="42" t="str">
        <f t="array" ref="J42">IF(G42="","",IFERROR(LET(ev_cost,INDEX(Events!$G$5:$G$506,MATCH(G42,Events!$A$5:$A$506,0)),ev_split,INDEX(Events!$I$5:$I$506,MATCH(G42,Events!$A$5:$A$506,0)),att_offset,MATCH(G42,Attendance!$B$3:$AZ$3,0),attendees,COUNTIF(INDEX(Attendance!$B$7:$AZ$206,0,att_offset),"1"),IF(ev_split="Equal Split",ev_cost/MAX(1,COUNTA(Roster!$A$5:$A$204)),ev_cost/MAX(1,attendees))),"N/A"))</f>
        <v/>
      </c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47"/>
      <c r="B43" s="48"/>
      <c r="C43" s="48"/>
      <c r="D43" s="48"/>
      <c r="E43" s="48"/>
      <c r="F43" s="51"/>
      <c r="G43" s="48"/>
      <c r="H43" s="48"/>
      <c r="I43" s="48"/>
      <c r="J43" s="42" t="str">
        <f t="array" ref="J43">IF(G43="","",IFERROR(LET(ev_cost,INDEX(Events!$G$5:$G$506,MATCH(G43,Events!$A$5:$A$506,0)),ev_split,INDEX(Events!$I$5:$I$506,MATCH(G43,Events!$A$5:$A$506,0)),att_offset,MATCH(G43,Attendance!$B$3:$AZ$3,0),attendees,COUNTIF(INDEX(Attendance!$B$7:$AZ$206,0,att_offset),"1"),IF(ev_split="Equal Split",ev_cost/MAX(1,COUNTA(Roster!$A$5:$A$204)),ev_cost/MAX(1,attendees))),"N/A"))</f>
        <v/>
      </c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44"/>
      <c r="B44" s="45"/>
      <c r="C44" s="45"/>
      <c r="D44" s="45"/>
      <c r="E44" s="45"/>
      <c r="F44" s="46"/>
      <c r="G44" s="45"/>
      <c r="H44" s="45"/>
      <c r="I44" s="45"/>
      <c r="J44" s="42" t="str">
        <f t="array" ref="J44">IF(G44="","",IFERROR(LET(ev_cost,INDEX(Events!$G$5:$G$506,MATCH(G44,Events!$A$5:$A$506,0)),ev_split,INDEX(Events!$I$5:$I$506,MATCH(G44,Events!$A$5:$A$506,0)),att_offset,MATCH(G44,Attendance!$B$3:$AZ$3,0),attendees,COUNTIF(INDEX(Attendance!$B$7:$AZ$206,0,att_offset),"1"),IF(ev_split="Equal Split",ev_cost/MAX(1,COUNTA(Roster!$A$5:$A$204)),ev_cost/MAX(1,attendees))),"N/A"))</f>
        <v/>
      </c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47"/>
      <c r="B45" s="48"/>
      <c r="C45" s="48"/>
      <c r="D45" s="48"/>
      <c r="E45" s="48"/>
      <c r="F45" s="51"/>
      <c r="G45" s="48"/>
      <c r="H45" s="48"/>
      <c r="I45" s="48"/>
      <c r="J45" s="42" t="str">
        <f t="array" ref="J45">IF(G45="","",IFERROR(LET(ev_cost,INDEX(Events!$G$5:$G$506,MATCH(G45,Events!$A$5:$A$506,0)),ev_split,INDEX(Events!$I$5:$I$506,MATCH(G45,Events!$A$5:$A$506,0)),att_offset,MATCH(G45,Attendance!$B$3:$AZ$3,0),attendees,COUNTIF(INDEX(Attendance!$B$7:$AZ$206,0,att_offset),"1"),IF(ev_split="Equal Split",ev_cost/MAX(1,COUNTA(Roster!$A$5:$A$204)),ev_cost/MAX(1,attendees))),"N/A"))</f>
        <v/>
      </c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44"/>
      <c r="B46" s="45"/>
      <c r="C46" s="45"/>
      <c r="D46" s="45"/>
      <c r="E46" s="45"/>
      <c r="F46" s="46"/>
      <c r="G46" s="45"/>
      <c r="H46" s="45"/>
      <c r="I46" s="45"/>
      <c r="J46" s="42" t="str">
        <f t="array" ref="J46">IF(G46="","",IFERROR(LET(ev_cost,INDEX(Events!$G$5:$G$506,MATCH(G46,Events!$A$5:$A$506,0)),ev_split,INDEX(Events!$I$5:$I$506,MATCH(G46,Events!$A$5:$A$506,0)),att_offset,MATCH(G46,Attendance!$B$3:$AZ$3,0),attendees,COUNTIF(INDEX(Attendance!$B$7:$AZ$206,0,att_offset),"1"),IF(ev_split="Equal Split",ev_cost/MAX(1,COUNTA(Roster!$A$5:$A$204)),ev_cost/MAX(1,attendees))),"N/A"))</f>
        <v/>
      </c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47"/>
      <c r="B47" s="48"/>
      <c r="C47" s="48"/>
      <c r="D47" s="48"/>
      <c r="E47" s="48"/>
      <c r="F47" s="51"/>
      <c r="G47" s="48"/>
      <c r="H47" s="48"/>
      <c r="I47" s="48"/>
      <c r="J47" s="42" t="str">
        <f t="array" ref="J47">IF(G47="","",IFERROR(LET(ev_cost,INDEX(Events!$G$5:$G$506,MATCH(G47,Events!$A$5:$A$506,0)),ev_split,INDEX(Events!$I$5:$I$506,MATCH(G47,Events!$A$5:$A$506,0)),att_offset,MATCH(G47,Attendance!$B$3:$AZ$3,0),attendees,COUNTIF(INDEX(Attendance!$B$7:$AZ$206,0,att_offset),"1"),IF(ev_split="Equal Split",ev_cost/MAX(1,COUNTA(Roster!$A$5:$A$204)),ev_cost/MAX(1,attendees))),"N/A"))</f>
        <v/>
      </c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44"/>
      <c r="B48" s="45"/>
      <c r="C48" s="45"/>
      <c r="D48" s="45"/>
      <c r="E48" s="45"/>
      <c r="F48" s="46"/>
      <c r="G48" s="45"/>
      <c r="H48" s="45"/>
      <c r="I48" s="45"/>
      <c r="J48" s="42" t="str">
        <f t="array" ref="J48">IF(G48="","",IFERROR(LET(ev_cost,INDEX(Events!$G$5:$G$506,MATCH(G48,Events!$A$5:$A$506,0)),ev_split,INDEX(Events!$I$5:$I$506,MATCH(G48,Events!$A$5:$A$506,0)),att_offset,MATCH(G48,Attendance!$B$3:$AZ$3,0),attendees,COUNTIF(INDEX(Attendance!$B$7:$AZ$206,0,att_offset),"1"),IF(ev_split="Equal Split",ev_cost/MAX(1,COUNTA(Roster!$A$5:$A$204)),ev_cost/MAX(1,attendees))),"N/A"))</f>
        <v/>
      </c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47"/>
      <c r="B49" s="48"/>
      <c r="C49" s="48"/>
      <c r="D49" s="48"/>
      <c r="E49" s="48"/>
      <c r="F49" s="51"/>
      <c r="G49" s="48"/>
      <c r="H49" s="48"/>
      <c r="I49" s="48"/>
      <c r="J49" s="42" t="str">
        <f t="array" ref="J49">IF(G49="","",IFERROR(LET(ev_cost,INDEX(Events!$G$5:$G$506,MATCH(G49,Events!$A$5:$A$506,0)),ev_split,INDEX(Events!$I$5:$I$506,MATCH(G49,Events!$A$5:$A$506,0)),att_offset,MATCH(G49,Attendance!$B$3:$AZ$3,0),attendees,COUNTIF(INDEX(Attendance!$B$7:$AZ$206,0,att_offset),"1"),IF(ev_split="Equal Split",ev_cost/MAX(1,COUNTA(Roster!$A$5:$A$204)),ev_cost/MAX(1,attendees))),"N/A"))</f>
        <v/>
      </c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44"/>
      <c r="B50" s="45"/>
      <c r="C50" s="45"/>
      <c r="D50" s="45"/>
      <c r="E50" s="45"/>
      <c r="F50" s="46"/>
      <c r="G50" s="45"/>
      <c r="H50" s="45"/>
      <c r="I50" s="45"/>
      <c r="J50" s="42" t="str">
        <f t="array" ref="J50">IF(G50="","",IFERROR(LET(ev_cost,INDEX(Events!$G$5:$G$506,MATCH(G50,Events!$A$5:$A$506,0)),ev_split,INDEX(Events!$I$5:$I$506,MATCH(G50,Events!$A$5:$A$506,0)),att_offset,MATCH(G50,Attendance!$B$3:$AZ$3,0),attendees,COUNTIF(INDEX(Attendance!$B$7:$AZ$206,0,att_offset),"1"),IF(ev_split="Equal Split",ev_cost/MAX(1,COUNTA(Roster!$A$5:$A$204)),ev_cost/MAX(1,attendees))),"N/A"))</f>
        <v/>
      </c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47"/>
      <c r="B51" s="48"/>
      <c r="C51" s="48"/>
      <c r="D51" s="48"/>
      <c r="E51" s="48"/>
      <c r="F51" s="51"/>
      <c r="G51" s="48"/>
      <c r="H51" s="48"/>
      <c r="I51" s="48"/>
      <c r="J51" s="42" t="str">
        <f t="array" ref="J51">IF(G51="","",IFERROR(LET(ev_cost,INDEX(Events!$G$5:$G$506,MATCH(G51,Events!$A$5:$A$506,0)),ev_split,INDEX(Events!$I$5:$I$506,MATCH(G51,Events!$A$5:$A$506,0)),att_offset,MATCH(G51,Attendance!$B$3:$AZ$3,0),attendees,COUNTIF(INDEX(Attendance!$B$7:$AZ$206,0,att_offset),"1"),IF(ev_split="Equal Split",ev_cost/MAX(1,COUNTA(Roster!$A$5:$A$204)),ev_cost/MAX(1,attendees))),"N/A"))</f>
        <v/>
      </c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44"/>
      <c r="B52" s="45"/>
      <c r="C52" s="45"/>
      <c r="D52" s="45"/>
      <c r="E52" s="45"/>
      <c r="F52" s="46"/>
      <c r="G52" s="45"/>
      <c r="H52" s="45"/>
      <c r="I52" s="45"/>
      <c r="J52" s="42" t="str">
        <f t="array" ref="J52">IF(G52="","",IFERROR(LET(ev_cost,INDEX(Events!$G$5:$G$506,MATCH(G52,Events!$A$5:$A$506,0)),ev_split,INDEX(Events!$I$5:$I$506,MATCH(G52,Events!$A$5:$A$506,0)),att_offset,MATCH(G52,Attendance!$B$3:$AZ$3,0),attendees,COUNTIF(INDEX(Attendance!$B$7:$AZ$206,0,att_offset),"1"),IF(ev_split="Equal Split",ev_cost/MAX(1,COUNTA(Roster!$A$5:$A$204)),ev_cost/MAX(1,attendees))),"N/A"))</f>
        <v/>
      </c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47"/>
      <c r="B53" s="48"/>
      <c r="C53" s="48"/>
      <c r="D53" s="48"/>
      <c r="E53" s="48"/>
      <c r="F53" s="51"/>
      <c r="G53" s="48"/>
      <c r="H53" s="48"/>
      <c r="I53" s="48"/>
      <c r="J53" s="42" t="str">
        <f t="array" ref="J53">IF(G53="","",IFERROR(LET(ev_cost,INDEX(Events!$G$5:$G$506,MATCH(G53,Events!$A$5:$A$506,0)),ev_split,INDEX(Events!$I$5:$I$506,MATCH(G53,Events!$A$5:$A$506,0)),att_offset,MATCH(G53,Attendance!$B$3:$AZ$3,0),attendees,COUNTIF(INDEX(Attendance!$B$7:$AZ$206,0,att_offset),"1"),IF(ev_split="Equal Split",ev_cost/MAX(1,COUNTA(Roster!$A$5:$A$204)),ev_cost/MAX(1,attendees))),"N/A"))</f>
        <v/>
      </c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44"/>
      <c r="B54" s="45"/>
      <c r="C54" s="45"/>
      <c r="D54" s="45"/>
      <c r="E54" s="45"/>
      <c r="F54" s="46"/>
      <c r="G54" s="45"/>
      <c r="H54" s="45"/>
      <c r="I54" s="45"/>
      <c r="J54" s="42" t="str">
        <f t="array" ref="J54">IF(G54="","",IFERROR(LET(ev_cost,INDEX(Events!$G$5:$G$506,MATCH(G54,Events!$A$5:$A$506,0)),ev_split,INDEX(Events!$I$5:$I$506,MATCH(G54,Events!$A$5:$A$506,0)),att_offset,MATCH(G54,Attendance!$B$3:$AZ$3,0),attendees,COUNTIF(INDEX(Attendance!$B$7:$AZ$206,0,att_offset),"1"),IF(ev_split="Equal Split",ev_cost/MAX(1,COUNTA(Roster!$A$5:$A$204)),ev_cost/MAX(1,attendees))),"N/A"))</f>
        <v/>
      </c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47"/>
      <c r="B55" s="48"/>
      <c r="C55" s="48"/>
      <c r="D55" s="48"/>
      <c r="E55" s="48"/>
      <c r="F55" s="51"/>
      <c r="G55" s="48"/>
      <c r="H55" s="48"/>
      <c r="I55" s="48"/>
      <c r="J55" s="42" t="str">
        <f t="array" ref="J55">IF(G55="","",IFERROR(LET(ev_cost,INDEX(Events!$G$5:$G$506,MATCH(G55,Events!$A$5:$A$506,0)),ev_split,INDEX(Events!$I$5:$I$506,MATCH(G55,Events!$A$5:$A$506,0)),att_offset,MATCH(G55,Attendance!$B$3:$AZ$3,0),attendees,COUNTIF(INDEX(Attendance!$B$7:$AZ$206,0,att_offset),"1"),IF(ev_split="Equal Split",ev_cost/MAX(1,COUNTA(Roster!$A$5:$A$204)),ev_cost/MAX(1,attendees))),"N/A"))</f>
        <v/>
      </c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44"/>
      <c r="B56" s="45"/>
      <c r="C56" s="45"/>
      <c r="D56" s="45"/>
      <c r="E56" s="45"/>
      <c r="F56" s="46"/>
      <c r="G56" s="45"/>
      <c r="H56" s="45"/>
      <c r="I56" s="45"/>
      <c r="J56" s="42" t="str">
        <f t="array" ref="J56">IF(G56="","",IFERROR(LET(ev_cost,INDEX(Events!$G$5:$G$506,MATCH(G56,Events!$A$5:$A$506,0)),ev_split,INDEX(Events!$I$5:$I$506,MATCH(G56,Events!$A$5:$A$506,0)),att_offset,MATCH(G56,Attendance!$B$3:$AZ$3,0),attendees,COUNTIF(INDEX(Attendance!$B$7:$AZ$206,0,att_offset),"1"),IF(ev_split="Equal Split",ev_cost/MAX(1,COUNTA(Roster!$A$5:$A$204)),ev_cost/MAX(1,attendees))),"N/A"))</f>
        <v/>
      </c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47"/>
      <c r="B57" s="48"/>
      <c r="C57" s="48"/>
      <c r="D57" s="48"/>
      <c r="E57" s="48"/>
      <c r="F57" s="51"/>
      <c r="G57" s="48"/>
      <c r="H57" s="48"/>
      <c r="I57" s="48"/>
      <c r="J57" s="42" t="str">
        <f t="array" ref="J57">IF(G57="","",IFERROR(LET(ev_cost,INDEX(Events!$G$5:$G$506,MATCH(G57,Events!$A$5:$A$506,0)),ev_split,INDEX(Events!$I$5:$I$506,MATCH(G57,Events!$A$5:$A$506,0)),att_offset,MATCH(G57,Attendance!$B$3:$AZ$3,0),attendees,COUNTIF(INDEX(Attendance!$B$7:$AZ$206,0,att_offset),"1"),IF(ev_split="Equal Split",ev_cost/MAX(1,COUNTA(Roster!$A$5:$A$204)),ev_cost/MAX(1,attendees))),"N/A"))</f>
        <v/>
      </c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44"/>
      <c r="B58" s="45"/>
      <c r="C58" s="45"/>
      <c r="D58" s="45"/>
      <c r="E58" s="45"/>
      <c r="F58" s="46"/>
      <c r="G58" s="45"/>
      <c r="H58" s="45"/>
      <c r="I58" s="45"/>
      <c r="J58" s="42" t="str">
        <f t="array" ref="J58">IF(G58="","",IFERROR(LET(ev_cost,INDEX(Events!$G$5:$G$506,MATCH(G58,Events!$A$5:$A$506,0)),ev_split,INDEX(Events!$I$5:$I$506,MATCH(G58,Events!$A$5:$A$506,0)),att_offset,MATCH(G58,Attendance!$B$3:$AZ$3,0),attendees,COUNTIF(INDEX(Attendance!$B$7:$AZ$206,0,att_offset),"1"),IF(ev_split="Equal Split",ev_cost/MAX(1,COUNTA(Roster!$A$5:$A$204)),ev_cost/MAX(1,attendees))),"N/A"))</f>
        <v/>
      </c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47"/>
      <c r="B59" s="48"/>
      <c r="C59" s="48"/>
      <c r="D59" s="48"/>
      <c r="E59" s="48"/>
      <c r="F59" s="51"/>
      <c r="G59" s="48"/>
      <c r="H59" s="48"/>
      <c r="I59" s="48"/>
      <c r="J59" s="42" t="str">
        <f t="array" ref="J59">IF(G59="","",IFERROR(LET(ev_cost,INDEX(Events!$G$5:$G$506,MATCH(G59,Events!$A$5:$A$506,0)),ev_split,INDEX(Events!$I$5:$I$506,MATCH(G59,Events!$A$5:$A$506,0)),att_offset,MATCH(G59,Attendance!$B$3:$AZ$3,0),attendees,COUNTIF(INDEX(Attendance!$B$7:$AZ$206,0,att_offset),"1"),IF(ev_split="Equal Split",ev_cost/MAX(1,COUNTA(Roster!$A$5:$A$204)),ev_cost/MAX(1,attendees))),"N/A"))</f>
        <v/>
      </c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44"/>
      <c r="B60" s="45"/>
      <c r="C60" s="45"/>
      <c r="D60" s="45"/>
      <c r="E60" s="45"/>
      <c r="F60" s="46"/>
      <c r="G60" s="45"/>
      <c r="H60" s="45"/>
      <c r="I60" s="45"/>
      <c r="J60" s="42" t="str">
        <f t="array" ref="J60">IF(G60="","",IFERROR(LET(ev_cost,INDEX(Events!$G$5:$G$506,MATCH(G60,Events!$A$5:$A$506,0)),ev_split,INDEX(Events!$I$5:$I$506,MATCH(G60,Events!$A$5:$A$506,0)),att_offset,MATCH(G60,Attendance!$B$3:$AZ$3,0),attendees,COUNTIF(INDEX(Attendance!$B$7:$AZ$206,0,att_offset),"1"),IF(ev_split="Equal Split",ev_cost/MAX(1,COUNTA(Roster!$A$5:$A$204)),ev_cost/MAX(1,attendees))),"N/A"))</f>
        <v/>
      </c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47"/>
      <c r="B61" s="48"/>
      <c r="C61" s="48"/>
      <c r="D61" s="48"/>
      <c r="E61" s="48"/>
      <c r="F61" s="51"/>
      <c r="G61" s="48"/>
      <c r="H61" s="48"/>
      <c r="I61" s="48"/>
      <c r="J61" s="42" t="str">
        <f t="array" ref="J61">IF(G61="","",IFERROR(LET(ev_cost,INDEX(Events!$G$5:$G$506,MATCH(G61,Events!$A$5:$A$506,0)),ev_split,INDEX(Events!$I$5:$I$506,MATCH(G61,Events!$A$5:$A$506,0)),att_offset,MATCH(G61,Attendance!$B$3:$AZ$3,0),attendees,COUNTIF(INDEX(Attendance!$B$7:$AZ$206,0,att_offset),"1"),IF(ev_split="Equal Split",ev_cost/MAX(1,COUNTA(Roster!$A$5:$A$204)),ev_cost/MAX(1,attendees))),"N/A"))</f>
        <v/>
      </c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44"/>
      <c r="B62" s="45"/>
      <c r="C62" s="45"/>
      <c r="D62" s="45"/>
      <c r="E62" s="45"/>
      <c r="F62" s="46"/>
      <c r="G62" s="45"/>
      <c r="H62" s="45"/>
      <c r="I62" s="45"/>
      <c r="J62" s="42" t="str">
        <f t="array" ref="J62">IF(G62="","",IFERROR(LET(ev_cost,INDEX(Events!$G$5:$G$506,MATCH(G62,Events!$A$5:$A$506,0)),ev_split,INDEX(Events!$I$5:$I$506,MATCH(G62,Events!$A$5:$A$506,0)),att_offset,MATCH(G62,Attendance!$B$3:$AZ$3,0),attendees,COUNTIF(INDEX(Attendance!$B$7:$AZ$206,0,att_offset),"1"),IF(ev_split="Equal Split",ev_cost/MAX(1,COUNTA(Roster!$A$5:$A$204)),ev_cost/MAX(1,attendees))),"N/A"))</f>
        <v/>
      </c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47"/>
      <c r="B63" s="48"/>
      <c r="C63" s="48"/>
      <c r="D63" s="48"/>
      <c r="E63" s="48"/>
      <c r="F63" s="51"/>
      <c r="G63" s="48"/>
      <c r="H63" s="48"/>
      <c r="I63" s="48"/>
      <c r="J63" s="42" t="str">
        <f t="array" ref="J63">IF(G63="","",IFERROR(LET(ev_cost,INDEX(Events!$G$5:$G$506,MATCH(G63,Events!$A$5:$A$506,0)),ev_split,INDEX(Events!$I$5:$I$506,MATCH(G63,Events!$A$5:$A$506,0)),att_offset,MATCH(G63,Attendance!$B$3:$AZ$3,0),attendees,COUNTIF(INDEX(Attendance!$B$7:$AZ$206,0,att_offset),"1"),IF(ev_split="Equal Split",ev_cost/MAX(1,COUNTA(Roster!$A$5:$A$204)),ev_cost/MAX(1,attendees))),"N/A"))</f>
        <v/>
      </c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44"/>
      <c r="B64" s="45"/>
      <c r="C64" s="45"/>
      <c r="D64" s="45"/>
      <c r="E64" s="45"/>
      <c r="F64" s="46"/>
      <c r="G64" s="45"/>
      <c r="H64" s="45"/>
      <c r="I64" s="45"/>
      <c r="J64" s="42" t="str">
        <f t="array" ref="J64">IF(G64="","",IFERROR(LET(ev_cost,INDEX(Events!$G$5:$G$506,MATCH(G64,Events!$A$5:$A$506,0)),ev_split,INDEX(Events!$I$5:$I$506,MATCH(G64,Events!$A$5:$A$506,0)),att_offset,MATCH(G64,Attendance!$B$3:$AZ$3,0),attendees,COUNTIF(INDEX(Attendance!$B$7:$AZ$206,0,att_offset),"1"),IF(ev_split="Equal Split",ev_cost/MAX(1,COUNTA(Roster!$A$5:$A$204)),ev_cost/MAX(1,attendees))),"N/A"))</f>
        <v/>
      </c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47"/>
      <c r="B65" s="48"/>
      <c r="C65" s="48"/>
      <c r="D65" s="48"/>
      <c r="E65" s="48"/>
      <c r="F65" s="51"/>
      <c r="G65" s="48"/>
      <c r="H65" s="48"/>
      <c r="I65" s="48"/>
      <c r="J65" s="42" t="str">
        <f t="array" ref="J65">IF(G65="","",IFERROR(LET(ev_cost,INDEX(Events!$G$5:$G$506,MATCH(G65,Events!$A$5:$A$506,0)),ev_split,INDEX(Events!$I$5:$I$506,MATCH(G65,Events!$A$5:$A$506,0)),att_offset,MATCH(G65,Attendance!$B$3:$AZ$3,0),attendees,COUNTIF(INDEX(Attendance!$B$7:$AZ$206,0,att_offset),"1"),IF(ev_split="Equal Split",ev_cost/MAX(1,COUNTA(Roster!$A$5:$A$204)),ev_cost/MAX(1,attendees))),"N/A"))</f>
        <v/>
      </c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44"/>
      <c r="B66" s="45"/>
      <c r="C66" s="45"/>
      <c r="D66" s="45"/>
      <c r="E66" s="45"/>
      <c r="F66" s="46"/>
      <c r="G66" s="45"/>
      <c r="H66" s="45"/>
      <c r="I66" s="45"/>
      <c r="J66" s="42" t="str">
        <f t="array" ref="J66">IF(G66="","",IFERROR(LET(ev_cost,INDEX(Events!$G$5:$G$506,MATCH(G66,Events!$A$5:$A$506,0)),ev_split,INDEX(Events!$I$5:$I$506,MATCH(G66,Events!$A$5:$A$506,0)),att_offset,MATCH(G66,Attendance!$B$3:$AZ$3,0),attendees,COUNTIF(INDEX(Attendance!$B$7:$AZ$206,0,att_offset),"1"),IF(ev_split="Equal Split",ev_cost/MAX(1,COUNTA(Roster!$A$5:$A$204)),ev_cost/MAX(1,attendees))),"N/A"))</f>
        <v/>
      </c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47"/>
      <c r="B67" s="48"/>
      <c r="C67" s="48"/>
      <c r="D67" s="48"/>
      <c r="E67" s="48"/>
      <c r="F67" s="51"/>
      <c r="G67" s="48"/>
      <c r="H67" s="48"/>
      <c r="I67" s="48"/>
      <c r="J67" s="42" t="str">
        <f t="array" ref="J67">IF(G67="","",IFERROR(LET(ev_cost,INDEX(Events!$G$5:$G$506,MATCH(G67,Events!$A$5:$A$506,0)),ev_split,INDEX(Events!$I$5:$I$506,MATCH(G67,Events!$A$5:$A$506,0)),att_offset,MATCH(G67,Attendance!$B$3:$AZ$3,0),attendees,COUNTIF(INDEX(Attendance!$B$7:$AZ$206,0,att_offset),"1"),IF(ev_split="Equal Split",ev_cost/MAX(1,COUNTA(Roster!$A$5:$A$204)),ev_cost/MAX(1,attendees))),"N/A"))</f>
        <v/>
      </c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44"/>
      <c r="B68" s="45"/>
      <c r="C68" s="45"/>
      <c r="D68" s="45"/>
      <c r="E68" s="45"/>
      <c r="F68" s="46"/>
      <c r="G68" s="45"/>
      <c r="H68" s="45"/>
      <c r="I68" s="45"/>
      <c r="J68" s="42" t="str">
        <f t="array" ref="J68">IF(G68="","",IFERROR(LET(ev_cost,INDEX(Events!$G$5:$G$506,MATCH(G68,Events!$A$5:$A$506,0)),ev_split,INDEX(Events!$I$5:$I$506,MATCH(G68,Events!$A$5:$A$506,0)),att_offset,MATCH(G68,Attendance!$B$3:$AZ$3,0),attendees,COUNTIF(INDEX(Attendance!$B$7:$AZ$206,0,att_offset),"1"),IF(ev_split="Equal Split",ev_cost/MAX(1,COUNTA(Roster!$A$5:$A$204)),ev_cost/MAX(1,attendees))),"N/A"))</f>
        <v/>
      </c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47"/>
      <c r="B69" s="48"/>
      <c r="C69" s="48"/>
      <c r="D69" s="48"/>
      <c r="E69" s="48"/>
      <c r="F69" s="51"/>
      <c r="G69" s="48"/>
      <c r="H69" s="48"/>
      <c r="I69" s="48"/>
      <c r="J69" s="42" t="str">
        <f t="array" ref="J69">IF(G69="","",IFERROR(LET(ev_cost,INDEX(Events!$G$5:$G$506,MATCH(G69,Events!$A$5:$A$506,0)),ev_split,INDEX(Events!$I$5:$I$506,MATCH(G69,Events!$A$5:$A$506,0)),att_offset,MATCH(G69,Attendance!$B$3:$AZ$3,0),attendees,COUNTIF(INDEX(Attendance!$B$7:$AZ$206,0,att_offset),"1"),IF(ev_split="Equal Split",ev_cost/MAX(1,COUNTA(Roster!$A$5:$A$204)),ev_cost/MAX(1,attendees))),"N/A"))</f>
        <v/>
      </c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44"/>
      <c r="B70" s="45"/>
      <c r="C70" s="45"/>
      <c r="D70" s="45"/>
      <c r="E70" s="45"/>
      <c r="F70" s="46"/>
      <c r="G70" s="45"/>
      <c r="H70" s="45"/>
      <c r="I70" s="45"/>
      <c r="J70" s="42" t="str">
        <f t="array" ref="J70">IF(G70="","",IFERROR(LET(ev_cost,INDEX(Events!$G$5:$G$506,MATCH(G70,Events!$A$5:$A$506,0)),ev_split,INDEX(Events!$I$5:$I$506,MATCH(G70,Events!$A$5:$A$506,0)),att_offset,MATCH(G70,Attendance!$B$3:$AZ$3,0),attendees,COUNTIF(INDEX(Attendance!$B$7:$AZ$206,0,att_offset),"1"),IF(ev_split="Equal Split",ev_cost/MAX(1,COUNTA(Roster!$A$5:$A$204)),ev_cost/MAX(1,attendees))),"N/A"))</f>
        <v/>
      </c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47"/>
      <c r="B71" s="48"/>
      <c r="C71" s="48"/>
      <c r="D71" s="48"/>
      <c r="E71" s="48"/>
      <c r="F71" s="51"/>
      <c r="G71" s="48"/>
      <c r="H71" s="48"/>
      <c r="I71" s="48"/>
      <c r="J71" s="42" t="str">
        <f t="array" ref="J71">IF(G71="","",IFERROR(LET(ev_cost,INDEX(Events!$G$5:$G$506,MATCH(G71,Events!$A$5:$A$506,0)),ev_split,INDEX(Events!$I$5:$I$506,MATCH(G71,Events!$A$5:$A$506,0)),att_offset,MATCH(G71,Attendance!$B$3:$AZ$3,0),attendees,COUNTIF(INDEX(Attendance!$B$7:$AZ$206,0,att_offset),"1"),IF(ev_split="Equal Split",ev_cost/MAX(1,COUNTA(Roster!$A$5:$A$204)),ev_cost/MAX(1,attendees))),"N/A"))</f>
        <v/>
      </c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44"/>
      <c r="B72" s="45"/>
      <c r="C72" s="45"/>
      <c r="D72" s="45"/>
      <c r="E72" s="45"/>
      <c r="F72" s="46"/>
      <c r="G72" s="45"/>
      <c r="H72" s="45"/>
      <c r="I72" s="45"/>
      <c r="J72" s="42" t="str">
        <f t="array" ref="J72">IF(G72="","",IFERROR(LET(ev_cost,INDEX(Events!$G$5:$G$506,MATCH(G72,Events!$A$5:$A$506,0)),ev_split,INDEX(Events!$I$5:$I$506,MATCH(G72,Events!$A$5:$A$506,0)),att_offset,MATCH(G72,Attendance!$B$3:$AZ$3,0),attendees,COUNTIF(INDEX(Attendance!$B$7:$AZ$206,0,att_offset),"1"),IF(ev_split="Equal Split",ev_cost/MAX(1,COUNTA(Roster!$A$5:$A$204)),ev_cost/MAX(1,attendees))),"N/A"))</f>
        <v/>
      </c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47"/>
      <c r="B73" s="48"/>
      <c r="C73" s="48"/>
      <c r="D73" s="48"/>
      <c r="E73" s="48"/>
      <c r="F73" s="51"/>
      <c r="G73" s="48"/>
      <c r="H73" s="48"/>
      <c r="I73" s="48"/>
      <c r="J73" s="42" t="str">
        <f t="array" ref="J73">IF(G73="","",IFERROR(LET(ev_cost,INDEX(Events!$G$5:$G$506,MATCH(G73,Events!$A$5:$A$506,0)),ev_split,INDEX(Events!$I$5:$I$506,MATCH(G73,Events!$A$5:$A$506,0)),att_offset,MATCH(G73,Attendance!$B$3:$AZ$3,0),attendees,COUNTIF(INDEX(Attendance!$B$7:$AZ$206,0,att_offset),"1"),IF(ev_split="Equal Split",ev_cost/MAX(1,COUNTA(Roster!$A$5:$A$204)),ev_cost/MAX(1,attendees))),"N/A"))</f>
        <v/>
      </c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44"/>
      <c r="B74" s="45"/>
      <c r="C74" s="45"/>
      <c r="D74" s="45"/>
      <c r="E74" s="45"/>
      <c r="F74" s="46"/>
      <c r="G74" s="45"/>
      <c r="H74" s="45"/>
      <c r="I74" s="45"/>
      <c r="J74" s="42" t="str">
        <f t="array" ref="J74">IF(G74="","",IFERROR(LET(ev_cost,INDEX(Events!$G$5:$G$506,MATCH(G74,Events!$A$5:$A$506,0)),ev_split,INDEX(Events!$I$5:$I$506,MATCH(G74,Events!$A$5:$A$506,0)),att_offset,MATCH(G74,Attendance!$B$3:$AZ$3,0),attendees,COUNTIF(INDEX(Attendance!$B$7:$AZ$206,0,att_offset),"1"),IF(ev_split="Equal Split",ev_cost/MAX(1,COUNTA(Roster!$A$5:$A$204)),ev_cost/MAX(1,attendees))),"N/A"))</f>
        <v/>
      </c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47"/>
      <c r="B75" s="48"/>
      <c r="C75" s="48"/>
      <c r="D75" s="48"/>
      <c r="E75" s="48"/>
      <c r="F75" s="51"/>
      <c r="G75" s="48"/>
      <c r="H75" s="48"/>
      <c r="I75" s="48"/>
      <c r="J75" s="42" t="str">
        <f t="array" ref="J75">IF(G75="","",IFERROR(LET(ev_cost,INDEX(Events!$G$5:$G$506,MATCH(G75,Events!$A$5:$A$506,0)),ev_split,INDEX(Events!$I$5:$I$506,MATCH(G75,Events!$A$5:$A$506,0)),att_offset,MATCH(G75,Attendance!$B$3:$AZ$3,0),attendees,COUNTIF(INDEX(Attendance!$B$7:$AZ$206,0,att_offset),"1"),IF(ev_split="Equal Split",ev_cost/MAX(1,COUNTA(Roster!$A$5:$A$204)),ev_cost/MAX(1,attendees))),"N/A"))</f>
        <v/>
      </c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44"/>
      <c r="B76" s="45"/>
      <c r="C76" s="45"/>
      <c r="D76" s="45"/>
      <c r="E76" s="45"/>
      <c r="F76" s="46"/>
      <c r="G76" s="45"/>
      <c r="H76" s="45"/>
      <c r="I76" s="45"/>
      <c r="J76" s="42" t="str">
        <f t="array" ref="J76">IF(G76="","",IFERROR(LET(ev_cost,INDEX(Events!$G$5:$G$506,MATCH(G76,Events!$A$5:$A$506,0)),ev_split,INDEX(Events!$I$5:$I$506,MATCH(G76,Events!$A$5:$A$506,0)),att_offset,MATCH(G76,Attendance!$B$3:$AZ$3,0),attendees,COUNTIF(INDEX(Attendance!$B$7:$AZ$206,0,att_offset),"1"),IF(ev_split="Equal Split",ev_cost/MAX(1,COUNTA(Roster!$A$5:$A$204)),ev_cost/MAX(1,attendees))),"N/A"))</f>
        <v/>
      </c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47"/>
      <c r="B77" s="48"/>
      <c r="C77" s="48"/>
      <c r="D77" s="48"/>
      <c r="E77" s="48"/>
      <c r="F77" s="51"/>
      <c r="G77" s="48"/>
      <c r="H77" s="48"/>
      <c r="I77" s="48"/>
      <c r="J77" s="42" t="str">
        <f t="array" ref="J77">IF(G77="","",IFERROR(LET(ev_cost,INDEX(Events!$G$5:$G$506,MATCH(G77,Events!$A$5:$A$506,0)),ev_split,INDEX(Events!$I$5:$I$506,MATCH(G77,Events!$A$5:$A$506,0)),att_offset,MATCH(G77,Attendance!$B$3:$AZ$3,0),attendees,COUNTIF(INDEX(Attendance!$B$7:$AZ$206,0,att_offset),"1"),IF(ev_split="Equal Split",ev_cost/MAX(1,COUNTA(Roster!$A$5:$A$204)),ev_cost/MAX(1,attendees))),"N/A"))</f>
        <v/>
      </c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44"/>
      <c r="B78" s="45"/>
      <c r="C78" s="45"/>
      <c r="D78" s="45"/>
      <c r="E78" s="45"/>
      <c r="F78" s="46"/>
      <c r="G78" s="45"/>
      <c r="H78" s="45"/>
      <c r="I78" s="45"/>
      <c r="J78" s="42" t="str">
        <f t="array" ref="J78">IF(G78="","",IFERROR(LET(ev_cost,INDEX(Events!$G$5:$G$506,MATCH(G78,Events!$A$5:$A$506,0)),ev_split,INDEX(Events!$I$5:$I$506,MATCH(G78,Events!$A$5:$A$506,0)),att_offset,MATCH(G78,Attendance!$B$3:$AZ$3,0),attendees,COUNTIF(INDEX(Attendance!$B$7:$AZ$206,0,att_offset),"1"),IF(ev_split="Equal Split",ev_cost/MAX(1,COUNTA(Roster!$A$5:$A$204)),ev_cost/MAX(1,attendees))),"N/A"))</f>
        <v/>
      </c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47"/>
      <c r="B79" s="48"/>
      <c r="C79" s="48"/>
      <c r="D79" s="48"/>
      <c r="E79" s="48"/>
      <c r="F79" s="51"/>
      <c r="G79" s="48"/>
      <c r="H79" s="48"/>
      <c r="I79" s="48"/>
      <c r="J79" s="42" t="str">
        <f t="array" ref="J79">IF(G79="","",IFERROR(LET(ev_cost,INDEX(Events!$G$5:$G$506,MATCH(G79,Events!$A$5:$A$506,0)),ev_split,INDEX(Events!$I$5:$I$506,MATCH(G79,Events!$A$5:$A$506,0)),att_offset,MATCH(G79,Attendance!$B$3:$AZ$3,0),attendees,COUNTIF(INDEX(Attendance!$B$7:$AZ$206,0,att_offset),"1"),IF(ev_split="Equal Split",ev_cost/MAX(1,COUNTA(Roster!$A$5:$A$204)),ev_cost/MAX(1,attendees))),"N/A"))</f>
        <v/>
      </c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44"/>
      <c r="B80" s="45"/>
      <c r="C80" s="45"/>
      <c r="D80" s="45"/>
      <c r="E80" s="45"/>
      <c r="F80" s="46"/>
      <c r="G80" s="45"/>
      <c r="H80" s="45"/>
      <c r="I80" s="45"/>
      <c r="J80" s="42" t="str">
        <f t="array" ref="J80">IF(G80="","",IFERROR(LET(ev_cost,INDEX(Events!$G$5:$G$506,MATCH(G80,Events!$A$5:$A$506,0)),ev_split,INDEX(Events!$I$5:$I$506,MATCH(G80,Events!$A$5:$A$506,0)),att_offset,MATCH(G80,Attendance!$B$3:$AZ$3,0),attendees,COUNTIF(INDEX(Attendance!$B$7:$AZ$206,0,att_offset),"1"),IF(ev_split="Equal Split",ev_cost/MAX(1,COUNTA(Roster!$A$5:$A$204)),ev_cost/MAX(1,attendees))),"N/A"))</f>
        <v/>
      </c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47"/>
      <c r="B81" s="48"/>
      <c r="C81" s="48"/>
      <c r="D81" s="48"/>
      <c r="E81" s="48"/>
      <c r="F81" s="51"/>
      <c r="G81" s="48"/>
      <c r="H81" s="48"/>
      <c r="I81" s="48"/>
      <c r="J81" s="42" t="str">
        <f t="array" ref="J81">IF(G81="","",IFERROR(LET(ev_cost,INDEX(Events!$G$5:$G$506,MATCH(G81,Events!$A$5:$A$506,0)),ev_split,INDEX(Events!$I$5:$I$506,MATCH(G81,Events!$A$5:$A$506,0)),att_offset,MATCH(G81,Attendance!$B$3:$AZ$3,0),attendees,COUNTIF(INDEX(Attendance!$B$7:$AZ$206,0,att_offset),"1"),IF(ev_split="Equal Split",ev_cost/MAX(1,COUNTA(Roster!$A$5:$A$204)),ev_cost/MAX(1,attendees))),"N/A"))</f>
        <v/>
      </c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44"/>
      <c r="B82" s="45"/>
      <c r="C82" s="45"/>
      <c r="D82" s="45"/>
      <c r="E82" s="45"/>
      <c r="F82" s="46"/>
      <c r="G82" s="45"/>
      <c r="H82" s="45"/>
      <c r="I82" s="45"/>
      <c r="J82" s="42" t="str">
        <f t="array" ref="J82">IF(G82="","",IFERROR(LET(ev_cost,INDEX(Events!$G$5:$G$506,MATCH(G82,Events!$A$5:$A$506,0)),ev_split,INDEX(Events!$I$5:$I$506,MATCH(G82,Events!$A$5:$A$506,0)),att_offset,MATCH(G82,Attendance!$B$3:$AZ$3,0),attendees,COUNTIF(INDEX(Attendance!$B$7:$AZ$206,0,att_offset),"1"),IF(ev_split="Equal Split",ev_cost/MAX(1,COUNTA(Roster!$A$5:$A$204)),ev_cost/MAX(1,attendees))),"N/A"))</f>
        <v/>
      </c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47"/>
      <c r="B83" s="48"/>
      <c r="C83" s="48"/>
      <c r="D83" s="48"/>
      <c r="E83" s="48"/>
      <c r="F83" s="51"/>
      <c r="G83" s="48"/>
      <c r="H83" s="48"/>
      <c r="I83" s="48"/>
      <c r="J83" s="42" t="str">
        <f t="array" ref="J83">IF(G83="","",IFERROR(LET(ev_cost,INDEX(Events!$G$5:$G$506,MATCH(G83,Events!$A$5:$A$506,0)),ev_split,INDEX(Events!$I$5:$I$506,MATCH(G83,Events!$A$5:$A$506,0)),att_offset,MATCH(G83,Attendance!$B$3:$AZ$3,0),attendees,COUNTIF(INDEX(Attendance!$B$7:$AZ$206,0,att_offset),"1"),IF(ev_split="Equal Split",ev_cost/MAX(1,COUNTA(Roster!$A$5:$A$204)),ev_cost/MAX(1,attendees))),"N/A"))</f>
        <v/>
      </c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44"/>
      <c r="B84" s="45"/>
      <c r="C84" s="45"/>
      <c r="D84" s="45"/>
      <c r="E84" s="45"/>
      <c r="F84" s="46"/>
      <c r="G84" s="45"/>
      <c r="H84" s="45"/>
      <c r="I84" s="45"/>
      <c r="J84" s="42" t="str">
        <f t="array" ref="J84">IF(G84="","",IFERROR(LET(ev_cost,INDEX(Events!$G$5:$G$506,MATCH(G84,Events!$A$5:$A$506,0)),ev_split,INDEX(Events!$I$5:$I$506,MATCH(G84,Events!$A$5:$A$506,0)),att_offset,MATCH(G84,Attendance!$B$3:$AZ$3,0),attendees,COUNTIF(INDEX(Attendance!$B$7:$AZ$206,0,att_offset),"1"),IF(ev_split="Equal Split",ev_cost/MAX(1,COUNTA(Roster!$A$5:$A$204)),ev_cost/MAX(1,attendees))),"N/A"))</f>
        <v/>
      </c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47"/>
      <c r="B85" s="48"/>
      <c r="C85" s="48"/>
      <c r="D85" s="48"/>
      <c r="E85" s="48"/>
      <c r="F85" s="51"/>
      <c r="G85" s="48"/>
      <c r="H85" s="48"/>
      <c r="I85" s="48"/>
      <c r="J85" s="42" t="str">
        <f t="array" ref="J85">IF(G85="","",IFERROR(LET(ev_cost,INDEX(Events!$G$5:$G$506,MATCH(G85,Events!$A$5:$A$506,0)),ev_split,INDEX(Events!$I$5:$I$506,MATCH(G85,Events!$A$5:$A$506,0)),att_offset,MATCH(G85,Attendance!$B$3:$AZ$3,0),attendees,COUNTIF(INDEX(Attendance!$B$7:$AZ$206,0,att_offset),"1"),IF(ev_split="Equal Split",ev_cost/MAX(1,COUNTA(Roster!$A$5:$A$204)),ev_cost/MAX(1,attendees))),"N/A"))</f>
        <v/>
      </c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44"/>
      <c r="B86" s="45"/>
      <c r="C86" s="45"/>
      <c r="D86" s="45"/>
      <c r="E86" s="45"/>
      <c r="F86" s="46"/>
      <c r="G86" s="45"/>
      <c r="H86" s="45"/>
      <c r="I86" s="45"/>
      <c r="J86" s="42" t="str">
        <f t="array" ref="J86">IF(G86="","",IFERROR(LET(ev_cost,INDEX(Events!$G$5:$G$506,MATCH(G86,Events!$A$5:$A$506,0)),ev_split,INDEX(Events!$I$5:$I$506,MATCH(G86,Events!$A$5:$A$506,0)),att_offset,MATCH(G86,Attendance!$B$3:$AZ$3,0),attendees,COUNTIF(INDEX(Attendance!$B$7:$AZ$206,0,att_offset),"1"),IF(ev_split="Equal Split",ev_cost/MAX(1,COUNTA(Roster!$A$5:$A$204)),ev_cost/MAX(1,attendees))),"N/A"))</f>
        <v/>
      </c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47"/>
      <c r="B87" s="48"/>
      <c r="C87" s="48"/>
      <c r="D87" s="48"/>
      <c r="E87" s="48"/>
      <c r="F87" s="51"/>
      <c r="G87" s="48"/>
      <c r="H87" s="48"/>
      <c r="I87" s="48"/>
      <c r="J87" s="42" t="str">
        <f t="array" ref="J87">IF(G87="","",IFERROR(LET(ev_cost,INDEX(Events!$G$5:$G$506,MATCH(G87,Events!$A$5:$A$506,0)),ev_split,INDEX(Events!$I$5:$I$506,MATCH(G87,Events!$A$5:$A$506,0)),att_offset,MATCH(G87,Attendance!$B$3:$AZ$3,0),attendees,COUNTIF(INDEX(Attendance!$B$7:$AZ$206,0,att_offset),"1"),IF(ev_split="Equal Split",ev_cost/MAX(1,COUNTA(Roster!$A$5:$A$204)),ev_cost/MAX(1,attendees))),"N/A"))</f>
        <v/>
      </c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44"/>
      <c r="B88" s="45"/>
      <c r="C88" s="45"/>
      <c r="D88" s="45"/>
      <c r="E88" s="45"/>
      <c r="F88" s="46"/>
      <c r="G88" s="45"/>
      <c r="H88" s="45"/>
      <c r="I88" s="45"/>
      <c r="J88" s="42" t="str">
        <f t="array" ref="J88">IF(G88="","",IFERROR(LET(ev_cost,INDEX(Events!$G$5:$G$506,MATCH(G88,Events!$A$5:$A$506,0)),ev_split,INDEX(Events!$I$5:$I$506,MATCH(G88,Events!$A$5:$A$506,0)),att_offset,MATCH(G88,Attendance!$B$3:$AZ$3,0),attendees,COUNTIF(INDEX(Attendance!$B$7:$AZ$206,0,att_offset),"1"),IF(ev_split="Equal Split",ev_cost/MAX(1,COUNTA(Roster!$A$5:$A$204)),ev_cost/MAX(1,attendees))),"N/A"))</f>
        <v/>
      </c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47"/>
      <c r="B89" s="48"/>
      <c r="C89" s="48"/>
      <c r="D89" s="48"/>
      <c r="E89" s="48"/>
      <c r="F89" s="51"/>
      <c r="G89" s="48"/>
      <c r="H89" s="48"/>
      <c r="I89" s="48"/>
      <c r="J89" s="42" t="str">
        <f t="array" ref="J89">IF(G89="","",IFERROR(LET(ev_cost,INDEX(Events!$G$5:$G$506,MATCH(G89,Events!$A$5:$A$506,0)),ev_split,INDEX(Events!$I$5:$I$506,MATCH(G89,Events!$A$5:$A$506,0)),att_offset,MATCH(G89,Attendance!$B$3:$AZ$3,0),attendees,COUNTIF(INDEX(Attendance!$B$7:$AZ$206,0,att_offset),"1"),IF(ev_split="Equal Split",ev_cost/MAX(1,COUNTA(Roster!$A$5:$A$204)),ev_cost/MAX(1,attendees))),"N/A"))</f>
        <v/>
      </c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44"/>
      <c r="B90" s="45"/>
      <c r="C90" s="45"/>
      <c r="D90" s="45"/>
      <c r="E90" s="45"/>
      <c r="F90" s="46"/>
      <c r="G90" s="45"/>
      <c r="H90" s="45"/>
      <c r="I90" s="45"/>
      <c r="J90" s="42" t="str">
        <f t="array" ref="J90">IF(G90="","",IFERROR(LET(ev_cost,INDEX(Events!$G$5:$G$506,MATCH(G90,Events!$A$5:$A$506,0)),ev_split,INDEX(Events!$I$5:$I$506,MATCH(G90,Events!$A$5:$A$506,0)),att_offset,MATCH(G90,Attendance!$B$3:$AZ$3,0),attendees,COUNTIF(INDEX(Attendance!$B$7:$AZ$206,0,att_offset),"1"),IF(ev_split="Equal Split",ev_cost/MAX(1,COUNTA(Roster!$A$5:$A$204)),ev_cost/MAX(1,attendees))),"N/A"))</f>
        <v/>
      </c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47"/>
      <c r="B91" s="48"/>
      <c r="C91" s="48"/>
      <c r="D91" s="48"/>
      <c r="E91" s="48"/>
      <c r="F91" s="51"/>
      <c r="G91" s="48"/>
      <c r="H91" s="48"/>
      <c r="I91" s="48"/>
      <c r="J91" s="42" t="str">
        <f t="array" ref="J91">IF(G91="","",IFERROR(LET(ev_cost,INDEX(Events!$G$5:$G$506,MATCH(G91,Events!$A$5:$A$506,0)),ev_split,INDEX(Events!$I$5:$I$506,MATCH(G91,Events!$A$5:$A$506,0)),att_offset,MATCH(G91,Attendance!$B$3:$AZ$3,0),attendees,COUNTIF(INDEX(Attendance!$B$7:$AZ$206,0,att_offset),"1"),IF(ev_split="Equal Split",ev_cost/MAX(1,COUNTA(Roster!$A$5:$A$204)),ev_cost/MAX(1,attendees))),"N/A"))</f>
        <v/>
      </c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44"/>
      <c r="B92" s="45"/>
      <c r="C92" s="45"/>
      <c r="D92" s="45"/>
      <c r="E92" s="45"/>
      <c r="F92" s="46"/>
      <c r="G92" s="45"/>
      <c r="H92" s="45"/>
      <c r="I92" s="45"/>
      <c r="J92" s="42" t="str">
        <f t="array" ref="J92">IF(G92="","",IFERROR(LET(ev_cost,INDEX(Events!$G$5:$G$506,MATCH(G92,Events!$A$5:$A$506,0)),ev_split,INDEX(Events!$I$5:$I$506,MATCH(G92,Events!$A$5:$A$506,0)),att_offset,MATCH(G92,Attendance!$B$3:$AZ$3,0),attendees,COUNTIF(INDEX(Attendance!$B$7:$AZ$206,0,att_offset),"1"),IF(ev_split="Equal Split",ev_cost/MAX(1,COUNTA(Roster!$A$5:$A$204)),ev_cost/MAX(1,attendees))),"N/A"))</f>
        <v/>
      </c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47"/>
      <c r="B93" s="48"/>
      <c r="C93" s="48"/>
      <c r="D93" s="48"/>
      <c r="E93" s="48"/>
      <c r="F93" s="51"/>
      <c r="G93" s="48"/>
      <c r="H93" s="48"/>
      <c r="I93" s="48"/>
      <c r="J93" s="42" t="str">
        <f t="array" ref="J93">IF(G93="","",IFERROR(LET(ev_cost,INDEX(Events!$G$5:$G$506,MATCH(G93,Events!$A$5:$A$506,0)),ev_split,INDEX(Events!$I$5:$I$506,MATCH(G93,Events!$A$5:$A$506,0)),att_offset,MATCH(G93,Attendance!$B$3:$AZ$3,0),attendees,COUNTIF(INDEX(Attendance!$B$7:$AZ$206,0,att_offset),"1"),IF(ev_split="Equal Split",ev_cost/MAX(1,COUNTA(Roster!$A$5:$A$204)),ev_cost/MAX(1,attendees))),"N/A"))</f>
        <v/>
      </c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44"/>
      <c r="B94" s="45"/>
      <c r="C94" s="45"/>
      <c r="D94" s="45"/>
      <c r="E94" s="45"/>
      <c r="F94" s="46"/>
      <c r="G94" s="45"/>
      <c r="H94" s="45"/>
      <c r="I94" s="45"/>
      <c r="J94" s="42" t="str">
        <f t="array" ref="J94">IF(G94="","",IFERROR(LET(ev_cost,INDEX(Events!$G$5:$G$506,MATCH(G94,Events!$A$5:$A$506,0)),ev_split,INDEX(Events!$I$5:$I$506,MATCH(G94,Events!$A$5:$A$506,0)),att_offset,MATCH(G94,Attendance!$B$3:$AZ$3,0),attendees,COUNTIF(INDEX(Attendance!$B$7:$AZ$206,0,att_offset),"1"),IF(ev_split="Equal Split",ev_cost/MAX(1,COUNTA(Roster!$A$5:$A$204)),ev_cost/MAX(1,attendees))),"N/A"))</f>
        <v/>
      </c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47"/>
      <c r="B95" s="48"/>
      <c r="C95" s="48"/>
      <c r="D95" s="48"/>
      <c r="E95" s="48"/>
      <c r="F95" s="51"/>
      <c r="G95" s="48"/>
      <c r="H95" s="48"/>
      <c r="I95" s="48"/>
      <c r="J95" s="42" t="str">
        <f t="array" ref="J95">IF(G95="","",IFERROR(LET(ev_cost,INDEX(Events!$G$5:$G$506,MATCH(G95,Events!$A$5:$A$506,0)),ev_split,INDEX(Events!$I$5:$I$506,MATCH(G95,Events!$A$5:$A$506,0)),att_offset,MATCH(G95,Attendance!$B$3:$AZ$3,0),attendees,COUNTIF(INDEX(Attendance!$B$7:$AZ$206,0,att_offset),"1"),IF(ev_split="Equal Split",ev_cost/MAX(1,COUNTA(Roster!$A$5:$A$204)),ev_cost/MAX(1,attendees))),"N/A"))</f>
        <v/>
      </c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44"/>
      <c r="B96" s="45"/>
      <c r="C96" s="45"/>
      <c r="D96" s="45"/>
      <c r="E96" s="45"/>
      <c r="F96" s="46"/>
      <c r="G96" s="45"/>
      <c r="H96" s="45"/>
      <c r="I96" s="45"/>
      <c r="J96" s="42" t="str">
        <f t="array" ref="J96">IF(G96="","",IFERROR(LET(ev_cost,INDEX(Events!$G$5:$G$506,MATCH(G96,Events!$A$5:$A$506,0)),ev_split,INDEX(Events!$I$5:$I$506,MATCH(G96,Events!$A$5:$A$506,0)),att_offset,MATCH(G96,Attendance!$B$3:$AZ$3,0),attendees,COUNTIF(INDEX(Attendance!$B$7:$AZ$206,0,att_offset),"1"),IF(ev_split="Equal Split",ev_cost/MAX(1,COUNTA(Roster!$A$5:$A$204)),ev_cost/MAX(1,attendees))),"N/A"))</f>
        <v/>
      </c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47"/>
      <c r="B97" s="48"/>
      <c r="C97" s="48"/>
      <c r="D97" s="48"/>
      <c r="E97" s="48"/>
      <c r="F97" s="51"/>
      <c r="G97" s="48"/>
      <c r="H97" s="48"/>
      <c r="I97" s="48"/>
      <c r="J97" s="42" t="str">
        <f t="array" ref="J97">IF(G97="","",IFERROR(LET(ev_cost,INDEX(Events!$G$5:$G$506,MATCH(G97,Events!$A$5:$A$506,0)),ev_split,INDEX(Events!$I$5:$I$506,MATCH(G97,Events!$A$5:$A$506,0)),att_offset,MATCH(G97,Attendance!$B$3:$AZ$3,0),attendees,COUNTIF(INDEX(Attendance!$B$7:$AZ$206,0,att_offset),"1"),IF(ev_split="Equal Split",ev_cost/MAX(1,COUNTA(Roster!$A$5:$A$204)),ev_cost/MAX(1,attendees))),"N/A"))</f>
        <v/>
      </c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44"/>
      <c r="B98" s="45"/>
      <c r="C98" s="45"/>
      <c r="D98" s="45"/>
      <c r="E98" s="45"/>
      <c r="F98" s="46"/>
      <c r="G98" s="45"/>
      <c r="H98" s="45"/>
      <c r="I98" s="45"/>
      <c r="J98" s="42" t="str">
        <f t="array" ref="J98">IF(G98="","",IFERROR(LET(ev_cost,INDEX(Events!$G$5:$G$506,MATCH(G98,Events!$A$5:$A$506,0)),ev_split,INDEX(Events!$I$5:$I$506,MATCH(G98,Events!$A$5:$A$506,0)),att_offset,MATCH(G98,Attendance!$B$3:$AZ$3,0),attendees,COUNTIF(INDEX(Attendance!$B$7:$AZ$206,0,att_offset),"1"),IF(ev_split="Equal Split",ev_cost/MAX(1,COUNTA(Roster!$A$5:$A$204)),ev_cost/MAX(1,attendees))),"N/A"))</f>
        <v/>
      </c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47"/>
      <c r="B99" s="48"/>
      <c r="C99" s="48"/>
      <c r="D99" s="48"/>
      <c r="E99" s="48"/>
      <c r="F99" s="51"/>
      <c r="G99" s="48"/>
      <c r="H99" s="48"/>
      <c r="I99" s="48"/>
      <c r="J99" s="42" t="str">
        <f t="array" ref="J99">IF(G99="","",IFERROR(LET(ev_cost,INDEX(Events!$G$5:$G$506,MATCH(G99,Events!$A$5:$A$506,0)),ev_split,INDEX(Events!$I$5:$I$506,MATCH(G99,Events!$A$5:$A$506,0)),att_offset,MATCH(G99,Attendance!$B$3:$AZ$3,0),attendees,COUNTIF(INDEX(Attendance!$B$7:$AZ$206,0,att_offset),"1"),IF(ev_split="Equal Split",ev_cost/MAX(1,COUNTA(Roster!$A$5:$A$204)),ev_cost/MAX(1,attendees))),"N/A"))</f>
        <v/>
      </c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44"/>
      <c r="B100" s="45"/>
      <c r="C100" s="45"/>
      <c r="D100" s="45"/>
      <c r="E100" s="45"/>
      <c r="F100" s="46"/>
      <c r="G100" s="45"/>
      <c r="H100" s="45"/>
      <c r="I100" s="45"/>
      <c r="J100" s="42" t="str">
        <f t="array" ref="J100">IF(G100="","",IFERROR(LET(ev_cost,INDEX(Events!$G$5:$G$506,MATCH(G100,Events!$A$5:$A$506,0)),ev_split,INDEX(Events!$I$5:$I$506,MATCH(G100,Events!$A$5:$A$506,0)),att_offset,MATCH(G100,Attendance!$B$3:$AZ$3,0),attendees,COUNTIF(INDEX(Attendance!$B$7:$AZ$206,0,att_offset),"1"),IF(ev_split="Equal Split",ev_cost/MAX(1,COUNTA(Roster!$A$5:$A$204)),ev_cost/MAX(1,attendees))),"N/A"))</f>
        <v/>
      </c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47"/>
      <c r="B101" s="48"/>
      <c r="C101" s="48"/>
      <c r="D101" s="48"/>
      <c r="E101" s="48"/>
      <c r="F101" s="51"/>
      <c r="G101" s="48"/>
      <c r="H101" s="48"/>
      <c r="I101" s="48"/>
      <c r="J101" s="42" t="str">
        <f t="array" ref="J101">IF(G101="","",IFERROR(LET(ev_cost,INDEX(Events!$G$5:$G$506,MATCH(G101,Events!$A$5:$A$506,0)),ev_split,INDEX(Events!$I$5:$I$506,MATCH(G101,Events!$A$5:$A$506,0)),att_offset,MATCH(G101,Attendance!$B$3:$AZ$3,0),attendees,COUNTIF(INDEX(Attendance!$B$7:$AZ$206,0,att_offset),"1"),IF(ev_split="Equal Split",ev_cost/MAX(1,COUNTA(Roster!$A$5:$A$204)),ev_cost/MAX(1,attendees))),"N/A"))</f>
        <v/>
      </c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44"/>
      <c r="B102" s="45"/>
      <c r="C102" s="45"/>
      <c r="D102" s="45"/>
      <c r="E102" s="45"/>
      <c r="F102" s="46"/>
      <c r="G102" s="45"/>
      <c r="H102" s="45"/>
      <c r="I102" s="45"/>
      <c r="J102" s="42" t="str">
        <f t="array" ref="J102">IF(G102="","",IFERROR(LET(ev_cost,INDEX(Events!$G$5:$G$506,MATCH(G102,Events!$A$5:$A$506,0)),ev_split,INDEX(Events!$I$5:$I$506,MATCH(G102,Events!$A$5:$A$506,0)),att_offset,MATCH(G102,Attendance!$B$3:$AZ$3,0),attendees,COUNTIF(INDEX(Attendance!$B$7:$AZ$206,0,att_offset),"1"),IF(ev_split="Equal Split",ev_cost/MAX(1,COUNTA(Roster!$A$5:$A$204)),ev_cost/MAX(1,attendees))),"N/A"))</f>
        <v/>
      </c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47"/>
      <c r="B103" s="48"/>
      <c r="C103" s="48"/>
      <c r="D103" s="48"/>
      <c r="E103" s="48"/>
      <c r="F103" s="51"/>
      <c r="G103" s="48"/>
      <c r="H103" s="48"/>
      <c r="I103" s="48"/>
      <c r="J103" s="42" t="str">
        <f t="array" ref="J103">IF(G103="","",IFERROR(LET(ev_cost,INDEX(Events!$G$5:$G$506,MATCH(G103,Events!$A$5:$A$506,0)),ev_split,INDEX(Events!$I$5:$I$506,MATCH(G103,Events!$A$5:$A$506,0)),att_offset,MATCH(G103,Attendance!$B$3:$AZ$3,0),attendees,COUNTIF(INDEX(Attendance!$B$7:$AZ$206,0,att_offset),"1"),IF(ev_split="Equal Split",ev_cost/MAX(1,COUNTA(Roster!$A$5:$A$204)),ev_cost/MAX(1,attendees))),"N/A"))</f>
        <v/>
      </c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44"/>
      <c r="B104" s="45"/>
      <c r="C104" s="45"/>
      <c r="D104" s="45"/>
      <c r="E104" s="45"/>
      <c r="F104" s="46"/>
      <c r="G104" s="45"/>
      <c r="H104" s="45"/>
      <c r="I104" s="45"/>
      <c r="J104" s="42" t="str">
        <f t="array" ref="J104">IF(G104="","",IFERROR(LET(ev_cost,INDEX(Events!$G$5:$G$506,MATCH(G104,Events!$A$5:$A$506,0)),ev_split,INDEX(Events!$I$5:$I$506,MATCH(G104,Events!$A$5:$A$506,0)),att_offset,MATCH(G104,Attendance!$B$3:$AZ$3,0),attendees,COUNTIF(INDEX(Attendance!$B$7:$AZ$206,0,att_offset),"1"),IF(ev_split="Equal Split",ev_cost/MAX(1,COUNTA(Roster!$A$5:$A$204)),ev_cost/MAX(1,attendees))),"N/A"))</f>
        <v/>
      </c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47"/>
      <c r="B105" s="48"/>
      <c r="C105" s="48"/>
      <c r="D105" s="48"/>
      <c r="E105" s="48"/>
      <c r="F105" s="51"/>
      <c r="G105" s="48"/>
      <c r="H105" s="48"/>
      <c r="I105" s="48"/>
      <c r="J105" s="42" t="str">
        <f t="array" ref="J105">IF(G105="","",IFERROR(LET(ev_cost,INDEX(Events!$G$5:$G$506,MATCH(G105,Events!$A$5:$A$506,0)),ev_split,INDEX(Events!$I$5:$I$506,MATCH(G105,Events!$A$5:$A$506,0)),att_offset,MATCH(G105,Attendance!$B$3:$AZ$3,0),attendees,COUNTIF(INDEX(Attendance!$B$7:$AZ$206,0,att_offset),"1"),IF(ev_split="Equal Split",ev_cost/MAX(1,COUNTA(Roster!$A$5:$A$204)),ev_cost/MAX(1,attendees))),"N/A"))</f>
        <v/>
      </c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44"/>
      <c r="B106" s="45"/>
      <c r="C106" s="45"/>
      <c r="D106" s="45"/>
      <c r="E106" s="45"/>
      <c r="F106" s="46"/>
      <c r="G106" s="45"/>
      <c r="H106" s="45"/>
      <c r="I106" s="45"/>
      <c r="J106" s="42" t="str">
        <f t="array" ref="J106">IF(G106="","",IFERROR(LET(ev_cost,INDEX(Events!$G$5:$G$506,MATCH(G106,Events!$A$5:$A$506,0)),ev_split,INDEX(Events!$I$5:$I$506,MATCH(G106,Events!$A$5:$A$506,0)),att_offset,MATCH(G106,Attendance!$B$3:$AZ$3,0),attendees,COUNTIF(INDEX(Attendance!$B$7:$AZ$206,0,att_offset),"1"),IF(ev_split="Equal Split",ev_cost/MAX(1,COUNTA(Roster!$A$5:$A$204)),ev_cost/MAX(1,attendees))),"N/A"))</f>
        <v/>
      </c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47"/>
      <c r="B107" s="48"/>
      <c r="C107" s="48"/>
      <c r="D107" s="48"/>
      <c r="E107" s="48"/>
      <c r="F107" s="51"/>
      <c r="G107" s="48"/>
      <c r="H107" s="48"/>
      <c r="I107" s="48"/>
      <c r="J107" s="42" t="str">
        <f t="array" ref="J107">IF(G107="","",IFERROR(LET(ev_cost,INDEX(Events!$G$5:$G$506,MATCH(G107,Events!$A$5:$A$506,0)),ev_split,INDEX(Events!$I$5:$I$506,MATCH(G107,Events!$A$5:$A$506,0)),att_offset,MATCH(G107,Attendance!$B$3:$AZ$3,0),attendees,COUNTIF(INDEX(Attendance!$B$7:$AZ$206,0,att_offset),"1"),IF(ev_split="Equal Split",ev_cost/MAX(1,COUNTA(Roster!$A$5:$A$204)),ev_cost/MAX(1,attendees))),"N/A"))</f>
        <v/>
      </c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44"/>
      <c r="B108" s="45"/>
      <c r="C108" s="45"/>
      <c r="D108" s="45"/>
      <c r="E108" s="45"/>
      <c r="F108" s="46"/>
      <c r="G108" s="45"/>
      <c r="H108" s="45"/>
      <c r="I108" s="45"/>
      <c r="J108" s="42" t="str">
        <f t="array" ref="J108">IF(G108="","",IFERROR(LET(ev_cost,INDEX(Events!$G$5:$G$506,MATCH(G108,Events!$A$5:$A$506,0)),ev_split,INDEX(Events!$I$5:$I$506,MATCH(G108,Events!$A$5:$A$506,0)),att_offset,MATCH(G108,Attendance!$B$3:$AZ$3,0),attendees,COUNTIF(INDEX(Attendance!$B$7:$AZ$206,0,att_offset),"1"),IF(ev_split="Equal Split",ev_cost/MAX(1,COUNTA(Roster!$A$5:$A$204)),ev_cost/MAX(1,attendees))),"N/A"))</f>
        <v/>
      </c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47"/>
      <c r="B109" s="48"/>
      <c r="C109" s="48"/>
      <c r="D109" s="48"/>
      <c r="E109" s="48"/>
      <c r="F109" s="51"/>
      <c r="G109" s="48"/>
      <c r="H109" s="48"/>
      <c r="I109" s="48"/>
      <c r="J109" s="42" t="str">
        <f t="array" ref="J109">IF(G109="","",IFERROR(LET(ev_cost,INDEX(Events!$G$5:$G$506,MATCH(G109,Events!$A$5:$A$506,0)),ev_split,INDEX(Events!$I$5:$I$506,MATCH(G109,Events!$A$5:$A$506,0)),att_offset,MATCH(G109,Attendance!$B$3:$AZ$3,0),attendees,COUNTIF(INDEX(Attendance!$B$7:$AZ$206,0,att_offset),"1"),IF(ev_split="Equal Split",ev_cost/MAX(1,COUNTA(Roster!$A$5:$A$204)),ev_cost/MAX(1,attendees))),"N/A"))</f>
        <v/>
      </c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44"/>
      <c r="B110" s="45"/>
      <c r="C110" s="45"/>
      <c r="D110" s="45"/>
      <c r="E110" s="45"/>
      <c r="F110" s="46"/>
      <c r="G110" s="45"/>
      <c r="H110" s="45"/>
      <c r="I110" s="45"/>
      <c r="J110" s="42" t="str">
        <f t="array" ref="J110">IF(G110="","",IFERROR(LET(ev_cost,INDEX(Events!$G$5:$G$506,MATCH(G110,Events!$A$5:$A$506,0)),ev_split,INDEX(Events!$I$5:$I$506,MATCH(G110,Events!$A$5:$A$506,0)),att_offset,MATCH(G110,Attendance!$B$3:$AZ$3,0),attendees,COUNTIF(INDEX(Attendance!$B$7:$AZ$206,0,att_offset),"1"),IF(ev_split="Equal Split",ev_cost/MAX(1,COUNTA(Roster!$A$5:$A$204)),ev_cost/MAX(1,attendees))),"N/A"))</f>
        <v/>
      </c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47"/>
      <c r="B111" s="48"/>
      <c r="C111" s="48"/>
      <c r="D111" s="48"/>
      <c r="E111" s="48"/>
      <c r="F111" s="51"/>
      <c r="G111" s="48"/>
      <c r="H111" s="48"/>
      <c r="I111" s="48"/>
      <c r="J111" s="42" t="str">
        <f t="array" ref="J111">IF(G111="","",IFERROR(LET(ev_cost,INDEX(Events!$G$5:$G$506,MATCH(G111,Events!$A$5:$A$506,0)),ev_split,INDEX(Events!$I$5:$I$506,MATCH(G111,Events!$A$5:$A$506,0)),att_offset,MATCH(G111,Attendance!$B$3:$AZ$3,0),attendees,COUNTIF(INDEX(Attendance!$B$7:$AZ$206,0,att_offset),"1"),IF(ev_split="Equal Split",ev_cost/MAX(1,COUNTA(Roster!$A$5:$A$204)),ev_cost/MAX(1,attendees))),"N/A"))</f>
        <v/>
      </c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44"/>
      <c r="B112" s="45"/>
      <c r="C112" s="45"/>
      <c r="D112" s="45"/>
      <c r="E112" s="45"/>
      <c r="F112" s="46"/>
      <c r="G112" s="45"/>
      <c r="H112" s="45"/>
      <c r="I112" s="45"/>
      <c r="J112" s="42" t="str">
        <f t="array" ref="J112">IF(G112="","",IFERROR(LET(ev_cost,INDEX(Events!$G$5:$G$506,MATCH(G112,Events!$A$5:$A$506,0)),ev_split,INDEX(Events!$I$5:$I$506,MATCH(G112,Events!$A$5:$A$506,0)),att_offset,MATCH(G112,Attendance!$B$3:$AZ$3,0),attendees,COUNTIF(INDEX(Attendance!$B$7:$AZ$206,0,att_offset),"1"),IF(ev_split="Equal Split",ev_cost/MAX(1,COUNTA(Roster!$A$5:$A$204)),ev_cost/MAX(1,attendees))),"N/A"))</f>
        <v/>
      </c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47"/>
      <c r="B113" s="48"/>
      <c r="C113" s="48"/>
      <c r="D113" s="48"/>
      <c r="E113" s="48"/>
      <c r="F113" s="51"/>
      <c r="G113" s="48"/>
      <c r="H113" s="48"/>
      <c r="I113" s="48"/>
      <c r="J113" s="42" t="str">
        <f t="array" ref="J113">IF(G113="","",IFERROR(LET(ev_cost,INDEX(Events!$G$5:$G$506,MATCH(G113,Events!$A$5:$A$506,0)),ev_split,INDEX(Events!$I$5:$I$506,MATCH(G113,Events!$A$5:$A$506,0)),att_offset,MATCH(G113,Attendance!$B$3:$AZ$3,0),attendees,COUNTIF(INDEX(Attendance!$B$7:$AZ$206,0,att_offset),"1"),IF(ev_split="Equal Split",ev_cost/MAX(1,COUNTA(Roster!$A$5:$A$204)),ev_cost/MAX(1,attendees))),"N/A"))</f>
        <v/>
      </c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44"/>
      <c r="B114" s="45"/>
      <c r="C114" s="45"/>
      <c r="D114" s="45"/>
      <c r="E114" s="45"/>
      <c r="F114" s="46"/>
      <c r="G114" s="45"/>
      <c r="H114" s="45"/>
      <c r="I114" s="45"/>
      <c r="J114" s="42" t="str">
        <f t="array" ref="J114">IF(G114="","",IFERROR(LET(ev_cost,INDEX(Events!$G$5:$G$506,MATCH(G114,Events!$A$5:$A$506,0)),ev_split,INDEX(Events!$I$5:$I$506,MATCH(G114,Events!$A$5:$A$506,0)),att_offset,MATCH(G114,Attendance!$B$3:$AZ$3,0),attendees,COUNTIF(INDEX(Attendance!$B$7:$AZ$206,0,att_offset),"1"),IF(ev_split="Equal Split",ev_cost/MAX(1,COUNTA(Roster!$A$5:$A$204)),ev_cost/MAX(1,attendees))),"N/A"))</f>
        <v/>
      </c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47"/>
      <c r="B115" s="48"/>
      <c r="C115" s="48"/>
      <c r="D115" s="48"/>
      <c r="E115" s="48"/>
      <c r="F115" s="51"/>
      <c r="G115" s="48"/>
      <c r="H115" s="48"/>
      <c r="I115" s="48"/>
      <c r="J115" s="42" t="str">
        <f t="array" ref="J115">IF(G115="","",IFERROR(LET(ev_cost,INDEX(Events!$G$5:$G$506,MATCH(G115,Events!$A$5:$A$506,0)),ev_split,INDEX(Events!$I$5:$I$506,MATCH(G115,Events!$A$5:$A$506,0)),att_offset,MATCH(G115,Attendance!$B$3:$AZ$3,0),attendees,COUNTIF(INDEX(Attendance!$B$7:$AZ$206,0,att_offset),"1"),IF(ev_split="Equal Split",ev_cost/MAX(1,COUNTA(Roster!$A$5:$A$204)),ev_cost/MAX(1,attendees))),"N/A"))</f>
        <v/>
      </c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44"/>
      <c r="B116" s="45"/>
      <c r="C116" s="45"/>
      <c r="D116" s="45"/>
      <c r="E116" s="45"/>
      <c r="F116" s="46"/>
      <c r="G116" s="45"/>
      <c r="H116" s="45"/>
      <c r="I116" s="45"/>
      <c r="J116" s="42" t="str">
        <f t="array" ref="J116">IF(G116="","",IFERROR(LET(ev_cost,INDEX(Events!$G$5:$G$506,MATCH(G116,Events!$A$5:$A$506,0)),ev_split,INDEX(Events!$I$5:$I$506,MATCH(G116,Events!$A$5:$A$506,0)),att_offset,MATCH(G116,Attendance!$B$3:$AZ$3,0),attendees,COUNTIF(INDEX(Attendance!$B$7:$AZ$206,0,att_offset),"1"),IF(ev_split="Equal Split",ev_cost/MAX(1,COUNTA(Roster!$A$5:$A$204)),ev_cost/MAX(1,attendees))),"N/A"))</f>
        <v/>
      </c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47"/>
      <c r="B117" s="48"/>
      <c r="C117" s="48"/>
      <c r="D117" s="48"/>
      <c r="E117" s="48"/>
      <c r="F117" s="51"/>
      <c r="G117" s="48"/>
      <c r="H117" s="48"/>
      <c r="I117" s="48"/>
      <c r="J117" s="42" t="str">
        <f t="array" ref="J117">IF(G117="","",IFERROR(LET(ev_cost,INDEX(Events!$G$5:$G$506,MATCH(G117,Events!$A$5:$A$506,0)),ev_split,INDEX(Events!$I$5:$I$506,MATCH(G117,Events!$A$5:$A$506,0)),att_offset,MATCH(G117,Attendance!$B$3:$AZ$3,0),attendees,COUNTIF(INDEX(Attendance!$B$7:$AZ$206,0,att_offset),"1"),IF(ev_split="Equal Split",ev_cost/MAX(1,COUNTA(Roster!$A$5:$A$204)),ev_cost/MAX(1,attendees))),"N/A"))</f>
        <v/>
      </c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44"/>
      <c r="B118" s="45"/>
      <c r="C118" s="45"/>
      <c r="D118" s="45"/>
      <c r="E118" s="45"/>
      <c r="F118" s="46"/>
      <c r="G118" s="45"/>
      <c r="H118" s="45"/>
      <c r="I118" s="45"/>
      <c r="J118" s="42" t="str">
        <f t="array" ref="J118">IF(G118="","",IFERROR(LET(ev_cost,INDEX(Events!$G$5:$G$506,MATCH(G118,Events!$A$5:$A$506,0)),ev_split,INDEX(Events!$I$5:$I$506,MATCH(G118,Events!$A$5:$A$506,0)),att_offset,MATCH(G118,Attendance!$B$3:$AZ$3,0),attendees,COUNTIF(INDEX(Attendance!$B$7:$AZ$206,0,att_offset),"1"),IF(ev_split="Equal Split",ev_cost/MAX(1,COUNTA(Roster!$A$5:$A$204)),ev_cost/MAX(1,attendees))),"N/A"))</f>
        <v/>
      </c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47"/>
      <c r="B119" s="48"/>
      <c r="C119" s="48"/>
      <c r="D119" s="48"/>
      <c r="E119" s="48"/>
      <c r="F119" s="51"/>
      <c r="G119" s="48"/>
      <c r="H119" s="48"/>
      <c r="I119" s="48"/>
      <c r="J119" s="42" t="str">
        <f t="array" ref="J119">IF(G119="","",IFERROR(LET(ev_cost,INDEX(Events!$G$5:$G$506,MATCH(G119,Events!$A$5:$A$506,0)),ev_split,INDEX(Events!$I$5:$I$506,MATCH(G119,Events!$A$5:$A$506,0)),att_offset,MATCH(G119,Attendance!$B$3:$AZ$3,0),attendees,COUNTIF(INDEX(Attendance!$B$7:$AZ$206,0,att_offset),"1"),IF(ev_split="Equal Split",ev_cost/MAX(1,COUNTA(Roster!$A$5:$A$204)),ev_cost/MAX(1,attendees))),"N/A"))</f>
        <v/>
      </c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44"/>
      <c r="B120" s="45"/>
      <c r="C120" s="45"/>
      <c r="D120" s="45"/>
      <c r="E120" s="45"/>
      <c r="F120" s="46"/>
      <c r="G120" s="45"/>
      <c r="H120" s="45"/>
      <c r="I120" s="45"/>
      <c r="J120" s="42" t="str">
        <f t="array" ref="J120">IF(G120="","",IFERROR(LET(ev_cost,INDEX(Events!$G$5:$G$506,MATCH(G120,Events!$A$5:$A$506,0)),ev_split,INDEX(Events!$I$5:$I$506,MATCH(G120,Events!$A$5:$A$506,0)),att_offset,MATCH(G120,Attendance!$B$3:$AZ$3,0),attendees,COUNTIF(INDEX(Attendance!$B$7:$AZ$206,0,att_offset),"1"),IF(ev_split="Equal Split",ev_cost/MAX(1,COUNTA(Roster!$A$5:$A$204)),ev_cost/MAX(1,attendees))),"N/A"))</f>
        <v/>
      </c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47"/>
      <c r="B121" s="48"/>
      <c r="C121" s="48"/>
      <c r="D121" s="48"/>
      <c r="E121" s="48"/>
      <c r="F121" s="51"/>
      <c r="G121" s="48"/>
      <c r="H121" s="48"/>
      <c r="I121" s="48"/>
      <c r="J121" s="42" t="str">
        <f t="array" ref="J121">IF(G121="","",IFERROR(LET(ev_cost,INDEX(Events!$G$5:$G$506,MATCH(G121,Events!$A$5:$A$506,0)),ev_split,INDEX(Events!$I$5:$I$506,MATCH(G121,Events!$A$5:$A$506,0)),att_offset,MATCH(G121,Attendance!$B$3:$AZ$3,0),attendees,COUNTIF(INDEX(Attendance!$B$7:$AZ$206,0,att_offset),"1"),IF(ev_split="Equal Split",ev_cost/MAX(1,COUNTA(Roster!$A$5:$A$204)),ev_cost/MAX(1,attendees))),"N/A"))</f>
        <v/>
      </c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44"/>
      <c r="B122" s="45"/>
      <c r="C122" s="45"/>
      <c r="D122" s="45"/>
      <c r="E122" s="45"/>
      <c r="F122" s="46"/>
      <c r="G122" s="45"/>
      <c r="H122" s="45"/>
      <c r="I122" s="45"/>
      <c r="J122" s="42" t="str">
        <f t="array" ref="J122">IF(G122="","",IFERROR(LET(ev_cost,INDEX(Events!$G$5:$G$506,MATCH(G122,Events!$A$5:$A$506,0)),ev_split,INDEX(Events!$I$5:$I$506,MATCH(G122,Events!$A$5:$A$506,0)),att_offset,MATCH(G122,Attendance!$B$3:$AZ$3,0),attendees,COUNTIF(INDEX(Attendance!$B$7:$AZ$206,0,att_offset),"1"),IF(ev_split="Equal Split",ev_cost/MAX(1,COUNTA(Roster!$A$5:$A$204)),ev_cost/MAX(1,attendees))),"N/A"))</f>
        <v/>
      </c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47"/>
      <c r="B123" s="48"/>
      <c r="C123" s="48"/>
      <c r="D123" s="48"/>
      <c r="E123" s="48"/>
      <c r="F123" s="51"/>
      <c r="G123" s="48"/>
      <c r="H123" s="48"/>
      <c r="I123" s="48"/>
      <c r="J123" s="42" t="str">
        <f t="array" ref="J123">IF(G123="","",IFERROR(LET(ev_cost,INDEX(Events!$G$5:$G$506,MATCH(G123,Events!$A$5:$A$506,0)),ev_split,INDEX(Events!$I$5:$I$506,MATCH(G123,Events!$A$5:$A$506,0)),att_offset,MATCH(G123,Attendance!$B$3:$AZ$3,0),attendees,COUNTIF(INDEX(Attendance!$B$7:$AZ$206,0,att_offset),"1"),IF(ev_split="Equal Split",ev_cost/MAX(1,COUNTA(Roster!$A$5:$A$204)),ev_cost/MAX(1,attendees))),"N/A"))</f>
        <v/>
      </c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44"/>
      <c r="B124" s="45"/>
      <c r="C124" s="45"/>
      <c r="D124" s="45"/>
      <c r="E124" s="45"/>
      <c r="F124" s="46"/>
      <c r="G124" s="45"/>
      <c r="H124" s="45"/>
      <c r="I124" s="45"/>
      <c r="J124" s="42" t="str">
        <f t="array" ref="J124">IF(G124="","",IFERROR(LET(ev_cost,INDEX(Events!$G$5:$G$506,MATCH(G124,Events!$A$5:$A$506,0)),ev_split,INDEX(Events!$I$5:$I$506,MATCH(G124,Events!$A$5:$A$506,0)),att_offset,MATCH(G124,Attendance!$B$3:$AZ$3,0),attendees,COUNTIF(INDEX(Attendance!$B$7:$AZ$206,0,att_offset),"1"),IF(ev_split="Equal Split",ev_cost/MAX(1,COUNTA(Roster!$A$5:$A$204)),ev_cost/MAX(1,attendees))),"N/A"))</f>
        <v/>
      </c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47"/>
      <c r="B125" s="48"/>
      <c r="C125" s="48"/>
      <c r="D125" s="48"/>
      <c r="E125" s="48"/>
      <c r="F125" s="51"/>
      <c r="G125" s="48"/>
      <c r="H125" s="48"/>
      <c r="I125" s="48"/>
      <c r="J125" s="42" t="str">
        <f t="array" ref="J125">IF(G125="","",IFERROR(LET(ev_cost,INDEX(Events!$G$5:$G$506,MATCH(G125,Events!$A$5:$A$506,0)),ev_split,INDEX(Events!$I$5:$I$506,MATCH(G125,Events!$A$5:$A$506,0)),att_offset,MATCH(G125,Attendance!$B$3:$AZ$3,0),attendees,COUNTIF(INDEX(Attendance!$B$7:$AZ$206,0,att_offset),"1"),IF(ev_split="Equal Split",ev_cost/MAX(1,COUNTA(Roster!$A$5:$A$204)),ev_cost/MAX(1,attendees))),"N/A"))</f>
        <v/>
      </c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44"/>
      <c r="B126" s="45"/>
      <c r="C126" s="45"/>
      <c r="D126" s="45"/>
      <c r="E126" s="45"/>
      <c r="F126" s="46"/>
      <c r="G126" s="45"/>
      <c r="H126" s="45"/>
      <c r="I126" s="45"/>
      <c r="J126" s="42" t="str">
        <f t="array" ref="J126">IF(G126="","",IFERROR(LET(ev_cost,INDEX(Events!$G$5:$G$506,MATCH(G126,Events!$A$5:$A$506,0)),ev_split,INDEX(Events!$I$5:$I$506,MATCH(G126,Events!$A$5:$A$506,0)),att_offset,MATCH(G126,Attendance!$B$3:$AZ$3,0),attendees,COUNTIF(INDEX(Attendance!$B$7:$AZ$206,0,att_offset),"1"),IF(ev_split="Equal Split",ev_cost/MAX(1,COUNTA(Roster!$A$5:$A$204)),ev_cost/MAX(1,attendees))),"N/A"))</f>
        <v/>
      </c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47"/>
      <c r="B127" s="48"/>
      <c r="C127" s="48"/>
      <c r="D127" s="48"/>
      <c r="E127" s="48"/>
      <c r="F127" s="51"/>
      <c r="G127" s="48"/>
      <c r="H127" s="48"/>
      <c r="I127" s="48"/>
      <c r="J127" s="42" t="str">
        <f t="array" ref="J127">IF(G127="","",IFERROR(LET(ev_cost,INDEX(Events!$G$5:$G$506,MATCH(G127,Events!$A$5:$A$506,0)),ev_split,INDEX(Events!$I$5:$I$506,MATCH(G127,Events!$A$5:$A$506,0)),att_offset,MATCH(G127,Attendance!$B$3:$AZ$3,0),attendees,COUNTIF(INDEX(Attendance!$B$7:$AZ$206,0,att_offset),"1"),IF(ev_split="Equal Split",ev_cost/MAX(1,COUNTA(Roster!$A$5:$A$204)),ev_cost/MAX(1,attendees))),"N/A"))</f>
        <v/>
      </c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44"/>
      <c r="B128" s="45"/>
      <c r="C128" s="45"/>
      <c r="D128" s="45"/>
      <c r="E128" s="45"/>
      <c r="F128" s="46"/>
      <c r="G128" s="45"/>
      <c r="H128" s="45"/>
      <c r="I128" s="45"/>
      <c r="J128" s="42" t="str">
        <f t="array" ref="J128">IF(G128="","",IFERROR(LET(ev_cost,INDEX(Events!$G$5:$G$506,MATCH(G128,Events!$A$5:$A$506,0)),ev_split,INDEX(Events!$I$5:$I$506,MATCH(G128,Events!$A$5:$A$506,0)),att_offset,MATCH(G128,Attendance!$B$3:$AZ$3,0),attendees,COUNTIF(INDEX(Attendance!$B$7:$AZ$206,0,att_offset),"1"),IF(ev_split="Equal Split",ev_cost/MAX(1,COUNTA(Roster!$A$5:$A$204)),ev_cost/MAX(1,attendees))),"N/A"))</f>
        <v/>
      </c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47"/>
      <c r="B129" s="48"/>
      <c r="C129" s="48"/>
      <c r="D129" s="48"/>
      <c r="E129" s="48"/>
      <c r="F129" s="51"/>
      <c r="G129" s="48"/>
      <c r="H129" s="48"/>
      <c r="I129" s="48"/>
      <c r="J129" s="42" t="str">
        <f t="array" ref="J129">IF(G129="","",IFERROR(LET(ev_cost,INDEX(Events!$G$5:$G$506,MATCH(G129,Events!$A$5:$A$506,0)),ev_split,INDEX(Events!$I$5:$I$506,MATCH(G129,Events!$A$5:$A$506,0)),att_offset,MATCH(G129,Attendance!$B$3:$AZ$3,0),attendees,COUNTIF(INDEX(Attendance!$B$7:$AZ$206,0,att_offset),"1"),IF(ev_split="Equal Split",ev_cost/MAX(1,COUNTA(Roster!$A$5:$A$204)),ev_cost/MAX(1,attendees))),"N/A"))</f>
        <v/>
      </c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44"/>
      <c r="B130" s="45"/>
      <c r="C130" s="45"/>
      <c r="D130" s="45"/>
      <c r="E130" s="45"/>
      <c r="F130" s="46"/>
      <c r="G130" s="45"/>
      <c r="H130" s="45"/>
      <c r="I130" s="45"/>
      <c r="J130" s="42" t="str">
        <f t="array" ref="J130">IF(G130="","",IFERROR(LET(ev_cost,INDEX(Events!$G$5:$G$506,MATCH(G130,Events!$A$5:$A$506,0)),ev_split,INDEX(Events!$I$5:$I$506,MATCH(G130,Events!$A$5:$A$506,0)),att_offset,MATCH(G130,Attendance!$B$3:$AZ$3,0),attendees,COUNTIF(INDEX(Attendance!$B$7:$AZ$206,0,att_offset),"1"),IF(ev_split="Equal Split",ev_cost/MAX(1,COUNTA(Roster!$A$5:$A$204)),ev_cost/MAX(1,attendees))),"N/A"))</f>
        <v/>
      </c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47"/>
      <c r="B131" s="48"/>
      <c r="C131" s="48"/>
      <c r="D131" s="48"/>
      <c r="E131" s="48"/>
      <c r="F131" s="51"/>
      <c r="G131" s="48"/>
      <c r="H131" s="48"/>
      <c r="I131" s="48"/>
      <c r="J131" s="42" t="str">
        <f t="array" ref="J131">IF(G131="","",IFERROR(LET(ev_cost,INDEX(Events!$G$5:$G$506,MATCH(G131,Events!$A$5:$A$506,0)),ev_split,INDEX(Events!$I$5:$I$506,MATCH(G131,Events!$A$5:$A$506,0)),att_offset,MATCH(G131,Attendance!$B$3:$AZ$3,0),attendees,COUNTIF(INDEX(Attendance!$B$7:$AZ$206,0,att_offset),"1"),IF(ev_split="Equal Split",ev_cost/MAX(1,COUNTA(Roster!$A$5:$A$204)),ev_cost/MAX(1,attendees))),"N/A"))</f>
        <v/>
      </c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44"/>
      <c r="B132" s="45"/>
      <c r="C132" s="45"/>
      <c r="D132" s="45"/>
      <c r="E132" s="45"/>
      <c r="F132" s="46"/>
      <c r="G132" s="45"/>
      <c r="H132" s="45"/>
      <c r="I132" s="45"/>
      <c r="J132" s="42" t="str">
        <f t="array" ref="J132">IF(G132="","",IFERROR(LET(ev_cost,INDEX(Events!$G$5:$G$506,MATCH(G132,Events!$A$5:$A$506,0)),ev_split,INDEX(Events!$I$5:$I$506,MATCH(G132,Events!$A$5:$A$506,0)),att_offset,MATCH(G132,Attendance!$B$3:$AZ$3,0),attendees,COUNTIF(INDEX(Attendance!$B$7:$AZ$206,0,att_offset),"1"),IF(ev_split="Equal Split",ev_cost/MAX(1,COUNTA(Roster!$A$5:$A$204)),ev_cost/MAX(1,attendees))),"N/A"))</f>
        <v/>
      </c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47"/>
      <c r="B133" s="48"/>
      <c r="C133" s="48"/>
      <c r="D133" s="48"/>
      <c r="E133" s="48"/>
      <c r="F133" s="51"/>
      <c r="G133" s="48"/>
      <c r="H133" s="48"/>
      <c r="I133" s="48"/>
      <c r="J133" s="42" t="str">
        <f t="array" ref="J133">IF(G133="","",IFERROR(LET(ev_cost,INDEX(Events!$G$5:$G$506,MATCH(G133,Events!$A$5:$A$506,0)),ev_split,INDEX(Events!$I$5:$I$506,MATCH(G133,Events!$A$5:$A$506,0)),att_offset,MATCH(G133,Attendance!$B$3:$AZ$3,0),attendees,COUNTIF(INDEX(Attendance!$B$7:$AZ$206,0,att_offset),"1"),IF(ev_split="Equal Split",ev_cost/MAX(1,COUNTA(Roster!$A$5:$A$204)),ev_cost/MAX(1,attendees))),"N/A"))</f>
        <v/>
      </c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44"/>
      <c r="B134" s="45"/>
      <c r="C134" s="45"/>
      <c r="D134" s="45"/>
      <c r="E134" s="45"/>
      <c r="F134" s="46"/>
      <c r="G134" s="45"/>
      <c r="H134" s="45"/>
      <c r="I134" s="45"/>
      <c r="J134" s="42" t="str">
        <f t="array" ref="J134">IF(G134="","",IFERROR(LET(ev_cost,INDEX(Events!$G$5:$G$506,MATCH(G134,Events!$A$5:$A$506,0)),ev_split,INDEX(Events!$I$5:$I$506,MATCH(G134,Events!$A$5:$A$506,0)),att_offset,MATCH(G134,Attendance!$B$3:$AZ$3,0),attendees,COUNTIF(INDEX(Attendance!$B$7:$AZ$206,0,att_offset),"1"),IF(ev_split="Equal Split",ev_cost/MAX(1,COUNTA(Roster!$A$5:$A$204)),ev_cost/MAX(1,attendees))),"N/A"))</f>
        <v/>
      </c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47"/>
      <c r="B135" s="48"/>
      <c r="C135" s="48"/>
      <c r="D135" s="48"/>
      <c r="E135" s="48"/>
      <c r="F135" s="51"/>
      <c r="G135" s="48"/>
      <c r="H135" s="48"/>
      <c r="I135" s="48"/>
      <c r="J135" s="42" t="str">
        <f t="array" ref="J135">IF(G135="","",IFERROR(LET(ev_cost,INDEX(Events!$G$5:$G$506,MATCH(G135,Events!$A$5:$A$506,0)),ev_split,INDEX(Events!$I$5:$I$506,MATCH(G135,Events!$A$5:$A$506,0)),att_offset,MATCH(G135,Attendance!$B$3:$AZ$3,0),attendees,COUNTIF(INDEX(Attendance!$B$7:$AZ$206,0,att_offset),"1"),IF(ev_split="Equal Split",ev_cost/MAX(1,COUNTA(Roster!$A$5:$A$204)),ev_cost/MAX(1,attendees))),"N/A"))</f>
        <v/>
      </c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44"/>
      <c r="B136" s="45"/>
      <c r="C136" s="45"/>
      <c r="D136" s="45"/>
      <c r="E136" s="45"/>
      <c r="F136" s="46"/>
      <c r="G136" s="45"/>
      <c r="H136" s="45"/>
      <c r="I136" s="45"/>
      <c r="J136" s="42" t="str">
        <f t="array" ref="J136">IF(G136="","",IFERROR(LET(ev_cost,INDEX(Events!$G$5:$G$506,MATCH(G136,Events!$A$5:$A$506,0)),ev_split,INDEX(Events!$I$5:$I$506,MATCH(G136,Events!$A$5:$A$506,0)),att_offset,MATCH(G136,Attendance!$B$3:$AZ$3,0),attendees,COUNTIF(INDEX(Attendance!$B$7:$AZ$206,0,att_offset),"1"),IF(ev_split="Equal Split",ev_cost/MAX(1,COUNTA(Roster!$A$5:$A$204)),ev_cost/MAX(1,attendees))),"N/A"))</f>
        <v/>
      </c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47"/>
      <c r="B137" s="48"/>
      <c r="C137" s="48"/>
      <c r="D137" s="48"/>
      <c r="E137" s="48"/>
      <c r="F137" s="51"/>
      <c r="G137" s="48"/>
      <c r="H137" s="48"/>
      <c r="I137" s="48"/>
      <c r="J137" s="42" t="str">
        <f t="array" ref="J137">IF(G137="","",IFERROR(LET(ev_cost,INDEX(Events!$G$5:$G$506,MATCH(G137,Events!$A$5:$A$506,0)),ev_split,INDEX(Events!$I$5:$I$506,MATCH(G137,Events!$A$5:$A$506,0)),att_offset,MATCH(G137,Attendance!$B$3:$AZ$3,0),attendees,COUNTIF(INDEX(Attendance!$B$7:$AZ$206,0,att_offset),"1"),IF(ev_split="Equal Split",ev_cost/MAX(1,COUNTA(Roster!$A$5:$A$204)),ev_cost/MAX(1,attendees))),"N/A"))</f>
        <v/>
      </c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44"/>
      <c r="B138" s="45"/>
      <c r="C138" s="45"/>
      <c r="D138" s="45"/>
      <c r="E138" s="45"/>
      <c r="F138" s="46"/>
      <c r="G138" s="45"/>
      <c r="H138" s="45"/>
      <c r="I138" s="45"/>
      <c r="J138" s="42" t="str">
        <f t="array" ref="J138">IF(G138="","",IFERROR(LET(ev_cost,INDEX(Events!$G$5:$G$506,MATCH(G138,Events!$A$5:$A$506,0)),ev_split,INDEX(Events!$I$5:$I$506,MATCH(G138,Events!$A$5:$A$506,0)),att_offset,MATCH(G138,Attendance!$B$3:$AZ$3,0),attendees,COUNTIF(INDEX(Attendance!$B$7:$AZ$206,0,att_offset),"1"),IF(ev_split="Equal Split",ev_cost/MAX(1,COUNTA(Roster!$A$5:$A$204)),ev_cost/MAX(1,attendees))),"N/A"))</f>
        <v/>
      </c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47"/>
      <c r="B139" s="48"/>
      <c r="C139" s="48"/>
      <c r="D139" s="48"/>
      <c r="E139" s="48"/>
      <c r="F139" s="51"/>
      <c r="G139" s="48"/>
      <c r="H139" s="48"/>
      <c r="I139" s="48"/>
      <c r="J139" s="42" t="str">
        <f t="array" ref="J139">IF(G139="","",IFERROR(LET(ev_cost,INDEX(Events!$G$5:$G$506,MATCH(G139,Events!$A$5:$A$506,0)),ev_split,INDEX(Events!$I$5:$I$506,MATCH(G139,Events!$A$5:$A$506,0)),att_offset,MATCH(G139,Attendance!$B$3:$AZ$3,0),attendees,COUNTIF(INDEX(Attendance!$B$7:$AZ$206,0,att_offset),"1"),IF(ev_split="Equal Split",ev_cost/MAX(1,COUNTA(Roster!$A$5:$A$204)),ev_cost/MAX(1,attendees))),"N/A"))</f>
        <v/>
      </c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44"/>
      <c r="B140" s="45"/>
      <c r="C140" s="45"/>
      <c r="D140" s="45"/>
      <c r="E140" s="45"/>
      <c r="F140" s="46"/>
      <c r="G140" s="45"/>
      <c r="H140" s="45"/>
      <c r="I140" s="45"/>
      <c r="J140" s="42" t="str">
        <f t="array" ref="J140">IF(G140="","",IFERROR(LET(ev_cost,INDEX(Events!$G$5:$G$506,MATCH(G140,Events!$A$5:$A$506,0)),ev_split,INDEX(Events!$I$5:$I$506,MATCH(G140,Events!$A$5:$A$506,0)),att_offset,MATCH(G140,Attendance!$B$3:$AZ$3,0),attendees,COUNTIF(INDEX(Attendance!$B$7:$AZ$206,0,att_offset),"1"),IF(ev_split="Equal Split",ev_cost/MAX(1,COUNTA(Roster!$A$5:$A$204)),ev_cost/MAX(1,attendees))),"N/A"))</f>
        <v/>
      </c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47"/>
      <c r="B141" s="48"/>
      <c r="C141" s="48"/>
      <c r="D141" s="48"/>
      <c r="E141" s="48"/>
      <c r="F141" s="51"/>
      <c r="G141" s="48"/>
      <c r="H141" s="48"/>
      <c r="I141" s="48"/>
      <c r="J141" s="42" t="str">
        <f t="array" ref="J141">IF(G141="","",IFERROR(LET(ev_cost,INDEX(Events!$G$5:$G$506,MATCH(G141,Events!$A$5:$A$506,0)),ev_split,INDEX(Events!$I$5:$I$506,MATCH(G141,Events!$A$5:$A$506,0)),att_offset,MATCH(G141,Attendance!$B$3:$AZ$3,0),attendees,COUNTIF(INDEX(Attendance!$B$7:$AZ$206,0,att_offset),"1"),IF(ev_split="Equal Split",ev_cost/MAX(1,COUNTA(Roster!$A$5:$A$204)),ev_cost/MAX(1,attendees))),"N/A"))</f>
        <v/>
      </c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44"/>
      <c r="B142" s="45"/>
      <c r="C142" s="45"/>
      <c r="D142" s="45"/>
      <c r="E142" s="45"/>
      <c r="F142" s="46"/>
      <c r="G142" s="45"/>
      <c r="H142" s="45"/>
      <c r="I142" s="45"/>
      <c r="J142" s="42" t="str">
        <f t="array" ref="J142">IF(G142="","",IFERROR(LET(ev_cost,INDEX(Events!$G$5:$G$506,MATCH(G142,Events!$A$5:$A$506,0)),ev_split,INDEX(Events!$I$5:$I$506,MATCH(G142,Events!$A$5:$A$506,0)),att_offset,MATCH(G142,Attendance!$B$3:$AZ$3,0),attendees,COUNTIF(INDEX(Attendance!$B$7:$AZ$206,0,att_offset),"1"),IF(ev_split="Equal Split",ev_cost/MAX(1,COUNTA(Roster!$A$5:$A$204)),ev_cost/MAX(1,attendees))),"N/A"))</f>
        <v/>
      </c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47"/>
      <c r="B143" s="48"/>
      <c r="C143" s="48"/>
      <c r="D143" s="48"/>
      <c r="E143" s="48"/>
      <c r="F143" s="51"/>
      <c r="G143" s="48"/>
      <c r="H143" s="48"/>
      <c r="I143" s="48"/>
      <c r="J143" s="42" t="str">
        <f t="array" ref="J143">IF(G143="","",IFERROR(LET(ev_cost,INDEX(Events!$G$5:$G$506,MATCH(G143,Events!$A$5:$A$506,0)),ev_split,INDEX(Events!$I$5:$I$506,MATCH(G143,Events!$A$5:$A$506,0)),att_offset,MATCH(G143,Attendance!$B$3:$AZ$3,0),attendees,COUNTIF(INDEX(Attendance!$B$7:$AZ$206,0,att_offset),"1"),IF(ev_split="Equal Split",ev_cost/MAX(1,COUNTA(Roster!$A$5:$A$204)),ev_cost/MAX(1,attendees))),"N/A"))</f>
        <v/>
      </c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44"/>
      <c r="B144" s="45"/>
      <c r="C144" s="45"/>
      <c r="D144" s="45"/>
      <c r="E144" s="45"/>
      <c r="F144" s="46"/>
      <c r="G144" s="45"/>
      <c r="H144" s="45"/>
      <c r="I144" s="45"/>
      <c r="J144" s="42" t="str">
        <f t="array" ref="J144">IF(G144="","",IFERROR(LET(ev_cost,INDEX(Events!$G$5:$G$506,MATCH(G144,Events!$A$5:$A$506,0)),ev_split,INDEX(Events!$I$5:$I$506,MATCH(G144,Events!$A$5:$A$506,0)),att_offset,MATCH(G144,Attendance!$B$3:$AZ$3,0),attendees,COUNTIF(INDEX(Attendance!$B$7:$AZ$206,0,att_offset),"1"),IF(ev_split="Equal Split",ev_cost/MAX(1,COUNTA(Roster!$A$5:$A$204)),ev_cost/MAX(1,attendees))),"N/A"))</f>
        <v/>
      </c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47"/>
      <c r="B145" s="48"/>
      <c r="C145" s="48"/>
      <c r="D145" s="48"/>
      <c r="E145" s="48"/>
      <c r="F145" s="51"/>
      <c r="G145" s="48"/>
      <c r="H145" s="48"/>
      <c r="I145" s="48"/>
      <c r="J145" s="42" t="str">
        <f t="array" ref="J145">IF(G145="","",IFERROR(LET(ev_cost,INDEX(Events!$G$5:$G$506,MATCH(G145,Events!$A$5:$A$506,0)),ev_split,INDEX(Events!$I$5:$I$506,MATCH(G145,Events!$A$5:$A$506,0)),att_offset,MATCH(G145,Attendance!$B$3:$AZ$3,0),attendees,COUNTIF(INDEX(Attendance!$B$7:$AZ$206,0,att_offset),"1"),IF(ev_split="Equal Split",ev_cost/MAX(1,COUNTA(Roster!$A$5:$A$204)),ev_cost/MAX(1,attendees))),"N/A"))</f>
        <v/>
      </c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44"/>
      <c r="B146" s="45"/>
      <c r="C146" s="45"/>
      <c r="D146" s="45"/>
      <c r="E146" s="45"/>
      <c r="F146" s="46"/>
      <c r="G146" s="45"/>
      <c r="H146" s="45"/>
      <c r="I146" s="45"/>
      <c r="J146" s="42" t="str">
        <f t="array" ref="J146">IF(G146="","",IFERROR(LET(ev_cost,INDEX(Events!$G$5:$G$506,MATCH(G146,Events!$A$5:$A$506,0)),ev_split,INDEX(Events!$I$5:$I$506,MATCH(G146,Events!$A$5:$A$506,0)),att_offset,MATCH(G146,Attendance!$B$3:$AZ$3,0),attendees,COUNTIF(INDEX(Attendance!$B$7:$AZ$206,0,att_offset),"1"),IF(ev_split="Equal Split",ev_cost/MAX(1,COUNTA(Roster!$A$5:$A$204)),ev_cost/MAX(1,attendees))),"N/A"))</f>
        <v/>
      </c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47"/>
      <c r="B147" s="48"/>
      <c r="C147" s="48"/>
      <c r="D147" s="48"/>
      <c r="E147" s="48"/>
      <c r="F147" s="51"/>
      <c r="G147" s="48"/>
      <c r="H147" s="48"/>
      <c r="I147" s="48"/>
      <c r="J147" s="42" t="str">
        <f t="array" ref="J147">IF(G147="","",IFERROR(LET(ev_cost,INDEX(Events!$G$5:$G$506,MATCH(G147,Events!$A$5:$A$506,0)),ev_split,INDEX(Events!$I$5:$I$506,MATCH(G147,Events!$A$5:$A$506,0)),att_offset,MATCH(G147,Attendance!$B$3:$AZ$3,0),attendees,COUNTIF(INDEX(Attendance!$B$7:$AZ$206,0,att_offset),"1"),IF(ev_split="Equal Split",ev_cost/MAX(1,COUNTA(Roster!$A$5:$A$204)),ev_cost/MAX(1,attendees))),"N/A"))</f>
        <v/>
      </c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44"/>
      <c r="B148" s="45"/>
      <c r="C148" s="45"/>
      <c r="D148" s="45"/>
      <c r="E148" s="45"/>
      <c r="F148" s="46"/>
      <c r="G148" s="45"/>
      <c r="H148" s="45"/>
      <c r="I148" s="45"/>
      <c r="J148" s="42" t="str">
        <f t="array" ref="J148">IF(G148="","",IFERROR(LET(ev_cost,INDEX(Events!$G$5:$G$506,MATCH(G148,Events!$A$5:$A$506,0)),ev_split,INDEX(Events!$I$5:$I$506,MATCH(G148,Events!$A$5:$A$506,0)),att_offset,MATCH(G148,Attendance!$B$3:$AZ$3,0),attendees,COUNTIF(INDEX(Attendance!$B$7:$AZ$206,0,att_offset),"1"),IF(ev_split="Equal Split",ev_cost/MAX(1,COUNTA(Roster!$A$5:$A$204)),ev_cost/MAX(1,attendees))),"N/A"))</f>
        <v/>
      </c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47"/>
      <c r="B149" s="48"/>
      <c r="C149" s="48"/>
      <c r="D149" s="48"/>
      <c r="E149" s="48"/>
      <c r="F149" s="51"/>
      <c r="G149" s="48"/>
      <c r="H149" s="48"/>
      <c r="I149" s="48"/>
      <c r="J149" s="42" t="str">
        <f t="array" ref="J149">IF(G149="","",IFERROR(LET(ev_cost,INDEX(Events!$G$5:$G$506,MATCH(G149,Events!$A$5:$A$506,0)),ev_split,INDEX(Events!$I$5:$I$506,MATCH(G149,Events!$A$5:$A$506,0)),att_offset,MATCH(G149,Attendance!$B$3:$AZ$3,0),attendees,COUNTIF(INDEX(Attendance!$B$7:$AZ$206,0,att_offset),"1"),IF(ev_split="Equal Split",ev_cost/MAX(1,COUNTA(Roster!$A$5:$A$204)),ev_cost/MAX(1,attendees))),"N/A"))</f>
        <v/>
      </c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44"/>
      <c r="B150" s="45"/>
      <c r="C150" s="45"/>
      <c r="D150" s="45"/>
      <c r="E150" s="45"/>
      <c r="F150" s="46"/>
      <c r="G150" s="45"/>
      <c r="H150" s="45"/>
      <c r="I150" s="45"/>
      <c r="J150" s="42" t="str">
        <f t="array" ref="J150">IF(G150="","",IFERROR(LET(ev_cost,INDEX(Events!$G$5:$G$506,MATCH(G150,Events!$A$5:$A$506,0)),ev_split,INDEX(Events!$I$5:$I$506,MATCH(G150,Events!$A$5:$A$506,0)),att_offset,MATCH(G150,Attendance!$B$3:$AZ$3,0),attendees,COUNTIF(INDEX(Attendance!$B$7:$AZ$206,0,att_offset),"1"),IF(ev_split="Equal Split",ev_cost/MAX(1,COUNTA(Roster!$A$5:$A$204)),ev_cost/MAX(1,attendees))),"N/A"))</f>
        <v/>
      </c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47"/>
      <c r="B151" s="48"/>
      <c r="C151" s="48"/>
      <c r="D151" s="48"/>
      <c r="E151" s="48"/>
      <c r="F151" s="51"/>
      <c r="G151" s="48"/>
      <c r="H151" s="48"/>
      <c r="I151" s="48"/>
      <c r="J151" s="42" t="str">
        <f t="array" ref="J151">IF(G151="","",IFERROR(LET(ev_cost,INDEX(Events!$G$5:$G$506,MATCH(G151,Events!$A$5:$A$506,0)),ev_split,INDEX(Events!$I$5:$I$506,MATCH(G151,Events!$A$5:$A$506,0)),att_offset,MATCH(G151,Attendance!$B$3:$AZ$3,0),attendees,COUNTIF(INDEX(Attendance!$B$7:$AZ$206,0,att_offset),"1"),IF(ev_split="Equal Split",ev_cost/MAX(1,COUNTA(Roster!$A$5:$A$204)),ev_cost/MAX(1,attendees))),"N/A"))</f>
        <v/>
      </c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44"/>
      <c r="B152" s="45"/>
      <c r="C152" s="45"/>
      <c r="D152" s="45"/>
      <c r="E152" s="45"/>
      <c r="F152" s="46"/>
      <c r="G152" s="45"/>
      <c r="H152" s="45"/>
      <c r="I152" s="45"/>
      <c r="J152" s="42" t="str">
        <f t="array" ref="J152">IF(G152="","",IFERROR(LET(ev_cost,INDEX(Events!$G$5:$G$506,MATCH(G152,Events!$A$5:$A$506,0)),ev_split,INDEX(Events!$I$5:$I$506,MATCH(G152,Events!$A$5:$A$506,0)),att_offset,MATCH(G152,Attendance!$B$3:$AZ$3,0),attendees,COUNTIF(INDEX(Attendance!$B$7:$AZ$206,0,att_offset),"1"),IF(ev_split="Equal Split",ev_cost/MAX(1,COUNTA(Roster!$A$5:$A$204)),ev_cost/MAX(1,attendees))),"N/A"))</f>
        <v/>
      </c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47"/>
      <c r="B153" s="48"/>
      <c r="C153" s="48"/>
      <c r="D153" s="48"/>
      <c r="E153" s="48"/>
      <c r="F153" s="51"/>
      <c r="G153" s="48"/>
      <c r="H153" s="48"/>
      <c r="I153" s="48"/>
      <c r="J153" s="42" t="str">
        <f t="array" ref="J153">IF(G153="","",IFERROR(LET(ev_cost,INDEX(Events!$G$5:$G$506,MATCH(G153,Events!$A$5:$A$506,0)),ev_split,INDEX(Events!$I$5:$I$506,MATCH(G153,Events!$A$5:$A$506,0)),att_offset,MATCH(G153,Attendance!$B$3:$AZ$3,0),attendees,COUNTIF(INDEX(Attendance!$B$7:$AZ$206,0,att_offset),"1"),IF(ev_split="Equal Split",ev_cost/MAX(1,COUNTA(Roster!$A$5:$A$204)),ev_cost/MAX(1,attendees))),"N/A"))</f>
        <v/>
      </c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44"/>
      <c r="B154" s="45"/>
      <c r="C154" s="45"/>
      <c r="D154" s="45"/>
      <c r="E154" s="45"/>
      <c r="F154" s="46"/>
      <c r="G154" s="45"/>
      <c r="H154" s="45"/>
      <c r="I154" s="45"/>
      <c r="J154" s="42" t="str">
        <f t="array" ref="J154">IF(G154="","",IFERROR(LET(ev_cost,INDEX(Events!$G$5:$G$506,MATCH(G154,Events!$A$5:$A$506,0)),ev_split,INDEX(Events!$I$5:$I$506,MATCH(G154,Events!$A$5:$A$506,0)),att_offset,MATCH(G154,Attendance!$B$3:$AZ$3,0),attendees,COUNTIF(INDEX(Attendance!$B$7:$AZ$206,0,att_offset),"1"),IF(ev_split="Equal Split",ev_cost/MAX(1,COUNTA(Roster!$A$5:$A$204)),ev_cost/MAX(1,attendees))),"N/A"))</f>
        <v/>
      </c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47"/>
      <c r="B155" s="48"/>
      <c r="C155" s="48"/>
      <c r="D155" s="48"/>
      <c r="E155" s="48"/>
      <c r="F155" s="51"/>
      <c r="G155" s="48"/>
      <c r="H155" s="48"/>
      <c r="I155" s="48"/>
      <c r="J155" s="42" t="str">
        <f t="array" ref="J155">IF(G155="","",IFERROR(LET(ev_cost,INDEX(Events!$G$5:$G$506,MATCH(G155,Events!$A$5:$A$506,0)),ev_split,INDEX(Events!$I$5:$I$506,MATCH(G155,Events!$A$5:$A$506,0)),att_offset,MATCH(G155,Attendance!$B$3:$AZ$3,0),attendees,COUNTIF(INDEX(Attendance!$B$7:$AZ$206,0,att_offset),"1"),IF(ev_split="Equal Split",ev_cost/MAX(1,COUNTA(Roster!$A$5:$A$204)),ev_cost/MAX(1,attendees))),"N/A"))</f>
        <v/>
      </c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44"/>
      <c r="B156" s="45"/>
      <c r="C156" s="45"/>
      <c r="D156" s="45"/>
      <c r="E156" s="45"/>
      <c r="F156" s="46"/>
      <c r="G156" s="45"/>
      <c r="H156" s="45"/>
      <c r="I156" s="45"/>
      <c r="J156" s="42" t="str">
        <f t="array" ref="J156">IF(G156="","",IFERROR(LET(ev_cost,INDEX(Events!$G$5:$G$506,MATCH(G156,Events!$A$5:$A$506,0)),ev_split,INDEX(Events!$I$5:$I$506,MATCH(G156,Events!$A$5:$A$506,0)),att_offset,MATCH(G156,Attendance!$B$3:$AZ$3,0),attendees,COUNTIF(INDEX(Attendance!$B$7:$AZ$206,0,att_offset),"1"),IF(ev_split="Equal Split",ev_cost/MAX(1,COUNTA(Roster!$A$5:$A$204)),ev_cost/MAX(1,attendees))),"N/A"))</f>
        <v/>
      </c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47"/>
      <c r="B157" s="48"/>
      <c r="C157" s="48"/>
      <c r="D157" s="48"/>
      <c r="E157" s="48"/>
      <c r="F157" s="51"/>
      <c r="G157" s="48"/>
      <c r="H157" s="48"/>
      <c r="I157" s="48"/>
      <c r="J157" s="42" t="str">
        <f t="array" ref="J157">IF(G157="","",IFERROR(LET(ev_cost,INDEX(Events!$G$5:$G$506,MATCH(G157,Events!$A$5:$A$506,0)),ev_split,INDEX(Events!$I$5:$I$506,MATCH(G157,Events!$A$5:$A$506,0)),att_offset,MATCH(G157,Attendance!$B$3:$AZ$3,0),attendees,COUNTIF(INDEX(Attendance!$B$7:$AZ$206,0,att_offset),"1"),IF(ev_split="Equal Split",ev_cost/MAX(1,COUNTA(Roster!$A$5:$A$204)),ev_cost/MAX(1,attendees))),"N/A"))</f>
        <v/>
      </c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44"/>
      <c r="B158" s="45"/>
      <c r="C158" s="45"/>
      <c r="D158" s="45"/>
      <c r="E158" s="45"/>
      <c r="F158" s="46"/>
      <c r="G158" s="45"/>
      <c r="H158" s="45"/>
      <c r="I158" s="45"/>
      <c r="J158" s="42" t="str">
        <f t="array" ref="J158">IF(G158="","",IFERROR(LET(ev_cost,INDEX(Events!$G$5:$G$506,MATCH(G158,Events!$A$5:$A$506,0)),ev_split,INDEX(Events!$I$5:$I$506,MATCH(G158,Events!$A$5:$A$506,0)),att_offset,MATCH(G158,Attendance!$B$3:$AZ$3,0),attendees,COUNTIF(INDEX(Attendance!$B$7:$AZ$206,0,att_offset),"1"),IF(ev_split="Equal Split",ev_cost/MAX(1,COUNTA(Roster!$A$5:$A$204)),ev_cost/MAX(1,attendees))),"N/A"))</f>
        <v/>
      </c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47"/>
      <c r="B159" s="48"/>
      <c r="C159" s="48"/>
      <c r="D159" s="48"/>
      <c r="E159" s="48"/>
      <c r="F159" s="51"/>
      <c r="G159" s="48"/>
      <c r="H159" s="48"/>
      <c r="I159" s="48"/>
      <c r="J159" s="42" t="str">
        <f t="array" ref="J159">IF(G159="","",IFERROR(LET(ev_cost,INDEX(Events!$G$5:$G$506,MATCH(G159,Events!$A$5:$A$506,0)),ev_split,INDEX(Events!$I$5:$I$506,MATCH(G159,Events!$A$5:$A$506,0)),att_offset,MATCH(G159,Attendance!$B$3:$AZ$3,0),attendees,COUNTIF(INDEX(Attendance!$B$7:$AZ$206,0,att_offset),"1"),IF(ev_split="Equal Split",ev_cost/MAX(1,COUNTA(Roster!$A$5:$A$204)),ev_cost/MAX(1,attendees))),"N/A"))</f>
        <v/>
      </c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44"/>
      <c r="B160" s="45"/>
      <c r="C160" s="45"/>
      <c r="D160" s="45"/>
      <c r="E160" s="45"/>
      <c r="F160" s="46"/>
      <c r="G160" s="45"/>
      <c r="H160" s="45"/>
      <c r="I160" s="45"/>
      <c r="J160" s="42" t="str">
        <f t="array" ref="J160">IF(G160="","",IFERROR(LET(ev_cost,INDEX(Events!$G$5:$G$506,MATCH(G160,Events!$A$5:$A$506,0)),ev_split,INDEX(Events!$I$5:$I$506,MATCH(G160,Events!$A$5:$A$506,0)),att_offset,MATCH(G160,Attendance!$B$3:$AZ$3,0),attendees,COUNTIF(INDEX(Attendance!$B$7:$AZ$206,0,att_offset),"1"),IF(ev_split="Equal Split",ev_cost/MAX(1,COUNTA(Roster!$A$5:$A$204)),ev_cost/MAX(1,attendees))),"N/A"))</f>
        <v/>
      </c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47"/>
      <c r="B161" s="48"/>
      <c r="C161" s="48"/>
      <c r="D161" s="48"/>
      <c r="E161" s="48"/>
      <c r="F161" s="51"/>
      <c r="G161" s="48"/>
      <c r="H161" s="48"/>
      <c r="I161" s="48"/>
      <c r="J161" s="42" t="str">
        <f t="array" ref="J161">IF(G161="","",IFERROR(LET(ev_cost,INDEX(Events!$G$5:$G$506,MATCH(G161,Events!$A$5:$A$506,0)),ev_split,INDEX(Events!$I$5:$I$506,MATCH(G161,Events!$A$5:$A$506,0)),att_offset,MATCH(G161,Attendance!$B$3:$AZ$3,0),attendees,COUNTIF(INDEX(Attendance!$B$7:$AZ$206,0,att_offset),"1"),IF(ev_split="Equal Split",ev_cost/MAX(1,COUNTA(Roster!$A$5:$A$204)),ev_cost/MAX(1,attendees))),"N/A"))</f>
        <v/>
      </c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44"/>
      <c r="B162" s="45"/>
      <c r="C162" s="45"/>
      <c r="D162" s="45"/>
      <c r="E162" s="45"/>
      <c r="F162" s="46"/>
      <c r="G162" s="45"/>
      <c r="H162" s="45"/>
      <c r="I162" s="45"/>
      <c r="J162" s="42" t="str">
        <f t="array" ref="J162">IF(G162="","",IFERROR(LET(ev_cost,INDEX(Events!$G$5:$G$506,MATCH(G162,Events!$A$5:$A$506,0)),ev_split,INDEX(Events!$I$5:$I$506,MATCH(G162,Events!$A$5:$A$506,0)),att_offset,MATCH(G162,Attendance!$B$3:$AZ$3,0),attendees,COUNTIF(INDEX(Attendance!$B$7:$AZ$206,0,att_offset),"1"),IF(ev_split="Equal Split",ev_cost/MAX(1,COUNTA(Roster!$A$5:$A$204)),ev_cost/MAX(1,attendees))),"N/A"))</f>
        <v/>
      </c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47"/>
      <c r="B163" s="48"/>
      <c r="C163" s="48"/>
      <c r="D163" s="48"/>
      <c r="E163" s="48"/>
      <c r="F163" s="51"/>
      <c r="G163" s="48"/>
      <c r="H163" s="48"/>
      <c r="I163" s="48"/>
      <c r="J163" s="42" t="str">
        <f t="array" ref="J163">IF(G163="","",IFERROR(LET(ev_cost,INDEX(Events!$G$5:$G$506,MATCH(G163,Events!$A$5:$A$506,0)),ev_split,INDEX(Events!$I$5:$I$506,MATCH(G163,Events!$A$5:$A$506,0)),att_offset,MATCH(G163,Attendance!$B$3:$AZ$3,0),attendees,COUNTIF(INDEX(Attendance!$B$7:$AZ$206,0,att_offset),"1"),IF(ev_split="Equal Split",ev_cost/MAX(1,COUNTA(Roster!$A$5:$A$204)),ev_cost/MAX(1,attendees))),"N/A"))</f>
        <v/>
      </c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44"/>
      <c r="B164" s="45"/>
      <c r="C164" s="45"/>
      <c r="D164" s="45"/>
      <c r="E164" s="45"/>
      <c r="F164" s="46"/>
      <c r="G164" s="45"/>
      <c r="H164" s="45"/>
      <c r="I164" s="45"/>
      <c r="J164" s="42" t="str">
        <f t="array" ref="J164">IF(G164="","",IFERROR(LET(ev_cost,INDEX(Events!$G$5:$G$506,MATCH(G164,Events!$A$5:$A$506,0)),ev_split,INDEX(Events!$I$5:$I$506,MATCH(G164,Events!$A$5:$A$506,0)),att_offset,MATCH(G164,Attendance!$B$3:$AZ$3,0),attendees,COUNTIF(INDEX(Attendance!$B$7:$AZ$206,0,att_offset),"1"),IF(ev_split="Equal Split",ev_cost/MAX(1,COUNTA(Roster!$A$5:$A$204)),ev_cost/MAX(1,attendees))),"N/A"))</f>
        <v/>
      </c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47"/>
      <c r="B165" s="48"/>
      <c r="C165" s="48"/>
      <c r="D165" s="48"/>
      <c r="E165" s="48"/>
      <c r="F165" s="51"/>
      <c r="G165" s="48"/>
      <c r="H165" s="48"/>
      <c r="I165" s="48"/>
      <c r="J165" s="42" t="str">
        <f t="array" ref="J165">IF(G165="","",IFERROR(LET(ev_cost,INDEX(Events!$G$5:$G$506,MATCH(G165,Events!$A$5:$A$506,0)),ev_split,INDEX(Events!$I$5:$I$506,MATCH(G165,Events!$A$5:$A$506,0)),att_offset,MATCH(G165,Attendance!$B$3:$AZ$3,0),attendees,COUNTIF(INDEX(Attendance!$B$7:$AZ$206,0,att_offset),"1"),IF(ev_split="Equal Split",ev_cost/MAX(1,COUNTA(Roster!$A$5:$A$204)),ev_cost/MAX(1,attendees))),"N/A"))</f>
        <v/>
      </c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44"/>
      <c r="B166" s="45"/>
      <c r="C166" s="45"/>
      <c r="D166" s="45"/>
      <c r="E166" s="45"/>
      <c r="F166" s="46"/>
      <c r="G166" s="45"/>
      <c r="H166" s="45"/>
      <c r="I166" s="45"/>
      <c r="J166" s="42" t="str">
        <f t="array" ref="J166">IF(G166="","",IFERROR(LET(ev_cost,INDEX(Events!$G$5:$G$506,MATCH(G166,Events!$A$5:$A$506,0)),ev_split,INDEX(Events!$I$5:$I$506,MATCH(G166,Events!$A$5:$A$506,0)),att_offset,MATCH(G166,Attendance!$B$3:$AZ$3,0),attendees,COUNTIF(INDEX(Attendance!$B$7:$AZ$206,0,att_offset),"1"),IF(ev_split="Equal Split",ev_cost/MAX(1,COUNTA(Roster!$A$5:$A$204)),ev_cost/MAX(1,attendees))),"N/A"))</f>
        <v/>
      </c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47"/>
      <c r="B167" s="48"/>
      <c r="C167" s="48"/>
      <c r="D167" s="48"/>
      <c r="E167" s="48"/>
      <c r="F167" s="51"/>
      <c r="G167" s="48"/>
      <c r="H167" s="48"/>
      <c r="I167" s="48"/>
      <c r="J167" s="42" t="str">
        <f t="array" ref="J167">IF(G167="","",IFERROR(LET(ev_cost,INDEX(Events!$G$5:$G$506,MATCH(G167,Events!$A$5:$A$506,0)),ev_split,INDEX(Events!$I$5:$I$506,MATCH(G167,Events!$A$5:$A$506,0)),att_offset,MATCH(G167,Attendance!$B$3:$AZ$3,0),attendees,COUNTIF(INDEX(Attendance!$B$7:$AZ$206,0,att_offset),"1"),IF(ev_split="Equal Split",ev_cost/MAX(1,COUNTA(Roster!$A$5:$A$204)),ev_cost/MAX(1,attendees))),"N/A"))</f>
        <v/>
      </c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44"/>
      <c r="B168" s="45"/>
      <c r="C168" s="45"/>
      <c r="D168" s="45"/>
      <c r="E168" s="45"/>
      <c r="F168" s="46"/>
      <c r="G168" s="45"/>
      <c r="H168" s="45"/>
      <c r="I168" s="45"/>
      <c r="J168" s="42" t="str">
        <f t="array" ref="J168">IF(G168="","",IFERROR(LET(ev_cost,INDEX(Events!$G$5:$G$506,MATCH(G168,Events!$A$5:$A$506,0)),ev_split,INDEX(Events!$I$5:$I$506,MATCH(G168,Events!$A$5:$A$506,0)),att_offset,MATCH(G168,Attendance!$B$3:$AZ$3,0),attendees,COUNTIF(INDEX(Attendance!$B$7:$AZ$206,0,att_offset),"1"),IF(ev_split="Equal Split",ev_cost/MAX(1,COUNTA(Roster!$A$5:$A$204)),ev_cost/MAX(1,attendees))),"N/A"))</f>
        <v/>
      </c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47"/>
      <c r="B169" s="48"/>
      <c r="C169" s="48"/>
      <c r="D169" s="48"/>
      <c r="E169" s="48"/>
      <c r="F169" s="51"/>
      <c r="G169" s="48"/>
      <c r="H169" s="48"/>
      <c r="I169" s="48"/>
      <c r="J169" s="42" t="str">
        <f t="array" ref="J169">IF(G169="","",IFERROR(LET(ev_cost,INDEX(Events!$G$5:$G$506,MATCH(G169,Events!$A$5:$A$506,0)),ev_split,INDEX(Events!$I$5:$I$506,MATCH(G169,Events!$A$5:$A$506,0)),att_offset,MATCH(G169,Attendance!$B$3:$AZ$3,0),attendees,COUNTIF(INDEX(Attendance!$B$7:$AZ$206,0,att_offset),"1"),IF(ev_split="Equal Split",ev_cost/MAX(1,COUNTA(Roster!$A$5:$A$204)),ev_cost/MAX(1,attendees))),"N/A"))</f>
        <v/>
      </c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44"/>
      <c r="B170" s="45"/>
      <c r="C170" s="45"/>
      <c r="D170" s="45"/>
      <c r="E170" s="45"/>
      <c r="F170" s="46"/>
      <c r="G170" s="45"/>
      <c r="H170" s="45"/>
      <c r="I170" s="45"/>
      <c r="J170" s="42" t="str">
        <f t="array" ref="J170">IF(G170="","",IFERROR(LET(ev_cost,INDEX(Events!$G$5:$G$506,MATCH(G170,Events!$A$5:$A$506,0)),ev_split,INDEX(Events!$I$5:$I$506,MATCH(G170,Events!$A$5:$A$506,0)),att_offset,MATCH(G170,Attendance!$B$3:$AZ$3,0),attendees,COUNTIF(INDEX(Attendance!$B$7:$AZ$206,0,att_offset),"1"),IF(ev_split="Equal Split",ev_cost/MAX(1,COUNTA(Roster!$A$5:$A$204)),ev_cost/MAX(1,attendees))),"N/A"))</f>
        <v/>
      </c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47"/>
      <c r="B171" s="48"/>
      <c r="C171" s="48"/>
      <c r="D171" s="48"/>
      <c r="E171" s="48"/>
      <c r="F171" s="51"/>
      <c r="G171" s="48"/>
      <c r="H171" s="48"/>
      <c r="I171" s="48"/>
      <c r="J171" s="42" t="str">
        <f t="array" ref="J171">IF(G171="","",IFERROR(LET(ev_cost,INDEX(Events!$G$5:$G$506,MATCH(G171,Events!$A$5:$A$506,0)),ev_split,INDEX(Events!$I$5:$I$506,MATCH(G171,Events!$A$5:$A$506,0)),att_offset,MATCH(G171,Attendance!$B$3:$AZ$3,0),attendees,COUNTIF(INDEX(Attendance!$B$7:$AZ$206,0,att_offset),"1"),IF(ev_split="Equal Split",ev_cost/MAX(1,COUNTA(Roster!$A$5:$A$204)),ev_cost/MAX(1,attendees))),"N/A"))</f>
        <v/>
      </c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44"/>
      <c r="B172" s="45"/>
      <c r="C172" s="45"/>
      <c r="D172" s="45"/>
      <c r="E172" s="45"/>
      <c r="F172" s="46"/>
      <c r="G172" s="45"/>
      <c r="H172" s="45"/>
      <c r="I172" s="45"/>
      <c r="J172" s="42" t="str">
        <f t="array" ref="J172">IF(G172="","",IFERROR(LET(ev_cost,INDEX(Events!$G$5:$G$506,MATCH(G172,Events!$A$5:$A$506,0)),ev_split,INDEX(Events!$I$5:$I$506,MATCH(G172,Events!$A$5:$A$506,0)),att_offset,MATCH(G172,Attendance!$B$3:$AZ$3,0),attendees,COUNTIF(INDEX(Attendance!$B$7:$AZ$206,0,att_offset),"1"),IF(ev_split="Equal Split",ev_cost/MAX(1,COUNTA(Roster!$A$5:$A$204)),ev_cost/MAX(1,attendees))),"N/A"))</f>
        <v/>
      </c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47"/>
      <c r="B173" s="48"/>
      <c r="C173" s="48"/>
      <c r="D173" s="48"/>
      <c r="E173" s="48"/>
      <c r="F173" s="51"/>
      <c r="G173" s="48"/>
      <c r="H173" s="48"/>
      <c r="I173" s="48"/>
      <c r="J173" s="42" t="str">
        <f t="array" ref="J173">IF(G173="","",IFERROR(LET(ev_cost,INDEX(Events!$G$5:$G$506,MATCH(G173,Events!$A$5:$A$506,0)),ev_split,INDEX(Events!$I$5:$I$506,MATCH(G173,Events!$A$5:$A$506,0)),att_offset,MATCH(G173,Attendance!$B$3:$AZ$3,0),attendees,COUNTIF(INDEX(Attendance!$B$7:$AZ$206,0,att_offset),"1"),IF(ev_split="Equal Split",ev_cost/MAX(1,COUNTA(Roster!$A$5:$A$204)),ev_cost/MAX(1,attendees))),"N/A"))</f>
        <v/>
      </c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44"/>
      <c r="B174" s="45"/>
      <c r="C174" s="45"/>
      <c r="D174" s="45"/>
      <c r="E174" s="45"/>
      <c r="F174" s="46"/>
      <c r="G174" s="45"/>
      <c r="H174" s="45"/>
      <c r="I174" s="45"/>
      <c r="J174" s="42" t="str">
        <f t="array" ref="J174">IF(G174="","",IFERROR(LET(ev_cost,INDEX(Events!$G$5:$G$506,MATCH(G174,Events!$A$5:$A$506,0)),ev_split,INDEX(Events!$I$5:$I$506,MATCH(G174,Events!$A$5:$A$506,0)),att_offset,MATCH(G174,Attendance!$B$3:$AZ$3,0),attendees,COUNTIF(INDEX(Attendance!$B$7:$AZ$206,0,att_offset),"1"),IF(ev_split="Equal Split",ev_cost/MAX(1,COUNTA(Roster!$A$5:$A$204)),ev_cost/MAX(1,attendees))),"N/A"))</f>
        <v/>
      </c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47"/>
      <c r="B175" s="48"/>
      <c r="C175" s="48"/>
      <c r="D175" s="48"/>
      <c r="E175" s="48"/>
      <c r="F175" s="51"/>
      <c r="G175" s="48"/>
      <c r="H175" s="48"/>
      <c r="I175" s="48"/>
      <c r="J175" s="42" t="str">
        <f t="array" ref="J175">IF(G175="","",IFERROR(LET(ev_cost,INDEX(Events!$G$5:$G$506,MATCH(G175,Events!$A$5:$A$506,0)),ev_split,INDEX(Events!$I$5:$I$506,MATCH(G175,Events!$A$5:$A$506,0)),att_offset,MATCH(G175,Attendance!$B$3:$AZ$3,0),attendees,COUNTIF(INDEX(Attendance!$B$7:$AZ$206,0,att_offset),"1"),IF(ev_split="Equal Split",ev_cost/MAX(1,COUNTA(Roster!$A$5:$A$204)),ev_cost/MAX(1,attendees))),"N/A"))</f>
        <v/>
      </c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44"/>
      <c r="B176" s="45"/>
      <c r="C176" s="45"/>
      <c r="D176" s="45"/>
      <c r="E176" s="45"/>
      <c r="F176" s="46"/>
      <c r="G176" s="45"/>
      <c r="H176" s="45"/>
      <c r="I176" s="45"/>
      <c r="J176" s="42" t="str">
        <f t="array" ref="J176">IF(G176="","",IFERROR(LET(ev_cost,INDEX(Events!$G$5:$G$506,MATCH(G176,Events!$A$5:$A$506,0)),ev_split,INDEX(Events!$I$5:$I$506,MATCH(G176,Events!$A$5:$A$506,0)),att_offset,MATCH(G176,Attendance!$B$3:$AZ$3,0),attendees,COUNTIF(INDEX(Attendance!$B$7:$AZ$206,0,att_offset),"1"),IF(ev_split="Equal Split",ev_cost/MAX(1,COUNTA(Roster!$A$5:$A$204)),ev_cost/MAX(1,attendees))),"N/A"))</f>
        <v/>
      </c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47"/>
      <c r="B177" s="48"/>
      <c r="C177" s="48"/>
      <c r="D177" s="48"/>
      <c r="E177" s="48"/>
      <c r="F177" s="51"/>
      <c r="G177" s="48"/>
      <c r="H177" s="48"/>
      <c r="I177" s="48"/>
      <c r="J177" s="42" t="str">
        <f t="array" ref="J177">IF(G177="","",IFERROR(LET(ev_cost,INDEX(Events!$G$5:$G$506,MATCH(G177,Events!$A$5:$A$506,0)),ev_split,INDEX(Events!$I$5:$I$506,MATCH(G177,Events!$A$5:$A$506,0)),att_offset,MATCH(G177,Attendance!$B$3:$AZ$3,0),attendees,COUNTIF(INDEX(Attendance!$B$7:$AZ$206,0,att_offset),"1"),IF(ev_split="Equal Split",ev_cost/MAX(1,COUNTA(Roster!$A$5:$A$204)),ev_cost/MAX(1,attendees))),"N/A"))</f>
        <v/>
      </c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44"/>
      <c r="B178" s="45"/>
      <c r="C178" s="45"/>
      <c r="D178" s="45"/>
      <c r="E178" s="45"/>
      <c r="F178" s="46"/>
      <c r="G178" s="45"/>
      <c r="H178" s="45"/>
      <c r="I178" s="45"/>
      <c r="J178" s="42" t="str">
        <f t="array" ref="J178">IF(G178="","",IFERROR(LET(ev_cost,INDEX(Events!$G$5:$G$506,MATCH(G178,Events!$A$5:$A$506,0)),ev_split,INDEX(Events!$I$5:$I$506,MATCH(G178,Events!$A$5:$A$506,0)),att_offset,MATCH(G178,Attendance!$B$3:$AZ$3,0),attendees,COUNTIF(INDEX(Attendance!$B$7:$AZ$206,0,att_offset),"1"),IF(ev_split="Equal Split",ev_cost/MAX(1,COUNTA(Roster!$A$5:$A$204)),ev_cost/MAX(1,attendees))),"N/A"))</f>
        <v/>
      </c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47"/>
      <c r="B179" s="48"/>
      <c r="C179" s="48"/>
      <c r="D179" s="48"/>
      <c r="E179" s="48"/>
      <c r="F179" s="51"/>
      <c r="G179" s="48"/>
      <c r="H179" s="48"/>
      <c r="I179" s="48"/>
      <c r="J179" s="42" t="str">
        <f t="array" ref="J179">IF(G179="","",IFERROR(LET(ev_cost,INDEX(Events!$G$5:$G$506,MATCH(G179,Events!$A$5:$A$506,0)),ev_split,INDEX(Events!$I$5:$I$506,MATCH(G179,Events!$A$5:$A$506,0)),att_offset,MATCH(G179,Attendance!$B$3:$AZ$3,0),attendees,COUNTIF(INDEX(Attendance!$B$7:$AZ$206,0,att_offset),"1"),IF(ev_split="Equal Split",ev_cost/MAX(1,COUNTA(Roster!$A$5:$A$204)),ev_cost/MAX(1,attendees))),"N/A"))</f>
        <v/>
      </c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44"/>
      <c r="B180" s="45"/>
      <c r="C180" s="45"/>
      <c r="D180" s="45"/>
      <c r="E180" s="45"/>
      <c r="F180" s="46"/>
      <c r="G180" s="45"/>
      <c r="H180" s="45"/>
      <c r="I180" s="45"/>
      <c r="J180" s="42" t="str">
        <f t="array" ref="J180">IF(G180="","",IFERROR(LET(ev_cost,INDEX(Events!$G$5:$G$506,MATCH(G180,Events!$A$5:$A$506,0)),ev_split,INDEX(Events!$I$5:$I$506,MATCH(G180,Events!$A$5:$A$506,0)),att_offset,MATCH(G180,Attendance!$B$3:$AZ$3,0),attendees,COUNTIF(INDEX(Attendance!$B$7:$AZ$206,0,att_offset),"1"),IF(ev_split="Equal Split",ev_cost/MAX(1,COUNTA(Roster!$A$5:$A$204)),ev_cost/MAX(1,attendees))),"N/A"))</f>
        <v/>
      </c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47"/>
      <c r="B181" s="48"/>
      <c r="C181" s="48"/>
      <c r="D181" s="48"/>
      <c r="E181" s="48"/>
      <c r="F181" s="51"/>
      <c r="G181" s="48"/>
      <c r="H181" s="48"/>
      <c r="I181" s="48"/>
      <c r="J181" s="42" t="str">
        <f t="array" ref="J181">IF(G181="","",IFERROR(LET(ev_cost,INDEX(Events!$G$5:$G$506,MATCH(G181,Events!$A$5:$A$506,0)),ev_split,INDEX(Events!$I$5:$I$506,MATCH(G181,Events!$A$5:$A$506,0)),att_offset,MATCH(G181,Attendance!$B$3:$AZ$3,0),attendees,COUNTIF(INDEX(Attendance!$B$7:$AZ$206,0,att_offset),"1"),IF(ev_split="Equal Split",ev_cost/MAX(1,COUNTA(Roster!$A$5:$A$204)),ev_cost/MAX(1,attendees))),"N/A"))</f>
        <v/>
      </c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44"/>
      <c r="B182" s="45"/>
      <c r="C182" s="45"/>
      <c r="D182" s="45"/>
      <c r="E182" s="45"/>
      <c r="F182" s="46"/>
      <c r="G182" s="45"/>
      <c r="H182" s="45"/>
      <c r="I182" s="45"/>
      <c r="J182" s="42" t="str">
        <f t="array" ref="J182">IF(G182="","",IFERROR(LET(ev_cost,INDEX(Events!$G$5:$G$506,MATCH(G182,Events!$A$5:$A$506,0)),ev_split,INDEX(Events!$I$5:$I$506,MATCH(G182,Events!$A$5:$A$506,0)),att_offset,MATCH(G182,Attendance!$B$3:$AZ$3,0),attendees,COUNTIF(INDEX(Attendance!$B$7:$AZ$206,0,att_offset),"1"),IF(ev_split="Equal Split",ev_cost/MAX(1,COUNTA(Roster!$A$5:$A$204)),ev_cost/MAX(1,attendees))),"N/A"))</f>
        <v/>
      </c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47"/>
      <c r="B183" s="48"/>
      <c r="C183" s="48"/>
      <c r="D183" s="48"/>
      <c r="E183" s="48"/>
      <c r="F183" s="51"/>
      <c r="G183" s="48"/>
      <c r="H183" s="48"/>
      <c r="I183" s="48"/>
      <c r="J183" s="42" t="str">
        <f t="array" ref="J183">IF(G183="","",IFERROR(LET(ev_cost,INDEX(Events!$G$5:$G$506,MATCH(G183,Events!$A$5:$A$506,0)),ev_split,INDEX(Events!$I$5:$I$506,MATCH(G183,Events!$A$5:$A$506,0)),att_offset,MATCH(G183,Attendance!$B$3:$AZ$3,0),attendees,COUNTIF(INDEX(Attendance!$B$7:$AZ$206,0,att_offset),"1"),IF(ev_split="Equal Split",ev_cost/MAX(1,COUNTA(Roster!$A$5:$A$204)),ev_cost/MAX(1,attendees))),"N/A"))</f>
        <v/>
      </c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44"/>
      <c r="B184" s="45"/>
      <c r="C184" s="45"/>
      <c r="D184" s="45"/>
      <c r="E184" s="45"/>
      <c r="F184" s="46"/>
      <c r="G184" s="45"/>
      <c r="H184" s="45"/>
      <c r="I184" s="45"/>
      <c r="J184" s="42" t="str">
        <f t="array" ref="J184">IF(G184="","",IFERROR(LET(ev_cost,INDEX(Events!$G$5:$G$506,MATCH(G184,Events!$A$5:$A$506,0)),ev_split,INDEX(Events!$I$5:$I$506,MATCH(G184,Events!$A$5:$A$506,0)),att_offset,MATCH(G184,Attendance!$B$3:$AZ$3,0),attendees,COUNTIF(INDEX(Attendance!$B$7:$AZ$206,0,att_offset),"1"),IF(ev_split="Equal Split",ev_cost/MAX(1,COUNTA(Roster!$A$5:$A$204)),ev_cost/MAX(1,attendees))),"N/A"))</f>
        <v/>
      </c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47"/>
      <c r="B185" s="48"/>
      <c r="C185" s="48"/>
      <c r="D185" s="48"/>
      <c r="E185" s="48"/>
      <c r="F185" s="51"/>
      <c r="G185" s="48"/>
      <c r="H185" s="48"/>
      <c r="I185" s="48"/>
      <c r="J185" s="42" t="str">
        <f t="array" ref="J185">IF(G185="","",IFERROR(LET(ev_cost,INDEX(Events!$G$5:$G$506,MATCH(G185,Events!$A$5:$A$506,0)),ev_split,INDEX(Events!$I$5:$I$506,MATCH(G185,Events!$A$5:$A$506,0)),att_offset,MATCH(G185,Attendance!$B$3:$AZ$3,0),attendees,COUNTIF(INDEX(Attendance!$B$7:$AZ$206,0,att_offset),"1"),IF(ev_split="Equal Split",ev_cost/MAX(1,COUNTA(Roster!$A$5:$A$204)),ev_cost/MAX(1,attendees))),"N/A"))</f>
        <v/>
      </c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44"/>
      <c r="B186" s="45"/>
      <c r="C186" s="45"/>
      <c r="D186" s="45"/>
      <c r="E186" s="45"/>
      <c r="F186" s="46"/>
      <c r="G186" s="45"/>
      <c r="H186" s="45"/>
      <c r="I186" s="45"/>
      <c r="J186" s="42" t="str">
        <f t="array" ref="J186">IF(G186="","",IFERROR(LET(ev_cost,INDEX(Events!$G$5:$G$506,MATCH(G186,Events!$A$5:$A$506,0)),ev_split,INDEX(Events!$I$5:$I$506,MATCH(G186,Events!$A$5:$A$506,0)),att_offset,MATCH(G186,Attendance!$B$3:$AZ$3,0),attendees,COUNTIF(INDEX(Attendance!$B$7:$AZ$206,0,att_offset),"1"),IF(ev_split="Equal Split",ev_cost/MAX(1,COUNTA(Roster!$A$5:$A$204)),ev_cost/MAX(1,attendees))),"N/A"))</f>
        <v/>
      </c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47"/>
      <c r="B187" s="48"/>
      <c r="C187" s="48"/>
      <c r="D187" s="48"/>
      <c r="E187" s="48"/>
      <c r="F187" s="51"/>
      <c r="G187" s="48"/>
      <c r="H187" s="48"/>
      <c r="I187" s="48"/>
      <c r="J187" s="42" t="str">
        <f t="array" ref="J187">IF(G187="","",IFERROR(LET(ev_cost,INDEX(Events!$G$5:$G$506,MATCH(G187,Events!$A$5:$A$506,0)),ev_split,INDEX(Events!$I$5:$I$506,MATCH(G187,Events!$A$5:$A$506,0)),att_offset,MATCH(G187,Attendance!$B$3:$AZ$3,0),attendees,COUNTIF(INDEX(Attendance!$B$7:$AZ$206,0,att_offset),"1"),IF(ev_split="Equal Split",ev_cost/MAX(1,COUNTA(Roster!$A$5:$A$204)),ev_cost/MAX(1,attendees))),"N/A"))</f>
        <v/>
      </c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44"/>
      <c r="B188" s="45"/>
      <c r="C188" s="45"/>
      <c r="D188" s="45"/>
      <c r="E188" s="45"/>
      <c r="F188" s="46"/>
      <c r="G188" s="45"/>
      <c r="H188" s="45"/>
      <c r="I188" s="45"/>
      <c r="J188" s="42" t="str">
        <f t="array" ref="J188">IF(G188="","",IFERROR(LET(ev_cost,INDEX(Events!$G$5:$G$506,MATCH(G188,Events!$A$5:$A$506,0)),ev_split,INDEX(Events!$I$5:$I$506,MATCH(G188,Events!$A$5:$A$506,0)),att_offset,MATCH(G188,Attendance!$B$3:$AZ$3,0),attendees,COUNTIF(INDEX(Attendance!$B$7:$AZ$206,0,att_offset),"1"),IF(ev_split="Equal Split",ev_cost/MAX(1,COUNTA(Roster!$A$5:$A$204)),ev_cost/MAX(1,attendees))),"N/A"))</f>
        <v/>
      </c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47"/>
      <c r="B189" s="48"/>
      <c r="C189" s="48"/>
      <c r="D189" s="48"/>
      <c r="E189" s="48"/>
      <c r="F189" s="51"/>
      <c r="G189" s="48"/>
      <c r="H189" s="48"/>
      <c r="I189" s="48"/>
      <c r="J189" s="42" t="str">
        <f t="array" ref="J189">IF(G189="","",IFERROR(LET(ev_cost,INDEX(Events!$G$5:$G$506,MATCH(G189,Events!$A$5:$A$506,0)),ev_split,INDEX(Events!$I$5:$I$506,MATCH(G189,Events!$A$5:$A$506,0)),att_offset,MATCH(G189,Attendance!$B$3:$AZ$3,0),attendees,COUNTIF(INDEX(Attendance!$B$7:$AZ$206,0,att_offset),"1"),IF(ev_split="Equal Split",ev_cost/MAX(1,COUNTA(Roster!$A$5:$A$204)),ev_cost/MAX(1,attendees))),"N/A"))</f>
        <v/>
      </c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44"/>
      <c r="B190" s="45"/>
      <c r="C190" s="45"/>
      <c r="D190" s="45"/>
      <c r="E190" s="45"/>
      <c r="F190" s="46"/>
      <c r="G190" s="45"/>
      <c r="H190" s="45"/>
      <c r="I190" s="45"/>
      <c r="J190" s="42" t="str">
        <f t="array" ref="J190">IF(G190="","",IFERROR(LET(ev_cost,INDEX(Events!$G$5:$G$506,MATCH(G190,Events!$A$5:$A$506,0)),ev_split,INDEX(Events!$I$5:$I$506,MATCH(G190,Events!$A$5:$A$506,0)),att_offset,MATCH(G190,Attendance!$B$3:$AZ$3,0),attendees,COUNTIF(INDEX(Attendance!$B$7:$AZ$206,0,att_offset),"1"),IF(ev_split="Equal Split",ev_cost/MAX(1,COUNTA(Roster!$A$5:$A$204)),ev_cost/MAX(1,attendees))),"N/A"))</f>
        <v/>
      </c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47"/>
      <c r="B191" s="48"/>
      <c r="C191" s="48"/>
      <c r="D191" s="48"/>
      <c r="E191" s="48"/>
      <c r="F191" s="51"/>
      <c r="G191" s="48"/>
      <c r="H191" s="48"/>
      <c r="I191" s="48"/>
      <c r="J191" s="42" t="str">
        <f t="array" ref="J191">IF(G191="","",IFERROR(LET(ev_cost,INDEX(Events!$G$5:$G$506,MATCH(G191,Events!$A$5:$A$506,0)),ev_split,INDEX(Events!$I$5:$I$506,MATCH(G191,Events!$A$5:$A$506,0)),att_offset,MATCH(G191,Attendance!$B$3:$AZ$3,0),attendees,COUNTIF(INDEX(Attendance!$B$7:$AZ$206,0,att_offset),"1"),IF(ev_split="Equal Split",ev_cost/MAX(1,COUNTA(Roster!$A$5:$A$204)),ev_cost/MAX(1,attendees))),"N/A"))</f>
        <v/>
      </c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44"/>
      <c r="B192" s="45"/>
      <c r="C192" s="45"/>
      <c r="D192" s="45"/>
      <c r="E192" s="45"/>
      <c r="F192" s="46"/>
      <c r="G192" s="45"/>
      <c r="H192" s="45"/>
      <c r="I192" s="45"/>
      <c r="J192" s="42" t="str">
        <f t="array" ref="J192">IF(G192="","",IFERROR(LET(ev_cost,INDEX(Events!$G$5:$G$506,MATCH(G192,Events!$A$5:$A$506,0)),ev_split,INDEX(Events!$I$5:$I$506,MATCH(G192,Events!$A$5:$A$506,0)),att_offset,MATCH(G192,Attendance!$B$3:$AZ$3,0),attendees,COUNTIF(INDEX(Attendance!$B$7:$AZ$206,0,att_offset),"1"),IF(ev_split="Equal Split",ev_cost/MAX(1,COUNTA(Roster!$A$5:$A$204)),ev_cost/MAX(1,attendees))),"N/A"))</f>
        <v/>
      </c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47"/>
      <c r="B193" s="48"/>
      <c r="C193" s="48"/>
      <c r="D193" s="48"/>
      <c r="E193" s="48"/>
      <c r="F193" s="51"/>
      <c r="G193" s="48"/>
      <c r="H193" s="48"/>
      <c r="I193" s="48"/>
      <c r="J193" s="42" t="str">
        <f t="array" ref="J193">IF(G193="","",IFERROR(LET(ev_cost,INDEX(Events!$G$5:$G$506,MATCH(G193,Events!$A$5:$A$506,0)),ev_split,INDEX(Events!$I$5:$I$506,MATCH(G193,Events!$A$5:$A$506,0)),att_offset,MATCH(G193,Attendance!$B$3:$AZ$3,0),attendees,COUNTIF(INDEX(Attendance!$B$7:$AZ$206,0,att_offset),"1"),IF(ev_split="Equal Split",ev_cost/MAX(1,COUNTA(Roster!$A$5:$A$204)),ev_cost/MAX(1,attendees))),"N/A"))</f>
        <v/>
      </c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44"/>
      <c r="B194" s="45"/>
      <c r="C194" s="45"/>
      <c r="D194" s="45"/>
      <c r="E194" s="45"/>
      <c r="F194" s="46"/>
      <c r="G194" s="45"/>
      <c r="H194" s="45"/>
      <c r="I194" s="45"/>
      <c r="J194" s="42" t="str">
        <f t="array" ref="J194">IF(G194="","",IFERROR(LET(ev_cost,INDEX(Events!$G$5:$G$506,MATCH(G194,Events!$A$5:$A$506,0)),ev_split,INDEX(Events!$I$5:$I$506,MATCH(G194,Events!$A$5:$A$506,0)),att_offset,MATCH(G194,Attendance!$B$3:$AZ$3,0),attendees,COUNTIF(INDEX(Attendance!$B$7:$AZ$206,0,att_offset),"1"),IF(ev_split="Equal Split",ev_cost/MAX(1,COUNTA(Roster!$A$5:$A$204)),ev_cost/MAX(1,attendees))),"N/A"))</f>
        <v/>
      </c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47"/>
      <c r="B195" s="48"/>
      <c r="C195" s="48"/>
      <c r="D195" s="48"/>
      <c r="E195" s="48"/>
      <c r="F195" s="51"/>
      <c r="G195" s="48"/>
      <c r="H195" s="48"/>
      <c r="I195" s="48"/>
      <c r="J195" s="42" t="str">
        <f t="array" ref="J195">IF(G195="","",IFERROR(LET(ev_cost,INDEX(Events!$G$5:$G$506,MATCH(G195,Events!$A$5:$A$506,0)),ev_split,INDEX(Events!$I$5:$I$506,MATCH(G195,Events!$A$5:$A$506,0)),att_offset,MATCH(G195,Attendance!$B$3:$AZ$3,0),attendees,COUNTIF(INDEX(Attendance!$B$7:$AZ$206,0,att_offset),"1"),IF(ev_split="Equal Split",ev_cost/MAX(1,COUNTA(Roster!$A$5:$A$204)),ev_cost/MAX(1,attendees))),"N/A"))</f>
        <v/>
      </c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44"/>
      <c r="B196" s="45"/>
      <c r="C196" s="45"/>
      <c r="D196" s="45"/>
      <c r="E196" s="45"/>
      <c r="F196" s="46"/>
      <c r="G196" s="45"/>
      <c r="H196" s="45"/>
      <c r="I196" s="45"/>
      <c r="J196" s="42" t="str">
        <f t="array" ref="J196">IF(G196="","",IFERROR(LET(ev_cost,INDEX(Events!$G$5:$G$506,MATCH(G196,Events!$A$5:$A$506,0)),ev_split,INDEX(Events!$I$5:$I$506,MATCH(G196,Events!$A$5:$A$506,0)),att_offset,MATCH(G196,Attendance!$B$3:$AZ$3,0),attendees,COUNTIF(INDEX(Attendance!$B$7:$AZ$206,0,att_offset),"1"),IF(ev_split="Equal Split",ev_cost/MAX(1,COUNTA(Roster!$A$5:$A$204)),ev_cost/MAX(1,attendees))),"N/A"))</f>
        <v/>
      </c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47"/>
      <c r="B197" s="48"/>
      <c r="C197" s="48"/>
      <c r="D197" s="48"/>
      <c r="E197" s="48"/>
      <c r="F197" s="51"/>
      <c r="G197" s="48"/>
      <c r="H197" s="48"/>
      <c r="I197" s="48"/>
      <c r="J197" s="42" t="str">
        <f t="array" ref="J197">IF(G197="","",IFERROR(LET(ev_cost,INDEX(Events!$G$5:$G$506,MATCH(G197,Events!$A$5:$A$506,0)),ev_split,INDEX(Events!$I$5:$I$506,MATCH(G197,Events!$A$5:$A$506,0)),att_offset,MATCH(G197,Attendance!$B$3:$AZ$3,0),attendees,COUNTIF(INDEX(Attendance!$B$7:$AZ$206,0,att_offset),"1"),IF(ev_split="Equal Split",ev_cost/MAX(1,COUNTA(Roster!$A$5:$A$204)),ev_cost/MAX(1,attendees))),"N/A"))</f>
        <v/>
      </c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44"/>
      <c r="B198" s="45"/>
      <c r="C198" s="45"/>
      <c r="D198" s="45"/>
      <c r="E198" s="45"/>
      <c r="F198" s="46"/>
      <c r="G198" s="45"/>
      <c r="H198" s="45"/>
      <c r="I198" s="45"/>
      <c r="J198" s="42" t="str">
        <f t="array" ref="J198">IF(G198="","",IFERROR(LET(ev_cost,INDEX(Events!$G$5:$G$506,MATCH(G198,Events!$A$5:$A$506,0)),ev_split,INDEX(Events!$I$5:$I$506,MATCH(G198,Events!$A$5:$A$506,0)),att_offset,MATCH(G198,Attendance!$B$3:$AZ$3,0),attendees,COUNTIF(INDEX(Attendance!$B$7:$AZ$206,0,att_offset),"1"),IF(ev_split="Equal Split",ev_cost/MAX(1,COUNTA(Roster!$A$5:$A$204)),ev_cost/MAX(1,attendees))),"N/A"))</f>
        <v/>
      </c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47"/>
      <c r="B199" s="48"/>
      <c r="C199" s="48"/>
      <c r="D199" s="48"/>
      <c r="E199" s="48"/>
      <c r="F199" s="51"/>
      <c r="G199" s="48"/>
      <c r="H199" s="48"/>
      <c r="I199" s="48"/>
      <c r="J199" s="42" t="str">
        <f t="array" ref="J199">IF(G199="","",IFERROR(LET(ev_cost,INDEX(Events!$G$5:$G$506,MATCH(G199,Events!$A$5:$A$506,0)),ev_split,INDEX(Events!$I$5:$I$506,MATCH(G199,Events!$A$5:$A$506,0)),att_offset,MATCH(G199,Attendance!$B$3:$AZ$3,0),attendees,COUNTIF(INDEX(Attendance!$B$7:$AZ$206,0,att_offset),"1"),IF(ev_split="Equal Split",ev_cost/MAX(1,COUNTA(Roster!$A$5:$A$204)),ev_cost/MAX(1,attendees))),"N/A"))</f>
        <v/>
      </c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44"/>
      <c r="B200" s="45"/>
      <c r="C200" s="45"/>
      <c r="D200" s="45"/>
      <c r="E200" s="45"/>
      <c r="F200" s="46"/>
      <c r="G200" s="45"/>
      <c r="H200" s="45"/>
      <c r="I200" s="45"/>
      <c r="J200" s="42" t="str">
        <f t="array" ref="J200">IF(G200="","",IFERROR(LET(ev_cost,INDEX(Events!$G$5:$G$506,MATCH(G200,Events!$A$5:$A$506,0)),ev_split,INDEX(Events!$I$5:$I$506,MATCH(G200,Events!$A$5:$A$506,0)),att_offset,MATCH(G200,Attendance!$B$3:$AZ$3,0),attendees,COUNTIF(INDEX(Attendance!$B$7:$AZ$206,0,att_offset),"1"),IF(ev_split="Equal Split",ev_cost/MAX(1,COUNTA(Roster!$A$5:$A$204)),ev_cost/MAX(1,attendees))),"N/A"))</f>
        <v/>
      </c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47"/>
      <c r="B201" s="48"/>
      <c r="C201" s="48"/>
      <c r="D201" s="48"/>
      <c r="E201" s="48"/>
      <c r="F201" s="51"/>
      <c r="G201" s="48"/>
      <c r="H201" s="48"/>
      <c r="I201" s="48"/>
      <c r="J201" s="42" t="str">
        <f t="array" ref="J201">IF(G201="","",IFERROR(LET(ev_cost,INDEX(Events!$G$5:$G$506,MATCH(G201,Events!$A$5:$A$506,0)),ev_split,INDEX(Events!$I$5:$I$506,MATCH(G201,Events!$A$5:$A$506,0)),att_offset,MATCH(G201,Attendance!$B$3:$AZ$3,0),attendees,COUNTIF(INDEX(Attendance!$B$7:$AZ$206,0,att_offset),"1"),IF(ev_split="Equal Split",ev_cost/MAX(1,COUNTA(Roster!$A$5:$A$204)),ev_cost/MAX(1,attendees))),"N/A"))</f>
        <v/>
      </c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44"/>
      <c r="B202" s="45"/>
      <c r="C202" s="45"/>
      <c r="D202" s="45"/>
      <c r="E202" s="45"/>
      <c r="F202" s="46"/>
      <c r="G202" s="45"/>
      <c r="H202" s="45"/>
      <c r="I202" s="45"/>
      <c r="J202" s="42" t="str">
        <f t="array" ref="J202">IF(G202="","",IFERROR(LET(ev_cost,INDEX(Events!$G$5:$G$506,MATCH(G202,Events!$A$5:$A$506,0)),ev_split,INDEX(Events!$I$5:$I$506,MATCH(G202,Events!$A$5:$A$506,0)),att_offset,MATCH(G202,Attendance!$B$3:$AZ$3,0),attendees,COUNTIF(INDEX(Attendance!$B$7:$AZ$206,0,att_offset),"1"),IF(ev_split="Equal Split",ev_cost/MAX(1,COUNTA(Roster!$A$5:$A$204)),ev_cost/MAX(1,attendees))),"N/A"))</f>
        <v/>
      </c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47"/>
      <c r="B203" s="48"/>
      <c r="C203" s="48"/>
      <c r="D203" s="48"/>
      <c r="E203" s="48"/>
      <c r="F203" s="51"/>
      <c r="G203" s="48"/>
      <c r="H203" s="48"/>
      <c r="I203" s="48"/>
      <c r="J203" s="42" t="str">
        <f t="array" ref="J203">IF(G203="","",IFERROR(LET(ev_cost,INDEX(Events!$G$5:$G$506,MATCH(G203,Events!$A$5:$A$506,0)),ev_split,INDEX(Events!$I$5:$I$506,MATCH(G203,Events!$A$5:$A$506,0)),att_offset,MATCH(G203,Attendance!$B$3:$AZ$3,0),attendees,COUNTIF(INDEX(Attendance!$B$7:$AZ$206,0,att_offset),"1"),IF(ev_split="Equal Split",ev_cost/MAX(1,COUNTA(Roster!$A$5:$A$204)),ev_cost/MAX(1,attendees))),"N/A"))</f>
        <v/>
      </c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44"/>
      <c r="B204" s="45"/>
      <c r="C204" s="45"/>
      <c r="D204" s="45"/>
      <c r="E204" s="45"/>
      <c r="F204" s="46"/>
      <c r="G204" s="45"/>
      <c r="H204" s="45"/>
      <c r="I204" s="45"/>
      <c r="J204" s="42" t="str">
        <f t="array" ref="J204">IF(G204="","",IFERROR(LET(ev_cost,INDEX(Events!$G$5:$G$506,MATCH(G204,Events!$A$5:$A$506,0)),ev_split,INDEX(Events!$I$5:$I$506,MATCH(G204,Events!$A$5:$A$506,0)),att_offset,MATCH(G204,Attendance!$B$3:$AZ$3,0),attendees,COUNTIF(INDEX(Attendance!$B$7:$AZ$206,0,att_offset),"1"),IF(ev_split="Equal Split",ev_cost/MAX(1,COUNTA(Roster!$A$5:$A$204)),ev_cost/MAX(1,attendees))),"N/A"))</f>
        <v/>
      </c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47"/>
      <c r="B205" s="48"/>
      <c r="C205" s="48"/>
      <c r="D205" s="48"/>
      <c r="E205" s="48"/>
      <c r="F205" s="51"/>
      <c r="G205" s="48"/>
      <c r="H205" s="48"/>
      <c r="I205" s="48"/>
      <c r="J205" s="42" t="str">
        <f t="array" ref="J205">IF(G205="","",IFERROR(LET(ev_cost,INDEX(Events!$G$5:$G$506,MATCH(G205,Events!$A$5:$A$506,0)),ev_split,INDEX(Events!$I$5:$I$506,MATCH(G205,Events!$A$5:$A$506,0)),att_offset,MATCH(G205,Attendance!$B$3:$AZ$3,0),attendees,COUNTIF(INDEX(Attendance!$B$7:$AZ$206,0,att_offset),"1"),IF(ev_split="Equal Split",ev_cost/MAX(1,COUNTA(Roster!$A$5:$A$204)),ev_cost/MAX(1,attendees))),"N/A"))</f>
        <v/>
      </c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44"/>
      <c r="B206" s="45"/>
      <c r="C206" s="45"/>
      <c r="D206" s="45"/>
      <c r="E206" s="45"/>
      <c r="F206" s="46"/>
      <c r="G206" s="45"/>
      <c r="H206" s="45"/>
      <c r="I206" s="45"/>
      <c r="J206" s="42" t="str">
        <f t="array" ref="J206">IF(G206="","",IFERROR(LET(ev_cost,INDEX(Events!$G$5:$G$506,MATCH(G206,Events!$A$5:$A$506,0)),ev_split,INDEX(Events!$I$5:$I$506,MATCH(G206,Events!$A$5:$A$506,0)),att_offset,MATCH(G206,Attendance!$B$3:$AZ$3,0),attendees,COUNTIF(INDEX(Attendance!$B$7:$AZ$206,0,att_offset),"1"),IF(ev_split="Equal Split",ev_cost/MAX(1,COUNTA(Roster!$A$5:$A$204)),ev_cost/MAX(1,attendees))),"N/A"))</f>
        <v/>
      </c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9.5" customHeight="1">
      <c r="A207" s="47"/>
      <c r="B207" s="48"/>
      <c r="C207" s="48"/>
      <c r="D207" s="48"/>
      <c r="E207" s="48"/>
      <c r="F207" s="51"/>
      <c r="G207" s="48"/>
      <c r="H207" s="48"/>
      <c r="I207" s="48"/>
      <c r="J207" s="42" t="str">
        <f t="array" ref="J207">IF(G207="","",IFERROR(LET(ev_cost,INDEX(Events!$G$5:$G$506,MATCH(G207,Events!$A$5:$A$506,0)),ev_split,INDEX(Events!$I$5:$I$506,MATCH(G207,Events!$A$5:$A$506,0)),att_offset,MATCH(G207,Attendance!$B$3:$AZ$3,0),attendees,COUNTIF(INDEX(Attendance!$B$7:$AZ$206,0,att_offset),"1"),IF(ev_split="Equal Split",ev_cost/MAX(1,COUNTA(Roster!$A$5:$A$204)),ev_cost/MAX(1,attendees))),"N/A"))</f>
        <v/>
      </c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9.5" customHeight="1">
      <c r="A208" s="44"/>
      <c r="B208" s="45"/>
      <c r="C208" s="45"/>
      <c r="D208" s="45"/>
      <c r="E208" s="45"/>
      <c r="F208" s="46"/>
      <c r="G208" s="45"/>
      <c r="H208" s="45"/>
      <c r="I208" s="45"/>
      <c r="J208" s="42" t="str">
        <f t="array" ref="J208">IF(G208="","",IFERROR(LET(ev_cost,INDEX(Events!$G$5:$G$506,MATCH(G208,Events!$A$5:$A$506,0)),ev_split,INDEX(Events!$I$5:$I$506,MATCH(G208,Events!$A$5:$A$506,0)),att_offset,MATCH(G208,Attendance!$B$3:$AZ$3,0),attendees,COUNTIF(INDEX(Attendance!$B$7:$AZ$206,0,att_offset),"1"),IF(ev_split="Equal Split",ev_cost/MAX(1,COUNTA(Roster!$A$5:$A$204)),ev_cost/MAX(1,attendees))),"N/A"))</f>
        <v/>
      </c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9.5" customHeight="1">
      <c r="A209" s="47"/>
      <c r="B209" s="48"/>
      <c r="C209" s="48"/>
      <c r="D209" s="48"/>
      <c r="E209" s="48"/>
      <c r="F209" s="51"/>
      <c r="G209" s="48"/>
      <c r="H209" s="48"/>
      <c r="I209" s="48"/>
      <c r="J209" s="42" t="str">
        <f t="array" ref="J209">IF(G209="","",IFERROR(LET(ev_cost,INDEX(Events!$G$5:$G$506,MATCH(G209,Events!$A$5:$A$506,0)),ev_split,INDEX(Events!$I$5:$I$506,MATCH(G209,Events!$A$5:$A$506,0)),att_offset,MATCH(G209,Attendance!$B$3:$AZ$3,0),attendees,COUNTIF(INDEX(Attendance!$B$7:$AZ$206,0,att_offset),"1"),IF(ev_split="Equal Split",ev_cost/MAX(1,COUNTA(Roster!$A$5:$A$204)),ev_cost/MAX(1,attendees))),"N/A"))</f>
        <v/>
      </c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9.5" customHeight="1">
      <c r="A210" s="44"/>
      <c r="B210" s="45"/>
      <c r="C210" s="45"/>
      <c r="D210" s="45"/>
      <c r="E210" s="45"/>
      <c r="F210" s="46"/>
      <c r="G210" s="45"/>
      <c r="H210" s="45"/>
      <c r="I210" s="45"/>
      <c r="J210" s="42" t="str">
        <f t="array" ref="J210">IF(G210="","",IFERROR(LET(ev_cost,INDEX(Events!$G$5:$G$506,MATCH(G210,Events!$A$5:$A$506,0)),ev_split,INDEX(Events!$I$5:$I$506,MATCH(G210,Events!$A$5:$A$506,0)),att_offset,MATCH(G210,Attendance!$B$3:$AZ$3,0),attendees,COUNTIF(INDEX(Attendance!$B$7:$AZ$206,0,att_offset),"1"),IF(ev_split="Equal Split",ev_cost/MAX(1,COUNTA(Roster!$A$5:$A$204)),ev_cost/MAX(1,attendees))),"N/A"))</f>
        <v/>
      </c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9.5" customHeight="1">
      <c r="A211" s="47"/>
      <c r="B211" s="48"/>
      <c r="C211" s="48"/>
      <c r="D211" s="48"/>
      <c r="E211" s="48"/>
      <c r="F211" s="51"/>
      <c r="G211" s="48"/>
      <c r="H211" s="48"/>
      <c r="I211" s="48"/>
      <c r="J211" s="42" t="str">
        <f t="array" ref="J211">IF(G211="","",IFERROR(LET(ev_cost,INDEX(Events!$G$5:$G$506,MATCH(G211,Events!$A$5:$A$506,0)),ev_split,INDEX(Events!$I$5:$I$506,MATCH(G211,Events!$A$5:$A$506,0)),att_offset,MATCH(G211,Attendance!$B$3:$AZ$3,0),attendees,COUNTIF(INDEX(Attendance!$B$7:$AZ$206,0,att_offset),"1"),IF(ev_split="Equal Split",ev_cost/MAX(1,COUNTA(Roster!$A$5:$A$204)),ev_cost/MAX(1,attendees))),"N/A"))</f>
        <v/>
      </c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9.5" customHeight="1">
      <c r="A212" s="44"/>
      <c r="B212" s="45"/>
      <c r="C212" s="45"/>
      <c r="D212" s="45"/>
      <c r="E212" s="45"/>
      <c r="F212" s="46"/>
      <c r="G212" s="45"/>
      <c r="H212" s="45"/>
      <c r="I212" s="45"/>
      <c r="J212" s="42" t="str">
        <f t="array" ref="J212">IF(G212="","",IFERROR(LET(ev_cost,INDEX(Events!$G$5:$G$506,MATCH(G212,Events!$A$5:$A$506,0)),ev_split,INDEX(Events!$I$5:$I$506,MATCH(G212,Events!$A$5:$A$506,0)),att_offset,MATCH(G212,Attendance!$B$3:$AZ$3,0),attendees,COUNTIF(INDEX(Attendance!$B$7:$AZ$206,0,att_offset),"1"),IF(ev_split="Equal Split",ev_cost/MAX(1,COUNTA(Roster!$A$5:$A$204)),ev_cost/MAX(1,attendees))),"N/A"))</f>
        <v/>
      </c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9.5" customHeight="1">
      <c r="A213" s="47"/>
      <c r="B213" s="48"/>
      <c r="C213" s="48"/>
      <c r="D213" s="48"/>
      <c r="E213" s="48"/>
      <c r="F213" s="51"/>
      <c r="G213" s="48"/>
      <c r="H213" s="48"/>
      <c r="I213" s="48"/>
      <c r="J213" s="42" t="str">
        <f t="array" ref="J213">IF(G213="","",IFERROR(LET(ev_cost,INDEX(Events!$G$5:$G$506,MATCH(G213,Events!$A$5:$A$506,0)),ev_split,INDEX(Events!$I$5:$I$506,MATCH(G213,Events!$A$5:$A$506,0)),att_offset,MATCH(G213,Attendance!$B$3:$AZ$3,0),attendees,COUNTIF(INDEX(Attendance!$B$7:$AZ$206,0,att_offset),"1"),IF(ev_split="Equal Split",ev_cost/MAX(1,COUNTA(Roster!$A$5:$A$204)),ev_cost/MAX(1,attendees))),"N/A"))</f>
        <v/>
      </c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9.5" customHeight="1">
      <c r="A214" s="44"/>
      <c r="B214" s="45"/>
      <c r="C214" s="45"/>
      <c r="D214" s="45"/>
      <c r="E214" s="45"/>
      <c r="F214" s="46"/>
      <c r="G214" s="45"/>
      <c r="H214" s="45"/>
      <c r="I214" s="45"/>
      <c r="J214" s="42" t="str">
        <f t="array" ref="J214">IF(G214="","",IFERROR(LET(ev_cost,INDEX(Events!$G$5:$G$506,MATCH(G214,Events!$A$5:$A$506,0)),ev_split,INDEX(Events!$I$5:$I$506,MATCH(G214,Events!$A$5:$A$506,0)),att_offset,MATCH(G214,Attendance!$B$3:$AZ$3,0),attendees,COUNTIF(INDEX(Attendance!$B$7:$AZ$206,0,att_offset),"1"),IF(ev_split="Equal Split",ev_cost/MAX(1,COUNTA(Roster!$A$5:$A$204)),ev_cost/MAX(1,attendees))),"N/A"))</f>
        <v/>
      </c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9.5" customHeight="1">
      <c r="A215" s="47"/>
      <c r="B215" s="48"/>
      <c r="C215" s="48"/>
      <c r="D215" s="48"/>
      <c r="E215" s="48"/>
      <c r="F215" s="51"/>
      <c r="G215" s="48"/>
      <c r="H215" s="48"/>
      <c r="I215" s="48"/>
      <c r="J215" s="42" t="str">
        <f t="array" ref="J215">IF(G215="","",IFERROR(LET(ev_cost,INDEX(Events!$G$5:$G$506,MATCH(G215,Events!$A$5:$A$506,0)),ev_split,INDEX(Events!$I$5:$I$506,MATCH(G215,Events!$A$5:$A$506,0)),att_offset,MATCH(G215,Attendance!$B$3:$AZ$3,0),attendees,COUNTIF(INDEX(Attendance!$B$7:$AZ$206,0,att_offset),"1"),IF(ev_split="Equal Split",ev_cost/MAX(1,COUNTA(Roster!$A$5:$A$204)),ev_cost/MAX(1,attendees))),"N/A"))</f>
        <v/>
      </c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9.5" customHeight="1">
      <c r="A216" s="44"/>
      <c r="B216" s="45"/>
      <c r="C216" s="45"/>
      <c r="D216" s="45"/>
      <c r="E216" s="45"/>
      <c r="F216" s="46"/>
      <c r="G216" s="45"/>
      <c r="H216" s="45"/>
      <c r="I216" s="45"/>
      <c r="J216" s="42" t="str">
        <f t="array" ref="J216">IF(G216="","",IFERROR(LET(ev_cost,INDEX(Events!$G$5:$G$506,MATCH(G216,Events!$A$5:$A$506,0)),ev_split,INDEX(Events!$I$5:$I$506,MATCH(G216,Events!$A$5:$A$506,0)),att_offset,MATCH(G216,Attendance!$B$3:$AZ$3,0),attendees,COUNTIF(INDEX(Attendance!$B$7:$AZ$206,0,att_offset),"1"),IF(ev_split="Equal Split",ev_cost/MAX(1,COUNTA(Roster!$A$5:$A$204)),ev_cost/MAX(1,attendees))),"N/A"))</f>
        <v/>
      </c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9.5" customHeight="1">
      <c r="A217" s="47"/>
      <c r="B217" s="48"/>
      <c r="C217" s="48"/>
      <c r="D217" s="48"/>
      <c r="E217" s="48"/>
      <c r="F217" s="51"/>
      <c r="G217" s="48"/>
      <c r="H217" s="48"/>
      <c r="I217" s="48"/>
      <c r="J217" s="42" t="str">
        <f t="array" ref="J217">IF(G217="","",IFERROR(LET(ev_cost,INDEX(Events!$G$5:$G$506,MATCH(G217,Events!$A$5:$A$506,0)),ev_split,INDEX(Events!$I$5:$I$506,MATCH(G217,Events!$A$5:$A$506,0)),att_offset,MATCH(G217,Attendance!$B$3:$AZ$3,0),attendees,COUNTIF(INDEX(Attendance!$B$7:$AZ$206,0,att_offset),"1"),IF(ev_split="Equal Split",ev_cost/MAX(1,COUNTA(Roster!$A$5:$A$204)),ev_cost/MAX(1,attendees))),"N/A"))</f>
        <v/>
      </c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9.5" customHeight="1">
      <c r="A218" s="44"/>
      <c r="B218" s="45"/>
      <c r="C218" s="45"/>
      <c r="D218" s="45"/>
      <c r="E218" s="45"/>
      <c r="F218" s="46"/>
      <c r="G218" s="45"/>
      <c r="H218" s="45"/>
      <c r="I218" s="45"/>
      <c r="J218" s="42" t="str">
        <f t="array" ref="J218">IF(G218="","",IFERROR(LET(ev_cost,INDEX(Events!$G$5:$G$506,MATCH(G218,Events!$A$5:$A$506,0)),ev_split,INDEX(Events!$I$5:$I$506,MATCH(G218,Events!$A$5:$A$506,0)),att_offset,MATCH(G218,Attendance!$B$3:$AZ$3,0),attendees,COUNTIF(INDEX(Attendance!$B$7:$AZ$206,0,att_offset),"1"),IF(ev_split="Equal Split",ev_cost/MAX(1,COUNTA(Roster!$A$5:$A$204)),ev_cost/MAX(1,attendees))),"N/A"))</f>
        <v/>
      </c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9.5" customHeight="1">
      <c r="A219" s="47"/>
      <c r="B219" s="48"/>
      <c r="C219" s="48"/>
      <c r="D219" s="48"/>
      <c r="E219" s="48"/>
      <c r="F219" s="51"/>
      <c r="G219" s="48"/>
      <c r="H219" s="48"/>
      <c r="I219" s="48"/>
      <c r="J219" s="42" t="str">
        <f t="array" ref="J219">IF(G219="","",IFERROR(LET(ev_cost,INDEX(Events!$G$5:$G$506,MATCH(G219,Events!$A$5:$A$506,0)),ev_split,INDEX(Events!$I$5:$I$506,MATCH(G219,Events!$A$5:$A$506,0)),att_offset,MATCH(G219,Attendance!$B$3:$AZ$3,0),attendees,COUNTIF(INDEX(Attendance!$B$7:$AZ$206,0,att_offset),"1"),IF(ev_split="Equal Split",ev_cost/MAX(1,COUNTA(Roster!$A$5:$A$204)),ev_cost/MAX(1,attendees))),"N/A"))</f>
        <v/>
      </c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9.5" customHeight="1">
      <c r="A220" s="44"/>
      <c r="B220" s="45"/>
      <c r="C220" s="45"/>
      <c r="D220" s="45"/>
      <c r="E220" s="45"/>
      <c r="F220" s="46"/>
      <c r="G220" s="45"/>
      <c r="H220" s="45"/>
      <c r="I220" s="45"/>
      <c r="J220" s="42" t="str">
        <f t="array" ref="J220">IF(G220="","",IFERROR(LET(ev_cost,INDEX(Events!$G$5:$G$506,MATCH(G220,Events!$A$5:$A$506,0)),ev_split,INDEX(Events!$I$5:$I$506,MATCH(G220,Events!$A$5:$A$506,0)),att_offset,MATCH(G220,Attendance!$B$3:$AZ$3,0),attendees,COUNTIF(INDEX(Attendance!$B$7:$AZ$206,0,att_offset),"1"),IF(ev_split="Equal Split",ev_cost/MAX(1,COUNTA(Roster!$A$5:$A$204)),ev_cost/MAX(1,attendees))),"N/A"))</f>
        <v/>
      </c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9.5" customHeight="1">
      <c r="A221" s="47"/>
      <c r="B221" s="48"/>
      <c r="C221" s="48"/>
      <c r="D221" s="48"/>
      <c r="E221" s="48"/>
      <c r="F221" s="51"/>
      <c r="G221" s="48"/>
      <c r="H221" s="48"/>
      <c r="I221" s="48"/>
      <c r="J221" s="42" t="str">
        <f t="array" ref="J221">IF(G221="","",IFERROR(LET(ev_cost,INDEX(Events!$G$5:$G$506,MATCH(G221,Events!$A$5:$A$506,0)),ev_split,INDEX(Events!$I$5:$I$506,MATCH(G221,Events!$A$5:$A$506,0)),att_offset,MATCH(G221,Attendance!$B$3:$AZ$3,0),attendees,COUNTIF(INDEX(Attendance!$B$7:$AZ$206,0,att_offset),"1"),IF(ev_split="Equal Split",ev_cost/MAX(1,COUNTA(Roster!$A$5:$A$204)),ev_cost/MAX(1,attendees))),"N/A"))</f>
        <v/>
      </c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9.5" customHeight="1">
      <c r="A222" s="44"/>
      <c r="B222" s="45"/>
      <c r="C222" s="45"/>
      <c r="D222" s="45"/>
      <c r="E222" s="45"/>
      <c r="F222" s="46"/>
      <c r="G222" s="45"/>
      <c r="H222" s="45"/>
      <c r="I222" s="45"/>
      <c r="J222" s="42" t="str">
        <f t="array" ref="J222">IF(G222="","",IFERROR(LET(ev_cost,INDEX(Events!$G$5:$G$506,MATCH(G222,Events!$A$5:$A$506,0)),ev_split,INDEX(Events!$I$5:$I$506,MATCH(G222,Events!$A$5:$A$506,0)),att_offset,MATCH(G222,Attendance!$B$3:$AZ$3,0),attendees,COUNTIF(INDEX(Attendance!$B$7:$AZ$206,0,att_offset),"1"),IF(ev_split="Equal Split",ev_cost/MAX(1,COUNTA(Roster!$A$5:$A$204)),ev_cost/MAX(1,attendees))),"N/A"))</f>
        <v/>
      </c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9.5" customHeight="1">
      <c r="A223" s="47"/>
      <c r="B223" s="48"/>
      <c r="C223" s="48"/>
      <c r="D223" s="48"/>
      <c r="E223" s="48"/>
      <c r="F223" s="51"/>
      <c r="G223" s="48"/>
      <c r="H223" s="48"/>
      <c r="I223" s="48"/>
      <c r="J223" s="42" t="str">
        <f t="array" ref="J223">IF(G223="","",IFERROR(LET(ev_cost,INDEX(Events!$G$5:$G$506,MATCH(G223,Events!$A$5:$A$506,0)),ev_split,INDEX(Events!$I$5:$I$506,MATCH(G223,Events!$A$5:$A$506,0)),att_offset,MATCH(G223,Attendance!$B$3:$AZ$3,0),attendees,COUNTIF(INDEX(Attendance!$B$7:$AZ$206,0,att_offset),"1"),IF(ev_split="Equal Split",ev_cost/MAX(1,COUNTA(Roster!$A$5:$A$204)),ev_cost/MAX(1,attendees))),"N/A"))</f>
        <v/>
      </c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9.5" customHeight="1">
      <c r="A224" s="44"/>
      <c r="B224" s="45"/>
      <c r="C224" s="45"/>
      <c r="D224" s="45"/>
      <c r="E224" s="45"/>
      <c r="F224" s="46"/>
      <c r="G224" s="45"/>
      <c r="H224" s="45"/>
      <c r="I224" s="45"/>
      <c r="J224" s="42" t="str">
        <f t="array" ref="J224">IF(G224="","",IFERROR(LET(ev_cost,INDEX(Events!$G$5:$G$506,MATCH(G224,Events!$A$5:$A$506,0)),ev_split,INDEX(Events!$I$5:$I$506,MATCH(G224,Events!$A$5:$A$506,0)),att_offset,MATCH(G224,Attendance!$B$3:$AZ$3,0),attendees,COUNTIF(INDEX(Attendance!$B$7:$AZ$206,0,att_offset),"1"),IF(ev_split="Equal Split",ev_cost/MAX(1,COUNTA(Roster!$A$5:$A$204)),ev_cost/MAX(1,attendees))),"N/A"))</f>
        <v/>
      </c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9.5" customHeight="1">
      <c r="A225" s="47"/>
      <c r="B225" s="48"/>
      <c r="C225" s="48"/>
      <c r="D225" s="48"/>
      <c r="E225" s="48"/>
      <c r="F225" s="51"/>
      <c r="G225" s="48"/>
      <c r="H225" s="48"/>
      <c r="I225" s="48"/>
      <c r="J225" s="42" t="str">
        <f t="array" ref="J225">IF(G225="","",IFERROR(LET(ev_cost,INDEX(Events!$G$5:$G$506,MATCH(G225,Events!$A$5:$A$506,0)),ev_split,INDEX(Events!$I$5:$I$506,MATCH(G225,Events!$A$5:$A$506,0)),att_offset,MATCH(G225,Attendance!$B$3:$AZ$3,0),attendees,COUNTIF(INDEX(Attendance!$B$7:$AZ$206,0,att_offset),"1"),IF(ev_split="Equal Split",ev_cost/MAX(1,COUNTA(Roster!$A$5:$A$204)),ev_cost/MAX(1,attendees))),"N/A"))</f>
        <v/>
      </c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9.5" customHeight="1">
      <c r="A226" s="44"/>
      <c r="B226" s="45"/>
      <c r="C226" s="45"/>
      <c r="D226" s="45"/>
      <c r="E226" s="45"/>
      <c r="F226" s="46"/>
      <c r="G226" s="45"/>
      <c r="H226" s="45"/>
      <c r="I226" s="45"/>
      <c r="J226" s="42" t="str">
        <f t="array" ref="J226">IF(G226="","",IFERROR(LET(ev_cost,INDEX(Events!$G$5:$G$506,MATCH(G226,Events!$A$5:$A$506,0)),ev_split,INDEX(Events!$I$5:$I$506,MATCH(G226,Events!$A$5:$A$506,0)),att_offset,MATCH(G226,Attendance!$B$3:$AZ$3,0),attendees,COUNTIF(INDEX(Attendance!$B$7:$AZ$206,0,att_offset),"1"),IF(ev_split="Equal Split",ev_cost/MAX(1,COUNTA(Roster!$A$5:$A$204)),ev_cost/MAX(1,attendees))),"N/A"))</f>
        <v/>
      </c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9.5" customHeight="1">
      <c r="A227" s="47"/>
      <c r="B227" s="48"/>
      <c r="C227" s="48"/>
      <c r="D227" s="48"/>
      <c r="E227" s="48"/>
      <c r="F227" s="51"/>
      <c r="G227" s="48"/>
      <c r="H227" s="48"/>
      <c r="I227" s="48"/>
      <c r="J227" s="42" t="str">
        <f t="array" ref="J227">IF(G227="","",IFERROR(LET(ev_cost,INDEX(Events!$G$5:$G$506,MATCH(G227,Events!$A$5:$A$506,0)),ev_split,INDEX(Events!$I$5:$I$506,MATCH(G227,Events!$A$5:$A$506,0)),att_offset,MATCH(G227,Attendance!$B$3:$AZ$3,0),attendees,COUNTIF(INDEX(Attendance!$B$7:$AZ$206,0,att_offset),"1"),IF(ev_split="Equal Split",ev_cost/MAX(1,COUNTA(Roster!$A$5:$A$204)),ev_cost/MAX(1,attendees))),"N/A"))</f>
        <v/>
      </c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9.5" customHeight="1">
      <c r="A228" s="44"/>
      <c r="B228" s="45"/>
      <c r="C228" s="45"/>
      <c r="D228" s="45"/>
      <c r="E228" s="45"/>
      <c r="F228" s="46"/>
      <c r="G228" s="45"/>
      <c r="H228" s="45"/>
      <c r="I228" s="45"/>
      <c r="J228" s="42" t="str">
        <f t="array" ref="J228">IF(G228="","",IFERROR(LET(ev_cost,INDEX(Events!$G$5:$G$506,MATCH(G228,Events!$A$5:$A$506,0)),ev_split,INDEX(Events!$I$5:$I$506,MATCH(G228,Events!$A$5:$A$506,0)),att_offset,MATCH(G228,Attendance!$B$3:$AZ$3,0),attendees,COUNTIF(INDEX(Attendance!$B$7:$AZ$206,0,att_offset),"1"),IF(ev_split="Equal Split",ev_cost/MAX(1,COUNTA(Roster!$A$5:$A$204)),ev_cost/MAX(1,attendees))),"N/A"))</f>
        <v/>
      </c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9.5" customHeight="1">
      <c r="A229" s="47"/>
      <c r="B229" s="48"/>
      <c r="C229" s="48"/>
      <c r="D229" s="48"/>
      <c r="E229" s="48"/>
      <c r="F229" s="51"/>
      <c r="G229" s="48"/>
      <c r="H229" s="48"/>
      <c r="I229" s="48"/>
      <c r="J229" s="42" t="str">
        <f t="array" ref="J229">IF(G229="","",IFERROR(LET(ev_cost,INDEX(Events!$G$5:$G$506,MATCH(G229,Events!$A$5:$A$506,0)),ev_split,INDEX(Events!$I$5:$I$506,MATCH(G229,Events!$A$5:$A$506,0)),att_offset,MATCH(G229,Attendance!$B$3:$AZ$3,0),attendees,COUNTIF(INDEX(Attendance!$B$7:$AZ$206,0,att_offset),"1"),IF(ev_split="Equal Split",ev_cost/MAX(1,COUNTA(Roster!$A$5:$A$204)),ev_cost/MAX(1,attendees))),"N/A"))</f>
        <v/>
      </c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9.5" customHeight="1">
      <c r="A230" s="44"/>
      <c r="B230" s="45"/>
      <c r="C230" s="45"/>
      <c r="D230" s="45"/>
      <c r="E230" s="45"/>
      <c r="F230" s="46"/>
      <c r="G230" s="45"/>
      <c r="H230" s="45"/>
      <c r="I230" s="45"/>
      <c r="J230" s="42" t="str">
        <f t="array" ref="J230">IF(G230="","",IFERROR(LET(ev_cost,INDEX(Events!$G$5:$G$506,MATCH(G230,Events!$A$5:$A$506,0)),ev_split,INDEX(Events!$I$5:$I$506,MATCH(G230,Events!$A$5:$A$506,0)),att_offset,MATCH(G230,Attendance!$B$3:$AZ$3,0),attendees,COUNTIF(INDEX(Attendance!$B$7:$AZ$206,0,att_offset),"1"),IF(ev_split="Equal Split",ev_cost/MAX(1,COUNTA(Roster!$A$5:$A$204)),ev_cost/MAX(1,attendees))),"N/A"))</f>
        <v/>
      </c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9.5" customHeight="1">
      <c r="A231" s="47"/>
      <c r="B231" s="48"/>
      <c r="C231" s="48"/>
      <c r="D231" s="48"/>
      <c r="E231" s="48"/>
      <c r="F231" s="51"/>
      <c r="G231" s="48"/>
      <c r="H231" s="48"/>
      <c r="I231" s="48"/>
      <c r="J231" s="42" t="str">
        <f t="array" ref="J231">IF(G231="","",IFERROR(LET(ev_cost,INDEX(Events!$G$5:$G$506,MATCH(G231,Events!$A$5:$A$506,0)),ev_split,INDEX(Events!$I$5:$I$506,MATCH(G231,Events!$A$5:$A$506,0)),att_offset,MATCH(G231,Attendance!$B$3:$AZ$3,0),attendees,COUNTIF(INDEX(Attendance!$B$7:$AZ$206,0,att_offset),"1"),IF(ev_split="Equal Split",ev_cost/MAX(1,COUNTA(Roster!$A$5:$A$204)),ev_cost/MAX(1,attendees))),"N/A"))</f>
        <v/>
      </c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9.5" customHeight="1">
      <c r="A232" s="44"/>
      <c r="B232" s="45"/>
      <c r="C232" s="45"/>
      <c r="D232" s="45"/>
      <c r="E232" s="45"/>
      <c r="F232" s="46"/>
      <c r="G232" s="45"/>
      <c r="H232" s="45"/>
      <c r="I232" s="45"/>
      <c r="J232" s="42" t="str">
        <f t="array" ref="J232">IF(G232="","",IFERROR(LET(ev_cost,INDEX(Events!$G$5:$G$506,MATCH(G232,Events!$A$5:$A$506,0)),ev_split,INDEX(Events!$I$5:$I$506,MATCH(G232,Events!$A$5:$A$506,0)),att_offset,MATCH(G232,Attendance!$B$3:$AZ$3,0),attendees,COUNTIF(INDEX(Attendance!$B$7:$AZ$206,0,att_offset),"1"),IF(ev_split="Equal Split",ev_cost/MAX(1,COUNTA(Roster!$A$5:$A$204)),ev_cost/MAX(1,attendees))),"N/A"))</f>
        <v/>
      </c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9.5" customHeight="1">
      <c r="A233" s="47"/>
      <c r="B233" s="48"/>
      <c r="C233" s="48"/>
      <c r="D233" s="48"/>
      <c r="E233" s="48"/>
      <c r="F233" s="51"/>
      <c r="G233" s="48"/>
      <c r="H233" s="48"/>
      <c r="I233" s="48"/>
      <c r="J233" s="42" t="str">
        <f t="array" ref="J233">IF(G233="","",IFERROR(LET(ev_cost,INDEX(Events!$G$5:$G$506,MATCH(G233,Events!$A$5:$A$506,0)),ev_split,INDEX(Events!$I$5:$I$506,MATCH(G233,Events!$A$5:$A$506,0)),att_offset,MATCH(G233,Attendance!$B$3:$AZ$3,0),attendees,COUNTIF(INDEX(Attendance!$B$7:$AZ$206,0,att_offset),"1"),IF(ev_split="Equal Split",ev_cost/MAX(1,COUNTA(Roster!$A$5:$A$204)),ev_cost/MAX(1,attendees))),"N/A"))</f>
        <v/>
      </c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9.5" customHeight="1">
      <c r="A234" s="44"/>
      <c r="B234" s="45"/>
      <c r="C234" s="45"/>
      <c r="D234" s="45"/>
      <c r="E234" s="45"/>
      <c r="F234" s="46"/>
      <c r="G234" s="45"/>
      <c r="H234" s="45"/>
      <c r="I234" s="45"/>
      <c r="J234" s="42" t="str">
        <f t="array" ref="J234">IF(G234="","",IFERROR(LET(ev_cost,INDEX(Events!$G$5:$G$506,MATCH(G234,Events!$A$5:$A$506,0)),ev_split,INDEX(Events!$I$5:$I$506,MATCH(G234,Events!$A$5:$A$506,0)),att_offset,MATCH(G234,Attendance!$B$3:$AZ$3,0),attendees,COUNTIF(INDEX(Attendance!$B$7:$AZ$206,0,att_offset),"1"),IF(ev_split="Equal Split",ev_cost/MAX(1,COUNTA(Roster!$A$5:$A$204)),ev_cost/MAX(1,attendees))),"N/A"))</f>
        <v/>
      </c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9.5" customHeight="1">
      <c r="A235" s="47"/>
      <c r="B235" s="48"/>
      <c r="C235" s="48"/>
      <c r="D235" s="48"/>
      <c r="E235" s="48"/>
      <c r="F235" s="51"/>
      <c r="G235" s="48"/>
      <c r="H235" s="48"/>
      <c r="I235" s="48"/>
      <c r="J235" s="42" t="str">
        <f t="array" ref="J235">IF(G235="","",IFERROR(LET(ev_cost,INDEX(Events!$G$5:$G$506,MATCH(G235,Events!$A$5:$A$506,0)),ev_split,INDEX(Events!$I$5:$I$506,MATCH(G235,Events!$A$5:$A$506,0)),att_offset,MATCH(G235,Attendance!$B$3:$AZ$3,0),attendees,COUNTIF(INDEX(Attendance!$B$7:$AZ$206,0,att_offset),"1"),IF(ev_split="Equal Split",ev_cost/MAX(1,COUNTA(Roster!$A$5:$A$204)),ev_cost/MAX(1,attendees))),"N/A"))</f>
        <v/>
      </c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9.5" customHeight="1">
      <c r="A236" s="44"/>
      <c r="B236" s="45"/>
      <c r="C236" s="45"/>
      <c r="D236" s="45"/>
      <c r="E236" s="45"/>
      <c r="F236" s="46"/>
      <c r="G236" s="45"/>
      <c r="H236" s="45"/>
      <c r="I236" s="45"/>
      <c r="J236" s="42" t="str">
        <f t="array" ref="J236">IF(G236="","",IFERROR(LET(ev_cost,INDEX(Events!$G$5:$G$506,MATCH(G236,Events!$A$5:$A$506,0)),ev_split,INDEX(Events!$I$5:$I$506,MATCH(G236,Events!$A$5:$A$506,0)),att_offset,MATCH(G236,Attendance!$B$3:$AZ$3,0),attendees,COUNTIF(INDEX(Attendance!$B$7:$AZ$206,0,att_offset),"1"),IF(ev_split="Equal Split",ev_cost/MAX(1,COUNTA(Roster!$A$5:$A$204)),ev_cost/MAX(1,attendees))),"N/A"))</f>
        <v/>
      </c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9.5" customHeight="1">
      <c r="A237" s="47"/>
      <c r="B237" s="48"/>
      <c r="C237" s="48"/>
      <c r="D237" s="48"/>
      <c r="E237" s="48"/>
      <c r="F237" s="51"/>
      <c r="G237" s="48"/>
      <c r="H237" s="48"/>
      <c r="I237" s="48"/>
      <c r="J237" s="42" t="str">
        <f t="array" ref="J237">IF(G237="","",IFERROR(LET(ev_cost,INDEX(Events!$G$5:$G$506,MATCH(G237,Events!$A$5:$A$506,0)),ev_split,INDEX(Events!$I$5:$I$506,MATCH(G237,Events!$A$5:$A$506,0)),att_offset,MATCH(G237,Attendance!$B$3:$AZ$3,0),attendees,COUNTIF(INDEX(Attendance!$B$7:$AZ$206,0,att_offset),"1"),IF(ev_split="Equal Split",ev_cost/MAX(1,COUNTA(Roster!$A$5:$A$204)),ev_cost/MAX(1,attendees))),"N/A"))</f>
        <v/>
      </c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9.5" customHeight="1">
      <c r="A238" s="44"/>
      <c r="B238" s="45"/>
      <c r="C238" s="45"/>
      <c r="D238" s="45"/>
      <c r="E238" s="45"/>
      <c r="F238" s="46"/>
      <c r="G238" s="45"/>
      <c r="H238" s="45"/>
      <c r="I238" s="45"/>
      <c r="J238" s="42" t="str">
        <f t="array" ref="J238">IF(G238="","",IFERROR(LET(ev_cost,INDEX(Events!$G$5:$G$506,MATCH(G238,Events!$A$5:$A$506,0)),ev_split,INDEX(Events!$I$5:$I$506,MATCH(G238,Events!$A$5:$A$506,0)),att_offset,MATCH(G238,Attendance!$B$3:$AZ$3,0),attendees,COUNTIF(INDEX(Attendance!$B$7:$AZ$206,0,att_offset),"1"),IF(ev_split="Equal Split",ev_cost/MAX(1,COUNTA(Roster!$A$5:$A$204)),ev_cost/MAX(1,attendees))),"N/A"))</f>
        <v/>
      </c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9.5" customHeight="1">
      <c r="A239" s="47"/>
      <c r="B239" s="48"/>
      <c r="C239" s="48"/>
      <c r="D239" s="48"/>
      <c r="E239" s="48"/>
      <c r="F239" s="51"/>
      <c r="G239" s="48"/>
      <c r="H239" s="48"/>
      <c r="I239" s="48"/>
      <c r="J239" s="42" t="str">
        <f t="array" ref="J239">IF(G239="","",IFERROR(LET(ev_cost,INDEX(Events!$G$5:$G$506,MATCH(G239,Events!$A$5:$A$506,0)),ev_split,INDEX(Events!$I$5:$I$506,MATCH(G239,Events!$A$5:$A$506,0)),att_offset,MATCH(G239,Attendance!$B$3:$AZ$3,0),attendees,COUNTIF(INDEX(Attendance!$B$7:$AZ$206,0,att_offset),"1"),IF(ev_split="Equal Split",ev_cost/MAX(1,COUNTA(Roster!$A$5:$A$204)),ev_cost/MAX(1,attendees))),"N/A"))</f>
        <v/>
      </c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9.5" customHeight="1">
      <c r="A240" s="44"/>
      <c r="B240" s="45"/>
      <c r="C240" s="45"/>
      <c r="D240" s="45"/>
      <c r="E240" s="45"/>
      <c r="F240" s="46"/>
      <c r="G240" s="45"/>
      <c r="H240" s="45"/>
      <c r="I240" s="45"/>
      <c r="J240" s="42" t="str">
        <f t="array" ref="J240">IF(G240="","",IFERROR(LET(ev_cost,INDEX(Events!$G$5:$G$506,MATCH(G240,Events!$A$5:$A$506,0)),ev_split,INDEX(Events!$I$5:$I$506,MATCH(G240,Events!$A$5:$A$506,0)),att_offset,MATCH(G240,Attendance!$B$3:$AZ$3,0),attendees,COUNTIF(INDEX(Attendance!$B$7:$AZ$206,0,att_offset),"1"),IF(ev_split="Equal Split",ev_cost/MAX(1,COUNTA(Roster!$A$5:$A$204)),ev_cost/MAX(1,attendees))),"N/A"))</f>
        <v/>
      </c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9.5" customHeight="1">
      <c r="A241" s="47"/>
      <c r="B241" s="48"/>
      <c r="C241" s="48"/>
      <c r="D241" s="48"/>
      <c r="E241" s="48"/>
      <c r="F241" s="51"/>
      <c r="G241" s="48"/>
      <c r="H241" s="48"/>
      <c r="I241" s="48"/>
      <c r="J241" s="42" t="str">
        <f t="array" ref="J241">IF(G241="","",IFERROR(LET(ev_cost,INDEX(Events!$G$5:$G$506,MATCH(G241,Events!$A$5:$A$506,0)),ev_split,INDEX(Events!$I$5:$I$506,MATCH(G241,Events!$A$5:$A$506,0)),att_offset,MATCH(G241,Attendance!$B$3:$AZ$3,0),attendees,COUNTIF(INDEX(Attendance!$B$7:$AZ$206,0,att_offset),"1"),IF(ev_split="Equal Split",ev_cost/MAX(1,COUNTA(Roster!$A$5:$A$204)),ev_cost/MAX(1,attendees))),"N/A"))</f>
        <v/>
      </c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9.5" customHeight="1">
      <c r="A242" s="44"/>
      <c r="B242" s="45"/>
      <c r="C242" s="45"/>
      <c r="D242" s="45"/>
      <c r="E242" s="45"/>
      <c r="F242" s="46"/>
      <c r="G242" s="45"/>
      <c r="H242" s="45"/>
      <c r="I242" s="45"/>
      <c r="J242" s="42" t="str">
        <f t="array" ref="J242">IF(G242="","",IFERROR(LET(ev_cost,INDEX(Events!$G$5:$G$506,MATCH(G242,Events!$A$5:$A$506,0)),ev_split,INDEX(Events!$I$5:$I$506,MATCH(G242,Events!$A$5:$A$506,0)),att_offset,MATCH(G242,Attendance!$B$3:$AZ$3,0),attendees,COUNTIF(INDEX(Attendance!$B$7:$AZ$206,0,att_offset),"1"),IF(ev_split="Equal Split",ev_cost/MAX(1,COUNTA(Roster!$A$5:$A$204)),ev_cost/MAX(1,attendees))),"N/A"))</f>
        <v/>
      </c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9.5" customHeight="1">
      <c r="A243" s="47"/>
      <c r="B243" s="48"/>
      <c r="C243" s="48"/>
      <c r="D243" s="48"/>
      <c r="E243" s="48"/>
      <c r="F243" s="51"/>
      <c r="G243" s="48"/>
      <c r="H243" s="48"/>
      <c r="I243" s="48"/>
      <c r="J243" s="42" t="str">
        <f t="array" ref="J243">IF(G243="","",IFERROR(LET(ev_cost,INDEX(Events!$G$5:$G$506,MATCH(G243,Events!$A$5:$A$506,0)),ev_split,INDEX(Events!$I$5:$I$506,MATCH(G243,Events!$A$5:$A$506,0)),att_offset,MATCH(G243,Attendance!$B$3:$AZ$3,0),attendees,COUNTIF(INDEX(Attendance!$B$7:$AZ$206,0,att_offset),"1"),IF(ev_split="Equal Split",ev_cost/MAX(1,COUNTA(Roster!$A$5:$A$204)),ev_cost/MAX(1,attendees))),"N/A"))</f>
        <v/>
      </c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9.5" customHeight="1">
      <c r="A244" s="44"/>
      <c r="B244" s="45"/>
      <c r="C244" s="45"/>
      <c r="D244" s="45"/>
      <c r="E244" s="45"/>
      <c r="F244" s="46"/>
      <c r="G244" s="45"/>
      <c r="H244" s="45"/>
      <c r="I244" s="45"/>
      <c r="J244" s="42" t="str">
        <f t="array" ref="J244">IF(G244="","",IFERROR(LET(ev_cost,INDEX(Events!$G$5:$G$506,MATCH(G244,Events!$A$5:$A$506,0)),ev_split,INDEX(Events!$I$5:$I$506,MATCH(G244,Events!$A$5:$A$506,0)),att_offset,MATCH(G244,Attendance!$B$3:$AZ$3,0),attendees,COUNTIF(INDEX(Attendance!$B$7:$AZ$206,0,att_offset),"1"),IF(ev_split="Equal Split",ev_cost/MAX(1,COUNTA(Roster!$A$5:$A$204)),ev_cost/MAX(1,attendees))),"N/A"))</f>
        <v/>
      </c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9.5" customHeight="1">
      <c r="A245" s="47"/>
      <c r="B245" s="48"/>
      <c r="C245" s="48"/>
      <c r="D245" s="48"/>
      <c r="E245" s="48"/>
      <c r="F245" s="51"/>
      <c r="G245" s="48"/>
      <c r="H245" s="48"/>
      <c r="I245" s="48"/>
      <c r="J245" s="42" t="str">
        <f t="array" ref="J245">IF(G245="","",IFERROR(LET(ev_cost,INDEX(Events!$G$5:$G$506,MATCH(G245,Events!$A$5:$A$506,0)),ev_split,INDEX(Events!$I$5:$I$506,MATCH(G245,Events!$A$5:$A$506,0)),att_offset,MATCH(G245,Attendance!$B$3:$AZ$3,0),attendees,COUNTIF(INDEX(Attendance!$B$7:$AZ$206,0,att_offset),"1"),IF(ev_split="Equal Split",ev_cost/MAX(1,COUNTA(Roster!$A$5:$A$204)),ev_cost/MAX(1,attendees))),"N/A"))</f>
        <v/>
      </c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9.5" customHeight="1">
      <c r="A246" s="44"/>
      <c r="B246" s="45"/>
      <c r="C246" s="45"/>
      <c r="D246" s="45"/>
      <c r="E246" s="45"/>
      <c r="F246" s="46"/>
      <c r="G246" s="45"/>
      <c r="H246" s="45"/>
      <c r="I246" s="45"/>
      <c r="J246" s="42" t="str">
        <f t="array" ref="J246">IF(G246="","",IFERROR(LET(ev_cost,INDEX(Events!$G$5:$G$506,MATCH(G246,Events!$A$5:$A$506,0)),ev_split,INDEX(Events!$I$5:$I$506,MATCH(G246,Events!$A$5:$A$506,0)),att_offset,MATCH(G246,Attendance!$B$3:$AZ$3,0),attendees,COUNTIF(INDEX(Attendance!$B$7:$AZ$206,0,att_offset),"1"),IF(ev_split="Equal Split",ev_cost/MAX(1,COUNTA(Roster!$A$5:$A$204)),ev_cost/MAX(1,attendees))),"N/A"))</f>
        <v/>
      </c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9.5" customHeight="1">
      <c r="A247" s="47"/>
      <c r="B247" s="48"/>
      <c r="C247" s="48"/>
      <c r="D247" s="48"/>
      <c r="E247" s="48"/>
      <c r="F247" s="51"/>
      <c r="G247" s="48"/>
      <c r="H247" s="48"/>
      <c r="I247" s="48"/>
      <c r="J247" s="42" t="str">
        <f t="array" ref="J247">IF(G247="","",IFERROR(LET(ev_cost,INDEX(Events!$G$5:$G$506,MATCH(G247,Events!$A$5:$A$506,0)),ev_split,INDEX(Events!$I$5:$I$506,MATCH(G247,Events!$A$5:$A$506,0)),att_offset,MATCH(G247,Attendance!$B$3:$AZ$3,0),attendees,COUNTIF(INDEX(Attendance!$B$7:$AZ$206,0,att_offset),"1"),IF(ev_split="Equal Split",ev_cost/MAX(1,COUNTA(Roster!$A$5:$A$204)),ev_cost/MAX(1,attendees))),"N/A"))</f>
        <v/>
      </c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9.5" customHeight="1">
      <c r="A248" s="44"/>
      <c r="B248" s="45"/>
      <c r="C248" s="45"/>
      <c r="D248" s="45"/>
      <c r="E248" s="45"/>
      <c r="F248" s="46"/>
      <c r="G248" s="45"/>
      <c r="H248" s="45"/>
      <c r="I248" s="45"/>
      <c r="J248" s="42" t="str">
        <f t="array" ref="J248">IF(G248="","",IFERROR(LET(ev_cost,INDEX(Events!$G$5:$G$506,MATCH(G248,Events!$A$5:$A$506,0)),ev_split,INDEX(Events!$I$5:$I$506,MATCH(G248,Events!$A$5:$A$506,0)),att_offset,MATCH(G248,Attendance!$B$3:$AZ$3,0),attendees,COUNTIF(INDEX(Attendance!$B$7:$AZ$206,0,att_offset),"1"),IF(ev_split="Equal Split",ev_cost/MAX(1,COUNTA(Roster!$A$5:$A$204)),ev_cost/MAX(1,attendees))),"N/A"))</f>
        <v/>
      </c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9.5" customHeight="1">
      <c r="A249" s="47"/>
      <c r="B249" s="48"/>
      <c r="C249" s="48"/>
      <c r="D249" s="48"/>
      <c r="E249" s="48"/>
      <c r="F249" s="51"/>
      <c r="G249" s="48"/>
      <c r="H249" s="48"/>
      <c r="I249" s="48"/>
      <c r="J249" s="42" t="str">
        <f t="array" ref="J249">IF(G249="","",IFERROR(LET(ev_cost,INDEX(Events!$G$5:$G$506,MATCH(G249,Events!$A$5:$A$506,0)),ev_split,INDEX(Events!$I$5:$I$506,MATCH(G249,Events!$A$5:$A$506,0)),att_offset,MATCH(G249,Attendance!$B$3:$AZ$3,0),attendees,COUNTIF(INDEX(Attendance!$B$7:$AZ$206,0,att_offset),"1"),IF(ev_split="Equal Split",ev_cost/MAX(1,COUNTA(Roster!$A$5:$A$204)),ev_cost/MAX(1,attendees))),"N/A"))</f>
        <v/>
      </c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9.5" customHeight="1">
      <c r="A250" s="44"/>
      <c r="B250" s="45"/>
      <c r="C250" s="45"/>
      <c r="D250" s="45"/>
      <c r="E250" s="45"/>
      <c r="F250" s="46"/>
      <c r="G250" s="45"/>
      <c r="H250" s="45"/>
      <c r="I250" s="45"/>
      <c r="J250" s="42" t="str">
        <f t="array" ref="J250">IF(G250="","",IFERROR(LET(ev_cost,INDEX(Events!$G$5:$G$506,MATCH(G250,Events!$A$5:$A$506,0)),ev_split,INDEX(Events!$I$5:$I$506,MATCH(G250,Events!$A$5:$A$506,0)),att_offset,MATCH(G250,Attendance!$B$3:$AZ$3,0),attendees,COUNTIF(INDEX(Attendance!$B$7:$AZ$206,0,att_offset),"1"),IF(ev_split="Equal Split",ev_cost/MAX(1,COUNTA(Roster!$A$5:$A$204)),ev_cost/MAX(1,attendees))),"N/A"))</f>
        <v/>
      </c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9.5" customHeight="1">
      <c r="A251" s="47"/>
      <c r="B251" s="48"/>
      <c r="C251" s="48"/>
      <c r="D251" s="48"/>
      <c r="E251" s="48"/>
      <c r="F251" s="51"/>
      <c r="G251" s="48"/>
      <c r="H251" s="48"/>
      <c r="I251" s="48"/>
      <c r="J251" s="42" t="str">
        <f t="array" ref="J251">IF(G251="","",IFERROR(LET(ev_cost,INDEX(Events!$G$5:$G$506,MATCH(G251,Events!$A$5:$A$506,0)),ev_split,INDEX(Events!$I$5:$I$506,MATCH(G251,Events!$A$5:$A$506,0)),att_offset,MATCH(G251,Attendance!$B$3:$AZ$3,0),attendees,COUNTIF(INDEX(Attendance!$B$7:$AZ$206,0,att_offset),"1"),IF(ev_split="Equal Split",ev_cost/MAX(1,COUNTA(Roster!$A$5:$A$204)),ev_cost/MAX(1,attendees))),"N/A"))</f>
        <v/>
      </c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9.5" customHeight="1">
      <c r="A252" s="44"/>
      <c r="B252" s="45"/>
      <c r="C252" s="45"/>
      <c r="D252" s="45"/>
      <c r="E252" s="45"/>
      <c r="F252" s="46"/>
      <c r="G252" s="45"/>
      <c r="H252" s="45"/>
      <c r="I252" s="45"/>
      <c r="J252" s="42" t="str">
        <f t="array" ref="J252">IF(G252="","",IFERROR(LET(ev_cost,INDEX(Events!$G$5:$G$506,MATCH(G252,Events!$A$5:$A$506,0)),ev_split,INDEX(Events!$I$5:$I$506,MATCH(G252,Events!$A$5:$A$506,0)),att_offset,MATCH(G252,Attendance!$B$3:$AZ$3,0),attendees,COUNTIF(INDEX(Attendance!$B$7:$AZ$206,0,att_offset),"1"),IF(ev_split="Equal Split",ev_cost/MAX(1,COUNTA(Roster!$A$5:$A$204)),ev_cost/MAX(1,attendees))),"N/A"))</f>
        <v/>
      </c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9.5" customHeight="1">
      <c r="A253" s="47"/>
      <c r="B253" s="48"/>
      <c r="C253" s="48"/>
      <c r="D253" s="48"/>
      <c r="E253" s="48"/>
      <c r="F253" s="51"/>
      <c r="G253" s="48"/>
      <c r="H253" s="48"/>
      <c r="I253" s="48"/>
      <c r="J253" s="42" t="str">
        <f t="array" ref="J253">IF(G253="","",IFERROR(LET(ev_cost,INDEX(Events!$G$5:$G$506,MATCH(G253,Events!$A$5:$A$506,0)),ev_split,INDEX(Events!$I$5:$I$506,MATCH(G253,Events!$A$5:$A$506,0)),att_offset,MATCH(G253,Attendance!$B$3:$AZ$3,0),attendees,COUNTIF(INDEX(Attendance!$B$7:$AZ$206,0,att_offset),"1"),IF(ev_split="Equal Split",ev_cost/MAX(1,COUNTA(Roster!$A$5:$A$204)),ev_cost/MAX(1,attendees))),"N/A"))</f>
        <v/>
      </c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9.5" customHeight="1">
      <c r="A254" s="44"/>
      <c r="B254" s="45"/>
      <c r="C254" s="45"/>
      <c r="D254" s="45"/>
      <c r="E254" s="45"/>
      <c r="F254" s="46"/>
      <c r="G254" s="45"/>
      <c r="H254" s="45"/>
      <c r="I254" s="45"/>
      <c r="J254" s="42" t="str">
        <f t="array" ref="J254">IF(G254="","",IFERROR(LET(ev_cost,INDEX(Events!$G$5:$G$506,MATCH(G254,Events!$A$5:$A$506,0)),ev_split,INDEX(Events!$I$5:$I$506,MATCH(G254,Events!$A$5:$A$506,0)),att_offset,MATCH(G254,Attendance!$B$3:$AZ$3,0),attendees,COUNTIF(INDEX(Attendance!$B$7:$AZ$206,0,att_offset),"1"),IF(ev_split="Equal Split",ev_cost/MAX(1,COUNTA(Roster!$A$5:$A$204)),ev_cost/MAX(1,attendees))),"N/A"))</f>
        <v/>
      </c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9.5" customHeight="1">
      <c r="A255" s="47"/>
      <c r="B255" s="48"/>
      <c r="C255" s="48"/>
      <c r="D255" s="48"/>
      <c r="E255" s="48"/>
      <c r="F255" s="51"/>
      <c r="G255" s="48"/>
      <c r="H255" s="48"/>
      <c r="I255" s="48"/>
      <c r="J255" s="42" t="str">
        <f t="array" ref="J255">IF(G255="","",IFERROR(LET(ev_cost,INDEX(Events!$G$5:$G$506,MATCH(G255,Events!$A$5:$A$506,0)),ev_split,INDEX(Events!$I$5:$I$506,MATCH(G255,Events!$A$5:$A$506,0)),att_offset,MATCH(G255,Attendance!$B$3:$AZ$3,0),attendees,COUNTIF(INDEX(Attendance!$B$7:$AZ$206,0,att_offset),"1"),IF(ev_split="Equal Split",ev_cost/MAX(1,COUNTA(Roster!$A$5:$A$204)),ev_cost/MAX(1,attendees))),"N/A"))</f>
        <v/>
      </c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9.5" customHeight="1">
      <c r="A256" s="44"/>
      <c r="B256" s="45"/>
      <c r="C256" s="45"/>
      <c r="D256" s="45"/>
      <c r="E256" s="45"/>
      <c r="F256" s="46"/>
      <c r="G256" s="45"/>
      <c r="H256" s="45"/>
      <c r="I256" s="45"/>
      <c r="J256" s="42" t="str">
        <f t="array" ref="J256">IF(G256="","",IFERROR(LET(ev_cost,INDEX(Events!$G$5:$G$506,MATCH(G256,Events!$A$5:$A$506,0)),ev_split,INDEX(Events!$I$5:$I$506,MATCH(G256,Events!$A$5:$A$506,0)),att_offset,MATCH(G256,Attendance!$B$3:$AZ$3,0),attendees,COUNTIF(INDEX(Attendance!$B$7:$AZ$206,0,att_offset),"1"),IF(ev_split="Equal Split",ev_cost/MAX(1,COUNTA(Roster!$A$5:$A$204)),ev_cost/MAX(1,attendees))),"N/A"))</f>
        <v/>
      </c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9.5" customHeight="1">
      <c r="A257" s="47"/>
      <c r="B257" s="48"/>
      <c r="C257" s="48"/>
      <c r="D257" s="48"/>
      <c r="E257" s="48"/>
      <c r="F257" s="51"/>
      <c r="G257" s="48"/>
      <c r="H257" s="48"/>
      <c r="I257" s="48"/>
      <c r="J257" s="42" t="str">
        <f t="array" ref="J257">IF(G257="","",IFERROR(LET(ev_cost,INDEX(Events!$G$5:$G$506,MATCH(G257,Events!$A$5:$A$506,0)),ev_split,INDEX(Events!$I$5:$I$506,MATCH(G257,Events!$A$5:$A$506,0)),att_offset,MATCH(G257,Attendance!$B$3:$AZ$3,0),attendees,COUNTIF(INDEX(Attendance!$B$7:$AZ$206,0,att_offset),"1"),IF(ev_split="Equal Split",ev_cost/MAX(1,COUNTA(Roster!$A$5:$A$204)),ev_cost/MAX(1,attendees))),"N/A"))</f>
        <v/>
      </c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9.5" customHeight="1">
      <c r="A258" s="44"/>
      <c r="B258" s="45"/>
      <c r="C258" s="45"/>
      <c r="D258" s="45"/>
      <c r="E258" s="45"/>
      <c r="F258" s="46"/>
      <c r="G258" s="45"/>
      <c r="H258" s="45"/>
      <c r="I258" s="45"/>
      <c r="J258" s="42" t="str">
        <f t="array" ref="J258">IF(G258="","",IFERROR(LET(ev_cost,INDEX(Events!$G$5:$G$506,MATCH(G258,Events!$A$5:$A$506,0)),ev_split,INDEX(Events!$I$5:$I$506,MATCH(G258,Events!$A$5:$A$506,0)),att_offset,MATCH(G258,Attendance!$B$3:$AZ$3,0),attendees,COUNTIF(INDEX(Attendance!$B$7:$AZ$206,0,att_offset),"1"),IF(ev_split="Equal Split",ev_cost/MAX(1,COUNTA(Roster!$A$5:$A$204)),ev_cost/MAX(1,attendees))),"N/A"))</f>
        <v/>
      </c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9.5" customHeight="1">
      <c r="A259" s="47"/>
      <c r="B259" s="48"/>
      <c r="C259" s="48"/>
      <c r="D259" s="48"/>
      <c r="E259" s="48"/>
      <c r="F259" s="51"/>
      <c r="G259" s="48"/>
      <c r="H259" s="48"/>
      <c r="I259" s="48"/>
      <c r="J259" s="42" t="str">
        <f t="array" ref="J259">IF(G259="","",IFERROR(LET(ev_cost,INDEX(Events!$G$5:$G$506,MATCH(G259,Events!$A$5:$A$506,0)),ev_split,INDEX(Events!$I$5:$I$506,MATCH(G259,Events!$A$5:$A$506,0)),att_offset,MATCH(G259,Attendance!$B$3:$AZ$3,0),attendees,COUNTIF(INDEX(Attendance!$B$7:$AZ$206,0,att_offset),"1"),IF(ev_split="Equal Split",ev_cost/MAX(1,COUNTA(Roster!$A$5:$A$204)),ev_cost/MAX(1,attendees))),"N/A"))</f>
        <v/>
      </c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9.5" customHeight="1">
      <c r="A260" s="44"/>
      <c r="B260" s="45"/>
      <c r="C260" s="45"/>
      <c r="D260" s="45"/>
      <c r="E260" s="45"/>
      <c r="F260" s="46"/>
      <c r="G260" s="45"/>
      <c r="H260" s="45"/>
      <c r="I260" s="45"/>
      <c r="J260" s="42" t="str">
        <f t="array" ref="J260">IF(G260="","",IFERROR(LET(ev_cost,INDEX(Events!$G$5:$G$506,MATCH(G260,Events!$A$5:$A$506,0)),ev_split,INDEX(Events!$I$5:$I$506,MATCH(G260,Events!$A$5:$A$506,0)),att_offset,MATCH(G260,Attendance!$B$3:$AZ$3,0),attendees,COUNTIF(INDEX(Attendance!$B$7:$AZ$206,0,att_offset),"1"),IF(ev_split="Equal Split",ev_cost/MAX(1,COUNTA(Roster!$A$5:$A$204)),ev_cost/MAX(1,attendees))),"N/A"))</f>
        <v/>
      </c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9.5" customHeight="1">
      <c r="A261" s="47"/>
      <c r="B261" s="48"/>
      <c r="C261" s="48"/>
      <c r="D261" s="48"/>
      <c r="E261" s="48"/>
      <c r="F261" s="51"/>
      <c r="G261" s="48"/>
      <c r="H261" s="48"/>
      <c r="I261" s="48"/>
      <c r="J261" s="42" t="str">
        <f t="array" ref="J261">IF(G261="","",IFERROR(LET(ev_cost,INDEX(Events!$G$5:$G$506,MATCH(G261,Events!$A$5:$A$506,0)),ev_split,INDEX(Events!$I$5:$I$506,MATCH(G261,Events!$A$5:$A$506,0)),att_offset,MATCH(G261,Attendance!$B$3:$AZ$3,0),attendees,COUNTIF(INDEX(Attendance!$B$7:$AZ$206,0,att_offset),"1"),IF(ev_split="Equal Split",ev_cost/MAX(1,COUNTA(Roster!$A$5:$A$204)),ev_cost/MAX(1,attendees))),"N/A"))</f>
        <v/>
      </c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9.5" customHeight="1">
      <c r="A262" s="44"/>
      <c r="B262" s="45"/>
      <c r="C262" s="45"/>
      <c r="D262" s="45"/>
      <c r="E262" s="45"/>
      <c r="F262" s="46"/>
      <c r="G262" s="45"/>
      <c r="H262" s="45"/>
      <c r="I262" s="45"/>
      <c r="J262" s="42" t="str">
        <f t="array" ref="J262">IF(G262="","",IFERROR(LET(ev_cost,INDEX(Events!$G$5:$G$506,MATCH(G262,Events!$A$5:$A$506,0)),ev_split,INDEX(Events!$I$5:$I$506,MATCH(G262,Events!$A$5:$A$506,0)),att_offset,MATCH(G262,Attendance!$B$3:$AZ$3,0),attendees,COUNTIF(INDEX(Attendance!$B$7:$AZ$206,0,att_offset),"1"),IF(ev_split="Equal Split",ev_cost/MAX(1,COUNTA(Roster!$A$5:$A$204)),ev_cost/MAX(1,attendees))),"N/A"))</f>
        <v/>
      </c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9.5" customHeight="1">
      <c r="A263" s="47"/>
      <c r="B263" s="48"/>
      <c r="C263" s="48"/>
      <c r="D263" s="48"/>
      <c r="E263" s="48"/>
      <c r="F263" s="51"/>
      <c r="G263" s="48"/>
      <c r="H263" s="48"/>
      <c r="I263" s="48"/>
      <c r="J263" s="42" t="str">
        <f t="array" ref="J263">IF(G263="","",IFERROR(LET(ev_cost,INDEX(Events!$G$5:$G$506,MATCH(G263,Events!$A$5:$A$506,0)),ev_split,INDEX(Events!$I$5:$I$506,MATCH(G263,Events!$A$5:$A$506,0)),att_offset,MATCH(G263,Attendance!$B$3:$AZ$3,0),attendees,COUNTIF(INDEX(Attendance!$B$7:$AZ$206,0,att_offset),"1"),IF(ev_split="Equal Split",ev_cost/MAX(1,COUNTA(Roster!$A$5:$A$204)),ev_cost/MAX(1,attendees))),"N/A"))</f>
        <v/>
      </c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9.5" customHeight="1">
      <c r="A264" s="44"/>
      <c r="B264" s="45"/>
      <c r="C264" s="45"/>
      <c r="D264" s="45"/>
      <c r="E264" s="45"/>
      <c r="F264" s="46"/>
      <c r="G264" s="45"/>
      <c r="H264" s="45"/>
      <c r="I264" s="45"/>
      <c r="J264" s="42" t="str">
        <f t="array" ref="J264">IF(G264="","",IFERROR(LET(ev_cost,INDEX(Events!$G$5:$G$506,MATCH(G264,Events!$A$5:$A$506,0)),ev_split,INDEX(Events!$I$5:$I$506,MATCH(G264,Events!$A$5:$A$506,0)),att_offset,MATCH(G264,Attendance!$B$3:$AZ$3,0),attendees,COUNTIF(INDEX(Attendance!$B$7:$AZ$206,0,att_offset),"1"),IF(ev_split="Equal Split",ev_cost/MAX(1,COUNTA(Roster!$A$5:$A$204)),ev_cost/MAX(1,attendees))),"N/A"))</f>
        <v/>
      </c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9.5" customHeight="1">
      <c r="A265" s="47"/>
      <c r="B265" s="48"/>
      <c r="C265" s="48"/>
      <c r="D265" s="48"/>
      <c r="E265" s="48"/>
      <c r="F265" s="51"/>
      <c r="G265" s="48"/>
      <c r="H265" s="48"/>
      <c r="I265" s="48"/>
      <c r="J265" s="42" t="str">
        <f t="array" ref="J265">IF(G265="","",IFERROR(LET(ev_cost,INDEX(Events!$G$5:$G$506,MATCH(G265,Events!$A$5:$A$506,0)),ev_split,INDEX(Events!$I$5:$I$506,MATCH(G265,Events!$A$5:$A$506,0)),att_offset,MATCH(G265,Attendance!$B$3:$AZ$3,0),attendees,COUNTIF(INDEX(Attendance!$B$7:$AZ$206,0,att_offset),"1"),IF(ev_split="Equal Split",ev_cost/MAX(1,COUNTA(Roster!$A$5:$A$204)),ev_cost/MAX(1,attendees))),"N/A"))</f>
        <v/>
      </c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9.5" customHeight="1">
      <c r="A266" s="44"/>
      <c r="B266" s="45"/>
      <c r="C266" s="45"/>
      <c r="D266" s="45"/>
      <c r="E266" s="45"/>
      <c r="F266" s="46"/>
      <c r="G266" s="45"/>
      <c r="H266" s="45"/>
      <c r="I266" s="45"/>
      <c r="J266" s="42" t="str">
        <f t="array" ref="J266">IF(G266="","",IFERROR(LET(ev_cost,INDEX(Events!$G$5:$G$506,MATCH(G266,Events!$A$5:$A$506,0)),ev_split,INDEX(Events!$I$5:$I$506,MATCH(G266,Events!$A$5:$A$506,0)),att_offset,MATCH(G266,Attendance!$B$3:$AZ$3,0),attendees,COUNTIF(INDEX(Attendance!$B$7:$AZ$206,0,att_offset),"1"),IF(ev_split="Equal Split",ev_cost/MAX(1,COUNTA(Roster!$A$5:$A$204)),ev_cost/MAX(1,attendees))),"N/A"))</f>
        <v/>
      </c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9.5" customHeight="1">
      <c r="A267" s="47"/>
      <c r="B267" s="48"/>
      <c r="C267" s="48"/>
      <c r="D267" s="48"/>
      <c r="E267" s="48"/>
      <c r="F267" s="51"/>
      <c r="G267" s="48"/>
      <c r="H267" s="48"/>
      <c r="I267" s="48"/>
      <c r="J267" s="42" t="str">
        <f t="array" ref="J267">IF(G267="","",IFERROR(LET(ev_cost,INDEX(Events!$G$5:$G$506,MATCH(G267,Events!$A$5:$A$506,0)),ev_split,INDEX(Events!$I$5:$I$506,MATCH(G267,Events!$A$5:$A$506,0)),att_offset,MATCH(G267,Attendance!$B$3:$AZ$3,0),attendees,COUNTIF(INDEX(Attendance!$B$7:$AZ$206,0,att_offset),"1"),IF(ev_split="Equal Split",ev_cost/MAX(1,COUNTA(Roster!$A$5:$A$204)),ev_cost/MAX(1,attendees))),"N/A"))</f>
        <v/>
      </c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9.5" customHeight="1">
      <c r="A268" s="44"/>
      <c r="B268" s="45"/>
      <c r="C268" s="45"/>
      <c r="D268" s="45"/>
      <c r="E268" s="45"/>
      <c r="F268" s="46"/>
      <c r="G268" s="45"/>
      <c r="H268" s="45"/>
      <c r="I268" s="45"/>
      <c r="J268" s="42" t="str">
        <f t="array" ref="J268">IF(G268="","",IFERROR(LET(ev_cost,INDEX(Events!$G$5:$G$506,MATCH(G268,Events!$A$5:$A$506,0)),ev_split,INDEX(Events!$I$5:$I$506,MATCH(G268,Events!$A$5:$A$506,0)),att_offset,MATCH(G268,Attendance!$B$3:$AZ$3,0),attendees,COUNTIF(INDEX(Attendance!$B$7:$AZ$206,0,att_offset),"1"),IF(ev_split="Equal Split",ev_cost/MAX(1,COUNTA(Roster!$A$5:$A$204)),ev_cost/MAX(1,attendees))),"N/A"))</f>
        <v/>
      </c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9.5" customHeight="1">
      <c r="A269" s="47"/>
      <c r="B269" s="48"/>
      <c r="C269" s="48"/>
      <c r="D269" s="48"/>
      <c r="E269" s="48"/>
      <c r="F269" s="51"/>
      <c r="G269" s="48"/>
      <c r="H269" s="48"/>
      <c r="I269" s="48"/>
      <c r="J269" s="42" t="str">
        <f t="array" ref="J269">IF(G269="","",IFERROR(LET(ev_cost,INDEX(Events!$G$5:$G$506,MATCH(G269,Events!$A$5:$A$506,0)),ev_split,INDEX(Events!$I$5:$I$506,MATCH(G269,Events!$A$5:$A$506,0)),att_offset,MATCH(G269,Attendance!$B$3:$AZ$3,0),attendees,COUNTIF(INDEX(Attendance!$B$7:$AZ$206,0,att_offset),"1"),IF(ev_split="Equal Split",ev_cost/MAX(1,COUNTA(Roster!$A$5:$A$204)),ev_cost/MAX(1,attendees))),"N/A"))</f>
        <v/>
      </c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9.5" customHeight="1">
      <c r="A270" s="44"/>
      <c r="B270" s="45"/>
      <c r="C270" s="45"/>
      <c r="D270" s="45"/>
      <c r="E270" s="45"/>
      <c r="F270" s="46"/>
      <c r="G270" s="45"/>
      <c r="H270" s="45"/>
      <c r="I270" s="45"/>
      <c r="J270" s="42" t="str">
        <f t="array" ref="J270">IF(G270="","",IFERROR(LET(ev_cost,INDEX(Events!$G$5:$G$506,MATCH(G270,Events!$A$5:$A$506,0)),ev_split,INDEX(Events!$I$5:$I$506,MATCH(G270,Events!$A$5:$A$506,0)),att_offset,MATCH(G270,Attendance!$B$3:$AZ$3,0),attendees,COUNTIF(INDEX(Attendance!$B$7:$AZ$206,0,att_offset),"1"),IF(ev_split="Equal Split",ev_cost/MAX(1,COUNTA(Roster!$A$5:$A$204)),ev_cost/MAX(1,attendees))),"N/A"))</f>
        <v/>
      </c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9.5" customHeight="1">
      <c r="A271" s="47"/>
      <c r="B271" s="48"/>
      <c r="C271" s="48"/>
      <c r="D271" s="48"/>
      <c r="E271" s="48"/>
      <c r="F271" s="51"/>
      <c r="G271" s="48"/>
      <c r="H271" s="48"/>
      <c r="I271" s="48"/>
      <c r="J271" s="42" t="str">
        <f t="array" ref="J271">IF(G271="","",IFERROR(LET(ev_cost,INDEX(Events!$G$5:$G$506,MATCH(G271,Events!$A$5:$A$506,0)),ev_split,INDEX(Events!$I$5:$I$506,MATCH(G271,Events!$A$5:$A$506,0)),att_offset,MATCH(G271,Attendance!$B$3:$AZ$3,0),attendees,COUNTIF(INDEX(Attendance!$B$7:$AZ$206,0,att_offset),"1"),IF(ev_split="Equal Split",ev_cost/MAX(1,COUNTA(Roster!$A$5:$A$204)),ev_cost/MAX(1,attendees))),"N/A"))</f>
        <v/>
      </c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9.5" customHeight="1">
      <c r="A272" s="44"/>
      <c r="B272" s="45"/>
      <c r="C272" s="45"/>
      <c r="D272" s="45"/>
      <c r="E272" s="45"/>
      <c r="F272" s="46"/>
      <c r="G272" s="45"/>
      <c r="H272" s="45"/>
      <c r="I272" s="45"/>
      <c r="J272" s="42" t="str">
        <f t="array" ref="J272">IF(G272="","",IFERROR(LET(ev_cost,INDEX(Events!$G$5:$G$506,MATCH(G272,Events!$A$5:$A$506,0)),ev_split,INDEX(Events!$I$5:$I$506,MATCH(G272,Events!$A$5:$A$506,0)),att_offset,MATCH(G272,Attendance!$B$3:$AZ$3,0),attendees,COUNTIF(INDEX(Attendance!$B$7:$AZ$206,0,att_offset),"1"),IF(ev_split="Equal Split",ev_cost/MAX(1,COUNTA(Roster!$A$5:$A$204)),ev_cost/MAX(1,attendees))),"N/A"))</f>
        <v/>
      </c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9.5" customHeight="1">
      <c r="A273" s="47"/>
      <c r="B273" s="48"/>
      <c r="C273" s="48"/>
      <c r="D273" s="48"/>
      <c r="E273" s="48"/>
      <c r="F273" s="51"/>
      <c r="G273" s="48"/>
      <c r="H273" s="48"/>
      <c r="I273" s="48"/>
      <c r="J273" s="42" t="str">
        <f t="array" ref="J273">IF(G273="","",IFERROR(LET(ev_cost,INDEX(Events!$G$5:$G$506,MATCH(G273,Events!$A$5:$A$506,0)),ev_split,INDEX(Events!$I$5:$I$506,MATCH(G273,Events!$A$5:$A$506,0)),att_offset,MATCH(G273,Attendance!$B$3:$AZ$3,0),attendees,COUNTIF(INDEX(Attendance!$B$7:$AZ$206,0,att_offset),"1"),IF(ev_split="Equal Split",ev_cost/MAX(1,COUNTA(Roster!$A$5:$A$204)),ev_cost/MAX(1,attendees))),"N/A"))</f>
        <v/>
      </c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9.5" customHeight="1">
      <c r="A274" s="44"/>
      <c r="B274" s="45"/>
      <c r="C274" s="45"/>
      <c r="D274" s="45"/>
      <c r="E274" s="45"/>
      <c r="F274" s="46"/>
      <c r="G274" s="45"/>
      <c r="H274" s="45"/>
      <c r="I274" s="45"/>
      <c r="J274" s="42" t="str">
        <f t="array" ref="J274">IF(G274="","",IFERROR(LET(ev_cost,INDEX(Events!$G$5:$G$506,MATCH(G274,Events!$A$5:$A$506,0)),ev_split,INDEX(Events!$I$5:$I$506,MATCH(G274,Events!$A$5:$A$506,0)),att_offset,MATCH(G274,Attendance!$B$3:$AZ$3,0),attendees,COUNTIF(INDEX(Attendance!$B$7:$AZ$206,0,att_offset),"1"),IF(ev_split="Equal Split",ev_cost/MAX(1,COUNTA(Roster!$A$5:$A$204)),ev_cost/MAX(1,attendees))),"N/A"))</f>
        <v/>
      </c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9.5" customHeight="1">
      <c r="A275" s="47"/>
      <c r="B275" s="48"/>
      <c r="C275" s="48"/>
      <c r="D275" s="48"/>
      <c r="E275" s="48"/>
      <c r="F275" s="51"/>
      <c r="G275" s="48"/>
      <c r="H275" s="48"/>
      <c r="I275" s="48"/>
      <c r="J275" s="42" t="str">
        <f t="array" ref="J275">IF(G275="","",IFERROR(LET(ev_cost,INDEX(Events!$G$5:$G$506,MATCH(G275,Events!$A$5:$A$506,0)),ev_split,INDEX(Events!$I$5:$I$506,MATCH(G275,Events!$A$5:$A$506,0)),att_offset,MATCH(G275,Attendance!$B$3:$AZ$3,0),attendees,COUNTIF(INDEX(Attendance!$B$7:$AZ$206,0,att_offset),"1"),IF(ev_split="Equal Split",ev_cost/MAX(1,COUNTA(Roster!$A$5:$A$204)),ev_cost/MAX(1,attendees))),"N/A"))</f>
        <v/>
      </c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9.5" customHeight="1">
      <c r="A276" s="44"/>
      <c r="B276" s="45"/>
      <c r="C276" s="45"/>
      <c r="D276" s="45"/>
      <c r="E276" s="45"/>
      <c r="F276" s="46"/>
      <c r="G276" s="45"/>
      <c r="H276" s="45"/>
      <c r="I276" s="45"/>
      <c r="J276" s="42" t="str">
        <f t="array" ref="J276">IF(G276="","",IFERROR(LET(ev_cost,INDEX(Events!$G$5:$G$506,MATCH(G276,Events!$A$5:$A$506,0)),ev_split,INDEX(Events!$I$5:$I$506,MATCH(G276,Events!$A$5:$A$506,0)),att_offset,MATCH(G276,Attendance!$B$3:$AZ$3,0),attendees,COUNTIF(INDEX(Attendance!$B$7:$AZ$206,0,att_offset),"1"),IF(ev_split="Equal Split",ev_cost/MAX(1,COUNTA(Roster!$A$5:$A$204)),ev_cost/MAX(1,attendees))),"N/A"))</f>
        <v/>
      </c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9.5" customHeight="1">
      <c r="A277" s="47"/>
      <c r="B277" s="48"/>
      <c r="C277" s="48"/>
      <c r="D277" s="48"/>
      <c r="E277" s="48"/>
      <c r="F277" s="51"/>
      <c r="G277" s="48"/>
      <c r="H277" s="48"/>
      <c r="I277" s="48"/>
      <c r="J277" s="42" t="str">
        <f t="array" ref="J277">IF(G277="","",IFERROR(LET(ev_cost,INDEX(Events!$G$5:$G$506,MATCH(G277,Events!$A$5:$A$506,0)),ev_split,INDEX(Events!$I$5:$I$506,MATCH(G277,Events!$A$5:$A$506,0)),att_offset,MATCH(G277,Attendance!$B$3:$AZ$3,0),attendees,COUNTIF(INDEX(Attendance!$B$7:$AZ$206,0,att_offset),"1"),IF(ev_split="Equal Split",ev_cost/MAX(1,COUNTA(Roster!$A$5:$A$204)),ev_cost/MAX(1,attendees))),"N/A"))</f>
        <v/>
      </c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9.5" customHeight="1">
      <c r="A278" s="44"/>
      <c r="B278" s="45"/>
      <c r="C278" s="45"/>
      <c r="D278" s="45"/>
      <c r="E278" s="45"/>
      <c r="F278" s="46"/>
      <c r="G278" s="45"/>
      <c r="H278" s="45"/>
      <c r="I278" s="45"/>
      <c r="J278" s="42" t="str">
        <f t="array" ref="J278">IF(G278="","",IFERROR(LET(ev_cost,INDEX(Events!$G$5:$G$506,MATCH(G278,Events!$A$5:$A$506,0)),ev_split,INDEX(Events!$I$5:$I$506,MATCH(G278,Events!$A$5:$A$506,0)),att_offset,MATCH(G278,Attendance!$B$3:$AZ$3,0),attendees,COUNTIF(INDEX(Attendance!$B$7:$AZ$206,0,att_offset),"1"),IF(ev_split="Equal Split",ev_cost/MAX(1,COUNTA(Roster!$A$5:$A$204)),ev_cost/MAX(1,attendees))),"N/A"))</f>
        <v/>
      </c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9.5" customHeight="1">
      <c r="A279" s="47"/>
      <c r="B279" s="48"/>
      <c r="C279" s="48"/>
      <c r="D279" s="48"/>
      <c r="E279" s="48"/>
      <c r="F279" s="51"/>
      <c r="G279" s="48"/>
      <c r="H279" s="48"/>
      <c r="I279" s="48"/>
      <c r="J279" s="42" t="str">
        <f t="array" ref="J279">IF(G279="","",IFERROR(LET(ev_cost,INDEX(Events!$G$5:$G$506,MATCH(G279,Events!$A$5:$A$506,0)),ev_split,INDEX(Events!$I$5:$I$506,MATCH(G279,Events!$A$5:$A$506,0)),att_offset,MATCH(G279,Attendance!$B$3:$AZ$3,0),attendees,COUNTIF(INDEX(Attendance!$B$7:$AZ$206,0,att_offset),"1"),IF(ev_split="Equal Split",ev_cost/MAX(1,COUNTA(Roster!$A$5:$A$204)),ev_cost/MAX(1,attendees))),"N/A"))</f>
        <v/>
      </c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9.5" customHeight="1">
      <c r="A280" s="44"/>
      <c r="B280" s="45"/>
      <c r="C280" s="45"/>
      <c r="D280" s="45"/>
      <c r="E280" s="45"/>
      <c r="F280" s="46"/>
      <c r="G280" s="45"/>
      <c r="H280" s="45"/>
      <c r="I280" s="45"/>
      <c r="J280" s="42" t="str">
        <f t="array" ref="J280">IF(G280="","",IFERROR(LET(ev_cost,INDEX(Events!$G$5:$G$506,MATCH(G280,Events!$A$5:$A$506,0)),ev_split,INDEX(Events!$I$5:$I$506,MATCH(G280,Events!$A$5:$A$506,0)),att_offset,MATCH(G280,Attendance!$B$3:$AZ$3,0),attendees,COUNTIF(INDEX(Attendance!$B$7:$AZ$206,0,att_offset),"1"),IF(ev_split="Equal Split",ev_cost/MAX(1,COUNTA(Roster!$A$5:$A$204)),ev_cost/MAX(1,attendees))),"N/A"))</f>
        <v/>
      </c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9.5" customHeight="1">
      <c r="A281" s="47"/>
      <c r="B281" s="48"/>
      <c r="C281" s="48"/>
      <c r="D281" s="48"/>
      <c r="E281" s="48"/>
      <c r="F281" s="51"/>
      <c r="G281" s="48"/>
      <c r="H281" s="48"/>
      <c r="I281" s="48"/>
      <c r="J281" s="42" t="str">
        <f t="array" ref="J281">IF(G281="","",IFERROR(LET(ev_cost,INDEX(Events!$G$5:$G$506,MATCH(G281,Events!$A$5:$A$506,0)),ev_split,INDEX(Events!$I$5:$I$506,MATCH(G281,Events!$A$5:$A$506,0)),att_offset,MATCH(G281,Attendance!$B$3:$AZ$3,0),attendees,COUNTIF(INDEX(Attendance!$B$7:$AZ$206,0,att_offset),"1"),IF(ev_split="Equal Split",ev_cost/MAX(1,COUNTA(Roster!$A$5:$A$204)),ev_cost/MAX(1,attendees))),"N/A"))</f>
        <v/>
      </c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9.5" customHeight="1">
      <c r="A282" s="44"/>
      <c r="B282" s="45"/>
      <c r="C282" s="45"/>
      <c r="D282" s="45"/>
      <c r="E282" s="45"/>
      <c r="F282" s="46"/>
      <c r="G282" s="45"/>
      <c r="H282" s="45"/>
      <c r="I282" s="45"/>
      <c r="J282" s="42" t="str">
        <f t="array" ref="J282">IF(G282="","",IFERROR(LET(ev_cost,INDEX(Events!$G$5:$G$506,MATCH(G282,Events!$A$5:$A$506,0)),ev_split,INDEX(Events!$I$5:$I$506,MATCH(G282,Events!$A$5:$A$506,0)),att_offset,MATCH(G282,Attendance!$B$3:$AZ$3,0),attendees,COUNTIF(INDEX(Attendance!$B$7:$AZ$206,0,att_offset),"1"),IF(ev_split="Equal Split",ev_cost/MAX(1,COUNTA(Roster!$A$5:$A$204)),ev_cost/MAX(1,attendees))),"N/A"))</f>
        <v/>
      </c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9.5" customHeight="1">
      <c r="A283" s="47"/>
      <c r="B283" s="48"/>
      <c r="C283" s="48"/>
      <c r="D283" s="48"/>
      <c r="E283" s="48"/>
      <c r="F283" s="51"/>
      <c r="G283" s="48"/>
      <c r="H283" s="48"/>
      <c r="I283" s="48"/>
      <c r="J283" s="42" t="str">
        <f t="array" ref="J283">IF(G283="","",IFERROR(LET(ev_cost,INDEX(Events!$G$5:$G$506,MATCH(G283,Events!$A$5:$A$506,0)),ev_split,INDEX(Events!$I$5:$I$506,MATCH(G283,Events!$A$5:$A$506,0)),att_offset,MATCH(G283,Attendance!$B$3:$AZ$3,0),attendees,COUNTIF(INDEX(Attendance!$B$7:$AZ$206,0,att_offset),"1"),IF(ev_split="Equal Split",ev_cost/MAX(1,COUNTA(Roster!$A$5:$A$204)),ev_cost/MAX(1,attendees))),"N/A"))</f>
        <v/>
      </c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9.5" customHeight="1">
      <c r="A284" s="44"/>
      <c r="B284" s="45"/>
      <c r="C284" s="45"/>
      <c r="D284" s="45"/>
      <c r="E284" s="45"/>
      <c r="F284" s="46"/>
      <c r="G284" s="45"/>
      <c r="H284" s="45"/>
      <c r="I284" s="45"/>
      <c r="J284" s="42" t="str">
        <f t="array" ref="J284">IF(G284="","",IFERROR(LET(ev_cost,INDEX(Events!$G$5:$G$506,MATCH(G284,Events!$A$5:$A$506,0)),ev_split,INDEX(Events!$I$5:$I$506,MATCH(G284,Events!$A$5:$A$506,0)),att_offset,MATCH(G284,Attendance!$B$3:$AZ$3,0),attendees,COUNTIF(INDEX(Attendance!$B$7:$AZ$206,0,att_offset),"1"),IF(ev_split="Equal Split",ev_cost/MAX(1,COUNTA(Roster!$A$5:$A$204)),ev_cost/MAX(1,attendees))),"N/A"))</f>
        <v/>
      </c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9.5" customHeight="1">
      <c r="A285" s="47"/>
      <c r="B285" s="48"/>
      <c r="C285" s="48"/>
      <c r="D285" s="48"/>
      <c r="E285" s="48"/>
      <c r="F285" s="51"/>
      <c r="G285" s="48"/>
      <c r="H285" s="48"/>
      <c r="I285" s="48"/>
      <c r="J285" s="42" t="str">
        <f t="array" ref="J285">IF(G285="","",IFERROR(LET(ev_cost,INDEX(Events!$G$5:$G$506,MATCH(G285,Events!$A$5:$A$506,0)),ev_split,INDEX(Events!$I$5:$I$506,MATCH(G285,Events!$A$5:$A$506,0)),att_offset,MATCH(G285,Attendance!$B$3:$AZ$3,0),attendees,COUNTIF(INDEX(Attendance!$B$7:$AZ$206,0,att_offset),"1"),IF(ev_split="Equal Split",ev_cost/MAX(1,COUNTA(Roster!$A$5:$A$204)),ev_cost/MAX(1,attendees))),"N/A"))</f>
        <v/>
      </c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9.5" customHeight="1">
      <c r="A286" s="44"/>
      <c r="B286" s="45"/>
      <c r="C286" s="45"/>
      <c r="D286" s="45"/>
      <c r="E286" s="45"/>
      <c r="F286" s="46"/>
      <c r="G286" s="45"/>
      <c r="H286" s="45"/>
      <c r="I286" s="45"/>
      <c r="J286" s="42" t="str">
        <f t="array" ref="J286">IF(G286="","",IFERROR(LET(ev_cost,INDEX(Events!$G$5:$G$506,MATCH(G286,Events!$A$5:$A$506,0)),ev_split,INDEX(Events!$I$5:$I$506,MATCH(G286,Events!$A$5:$A$506,0)),att_offset,MATCH(G286,Attendance!$B$3:$AZ$3,0),attendees,COUNTIF(INDEX(Attendance!$B$7:$AZ$206,0,att_offset),"1"),IF(ev_split="Equal Split",ev_cost/MAX(1,COUNTA(Roster!$A$5:$A$204)),ev_cost/MAX(1,attendees))),"N/A"))</f>
        <v/>
      </c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9.5" customHeight="1">
      <c r="A287" s="47"/>
      <c r="B287" s="48"/>
      <c r="C287" s="48"/>
      <c r="D287" s="48"/>
      <c r="E287" s="48"/>
      <c r="F287" s="51"/>
      <c r="G287" s="48"/>
      <c r="H287" s="48"/>
      <c r="I287" s="48"/>
      <c r="J287" s="42" t="str">
        <f t="array" ref="J287">IF(G287="","",IFERROR(LET(ev_cost,INDEX(Events!$G$5:$G$506,MATCH(G287,Events!$A$5:$A$506,0)),ev_split,INDEX(Events!$I$5:$I$506,MATCH(G287,Events!$A$5:$A$506,0)),att_offset,MATCH(G287,Attendance!$B$3:$AZ$3,0),attendees,COUNTIF(INDEX(Attendance!$B$7:$AZ$206,0,att_offset),"1"),IF(ev_split="Equal Split",ev_cost/MAX(1,COUNTA(Roster!$A$5:$A$204)),ev_cost/MAX(1,attendees))),"N/A"))</f>
        <v/>
      </c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9.5" customHeight="1">
      <c r="A288" s="44"/>
      <c r="B288" s="45"/>
      <c r="C288" s="45"/>
      <c r="D288" s="45"/>
      <c r="E288" s="45"/>
      <c r="F288" s="46"/>
      <c r="G288" s="45"/>
      <c r="H288" s="45"/>
      <c r="I288" s="45"/>
      <c r="J288" s="42" t="str">
        <f t="array" ref="J288">IF(G288="","",IFERROR(LET(ev_cost,INDEX(Events!$G$5:$G$506,MATCH(G288,Events!$A$5:$A$506,0)),ev_split,INDEX(Events!$I$5:$I$506,MATCH(G288,Events!$A$5:$A$506,0)),att_offset,MATCH(G288,Attendance!$B$3:$AZ$3,0),attendees,COUNTIF(INDEX(Attendance!$B$7:$AZ$206,0,att_offset),"1"),IF(ev_split="Equal Split",ev_cost/MAX(1,COUNTA(Roster!$A$5:$A$204)),ev_cost/MAX(1,attendees))),"N/A"))</f>
        <v/>
      </c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9.5" customHeight="1">
      <c r="A289" s="47"/>
      <c r="B289" s="48"/>
      <c r="C289" s="48"/>
      <c r="D289" s="48"/>
      <c r="E289" s="48"/>
      <c r="F289" s="51"/>
      <c r="G289" s="48"/>
      <c r="H289" s="48"/>
      <c r="I289" s="48"/>
      <c r="J289" s="42" t="str">
        <f t="array" ref="J289">IF(G289="","",IFERROR(LET(ev_cost,INDEX(Events!$G$5:$G$506,MATCH(G289,Events!$A$5:$A$506,0)),ev_split,INDEX(Events!$I$5:$I$506,MATCH(G289,Events!$A$5:$A$506,0)),att_offset,MATCH(G289,Attendance!$B$3:$AZ$3,0),attendees,COUNTIF(INDEX(Attendance!$B$7:$AZ$206,0,att_offset),"1"),IF(ev_split="Equal Split",ev_cost/MAX(1,COUNTA(Roster!$A$5:$A$204)),ev_cost/MAX(1,attendees))),"N/A"))</f>
        <v/>
      </c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9.5" customHeight="1">
      <c r="A290" s="44"/>
      <c r="B290" s="45"/>
      <c r="C290" s="45"/>
      <c r="D290" s="45"/>
      <c r="E290" s="45"/>
      <c r="F290" s="46"/>
      <c r="G290" s="45"/>
      <c r="H290" s="45"/>
      <c r="I290" s="45"/>
      <c r="J290" s="42" t="str">
        <f t="array" ref="J290">IF(G290="","",IFERROR(LET(ev_cost,INDEX(Events!$G$5:$G$506,MATCH(G290,Events!$A$5:$A$506,0)),ev_split,INDEX(Events!$I$5:$I$506,MATCH(G290,Events!$A$5:$A$506,0)),att_offset,MATCH(G290,Attendance!$B$3:$AZ$3,0),attendees,COUNTIF(INDEX(Attendance!$B$7:$AZ$206,0,att_offset),"1"),IF(ev_split="Equal Split",ev_cost/MAX(1,COUNTA(Roster!$A$5:$A$204)),ev_cost/MAX(1,attendees))),"N/A"))</f>
        <v/>
      </c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9.5" customHeight="1">
      <c r="A291" s="47"/>
      <c r="B291" s="48"/>
      <c r="C291" s="48"/>
      <c r="D291" s="48"/>
      <c r="E291" s="48"/>
      <c r="F291" s="51"/>
      <c r="G291" s="48"/>
      <c r="H291" s="48"/>
      <c r="I291" s="48"/>
      <c r="J291" s="42" t="str">
        <f t="array" ref="J291">IF(G291="","",IFERROR(LET(ev_cost,INDEX(Events!$G$5:$G$506,MATCH(G291,Events!$A$5:$A$506,0)),ev_split,INDEX(Events!$I$5:$I$506,MATCH(G291,Events!$A$5:$A$506,0)),att_offset,MATCH(G291,Attendance!$B$3:$AZ$3,0),attendees,COUNTIF(INDEX(Attendance!$B$7:$AZ$206,0,att_offset),"1"),IF(ev_split="Equal Split",ev_cost/MAX(1,COUNTA(Roster!$A$5:$A$204)),ev_cost/MAX(1,attendees))),"N/A"))</f>
        <v/>
      </c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9.5" customHeight="1">
      <c r="A292" s="44"/>
      <c r="B292" s="45"/>
      <c r="C292" s="45"/>
      <c r="D292" s="45"/>
      <c r="E292" s="45"/>
      <c r="F292" s="46"/>
      <c r="G292" s="45"/>
      <c r="H292" s="45"/>
      <c r="I292" s="45"/>
      <c r="J292" s="42" t="str">
        <f t="array" ref="J292">IF(G292="","",IFERROR(LET(ev_cost,INDEX(Events!$G$5:$G$506,MATCH(G292,Events!$A$5:$A$506,0)),ev_split,INDEX(Events!$I$5:$I$506,MATCH(G292,Events!$A$5:$A$506,0)),att_offset,MATCH(G292,Attendance!$B$3:$AZ$3,0),attendees,COUNTIF(INDEX(Attendance!$B$7:$AZ$206,0,att_offset),"1"),IF(ev_split="Equal Split",ev_cost/MAX(1,COUNTA(Roster!$A$5:$A$204)),ev_cost/MAX(1,attendees))),"N/A"))</f>
        <v/>
      </c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9.5" customHeight="1">
      <c r="A293" s="47"/>
      <c r="B293" s="48"/>
      <c r="C293" s="48"/>
      <c r="D293" s="48"/>
      <c r="E293" s="48"/>
      <c r="F293" s="51"/>
      <c r="G293" s="48"/>
      <c r="H293" s="48"/>
      <c r="I293" s="48"/>
      <c r="J293" s="42" t="str">
        <f t="array" ref="J293">IF(G293="","",IFERROR(LET(ev_cost,INDEX(Events!$G$5:$G$506,MATCH(G293,Events!$A$5:$A$506,0)),ev_split,INDEX(Events!$I$5:$I$506,MATCH(G293,Events!$A$5:$A$506,0)),att_offset,MATCH(G293,Attendance!$B$3:$AZ$3,0),attendees,COUNTIF(INDEX(Attendance!$B$7:$AZ$206,0,att_offset),"1"),IF(ev_split="Equal Split",ev_cost/MAX(1,COUNTA(Roster!$A$5:$A$204)),ev_cost/MAX(1,attendees))),"N/A"))</f>
        <v/>
      </c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9.5" customHeight="1">
      <c r="A294" s="44"/>
      <c r="B294" s="45"/>
      <c r="C294" s="45"/>
      <c r="D294" s="45"/>
      <c r="E294" s="45"/>
      <c r="F294" s="46"/>
      <c r="G294" s="45"/>
      <c r="H294" s="45"/>
      <c r="I294" s="45"/>
      <c r="J294" s="42" t="str">
        <f t="array" ref="J294">IF(G294="","",IFERROR(LET(ev_cost,INDEX(Events!$G$5:$G$506,MATCH(G294,Events!$A$5:$A$506,0)),ev_split,INDEX(Events!$I$5:$I$506,MATCH(G294,Events!$A$5:$A$506,0)),att_offset,MATCH(G294,Attendance!$B$3:$AZ$3,0),attendees,COUNTIF(INDEX(Attendance!$B$7:$AZ$206,0,att_offset),"1"),IF(ev_split="Equal Split",ev_cost/MAX(1,COUNTA(Roster!$A$5:$A$204)),ev_cost/MAX(1,attendees))),"N/A"))</f>
        <v/>
      </c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9.5" customHeight="1">
      <c r="A295" s="47"/>
      <c r="B295" s="48"/>
      <c r="C295" s="48"/>
      <c r="D295" s="48"/>
      <c r="E295" s="48"/>
      <c r="F295" s="51"/>
      <c r="G295" s="48"/>
      <c r="H295" s="48"/>
      <c r="I295" s="48"/>
      <c r="J295" s="42" t="str">
        <f t="array" ref="J295">IF(G295="","",IFERROR(LET(ev_cost,INDEX(Events!$G$5:$G$506,MATCH(G295,Events!$A$5:$A$506,0)),ev_split,INDEX(Events!$I$5:$I$506,MATCH(G295,Events!$A$5:$A$506,0)),att_offset,MATCH(G295,Attendance!$B$3:$AZ$3,0),attendees,COUNTIF(INDEX(Attendance!$B$7:$AZ$206,0,att_offset),"1"),IF(ev_split="Equal Split",ev_cost/MAX(1,COUNTA(Roster!$A$5:$A$204)),ev_cost/MAX(1,attendees))),"N/A"))</f>
        <v/>
      </c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9.5" customHeight="1">
      <c r="A296" s="44"/>
      <c r="B296" s="45"/>
      <c r="C296" s="45"/>
      <c r="D296" s="45"/>
      <c r="E296" s="45"/>
      <c r="F296" s="46"/>
      <c r="G296" s="45"/>
      <c r="H296" s="45"/>
      <c r="I296" s="45"/>
      <c r="J296" s="42" t="str">
        <f t="array" ref="J296">IF(G296="","",IFERROR(LET(ev_cost,INDEX(Events!$G$5:$G$506,MATCH(G296,Events!$A$5:$A$506,0)),ev_split,INDEX(Events!$I$5:$I$506,MATCH(G296,Events!$A$5:$A$506,0)),att_offset,MATCH(G296,Attendance!$B$3:$AZ$3,0),attendees,COUNTIF(INDEX(Attendance!$B$7:$AZ$206,0,att_offset),"1"),IF(ev_split="Equal Split",ev_cost/MAX(1,COUNTA(Roster!$A$5:$A$204)),ev_cost/MAX(1,attendees))),"N/A"))</f>
        <v/>
      </c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9.5" customHeight="1">
      <c r="A297" s="47"/>
      <c r="B297" s="48"/>
      <c r="C297" s="48"/>
      <c r="D297" s="48"/>
      <c r="E297" s="48"/>
      <c r="F297" s="51"/>
      <c r="G297" s="48"/>
      <c r="H297" s="48"/>
      <c r="I297" s="48"/>
      <c r="J297" s="42" t="str">
        <f t="array" ref="J297">IF(G297="","",IFERROR(LET(ev_cost,INDEX(Events!$G$5:$G$506,MATCH(G297,Events!$A$5:$A$506,0)),ev_split,INDEX(Events!$I$5:$I$506,MATCH(G297,Events!$A$5:$A$506,0)),att_offset,MATCH(G297,Attendance!$B$3:$AZ$3,0),attendees,COUNTIF(INDEX(Attendance!$B$7:$AZ$206,0,att_offset),"1"),IF(ev_split="Equal Split",ev_cost/MAX(1,COUNTA(Roster!$A$5:$A$204)),ev_cost/MAX(1,attendees))),"N/A"))</f>
        <v/>
      </c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9.5" customHeight="1">
      <c r="A298" s="44"/>
      <c r="B298" s="45"/>
      <c r="C298" s="45"/>
      <c r="D298" s="45"/>
      <c r="E298" s="45"/>
      <c r="F298" s="46"/>
      <c r="G298" s="45"/>
      <c r="H298" s="45"/>
      <c r="I298" s="45"/>
      <c r="J298" s="42" t="str">
        <f t="array" ref="J298">IF(G298="","",IFERROR(LET(ev_cost,INDEX(Events!$G$5:$G$506,MATCH(G298,Events!$A$5:$A$506,0)),ev_split,INDEX(Events!$I$5:$I$506,MATCH(G298,Events!$A$5:$A$506,0)),att_offset,MATCH(G298,Attendance!$B$3:$AZ$3,0),attendees,COUNTIF(INDEX(Attendance!$B$7:$AZ$206,0,att_offset),"1"),IF(ev_split="Equal Split",ev_cost/MAX(1,COUNTA(Roster!$A$5:$A$204)),ev_cost/MAX(1,attendees))),"N/A"))</f>
        <v/>
      </c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9.5" customHeight="1">
      <c r="A299" s="47"/>
      <c r="B299" s="48"/>
      <c r="C299" s="48"/>
      <c r="D299" s="48"/>
      <c r="E299" s="48"/>
      <c r="F299" s="51"/>
      <c r="G299" s="48"/>
      <c r="H299" s="48"/>
      <c r="I299" s="48"/>
      <c r="J299" s="42" t="str">
        <f t="array" ref="J299">IF(G299="","",IFERROR(LET(ev_cost,INDEX(Events!$G$5:$G$506,MATCH(G299,Events!$A$5:$A$506,0)),ev_split,INDEX(Events!$I$5:$I$506,MATCH(G299,Events!$A$5:$A$506,0)),att_offset,MATCH(G299,Attendance!$B$3:$AZ$3,0),attendees,COUNTIF(INDEX(Attendance!$B$7:$AZ$206,0,att_offset),"1"),IF(ev_split="Equal Split",ev_cost/MAX(1,COUNTA(Roster!$A$5:$A$204)),ev_cost/MAX(1,attendees))),"N/A"))</f>
        <v/>
      </c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9.5" customHeight="1">
      <c r="A300" s="44"/>
      <c r="B300" s="45"/>
      <c r="C300" s="45"/>
      <c r="D300" s="45"/>
      <c r="E300" s="45"/>
      <c r="F300" s="46"/>
      <c r="G300" s="45"/>
      <c r="H300" s="45"/>
      <c r="I300" s="45"/>
      <c r="J300" s="42" t="str">
        <f t="array" ref="J300">IF(G300="","",IFERROR(LET(ev_cost,INDEX(Events!$G$5:$G$506,MATCH(G300,Events!$A$5:$A$506,0)),ev_split,INDEX(Events!$I$5:$I$506,MATCH(G300,Events!$A$5:$A$506,0)),att_offset,MATCH(G300,Attendance!$B$3:$AZ$3,0),attendees,COUNTIF(INDEX(Attendance!$B$7:$AZ$206,0,att_offset),"1"),IF(ev_split="Equal Split",ev_cost/MAX(1,COUNTA(Roster!$A$5:$A$204)),ev_cost/MAX(1,attendees))),"N/A"))</f>
        <v/>
      </c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9.5" customHeight="1">
      <c r="A301" s="47"/>
      <c r="B301" s="48"/>
      <c r="C301" s="48"/>
      <c r="D301" s="48"/>
      <c r="E301" s="48"/>
      <c r="F301" s="51"/>
      <c r="G301" s="48"/>
      <c r="H301" s="48"/>
      <c r="I301" s="48"/>
      <c r="J301" s="42" t="str">
        <f t="array" ref="J301">IF(G301="","",IFERROR(LET(ev_cost,INDEX(Events!$G$5:$G$506,MATCH(G301,Events!$A$5:$A$506,0)),ev_split,INDEX(Events!$I$5:$I$506,MATCH(G301,Events!$A$5:$A$506,0)),att_offset,MATCH(G301,Attendance!$B$3:$AZ$3,0),attendees,COUNTIF(INDEX(Attendance!$B$7:$AZ$206,0,att_offset),"1"),IF(ev_split="Equal Split",ev_cost/MAX(1,COUNTA(Roster!$A$5:$A$204)),ev_cost/MAX(1,attendees))),"N/A"))</f>
        <v/>
      </c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9.5" customHeight="1">
      <c r="A302" s="44"/>
      <c r="B302" s="45"/>
      <c r="C302" s="45"/>
      <c r="D302" s="45"/>
      <c r="E302" s="45"/>
      <c r="F302" s="46"/>
      <c r="G302" s="45"/>
      <c r="H302" s="45"/>
      <c r="I302" s="45"/>
      <c r="J302" s="42" t="str">
        <f t="array" ref="J302">IF(G302="","",IFERROR(LET(ev_cost,INDEX(Events!$G$5:$G$506,MATCH(G302,Events!$A$5:$A$506,0)),ev_split,INDEX(Events!$I$5:$I$506,MATCH(G302,Events!$A$5:$A$506,0)),att_offset,MATCH(G302,Attendance!$B$3:$AZ$3,0),attendees,COUNTIF(INDEX(Attendance!$B$7:$AZ$206,0,att_offset),"1"),IF(ev_split="Equal Split",ev_cost/MAX(1,COUNTA(Roster!$A$5:$A$204)),ev_cost/MAX(1,attendees))),"N/A"))</f>
        <v/>
      </c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9.5" customHeight="1">
      <c r="A303" s="47"/>
      <c r="B303" s="48"/>
      <c r="C303" s="48"/>
      <c r="D303" s="48"/>
      <c r="E303" s="48"/>
      <c r="F303" s="51"/>
      <c r="G303" s="48"/>
      <c r="H303" s="48"/>
      <c r="I303" s="48"/>
      <c r="J303" s="42" t="str">
        <f t="array" ref="J303">IF(G303="","",IFERROR(LET(ev_cost,INDEX(Events!$G$5:$G$506,MATCH(G303,Events!$A$5:$A$506,0)),ev_split,INDEX(Events!$I$5:$I$506,MATCH(G303,Events!$A$5:$A$506,0)),att_offset,MATCH(G303,Attendance!$B$3:$AZ$3,0),attendees,COUNTIF(INDEX(Attendance!$B$7:$AZ$206,0,att_offset),"1"),IF(ev_split="Equal Split",ev_cost/MAX(1,COUNTA(Roster!$A$5:$A$204)),ev_cost/MAX(1,attendees))),"N/A"))</f>
        <v/>
      </c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9.5" customHeight="1">
      <c r="A304" s="44"/>
      <c r="B304" s="45"/>
      <c r="C304" s="45"/>
      <c r="D304" s="45"/>
      <c r="E304" s="45"/>
      <c r="F304" s="46"/>
      <c r="G304" s="45"/>
      <c r="H304" s="45"/>
      <c r="I304" s="45"/>
      <c r="J304" s="42" t="str">
        <f t="array" ref="J304">IF(G304="","",IFERROR(LET(ev_cost,INDEX(Events!$G$5:$G$506,MATCH(G304,Events!$A$5:$A$506,0)),ev_split,INDEX(Events!$I$5:$I$506,MATCH(G304,Events!$A$5:$A$506,0)),att_offset,MATCH(G304,Attendance!$B$3:$AZ$3,0),attendees,COUNTIF(INDEX(Attendance!$B$7:$AZ$206,0,att_offset),"1"),IF(ev_split="Equal Split",ev_cost/MAX(1,COUNTA(Roster!$A$5:$A$204)),ev_cost/MAX(1,attendees))),"N/A"))</f>
        <v/>
      </c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9.5" customHeight="1">
      <c r="A305" s="47"/>
      <c r="B305" s="48"/>
      <c r="C305" s="48"/>
      <c r="D305" s="48"/>
      <c r="E305" s="48"/>
      <c r="F305" s="51"/>
      <c r="G305" s="48"/>
      <c r="H305" s="48"/>
      <c r="I305" s="48"/>
      <c r="J305" s="42" t="str">
        <f t="array" ref="J305">IF(G305="","",IFERROR(LET(ev_cost,INDEX(Events!$G$5:$G$506,MATCH(G305,Events!$A$5:$A$506,0)),ev_split,INDEX(Events!$I$5:$I$506,MATCH(G305,Events!$A$5:$A$506,0)),att_offset,MATCH(G305,Attendance!$B$3:$AZ$3,0),attendees,COUNTIF(INDEX(Attendance!$B$7:$AZ$206,0,att_offset),"1"),IF(ev_split="Equal Split",ev_cost/MAX(1,COUNTA(Roster!$A$5:$A$204)),ev_cost/MAX(1,attendees))),"N/A"))</f>
        <v/>
      </c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9.5" customHeight="1">
      <c r="A306" s="44"/>
      <c r="B306" s="45"/>
      <c r="C306" s="45"/>
      <c r="D306" s="45"/>
      <c r="E306" s="45"/>
      <c r="F306" s="46"/>
      <c r="G306" s="45"/>
      <c r="H306" s="45"/>
      <c r="I306" s="45"/>
      <c r="J306" s="42" t="str">
        <f t="array" ref="J306">IF(G306="","",IFERROR(LET(ev_cost,INDEX(Events!$G$5:$G$506,MATCH(G306,Events!$A$5:$A$506,0)),ev_split,INDEX(Events!$I$5:$I$506,MATCH(G306,Events!$A$5:$A$506,0)),att_offset,MATCH(G306,Attendance!$B$3:$AZ$3,0),attendees,COUNTIF(INDEX(Attendance!$B$7:$AZ$206,0,att_offset),"1"),IF(ev_split="Equal Split",ev_cost/MAX(1,COUNTA(Roster!$A$5:$A$204)),ev_cost/MAX(1,attendees))),"N/A"))</f>
        <v/>
      </c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9.5" customHeight="1">
      <c r="A307" s="47"/>
      <c r="B307" s="48"/>
      <c r="C307" s="48"/>
      <c r="D307" s="48"/>
      <c r="E307" s="48"/>
      <c r="F307" s="51"/>
      <c r="G307" s="48"/>
      <c r="H307" s="48"/>
      <c r="I307" s="48"/>
      <c r="J307" s="42" t="str">
        <f t="array" ref="J307">IF(G307="","",IFERROR(LET(ev_cost,INDEX(Events!$G$5:$G$506,MATCH(G307,Events!$A$5:$A$506,0)),ev_split,INDEX(Events!$I$5:$I$506,MATCH(G307,Events!$A$5:$A$506,0)),att_offset,MATCH(G307,Attendance!$B$3:$AZ$3,0),attendees,COUNTIF(INDEX(Attendance!$B$7:$AZ$206,0,att_offset),"1"),IF(ev_split="Equal Split",ev_cost/MAX(1,COUNTA(Roster!$A$5:$A$204)),ev_cost/MAX(1,attendees))),"N/A"))</f>
        <v/>
      </c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9.5" customHeight="1">
      <c r="A308" s="44"/>
      <c r="B308" s="45"/>
      <c r="C308" s="45"/>
      <c r="D308" s="45"/>
      <c r="E308" s="45"/>
      <c r="F308" s="46"/>
      <c r="G308" s="45"/>
      <c r="H308" s="45"/>
      <c r="I308" s="45"/>
      <c r="J308" s="42" t="str">
        <f t="array" ref="J308">IF(G308="","",IFERROR(LET(ev_cost,INDEX(Events!$G$5:$G$506,MATCH(G308,Events!$A$5:$A$506,0)),ev_split,INDEX(Events!$I$5:$I$506,MATCH(G308,Events!$A$5:$A$506,0)),att_offset,MATCH(G308,Attendance!$B$3:$AZ$3,0),attendees,COUNTIF(INDEX(Attendance!$B$7:$AZ$206,0,att_offset),"1"),IF(ev_split="Equal Split",ev_cost/MAX(1,COUNTA(Roster!$A$5:$A$204)),ev_cost/MAX(1,attendees))),"N/A"))</f>
        <v/>
      </c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9.5" customHeight="1">
      <c r="A309" s="47"/>
      <c r="B309" s="48"/>
      <c r="C309" s="48"/>
      <c r="D309" s="48"/>
      <c r="E309" s="48"/>
      <c r="F309" s="51"/>
      <c r="G309" s="48"/>
      <c r="H309" s="48"/>
      <c r="I309" s="48"/>
      <c r="J309" s="42" t="str">
        <f t="array" ref="J309">IF(G309="","",IFERROR(LET(ev_cost,INDEX(Events!$G$5:$G$506,MATCH(G309,Events!$A$5:$A$506,0)),ev_split,INDEX(Events!$I$5:$I$506,MATCH(G309,Events!$A$5:$A$506,0)),att_offset,MATCH(G309,Attendance!$B$3:$AZ$3,0),attendees,COUNTIF(INDEX(Attendance!$B$7:$AZ$206,0,att_offset),"1"),IF(ev_split="Equal Split",ev_cost/MAX(1,COUNTA(Roster!$A$5:$A$204)),ev_cost/MAX(1,attendees))),"N/A"))</f>
        <v/>
      </c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9.5" customHeight="1">
      <c r="A310" s="44"/>
      <c r="B310" s="45"/>
      <c r="C310" s="45"/>
      <c r="D310" s="45"/>
      <c r="E310" s="45"/>
      <c r="F310" s="46"/>
      <c r="G310" s="45"/>
      <c r="H310" s="45"/>
      <c r="I310" s="45"/>
      <c r="J310" s="42" t="str">
        <f t="array" ref="J310">IF(G310="","",IFERROR(LET(ev_cost,INDEX(Events!$G$5:$G$506,MATCH(G310,Events!$A$5:$A$506,0)),ev_split,INDEX(Events!$I$5:$I$506,MATCH(G310,Events!$A$5:$A$506,0)),att_offset,MATCH(G310,Attendance!$B$3:$AZ$3,0),attendees,COUNTIF(INDEX(Attendance!$B$7:$AZ$206,0,att_offset),"1"),IF(ev_split="Equal Split",ev_cost/MAX(1,COUNTA(Roster!$A$5:$A$204)),ev_cost/MAX(1,attendees))),"N/A"))</f>
        <v/>
      </c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9.5" customHeight="1">
      <c r="A311" s="47"/>
      <c r="B311" s="48"/>
      <c r="C311" s="48"/>
      <c r="D311" s="48"/>
      <c r="E311" s="48"/>
      <c r="F311" s="51"/>
      <c r="G311" s="48"/>
      <c r="H311" s="48"/>
      <c r="I311" s="48"/>
      <c r="J311" s="42" t="str">
        <f t="array" ref="J311">IF(G311="","",IFERROR(LET(ev_cost,INDEX(Events!$G$5:$G$506,MATCH(G311,Events!$A$5:$A$506,0)),ev_split,INDEX(Events!$I$5:$I$506,MATCH(G311,Events!$A$5:$A$506,0)),att_offset,MATCH(G311,Attendance!$B$3:$AZ$3,0),attendees,COUNTIF(INDEX(Attendance!$B$7:$AZ$206,0,att_offset),"1"),IF(ev_split="Equal Split",ev_cost/MAX(1,COUNTA(Roster!$A$5:$A$204)),ev_cost/MAX(1,attendees))),"N/A"))</f>
        <v/>
      </c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9.5" customHeight="1">
      <c r="A312" s="44"/>
      <c r="B312" s="45"/>
      <c r="C312" s="45"/>
      <c r="D312" s="45"/>
      <c r="E312" s="45"/>
      <c r="F312" s="46"/>
      <c r="G312" s="45"/>
      <c r="H312" s="45"/>
      <c r="I312" s="45"/>
      <c r="J312" s="42" t="str">
        <f t="array" ref="J312">IF(G312="","",IFERROR(LET(ev_cost,INDEX(Events!$G$5:$G$506,MATCH(G312,Events!$A$5:$A$506,0)),ev_split,INDEX(Events!$I$5:$I$506,MATCH(G312,Events!$A$5:$A$506,0)),att_offset,MATCH(G312,Attendance!$B$3:$AZ$3,0),attendees,COUNTIF(INDEX(Attendance!$B$7:$AZ$206,0,att_offset),"1"),IF(ev_split="Equal Split",ev_cost/MAX(1,COUNTA(Roster!$A$5:$A$204)),ev_cost/MAX(1,attendees))),"N/A"))</f>
        <v/>
      </c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9.5" customHeight="1">
      <c r="A313" s="47"/>
      <c r="B313" s="48"/>
      <c r="C313" s="48"/>
      <c r="D313" s="48"/>
      <c r="E313" s="48"/>
      <c r="F313" s="51"/>
      <c r="G313" s="48"/>
      <c r="H313" s="48"/>
      <c r="I313" s="48"/>
      <c r="J313" s="42" t="str">
        <f t="array" ref="J313">IF(G313="","",IFERROR(LET(ev_cost,INDEX(Events!$G$5:$G$506,MATCH(G313,Events!$A$5:$A$506,0)),ev_split,INDEX(Events!$I$5:$I$506,MATCH(G313,Events!$A$5:$A$506,0)),att_offset,MATCH(G313,Attendance!$B$3:$AZ$3,0),attendees,COUNTIF(INDEX(Attendance!$B$7:$AZ$206,0,att_offset),"1"),IF(ev_split="Equal Split",ev_cost/MAX(1,COUNTA(Roster!$A$5:$A$204)),ev_cost/MAX(1,attendees))),"N/A"))</f>
        <v/>
      </c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9.5" customHeight="1">
      <c r="A314" s="44"/>
      <c r="B314" s="45"/>
      <c r="C314" s="45"/>
      <c r="D314" s="45"/>
      <c r="E314" s="45"/>
      <c r="F314" s="46"/>
      <c r="G314" s="45"/>
      <c r="H314" s="45"/>
      <c r="I314" s="45"/>
      <c r="J314" s="42" t="str">
        <f t="array" ref="J314">IF(G314="","",IFERROR(LET(ev_cost,INDEX(Events!$G$5:$G$506,MATCH(G314,Events!$A$5:$A$506,0)),ev_split,INDEX(Events!$I$5:$I$506,MATCH(G314,Events!$A$5:$A$506,0)),att_offset,MATCH(G314,Attendance!$B$3:$AZ$3,0),attendees,COUNTIF(INDEX(Attendance!$B$7:$AZ$206,0,att_offset),"1"),IF(ev_split="Equal Split",ev_cost/MAX(1,COUNTA(Roster!$A$5:$A$204)),ev_cost/MAX(1,attendees))),"N/A"))</f>
        <v/>
      </c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9.5" customHeight="1">
      <c r="A315" s="47"/>
      <c r="B315" s="48"/>
      <c r="C315" s="48"/>
      <c r="D315" s="48"/>
      <c r="E315" s="48"/>
      <c r="F315" s="51"/>
      <c r="G315" s="48"/>
      <c r="H315" s="48"/>
      <c r="I315" s="48"/>
      <c r="J315" s="42" t="str">
        <f t="array" ref="J315">IF(G315="","",IFERROR(LET(ev_cost,INDEX(Events!$G$5:$G$506,MATCH(G315,Events!$A$5:$A$506,0)),ev_split,INDEX(Events!$I$5:$I$506,MATCH(G315,Events!$A$5:$A$506,0)),att_offset,MATCH(G315,Attendance!$B$3:$AZ$3,0),attendees,COUNTIF(INDEX(Attendance!$B$7:$AZ$206,0,att_offset),"1"),IF(ev_split="Equal Split",ev_cost/MAX(1,COUNTA(Roster!$A$5:$A$204)),ev_cost/MAX(1,attendees))),"N/A"))</f>
        <v/>
      </c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9.5" customHeight="1">
      <c r="A316" s="44"/>
      <c r="B316" s="45"/>
      <c r="C316" s="45"/>
      <c r="D316" s="45"/>
      <c r="E316" s="45"/>
      <c r="F316" s="46"/>
      <c r="G316" s="45"/>
      <c r="H316" s="45"/>
      <c r="I316" s="45"/>
      <c r="J316" s="42" t="str">
        <f t="array" ref="J316">IF(G316="","",IFERROR(LET(ev_cost,INDEX(Events!$G$5:$G$506,MATCH(G316,Events!$A$5:$A$506,0)),ev_split,INDEX(Events!$I$5:$I$506,MATCH(G316,Events!$A$5:$A$506,0)),att_offset,MATCH(G316,Attendance!$B$3:$AZ$3,0),attendees,COUNTIF(INDEX(Attendance!$B$7:$AZ$206,0,att_offset),"1"),IF(ev_split="Equal Split",ev_cost/MAX(1,COUNTA(Roster!$A$5:$A$204)),ev_cost/MAX(1,attendees))),"N/A"))</f>
        <v/>
      </c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9.5" customHeight="1">
      <c r="A317" s="47"/>
      <c r="B317" s="48"/>
      <c r="C317" s="48"/>
      <c r="D317" s="48"/>
      <c r="E317" s="48"/>
      <c r="F317" s="51"/>
      <c r="G317" s="48"/>
      <c r="H317" s="48"/>
      <c r="I317" s="48"/>
      <c r="J317" s="42" t="str">
        <f t="array" ref="J317">IF(G317="","",IFERROR(LET(ev_cost,INDEX(Events!$G$5:$G$506,MATCH(G317,Events!$A$5:$A$506,0)),ev_split,INDEX(Events!$I$5:$I$506,MATCH(G317,Events!$A$5:$A$506,0)),att_offset,MATCH(G317,Attendance!$B$3:$AZ$3,0),attendees,COUNTIF(INDEX(Attendance!$B$7:$AZ$206,0,att_offset),"1"),IF(ev_split="Equal Split",ev_cost/MAX(1,COUNTA(Roster!$A$5:$A$204)),ev_cost/MAX(1,attendees))),"N/A"))</f>
        <v/>
      </c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9.5" customHeight="1">
      <c r="A318" s="44"/>
      <c r="B318" s="45"/>
      <c r="C318" s="45"/>
      <c r="D318" s="45"/>
      <c r="E318" s="45"/>
      <c r="F318" s="46"/>
      <c r="G318" s="45"/>
      <c r="H318" s="45"/>
      <c r="I318" s="45"/>
      <c r="J318" s="42" t="str">
        <f t="array" ref="J318">IF(G318="","",IFERROR(LET(ev_cost,INDEX(Events!$G$5:$G$506,MATCH(G318,Events!$A$5:$A$506,0)),ev_split,INDEX(Events!$I$5:$I$506,MATCH(G318,Events!$A$5:$A$506,0)),att_offset,MATCH(G318,Attendance!$B$3:$AZ$3,0),attendees,COUNTIF(INDEX(Attendance!$B$7:$AZ$206,0,att_offset),"1"),IF(ev_split="Equal Split",ev_cost/MAX(1,COUNTA(Roster!$A$5:$A$204)),ev_cost/MAX(1,attendees))),"N/A"))</f>
        <v/>
      </c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9.5" customHeight="1">
      <c r="A319" s="47"/>
      <c r="B319" s="48"/>
      <c r="C319" s="48"/>
      <c r="D319" s="48"/>
      <c r="E319" s="48"/>
      <c r="F319" s="51"/>
      <c r="G319" s="48"/>
      <c r="H319" s="48"/>
      <c r="I319" s="48"/>
      <c r="J319" s="42" t="str">
        <f t="array" ref="J319">IF(G319="","",IFERROR(LET(ev_cost,INDEX(Events!$G$5:$G$506,MATCH(G319,Events!$A$5:$A$506,0)),ev_split,INDEX(Events!$I$5:$I$506,MATCH(G319,Events!$A$5:$A$506,0)),att_offset,MATCH(G319,Attendance!$B$3:$AZ$3,0),attendees,COUNTIF(INDEX(Attendance!$B$7:$AZ$206,0,att_offset),"1"),IF(ev_split="Equal Split",ev_cost/MAX(1,COUNTA(Roster!$A$5:$A$204)),ev_cost/MAX(1,attendees))),"N/A"))</f>
        <v/>
      </c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9.5" customHeight="1">
      <c r="A320" s="44"/>
      <c r="B320" s="45"/>
      <c r="C320" s="45"/>
      <c r="D320" s="45"/>
      <c r="E320" s="45"/>
      <c r="F320" s="46"/>
      <c r="G320" s="45"/>
      <c r="H320" s="45"/>
      <c r="I320" s="45"/>
      <c r="J320" s="42" t="str">
        <f t="array" ref="J320">IF(G320="","",IFERROR(LET(ev_cost,INDEX(Events!$G$5:$G$506,MATCH(G320,Events!$A$5:$A$506,0)),ev_split,INDEX(Events!$I$5:$I$506,MATCH(G320,Events!$A$5:$A$506,0)),att_offset,MATCH(G320,Attendance!$B$3:$AZ$3,0),attendees,COUNTIF(INDEX(Attendance!$B$7:$AZ$206,0,att_offset),"1"),IF(ev_split="Equal Split",ev_cost/MAX(1,COUNTA(Roster!$A$5:$A$204)),ev_cost/MAX(1,attendees))),"N/A"))</f>
        <v/>
      </c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9.5" customHeight="1">
      <c r="A321" s="47"/>
      <c r="B321" s="48"/>
      <c r="C321" s="48"/>
      <c r="D321" s="48"/>
      <c r="E321" s="48"/>
      <c r="F321" s="51"/>
      <c r="G321" s="48"/>
      <c r="H321" s="48"/>
      <c r="I321" s="48"/>
      <c r="J321" s="42" t="str">
        <f t="array" ref="J321">IF(G321="","",IFERROR(LET(ev_cost,INDEX(Events!$G$5:$G$506,MATCH(G321,Events!$A$5:$A$506,0)),ev_split,INDEX(Events!$I$5:$I$506,MATCH(G321,Events!$A$5:$A$506,0)),att_offset,MATCH(G321,Attendance!$B$3:$AZ$3,0),attendees,COUNTIF(INDEX(Attendance!$B$7:$AZ$206,0,att_offset),"1"),IF(ev_split="Equal Split",ev_cost/MAX(1,COUNTA(Roster!$A$5:$A$204)),ev_cost/MAX(1,attendees))),"N/A"))</f>
        <v/>
      </c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9.5" customHeight="1">
      <c r="A322" s="44"/>
      <c r="B322" s="45"/>
      <c r="C322" s="45"/>
      <c r="D322" s="45"/>
      <c r="E322" s="45"/>
      <c r="F322" s="46"/>
      <c r="G322" s="45"/>
      <c r="H322" s="45"/>
      <c r="I322" s="45"/>
      <c r="J322" s="42" t="str">
        <f t="array" ref="J322">IF(G322="","",IFERROR(LET(ev_cost,INDEX(Events!$G$5:$G$506,MATCH(G322,Events!$A$5:$A$506,0)),ev_split,INDEX(Events!$I$5:$I$506,MATCH(G322,Events!$A$5:$A$506,0)),att_offset,MATCH(G322,Attendance!$B$3:$AZ$3,0),attendees,COUNTIF(INDEX(Attendance!$B$7:$AZ$206,0,att_offset),"1"),IF(ev_split="Equal Split",ev_cost/MAX(1,COUNTA(Roster!$A$5:$A$204)),ev_cost/MAX(1,attendees))),"N/A"))</f>
        <v/>
      </c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9.5" customHeight="1">
      <c r="A323" s="47"/>
      <c r="B323" s="48"/>
      <c r="C323" s="48"/>
      <c r="D323" s="48"/>
      <c r="E323" s="48"/>
      <c r="F323" s="51"/>
      <c r="G323" s="48"/>
      <c r="H323" s="48"/>
      <c r="I323" s="48"/>
      <c r="J323" s="42" t="str">
        <f t="array" ref="J323">IF(G323="","",IFERROR(LET(ev_cost,INDEX(Events!$G$5:$G$506,MATCH(G323,Events!$A$5:$A$506,0)),ev_split,INDEX(Events!$I$5:$I$506,MATCH(G323,Events!$A$5:$A$506,0)),att_offset,MATCH(G323,Attendance!$B$3:$AZ$3,0),attendees,COUNTIF(INDEX(Attendance!$B$7:$AZ$206,0,att_offset),"1"),IF(ev_split="Equal Split",ev_cost/MAX(1,COUNTA(Roster!$A$5:$A$204)),ev_cost/MAX(1,attendees))),"N/A"))</f>
        <v/>
      </c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9.5" customHeight="1">
      <c r="A324" s="44"/>
      <c r="B324" s="45"/>
      <c r="C324" s="45"/>
      <c r="D324" s="45"/>
      <c r="E324" s="45"/>
      <c r="F324" s="46"/>
      <c r="G324" s="45"/>
      <c r="H324" s="45"/>
      <c r="I324" s="45"/>
      <c r="J324" s="42" t="str">
        <f t="array" ref="J324">IF(G324="","",IFERROR(LET(ev_cost,INDEX(Events!$G$5:$G$506,MATCH(G324,Events!$A$5:$A$506,0)),ev_split,INDEX(Events!$I$5:$I$506,MATCH(G324,Events!$A$5:$A$506,0)),att_offset,MATCH(G324,Attendance!$B$3:$AZ$3,0),attendees,COUNTIF(INDEX(Attendance!$B$7:$AZ$206,0,att_offset),"1"),IF(ev_split="Equal Split",ev_cost/MAX(1,COUNTA(Roster!$A$5:$A$204)),ev_cost/MAX(1,attendees))),"N/A"))</f>
        <v/>
      </c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9.5" customHeight="1">
      <c r="A325" s="47"/>
      <c r="B325" s="48"/>
      <c r="C325" s="48"/>
      <c r="D325" s="48"/>
      <c r="E325" s="48"/>
      <c r="F325" s="51"/>
      <c r="G325" s="48"/>
      <c r="H325" s="48"/>
      <c r="I325" s="48"/>
      <c r="J325" s="42" t="str">
        <f t="array" ref="J325">IF(G325="","",IFERROR(LET(ev_cost,INDEX(Events!$G$5:$G$506,MATCH(G325,Events!$A$5:$A$506,0)),ev_split,INDEX(Events!$I$5:$I$506,MATCH(G325,Events!$A$5:$A$506,0)),att_offset,MATCH(G325,Attendance!$B$3:$AZ$3,0),attendees,COUNTIF(INDEX(Attendance!$B$7:$AZ$206,0,att_offset),"1"),IF(ev_split="Equal Split",ev_cost/MAX(1,COUNTA(Roster!$A$5:$A$204)),ev_cost/MAX(1,attendees))),"N/A"))</f>
        <v/>
      </c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9.5" customHeight="1">
      <c r="A326" s="44"/>
      <c r="B326" s="45"/>
      <c r="C326" s="45"/>
      <c r="D326" s="45"/>
      <c r="E326" s="45"/>
      <c r="F326" s="46"/>
      <c r="G326" s="45"/>
      <c r="H326" s="45"/>
      <c r="I326" s="45"/>
      <c r="J326" s="42" t="str">
        <f t="array" ref="J326">IF(G326="","",IFERROR(LET(ev_cost,INDEX(Events!$G$5:$G$506,MATCH(G326,Events!$A$5:$A$506,0)),ev_split,INDEX(Events!$I$5:$I$506,MATCH(G326,Events!$A$5:$A$506,0)),att_offset,MATCH(G326,Attendance!$B$3:$AZ$3,0),attendees,COUNTIF(INDEX(Attendance!$B$7:$AZ$206,0,att_offset),"1"),IF(ev_split="Equal Split",ev_cost/MAX(1,COUNTA(Roster!$A$5:$A$204)),ev_cost/MAX(1,attendees))),"N/A"))</f>
        <v/>
      </c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9.5" customHeight="1">
      <c r="A327" s="47"/>
      <c r="B327" s="48"/>
      <c r="C327" s="48"/>
      <c r="D327" s="48"/>
      <c r="E327" s="48"/>
      <c r="F327" s="51"/>
      <c r="G327" s="48"/>
      <c r="H327" s="48"/>
      <c r="I327" s="48"/>
      <c r="J327" s="42" t="str">
        <f t="array" ref="J327">IF(G327="","",IFERROR(LET(ev_cost,INDEX(Events!$G$5:$G$506,MATCH(G327,Events!$A$5:$A$506,0)),ev_split,INDEX(Events!$I$5:$I$506,MATCH(G327,Events!$A$5:$A$506,0)),att_offset,MATCH(G327,Attendance!$B$3:$AZ$3,0),attendees,COUNTIF(INDEX(Attendance!$B$7:$AZ$206,0,att_offset),"1"),IF(ev_split="Equal Split",ev_cost/MAX(1,COUNTA(Roster!$A$5:$A$204)),ev_cost/MAX(1,attendees))),"N/A"))</f>
        <v/>
      </c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9.5" customHeight="1">
      <c r="A328" s="44"/>
      <c r="B328" s="45"/>
      <c r="C328" s="45"/>
      <c r="D328" s="45"/>
      <c r="E328" s="45"/>
      <c r="F328" s="46"/>
      <c r="G328" s="45"/>
      <c r="H328" s="45"/>
      <c r="I328" s="45"/>
      <c r="J328" s="42" t="str">
        <f t="array" ref="J328">IF(G328="","",IFERROR(LET(ev_cost,INDEX(Events!$G$5:$G$506,MATCH(G328,Events!$A$5:$A$506,0)),ev_split,INDEX(Events!$I$5:$I$506,MATCH(G328,Events!$A$5:$A$506,0)),att_offset,MATCH(G328,Attendance!$B$3:$AZ$3,0),attendees,COUNTIF(INDEX(Attendance!$B$7:$AZ$206,0,att_offset),"1"),IF(ev_split="Equal Split",ev_cost/MAX(1,COUNTA(Roster!$A$5:$A$204)),ev_cost/MAX(1,attendees))),"N/A"))</f>
        <v/>
      </c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9.5" customHeight="1">
      <c r="A329" s="47"/>
      <c r="B329" s="48"/>
      <c r="C329" s="48"/>
      <c r="D329" s="48"/>
      <c r="E329" s="48"/>
      <c r="F329" s="51"/>
      <c r="G329" s="48"/>
      <c r="H329" s="48"/>
      <c r="I329" s="48"/>
      <c r="J329" s="42" t="str">
        <f t="array" ref="J329">IF(G329="","",IFERROR(LET(ev_cost,INDEX(Events!$G$5:$G$506,MATCH(G329,Events!$A$5:$A$506,0)),ev_split,INDEX(Events!$I$5:$I$506,MATCH(G329,Events!$A$5:$A$506,0)),att_offset,MATCH(G329,Attendance!$B$3:$AZ$3,0),attendees,COUNTIF(INDEX(Attendance!$B$7:$AZ$206,0,att_offset),"1"),IF(ev_split="Equal Split",ev_cost/MAX(1,COUNTA(Roster!$A$5:$A$204)),ev_cost/MAX(1,attendees))),"N/A"))</f>
        <v/>
      </c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9.5" customHeight="1">
      <c r="A330" s="44"/>
      <c r="B330" s="45"/>
      <c r="C330" s="45"/>
      <c r="D330" s="45"/>
      <c r="E330" s="45"/>
      <c r="F330" s="46"/>
      <c r="G330" s="45"/>
      <c r="H330" s="45"/>
      <c r="I330" s="45"/>
      <c r="J330" s="42" t="str">
        <f t="array" ref="J330">IF(G330="","",IFERROR(LET(ev_cost,INDEX(Events!$G$5:$G$506,MATCH(G330,Events!$A$5:$A$506,0)),ev_split,INDEX(Events!$I$5:$I$506,MATCH(G330,Events!$A$5:$A$506,0)),att_offset,MATCH(G330,Attendance!$B$3:$AZ$3,0),attendees,COUNTIF(INDEX(Attendance!$B$7:$AZ$206,0,att_offset),"1"),IF(ev_split="Equal Split",ev_cost/MAX(1,COUNTA(Roster!$A$5:$A$204)),ev_cost/MAX(1,attendees))),"N/A"))</f>
        <v/>
      </c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9.5" customHeight="1">
      <c r="A331" s="47"/>
      <c r="B331" s="48"/>
      <c r="C331" s="48"/>
      <c r="D331" s="48"/>
      <c r="E331" s="48"/>
      <c r="F331" s="51"/>
      <c r="G331" s="48"/>
      <c r="H331" s="48"/>
      <c r="I331" s="48"/>
      <c r="J331" s="42" t="str">
        <f t="array" ref="J331">IF(G331="","",IFERROR(LET(ev_cost,INDEX(Events!$G$5:$G$506,MATCH(G331,Events!$A$5:$A$506,0)),ev_split,INDEX(Events!$I$5:$I$506,MATCH(G331,Events!$A$5:$A$506,0)),att_offset,MATCH(G331,Attendance!$B$3:$AZ$3,0),attendees,COUNTIF(INDEX(Attendance!$B$7:$AZ$206,0,att_offset),"1"),IF(ev_split="Equal Split",ev_cost/MAX(1,COUNTA(Roster!$A$5:$A$204)),ev_cost/MAX(1,attendees))),"N/A"))</f>
        <v/>
      </c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9.5" customHeight="1">
      <c r="A332" s="44"/>
      <c r="B332" s="45"/>
      <c r="C332" s="45"/>
      <c r="D332" s="45"/>
      <c r="E332" s="45"/>
      <c r="F332" s="46"/>
      <c r="G332" s="45"/>
      <c r="H332" s="45"/>
      <c r="I332" s="45"/>
      <c r="J332" s="42" t="str">
        <f t="array" ref="J332">IF(G332="","",IFERROR(LET(ev_cost,INDEX(Events!$G$5:$G$506,MATCH(G332,Events!$A$5:$A$506,0)),ev_split,INDEX(Events!$I$5:$I$506,MATCH(G332,Events!$A$5:$A$506,0)),att_offset,MATCH(G332,Attendance!$B$3:$AZ$3,0),attendees,COUNTIF(INDEX(Attendance!$B$7:$AZ$206,0,att_offset),"1"),IF(ev_split="Equal Split",ev_cost/MAX(1,COUNTA(Roster!$A$5:$A$204)),ev_cost/MAX(1,attendees))),"N/A"))</f>
        <v/>
      </c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9.5" customHeight="1">
      <c r="A333" s="47"/>
      <c r="B333" s="48"/>
      <c r="C333" s="48"/>
      <c r="D333" s="48"/>
      <c r="E333" s="48"/>
      <c r="F333" s="51"/>
      <c r="G333" s="48"/>
      <c r="H333" s="48"/>
      <c r="I333" s="48"/>
      <c r="J333" s="42" t="str">
        <f t="array" ref="J333">IF(G333="","",IFERROR(LET(ev_cost,INDEX(Events!$G$5:$G$506,MATCH(G333,Events!$A$5:$A$506,0)),ev_split,INDEX(Events!$I$5:$I$506,MATCH(G333,Events!$A$5:$A$506,0)),att_offset,MATCH(G333,Attendance!$B$3:$AZ$3,0),attendees,COUNTIF(INDEX(Attendance!$B$7:$AZ$206,0,att_offset),"1"),IF(ev_split="Equal Split",ev_cost/MAX(1,COUNTA(Roster!$A$5:$A$204)),ev_cost/MAX(1,attendees))),"N/A"))</f>
        <v/>
      </c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9.5" customHeight="1">
      <c r="A334" s="44"/>
      <c r="B334" s="45"/>
      <c r="C334" s="45"/>
      <c r="D334" s="45"/>
      <c r="E334" s="45"/>
      <c r="F334" s="46"/>
      <c r="G334" s="45"/>
      <c r="H334" s="45"/>
      <c r="I334" s="45"/>
      <c r="J334" s="42" t="str">
        <f t="array" ref="J334">IF(G334="","",IFERROR(LET(ev_cost,INDEX(Events!$G$5:$G$506,MATCH(G334,Events!$A$5:$A$506,0)),ev_split,INDEX(Events!$I$5:$I$506,MATCH(G334,Events!$A$5:$A$506,0)),att_offset,MATCH(G334,Attendance!$B$3:$AZ$3,0),attendees,COUNTIF(INDEX(Attendance!$B$7:$AZ$206,0,att_offset),"1"),IF(ev_split="Equal Split",ev_cost/MAX(1,COUNTA(Roster!$A$5:$A$204)),ev_cost/MAX(1,attendees))),"N/A"))</f>
        <v/>
      </c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9.5" customHeight="1">
      <c r="A335" s="47"/>
      <c r="B335" s="48"/>
      <c r="C335" s="48"/>
      <c r="D335" s="48"/>
      <c r="E335" s="48"/>
      <c r="F335" s="51"/>
      <c r="G335" s="48"/>
      <c r="H335" s="48"/>
      <c r="I335" s="48"/>
      <c r="J335" s="42" t="str">
        <f t="array" ref="J335">IF(G335="","",IFERROR(LET(ev_cost,INDEX(Events!$G$5:$G$506,MATCH(G335,Events!$A$5:$A$506,0)),ev_split,INDEX(Events!$I$5:$I$506,MATCH(G335,Events!$A$5:$A$506,0)),att_offset,MATCH(G335,Attendance!$B$3:$AZ$3,0),attendees,COUNTIF(INDEX(Attendance!$B$7:$AZ$206,0,att_offset),"1"),IF(ev_split="Equal Split",ev_cost/MAX(1,COUNTA(Roster!$A$5:$A$204)),ev_cost/MAX(1,attendees))),"N/A"))</f>
        <v/>
      </c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9.5" customHeight="1">
      <c r="A336" s="44"/>
      <c r="B336" s="45"/>
      <c r="C336" s="45"/>
      <c r="D336" s="45"/>
      <c r="E336" s="45"/>
      <c r="F336" s="46"/>
      <c r="G336" s="45"/>
      <c r="H336" s="45"/>
      <c r="I336" s="45"/>
      <c r="J336" s="42" t="str">
        <f t="array" ref="J336">IF(G336="","",IFERROR(LET(ev_cost,INDEX(Events!$G$5:$G$506,MATCH(G336,Events!$A$5:$A$506,0)),ev_split,INDEX(Events!$I$5:$I$506,MATCH(G336,Events!$A$5:$A$506,0)),att_offset,MATCH(G336,Attendance!$B$3:$AZ$3,0),attendees,COUNTIF(INDEX(Attendance!$B$7:$AZ$206,0,att_offset),"1"),IF(ev_split="Equal Split",ev_cost/MAX(1,COUNTA(Roster!$A$5:$A$204)),ev_cost/MAX(1,attendees))),"N/A"))</f>
        <v/>
      </c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9.5" customHeight="1">
      <c r="A337" s="47"/>
      <c r="B337" s="48"/>
      <c r="C337" s="48"/>
      <c r="D337" s="48"/>
      <c r="E337" s="48"/>
      <c r="F337" s="51"/>
      <c r="G337" s="48"/>
      <c r="H337" s="48"/>
      <c r="I337" s="48"/>
      <c r="J337" s="42" t="str">
        <f t="array" ref="J337">IF(G337="","",IFERROR(LET(ev_cost,INDEX(Events!$G$5:$G$506,MATCH(G337,Events!$A$5:$A$506,0)),ev_split,INDEX(Events!$I$5:$I$506,MATCH(G337,Events!$A$5:$A$506,0)),att_offset,MATCH(G337,Attendance!$B$3:$AZ$3,0),attendees,COUNTIF(INDEX(Attendance!$B$7:$AZ$206,0,att_offset),"1"),IF(ev_split="Equal Split",ev_cost/MAX(1,COUNTA(Roster!$A$5:$A$204)),ev_cost/MAX(1,attendees))),"N/A"))</f>
        <v/>
      </c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9.5" customHeight="1">
      <c r="A338" s="44"/>
      <c r="B338" s="45"/>
      <c r="C338" s="45"/>
      <c r="D338" s="45"/>
      <c r="E338" s="45"/>
      <c r="F338" s="46"/>
      <c r="G338" s="45"/>
      <c r="H338" s="45"/>
      <c r="I338" s="45"/>
      <c r="J338" s="42" t="str">
        <f t="array" ref="J338">IF(G338="","",IFERROR(LET(ev_cost,INDEX(Events!$G$5:$G$506,MATCH(G338,Events!$A$5:$A$506,0)),ev_split,INDEX(Events!$I$5:$I$506,MATCH(G338,Events!$A$5:$A$506,0)),att_offset,MATCH(G338,Attendance!$B$3:$AZ$3,0),attendees,COUNTIF(INDEX(Attendance!$B$7:$AZ$206,0,att_offset),"1"),IF(ev_split="Equal Split",ev_cost/MAX(1,COUNTA(Roster!$A$5:$A$204)),ev_cost/MAX(1,attendees))),"N/A"))</f>
        <v/>
      </c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9.5" customHeight="1">
      <c r="A339" s="47"/>
      <c r="B339" s="48"/>
      <c r="C339" s="48"/>
      <c r="D339" s="48"/>
      <c r="E339" s="48"/>
      <c r="F339" s="51"/>
      <c r="G339" s="48"/>
      <c r="H339" s="48"/>
      <c r="I339" s="48"/>
      <c r="J339" s="42" t="str">
        <f t="array" ref="J339">IF(G339="","",IFERROR(LET(ev_cost,INDEX(Events!$G$5:$G$506,MATCH(G339,Events!$A$5:$A$506,0)),ev_split,INDEX(Events!$I$5:$I$506,MATCH(G339,Events!$A$5:$A$506,0)),att_offset,MATCH(G339,Attendance!$B$3:$AZ$3,0),attendees,COUNTIF(INDEX(Attendance!$B$7:$AZ$206,0,att_offset),"1"),IF(ev_split="Equal Split",ev_cost/MAX(1,COUNTA(Roster!$A$5:$A$204)),ev_cost/MAX(1,attendees))),"N/A"))</f>
        <v/>
      </c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9.5" customHeight="1">
      <c r="A340" s="44"/>
      <c r="B340" s="45"/>
      <c r="C340" s="45"/>
      <c r="D340" s="45"/>
      <c r="E340" s="45"/>
      <c r="F340" s="46"/>
      <c r="G340" s="45"/>
      <c r="H340" s="45"/>
      <c r="I340" s="45"/>
      <c r="J340" s="42" t="str">
        <f t="array" ref="J340">IF(G340="","",IFERROR(LET(ev_cost,INDEX(Events!$G$5:$G$506,MATCH(G340,Events!$A$5:$A$506,0)),ev_split,INDEX(Events!$I$5:$I$506,MATCH(G340,Events!$A$5:$A$506,0)),att_offset,MATCH(G340,Attendance!$B$3:$AZ$3,0),attendees,COUNTIF(INDEX(Attendance!$B$7:$AZ$206,0,att_offset),"1"),IF(ev_split="Equal Split",ev_cost/MAX(1,COUNTA(Roster!$A$5:$A$204)),ev_cost/MAX(1,attendees))),"N/A"))</f>
        <v/>
      </c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9.5" customHeight="1">
      <c r="A341" s="47"/>
      <c r="B341" s="48"/>
      <c r="C341" s="48"/>
      <c r="D341" s="48"/>
      <c r="E341" s="48"/>
      <c r="F341" s="51"/>
      <c r="G341" s="48"/>
      <c r="H341" s="48"/>
      <c r="I341" s="48"/>
      <c r="J341" s="42" t="str">
        <f t="array" ref="J341">IF(G341="","",IFERROR(LET(ev_cost,INDEX(Events!$G$5:$G$506,MATCH(G341,Events!$A$5:$A$506,0)),ev_split,INDEX(Events!$I$5:$I$506,MATCH(G341,Events!$A$5:$A$506,0)),att_offset,MATCH(G341,Attendance!$B$3:$AZ$3,0),attendees,COUNTIF(INDEX(Attendance!$B$7:$AZ$206,0,att_offset),"1"),IF(ev_split="Equal Split",ev_cost/MAX(1,COUNTA(Roster!$A$5:$A$204)),ev_cost/MAX(1,attendees))),"N/A"))</f>
        <v/>
      </c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9.5" customHeight="1">
      <c r="A342" s="44"/>
      <c r="B342" s="45"/>
      <c r="C342" s="45"/>
      <c r="D342" s="45"/>
      <c r="E342" s="45"/>
      <c r="F342" s="46"/>
      <c r="G342" s="45"/>
      <c r="H342" s="45"/>
      <c r="I342" s="45"/>
      <c r="J342" s="42" t="str">
        <f t="array" ref="J342">IF(G342="","",IFERROR(LET(ev_cost,INDEX(Events!$G$5:$G$506,MATCH(G342,Events!$A$5:$A$506,0)),ev_split,INDEX(Events!$I$5:$I$506,MATCH(G342,Events!$A$5:$A$506,0)),att_offset,MATCH(G342,Attendance!$B$3:$AZ$3,0),attendees,COUNTIF(INDEX(Attendance!$B$7:$AZ$206,0,att_offset),"1"),IF(ev_split="Equal Split",ev_cost/MAX(1,COUNTA(Roster!$A$5:$A$204)),ev_cost/MAX(1,attendees))),"N/A"))</f>
        <v/>
      </c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9.5" customHeight="1">
      <c r="A343" s="47"/>
      <c r="B343" s="48"/>
      <c r="C343" s="48"/>
      <c r="D343" s="48"/>
      <c r="E343" s="48"/>
      <c r="F343" s="51"/>
      <c r="G343" s="48"/>
      <c r="H343" s="48"/>
      <c r="I343" s="48"/>
      <c r="J343" s="42" t="str">
        <f t="array" ref="J343">IF(G343="","",IFERROR(LET(ev_cost,INDEX(Events!$G$5:$G$506,MATCH(G343,Events!$A$5:$A$506,0)),ev_split,INDEX(Events!$I$5:$I$506,MATCH(G343,Events!$A$5:$A$506,0)),att_offset,MATCH(G343,Attendance!$B$3:$AZ$3,0),attendees,COUNTIF(INDEX(Attendance!$B$7:$AZ$206,0,att_offset),"1"),IF(ev_split="Equal Split",ev_cost/MAX(1,COUNTA(Roster!$A$5:$A$204)),ev_cost/MAX(1,attendees))),"N/A"))</f>
        <v/>
      </c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9.5" customHeight="1">
      <c r="A344" s="44"/>
      <c r="B344" s="45"/>
      <c r="C344" s="45"/>
      <c r="D344" s="45"/>
      <c r="E344" s="45"/>
      <c r="F344" s="46"/>
      <c r="G344" s="45"/>
      <c r="H344" s="45"/>
      <c r="I344" s="45"/>
      <c r="J344" s="42" t="str">
        <f t="array" ref="J344">IF(G344="","",IFERROR(LET(ev_cost,INDEX(Events!$G$5:$G$506,MATCH(G344,Events!$A$5:$A$506,0)),ev_split,INDEX(Events!$I$5:$I$506,MATCH(G344,Events!$A$5:$A$506,0)),att_offset,MATCH(G344,Attendance!$B$3:$AZ$3,0),attendees,COUNTIF(INDEX(Attendance!$B$7:$AZ$206,0,att_offset),"1"),IF(ev_split="Equal Split",ev_cost/MAX(1,COUNTA(Roster!$A$5:$A$204)),ev_cost/MAX(1,attendees))),"N/A"))</f>
        <v/>
      </c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9.5" customHeight="1">
      <c r="A345" s="47"/>
      <c r="B345" s="48"/>
      <c r="C345" s="48"/>
      <c r="D345" s="48"/>
      <c r="E345" s="48"/>
      <c r="F345" s="51"/>
      <c r="G345" s="48"/>
      <c r="H345" s="48"/>
      <c r="I345" s="48"/>
      <c r="J345" s="42" t="str">
        <f t="array" ref="J345">IF(G345="","",IFERROR(LET(ev_cost,INDEX(Events!$G$5:$G$506,MATCH(G345,Events!$A$5:$A$506,0)),ev_split,INDEX(Events!$I$5:$I$506,MATCH(G345,Events!$A$5:$A$506,0)),att_offset,MATCH(G345,Attendance!$B$3:$AZ$3,0),attendees,COUNTIF(INDEX(Attendance!$B$7:$AZ$206,0,att_offset),"1"),IF(ev_split="Equal Split",ev_cost/MAX(1,COUNTA(Roster!$A$5:$A$204)),ev_cost/MAX(1,attendees))),"N/A"))</f>
        <v/>
      </c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9.5" customHeight="1">
      <c r="A346" s="44"/>
      <c r="B346" s="45"/>
      <c r="C346" s="45"/>
      <c r="D346" s="45"/>
      <c r="E346" s="45"/>
      <c r="F346" s="46"/>
      <c r="G346" s="45"/>
      <c r="H346" s="45"/>
      <c r="I346" s="45"/>
      <c r="J346" s="42" t="str">
        <f t="array" ref="J346">IF(G346="","",IFERROR(LET(ev_cost,INDEX(Events!$G$5:$G$506,MATCH(G346,Events!$A$5:$A$506,0)),ev_split,INDEX(Events!$I$5:$I$506,MATCH(G346,Events!$A$5:$A$506,0)),att_offset,MATCH(G346,Attendance!$B$3:$AZ$3,0),attendees,COUNTIF(INDEX(Attendance!$B$7:$AZ$206,0,att_offset),"1"),IF(ev_split="Equal Split",ev_cost/MAX(1,COUNTA(Roster!$A$5:$A$204)),ev_cost/MAX(1,attendees))),"N/A"))</f>
        <v/>
      </c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9.5" customHeight="1">
      <c r="A347" s="47"/>
      <c r="B347" s="48"/>
      <c r="C347" s="48"/>
      <c r="D347" s="48"/>
      <c r="E347" s="48"/>
      <c r="F347" s="51"/>
      <c r="G347" s="48"/>
      <c r="H347" s="48"/>
      <c r="I347" s="48"/>
      <c r="J347" s="42" t="str">
        <f t="array" ref="J347">IF(G347="","",IFERROR(LET(ev_cost,INDEX(Events!$G$5:$G$506,MATCH(G347,Events!$A$5:$A$506,0)),ev_split,INDEX(Events!$I$5:$I$506,MATCH(G347,Events!$A$5:$A$506,0)),att_offset,MATCH(G347,Attendance!$B$3:$AZ$3,0),attendees,COUNTIF(INDEX(Attendance!$B$7:$AZ$206,0,att_offset),"1"),IF(ev_split="Equal Split",ev_cost/MAX(1,COUNTA(Roster!$A$5:$A$204)),ev_cost/MAX(1,attendees))),"N/A"))</f>
        <v/>
      </c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9.5" customHeight="1">
      <c r="A348" s="44"/>
      <c r="B348" s="45"/>
      <c r="C348" s="45"/>
      <c r="D348" s="45"/>
      <c r="E348" s="45"/>
      <c r="F348" s="46"/>
      <c r="G348" s="45"/>
      <c r="H348" s="45"/>
      <c r="I348" s="45"/>
      <c r="J348" s="42" t="str">
        <f t="array" ref="J348">IF(G348="","",IFERROR(LET(ev_cost,INDEX(Events!$G$5:$G$506,MATCH(G348,Events!$A$5:$A$506,0)),ev_split,INDEX(Events!$I$5:$I$506,MATCH(G348,Events!$A$5:$A$506,0)),att_offset,MATCH(G348,Attendance!$B$3:$AZ$3,0),attendees,COUNTIF(INDEX(Attendance!$B$7:$AZ$206,0,att_offset),"1"),IF(ev_split="Equal Split",ev_cost/MAX(1,COUNTA(Roster!$A$5:$A$204)),ev_cost/MAX(1,attendees))),"N/A"))</f>
        <v/>
      </c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9.5" customHeight="1">
      <c r="A349" s="47"/>
      <c r="B349" s="48"/>
      <c r="C349" s="48"/>
      <c r="D349" s="48"/>
      <c r="E349" s="48"/>
      <c r="F349" s="51"/>
      <c r="G349" s="48"/>
      <c r="H349" s="48"/>
      <c r="I349" s="48"/>
      <c r="J349" s="42" t="str">
        <f t="array" ref="J349">IF(G349="","",IFERROR(LET(ev_cost,INDEX(Events!$G$5:$G$506,MATCH(G349,Events!$A$5:$A$506,0)),ev_split,INDEX(Events!$I$5:$I$506,MATCH(G349,Events!$A$5:$A$506,0)),att_offset,MATCH(G349,Attendance!$B$3:$AZ$3,0),attendees,COUNTIF(INDEX(Attendance!$B$7:$AZ$206,0,att_offset),"1"),IF(ev_split="Equal Split",ev_cost/MAX(1,COUNTA(Roster!$A$5:$A$204)),ev_cost/MAX(1,attendees))),"N/A"))</f>
        <v/>
      </c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9.5" customHeight="1">
      <c r="A350" s="44"/>
      <c r="B350" s="45"/>
      <c r="C350" s="45"/>
      <c r="D350" s="45"/>
      <c r="E350" s="45"/>
      <c r="F350" s="46"/>
      <c r="G350" s="45"/>
      <c r="H350" s="45"/>
      <c r="I350" s="45"/>
      <c r="J350" s="42" t="str">
        <f t="array" ref="J350">IF(G350="","",IFERROR(LET(ev_cost,INDEX(Events!$G$5:$G$506,MATCH(G350,Events!$A$5:$A$506,0)),ev_split,INDEX(Events!$I$5:$I$506,MATCH(G350,Events!$A$5:$A$506,0)),att_offset,MATCH(G350,Attendance!$B$3:$AZ$3,0),attendees,COUNTIF(INDEX(Attendance!$B$7:$AZ$206,0,att_offset),"1"),IF(ev_split="Equal Split",ev_cost/MAX(1,COUNTA(Roster!$A$5:$A$204)),ev_cost/MAX(1,attendees))),"N/A"))</f>
        <v/>
      </c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9.5" customHeight="1">
      <c r="A351" s="47"/>
      <c r="B351" s="48"/>
      <c r="C351" s="48"/>
      <c r="D351" s="48"/>
      <c r="E351" s="48"/>
      <c r="F351" s="51"/>
      <c r="G351" s="48"/>
      <c r="H351" s="48"/>
      <c r="I351" s="48"/>
      <c r="J351" s="42" t="str">
        <f t="array" ref="J351">IF(G351="","",IFERROR(LET(ev_cost,INDEX(Events!$G$5:$G$506,MATCH(G351,Events!$A$5:$A$506,0)),ev_split,INDEX(Events!$I$5:$I$506,MATCH(G351,Events!$A$5:$A$506,0)),att_offset,MATCH(G351,Attendance!$B$3:$AZ$3,0),attendees,COUNTIF(INDEX(Attendance!$B$7:$AZ$206,0,att_offset),"1"),IF(ev_split="Equal Split",ev_cost/MAX(1,COUNTA(Roster!$A$5:$A$204)),ev_cost/MAX(1,attendees))),"N/A"))</f>
        <v/>
      </c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9.5" customHeight="1">
      <c r="A352" s="44"/>
      <c r="B352" s="45"/>
      <c r="C352" s="45"/>
      <c r="D352" s="45"/>
      <c r="E352" s="45"/>
      <c r="F352" s="46"/>
      <c r="G352" s="45"/>
      <c r="H352" s="45"/>
      <c r="I352" s="45"/>
      <c r="J352" s="42" t="str">
        <f t="array" ref="J352">IF(G352="","",IFERROR(LET(ev_cost,INDEX(Events!$G$5:$G$506,MATCH(G352,Events!$A$5:$A$506,0)),ev_split,INDEX(Events!$I$5:$I$506,MATCH(G352,Events!$A$5:$A$506,0)),att_offset,MATCH(G352,Attendance!$B$3:$AZ$3,0),attendees,COUNTIF(INDEX(Attendance!$B$7:$AZ$206,0,att_offset),"1"),IF(ev_split="Equal Split",ev_cost/MAX(1,COUNTA(Roster!$A$5:$A$204)),ev_cost/MAX(1,attendees))),"N/A"))</f>
        <v/>
      </c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9.5" customHeight="1">
      <c r="A353" s="47"/>
      <c r="B353" s="48"/>
      <c r="C353" s="48"/>
      <c r="D353" s="48"/>
      <c r="E353" s="48"/>
      <c r="F353" s="51"/>
      <c r="G353" s="48"/>
      <c r="H353" s="48"/>
      <c r="I353" s="48"/>
      <c r="J353" s="42" t="str">
        <f t="array" ref="J353">IF(G353="","",IFERROR(LET(ev_cost,INDEX(Events!$G$5:$G$506,MATCH(G353,Events!$A$5:$A$506,0)),ev_split,INDEX(Events!$I$5:$I$506,MATCH(G353,Events!$A$5:$A$506,0)),att_offset,MATCH(G353,Attendance!$B$3:$AZ$3,0),attendees,COUNTIF(INDEX(Attendance!$B$7:$AZ$206,0,att_offset),"1"),IF(ev_split="Equal Split",ev_cost/MAX(1,COUNTA(Roster!$A$5:$A$204)),ev_cost/MAX(1,attendees))),"N/A"))</f>
        <v/>
      </c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9.5" customHeight="1">
      <c r="A354" s="44"/>
      <c r="B354" s="45"/>
      <c r="C354" s="45"/>
      <c r="D354" s="45"/>
      <c r="E354" s="45"/>
      <c r="F354" s="46"/>
      <c r="G354" s="45"/>
      <c r="H354" s="45"/>
      <c r="I354" s="45"/>
      <c r="J354" s="42" t="str">
        <f t="array" ref="J354">IF(G354="","",IFERROR(LET(ev_cost,INDEX(Events!$G$5:$G$506,MATCH(G354,Events!$A$5:$A$506,0)),ev_split,INDEX(Events!$I$5:$I$506,MATCH(G354,Events!$A$5:$A$506,0)),att_offset,MATCH(G354,Attendance!$B$3:$AZ$3,0),attendees,COUNTIF(INDEX(Attendance!$B$7:$AZ$206,0,att_offset),"1"),IF(ev_split="Equal Split",ev_cost/MAX(1,COUNTA(Roster!$A$5:$A$204)),ev_cost/MAX(1,attendees))),"N/A"))</f>
        <v/>
      </c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9.5" customHeight="1">
      <c r="A355" s="47"/>
      <c r="B355" s="48"/>
      <c r="C355" s="48"/>
      <c r="D355" s="48"/>
      <c r="E355" s="48"/>
      <c r="F355" s="51"/>
      <c r="G355" s="48"/>
      <c r="H355" s="48"/>
      <c r="I355" s="48"/>
      <c r="J355" s="42" t="str">
        <f t="array" ref="J355">IF(G355="","",IFERROR(LET(ev_cost,INDEX(Events!$G$5:$G$506,MATCH(G355,Events!$A$5:$A$506,0)),ev_split,INDEX(Events!$I$5:$I$506,MATCH(G355,Events!$A$5:$A$506,0)),att_offset,MATCH(G355,Attendance!$B$3:$AZ$3,0),attendees,COUNTIF(INDEX(Attendance!$B$7:$AZ$206,0,att_offset),"1"),IF(ev_split="Equal Split",ev_cost/MAX(1,COUNTA(Roster!$A$5:$A$204)),ev_cost/MAX(1,attendees))),"N/A"))</f>
        <v/>
      </c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9.5" customHeight="1">
      <c r="A356" s="44"/>
      <c r="B356" s="45"/>
      <c r="C356" s="45"/>
      <c r="D356" s="45"/>
      <c r="E356" s="45"/>
      <c r="F356" s="46"/>
      <c r="G356" s="45"/>
      <c r="H356" s="45"/>
      <c r="I356" s="45"/>
      <c r="J356" s="42" t="str">
        <f t="array" ref="J356">IF(G356="","",IFERROR(LET(ev_cost,INDEX(Events!$G$5:$G$506,MATCH(G356,Events!$A$5:$A$506,0)),ev_split,INDEX(Events!$I$5:$I$506,MATCH(G356,Events!$A$5:$A$506,0)),att_offset,MATCH(G356,Attendance!$B$3:$AZ$3,0),attendees,COUNTIF(INDEX(Attendance!$B$7:$AZ$206,0,att_offset),"1"),IF(ev_split="Equal Split",ev_cost/MAX(1,COUNTA(Roster!$A$5:$A$204)),ev_cost/MAX(1,attendees))),"N/A"))</f>
        <v/>
      </c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9.5" customHeight="1">
      <c r="A357" s="47"/>
      <c r="B357" s="48"/>
      <c r="C357" s="48"/>
      <c r="D357" s="48"/>
      <c r="E357" s="48"/>
      <c r="F357" s="51"/>
      <c r="G357" s="48"/>
      <c r="H357" s="48"/>
      <c r="I357" s="48"/>
      <c r="J357" s="42" t="str">
        <f t="array" ref="J357">IF(G357="","",IFERROR(LET(ev_cost,INDEX(Events!$G$5:$G$506,MATCH(G357,Events!$A$5:$A$506,0)),ev_split,INDEX(Events!$I$5:$I$506,MATCH(G357,Events!$A$5:$A$506,0)),att_offset,MATCH(G357,Attendance!$B$3:$AZ$3,0),attendees,COUNTIF(INDEX(Attendance!$B$7:$AZ$206,0,att_offset),"1"),IF(ev_split="Equal Split",ev_cost/MAX(1,COUNTA(Roster!$A$5:$A$204)),ev_cost/MAX(1,attendees))),"N/A"))</f>
        <v/>
      </c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9.5" customHeight="1">
      <c r="A358" s="44"/>
      <c r="B358" s="45"/>
      <c r="C358" s="45"/>
      <c r="D358" s="45"/>
      <c r="E358" s="45"/>
      <c r="F358" s="46"/>
      <c r="G358" s="45"/>
      <c r="H358" s="45"/>
      <c r="I358" s="45"/>
      <c r="J358" s="42" t="str">
        <f t="array" ref="J358">IF(G358="","",IFERROR(LET(ev_cost,INDEX(Events!$G$5:$G$506,MATCH(G358,Events!$A$5:$A$506,0)),ev_split,INDEX(Events!$I$5:$I$506,MATCH(G358,Events!$A$5:$A$506,0)),att_offset,MATCH(G358,Attendance!$B$3:$AZ$3,0),attendees,COUNTIF(INDEX(Attendance!$B$7:$AZ$206,0,att_offset),"1"),IF(ev_split="Equal Split",ev_cost/MAX(1,COUNTA(Roster!$A$5:$A$204)),ev_cost/MAX(1,attendees))),"N/A"))</f>
        <v/>
      </c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9.5" customHeight="1">
      <c r="A359" s="47"/>
      <c r="B359" s="48"/>
      <c r="C359" s="48"/>
      <c r="D359" s="48"/>
      <c r="E359" s="48"/>
      <c r="F359" s="51"/>
      <c r="G359" s="48"/>
      <c r="H359" s="48"/>
      <c r="I359" s="48"/>
      <c r="J359" s="42" t="str">
        <f t="array" ref="J359">IF(G359="","",IFERROR(LET(ev_cost,INDEX(Events!$G$5:$G$506,MATCH(G359,Events!$A$5:$A$506,0)),ev_split,INDEX(Events!$I$5:$I$506,MATCH(G359,Events!$A$5:$A$506,0)),att_offset,MATCH(G359,Attendance!$B$3:$AZ$3,0),attendees,COUNTIF(INDEX(Attendance!$B$7:$AZ$206,0,att_offset),"1"),IF(ev_split="Equal Split",ev_cost/MAX(1,COUNTA(Roster!$A$5:$A$204)),ev_cost/MAX(1,attendees))),"N/A"))</f>
        <v/>
      </c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9.5" customHeight="1">
      <c r="A360" s="44"/>
      <c r="B360" s="45"/>
      <c r="C360" s="45"/>
      <c r="D360" s="45"/>
      <c r="E360" s="45"/>
      <c r="F360" s="46"/>
      <c r="G360" s="45"/>
      <c r="H360" s="45"/>
      <c r="I360" s="45"/>
      <c r="J360" s="42" t="str">
        <f t="array" ref="J360">IF(G360="","",IFERROR(LET(ev_cost,INDEX(Events!$G$5:$G$506,MATCH(G360,Events!$A$5:$A$506,0)),ev_split,INDEX(Events!$I$5:$I$506,MATCH(G360,Events!$A$5:$A$506,0)),att_offset,MATCH(G360,Attendance!$B$3:$AZ$3,0),attendees,COUNTIF(INDEX(Attendance!$B$7:$AZ$206,0,att_offset),"1"),IF(ev_split="Equal Split",ev_cost/MAX(1,COUNTA(Roster!$A$5:$A$204)),ev_cost/MAX(1,attendees))),"N/A"))</f>
        <v/>
      </c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9.5" customHeight="1">
      <c r="A361" s="47"/>
      <c r="B361" s="48"/>
      <c r="C361" s="48"/>
      <c r="D361" s="48"/>
      <c r="E361" s="48"/>
      <c r="F361" s="51"/>
      <c r="G361" s="48"/>
      <c r="H361" s="48"/>
      <c r="I361" s="48"/>
      <c r="J361" s="42" t="str">
        <f t="array" ref="J361">IF(G361="","",IFERROR(LET(ev_cost,INDEX(Events!$G$5:$G$506,MATCH(G361,Events!$A$5:$A$506,0)),ev_split,INDEX(Events!$I$5:$I$506,MATCH(G361,Events!$A$5:$A$506,0)),att_offset,MATCH(G361,Attendance!$B$3:$AZ$3,0),attendees,COUNTIF(INDEX(Attendance!$B$7:$AZ$206,0,att_offset),"1"),IF(ev_split="Equal Split",ev_cost/MAX(1,COUNTA(Roster!$A$5:$A$204)),ev_cost/MAX(1,attendees))),"N/A"))</f>
        <v/>
      </c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9.5" customHeight="1">
      <c r="A362" s="44"/>
      <c r="B362" s="45"/>
      <c r="C362" s="45"/>
      <c r="D362" s="45"/>
      <c r="E362" s="45"/>
      <c r="F362" s="46"/>
      <c r="G362" s="45"/>
      <c r="H362" s="45"/>
      <c r="I362" s="45"/>
      <c r="J362" s="42" t="str">
        <f t="array" ref="J362">IF(G362="","",IFERROR(LET(ev_cost,INDEX(Events!$G$5:$G$506,MATCH(G362,Events!$A$5:$A$506,0)),ev_split,INDEX(Events!$I$5:$I$506,MATCH(G362,Events!$A$5:$A$506,0)),att_offset,MATCH(G362,Attendance!$B$3:$AZ$3,0),attendees,COUNTIF(INDEX(Attendance!$B$7:$AZ$206,0,att_offset),"1"),IF(ev_split="Equal Split",ev_cost/MAX(1,COUNTA(Roster!$A$5:$A$204)),ev_cost/MAX(1,attendees))),"N/A"))</f>
        <v/>
      </c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9.5" customHeight="1">
      <c r="A363" s="47"/>
      <c r="B363" s="48"/>
      <c r="C363" s="48"/>
      <c r="D363" s="48"/>
      <c r="E363" s="48"/>
      <c r="F363" s="51"/>
      <c r="G363" s="48"/>
      <c r="H363" s="48"/>
      <c r="I363" s="48"/>
      <c r="J363" s="42" t="str">
        <f t="array" ref="J363">IF(G363="","",IFERROR(LET(ev_cost,INDEX(Events!$G$5:$G$506,MATCH(G363,Events!$A$5:$A$506,0)),ev_split,INDEX(Events!$I$5:$I$506,MATCH(G363,Events!$A$5:$A$506,0)),att_offset,MATCH(G363,Attendance!$B$3:$AZ$3,0),attendees,COUNTIF(INDEX(Attendance!$B$7:$AZ$206,0,att_offset),"1"),IF(ev_split="Equal Split",ev_cost/MAX(1,COUNTA(Roster!$A$5:$A$204)),ev_cost/MAX(1,attendees))),"N/A"))</f>
        <v/>
      </c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9.5" customHeight="1">
      <c r="A364" s="44"/>
      <c r="B364" s="45"/>
      <c r="C364" s="45"/>
      <c r="D364" s="45"/>
      <c r="E364" s="45"/>
      <c r="F364" s="46"/>
      <c r="G364" s="45"/>
      <c r="H364" s="45"/>
      <c r="I364" s="45"/>
      <c r="J364" s="42" t="str">
        <f t="array" ref="J364">IF(G364="","",IFERROR(LET(ev_cost,INDEX(Events!$G$5:$G$506,MATCH(G364,Events!$A$5:$A$506,0)),ev_split,INDEX(Events!$I$5:$I$506,MATCH(G364,Events!$A$5:$A$506,0)),att_offset,MATCH(G364,Attendance!$B$3:$AZ$3,0),attendees,COUNTIF(INDEX(Attendance!$B$7:$AZ$206,0,att_offset),"1"),IF(ev_split="Equal Split",ev_cost/MAX(1,COUNTA(Roster!$A$5:$A$204)),ev_cost/MAX(1,attendees))),"N/A"))</f>
        <v/>
      </c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9.5" customHeight="1">
      <c r="A365" s="47"/>
      <c r="B365" s="48"/>
      <c r="C365" s="48"/>
      <c r="D365" s="48"/>
      <c r="E365" s="48"/>
      <c r="F365" s="51"/>
      <c r="G365" s="48"/>
      <c r="H365" s="48"/>
      <c r="I365" s="48"/>
      <c r="J365" s="42" t="str">
        <f t="array" ref="J365">IF(G365="","",IFERROR(LET(ev_cost,INDEX(Events!$G$5:$G$506,MATCH(G365,Events!$A$5:$A$506,0)),ev_split,INDEX(Events!$I$5:$I$506,MATCH(G365,Events!$A$5:$A$506,0)),att_offset,MATCH(G365,Attendance!$B$3:$AZ$3,0),attendees,COUNTIF(INDEX(Attendance!$B$7:$AZ$206,0,att_offset),"1"),IF(ev_split="Equal Split",ev_cost/MAX(1,COUNTA(Roster!$A$5:$A$204)),ev_cost/MAX(1,attendees))),"N/A"))</f>
        <v/>
      </c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9.5" customHeight="1">
      <c r="A366" s="44"/>
      <c r="B366" s="45"/>
      <c r="C366" s="45"/>
      <c r="D366" s="45"/>
      <c r="E366" s="45"/>
      <c r="F366" s="46"/>
      <c r="G366" s="45"/>
      <c r="H366" s="45"/>
      <c r="I366" s="45"/>
      <c r="J366" s="42" t="str">
        <f t="array" ref="J366">IF(G366="","",IFERROR(LET(ev_cost,INDEX(Events!$G$5:$G$506,MATCH(G366,Events!$A$5:$A$506,0)),ev_split,INDEX(Events!$I$5:$I$506,MATCH(G366,Events!$A$5:$A$506,0)),att_offset,MATCH(G366,Attendance!$B$3:$AZ$3,0),attendees,COUNTIF(INDEX(Attendance!$B$7:$AZ$206,0,att_offset),"1"),IF(ev_split="Equal Split",ev_cost/MAX(1,COUNTA(Roster!$A$5:$A$204)),ev_cost/MAX(1,attendees))),"N/A"))</f>
        <v/>
      </c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9.5" customHeight="1">
      <c r="A367" s="47"/>
      <c r="B367" s="48"/>
      <c r="C367" s="48"/>
      <c r="D367" s="48"/>
      <c r="E367" s="48"/>
      <c r="F367" s="51"/>
      <c r="G367" s="48"/>
      <c r="H367" s="48"/>
      <c r="I367" s="48"/>
      <c r="J367" s="42" t="str">
        <f t="array" ref="J367">IF(G367="","",IFERROR(LET(ev_cost,INDEX(Events!$G$5:$G$506,MATCH(G367,Events!$A$5:$A$506,0)),ev_split,INDEX(Events!$I$5:$I$506,MATCH(G367,Events!$A$5:$A$506,0)),att_offset,MATCH(G367,Attendance!$B$3:$AZ$3,0),attendees,COUNTIF(INDEX(Attendance!$B$7:$AZ$206,0,att_offset),"1"),IF(ev_split="Equal Split",ev_cost/MAX(1,COUNTA(Roster!$A$5:$A$204)),ev_cost/MAX(1,attendees))),"N/A"))</f>
        <v/>
      </c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9.5" customHeight="1">
      <c r="A368" s="44"/>
      <c r="B368" s="45"/>
      <c r="C368" s="45"/>
      <c r="D368" s="45"/>
      <c r="E368" s="45"/>
      <c r="F368" s="46"/>
      <c r="G368" s="45"/>
      <c r="H368" s="45"/>
      <c r="I368" s="45"/>
      <c r="J368" s="42" t="str">
        <f t="array" ref="J368">IF(G368="","",IFERROR(LET(ev_cost,INDEX(Events!$G$5:$G$506,MATCH(G368,Events!$A$5:$A$506,0)),ev_split,INDEX(Events!$I$5:$I$506,MATCH(G368,Events!$A$5:$A$506,0)),att_offset,MATCH(G368,Attendance!$B$3:$AZ$3,0),attendees,COUNTIF(INDEX(Attendance!$B$7:$AZ$206,0,att_offset),"1"),IF(ev_split="Equal Split",ev_cost/MAX(1,COUNTA(Roster!$A$5:$A$204)),ev_cost/MAX(1,attendees))),"N/A"))</f>
        <v/>
      </c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9.5" customHeight="1">
      <c r="A369" s="47"/>
      <c r="B369" s="48"/>
      <c r="C369" s="48"/>
      <c r="D369" s="48"/>
      <c r="E369" s="48"/>
      <c r="F369" s="51"/>
      <c r="G369" s="48"/>
      <c r="H369" s="48"/>
      <c r="I369" s="48"/>
      <c r="J369" s="42" t="str">
        <f t="array" ref="J369">IF(G369="","",IFERROR(LET(ev_cost,INDEX(Events!$G$5:$G$506,MATCH(G369,Events!$A$5:$A$506,0)),ev_split,INDEX(Events!$I$5:$I$506,MATCH(G369,Events!$A$5:$A$506,0)),att_offset,MATCH(G369,Attendance!$B$3:$AZ$3,0),attendees,COUNTIF(INDEX(Attendance!$B$7:$AZ$206,0,att_offset),"1"),IF(ev_split="Equal Split",ev_cost/MAX(1,COUNTA(Roster!$A$5:$A$204)),ev_cost/MAX(1,attendees))),"N/A"))</f>
        <v/>
      </c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9.5" customHeight="1">
      <c r="A370" s="44"/>
      <c r="B370" s="45"/>
      <c r="C370" s="45"/>
      <c r="D370" s="45"/>
      <c r="E370" s="45"/>
      <c r="F370" s="46"/>
      <c r="G370" s="45"/>
      <c r="H370" s="45"/>
      <c r="I370" s="45"/>
      <c r="J370" s="42" t="str">
        <f t="array" ref="J370">IF(G370="","",IFERROR(LET(ev_cost,INDEX(Events!$G$5:$G$506,MATCH(G370,Events!$A$5:$A$506,0)),ev_split,INDEX(Events!$I$5:$I$506,MATCH(G370,Events!$A$5:$A$506,0)),att_offset,MATCH(G370,Attendance!$B$3:$AZ$3,0),attendees,COUNTIF(INDEX(Attendance!$B$7:$AZ$206,0,att_offset),"1"),IF(ev_split="Equal Split",ev_cost/MAX(1,COUNTA(Roster!$A$5:$A$204)),ev_cost/MAX(1,attendees))),"N/A"))</f>
        <v/>
      </c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9.5" customHeight="1">
      <c r="A371" s="47"/>
      <c r="B371" s="48"/>
      <c r="C371" s="48"/>
      <c r="D371" s="48"/>
      <c r="E371" s="48"/>
      <c r="F371" s="51"/>
      <c r="G371" s="48"/>
      <c r="H371" s="48"/>
      <c r="I371" s="48"/>
      <c r="J371" s="42" t="str">
        <f t="array" ref="J371">IF(G371="","",IFERROR(LET(ev_cost,INDEX(Events!$G$5:$G$506,MATCH(G371,Events!$A$5:$A$506,0)),ev_split,INDEX(Events!$I$5:$I$506,MATCH(G371,Events!$A$5:$A$506,0)),att_offset,MATCH(G371,Attendance!$B$3:$AZ$3,0),attendees,COUNTIF(INDEX(Attendance!$B$7:$AZ$206,0,att_offset),"1"),IF(ev_split="Equal Split",ev_cost/MAX(1,COUNTA(Roster!$A$5:$A$204)),ev_cost/MAX(1,attendees))),"N/A"))</f>
        <v/>
      </c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9.5" customHeight="1">
      <c r="A372" s="44"/>
      <c r="B372" s="45"/>
      <c r="C372" s="45"/>
      <c r="D372" s="45"/>
      <c r="E372" s="45"/>
      <c r="F372" s="46"/>
      <c r="G372" s="45"/>
      <c r="H372" s="45"/>
      <c r="I372" s="45"/>
      <c r="J372" s="42" t="str">
        <f t="array" ref="J372">IF(G372="","",IFERROR(LET(ev_cost,INDEX(Events!$G$5:$G$506,MATCH(G372,Events!$A$5:$A$506,0)),ev_split,INDEX(Events!$I$5:$I$506,MATCH(G372,Events!$A$5:$A$506,0)),att_offset,MATCH(G372,Attendance!$B$3:$AZ$3,0),attendees,COUNTIF(INDEX(Attendance!$B$7:$AZ$206,0,att_offset),"1"),IF(ev_split="Equal Split",ev_cost/MAX(1,COUNTA(Roster!$A$5:$A$204)),ev_cost/MAX(1,attendees))),"N/A"))</f>
        <v/>
      </c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9.5" customHeight="1">
      <c r="A373" s="47"/>
      <c r="B373" s="48"/>
      <c r="C373" s="48"/>
      <c r="D373" s="48"/>
      <c r="E373" s="48"/>
      <c r="F373" s="51"/>
      <c r="G373" s="48"/>
      <c r="H373" s="48"/>
      <c r="I373" s="48"/>
      <c r="J373" s="42" t="str">
        <f t="array" ref="J373">IF(G373="","",IFERROR(LET(ev_cost,INDEX(Events!$G$5:$G$506,MATCH(G373,Events!$A$5:$A$506,0)),ev_split,INDEX(Events!$I$5:$I$506,MATCH(G373,Events!$A$5:$A$506,0)),att_offset,MATCH(G373,Attendance!$B$3:$AZ$3,0),attendees,COUNTIF(INDEX(Attendance!$B$7:$AZ$206,0,att_offset),"1"),IF(ev_split="Equal Split",ev_cost/MAX(1,COUNTA(Roster!$A$5:$A$204)),ev_cost/MAX(1,attendees))),"N/A"))</f>
        <v/>
      </c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9.5" customHeight="1">
      <c r="A374" s="44"/>
      <c r="B374" s="45"/>
      <c r="C374" s="45"/>
      <c r="D374" s="45"/>
      <c r="E374" s="45"/>
      <c r="F374" s="46"/>
      <c r="G374" s="45"/>
      <c r="H374" s="45"/>
      <c r="I374" s="45"/>
      <c r="J374" s="42" t="str">
        <f t="array" ref="J374">IF(G374="","",IFERROR(LET(ev_cost,INDEX(Events!$G$5:$G$506,MATCH(G374,Events!$A$5:$A$506,0)),ev_split,INDEX(Events!$I$5:$I$506,MATCH(G374,Events!$A$5:$A$506,0)),att_offset,MATCH(G374,Attendance!$B$3:$AZ$3,0),attendees,COUNTIF(INDEX(Attendance!$B$7:$AZ$206,0,att_offset),"1"),IF(ev_split="Equal Split",ev_cost/MAX(1,COUNTA(Roster!$A$5:$A$204)),ev_cost/MAX(1,attendees))),"N/A"))</f>
        <v/>
      </c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9.5" customHeight="1">
      <c r="A375" s="47"/>
      <c r="B375" s="48"/>
      <c r="C375" s="48"/>
      <c r="D375" s="48"/>
      <c r="E375" s="48"/>
      <c r="F375" s="51"/>
      <c r="G375" s="48"/>
      <c r="H375" s="48"/>
      <c r="I375" s="48"/>
      <c r="J375" s="42" t="str">
        <f t="array" ref="J375">IF(G375="","",IFERROR(LET(ev_cost,INDEX(Events!$G$5:$G$506,MATCH(G375,Events!$A$5:$A$506,0)),ev_split,INDEX(Events!$I$5:$I$506,MATCH(G375,Events!$A$5:$A$506,0)),att_offset,MATCH(G375,Attendance!$B$3:$AZ$3,0),attendees,COUNTIF(INDEX(Attendance!$B$7:$AZ$206,0,att_offset),"1"),IF(ev_split="Equal Split",ev_cost/MAX(1,COUNTA(Roster!$A$5:$A$204)),ev_cost/MAX(1,attendees))),"N/A"))</f>
        <v/>
      </c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9.5" customHeight="1">
      <c r="A376" s="44"/>
      <c r="B376" s="45"/>
      <c r="C376" s="45"/>
      <c r="D376" s="45"/>
      <c r="E376" s="45"/>
      <c r="F376" s="46"/>
      <c r="G376" s="45"/>
      <c r="H376" s="45"/>
      <c r="I376" s="45"/>
      <c r="J376" s="42" t="str">
        <f t="array" ref="J376">IF(G376="","",IFERROR(LET(ev_cost,INDEX(Events!$G$5:$G$506,MATCH(G376,Events!$A$5:$A$506,0)),ev_split,INDEX(Events!$I$5:$I$506,MATCH(G376,Events!$A$5:$A$506,0)),att_offset,MATCH(G376,Attendance!$B$3:$AZ$3,0),attendees,COUNTIF(INDEX(Attendance!$B$7:$AZ$206,0,att_offset),"1"),IF(ev_split="Equal Split",ev_cost/MAX(1,COUNTA(Roster!$A$5:$A$204)),ev_cost/MAX(1,attendees))),"N/A"))</f>
        <v/>
      </c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9.5" customHeight="1">
      <c r="A377" s="47"/>
      <c r="B377" s="48"/>
      <c r="C377" s="48"/>
      <c r="D377" s="48"/>
      <c r="E377" s="48"/>
      <c r="F377" s="51"/>
      <c r="G377" s="48"/>
      <c r="H377" s="48"/>
      <c r="I377" s="48"/>
      <c r="J377" s="42" t="str">
        <f t="array" ref="J377">IF(G377="","",IFERROR(LET(ev_cost,INDEX(Events!$G$5:$G$506,MATCH(G377,Events!$A$5:$A$506,0)),ev_split,INDEX(Events!$I$5:$I$506,MATCH(G377,Events!$A$5:$A$506,0)),att_offset,MATCH(G377,Attendance!$B$3:$AZ$3,0),attendees,COUNTIF(INDEX(Attendance!$B$7:$AZ$206,0,att_offset),"1"),IF(ev_split="Equal Split",ev_cost/MAX(1,COUNTA(Roster!$A$5:$A$204)),ev_cost/MAX(1,attendees))),"N/A"))</f>
        <v/>
      </c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9.5" customHeight="1">
      <c r="A378" s="44"/>
      <c r="B378" s="45"/>
      <c r="C378" s="45"/>
      <c r="D378" s="45"/>
      <c r="E378" s="45"/>
      <c r="F378" s="46"/>
      <c r="G378" s="45"/>
      <c r="H378" s="45"/>
      <c r="I378" s="45"/>
      <c r="J378" s="42" t="str">
        <f t="array" ref="J378">IF(G378="","",IFERROR(LET(ev_cost,INDEX(Events!$G$5:$G$506,MATCH(G378,Events!$A$5:$A$506,0)),ev_split,INDEX(Events!$I$5:$I$506,MATCH(G378,Events!$A$5:$A$506,0)),att_offset,MATCH(G378,Attendance!$B$3:$AZ$3,0),attendees,COUNTIF(INDEX(Attendance!$B$7:$AZ$206,0,att_offset),"1"),IF(ev_split="Equal Split",ev_cost/MAX(1,COUNTA(Roster!$A$5:$A$204)),ev_cost/MAX(1,attendees))),"N/A"))</f>
        <v/>
      </c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9.5" customHeight="1">
      <c r="A379" s="47"/>
      <c r="B379" s="48"/>
      <c r="C379" s="48"/>
      <c r="D379" s="48"/>
      <c r="E379" s="48"/>
      <c r="F379" s="51"/>
      <c r="G379" s="48"/>
      <c r="H379" s="48"/>
      <c r="I379" s="48"/>
      <c r="J379" s="42" t="str">
        <f t="array" ref="J379">IF(G379="","",IFERROR(LET(ev_cost,INDEX(Events!$G$5:$G$506,MATCH(G379,Events!$A$5:$A$506,0)),ev_split,INDEX(Events!$I$5:$I$506,MATCH(G379,Events!$A$5:$A$506,0)),att_offset,MATCH(G379,Attendance!$B$3:$AZ$3,0),attendees,COUNTIF(INDEX(Attendance!$B$7:$AZ$206,0,att_offset),"1"),IF(ev_split="Equal Split",ev_cost/MAX(1,COUNTA(Roster!$A$5:$A$204)),ev_cost/MAX(1,attendees))),"N/A"))</f>
        <v/>
      </c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9.5" customHeight="1">
      <c r="A380" s="44"/>
      <c r="B380" s="45"/>
      <c r="C380" s="45"/>
      <c r="D380" s="45"/>
      <c r="E380" s="45"/>
      <c r="F380" s="46"/>
      <c r="G380" s="45"/>
      <c r="H380" s="45"/>
      <c r="I380" s="45"/>
      <c r="J380" s="42" t="str">
        <f t="array" ref="J380">IF(G380="","",IFERROR(LET(ev_cost,INDEX(Events!$G$5:$G$506,MATCH(G380,Events!$A$5:$A$506,0)),ev_split,INDEX(Events!$I$5:$I$506,MATCH(G380,Events!$A$5:$A$506,0)),att_offset,MATCH(G380,Attendance!$B$3:$AZ$3,0),attendees,COUNTIF(INDEX(Attendance!$B$7:$AZ$206,0,att_offset),"1"),IF(ev_split="Equal Split",ev_cost/MAX(1,COUNTA(Roster!$A$5:$A$204)),ev_cost/MAX(1,attendees))),"N/A"))</f>
        <v/>
      </c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9.5" customHeight="1">
      <c r="A381" s="47"/>
      <c r="B381" s="48"/>
      <c r="C381" s="48"/>
      <c r="D381" s="48"/>
      <c r="E381" s="48"/>
      <c r="F381" s="51"/>
      <c r="G381" s="48"/>
      <c r="H381" s="48"/>
      <c r="I381" s="48"/>
      <c r="J381" s="42" t="str">
        <f t="array" ref="J381">IF(G381="","",IFERROR(LET(ev_cost,INDEX(Events!$G$5:$G$506,MATCH(G381,Events!$A$5:$A$506,0)),ev_split,INDEX(Events!$I$5:$I$506,MATCH(G381,Events!$A$5:$A$506,0)),att_offset,MATCH(G381,Attendance!$B$3:$AZ$3,0),attendees,COUNTIF(INDEX(Attendance!$B$7:$AZ$206,0,att_offset),"1"),IF(ev_split="Equal Split",ev_cost/MAX(1,COUNTA(Roster!$A$5:$A$204)),ev_cost/MAX(1,attendees))),"N/A"))</f>
        <v/>
      </c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9.5" customHeight="1">
      <c r="A382" s="44"/>
      <c r="B382" s="45"/>
      <c r="C382" s="45"/>
      <c r="D382" s="45"/>
      <c r="E382" s="45"/>
      <c r="F382" s="46"/>
      <c r="G382" s="45"/>
      <c r="H382" s="45"/>
      <c r="I382" s="45"/>
      <c r="J382" s="42" t="str">
        <f t="array" ref="J382">IF(G382="","",IFERROR(LET(ev_cost,INDEX(Events!$G$5:$G$506,MATCH(G382,Events!$A$5:$A$506,0)),ev_split,INDEX(Events!$I$5:$I$506,MATCH(G382,Events!$A$5:$A$506,0)),att_offset,MATCH(G382,Attendance!$B$3:$AZ$3,0),attendees,COUNTIF(INDEX(Attendance!$B$7:$AZ$206,0,att_offset),"1"),IF(ev_split="Equal Split",ev_cost/MAX(1,COUNTA(Roster!$A$5:$A$204)),ev_cost/MAX(1,attendees))),"N/A"))</f>
        <v/>
      </c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9.5" customHeight="1">
      <c r="A383" s="47"/>
      <c r="B383" s="48"/>
      <c r="C383" s="48"/>
      <c r="D383" s="48"/>
      <c r="E383" s="48"/>
      <c r="F383" s="51"/>
      <c r="G383" s="48"/>
      <c r="H383" s="48"/>
      <c r="I383" s="48"/>
      <c r="J383" s="42" t="str">
        <f t="array" ref="J383">IF(G383="","",IFERROR(LET(ev_cost,INDEX(Events!$G$5:$G$506,MATCH(G383,Events!$A$5:$A$506,0)),ev_split,INDEX(Events!$I$5:$I$506,MATCH(G383,Events!$A$5:$A$506,0)),att_offset,MATCH(G383,Attendance!$B$3:$AZ$3,0),attendees,COUNTIF(INDEX(Attendance!$B$7:$AZ$206,0,att_offset),"1"),IF(ev_split="Equal Split",ev_cost/MAX(1,COUNTA(Roster!$A$5:$A$204)),ev_cost/MAX(1,attendees))),"N/A"))</f>
        <v/>
      </c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9.5" customHeight="1">
      <c r="A384" s="44"/>
      <c r="B384" s="45"/>
      <c r="C384" s="45"/>
      <c r="D384" s="45"/>
      <c r="E384" s="45"/>
      <c r="F384" s="46"/>
      <c r="G384" s="45"/>
      <c r="H384" s="45"/>
      <c r="I384" s="45"/>
      <c r="J384" s="42" t="str">
        <f t="array" ref="J384">IF(G384="","",IFERROR(LET(ev_cost,INDEX(Events!$G$5:$G$506,MATCH(G384,Events!$A$5:$A$506,0)),ev_split,INDEX(Events!$I$5:$I$506,MATCH(G384,Events!$A$5:$A$506,0)),att_offset,MATCH(G384,Attendance!$B$3:$AZ$3,0),attendees,COUNTIF(INDEX(Attendance!$B$7:$AZ$206,0,att_offset),"1"),IF(ev_split="Equal Split",ev_cost/MAX(1,COUNTA(Roster!$A$5:$A$204)),ev_cost/MAX(1,attendees))),"N/A"))</f>
        <v/>
      </c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9.5" customHeight="1">
      <c r="A385" s="47"/>
      <c r="B385" s="48"/>
      <c r="C385" s="48"/>
      <c r="D385" s="48"/>
      <c r="E385" s="48"/>
      <c r="F385" s="51"/>
      <c r="G385" s="48"/>
      <c r="H385" s="48"/>
      <c r="I385" s="48"/>
      <c r="J385" s="42" t="str">
        <f t="array" ref="J385">IF(G385="","",IFERROR(LET(ev_cost,INDEX(Events!$G$5:$G$506,MATCH(G385,Events!$A$5:$A$506,0)),ev_split,INDEX(Events!$I$5:$I$506,MATCH(G385,Events!$A$5:$A$506,0)),att_offset,MATCH(G385,Attendance!$B$3:$AZ$3,0),attendees,COUNTIF(INDEX(Attendance!$B$7:$AZ$206,0,att_offset),"1"),IF(ev_split="Equal Split",ev_cost/MAX(1,COUNTA(Roster!$A$5:$A$204)),ev_cost/MAX(1,attendees))),"N/A"))</f>
        <v/>
      </c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9.5" customHeight="1">
      <c r="A386" s="44"/>
      <c r="B386" s="45"/>
      <c r="C386" s="45"/>
      <c r="D386" s="45"/>
      <c r="E386" s="45"/>
      <c r="F386" s="46"/>
      <c r="G386" s="45"/>
      <c r="H386" s="45"/>
      <c r="I386" s="45"/>
      <c r="J386" s="42" t="str">
        <f t="array" ref="J386">IF(G386="","",IFERROR(LET(ev_cost,INDEX(Events!$G$5:$G$506,MATCH(G386,Events!$A$5:$A$506,0)),ev_split,INDEX(Events!$I$5:$I$506,MATCH(G386,Events!$A$5:$A$506,0)),att_offset,MATCH(G386,Attendance!$B$3:$AZ$3,0),attendees,COUNTIF(INDEX(Attendance!$B$7:$AZ$206,0,att_offset),"1"),IF(ev_split="Equal Split",ev_cost/MAX(1,COUNTA(Roster!$A$5:$A$204)),ev_cost/MAX(1,attendees))),"N/A"))</f>
        <v/>
      </c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9.5" customHeight="1">
      <c r="A387" s="47"/>
      <c r="B387" s="48"/>
      <c r="C387" s="48"/>
      <c r="D387" s="48"/>
      <c r="E387" s="48"/>
      <c r="F387" s="51"/>
      <c r="G387" s="48"/>
      <c r="H387" s="48"/>
      <c r="I387" s="48"/>
      <c r="J387" s="42" t="str">
        <f t="array" ref="J387">IF(G387="","",IFERROR(LET(ev_cost,INDEX(Events!$G$5:$G$506,MATCH(G387,Events!$A$5:$A$506,0)),ev_split,INDEX(Events!$I$5:$I$506,MATCH(G387,Events!$A$5:$A$506,0)),att_offset,MATCH(G387,Attendance!$B$3:$AZ$3,0),attendees,COUNTIF(INDEX(Attendance!$B$7:$AZ$206,0,att_offset),"1"),IF(ev_split="Equal Split",ev_cost/MAX(1,COUNTA(Roster!$A$5:$A$204)),ev_cost/MAX(1,attendees))),"N/A"))</f>
        <v/>
      </c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9.5" customHeight="1">
      <c r="A388" s="44"/>
      <c r="B388" s="45"/>
      <c r="C388" s="45"/>
      <c r="D388" s="45"/>
      <c r="E388" s="45"/>
      <c r="F388" s="46"/>
      <c r="G388" s="45"/>
      <c r="H388" s="45"/>
      <c r="I388" s="45"/>
      <c r="J388" s="42" t="str">
        <f t="array" ref="J388">IF(G388="","",IFERROR(LET(ev_cost,INDEX(Events!$G$5:$G$506,MATCH(G388,Events!$A$5:$A$506,0)),ev_split,INDEX(Events!$I$5:$I$506,MATCH(G388,Events!$A$5:$A$506,0)),att_offset,MATCH(G388,Attendance!$B$3:$AZ$3,0),attendees,COUNTIF(INDEX(Attendance!$B$7:$AZ$206,0,att_offset),"1"),IF(ev_split="Equal Split",ev_cost/MAX(1,COUNTA(Roster!$A$5:$A$204)),ev_cost/MAX(1,attendees))),"N/A"))</f>
        <v/>
      </c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9.5" customHeight="1">
      <c r="A389" s="47"/>
      <c r="B389" s="48"/>
      <c r="C389" s="48"/>
      <c r="D389" s="48"/>
      <c r="E389" s="48"/>
      <c r="F389" s="51"/>
      <c r="G389" s="48"/>
      <c r="H389" s="48"/>
      <c r="I389" s="48"/>
      <c r="J389" s="42" t="str">
        <f t="array" ref="J389">IF(G389="","",IFERROR(LET(ev_cost,INDEX(Events!$G$5:$G$506,MATCH(G389,Events!$A$5:$A$506,0)),ev_split,INDEX(Events!$I$5:$I$506,MATCH(G389,Events!$A$5:$A$506,0)),att_offset,MATCH(G389,Attendance!$B$3:$AZ$3,0),attendees,COUNTIF(INDEX(Attendance!$B$7:$AZ$206,0,att_offset),"1"),IF(ev_split="Equal Split",ev_cost/MAX(1,COUNTA(Roster!$A$5:$A$204)),ev_cost/MAX(1,attendees))),"N/A"))</f>
        <v/>
      </c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9.5" customHeight="1">
      <c r="A390" s="44"/>
      <c r="B390" s="45"/>
      <c r="C390" s="45"/>
      <c r="D390" s="45"/>
      <c r="E390" s="45"/>
      <c r="F390" s="46"/>
      <c r="G390" s="45"/>
      <c r="H390" s="45"/>
      <c r="I390" s="45"/>
      <c r="J390" s="42" t="str">
        <f t="array" ref="J390">IF(G390="","",IFERROR(LET(ev_cost,INDEX(Events!$G$5:$G$506,MATCH(G390,Events!$A$5:$A$506,0)),ev_split,INDEX(Events!$I$5:$I$506,MATCH(G390,Events!$A$5:$A$506,0)),att_offset,MATCH(G390,Attendance!$B$3:$AZ$3,0),attendees,COUNTIF(INDEX(Attendance!$B$7:$AZ$206,0,att_offset),"1"),IF(ev_split="Equal Split",ev_cost/MAX(1,COUNTA(Roster!$A$5:$A$204)),ev_cost/MAX(1,attendees))),"N/A"))</f>
        <v/>
      </c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9.5" customHeight="1">
      <c r="A391" s="47"/>
      <c r="B391" s="48"/>
      <c r="C391" s="48"/>
      <c r="D391" s="48"/>
      <c r="E391" s="48"/>
      <c r="F391" s="51"/>
      <c r="G391" s="48"/>
      <c r="H391" s="48"/>
      <c r="I391" s="48"/>
      <c r="J391" s="42" t="str">
        <f t="array" ref="J391">IF(G391="","",IFERROR(LET(ev_cost,INDEX(Events!$G$5:$G$506,MATCH(G391,Events!$A$5:$A$506,0)),ev_split,INDEX(Events!$I$5:$I$506,MATCH(G391,Events!$A$5:$A$506,0)),att_offset,MATCH(G391,Attendance!$B$3:$AZ$3,0),attendees,COUNTIF(INDEX(Attendance!$B$7:$AZ$206,0,att_offset),"1"),IF(ev_split="Equal Split",ev_cost/MAX(1,COUNTA(Roster!$A$5:$A$204)),ev_cost/MAX(1,attendees))),"N/A"))</f>
        <v/>
      </c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9.5" customHeight="1">
      <c r="A392" s="44"/>
      <c r="B392" s="45"/>
      <c r="C392" s="45"/>
      <c r="D392" s="45"/>
      <c r="E392" s="45"/>
      <c r="F392" s="46"/>
      <c r="G392" s="45"/>
      <c r="H392" s="45"/>
      <c r="I392" s="45"/>
      <c r="J392" s="42" t="str">
        <f t="array" ref="J392">IF(G392="","",IFERROR(LET(ev_cost,INDEX(Events!$G$5:$G$506,MATCH(G392,Events!$A$5:$A$506,0)),ev_split,INDEX(Events!$I$5:$I$506,MATCH(G392,Events!$A$5:$A$506,0)),att_offset,MATCH(G392,Attendance!$B$3:$AZ$3,0),attendees,COUNTIF(INDEX(Attendance!$B$7:$AZ$206,0,att_offset),"1"),IF(ev_split="Equal Split",ev_cost/MAX(1,COUNTA(Roster!$A$5:$A$204)),ev_cost/MAX(1,attendees))),"N/A"))</f>
        <v/>
      </c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9.5" customHeight="1">
      <c r="A393" s="47"/>
      <c r="B393" s="48"/>
      <c r="C393" s="48"/>
      <c r="D393" s="48"/>
      <c r="E393" s="48"/>
      <c r="F393" s="51"/>
      <c r="G393" s="48"/>
      <c r="H393" s="48"/>
      <c r="I393" s="48"/>
      <c r="J393" s="42" t="str">
        <f t="array" ref="J393">IF(G393="","",IFERROR(LET(ev_cost,INDEX(Events!$G$5:$G$506,MATCH(G393,Events!$A$5:$A$506,0)),ev_split,INDEX(Events!$I$5:$I$506,MATCH(G393,Events!$A$5:$A$506,0)),att_offset,MATCH(G393,Attendance!$B$3:$AZ$3,0),attendees,COUNTIF(INDEX(Attendance!$B$7:$AZ$206,0,att_offset),"1"),IF(ev_split="Equal Split",ev_cost/MAX(1,COUNTA(Roster!$A$5:$A$204)),ev_cost/MAX(1,attendees))),"N/A"))</f>
        <v/>
      </c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9.5" customHeight="1">
      <c r="A394" s="44"/>
      <c r="B394" s="45"/>
      <c r="C394" s="45"/>
      <c r="D394" s="45"/>
      <c r="E394" s="45"/>
      <c r="F394" s="46"/>
      <c r="G394" s="45"/>
      <c r="H394" s="45"/>
      <c r="I394" s="45"/>
      <c r="J394" s="42" t="str">
        <f t="array" ref="J394">IF(G394="","",IFERROR(LET(ev_cost,INDEX(Events!$G$5:$G$506,MATCH(G394,Events!$A$5:$A$506,0)),ev_split,INDEX(Events!$I$5:$I$506,MATCH(G394,Events!$A$5:$A$506,0)),att_offset,MATCH(G394,Attendance!$B$3:$AZ$3,0),attendees,COUNTIF(INDEX(Attendance!$B$7:$AZ$206,0,att_offset),"1"),IF(ev_split="Equal Split",ev_cost/MAX(1,COUNTA(Roster!$A$5:$A$204)),ev_cost/MAX(1,attendees))),"N/A"))</f>
        <v/>
      </c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9.5" customHeight="1">
      <c r="A395" s="47"/>
      <c r="B395" s="48"/>
      <c r="C395" s="48"/>
      <c r="D395" s="48"/>
      <c r="E395" s="48"/>
      <c r="F395" s="51"/>
      <c r="G395" s="48"/>
      <c r="H395" s="48"/>
      <c r="I395" s="48"/>
      <c r="J395" s="42" t="str">
        <f t="array" ref="J395">IF(G395="","",IFERROR(LET(ev_cost,INDEX(Events!$G$5:$G$506,MATCH(G395,Events!$A$5:$A$506,0)),ev_split,INDEX(Events!$I$5:$I$506,MATCH(G395,Events!$A$5:$A$506,0)),att_offset,MATCH(G395,Attendance!$B$3:$AZ$3,0),attendees,COUNTIF(INDEX(Attendance!$B$7:$AZ$206,0,att_offset),"1"),IF(ev_split="Equal Split",ev_cost/MAX(1,COUNTA(Roster!$A$5:$A$204)),ev_cost/MAX(1,attendees))),"N/A"))</f>
        <v/>
      </c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9.5" customHeight="1">
      <c r="A396" s="44"/>
      <c r="B396" s="45"/>
      <c r="C396" s="45"/>
      <c r="D396" s="45"/>
      <c r="E396" s="45"/>
      <c r="F396" s="46"/>
      <c r="G396" s="45"/>
      <c r="H396" s="45"/>
      <c r="I396" s="45"/>
      <c r="J396" s="42" t="str">
        <f t="array" ref="J396">IF(G396="","",IFERROR(LET(ev_cost,INDEX(Events!$G$5:$G$506,MATCH(G396,Events!$A$5:$A$506,0)),ev_split,INDEX(Events!$I$5:$I$506,MATCH(G396,Events!$A$5:$A$506,0)),att_offset,MATCH(G396,Attendance!$B$3:$AZ$3,0),attendees,COUNTIF(INDEX(Attendance!$B$7:$AZ$206,0,att_offset),"1"),IF(ev_split="Equal Split",ev_cost/MAX(1,COUNTA(Roster!$A$5:$A$204)),ev_cost/MAX(1,attendees))),"N/A"))</f>
        <v/>
      </c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9.5" customHeight="1">
      <c r="A397" s="47"/>
      <c r="B397" s="48"/>
      <c r="C397" s="48"/>
      <c r="D397" s="48"/>
      <c r="E397" s="48"/>
      <c r="F397" s="51"/>
      <c r="G397" s="48"/>
      <c r="H397" s="48"/>
      <c r="I397" s="48"/>
      <c r="J397" s="42" t="str">
        <f t="array" ref="J397">IF(G397="","",IFERROR(LET(ev_cost,INDEX(Events!$G$5:$G$506,MATCH(G397,Events!$A$5:$A$506,0)),ev_split,INDEX(Events!$I$5:$I$506,MATCH(G397,Events!$A$5:$A$506,0)),att_offset,MATCH(G397,Attendance!$B$3:$AZ$3,0),attendees,COUNTIF(INDEX(Attendance!$B$7:$AZ$206,0,att_offset),"1"),IF(ev_split="Equal Split",ev_cost/MAX(1,COUNTA(Roster!$A$5:$A$204)),ev_cost/MAX(1,attendees))),"N/A"))</f>
        <v/>
      </c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9.5" customHeight="1">
      <c r="A398" s="44"/>
      <c r="B398" s="45"/>
      <c r="C398" s="45"/>
      <c r="D398" s="45"/>
      <c r="E398" s="45"/>
      <c r="F398" s="46"/>
      <c r="G398" s="45"/>
      <c r="H398" s="45"/>
      <c r="I398" s="45"/>
      <c r="J398" s="42" t="str">
        <f t="array" ref="J398">IF(G398="","",IFERROR(LET(ev_cost,INDEX(Events!$G$5:$G$506,MATCH(G398,Events!$A$5:$A$506,0)),ev_split,INDEX(Events!$I$5:$I$506,MATCH(G398,Events!$A$5:$A$506,0)),att_offset,MATCH(G398,Attendance!$B$3:$AZ$3,0),attendees,COUNTIF(INDEX(Attendance!$B$7:$AZ$206,0,att_offset),"1"),IF(ev_split="Equal Split",ev_cost/MAX(1,COUNTA(Roster!$A$5:$A$204)),ev_cost/MAX(1,attendees))),"N/A"))</f>
        <v/>
      </c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9.5" customHeight="1">
      <c r="A399" s="47"/>
      <c r="B399" s="48"/>
      <c r="C399" s="48"/>
      <c r="D399" s="48"/>
      <c r="E399" s="48"/>
      <c r="F399" s="51"/>
      <c r="G399" s="48"/>
      <c r="H399" s="48"/>
      <c r="I399" s="48"/>
      <c r="J399" s="42" t="str">
        <f t="array" ref="J399">IF(G399="","",IFERROR(LET(ev_cost,INDEX(Events!$G$5:$G$506,MATCH(G399,Events!$A$5:$A$506,0)),ev_split,INDEX(Events!$I$5:$I$506,MATCH(G399,Events!$A$5:$A$506,0)),att_offset,MATCH(G399,Attendance!$B$3:$AZ$3,0),attendees,COUNTIF(INDEX(Attendance!$B$7:$AZ$206,0,att_offset),"1"),IF(ev_split="Equal Split",ev_cost/MAX(1,COUNTA(Roster!$A$5:$A$204)),ev_cost/MAX(1,attendees))),"N/A"))</f>
        <v/>
      </c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9.5" customHeight="1">
      <c r="A400" s="44"/>
      <c r="B400" s="45"/>
      <c r="C400" s="45"/>
      <c r="D400" s="45"/>
      <c r="E400" s="45"/>
      <c r="F400" s="46"/>
      <c r="G400" s="45"/>
      <c r="H400" s="45"/>
      <c r="I400" s="45"/>
      <c r="J400" s="42" t="str">
        <f t="array" ref="J400">IF(G400="","",IFERROR(LET(ev_cost,INDEX(Events!$G$5:$G$506,MATCH(G400,Events!$A$5:$A$506,0)),ev_split,INDEX(Events!$I$5:$I$506,MATCH(G400,Events!$A$5:$A$506,0)),att_offset,MATCH(G400,Attendance!$B$3:$AZ$3,0),attendees,COUNTIF(INDEX(Attendance!$B$7:$AZ$206,0,att_offset),"1"),IF(ev_split="Equal Split",ev_cost/MAX(1,COUNTA(Roster!$A$5:$A$204)),ev_cost/MAX(1,attendees))),"N/A"))</f>
        <v/>
      </c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9.5" customHeight="1">
      <c r="A401" s="47"/>
      <c r="B401" s="48"/>
      <c r="C401" s="48"/>
      <c r="D401" s="48"/>
      <c r="E401" s="48"/>
      <c r="F401" s="51"/>
      <c r="G401" s="48"/>
      <c r="H401" s="48"/>
      <c r="I401" s="48"/>
      <c r="J401" s="42" t="str">
        <f t="array" ref="J401">IF(G401="","",IFERROR(LET(ev_cost,INDEX(Events!$G$5:$G$506,MATCH(G401,Events!$A$5:$A$506,0)),ev_split,INDEX(Events!$I$5:$I$506,MATCH(G401,Events!$A$5:$A$506,0)),att_offset,MATCH(G401,Attendance!$B$3:$AZ$3,0),attendees,COUNTIF(INDEX(Attendance!$B$7:$AZ$206,0,att_offset),"1"),IF(ev_split="Equal Split",ev_cost/MAX(1,COUNTA(Roster!$A$5:$A$204)),ev_cost/MAX(1,attendees))),"N/A"))</f>
        <v/>
      </c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9.5" customHeight="1">
      <c r="A402" s="44"/>
      <c r="B402" s="45"/>
      <c r="C402" s="45"/>
      <c r="D402" s="45"/>
      <c r="E402" s="45"/>
      <c r="F402" s="46"/>
      <c r="G402" s="45"/>
      <c r="H402" s="45"/>
      <c r="I402" s="45"/>
      <c r="J402" s="42" t="str">
        <f t="array" ref="J402">IF(G402="","",IFERROR(LET(ev_cost,INDEX(Events!$G$5:$G$506,MATCH(G402,Events!$A$5:$A$506,0)),ev_split,INDEX(Events!$I$5:$I$506,MATCH(G402,Events!$A$5:$A$506,0)),att_offset,MATCH(G402,Attendance!$B$3:$AZ$3,0),attendees,COUNTIF(INDEX(Attendance!$B$7:$AZ$206,0,att_offset),"1"),IF(ev_split="Equal Split",ev_cost/MAX(1,COUNTA(Roster!$A$5:$A$204)),ev_cost/MAX(1,attendees))),"N/A"))</f>
        <v/>
      </c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9.5" customHeight="1">
      <c r="A403" s="47"/>
      <c r="B403" s="48"/>
      <c r="C403" s="48"/>
      <c r="D403" s="48"/>
      <c r="E403" s="48"/>
      <c r="F403" s="51"/>
      <c r="G403" s="48"/>
      <c r="H403" s="48"/>
      <c r="I403" s="48"/>
      <c r="J403" s="42" t="str">
        <f t="array" ref="J403">IF(G403="","",IFERROR(LET(ev_cost,INDEX(Events!$G$5:$G$506,MATCH(G403,Events!$A$5:$A$506,0)),ev_split,INDEX(Events!$I$5:$I$506,MATCH(G403,Events!$A$5:$A$506,0)),att_offset,MATCH(G403,Attendance!$B$3:$AZ$3,0),attendees,COUNTIF(INDEX(Attendance!$B$7:$AZ$206,0,att_offset),"1"),IF(ev_split="Equal Split",ev_cost/MAX(1,COUNTA(Roster!$A$5:$A$204)),ev_cost/MAX(1,attendees))),"N/A"))</f>
        <v/>
      </c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9.5" customHeight="1">
      <c r="A404" s="44"/>
      <c r="B404" s="45"/>
      <c r="C404" s="45"/>
      <c r="D404" s="45"/>
      <c r="E404" s="45"/>
      <c r="F404" s="46"/>
      <c r="G404" s="45"/>
      <c r="H404" s="45"/>
      <c r="I404" s="45"/>
      <c r="J404" s="42" t="str">
        <f t="array" ref="J404">IF(G404="","",IFERROR(LET(ev_cost,INDEX(Events!$G$5:$G$506,MATCH(G404,Events!$A$5:$A$506,0)),ev_split,INDEX(Events!$I$5:$I$506,MATCH(G404,Events!$A$5:$A$506,0)),att_offset,MATCH(G404,Attendance!$B$3:$AZ$3,0),attendees,COUNTIF(INDEX(Attendance!$B$7:$AZ$206,0,att_offset),"1"),IF(ev_split="Equal Split",ev_cost/MAX(1,COUNTA(Roster!$A$5:$A$204)),ev_cost/MAX(1,attendees))),"N/A"))</f>
        <v/>
      </c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9.5" customHeight="1">
      <c r="A405" s="47"/>
      <c r="B405" s="48"/>
      <c r="C405" s="48"/>
      <c r="D405" s="48"/>
      <c r="E405" s="48"/>
      <c r="F405" s="51"/>
      <c r="G405" s="48"/>
      <c r="H405" s="48"/>
      <c r="I405" s="48"/>
      <c r="J405" s="42" t="str">
        <f t="array" ref="J405">IF(G405="","",IFERROR(LET(ev_cost,INDEX(Events!$G$5:$G$506,MATCH(G405,Events!$A$5:$A$506,0)),ev_split,INDEX(Events!$I$5:$I$506,MATCH(G405,Events!$A$5:$A$506,0)),att_offset,MATCH(G405,Attendance!$B$3:$AZ$3,0),attendees,COUNTIF(INDEX(Attendance!$B$7:$AZ$206,0,att_offset),"1"),IF(ev_split="Equal Split",ev_cost/MAX(1,COUNTA(Roster!$A$5:$A$204)),ev_cost/MAX(1,attendees))),"N/A"))</f>
        <v/>
      </c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9.5" customHeight="1">
      <c r="A406" s="44"/>
      <c r="B406" s="45"/>
      <c r="C406" s="45"/>
      <c r="D406" s="45"/>
      <c r="E406" s="45"/>
      <c r="F406" s="46"/>
      <c r="G406" s="45"/>
      <c r="H406" s="45"/>
      <c r="I406" s="45"/>
      <c r="J406" s="42" t="str">
        <f t="array" ref="J406">IF(G406="","",IFERROR(LET(ev_cost,INDEX(Events!$G$5:$G$506,MATCH(G406,Events!$A$5:$A$506,0)),ev_split,INDEX(Events!$I$5:$I$506,MATCH(G406,Events!$A$5:$A$506,0)),att_offset,MATCH(G406,Attendance!$B$3:$AZ$3,0),attendees,COUNTIF(INDEX(Attendance!$B$7:$AZ$206,0,att_offset),"1"),IF(ev_split="Equal Split",ev_cost/MAX(1,COUNTA(Roster!$A$5:$A$204)),ev_cost/MAX(1,attendees))),"N/A"))</f>
        <v/>
      </c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9.5" customHeight="1">
      <c r="A407" s="47"/>
      <c r="B407" s="48"/>
      <c r="C407" s="48"/>
      <c r="D407" s="48"/>
      <c r="E407" s="48"/>
      <c r="F407" s="51"/>
      <c r="G407" s="48"/>
      <c r="H407" s="48"/>
      <c r="I407" s="48"/>
      <c r="J407" s="42" t="str">
        <f t="array" ref="J407">IF(G407="","",IFERROR(LET(ev_cost,INDEX(Events!$G$5:$G$506,MATCH(G407,Events!$A$5:$A$506,0)),ev_split,INDEX(Events!$I$5:$I$506,MATCH(G407,Events!$A$5:$A$506,0)),att_offset,MATCH(G407,Attendance!$B$3:$AZ$3,0),attendees,COUNTIF(INDEX(Attendance!$B$7:$AZ$206,0,att_offset),"1"),IF(ev_split="Equal Split",ev_cost/MAX(1,COUNTA(Roster!$A$5:$A$204)),ev_cost/MAX(1,attendees))),"N/A"))</f>
        <v/>
      </c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9.5" customHeight="1">
      <c r="A408" s="44"/>
      <c r="B408" s="45"/>
      <c r="C408" s="45"/>
      <c r="D408" s="45"/>
      <c r="E408" s="45"/>
      <c r="F408" s="46"/>
      <c r="G408" s="45"/>
      <c r="H408" s="45"/>
      <c r="I408" s="45"/>
      <c r="J408" s="42" t="str">
        <f t="array" ref="J408">IF(G408="","",IFERROR(LET(ev_cost,INDEX(Events!$G$5:$G$506,MATCH(G408,Events!$A$5:$A$506,0)),ev_split,INDEX(Events!$I$5:$I$506,MATCH(G408,Events!$A$5:$A$506,0)),att_offset,MATCH(G408,Attendance!$B$3:$AZ$3,0),attendees,COUNTIF(INDEX(Attendance!$B$7:$AZ$206,0,att_offset),"1"),IF(ev_split="Equal Split",ev_cost/MAX(1,COUNTA(Roster!$A$5:$A$204)),ev_cost/MAX(1,attendees))),"N/A"))</f>
        <v/>
      </c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9.5" customHeight="1">
      <c r="A409" s="47"/>
      <c r="B409" s="48"/>
      <c r="C409" s="48"/>
      <c r="D409" s="48"/>
      <c r="E409" s="48"/>
      <c r="F409" s="51"/>
      <c r="G409" s="48"/>
      <c r="H409" s="48"/>
      <c r="I409" s="48"/>
      <c r="J409" s="42" t="str">
        <f t="array" ref="J409">IF(G409="","",IFERROR(LET(ev_cost,INDEX(Events!$G$5:$G$506,MATCH(G409,Events!$A$5:$A$506,0)),ev_split,INDEX(Events!$I$5:$I$506,MATCH(G409,Events!$A$5:$A$506,0)),att_offset,MATCH(G409,Attendance!$B$3:$AZ$3,0),attendees,COUNTIF(INDEX(Attendance!$B$7:$AZ$206,0,att_offset),"1"),IF(ev_split="Equal Split",ev_cost/MAX(1,COUNTA(Roster!$A$5:$A$204)),ev_cost/MAX(1,attendees))),"N/A"))</f>
        <v/>
      </c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9.5" customHeight="1">
      <c r="A410" s="44"/>
      <c r="B410" s="45"/>
      <c r="C410" s="45"/>
      <c r="D410" s="45"/>
      <c r="E410" s="45"/>
      <c r="F410" s="46"/>
      <c r="G410" s="45"/>
      <c r="H410" s="45"/>
      <c r="I410" s="45"/>
      <c r="J410" s="42" t="str">
        <f t="array" ref="J410">IF(G410="","",IFERROR(LET(ev_cost,INDEX(Events!$G$5:$G$506,MATCH(G410,Events!$A$5:$A$506,0)),ev_split,INDEX(Events!$I$5:$I$506,MATCH(G410,Events!$A$5:$A$506,0)),att_offset,MATCH(G410,Attendance!$B$3:$AZ$3,0),attendees,COUNTIF(INDEX(Attendance!$B$7:$AZ$206,0,att_offset),"1"),IF(ev_split="Equal Split",ev_cost/MAX(1,COUNTA(Roster!$A$5:$A$204)),ev_cost/MAX(1,attendees))),"N/A"))</f>
        <v/>
      </c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9.5" customHeight="1">
      <c r="A411" s="47"/>
      <c r="B411" s="48"/>
      <c r="C411" s="48"/>
      <c r="D411" s="48"/>
      <c r="E411" s="48"/>
      <c r="F411" s="51"/>
      <c r="G411" s="48"/>
      <c r="H411" s="48"/>
      <c r="I411" s="48"/>
      <c r="J411" s="42" t="str">
        <f t="array" ref="J411">IF(G411="","",IFERROR(LET(ev_cost,INDEX(Events!$G$5:$G$506,MATCH(G411,Events!$A$5:$A$506,0)),ev_split,INDEX(Events!$I$5:$I$506,MATCH(G411,Events!$A$5:$A$506,0)),att_offset,MATCH(G411,Attendance!$B$3:$AZ$3,0),attendees,COUNTIF(INDEX(Attendance!$B$7:$AZ$206,0,att_offset),"1"),IF(ev_split="Equal Split",ev_cost/MAX(1,COUNTA(Roster!$A$5:$A$204)),ev_cost/MAX(1,attendees))),"N/A"))</f>
        <v/>
      </c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9.5" customHeight="1">
      <c r="A412" s="44"/>
      <c r="B412" s="45"/>
      <c r="C412" s="45"/>
      <c r="D412" s="45"/>
      <c r="E412" s="45"/>
      <c r="F412" s="46"/>
      <c r="G412" s="45"/>
      <c r="H412" s="45"/>
      <c r="I412" s="45"/>
      <c r="J412" s="42" t="str">
        <f t="array" ref="J412">IF(G412="","",IFERROR(LET(ev_cost,INDEX(Events!$G$5:$G$506,MATCH(G412,Events!$A$5:$A$506,0)),ev_split,INDEX(Events!$I$5:$I$506,MATCH(G412,Events!$A$5:$A$506,0)),att_offset,MATCH(G412,Attendance!$B$3:$AZ$3,0),attendees,COUNTIF(INDEX(Attendance!$B$7:$AZ$206,0,att_offset),"1"),IF(ev_split="Equal Split",ev_cost/MAX(1,COUNTA(Roster!$A$5:$A$204)),ev_cost/MAX(1,attendees))),"N/A"))</f>
        <v/>
      </c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9.5" customHeight="1">
      <c r="A413" s="47"/>
      <c r="B413" s="48"/>
      <c r="C413" s="48"/>
      <c r="D413" s="48"/>
      <c r="E413" s="48"/>
      <c r="F413" s="51"/>
      <c r="G413" s="48"/>
      <c r="H413" s="48"/>
      <c r="I413" s="48"/>
      <c r="J413" s="42" t="str">
        <f t="array" ref="J413">IF(G413="","",IFERROR(LET(ev_cost,INDEX(Events!$G$5:$G$506,MATCH(G413,Events!$A$5:$A$506,0)),ev_split,INDEX(Events!$I$5:$I$506,MATCH(G413,Events!$A$5:$A$506,0)),att_offset,MATCH(G413,Attendance!$B$3:$AZ$3,0),attendees,COUNTIF(INDEX(Attendance!$B$7:$AZ$206,0,att_offset),"1"),IF(ev_split="Equal Split",ev_cost/MAX(1,COUNTA(Roster!$A$5:$A$204)),ev_cost/MAX(1,attendees))),"N/A"))</f>
        <v/>
      </c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9.5" customHeight="1">
      <c r="A414" s="44"/>
      <c r="B414" s="45"/>
      <c r="C414" s="45"/>
      <c r="D414" s="45"/>
      <c r="E414" s="45"/>
      <c r="F414" s="46"/>
      <c r="G414" s="45"/>
      <c r="H414" s="45"/>
      <c r="I414" s="45"/>
      <c r="J414" s="42" t="str">
        <f t="array" ref="J414">IF(G414="","",IFERROR(LET(ev_cost,INDEX(Events!$G$5:$G$506,MATCH(G414,Events!$A$5:$A$506,0)),ev_split,INDEX(Events!$I$5:$I$506,MATCH(G414,Events!$A$5:$A$506,0)),att_offset,MATCH(G414,Attendance!$B$3:$AZ$3,0),attendees,COUNTIF(INDEX(Attendance!$B$7:$AZ$206,0,att_offset),"1"),IF(ev_split="Equal Split",ev_cost/MAX(1,COUNTA(Roster!$A$5:$A$204)),ev_cost/MAX(1,attendees))),"N/A"))</f>
        <v/>
      </c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9.5" customHeight="1">
      <c r="A415" s="47"/>
      <c r="B415" s="48"/>
      <c r="C415" s="48"/>
      <c r="D415" s="48"/>
      <c r="E415" s="48"/>
      <c r="F415" s="51"/>
      <c r="G415" s="48"/>
      <c r="H415" s="48"/>
      <c r="I415" s="48"/>
      <c r="J415" s="42" t="str">
        <f t="array" ref="J415">IF(G415="","",IFERROR(LET(ev_cost,INDEX(Events!$G$5:$G$506,MATCH(G415,Events!$A$5:$A$506,0)),ev_split,INDEX(Events!$I$5:$I$506,MATCH(G415,Events!$A$5:$A$506,0)),att_offset,MATCH(G415,Attendance!$B$3:$AZ$3,0),attendees,COUNTIF(INDEX(Attendance!$B$7:$AZ$206,0,att_offset),"1"),IF(ev_split="Equal Split",ev_cost/MAX(1,COUNTA(Roster!$A$5:$A$204)),ev_cost/MAX(1,attendees))),"N/A"))</f>
        <v/>
      </c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9.5" customHeight="1">
      <c r="A416" s="44"/>
      <c r="B416" s="45"/>
      <c r="C416" s="45"/>
      <c r="D416" s="45"/>
      <c r="E416" s="45"/>
      <c r="F416" s="46"/>
      <c r="G416" s="45"/>
      <c r="H416" s="45"/>
      <c r="I416" s="45"/>
      <c r="J416" s="42" t="str">
        <f t="array" ref="J416">IF(G416="","",IFERROR(LET(ev_cost,INDEX(Events!$G$5:$G$506,MATCH(G416,Events!$A$5:$A$506,0)),ev_split,INDEX(Events!$I$5:$I$506,MATCH(G416,Events!$A$5:$A$506,0)),att_offset,MATCH(G416,Attendance!$B$3:$AZ$3,0),attendees,COUNTIF(INDEX(Attendance!$B$7:$AZ$206,0,att_offset),"1"),IF(ev_split="Equal Split",ev_cost/MAX(1,COUNTA(Roster!$A$5:$A$204)),ev_cost/MAX(1,attendees))),"N/A"))</f>
        <v/>
      </c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9.5" customHeight="1">
      <c r="A417" s="47"/>
      <c r="B417" s="48"/>
      <c r="C417" s="48"/>
      <c r="D417" s="48"/>
      <c r="E417" s="48"/>
      <c r="F417" s="51"/>
      <c r="G417" s="48"/>
      <c r="H417" s="48"/>
      <c r="I417" s="48"/>
      <c r="J417" s="42" t="str">
        <f t="array" ref="J417">IF(G417="","",IFERROR(LET(ev_cost,INDEX(Events!$G$5:$G$506,MATCH(G417,Events!$A$5:$A$506,0)),ev_split,INDEX(Events!$I$5:$I$506,MATCH(G417,Events!$A$5:$A$506,0)),att_offset,MATCH(G417,Attendance!$B$3:$AZ$3,0),attendees,COUNTIF(INDEX(Attendance!$B$7:$AZ$206,0,att_offset),"1"),IF(ev_split="Equal Split",ev_cost/MAX(1,COUNTA(Roster!$A$5:$A$204)),ev_cost/MAX(1,attendees))),"N/A"))</f>
        <v/>
      </c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9.5" customHeight="1">
      <c r="A418" s="44"/>
      <c r="B418" s="45"/>
      <c r="C418" s="45"/>
      <c r="D418" s="45"/>
      <c r="E418" s="45"/>
      <c r="F418" s="46"/>
      <c r="G418" s="45"/>
      <c r="H418" s="45"/>
      <c r="I418" s="45"/>
      <c r="J418" s="42" t="str">
        <f t="array" ref="J418">IF(G418="","",IFERROR(LET(ev_cost,INDEX(Events!$G$5:$G$506,MATCH(G418,Events!$A$5:$A$506,0)),ev_split,INDEX(Events!$I$5:$I$506,MATCH(G418,Events!$A$5:$A$506,0)),att_offset,MATCH(G418,Attendance!$B$3:$AZ$3,0),attendees,COUNTIF(INDEX(Attendance!$B$7:$AZ$206,0,att_offset),"1"),IF(ev_split="Equal Split",ev_cost/MAX(1,COUNTA(Roster!$A$5:$A$204)),ev_cost/MAX(1,attendees))),"N/A"))</f>
        <v/>
      </c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9.5" customHeight="1">
      <c r="A419" s="47"/>
      <c r="B419" s="48"/>
      <c r="C419" s="48"/>
      <c r="D419" s="48"/>
      <c r="E419" s="48"/>
      <c r="F419" s="51"/>
      <c r="G419" s="48"/>
      <c r="H419" s="48"/>
      <c r="I419" s="48"/>
      <c r="J419" s="42" t="str">
        <f t="array" ref="J419">IF(G419="","",IFERROR(LET(ev_cost,INDEX(Events!$G$5:$G$506,MATCH(G419,Events!$A$5:$A$506,0)),ev_split,INDEX(Events!$I$5:$I$506,MATCH(G419,Events!$A$5:$A$506,0)),att_offset,MATCH(G419,Attendance!$B$3:$AZ$3,0),attendees,COUNTIF(INDEX(Attendance!$B$7:$AZ$206,0,att_offset),"1"),IF(ev_split="Equal Split",ev_cost/MAX(1,COUNTA(Roster!$A$5:$A$204)),ev_cost/MAX(1,attendees))),"N/A"))</f>
        <v/>
      </c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9.5" customHeight="1">
      <c r="A420" s="44"/>
      <c r="B420" s="45"/>
      <c r="C420" s="45"/>
      <c r="D420" s="45"/>
      <c r="E420" s="45"/>
      <c r="F420" s="46"/>
      <c r="G420" s="45"/>
      <c r="H420" s="45"/>
      <c r="I420" s="45"/>
      <c r="J420" s="42" t="str">
        <f t="array" ref="J420">IF(G420="","",IFERROR(LET(ev_cost,INDEX(Events!$G$5:$G$506,MATCH(G420,Events!$A$5:$A$506,0)),ev_split,INDEX(Events!$I$5:$I$506,MATCH(G420,Events!$A$5:$A$506,0)),att_offset,MATCH(G420,Attendance!$B$3:$AZ$3,0),attendees,COUNTIF(INDEX(Attendance!$B$7:$AZ$206,0,att_offset),"1"),IF(ev_split="Equal Split",ev_cost/MAX(1,COUNTA(Roster!$A$5:$A$204)),ev_cost/MAX(1,attendees))),"N/A"))</f>
        <v/>
      </c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9.5" customHeight="1">
      <c r="A421" s="47"/>
      <c r="B421" s="48"/>
      <c r="C421" s="48"/>
      <c r="D421" s="48"/>
      <c r="E421" s="48"/>
      <c r="F421" s="51"/>
      <c r="G421" s="48"/>
      <c r="H421" s="48"/>
      <c r="I421" s="48"/>
      <c r="J421" s="42" t="str">
        <f t="array" ref="J421">IF(G421="","",IFERROR(LET(ev_cost,INDEX(Events!$G$5:$G$506,MATCH(G421,Events!$A$5:$A$506,0)),ev_split,INDEX(Events!$I$5:$I$506,MATCH(G421,Events!$A$5:$A$506,0)),att_offset,MATCH(G421,Attendance!$B$3:$AZ$3,0),attendees,COUNTIF(INDEX(Attendance!$B$7:$AZ$206,0,att_offset),"1"),IF(ev_split="Equal Split",ev_cost/MAX(1,COUNTA(Roster!$A$5:$A$204)),ev_cost/MAX(1,attendees))),"N/A"))</f>
        <v/>
      </c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9.5" customHeight="1">
      <c r="A422" s="44"/>
      <c r="B422" s="45"/>
      <c r="C422" s="45"/>
      <c r="D422" s="45"/>
      <c r="E422" s="45"/>
      <c r="F422" s="46"/>
      <c r="G422" s="45"/>
      <c r="H422" s="45"/>
      <c r="I422" s="45"/>
      <c r="J422" s="42" t="str">
        <f t="array" ref="J422">IF(G422="","",IFERROR(LET(ev_cost,INDEX(Events!$G$5:$G$506,MATCH(G422,Events!$A$5:$A$506,0)),ev_split,INDEX(Events!$I$5:$I$506,MATCH(G422,Events!$A$5:$A$506,0)),att_offset,MATCH(G422,Attendance!$B$3:$AZ$3,0),attendees,COUNTIF(INDEX(Attendance!$B$7:$AZ$206,0,att_offset),"1"),IF(ev_split="Equal Split",ev_cost/MAX(1,COUNTA(Roster!$A$5:$A$204)),ev_cost/MAX(1,attendees))),"N/A"))</f>
        <v/>
      </c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9.5" customHeight="1">
      <c r="A423" s="47"/>
      <c r="B423" s="48"/>
      <c r="C423" s="48"/>
      <c r="D423" s="48"/>
      <c r="E423" s="48"/>
      <c r="F423" s="51"/>
      <c r="G423" s="48"/>
      <c r="H423" s="48"/>
      <c r="I423" s="48"/>
      <c r="J423" s="42" t="str">
        <f t="array" ref="J423">IF(G423="","",IFERROR(LET(ev_cost,INDEX(Events!$G$5:$G$506,MATCH(G423,Events!$A$5:$A$506,0)),ev_split,INDEX(Events!$I$5:$I$506,MATCH(G423,Events!$A$5:$A$506,0)),att_offset,MATCH(G423,Attendance!$B$3:$AZ$3,0),attendees,COUNTIF(INDEX(Attendance!$B$7:$AZ$206,0,att_offset),"1"),IF(ev_split="Equal Split",ev_cost/MAX(1,COUNTA(Roster!$A$5:$A$204)),ev_cost/MAX(1,attendees))),"N/A"))</f>
        <v/>
      </c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9.5" customHeight="1">
      <c r="A424" s="44"/>
      <c r="B424" s="45"/>
      <c r="C424" s="45"/>
      <c r="D424" s="45"/>
      <c r="E424" s="45"/>
      <c r="F424" s="46"/>
      <c r="G424" s="45"/>
      <c r="H424" s="45"/>
      <c r="I424" s="45"/>
      <c r="J424" s="42" t="str">
        <f t="array" ref="J424">IF(G424="","",IFERROR(LET(ev_cost,INDEX(Events!$G$5:$G$506,MATCH(G424,Events!$A$5:$A$506,0)),ev_split,INDEX(Events!$I$5:$I$506,MATCH(G424,Events!$A$5:$A$506,0)),att_offset,MATCH(G424,Attendance!$B$3:$AZ$3,0),attendees,COUNTIF(INDEX(Attendance!$B$7:$AZ$206,0,att_offset),"1"),IF(ev_split="Equal Split",ev_cost/MAX(1,COUNTA(Roster!$A$5:$A$204)),ev_cost/MAX(1,attendees))),"N/A"))</f>
        <v/>
      </c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9.5" customHeight="1">
      <c r="A425" s="47"/>
      <c r="B425" s="48"/>
      <c r="C425" s="48"/>
      <c r="D425" s="48"/>
      <c r="E425" s="48"/>
      <c r="F425" s="51"/>
      <c r="G425" s="48"/>
      <c r="H425" s="48"/>
      <c r="I425" s="48"/>
      <c r="J425" s="42" t="str">
        <f t="array" ref="J425">IF(G425="","",IFERROR(LET(ev_cost,INDEX(Events!$G$5:$G$506,MATCH(G425,Events!$A$5:$A$506,0)),ev_split,INDEX(Events!$I$5:$I$506,MATCH(G425,Events!$A$5:$A$506,0)),att_offset,MATCH(G425,Attendance!$B$3:$AZ$3,0),attendees,COUNTIF(INDEX(Attendance!$B$7:$AZ$206,0,att_offset),"1"),IF(ev_split="Equal Split",ev_cost/MAX(1,COUNTA(Roster!$A$5:$A$204)),ev_cost/MAX(1,attendees))),"N/A"))</f>
        <v/>
      </c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9.5" customHeight="1">
      <c r="A426" s="44"/>
      <c r="B426" s="45"/>
      <c r="C426" s="45"/>
      <c r="D426" s="45"/>
      <c r="E426" s="45"/>
      <c r="F426" s="46"/>
      <c r="G426" s="45"/>
      <c r="H426" s="45"/>
      <c r="I426" s="45"/>
      <c r="J426" s="42" t="str">
        <f t="array" ref="J426">IF(G426="","",IFERROR(LET(ev_cost,INDEX(Events!$G$5:$G$506,MATCH(G426,Events!$A$5:$A$506,0)),ev_split,INDEX(Events!$I$5:$I$506,MATCH(G426,Events!$A$5:$A$506,0)),att_offset,MATCH(G426,Attendance!$B$3:$AZ$3,0),attendees,COUNTIF(INDEX(Attendance!$B$7:$AZ$206,0,att_offset),"1"),IF(ev_split="Equal Split",ev_cost/MAX(1,COUNTA(Roster!$A$5:$A$204)),ev_cost/MAX(1,attendees))),"N/A"))</f>
        <v/>
      </c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9.5" customHeight="1">
      <c r="A427" s="47"/>
      <c r="B427" s="48"/>
      <c r="C427" s="48"/>
      <c r="D427" s="48"/>
      <c r="E427" s="48"/>
      <c r="F427" s="51"/>
      <c r="G427" s="48"/>
      <c r="H427" s="48"/>
      <c r="I427" s="48"/>
      <c r="J427" s="42" t="str">
        <f t="array" ref="J427">IF(G427="","",IFERROR(LET(ev_cost,INDEX(Events!$G$5:$G$506,MATCH(G427,Events!$A$5:$A$506,0)),ev_split,INDEX(Events!$I$5:$I$506,MATCH(G427,Events!$A$5:$A$506,0)),att_offset,MATCH(G427,Attendance!$B$3:$AZ$3,0),attendees,COUNTIF(INDEX(Attendance!$B$7:$AZ$206,0,att_offset),"1"),IF(ev_split="Equal Split",ev_cost/MAX(1,COUNTA(Roster!$A$5:$A$204)),ev_cost/MAX(1,attendees))),"N/A"))</f>
        <v/>
      </c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9.5" customHeight="1">
      <c r="A428" s="44"/>
      <c r="B428" s="45"/>
      <c r="C428" s="45"/>
      <c r="D428" s="45"/>
      <c r="E428" s="45"/>
      <c r="F428" s="46"/>
      <c r="G428" s="45"/>
      <c r="H428" s="45"/>
      <c r="I428" s="45"/>
      <c r="J428" s="42" t="str">
        <f t="array" ref="J428">IF(G428="","",IFERROR(LET(ev_cost,INDEX(Events!$G$5:$G$506,MATCH(G428,Events!$A$5:$A$506,0)),ev_split,INDEX(Events!$I$5:$I$506,MATCH(G428,Events!$A$5:$A$506,0)),att_offset,MATCH(G428,Attendance!$B$3:$AZ$3,0),attendees,COUNTIF(INDEX(Attendance!$B$7:$AZ$206,0,att_offset),"1"),IF(ev_split="Equal Split",ev_cost/MAX(1,COUNTA(Roster!$A$5:$A$204)),ev_cost/MAX(1,attendees))),"N/A"))</f>
        <v/>
      </c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9.5" customHeight="1">
      <c r="A429" s="47"/>
      <c r="B429" s="48"/>
      <c r="C429" s="48"/>
      <c r="D429" s="48"/>
      <c r="E429" s="48"/>
      <c r="F429" s="51"/>
      <c r="G429" s="48"/>
      <c r="H429" s="48"/>
      <c r="I429" s="48"/>
      <c r="J429" s="42" t="str">
        <f t="array" ref="J429">IF(G429="","",IFERROR(LET(ev_cost,INDEX(Events!$G$5:$G$506,MATCH(G429,Events!$A$5:$A$506,0)),ev_split,INDEX(Events!$I$5:$I$506,MATCH(G429,Events!$A$5:$A$506,0)),att_offset,MATCH(G429,Attendance!$B$3:$AZ$3,0),attendees,COUNTIF(INDEX(Attendance!$B$7:$AZ$206,0,att_offset),"1"),IF(ev_split="Equal Split",ev_cost/MAX(1,COUNTA(Roster!$A$5:$A$204)),ev_cost/MAX(1,attendees))),"N/A"))</f>
        <v/>
      </c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9.5" customHeight="1">
      <c r="A430" s="44"/>
      <c r="B430" s="45"/>
      <c r="C430" s="45"/>
      <c r="D430" s="45"/>
      <c r="E430" s="45"/>
      <c r="F430" s="46"/>
      <c r="G430" s="45"/>
      <c r="H430" s="45"/>
      <c r="I430" s="45"/>
      <c r="J430" s="42" t="str">
        <f t="array" ref="J430">IF(G430="","",IFERROR(LET(ev_cost,INDEX(Events!$G$5:$G$506,MATCH(G430,Events!$A$5:$A$506,0)),ev_split,INDEX(Events!$I$5:$I$506,MATCH(G430,Events!$A$5:$A$506,0)),att_offset,MATCH(G430,Attendance!$B$3:$AZ$3,0),attendees,COUNTIF(INDEX(Attendance!$B$7:$AZ$206,0,att_offset),"1"),IF(ev_split="Equal Split",ev_cost/MAX(1,COUNTA(Roster!$A$5:$A$204)),ev_cost/MAX(1,attendees))),"N/A"))</f>
        <v/>
      </c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9.5" customHeight="1">
      <c r="A431" s="47"/>
      <c r="B431" s="48"/>
      <c r="C431" s="48"/>
      <c r="D431" s="48"/>
      <c r="E431" s="48"/>
      <c r="F431" s="51"/>
      <c r="G431" s="48"/>
      <c r="H431" s="48"/>
      <c r="I431" s="48"/>
      <c r="J431" s="42" t="str">
        <f t="array" ref="J431">IF(G431="","",IFERROR(LET(ev_cost,INDEX(Events!$G$5:$G$506,MATCH(G431,Events!$A$5:$A$506,0)),ev_split,INDEX(Events!$I$5:$I$506,MATCH(G431,Events!$A$5:$A$506,0)),att_offset,MATCH(G431,Attendance!$B$3:$AZ$3,0),attendees,COUNTIF(INDEX(Attendance!$B$7:$AZ$206,0,att_offset),"1"),IF(ev_split="Equal Split",ev_cost/MAX(1,COUNTA(Roster!$A$5:$A$204)),ev_cost/MAX(1,attendees))),"N/A"))</f>
        <v/>
      </c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9.5" customHeight="1">
      <c r="A432" s="44"/>
      <c r="B432" s="45"/>
      <c r="C432" s="45"/>
      <c r="D432" s="45"/>
      <c r="E432" s="45"/>
      <c r="F432" s="46"/>
      <c r="G432" s="45"/>
      <c r="H432" s="45"/>
      <c r="I432" s="45"/>
      <c r="J432" s="42" t="str">
        <f t="array" ref="J432">IF(G432="","",IFERROR(LET(ev_cost,INDEX(Events!$G$5:$G$506,MATCH(G432,Events!$A$5:$A$506,0)),ev_split,INDEX(Events!$I$5:$I$506,MATCH(G432,Events!$A$5:$A$506,0)),att_offset,MATCH(G432,Attendance!$B$3:$AZ$3,0),attendees,COUNTIF(INDEX(Attendance!$B$7:$AZ$206,0,att_offset),"1"),IF(ev_split="Equal Split",ev_cost/MAX(1,COUNTA(Roster!$A$5:$A$204)),ev_cost/MAX(1,attendees))),"N/A"))</f>
        <v/>
      </c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9.5" customHeight="1">
      <c r="A433" s="47"/>
      <c r="B433" s="48"/>
      <c r="C433" s="48"/>
      <c r="D433" s="48"/>
      <c r="E433" s="48"/>
      <c r="F433" s="51"/>
      <c r="G433" s="48"/>
      <c r="H433" s="48"/>
      <c r="I433" s="48"/>
      <c r="J433" s="42" t="str">
        <f t="array" ref="J433">IF(G433="","",IFERROR(LET(ev_cost,INDEX(Events!$G$5:$G$506,MATCH(G433,Events!$A$5:$A$506,0)),ev_split,INDEX(Events!$I$5:$I$506,MATCH(G433,Events!$A$5:$A$506,0)),att_offset,MATCH(G433,Attendance!$B$3:$AZ$3,0),attendees,COUNTIF(INDEX(Attendance!$B$7:$AZ$206,0,att_offset),"1"),IF(ev_split="Equal Split",ev_cost/MAX(1,COUNTA(Roster!$A$5:$A$204)),ev_cost/MAX(1,attendees))),"N/A"))</f>
        <v/>
      </c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9.5" customHeight="1">
      <c r="A434" s="44"/>
      <c r="B434" s="45"/>
      <c r="C434" s="45"/>
      <c r="D434" s="45"/>
      <c r="E434" s="45"/>
      <c r="F434" s="46"/>
      <c r="G434" s="45"/>
      <c r="H434" s="45"/>
      <c r="I434" s="45"/>
      <c r="J434" s="42" t="str">
        <f t="array" ref="J434">IF(G434="","",IFERROR(LET(ev_cost,INDEX(Events!$G$5:$G$506,MATCH(G434,Events!$A$5:$A$506,0)),ev_split,INDEX(Events!$I$5:$I$506,MATCH(G434,Events!$A$5:$A$506,0)),att_offset,MATCH(G434,Attendance!$B$3:$AZ$3,0),attendees,COUNTIF(INDEX(Attendance!$B$7:$AZ$206,0,att_offset),"1"),IF(ev_split="Equal Split",ev_cost/MAX(1,COUNTA(Roster!$A$5:$A$204)),ev_cost/MAX(1,attendees))),"N/A"))</f>
        <v/>
      </c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9.5" customHeight="1">
      <c r="A435" s="47"/>
      <c r="B435" s="48"/>
      <c r="C435" s="48"/>
      <c r="D435" s="48"/>
      <c r="E435" s="48"/>
      <c r="F435" s="51"/>
      <c r="G435" s="48"/>
      <c r="H435" s="48"/>
      <c r="I435" s="48"/>
      <c r="J435" s="42" t="str">
        <f t="array" ref="J435">IF(G435="","",IFERROR(LET(ev_cost,INDEX(Events!$G$5:$G$506,MATCH(G435,Events!$A$5:$A$506,0)),ev_split,INDEX(Events!$I$5:$I$506,MATCH(G435,Events!$A$5:$A$506,0)),att_offset,MATCH(G435,Attendance!$B$3:$AZ$3,0),attendees,COUNTIF(INDEX(Attendance!$B$7:$AZ$206,0,att_offset),"1"),IF(ev_split="Equal Split",ev_cost/MAX(1,COUNTA(Roster!$A$5:$A$204)),ev_cost/MAX(1,attendees))),"N/A"))</f>
        <v/>
      </c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9.5" customHeight="1">
      <c r="A436" s="44"/>
      <c r="B436" s="45"/>
      <c r="C436" s="45"/>
      <c r="D436" s="45"/>
      <c r="E436" s="45"/>
      <c r="F436" s="46"/>
      <c r="G436" s="45"/>
      <c r="H436" s="45"/>
      <c r="I436" s="45"/>
      <c r="J436" s="42" t="str">
        <f t="array" ref="J436">IF(G436="","",IFERROR(LET(ev_cost,INDEX(Events!$G$5:$G$506,MATCH(G436,Events!$A$5:$A$506,0)),ev_split,INDEX(Events!$I$5:$I$506,MATCH(G436,Events!$A$5:$A$506,0)),att_offset,MATCH(G436,Attendance!$B$3:$AZ$3,0),attendees,COUNTIF(INDEX(Attendance!$B$7:$AZ$206,0,att_offset),"1"),IF(ev_split="Equal Split",ev_cost/MAX(1,COUNTA(Roster!$A$5:$A$204)),ev_cost/MAX(1,attendees))),"N/A"))</f>
        <v/>
      </c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9.5" customHeight="1">
      <c r="A437" s="47"/>
      <c r="B437" s="48"/>
      <c r="C437" s="48"/>
      <c r="D437" s="48"/>
      <c r="E437" s="48"/>
      <c r="F437" s="51"/>
      <c r="G437" s="48"/>
      <c r="H437" s="48"/>
      <c r="I437" s="48"/>
      <c r="J437" s="42" t="str">
        <f t="array" ref="J437">IF(G437="","",IFERROR(LET(ev_cost,INDEX(Events!$G$5:$G$506,MATCH(G437,Events!$A$5:$A$506,0)),ev_split,INDEX(Events!$I$5:$I$506,MATCH(G437,Events!$A$5:$A$506,0)),att_offset,MATCH(G437,Attendance!$B$3:$AZ$3,0),attendees,COUNTIF(INDEX(Attendance!$B$7:$AZ$206,0,att_offset),"1"),IF(ev_split="Equal Split",ev_cost/MAX(1,COUNTA(Roster!$A$5:$A$204)),ev_cost/MAX(1,attendees))),"N/A"))</f>
        <v/>
      </c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9.5" customHeight="1">
      <c r="A438" s="44"/>
      <c r="B438" s="45"/>
      <c r="C438" s="45"/>
      <c r="D438" s="45"/>
      <c r="E438" s="45"/>
      <c r="F438" s="46"/>
      <c r="G438" s="45"/>
      <c r="H438" s="45"/>
      <c r="I438" s="45"/>
      <c r="J438" s="42" t="str">
        <f t="array" ref="J438">IF(G438="","",IFERROR(LET(ev_cost,INDEX(Events!$G$5:$G$506,MATCH(G438,Events!$A$5:$A$506,0)),ev_split,INDEX(Events!$I$5:$I$506,MATCH(G438,Events!$A$5:$A$506,0)),att_offset,MATCH(G438,Attendance!$B$3:$AZ$3,0),attendees,COUNTIF(INDEX(Attendance!$B$7:$AZ$206,0,att_offset),"1"),IF(ev_split="Equal Split",ev_cost/MAX(1,COUNTA(Roster!$A$5:$A$204)),ev_cost/MAX(1,attendees))),"N/A"))</f>
        <v/>
      </c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9.5" customHeight="1">
      <c r="A439" s="47"/>
      <c r="B439" s="48"/>
      <c r="C439" s="48"/>
      <c r="D439" s="48"/>
      <c r="E439" s="48"/>
      <c r="F439" s="51"/>
      <c r="G439" s="48"/>
      <c r="H439" s="48"/>
      <c r="I439" s="48"/>
      <c r="J439" s="42" t="str">
        <f t="array" ref="J439">IF(G439="","",IFERROR(LET(ev_cost,INDEX(Events!$G$5:$G$506,MATCH(G439,Events!$A$5:$A$506,0)),ev_split,INDEX(Events!$I$5:$I$506,MATCH(G439,Events!$A$5:$A$506,0)),att_offset,MATCH(G439,Attendance!$B$3:$AZ$3,0),attendees,COUNTIF(INDEX(Attendance!$B$7:$AZ$206,0,att_offset),"1"),IF(ev_split="Equal Split",ev_cost/MAX(1,COUNTA(Roster!$A$5:$A$204)),ev_cost/MAX(1,attendees))),"N/A"))</f>
        <v/>
      </c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9.5" customHeight="1">
      <c r="A440" s="44"/>
      <c r="B440" s="45"/>
      <c r="C440" s="45"/>
      <c r="D440" s="45"/>
      <c r="E440" s="45"/>
      <c r="F440" s="46"/>
      <c r="G440" s="45"/>
      <c r="H440" s="45"/>
      <c r="I440" s="45"/>
      <c r="J440" s="42" t="str">
        <f t="array" ref="J440">IF(G440="","",IFERROR(LET(ev_cost,INDEX(Events!$G$5:$G$506,MATCH(G440,Events!$A$5:$A$506,0)),ev_split,INDEX(Events!$I$5:$I$506,MATCH(G440,Events!$A$5:$A$506,0)),att_offset,MATCH(G440,Attendance!$B$3:$AZ$3,0),attendees,COUNTIF(INDEX(Attendance!$B$7:$AZ$206,0,att_offset),"1"),IF(ev_split="Equal Split",ev_cost/MAX(1,COUNTA(Roster!$A$5:$A$204)),ev_cost/MAX(1,attendees))),"N/A"))</f>
        <v/>
      </c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9.5" customHeight="1">
      <c r="A441" s="47"/>
      <c r="B441" s="48"/>
      <c r="C441" s="48"/>
      <c r="D441" s="48"/>
      <c r="E441" s="48"/>
      <c r="F441" s="51"/>
      <c r="G441" s="48"/>
      <c r="H441" s="48"/>
      <c r="I441" s="48"/>
      <c r="J441" s="42" t="str">
        <f t="array" ref="J441">IF(G441="","",IFERROR(LET(ev_cost,INDEX(Events!$G$5:$G$506,MATCH(G441,Events!$A$5:$A$506,0)),ev_split,INDEX(Events!$I$5:$I$506,MATCH(G441,Events!$A$5:$A$506,0)),att_offset,MATCH(G441,Attendance!$B$3:$AZ$3,0),attendees,COUNTIF(INDEX(Attendance!$B$7:$AZ$206,0,att_offset),"1"),IF(ev_split="Equal Split",ev_cost/MAX(1,COUNTA(Roster!$A$5:$A$204)),ev_cost/MAX(1,attendees))),"N/A"))</f>
        <v/>
      </c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9.5" customHeight="1">
      <c r="A442" s="44"/>
      <c r="B442" s="45"/>
      <c r="C442" s="45"/>
      <c r="D442" s="45"/>
      <c r="E442" s="45"/>
      <c r="F442" s="46"/>
      <c r="G442" s="45"/>
      <c r="H442" s="45"/>
      <c r="I442" s="45"/>
      <c r="J442" s="42" t="str">
        <f t="array" ref="J442">IF(G442="","",IFERROR(LET(ev_cost,INDEX(Events!$G$5:$G$506,MATCH(G442,Events!$A$5:$A$506,0)),ev_split,INDEX(Events!$I$5:$I$506,MATCH(G442,Events!$A$5:$A$506,0)),att_offset,MATCH(G442,Attendance!$B$3:$AZ$3,0),attendees,COUNTIF(INDEX(Attendance!$B$7:$AZ$206,0,att_offset),"1"),IF(ev_split="Equal Split",ev_cost/MAX(1,COUNTA(Roster!$A$5:$A$204)),ev_cost/MAX(1,attendees))),"N/A"))</f>
        <v/>
      </c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9.5" customHeight="1">
      <c r="A443" s="47"/>
      <c r="B443" s="48"/>
      <c r="C443" s="48"/>
      <c r="D443" s="48"/>
      <c r="E443" s="48"/>
      <c r="F443" s="51"/>
      <c r="G443" s="48"/>
      <c r="H443" s="48"/>
      <c r="I443" s="48"/>
      <c r="J443" s="42" t="str">
        <f t="array" ref="J443">IF(G443="","",IFERROR(LET(ev_cost,INDEX(Events!$G$5:$G$506,MATCH(G443,Events!$A$5:$A$506,0)),ev_split,INDEX(Events!$I$5:$I$506,MATCH(G443,Events!$A$5:$A$506,0)),att_offset,MATCH(G443,Attendance!$B$3:$AZ$3,0),attendees,COUNTIF(INDEX(Attendance!$B$7:$AZ$206,0,att_offset),"1"),IF(ev_split="Equal Split",ev_cost/MAX(1,COUNTA(Roster!$A$5:$A$204)),ev_cost/MAX(1,attendees))),"N/A"))</f>
        <v/>
      </c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9.5" customHeight="1">
      <c r="A444" s="44"/>
      <c r="B444" s="45"/>
      <c r="C444" s="45"/>
      <c r="D444" s="45"/>
      <c r="E444" s="45"/>
      <c r="F444" s="46"/>
      <c r="G444" s="45"/>
      <c r="H444" s="45"/>
      <c r="I444" s="45"/>
      <c r="J444" s="42" t="str">
        <f t="array" ref="J444">IF(G444="","",IFERROR(LET(ev_cost,INDEX(Events!$G$5:$G$506,MATCH(G444,Events!$A$5:$A$506,0)),ev_split,INDEX(Events!$I$5:$I$506,MATCH(G444,Events!$A$5:$A$506,0)),att_offset,MATCH(G444,Attendance!$B$3:$AZ$3,0),attendees,COUNTIF(INDEX(Attendance!$B$7:$AZ$206,0,att_offset),"1"),IF(ev_split="Equal Split",ev_cost/MAX(1,COUNTA(Roster!$A$5:$A$204)),ev_cost/MAX(1,attendees))),"N/A"))</f>
        <v/>
      </c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9.5" customHeight="1">
      <c r="A445" s="47"/>
      <c r="B445" s="48"/>
      <c r="C445" s="48"/>
      <c r="D445" s="48"/>
      <c r="E445" s="48"/>
      <c r="F445" s="51"/>
      <c r="G445" s="48"/>
      <c r="H445" s="48"/>
      <c r="I445" s="48"/>
      <c r="J445" s="42" t="str">
        <f t="array" ref="J445">IF(G445="","",IFERROR(LET(ev_cost,INDEX(Events!$G$5:$G$506,MATCH(G445,Events!$A$5:$A$506,0)),ev_split,INDEX(Events!$I$5:$I$506,MATCH(G445,Events!$A$5:$A$506,0)),att_offset,MATCH(G445,Attendance!$B$3:$AZ$3,0),attendees,COUNTIF(INDEX(Attendance!$B$7:$AZ$206,0,att_offset),"1"),IF(ev_split="Equal Split",ev_cost/MAX(1,COUNTA(Roster!$A$5:$A$204)),ev_cost/MAX(1,attendees))),"N/A"))</f>
        <v/>
      </c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9.5" customHeight="1">
      <c r="A446" s="44"/>
      <c r="B446" s="45"/>
      <c r="C446" s="45"/>
      <c r="D446" s="45"/>
      <c r="E446" s="45"/>
      <c r="F446" s="46"/>
      <c r="G446" s="45"/>
      <c r="H446" s="45"/>
      <c r="I446" s="45"/>
      <c r="J446" s="42" t="str">
        <f t="array" ref="J446">IF(G446="","",IFERROR(LET(ev_cost,INDEX(Events!$G$5:$G$506,MATCH(G446,Events!$A$5:$A$506,0)),ev_split,INDEX(Events!$I$5:$I$506,MATCH(G446,Events!$A$5:$A$506,0)),att_offset,MATCH(G446,Attendance!$B$3:$AZ$3,0),attendees,COUNTIF(INDEX(Attendance!$B$7:$AZ$206,0,att_offset),"1"),IF(ev_split="Equal Split",ev_cost/MAX(1,COUNTA(Roster!$A$5:$A$204)),ev_cost/MAX(1,attendees))),"N/A"))</f>
        <v/>
      </c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9.5" customHeight="1">
      <c r="A447" s="47"/>
      <c r="B447" s="48"/>
      <c r="C447" s="48"/>
      <c r="D447" s="48"/>
      <c r="E447" s="48"/>
      <c r="F447" s="51"/>
      <c r="G447" s="48"/>
      <c r="H447" s="48"/>
      <c r="I447" s="48"/>
      <c r="J447" s="42" t="str">
        <f t="array" ref="J447">IF(G447="","",IFERROR(LET(ev_cost,INDEX(Events!$G$5:$G$506,MATCH(G447,Events!$A$5:$A$506,0)),ev_split,INDEX(Events!$I$5:$I$506,MATCH(G447,Events!$A$5:$A$506,0)),att_offset,MATCH(G447,Attendance!$B$3:$AZ$3,0),attendees,COUNTIF(INDEX(Attendance!$B$7:$AZ$206,0,att_offset),"1"),IF(ev_split="Equal Split",ev_cost/MAX(1,COUNTA(Roster!$A$5:$A$204)),ev_cost/MAX(1,attendees))),"N/A"))</f>
        <v/>
      </c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9.5" customHeight="1">
      <c r="A448" s="44"/>
      <c r="B448" s="45"/>
      <c r="C448" s="45"/>
      <c r="D448" s="45"/>
      <c r="E448" s="45"/>
      <c r="F448" s="46"/>
      <c r="G448" s="45"/>
      <c r="H448" s="45"/>
      <c r="I448" s="45"/>
      <c r="J448" s="42" t="str">
        <f t="array" ref="J448">IF(G448="","",IFERROR(LET(ev_cost,INDEX(Events!$G$5:$G$506,MATCH(G448,Events!$A$5:$A$506,0)),ev_split,INDEX(Events!$I$5:$I$506,MATCH(G448,Events!$A$5:$A$506,0)),att_offset,MATCH(G448,Attendance!$B$3:$AZ$3,0),attendees,COUNTIF(INDEX(Attendance!$B$7:$AZ$206,0,att_offset),"1"),IF(ev_split="Equal Split",ev_cost/MAX(1,COUNTA(Roster!$A$5:$A$204)),ev_cost/MAX(1,attendees))),"N/A"))</f>
        <v/>
      </c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9.5" customHeight="1">
      <c r="A449" s="47"/>
      <c r="B449" s="48"/>
      <c r="C449" s="48"/>
      <c r="D449" s="48"/>
      <c r="E449" s="48"/>
      <c r="F449" s="51"/>
      <c r="G449" s="48"/>
      <c r="H449" s="48"/>
      <c r="I449" s="48"/>
      <c r="J449" s="42" t="str">
        <f t="array" ref="J449">IF(G449="","",IFERROR(LET(ev_cost,INDEX(Events!$G$5:$G$506,MATCH(G449,Events!$A$5:$A$506,0)),ev_split,INDEX(Events!$I$5:$I$506,MATCH(G449,Events!$A$5:$A$506,0)),att_offset,MATCH(G449,Attendance!$B$3:$AZ$3,0),attendees,COUNTIF(INDEX(Attendance!$B$7:$AZ$206,0,att_offset),"1"),IF(ev_split="Equal Split",ev_cost/MAX(1,COUNTA(Roster!$A$5:$A$204)),ev_cost/MAX(1,attendees))),"N/A"))</f>
        <v/>
      </c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9.5" customHeight="1">
      <c r="A450" s="44"/>
      <c r="B450" s="45"/>
      <c r="C450" s="45"/>
      <c r="D450" s="45"/>
      <c r="E450" s="45"/>
      <c r="F450" s="46"/>
      <c r="G450" s="45"/>
      <c r="H450" s="45"/>
      <c r="I450" s="45"/>
      <c r="J450" s="42" t="str">
        <f t="array" ref="J450">IF(G450="","",IFERROR(LET(ev_cost,INDEX(Events!$G$5:$G$506,MATCH(G450,Events!$A$5:$A$506,0)),ev_split,INDEX(Events!$I$5:$I$506,MATCH(G450,Events!$A$5:$A$506,0)),att_offset,MATCH(G450,Attendance!$B$3:$AZ$3,0),attendees,COUNTIF(INDEX(Attendance!$B$7:$AZ$206,0,att_offset),"1"),IF(ev_split="Equal Split",ev_cost/MAX(1,COUNTA(Roster!$A$5:$A$204)),ev_cost/MAX(1,attendees))),"N/A"))</f>
        <v/>
      </c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9.5" customHeight="1">
      <c r="A451" s="47"/>
      <c r="B451" s="48"/>
      <c r="C451" s="48"/>
      <c r="D451" s="48"/>
      <c r="E451" s="48"/>
      <c r="F451" s="51"/>
      <c r="G451" s="48"/>
      <c r="H451" s="48"/>
      <c r="I451" s="48"/>
      <c r="J451" s="42" t="str">
        <f t="array" ref="J451">IF(G451="","",IFERROR(LET(ev_cost,INDEX(Events!$G$5:$G$506,MATCH(G451,Events!$A$5:$A$506,0)),ev_split,INDEX(Events!$I$5:$I$506,MATCH(G451,Events!$A$5:$A$506,0)),att_offset,MATCH(G451,Attendance!$B$3:$AZ$3,0),attendees,COUNTIF(INDEX(Attendance!$B$7:$AZ$206,0,att_offset),"1"),IF(ev_split="Equal Split",ev_cost/MAX(1,COUNTA(Roster!$A$5:$A$204)),ev_cost/MAX(1,attendees))),"N/A"))</f>
        <v/>
      </c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9.5" customHeight="1">
      <c r="A452" s="44"/>
      <c r="B452" s="45"/>
      <c r="C452" s="45"/>
      <c r="D452" s="45"/>
      <c r="E452" s="45"/>
      <c r="F452" s="46"/>
      <c r="G452" s="45"/>
      <c r="H452" s="45"/>
      <c r="I452" s="45"/>
      <c r="J452" s="42" t="str">
        <f t="array" ref="J452">IF(G452="","",IFERROR(LET(ev_cost,INDEX(Events!$G$5:$G$506,MATCH(G452,Events!$A$5:$A$506,0)),ev_split,INDEX(Events!$I$5:$I$506,MATCH(G452,Events!$A$5:$A$506,0)),att_offset,MATCH(G452,Attendance!$B$3:$AZ$3,0),attendees,COUNTIF(INDEX(Attendance!$B$7:$AZ$206,0,att_offset),"1"),IF(ev_split="Equal Split",ev_cost/MAX(1,COUNTA(Roster!$A$5:$A$204)),ev_cost/MAX(1,attendees))),"N/A"))</f>
        <v/>
      </c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9.5" customHeight="1">
      <c r="A453" s="47"/>
      <c r="B453" s="48"/>
      <c r="C453" s="48"/>
      <c r="D453" s="48"/>
      <c r="E453" s="48"/>
      <c r="F453" s="51"/>
      <c r="G453" s="48"/>
      <c r="H453" s="48"/>
      <c r="I453" s="48"/>
      <c r="J453" s="42" t="str">
        <f t="array" ref="J453">IF(G453="","",IFERROR(LET(ev_cost,INDEX(Events!$G$5:$G$506,MATCH(G453,Events!$A$5:$A$506,0)),ev_split,INDEX(Events!$I$5:$I$506,MATCH(G453,Events!$A$5:$A$506,0)),att_offset,MATCH(G453,Attendance!$B$3:$AZ$3,0),attendees,COUNTIF(INDEX(Attendance!$B$7:$AZ$206,0,att_offset),"1"),IF(ev_split="Equal Split",ev_cost/MAX(1,COUNTA(Roster!$A$5:$A$204)),ev_cost/MAX(1,attendees))),"N/A"))</f>
        <v/>
      </c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9.5" customHeight="1">
      <c r="A454" s="44"/>
      <c r="B454" s="45"/>
      <c r="C454" s="45"/>
      <c r="D454" s="45"/>
      <c r="E454" s="45"/>
      <c r="F454" s="46"/>
      <c r="G454" s="45"/>
      <c r="H454" s="45"/>
      <c r="I454" s="45"/>
      <c r="J454" s="42" t="str">
        <f t="array" ref="J454">IF(G454="","",IFERROR(LET(ev_cost,INDEX(Events!$G$5:$G$506,MATCH(G454,Events!$A$5:$A$506,0)),ev_split,INDEX(Events!$I$5:$I$506,MATCH(G454,Events!$A$5:$A$506,0)),att_offset,MATCH(G454,Attendance!$B$3:$AZ$3,0),attendees,COUNTIF(INDEX(Attendance!$B$7:$AZ$206,0,att_offset),"1"),IF(ev_split="Equal Split",ev_cost/MAX(1,COUNTA(Roster!$A$5:$A$204)),ev_cost/MAX(1,attendees))),"N/A"))</f>
        <v/>
      </c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9.5" customHeight="1">
      <c r="A455" s="47"/>
      <c r="B455" s="48"/>
      <c r="C455" s="48"/>
      <c r="D455" s="48"/>
      <c r="E455" s="48"/>
      <c r="F455" s="51"/>
      <c r="G455" s="48"/>
      <c r="H455" s="48"/>
      <c r="I455" s="48"/>
      <c r="J455" s="42" t="str">
        <f t="array" ref="J455">IF(G455="","",IFERROR(LET(ev_cost,INDEX(Events!$G$5:$G$506,MATCH(G455,Events!$A$5:$A$506,0)),ev_split,INDEX(Events!$I$5:$I$506,MATCH(G455,Events!$A$5:$A$506,0)),att_offset,MATCH(G455,Attendance!$B$3:$AZ$3,0),attendees,COUNTIF(INDEX(Attendance!$B$7:$AZ$206,0,att_offset),"1"),IF(ev_split="Equal Split",ev_cost/MAX(1,COUNTA(Roster!$A$5:$A$204)),ev_cost/MAX(1,attendees))),"N/A"))</f>
        <v/>
      </c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9.5" customHeight="1">
      <c r="A456" s="44"/>
      <c r="B456" s="45"/>
      <c r="C456" s="45"/>
      <c r="D456" s="45"/>
      <c r="E456" s="45"/>
      <c r="F456" s="46"/>
      <c r="G456" s="45"/>
      <c r="H456" s="45"/>
      <c r="I456" s="45"/>
      <c r="J456" s="42" t="str">
        <f t="array" ref="J456">IF(G456="","",IFERROR(LET(ev_cost,INDEX(Events!$G$5:$G$506,MATCH(G456,Events!$A$5:$A$506,0)),ev_split,INDEX(Events!$I$5:$I$506,MATCH(G456,Events!$A$5:$A$506,0)),att_offset,MATCH(G456,Attendance!$B$3:$AZ$3,0),attendees,COUNTIF(INDEX(Attendance!$B$7:$AZ$206,0,att_offset),"1"),IF(ev_split="Equal Split",ev_cost/MAX(1,COUNTA(Roster!$A$5:$A$204)),ev_cost/MAX(1,attendees))),"N/A"))</f>
        <v/>
      </c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9.5" customHeight="1">
      <c r="A457" s="47"/>
      <c r="B457" s="48"/>
      <c r="C457" s="48"/>
      <c r="D457" s="48"/>
      <c r="E457" s="48"/>
      <c r="F457" s="51"/>
      <c r="G457" s="48"/>
      <c r="H457" s="48"/>
      <c r="I457" s="48"/>
      <c r="J457" s="42" t="str">
        <f t="array" ref="J457">IF(G457="","",IFERROR(LET(ev_cost,INDEX(Events!$G$5:$G$506,MATCH(G457,Events!$A$5:$A$506,0)),ev_split,INDEX(Events!$I$5:$I$506,MATCH(G457,Events!$A$5:$A$506,0)),att_offset,MATCH(G457,Attendance!$B$3:$AZ$3,0),attendees,COUNTIF(INDEX(Attendance!$B$7:$AZ$206,0,att_offset),"1"),IF(ev_split="Equal Split",ev_cost/MAX(1,COUNTA(Roster!$A$5:$A$204)),ev_cost/MAX(1,attendees))),"N/A"))</f>
        <v/>
      </c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9.5" customHeight="1">
      <c r="A458" s="44"/>
      <c r="B458" s="45"/>
      <c r="C458" s="45"/>
      <c r="D458" s="45"/>
      <c r="E458" s="45"/>
      <c r="F458" s="46"/>
      <c r="G458" s="45"/>
      <c r="H458" s="45"/>
      <c r="I458" s="45"/>
      <c r="J458" s="42" t="str">
        <f t="array" ref="J458">IF(G458="","",IFERROR(LET(ev_cost,INDEX(Events!$G$5:$G$506,MATCH(G458,Events!$A$5:$A$506,0)),ev_split,INDEX(Events!$I$5:$I$506,MATCH(G458,Events!$A$5:$A$506,0)),att_offset,MATCH(G458,Attendance!$B$3:$AZ$3,0),attendees,COUNTIF(INDEX(Attendance!$B$7:$AZ$206,0,att_offset),"1"),IF(ev_split="Equal Split",ev_cost/MAX(1,COUNTA(Roster!$A$5:$A$204)),ev_cost/MAX(1,attendees))),"N/A"))</f>
        <v/>
      </c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9.5" customHeight="1">
      <c r="A459" s="47"/>
      <c r="B459" s="48"/>
      <c r="C459" s="48"/>
      <c r="D459" s="48"/>
      <c r="E459" s="48"/>
      <c r="F459" s="51"/>
      <c r="G459" s="48"/>
      <c r="H459" s="48"/>
      <c r="I459" s="48"/>
      <c r="J459" s="42" t="str">
        <f t="array" ref="J459">IF(G459="","",IFERROR(LET(ev_cost,INDEX(Events!$G$5:$G$506,MATCH(G459,Events!$A$5:$A$506,0)),ev_split,INDEX(Events!$I$5:$I$506,MATCH(G459,Events!$A$5:$A$506,0)),att_offset,MATCH(G459,Attendance!$B$3:$AZ$3,0),attendees,COUNTIF(INDEX(Attendance!$B$7:$AZ$206,0,att_offset),"1"),IF(ev_split="Equal Split",ev_cost/MAX(1,COUNTA(Roster!$A$5:$A$204)),ev_cost/MAX(1,attendees))),"N/A"))</f>
        <v/>
      </c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9.5" customHeight="1">
      <c r="A460" s="44"/>
      <c r="B460" s="45"/>
      <c r="C460" s="45"/>
      <c r="D460" s="45"/>
      <c r="E460" s="45"/>
      <c r="F460" s="46"/>
      <c r="G460" s="45"/>
      <c r="H460" s="45"/>
      <c r="I460" s="45"/>
      <c r="J460" s="42" t="str">
        <f t="array" ref="J460">IF(G460="","",IFERROR(LET(ev_cost,INDEX(Events!$G$5:$G$506,MATCH(G460,Events!$A$5:$A$506,0)),ev_split,INDEX(Events!$I$5:$I$506,MATCH(G460,Events!$A$5:$A$506,0)),att_offset,MATCH(G460,Attendance!$B$3:$AZ$3,0),attendees,COUNTIF(INDEX(Attendance!$B$7:$AZ$206,0,att_offset),"1"),IF(ev_split="Equal Split",ev_cost/MAX(1,COUNTA(Roster!$A$5:$A$204)),ev_cost/MAX(1,attendees))),"N/A"))</f>
        <v/>
      </c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9.5" customHeight="1">
      <c r="A461" s="47"/>
      <c r="B461" s="48"/>
      <c r="C461" s="48"/>
      <c r="D461" s="48"/>
      <c r="E461" s="48"/>
      <c r="F461" s="51"/>
      <c r="G461" s="48"/>
      <c r="H461" s="48"/>
      <c r="I461" s="48"/>
      <c r="J461" s="42" t="str">
        <f t="array" ref="J461">IF(G461="","",IFERROR(LET(ev_cost,INDEX(Events!$G$5:$G$506,MATCH(G461,Events!$A$5:$A$506,0)),ev_split,INDEX(Events!$I$5:$I$506,MATCH(G461,Events!$A$5:$A$506,0)),att_offset,MATCH(G461,Attendance!$B$3:$AZ$3,0),attendees,COUNTIF(INDEX(Attendance!$B$7:$AZ$206,0,att_offset),"1"),IF(ev_split="Equal Split",ev_cost/MAX(1,COUNTA(Roster!$A$5:$A$204)),ev_cost/MAX(1,attendees))),"N/A"))</f>
        <v/>
      </c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9.5" customHeight="1">
      <c r="A462" s="44"/>
      <c r="B462" s="45"/>
      <c r="C462" s="45"/>
      <c r="D462" s="45"/>
      <c r="E462" s="45"/>
      <c r="F462" s="46"/>
      <c r="G462" s="45"/>
      <c r="H462" s="45"/>
      <c r="I462" s="45"/>
      <c r="J462" s="42" t="str">
        <f t="array" ref="J462">IF(G462="","",IFERROR(LET(ev_cost,INDEX(Events!$G$5:$G$506,MATCH(G462,Events!$A$5:$A$506,0)),ev_split,INDEX(Events!$I$5:$I$506,MATCH(G462,Events!$A$5:$A$506,0)),att_offset,MATCH(G462,Attendance!$B$3:$AZ$3,0),attendees,COUNTIF(INDEX(Attendance!$B$7:$AZ$206,0,att_offset),"1"),IF(ev_split="Equal Split",ev_cost/MAX(1,COUNTA(Roster!$A$5:$A$204)),ev_cost/MAX(1,attendees))),"N/A"))</f>
        <v/>
      </c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9.5" customHeight="1">
      <c r="A463" s="47"/>
      <c r="B463" s="48"/>
      <c r="C463" s="48"/>
      <c r="D463" s="48"/>
      <c r="E463" s="48"/>
      <c r="F463" s="51"/>
      <c r="G463" s="48"/>
      <c r="H463" s="48"/>
      <c r="I463" s="48"/>
      <c r="J463" s="42" t="str">
        <f t="array" ref="J463">IF(G463="","",IFERROR(LET(ev_cost,INDEX(Events!$G$5:$G$506,MATCH(G463,Events!$A$5:$A$506,0)),ev_split,INDEX(Events!$I$5:$I$506,MATCH(G463,Events!$A$5:$A$506,0)),att_offset,MATCH(G463,Attendance!$B$3:$AZ$3,0),attendees,COUNTIF(INDEX(Attendance!$B$7:$AZ$206,0,att_offset),"1"),IF(ev_split="Equal Split",ev_cost/MAX(1,COUNTA(Roster!$A$5:$A$204)),ev_cost/MAX(1,attendees))),"N/A"))</f>
        <v/>
      </c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9.5" customHeight="1">
      <c r="A464" s="44"/>
      <c r="B464" s="45"/>
      <c r="C464" s="45"/>
      <c r="D464" s="45"/>
      <c r="E464" s="45"/>
      <c r="F464" s="46"/>
      <c r="G464" s="45"/>
      <c r="H464" s="45"/>
      <c r="I464" s="45"/>
      <c r="J464" s="42" t="str">
        <f t="array" ref="J464">IF(G464="","",IFERROR(LET(ev_cost,INDEX(Events!$G$5:$G$506,MATCH(G464,Events!$A$5:$A$506,0)),ev_split,INDEX(Events!$I$5:$I$506,MATCH(G464,Events!$A$5:$A$506,0)),att_offset,MATCH(G464,Attendance!$B$3:$AZ$3,0),attendees,COUNTIF(INDEX(Attendance!$B$7:$AZ$206,0,att_offset),"1"),IF(ev_split="Equal Split",ev_cost/MAX(1,COUNTA(Roster!$A$5:$A$204)),ev_cost/MAX(1,attendees))),"N/A"))</f>
        <v/>
      </c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9.5" customHeight="1">
      <c r="A465" s="47"/>
      <c r="B465" s="48"/>
      <c r="C465" s="48"/>
      <c r="D465" s="48"/>
      <c r="E465" s="48"/>
      <c r="F465" s="51"/>
      <c r="G465" s="48"/>
      <c r="H465" s="48"/>
      <c r="I465" s="48"/>
      <c r="J465" s="42" t="str">
        <f t="array" ref="J465">IF(G465="","",IFERROR(LET(ev_cost,INDEX(Events!$G$5:$G$506,MATCH(G465,Events!$A$5:$A$506,0)),ev_split,INDEX(Events!$I$5:$I$506,MATCH(G465,Events!$A$5:$A$506,0)),att_offset,MATCH(G465,Attendance!$B$3:$AZ$3,0),attendees,COUNTIF(INDEX(Attendance!$B$7:$AZ$206,0,att_offset),"1"),IF(ev_split="Equal Split",ev_cost/MAX(1,COUNTA(Roster!$A$5:$A$204)),ev_cost/MAX(1,attendees))),"N/A"))</f>
        <v/>
      </c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9.5" customHeight="1">
      <c r="A466" s="44"/>
      <c r="B466" s="45"/>
      <c r="C466" s="45"/>
      <c r="D466" s="45"/>
      <c r="E466" s="45"/>
      <c r="F466" s="46"/>
      <c r="G466" s="45"/>
      <c r="H466" s="45"/>
      <c r="I466" s="45"/>
      <c r="J466" s="42" t="str">
        <f t="array" ref="J466">IF(G466="","",IFERROR(LET(ev_cost,INDEX(Events!$G$5:$G$506,MATCH(G466,Events!$A$5:$A$506,0)),ev_split,INDEX(Events!$I$5:$I$506,MATCH(G466,Events!$A$5:$A$506,0)),att_offset,MATCH(G466,Attendance!$B$3:$AZ$3,0),attendees,COUNTIF(INDEX(Attendance!$B$7:$AZ$206,0,att_offset),"1"),IF(ev_split="Equal Split",ev_cost/MAX(1,COUNTA(Roster!$A$5:$A$204)),ev_cost/MAX(1,attendees))),"N/A"))</f>
        <v/>
      </c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9.5" customHeight="1">
      <c r="A467" s="47"/>
      <c r="B467" s="48"/>
      <c r="C467" s="48"/>
      <c r="D467" s="48"/>
      <c r="E467" s="48"/>
      <c r="F467" s="51"/>
      <c r="G467" s="48"/>
      <c r="H467" s="48"/>
      <c r="I467" s="48"/>
      <c r="J467" s="42" t="str">
        <f t="array" ref="J467">IF(G467="","",IFERROR(LET(ev_cost,INDEX(Events!$G$5:$G$506,MATCH(G467,Events!$A$5:$A$506,0)),ev_split,INDEX(Events!$I$5:$I$506,MATCH(G467,Events!$A$5:$A$506,0)),att_offset,MATCH(G467,Attendance!$B$3:$AZ$3,0),attendees,COUNTIF(INDEX(Attendance!$B$7:$AZ$206,0,att_offset),"1"),IF(ev_split="Equal Split",ev_cost/MAX(1,COUNTA(Roster!$A$5:$A$204)),ev_cost/MAX(1,attendees))),"N/A"))</f>
        <v/>
      </c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9.5" customHeight="1">
      <c r="A468" s="44"/>
      <c r="B468" s="45"/>
      <c r="C468" s="45"/>
      <c r="D468" s="45"/>
      <c r="E468" s="45"/>
      <c r="F468" s="46"/>
      <c r="G468" s="45"/>
      <c r="H468" s="45"/>
      <c r="I468" s="45"/>
      <c r="J468" s="42" t="str">
        <f t="array" ref="J468">IF(G468="","",IFERROR(LET(ev_cost,INDEX(Events!$G$5:$G$506,MATCH(G468,Events!$A$5:$A$506,0)),ev_split,INDEX(Events!$I$5:$I$506,MATCH(G468,Events!$A$5:$A$506,0)),att_offset,MATCH(G468,Attendance!$B$3:$AZ$3,0),attendees,COUNTIF(INDEX(Attendance!$B$7:$AZ$206,0,att_offset),"1"),IF(ev_split="Equal Split",ev_cost/MAX(1,COUNTA(Roster!$A$5:$A$204)),ev_cost/MAX(1,attendees))),"N/A"))</f>
        <v/>
      </c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9.5" customHeight="1">
      <c r="A469" s="47"/>
      <c r="B469" s="48"/>
      <c r="C469" s="48"/>
      <c r="D469" s="48"/>
      <c r="E469" s="48"/>
      <c r="F469" s="51"/>
      <c r="G469" s="48"/>
      <c r="H469" s="48"/>
      <c r="I469" s="48"/>
      <c r="J469" s="42" t="str">
        <f t="array" ref="J469">IF(G469="","",IFERROR(LET(ev_cost,INDEX(Events!$G$5:$G$506,MATCH(G469,Events!$A$5:$A$506,0)),ev_split,INDEX(Events!$I$5:$I$506,MATCH(G469,Events!$A$5:$A$506,0)),att_offset,MATCH(G469,Attendance!$B$3:$AZ$3,0),attendees,COUNTIF(INDEX(Attendance!$B$7:$AZ$206,0,att_offset),"1"),IF(ev_split="Equal Split",ev_cost/MAX(1,COUNTA(Roster!$A$5:$A$204)),ev_cost/MAX(1,attendees))),"N/A"))</f>
        <v/>
      </c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9.5" customHeight="1">
      <c r="A470" s="44"/>
      <c r="B470" s="45"/>
      <c r="C470" s="45"/>
      <c r="D470" s="45"/>
      <c r="E470" s="45"/>
      <c r="F470" s="46"/>
      <c r="G470" s="45"/>
      <c r="H470" s="45"/>
      <c r="I470" s="45"/>
      <c r="J470" s="42" t="str">
        <f t="array" ref="J470">IF(G470="","",IFERROR(LET(ev_cost,INDEX(Events!$G$5:$G$506,MATCH(G470,Events!$A$5:$A$506,0)),ev_split,INDEX(Events!$I$5:$I$506,MATCH(G470,Events!$A$5:$A$506,0)),att_offset,MATCH(G470,Attendance!$B$3:$AZ$3,0),attendees,COUNTIF(INDEX(Attendance!$B$7:$AZ$206,0,att_offset),"1"),IF(ev_split="Equal Split",ev_cost/MAX(1,COUNTA(Roster!$A$5:$A$204)),ev_cost/MAX(1,attendees))),"N/A"))</f>
        <v/>
      </c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9.5" customHeight="1">
      <c r="A471" s="47"/>
      <c r="B471" s="48"/>
      <c r="C471" s="48"/>
      <c r="D471" s="48"/>
      <c r="E471" s="48"/>
      <c r="F471" s="51"/>
      <c r="G471" s="48"/>
      <c r="H471" s="48"/>
      <c r="I471" s="48"/>
      <c r="J471" s="42" t="str">
        <f t="array" ref="J471">IF(G471="","",IFERROR(LET(ev_cost,INDEX(Events!$G$5:$G$506,MATCH(G471,Events!$A$5:$A$506,0)),ev_split,INDEX(Events!$I$5:$I$506,MATCH(G471,Events!$A$5:$A$506,0)),att_offset,MATCH(G471,Attendance!$B$3:$AZ$3,0),attendees,COUNTIF(INDEX(Attendance!$B$7:$AZ$206,0,att_offset),"1"),IF(ev_split="Equal Split",ev_cost/MAX(1,COUNTA(Roster!$A$5:$A$204)),ev_cost/MAX(1,attendees))),"N/A"))</f>
        <v/>
      </c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9.5" customHeight="1">
      <c r="A472" s="44"/>
      <c r="B472" s="45"/>
      <c r="C472" s="45"/>
      <c r="D472" s="45"/>
      <c r="E472" s="45"/>
      <c r="F472" s="46"/>
      <c r="G472" s="45"/>
      <c r="H472" s="45"/>
      <c r="I472" s="45"/>
      <c r="J472" s="42" t="str">
        <f t="array" ref="J472">IF(G472="","",IFERROR(LET(ev_cost,INDEX(Events!$G$5:$G$506,MATCH(G472,Events!$A$5:$A$506,0)),ev_split,INDEX(Events!$I$5:$I$506,MATCH(G472,Events!$A$5:$A$506,0)),att_offset,MATCH(G472,Attendance!$B$3:$AZ$3,0),attendees,COUNTIF(INDEX(Attendance!$B$7:$AZ$206,0,att_offset),"1"),IF(ev_split="Equal Split",ev_cost/MAX(1,COUNTA(Roster!$A$5:$A$204)),ev_cost/MAX(1,attendees))),"N/A"))</f>
        <v/>
      </c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9.5" customHeight="1">
      <c r="A473" s="47"/>
      <c r="B473" s="48"/>
      <c r="C473" s="48"/>
      <c r="D473" s="48"/>
      <c r="E473" s="48"/>
      <c r="F473" s="51"/>
      <c r="G473" s="48"/>
      <c r="H473" s="48"/>
      <c r="I473" s="48"/>
      <c r="J473" s="42" t="str">
        <f t="array" ref="J473">IF(G473="","",IFERROR(LET(ev_cost,INDEX(Events!$G$5:$G$506,MATCH(G473,Events!$A$5:$A$506,0)),ev_split,INDEX(Events!$I$5:$I$506,MATCH(G473,Events!$A$5:$A$506,0)),att_offset,MATCH(G473,Attendance!$B$3:$AZ$3,0),attendees,COUNTIF(INDEX(Attendance!$B$7:$AZ$206,0,att_offset),"1"),IF(ev_split="Equal Split",ev_cost/MAX(1,COUNTA(Roster!$A$5:$A$204)),ev_cost/MAX(1,attendees))),"N/A"))</f>
        <v/>
      </c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9.5" customHeight="1">
      <c r="A474" s="44"/>
      <c r="B474" s="45"/>
      <c r="C474" s="45"/>
      <c r="D474" s="45"/>
      <c r="E474" s="45"/>
      <c r="F474" s="46"/>
      <c r="G474" s="45"/>
      <c r="H474" s="45"/>
      <c r="I474" s="45"/>
      <c r="J474" s="42" t="str">
        <f t="array" ref="J474">IF(G474="","",IFERROR(LET(ev_cost,INDEX(Events!$G$5:$G$506,MATCH(G474,Events!$A$5:$A$506,0)),ev_split,INDEX(Events!$I$5:$I$506,MATCH(G474,Events!$A$5:$A$506,0)),att_offset,MATCH(G474,Attendance!$B$3:$AZ$3,0),attendees,COUNTIF(INDEX(Attendance!$B$7:$AZ$206,0,att_offset),"1"),IF(ev_split="Equal Split",ev_cost/MAX(1,COUNTA(Roster!$A$5:$A$204)),ev_cost/MAX(1,attendees))),"N/A"))</f>
        <v/>
      </c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9.5" customHeight="1">
      <c r="A475" s="47"/>
      <c r="B475" s="48"/>
      <c r="C475" s="48"/>
      <c r="D475" s="48"/>
      <c r="E475" s="48"/>
      <c r="F475" s="51"/>
      <c r="G475" s="48"/>
      <c r="H475" s="48"/>
      <c r="I475" s="48"/>
      <c r="J475" s="42" t="str">
        <f t="array" ref="J475">IF(G475="","",IFERROR(LET(ev_cost,INDEX(Events!$G$5:$G$506,MATCH(G475,Events!$A$5:$A$506,0)),ev_split,INDEX(Events!$I$5:$I$506,MATCH(G475,Events!$A$5:$A$506,0)),att_offset,MATCH(G475,Attendance!$B$3:$AZ$3,0),attendees,COUNTIF(INDEX(Attendance!$B$7:$AZ$206,0,att_offset),"1"),IF(ev_split="Equal Split",ev_cost/MAX(1,COUNTA(Roster!$A$5:$A$204)),ev_cost/MAX(1,attendees))),"N/A"))</f>
        <v/>
      </c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9.5" customHeight="1">
      <c r="A476" s="44"/>
      <c r="B476" s="45"/>
      <c r="C476" s="45"/>
      <c r="D476" s="45"/>
      <c r="E476" s="45"/>
      <c r="F476" s="46"/>
      <c r="G476" s="45"/>
      <c r="H476" s="45"/>
      <c r="I476" s="45"/>
      <c r="J476" s="42" t="str">
        <f t="array" ref="J476">IF(G476="","",IFERROR(LET(ev_cost,INDEX(Events!$G$5:$G$506,MATCH(G476,Events!$A$5:$A$506,0)),ev_split,INDEX(Events!$I$5:$I$506,MATCH(G476,Events!$A$5:$A$506,0)),att_offset,MATCH(G476,Attendance!$B$3:$AZ$3,0),attendees,COUNTIF(INDEX(Attendance!$B$7:$AZ$206,0,att_offset),"1"),IF(ev_split="Equal Split",ev_cost/MAX(1,COUNTA(Roster!$A$5:$A$204)),ev_cost/MAX(1,attendees))),"N/A"))</f>
        <v/>
      </c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9.5" customHeight="1">
      <c r="A477" s="47"/>
      <c r="B477" s="48"/>
      <c r="C477" s="48"/>
      <c r="D477" s="48"/>
      <c r="E477" s="48"/>
      <c r="F477" s="51"/>
      <c r="G477" s="48"/>
      <c r="H477" s="48"/>
      <c r="I477" s="48"/>
      <c r="J477" s="42" t="str">
        <f t="array" ref="J477">IF(G477="","",IFERROR(LET(ev_cost,INDEX(Events!$G$5:$G$506,MATCH(G477,Events!$A$5:$A$506,0)),ev_split,INDEX(Events!$I$5:$I$506,MATCH(G477,Events!$A$5:$A$506,0)),att_offset,MATCH(G477,Attendance!$B$3:$AZ$3,0),attendees,COUNTIF(INDEX(Attendance!$B$7:$AZ$206,0,att_offset),"1"),IF(ev_split="Equal Split",ev_cost/MAX(1,COUNTA(Roster!$A$5:$A$204)),ev_cost/MAX(1,attendees))),"N/A"))</f>
        <v/>
      </c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9.5" customHeight="1">
      <c r="A478" s="44"/>
      <c r="B478" s="45"/>
      <c r="C478" s="45"/>
      <c r="D478" s="45"/>
      <c r="E478" s="45"/>
      <c r="F478" s="46"/>
      <c r="G478" s="45"/>
      <c r="H478" s="45"/>
      <c r="I478" s="45"/>
      <c r="J478" s="42" t="str">
        <f t="array" ref="J478">IF(G478="","",IFERROR(LET(ev_cost,INDEX(Events!$G$5:$G$506,MATCH(G478,Events!$A$5:$A$506,0)),ev_split,INDEX(Events!$I$5:$I$506,MATCH(G478,Events!$A$5:$A$506,0)),att_offset,MATCH(G478,Attendance!$B$3:$AZ$3,0),attendees,COUNTIF(INDEX(Attendance!$B$7:$AZ$206,0,att_offset),"1"),IF(ev_split="Equal Split",ev_cost/MAX(1,COUNTA(Roster!$A$5:$A$204)),ev_cost/MAX(1,attendees))),"N/A"))</f>
        <v/>
      </c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9.5" customHeight="1">
      <c r="A479" s="47"/>
      <c r="B479" s="48"/>
      <c r="C479" s="48"/>
      <c r="D479" s="48"/>
      <c r="E479" s="48"/>
      <c r="F479" s="51"/>
      <c r="G479" s="48"/>
      <c r="H479" s="48"/>
      <c r="I479" s="48"/>
      <c r="J479" s="42" t="str">
        <f t="array" ref="J479">IF(G479="","",IFERROR(LET(ev_cost,INDEX(Events!$G$5:$G$506,MATCH(G479,Events!$A$5:$A$506,0)),ev_split,INDEX(Events!$I$5:$I$506,MATCH(G479,Events!$A$5:$A$506,0)),att_offset,MATCH(G479,Attendance!$B$3:$AZ$3,0),attendees,COUNTIF(INDEX(Attendance!$B$7:$AZ$206,0,att_offset),"1"),IF(ev_split="Equal Split",ev_cost/MAX(1,COUNTA(Roster!$A$5:$A$204)),ev_cost/MAX(1,attendees))),"N/A"))</f>
        <v/>
      </c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9.5" customHeight="1">
      <c r="A480" s="44"/>
      <c r="B480" s="45"/>
      <c r="C480" s="45"/>
      <c r="D480" s="45"/>
      <c r="E480" s="45"/>
      <c r="F480" s="46"/>
      <c r="G480" s="45"/>
      <c r="H480" s="45"/>
      <c r="I480" s="45"/>
      <c r="J480" s="42" t="str">
        <f t="array" ref="J480">IF(G480="","",IFERROR(LET(ev_cost,INDEX(Events!$G$5:$G$506,MATCH(G480,Events!$A$5:$A$506,0)),ev_split,INDEX(Events!$I$5:$I$506,MATCH(G480,Events!$A$5:$A$506,0)),att_offset,MATCH(G480,Attendance!$B$3:$AZ$3,0),attendees,COUNTIF(INDEX(Attendance!$B$7:$AZ$206,0,att_offset),"1"),IF(ev_split="Equal Split",ev_cost/MAX(1,COUNTA(Roster!$A$5:$A$204)),ev_cost/MAX(1,attendees))),"N/A"))</f>
        <v/>
      </c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9.5" customHeight="1">
      <c r="A481" s="47"/>
      <c r="B481" s="48"/>
      <c r="C481" s="48"/>
      <c r="D481" s="48"/>
      <c r="E481" s="48"/>
      <c r="F481" s="51"/>
      <c r="G481" s="48"/>
      <c r="H481" s="48"/>
      <c r="I481" s="48"/>
      <c r="J481" s="42" t="str">
        <f t="array" ref="J481">IF(G481="","",IFERROR(LET(ev_cost,INDEX(Events!$G$5:$G$506,MATCH(G481,Events!$A$5:$A$506,0)),ev_split,INDEX(Events!$I$5:$I$506,MATCH(G481,Events!$A$5:$A$506,0)),att_offset,MATCH(G481,Attendance!$B$3:$AZ$3,0),attendees,COUNTIF(INDEX(Attendance!$B$7:$AZ$206,0,att_offset),"1"),IF(ev_split="Equal Split",ev_cost/MAX(1,COUNTA(Roster!$A$5:$A$204)),ev_cost/MAX(1,attendees))),"N/A"))</f>
        <v/>
      </c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9.5" customHeight="1">
      <c r="A482" s="44"/>
      <c r="B482" s="45"/>
      <c r="C482" s="45"/>
      <c r="D482" s="45"/>
      <c r="E482" s="45"/>
      <c r="F482" s="46"/>
      <c r="G482" s="45"/>
      <c r="H482" s="45"/>
      <c r="I482" s="45"/>
      <c r="J482" s="42" t="str">
        <f t="array" ref="J482">IF(G482="","",IFERROR(LET(ev_cost,INDEX(Events!$G$5:$G$506,MATCH(G482,Events!$A$5:$A$506,0)),ev_split,INDEX(Events!$I$5:$I$506,MATCH(G482,Events!$A$5:$A$506,0)),att_offset,MATCH(G482,Attendance!$B$3:$AZ$3,0),attendees,COUNTIF(INDEX(Attendance!$B$7:$AZ$206,0,att_offset),"1"),IF(ev_split="Equal Split",ev_cost/MAX(1,COUNTA(Roster!$A$5:$A$204)),ev_cost/MAX(1,attendees))),"N/A"))</f>
        <v/>
      </c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9.5" customHeight="1">
      <c r="A483" s="47"/>
      <c r="B483" s="48"/>
      <c r="C483" s="48"/>
      <c r="D483" s="48"/>
      <c r="E483" s="48"/>
      <c r="F483" s="51"/>
      <c r="G483" s="48"/>
      <c r="H483" s="48"/>
      <c r="I483" s="48"/>
      <c r="J483" s="42" t="str">
        <f t="array" ref="J483">IF(G483="","",IFERROR(LET(ev_cost,INDEX(Events!$G$5:$G$506,MATCH(G483,Events!$A$5:$A$506,0)),ev_split,INDEX(Events!$I$5:$I$506,MATCH(G483,Events!$A$5:$A$506,0)),att_offset,MATCH(G483,Attendance!$B$3:$AZ$3,0),attendees,COUNTIF(INDEX(Attendance!$B$7:$AZ$206,0,att_offset),"1"),IF(ev_split="Equal Split",ev_cost/MAX(1,COUNTA(Roster!$A$5:$A$204)),ev_cost/MAX(1,attendees))),"N/A"))</f>
        <v/>
      </c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9.5" customHeight="1">
      <c r="A484" s="44"/>
      <c r="B484" s="45"/>
      <c r="C484" s="45"/>
      <c r="D484" s="45"/>
      <c r="E484" s="45"/>
      <c r="F484" s="46"/>
      <c r="G484" s="45"/>
      <c r="H484" s="45"/>
      <c r="I484" s="45"/>
      <c r="J484" s="42" t="str">
        <f t="array" ref="J484">IF(G484="","",IFERROR(LET(ev_cost,INDEX(Events!$G$5:$G$506,MATCH(G484,Events!$A$5:$A$506,0)),ev_split,INDEX(Events!$I$5:$I$506,MATCH(G484,Events!$A$5:$A$506,0)),att_offset,MATCH(G484,Attendance!$B$3:$AZ$3,0),attendees,COUNTIF(INDEX(Attendance!$B$7:$AZ$206,0,att_offset),"1"),IF(ev_split="Equal Split",ev_cost/MAX(1,COUNTA(Roster!$A$5:$A$204)),ev_cost/MAX(1,attendees))),"N/A"))</f>
        <v/>
      </c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9.5" customHeight="1">
      <c r="A485" s="47"/>
      <c r="B485" s="48"/>
      <c r="C485" s="48"/>
      <c r="D485" s="48"/>
      <c r="E485" s="48"/>
      <c r="F485" s="51"/>
      <c r="G485" s="48"/>
      <c r="H485" s="48"/>
      <c r="I485" s="48"/>
      <c r="J485" s="42" t="str">
        <f t="array" ref="J485">IF(G485="","",IFERROR(LET(ev_cost,INDEX(Events!$G$5:$G$506,MATCH(G485,Events!$A$5:$A$506,0)),ev_split,INDEX(Events!$I$5:$I$506,MATCH(G485,Events!$A$5:$A$506,0)),att_offset,MATCH(G485,Attendance!$B$3:$AZ$3,0),attendees,COUNTIF(INDEX(Attendance!$B$7:$AZ$206,0,att_offset),"1"),IF(ev_split="Equal Split",ev_cost/MAX(1,COUNTA(Roster!$A$5:$A$204)),ev_cost/MAX(1,attendees))),"N/A"))</f>
        <v/>
      </c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9.5" customHeight="1">
      <c r="A486" s="44"/>
      <c r="B486" s="45"/>
      <c r="C486" s="45"/>
      <c r="D486" s="45"/>
      <c r="E486" s="45"/>
      <c r="F486" s="46"/>
      <c r="G486" s="45"/>
      <c r="H486" s="45"/>
      <c r="I486" s="45"/>
      <c r="J486" s="42" t="str">
        <f t="array" ref="J486">IF(G486="","",IFERROR(LET(ev_cost,INDEX(Events!$G$5:$G$506,MATCH(G486,Events!$A$5:$A$506,0)),ev_split,INDEX(Events!$I$5:$I$506,MATCH(G486,Events!$A$5:$A$506,0)),att_offset,MATCH(G486,Attendance!$B$3:$AZ$3,0),attendees,COUNTIF(INDEX(Attendance!$B$7:$AZ$206,0,att_offset),"1"),IF(ev_split="Equal Split",ev_cost/MAX(1,COUNTA(Roster!$A$5:$A$204)),ev_cost/MAX(1,attendees))),"N/A"))</f>
        <v/>
      </c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9.5" customHeight="1">
      <c r="A487" s="47"/>
      <c r="B487" s="48"/>
      <c r="C487" s="48"/>
      <c r="D487" s="48"/>
      <c r="E487" s="48"/>
      <c r="F487" s="51"/>
      <c r="G487" s="48"/>
      <c r="H487" s="48"/>
      <c r="I487" s="48"/>
      <c r="J487" s="42" t="str">
        <f t="array" ref="J487">IF(G487="","",IFERROR(LET(ev_cost,INDEX(Events!$G$5:$G$506,MATCH(G487,Events!$A$5:$A$506,0)),ev_split,INDEX(Events!$I$5:$I$506,MATCH(G487,Events!$A$5:$A$506,0)),att_offset,MATCH(G487,Attendance!$B$3:$AZ$3,0),attendees,COUNTIF(INDEX(Attendance!$B$7:$AZ$206,0,att_offset),"1"),IF(ev_split="Equal Split",ev_cost/MAX(1,COUNTA(Roster!$A$5:$A$204)),ev_cost/MAX(1,attendees))),"N/A"))</f>
        <v/>
      </c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9.5" customHeight="1">
      <c r="A488" s="44"/>
      <c r="B488" s="45"/>
      <c r="C488" s="45"/>
      <c r="D488" s="45"/>
      <c r="E488" s="45"/>
      <c r="F488" s="46"/>
      <c r="G488" s="45"/>
      <c r="H488" s="45"/>
      <c r="I488" s="45"/>
      <c r="J488" s="42" t="str">
        <f t="array" ref="J488">IF(G488="","",IFERROR(LET(ev_cost,INDEX(Events!$G$5:$G$506,MATCH(G488,Events!$A$5:$A$506,0)),ev_split,INDEX(Events!$I$5:$I$506,MATCH(G488,Events!$A$5:$A$506,0)),att_offset,MATCH(G488,Attendance!$B$3:$AZ$3,0),attendees,COUNTIF(INDEX(Attendance!$B$7:$AZ$206,0,att_offset),"1"),IF(ev_split="Equal Split",ev_cost/MAX(1,COUNTA(Roster!$A$5:$A$204)),ev_cost/MAX(1,attendees))),"N/A"))</f>
        <v/>
      </c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9.5" customHeight="1">
      <c r="A489" s="47"/>
      <c r="B489" s="48"/>
      <c r="C489" s="48"/>
      <c r="D489" s="48"/>
      <c r="E489" s="48"/>
      <c r="F489" s="51"/>
      <c r="G489" s="48"/>
      <c r="H489" s="48"/>
      <c r="I489" s="48"/>
      <c r="J489" s="42" t="str">
        <f t="array" ref="J489">IF(G489="","",IFERROR(LET(ev_cost,INDEX(Events!$G$5:$G$506,MATCH(G489,Events!$A$5:$A$506,0)),ev_split,INDEX(Events!$I$5:$I$506,MATCH(G489,Events!$A$5:$A$506,0)),att_offset,MATCH(G489,Attendance!$B$3:$AZ$3,0),attendees,COUNTIF(INDEX(Attendance!$B$7:$AZ$206,0,att_offset),"1"),IF(ev_split="Equal Split",ev_cost/MAX(1,COUNTA(Roster!$A$5:$A$204)),ev_cost/MAX(1,attendees))),"N/A"))</f>
        <v/>
      </c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9.5" customHeight="1">
      <c r="A490" s="44"/>
      <c r="B490" s="45"/>
      <c r="C490" s="45"/>
      <c r="D490" s="45"/>
      <c r="E490" s="45"/>
      <c r="F490" s="46"/>
      <c r="G490" s="45"/>
      <c r="H490" s="45"/>
      <c r="I490" s="45"/>
      <c r="J490" s="42" t="str">
        <f t="array" ref="J490">IF(G490="","",IFERROR(LET(ev_cost,INDEX(Events!$G$5:$G$506,MATCH(G490,Events!$A$5:$A$506,0)),ev_split,INDEX(Events!$I$5:$I$506,MATCH(G490,Events!$A$5:$A$506,0)),att_offset,MATCH(G490,Attendance!$B$3:$AZ$3,0),attendees,COUNTIF(INDEX(Attendance!$B$7:$AZ$206,0,att_offset),"1"),IF(ev_split="Equal Split",ev_cost/MAX(1,COUNTA(Roster!$A$5:$A$204)),ev_cost/MAX(1,attendees))),"N/A"))</f>
        <v/>
      </c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9.5" customHeight="1">
      <c r="A491" s="47"/>
      <c r="B491" s="48"/>
      <c r="C491" s="48"/>
      <c r="D491" s="48"/>
      <c r="E491" s="48"/>
      <c r="F491" s="51"/>
      <c r="G491" s="48"/>
      <c r="H491" s="48"/>
      <c r="I491" s="48"/>
      <c r="J491" s="42" t="str">
        <f t="array" ref="J491">IF(G491="","",IFERROR(LET(ev_cost,INDEX(Events!$G$5:$G$506,MATCH(G491,Events!$A$5:$A$506,0)),ev_split,INDEX(Events!$I$5:$I$506,MATCH(G491,Events!$A$5:$A$506,0)),att_offset,MATCH(G491,Attendance!$B$3:$AZ$3,0),attendees,COUNTIF(INDEX(Attendance!$B$7:$AZ$206,0,att_offset),"1"),IF(ev_split="Equal Split",ev_cost/MAX(1,COUNTA(Roster!$A$5:$A$204)),ev_cost/MAX(1,attendees))),"N/A"))</f>
        <v/>
      </c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9.5" customHeight="1">
      <c r="A492" s="44"/>
      <c r="B492" s="45"/>
      <c r="C492" s="45"/>
      <c r="D492" s="45"/>
      <c r="E492" s="45"/>
      <c r="F492" s="46"/>
      <c r="G492" s="45"/>
      <c r="H492" s="45"/>
      <c r="I492" s="45"/>
      <c r="J492" s="42" t="str">
        <f t="array" ref="J492">IF(G492="","",IFERROR(LET(ev_cost,INDEX(Events!$G$5:$G$506,MATCH(G492,Events!$A$5:$A$506,0)),ev_split,INDEX(Events!$I$5:$I$506,MATCH(G492,Events!$A$5:$A$506,0)),att_offset,MATCH(G492,Attendance!$B$3:$AZ$3,0),attendees,COUNTIF(INDEX(Attendance!$B$7:$AZ$206,0,att_offset),"1"),IF(ev_split="Equal Split",ev_cost/MAX(1,COUNTA(Roster!$A$5:$A$204)),ev_cost/MAX(1,attendees))),"N/A"))</f>
        <v/>
      </c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9.5" customHeight="1">
      <c r="A493" s="47"/>
      <c r="B493" s="48"/>
      <c r="C493" s="48"/>
      <c r="D493" s="48"/>
      <c r="E493" s="48"/>
      <c r="F493" s="51"/>
      <c r="G493" s="48"/>
      <c r="H493" s="48"/>
      <c r="I493" s="48"/>
      <c r="J493" s="42" t="str">
        <f t="array" ref="J493">IF(G493="","",IFERROR(LET(ev_cost,INDEX(Events!$G$5:$G$506,MATCH(G493,Events!$A$5:$A$506,0)),ev_split,INDEX(Events!$I$5:$I$506,MATCH(G493,Events!$A$5:$A$506,0)),att_offset,MATCH(G493,Attendance!$B$3:$AZ$3,0),attendees,COUNTIF(INDEX(Attendance!$B$7:$AZ$206,0,att_offset),"1"),IF(ev_split="Equal Split",ev_cost/MAX(1,COUNTA(Roster!$A$5:$A$204)),ev_cost/MAX(1,attendees))),"N/A"))</f>
        <v/>
      </c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9.5" customHeight="1">
      <c r="A494" s="44"/>
      <c r="B494" s="45"/>
      <c r="C494" s="45"/>
      <c r="D494" s="45"/>
      <c r="E494" s="45"/>
      <c r="F494" s="46"/>
      <c r="G494" s="45"/>
      <c r="H494" s="45"/>
      <c r="I494" s="45"/>
      <c r="J494" s="42" t="str">
        <f t="array" ref="J494">IF(G494="","",IFERROR(LET(ev_cost,INDEX(Events!$G$5:$G$506,MATCH(G494,Events!$A$5:$A$506,0)),ev_split,INDEX(Events!$I$5:$I$506,MATCH(G494,Events!$A$5:$A$506,0)),att_offset,MATCH(G494,Attendance!$B$3:$AZ$3,0),attendees,COUNTIF(INDEX(Attendance!$B$7:$AZ$206,0,att_offset),"1"),IF(ev_split="Equal Split",ev_cost/MAX(1,COUNTA(Roster!$A$5:$A$204)),ev_cost/MAX(1,attendees))),"N/A"))</f>
        <v/>
      </c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9.5" customHeight="1">
      <c r="A495" s="47"/>
      <c r="B495" s="48"/>
      <c r="C495" s="48"/>
      <c r="D495" s="48"/>
      <c r="E495" s="48"/>
      <c r="F495" s="51"/>
      <c r="G495" s="48"/>
      <c r="H495" s="48"/>
      <c r="I495" s="48"/>
      <c r="J495" s="42" t="str">
        <f t="array" ref="J495">IF(G495="","",IFERROR(LET(ev_cost,INDEX(Events!$G$5:$G$506,MATCH(G495,Events!$A$5:$A$506,0)),ev_split,INDEX(Events!$I$5:$I$506,MATCH(G495,Events!$A$5:$A$506,0)),att_offset,MATCH(G495,Attendance!$B$3:$AZ$3,0),attendees,COUNTIF(INDEX(Attendance!$B$7:$AZ$206,0,att_offset),"1"),IF(ev_split="Equal Split",ev_cost/MAX(1,COUNTA(Roster!$A$5:$A$204)),ev_cost/MAX(1,attendees))),"N/A"))</f>
        <v/>
      </c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9.5" customHeight="1">
      <c r="A496" s="44"/>
      <c r="B496" s="45"/>
      <c r="C496" s="45"/>
      <c r="D496" s="45"/>
      <c r="E496" s="45"/>
      <c r="F496" s="46"/>
      <c r="G496" s="45"/>
      <c r="H496" s="45"/>
      <c r="I496" s="45"/>
      <c r="J496" s="42" t="str">
        <f t="array" ref="J496">IF(G496="","",IFERROR(LET(ev_cost,INDEX(Events!$G$5:$G$506,MATCH(G496,Events!$A$5:$A$506,0)),ev_split,INDEX(Events!$I$5:$I$506,MATCH(G496,Events!$A$5:$A$506,0)),att_offset,MATCH(G496,Attendance!$B$3:$AZ$3,0),attendees,COUNTIF(INDEX(Attendance!$B$7:$AZ$206,0,att_offset),"1"),IF(ev_split="Equal Split",ev_cost/MAX(1,COUNTA(Roster!$A$5:$A$204)),ev_cost/MAX(1,attendees))),"N/A"))</f>
        <v/>
      </c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9.5" customHeight="1">
      <c r="A497" s="47"/>
      <c r="B497" s="48"/>
      <c r="C497" s="48"/>
      <c r="D497" s="48"/>
      <c r="E497" s="48"/>
      <c r="F497" s="51"/>
      <c r="G497" s="48"/>
      <c r="H497" s="48"/>
      <c r="I497" s="48"/>
      <c r="J497" s="42" t="str">
        <f t="array" ref="J497">IF(G497="","",IFERROR(LET(ev_cost,INDEX(Events!$G$5:$G$506,MATCH(G497,Events!$A$5:$A$506,0)),ev_split,INDEX(Events!$I$5:$I$506,MATCH(G497,Events!$A$5:$A$506,0)),att_offset,MATCH(G497,Attendance!$B$3:$AZ$3,0),attendees,COUNTIF(INDEX(Attendance!$B$7:$AZ$206,0,att_offset),"1"),IF(ev_split="Equal Split",ev_cost/MAX(1,COUNTA(Roster!$A$5:$A$204)),ev_cost/MAX(1,attendees))),"N/A"))</f>
        <v/>
      </c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9.5" customHeight="1">
      <c r="A498" s="44"/>
      <c r="B498" s="45"/>
      <c r="C498" s="45"/>
      <c r="D498" s="45"/>
      <c r="E498" s="45"/>
      <c r="F498" s="46"/>
      <c r="G498" s="45"/>
      <c r="H498" s="45"/>
      <c r="I498" s="45"/>
      <c r="J498" s="42" t="str">
        <f t="array" ref="J498">IF(G498="","",IFERROR(LET(ev_cost,INDEX(Events!$G$5:$G$506,MATCH(G498,Events!$A$5:$A$506,0)),ev_split,INDEX(Events!$I$5:$I$506,MATCH(G498,Events!$A$5:$A$506,0)),att_offset,MATCH(G498,Attendance!$B$3:$AZ$3,0),attendees,COUNTIF(INDEX(Attendance!$B$7:$AZ$206,0,att_offset),"1"),IF(ev_split="Equal Split",ev_cost/MAX(1,COUNTA(Roster!$A$5:$A$204)),ev_cost/MAX(1,attendees))),"N/A"))</f>
        <v/>
      </c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9.5" customHeight="1">
      <c r="A499" s="47"/>
      <c r="B499" s="48"/>
      <c r="C499" s="48"/>
      <c r="D499" s="48"/>
      <c r="E499" s="48"/>
      <c r="F499" s="51"/>
      <c r="G499" s="48"/>
      <c r="H499" s="48"/>
      <c r="I499" s="48"/>
      <c r="J499" s="42" t="str">
        <f t="array" ref="J499">IF(G499="","",IFERROR(LET(ev_cost,INDEX(Events!$G$5:$G$506,MATCH(G499,Events!$A$5:$A$506,0)),ev_split,INDEX(Events!$I$5:$I$506,MATCH(G499,Events!$A$5:$A$506,0)),att_offset,MATCH(G499,Attendance!$B$3:$AZ$3,0),attendees,COUNTIF(INDEX(Attendance!$B$7:$AZ$206,0,att_offset),"1"),IF(ev_split="Equal Split",ev_cost/MAX(1,COUNTA(Roster!$A$5:$A$204)),ev_cost/MAX(1,attendees))),"N/A"))</f>
        <v/>
      </c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9.5" customHeight="1">
      <c r="A500" s="44"/>
      <c r="B500" s="45"/>
      <c r="C500" s="45"/>
      <c r="D500" s="45"/>
      <c r="E500" s="45"/>
      <c r="F500" s="46"/>
      <c r="G500" s="45"/>
      <c r="H500" s="45"/>
      <c r="I500" s="45"/>
      <c r="J500" s="42" t="str">
        <f t="array" ref="J500">IF(G500="","",IFERROR(LET(ev_cost,INDEX(Events!$G$5:$G$506,MATCH(G500,Events!$A$5:$A$506,0)),ev_split,INDEX(Events!$I$5:$I$506,MATCH(G500,Events!$A$5:$A$506,0)),att_offset,MATCH(G500,Attendance!$B$3:$AZ$3,0),attendees,COUNTIF(INDEX(Attendance!$B$7:$AZ$206,0,att_offset),"1"),IF(ev_split="Equal Split",ev_cost/MAX(1,COUNTA(Roster!$A$5:$A$204)),ev_cost/MAX(1,attendees))),"N/A"))</f>
        <v/>
      </c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9.5" customHeight="1">
      <c r="A501" s="47"/>
      <c r="B501" s="48"/>
      <c r="C501" s="48"/>
      <c r="D501" s="48"/>
      <c r="E501" s="48"/>
      <c r="F501" s="51"/>
      <c r="G501" s="48"/>
      <c r="H501" s="48"/>
      <c r="I501" s="48"/>
      <c r="J501" s="42" t="str">
        <f t="array" ref="J501">IF(G501="","",IFERROR(LET(ev_cost,INDEX(Events!$G$5:$G$506,MATCH(G501,Events!$A$5:$A$506,0)),ev_split,INDEX(Events!$I$5:$I$506,MATCH(G501,Events!$A$5:$A$506,0)),att_offset,MATCH(G501,Attendance!$B$3:$AZ$3,0),attendees,COUNTIF(INDEX(Attendance!$B$7:$AZ$206,0,att_offset),"1"),IF(ev_split="Equal Split",ev_cost/MAX(1,COUNTA(Roster!$A$5:$A$204)),ev_cost/MAX(1,attendees))),"N/A"))</f>
        <v/>
      </c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9.5" customHeight="1">
      <c r="A502" s="44"/>
      <c r="B502" s="45"/>
      <c r="C502" s="45"/>
      <c r="D502" s="45"/>
      <c r="E502" s="45"/>
      <c r="F502" s="46"/>
      <c r="G502" s="45"/>
      <c r="H502" s="45"/>
      <c r="I502" s="45"/>
      <c r="J502" s="42" t="str">
        <f t="array" ref="J502">IF(G502="","",IFERROR(LET(ev_cost,INDEX(Events!$G$5:$G$506,MATCH(G502,Events!$A$5:$A$506,0)),ev_split,INDEX(Events!$I$5:$I$506,MATCH(G502,Events!$A$5:$A$506,0)),att_offset,MATCH(G502,Attendance!$B$3:$AZ$3,0),attendees,COUNTIF(INDEX(Attendance!$B$7:$AZ$206,0,att_offset),"1"),IF(ev_split="Equal Split",ev_cost/MAX(1,COUNTA(Roster!$A$5:$A$204)),ev_cost/MAX(1,attendees))),"N/A"))</f>
        <v/>
      </c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9.5" customHeight="1">
      <c r="A503" s="47"/>
      <c r="B503" s="48"/>
      <c r="C503" s="48"/>
      <c r="D503" s="48"/>
      <c r="E503" s="48"/>
      <c r="F503" s="51"/>
      <c r="G503" s="48"/>
      <c r="H503" s="48"/>
      <c r="I503" s="48"/>
      <c r="J503" s="42" t="str">
        <f t="array" ref="J503">IF(G503="","",IFERROR(LET(ev_cost,INDEX(Events!$G$5:$G$506,MATCH(G503,Events!$A$5:$A$506,0)),ev_split,INDEX(Events!$I$5:$I$506,MATCH(G503,Events!$A$5:$A$506,0)),att_offset,MATCH(G503,Attendance!$B$3:$AZ$3,0),attendees,COUNTIF(INDEX(Attendance!$B$7:$AZ$206,0,att_offset),"1"),IF(ev_split="Equal Split",ev_cost/MAX(1,COUNTA(Roster!$A$5:$A$204)),ev_cost/MAX(1,attendees))),"N/A"))</f>
        <v/>
      </c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9.5" customHeight="1">
      <c r="A504" s="44"/>
      <c r="B504" s="45"/>
      <c r="C504" s="45"/>
      <c r="D504" s="45"/>
      <c r="E504" s="45"/>
      <c r="F504" s="46"/>
      <c r="G504" s="45"/>
      <c r="H504" s="45"/>
      <c r="I504" s="45"/>
      <c r="J504" s="42" t="str">
        <f t="array" ref="J504">IF(G504="","",IFERROR(LET(ev_cost,INDEX(Events!$G$5:$G$506,MATCH(G504,Events!$A$5:$A$506,0)),ev_split,INDEX(Events!$I$5:$I$506,MATCH(G504,Events!$A$5:$A$506,0)),att_offset,MATCH(G504,Attendance!$B$3:$AZ$3,0),attendees,COUNTIF(INDEX(Attendance!$B$7:$AZ$206,0,att_offset),"1"),IF(ev_split="Equal Split",ev_cost/MAX(1,COUNTA(Roster!$A$5:$A$204)),ev_cost/MAX(1,attendees))),"N/A"))</f>
        <v/>
      </c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9.5" customHeight="1">
      <c r="A505" s="47"/>
      <c r="B505" s="48"/>
      <c r="C505" s="48"/>
      <c r="D505" s="48"/>
      <c r="E505" s="48"/>
      <c r="F505" s="51"/>
      <c r="G505" s="48"/>
      <c r="H505" s="48"/>
      <c r="I505" s="48"/>
      <c r="J505" s="42" t="str">
        <f t="array" ref="J505">IF(G505="","",IFERROR(LET(ev_cost,INDEX(Events!$G$5:$G$506,MATCH(G505,Events!$A$5:$A$506,0)),ev_split,INDEX(Events!$I$5:$I$506,MATCH(G505,Events!$A$5:$A$506,0)),att_offset,MATCH(G505,Attendance!$B$3:$AZ$3,0),attendees,COUNTIF(INDEX(Attendance!$B$7:$AZ$206,0,att_offset),"1"),IF(ev_split="Equal Split",ev_cost/MAX(1,COUNTA(Roster!$A$5:$A$204)),ev_cost/MAX(1,attendees))),"N/A"))</f>
        <v/>
      </c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9.5" customHeight="1">
      <c r="A506" s="44"/>
      <c r="B506" s="45"/>
      <c r="C506" s="45"/>
      <c r="D506" s="45"/>
      <c r="E506" s="45"/>
      <c r="F506" s="46"/>
      <c r="G506" s="45"/>
      <c r="H506" s="45"/>
      <c r="I506" s="45"/>
      <c r="J506" s="42" t="str">
        <f t="array" ref="J506">IF(G506="","",IFERROR(LET(ev_cost,INDEX(Events!$G$5:$G$506,MATCH(G506,Events!$A$5:$A$506,0)),ev_split,INDEX(Events!$I$5:$I$506,MATCH(G506,Events!$A$5:$A$506,0)),att_offset,MATCH(G506,Attendance!$B$3:$AZ$3,0),attendees,COUNTIF(INDEX(Attendance!$B$7:$AZ$206,0,att_offset),"1"),IF(ev_split="Equal Split",ev_cost/MAX(1,COUNTA(Roster!$A$5:$A$204)),ev_cost/MAX(1,attendees))),"N/A"))</f>
        <v/>
      </c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9.5" customHeight="1">
      <c r="A507" s="47"/>
      <c r="B507" s="48"/>
      <c r="C507" s="48"/>
      <c r="D507" s="48"/>
      <c r="E507" s="48"/>
      <c r="F507" s="51"/>
      <c r="G507" s="48"/>
      <c r="H507" s="48"/>
      <c r="I507" s="48"/>
      <c r="J507" s="42" t="str">
        <f t="array" ref="J507">IF(G507="","",IFERROR(LET(ev_cost,INDEX(Events!$G$5:$G$506,MATCH(G507,Events!$A$5:$A$506,0)),ev_split,INDEX(Events!$I$5:$I$506,MATCH(G507,Events!$A$5:$A$506,0)),att_offset,MATCH(G507,Attendance!$B$3:$AZ$3,0),attendees,COUNTIF(INDEX(Attendance!$B$7:$AZ$206,0,att_offset),"1"),IF(ev_split="Equal Split",ev_cost/MAX(1,COUNTA(Roster!$A$5:$A$204)),ev_cost/MAX(1,attendees))),"N/A"))</f>
        <v/>
      </c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9.5" customHeight="1">
      <c r="A508" s="44"/>
      <c r="B508" s="45"/>
      <c r="C508" s="45"/>
      <c r="D508" s="45"/>
      <c r="E508" s="45"/>
      <c r="F508" s="46"/>
      <c r="G508" s="45"/>
      <c r="H508" s="45"/>
      <c r="I508" s="45"/>
      <c r="J508" s="42" t="str">
        <f t="array" ref="J508">IF(G508="","",IFERROR(LET(ev_cost,INDEX(Events!$G$5:$G$506,MATCH(G508,Events!$A$5:$A$506,0)),ev_split,INDEX(Events!$I$5:$I$506,MATCH(G508,Events!$A$5:$A$506,0)),att_offset,MATCH(G508,Attendance!$B$3:$AZ$3,0),attendees,COUNTIF(INDEX(Attendance!$B$7:$AZ$206,0,att_offset),"1"),IF(ev_split="Equal Split",ev_cost/MAX(1,COUNTA(Roster!$A$5:$A$204)),ev_cost/MAX(1,attendees))),"N/A"))</f>
        <v/>
      </c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9.5" customHeight="1">
      <c r="A509" s="47"/>
      <c r="B509" s="48"/>
      <c r="C509" s="48"/>
      <c r="D509" s="48"/>
      <c r="E509" s="48"/>
      <c r="F509" s="51"/>
      <c r="G509" s="48"/>
      <c r="H509" s="48"/>
      <c r="I509" s="48"/>
      <c r="J509" s="42" t="str">
        <f t="array" ref="J509">IF(G509="","",IFERROR(LET(ev_cost,INDEX(Events!$G$5:$G$506,MATCH(G509,Events!$A$5:$A$506,0)),ev_split,INDEX(Events!$I$5:$I$506,MATCH(G509,Events!$A$5:$A$506,0)),att_offset,MATCH(G509,Attendance!$B$3:$AZ$3,0),attendees,COUNTIF(INDEX(Attendance!$B$7:$AZ$206,0,att_offset),"1"),IF(ev_split="Equal Split",ev_cost/MAX(1,COUNTA(Roster!$A$5:$A$204)),ev_cost/MAX(1,attendees))),"N/A"))</f>
        <v/>
      </c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9.5" customHeight="1">
      <c r="A510" s="44"/>
      <c r="B510" s="45"/>
      <c r="C510" s="45"/>
      <c r="D510" s="45"/>
      <c r="E510" s="45"/>
      <c r="F510" s="46"/>
      <c r="G510" s="45"/>
      <c r="H510" s="45"/>
      <c r="I510" s="45"/>
      <c r="J510" s="42" t="str">
        <f t="array" ref="J510">IF(G510="","",IFERROR(LET(ev_cost,INDEX(Events!$G$5:$G$506,MATCH(G510,Events!$A$5:$A$506,0)),ev_split,INDEX(Events!$I$5:$I$506,MATCH(G510,Events!$A$5:$A$506,0)),att_offset,MATCH(G510,Attendance!$B$3:$AZ$3,0),attendees,COUNTIF(INDEX(Attendance!$B$7:$AZ$206,0,att_offset),"1"),IF(ev_split="Equal Split",ev_cost/MAX(1,COUNTA(Roster!$A$5:$A$204)),ev_cost/MAX(1,attendees))),"N/A"))</f>
        <v/>
      </c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9.5" customHeight="1">
      <c r="A511" s="47"/>
      <c r="B511" s="48"/>
      <c r="C511" s="48"/>
      <c r="D511" s="48"/>
      <c r="E511" s="48"/>
      <c r="F511" s="51"/>
      <c r="G511" s="48"/>
      <c r="H511" s="48"/>
      <c r="I511" s="48"/>
      <c r="J511" s="42" t="str">
        <f t="array" ref="J511">IF(G511="","",IFERROR(LET(ev_cost,INDEX(Events!$G$5:$G$506,MATCH(G511,Events!$A$5:$A$506,0)),ev_split,INDEX(Events!$I$5:$I$506,MATCH(G511,Events!$A$5:$A$506,0)),att_offset,MATCH(G511,Attendance!$B$3:$AZ$3,0),attendees,COUNTIF(INDEX(Attendance!$B$7:$AZ$206,0,att_offset),"1"),IF(ev_split="Equal Split",ev_cost/MAX(1,COUNTA(Roster!$A$5:$A$204)),ev_cost/MAX(1,attendees))),"N/A"))</f>
        <v/>
      </c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9.5" customHeight="1">
      <c r="A512" s="44"/>
      <c r="B512" s="45"/>
      <c r="C512" s="45"/>
      <c r="D512" s="45"/>
      <c r="E512" s="45"/>
      <c r="F512" s="46"/>
      <c r="G512" s="45"/>
      <c r="H512" s="45"/>
      <c r="I512" s="45"/>
      <c r="J512" s="42" t="str">
        <f t="array" ref="J512">IF(G512="","",IFERROR(LET(ev_cost,INDEX(Events!$G$5:$G$506,MATCH(G512,Events!$A$5:$A$506,0)),ev_split,INDEX(Events!$I$5:$I$506,MATCH(G512,Events!$A$5:$A$506,0)),att_offset,MATCH(G512,Attendance!$B$3:$AZ$3,0),attendees,COUNTIF(INDEX(Attendance!$B$7:$AZ$206,0,att_offset),"1"),IF(ev_split="Equal Split",ev_cost/MAX(1,COUNTA(Roster!$A$5:$A$204)),ev_cost/MAX(1,attendees))),"N/A"))</f>
        <v/>
      </c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9.5" customHeight="1">
      <c r="A513" s="47"/>
      <c r="B513" s="48"/>
      <c r="C513" s="48"/>
      <c r="D513" s="48"/>
      <c r="E513" s="48"/>
      <c r="F513" s="51"/>
      <c r="G513" s="48"/>
      <c r="H513" s="48"/>
      <c r="I513" s="48"/>
      <c r="J513" s="42" t="str">
        <f t="array" ref="J513">IF(G513="","",IFERROR(LET(ev_cost,INDEX(Events!$G$5:$G$506,MATCH(G513,Events!$A$5:$A$506,0)),ev_split,INDEX(Events!$I$5:$I$506,MATCH(G513,Events!$A$5:$A$506,0)),att_offset,MATCH(G513,Attendance!$B$3:$AZ$3,0),attendees,COUNTIF(INDEX(Attendance!$B$7:$AZ$206,0,att_offset),"1"),IF(ev_split="Equal Split",ev_cost/MAX(1,COUNTA(Roster!$A$5:$A$204)),ev_cost/MAX(1,attendees))),"N/A"))</f>
        <v/>
      </c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9.5" customHeight="1">
      <c r="A514" s="44"/>
      <c r="B514" s="45"/>
      <c r="C514" s="45"/>
      <c r="D514" s="45"/>
      <c r="E514" s="45"/>
      <c r="F514" s="46"/>
      <c r="G514" s="45"/>
      <c r="H514" s="45"/>
      <c r="I514" s="45"/>
      <c r="J514" s="42" t="str">
        <f t="array" ref="J514">IF(G514="","",IFERROR(LET(ev_cost,INDEX(Events!$G$5:$G$506,MATCH(G514,Events!$A$5:$A$506,0)),ev_split,INDEX(Events!$I$5:$I$506,MATCH(G514,Events!$A$5:$A$506,0)),att_offset,MATCH(G514,Attendance!$B$3:$AZ$3,0),attendees,COUNTIF(INDEX(Attendance!$B$7:$AZ$206,0,att_offset),"1"),IF(ev_split="Equal Split",ev_cost/MAX(1,COUNTA(Roster!$A$5:$A$204)),ev_cost/MAX(1,attendees))),"N/A"))</f>
        <v/>
      </c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9.5" customHeight="1">
      <c r="A515" s="47"/>
      <c r="B515" s="48"/>
      <c r="C515" s="48"/>
      <c r="D515" s="48"/>
      <c r="E515" s="48"/>
      <c r="F515" s="51"/>
      <c r="G515" s="48"/>
      <c r="H515" s="48"/>
      <c r="I515" s="48"/>
      <c r="J515" s="42" t="str">
        <f t="array" ref="J515">IF(G515="","",IFERROR(LET(ev_cost,INDEX(Events!$G$5:$G$506,MATCH(G515,Events!$A$5:$A$506,0)),ev_split,INDEX(Events!$I$5:$I$506,MATCH(G515,Events!$A$5:$A$506,0)),att_offset,MATCH(G515,Attendance!$B$3:$AZ$3,0),attendees,COUNTIF(INDEX(Attendance!$B$7:$AZ$206,0,att_offset),"1"),IF(ev_split="Equal Split",ev_cost/MAX(1,COUNTA(Roster!$A$5:$A$204)),ev_cost/MAX(1,attendees))),"N/A"))</f>
        <v/>
      </c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9.5" customHeight="1">
      <c r="A516" s="44"/>
      <c r="B516" s="45"/>
      <c r="C516" s="45"/>
      <c r="D516" s="45"/>
      <c r="E516" s="45"/>
      <c r="F516" s="46"/>
      <c r="G516" s="45"/>
      <c r="H516" s="45"/>
      <c r="I516" s="45"/>
      <c r="J516" s="42" t="str">
        <f t="array" ref="J516">IF(G516="","",IFERROR(LET(ev_cost,INDEX(Events!$G$5:$G$506,MATCH(G516,Events!$A$5:$A$506,0)),ev_split,INDEX(Events!$I$5:$I$506,MATCH(G516,Events!$A$5:$A$506,0)),att_offset,MATCH(G516,Attendance!$B$3:$AZ$3,0),attendees,COUNTIF(INDEX(Attendance!$B$7:$AZ$206,0,att_offset),"1"),IF(ev_split="Equal Split",ev_cost/MAX(1,COUNTA(Roster!$A$5:$A$204)),ev_cost/MAX(1,attendees))),"N/A"))</f>
        <v/>
      </c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9.5" customHeight="1">
      <c r="A517" s="47"/>
      <c r="B517" s="48"/>
      <c r="C517" s="48"/>
      <c r="D517" s="48"/>
      <c r="E517" s="48"/>
      <c r="F517" s="51"/>
      <c r="G517" s="48"/>
      <c r="H517" s="48"/>
      <c r="I517" s="48"/>
      <c r="J517" s="42" t="str">
        <f t="array" ref="J517">IF(G517="","",IFERROR(LET(ev_cost,INDEX(Events!$G$5:$G$506,MATCH(G517,Events!$A$5:$A$506,0)),ev_split,INDEX(Events!$I$5:$I$506,MATCH(G517,Events!$A$5:$A$506,0)),att_offset,MATCH(G517,Attendance!$B$3:$AZ$3,0),attendees,COUNTIF(INDEX(Attendance!$B$7:$AZ$206,0,att_offset),"1"),IF(ev_split="Equal Split",ev_cost/MAX(1,COUNTA(Roster!$A$5:$A$204)),ev_cost/MAX(1,attendees))),"N/A"))</f>
        <v/>
      </c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9.5" customHeight="1">
      <c r="A518" s="44"/>
      <c r="B518" s="45"/>
      <c r="C518" s="45"/>
      <c r="D518" s="45"/>
      <c r="E518" s="45"/>
      <c r="F518" s="46"/>
      <c r="G518" s="45"/>
      <c r="H518" s="45"/>
      <c r="I518" s="45"/>
      <c r="J518" s="42" t="str">
        <f t="array" ref="J518">IF(G518="","",IFERROR(LET(ev_cost,INDEX(Events!$G$5:$G$506,MATCH(G518,Events!$A$5:$A$506,0)),ev_split,INDEX(Events!$I$5:$I$506,MATCH(G518,Events!$A$5:$A$506,0)),att_offset,MATCH(G518,Attendance!$B$3:$AZ$3,0),attendees,COUNTIF(INDEX(Attendance!$B$7:$AZ$206,0,att_offset),"1"),IF(ev_split="Equal Split",ev_cost/MAX(1,COUNTA(Roster!$A$5:$A$204)),ev_cost/MAX(1,attendees))),"N/A"))</f>
        <v/>
      </c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9.5" customHeight="1">
      <c r="A519" s="47"/>
      <c r="B519" s="48"/>
      <c r="C519" s="48"/>
      <c r="D519" s="48"/>
      <c r="E519" s="48"/>
      <c r="F519" s="51"/>
      <c r="G519" s="48"/>
      <c r="H519" s="48"/>
      <c r="I519" s="48"/>
      <c r="J519" s="42" t="str">
        <f t="array" ref="J519">IF(G519="","",IFERROR(LET(ev_cost,INDEX(Events!$G$5:$G$506,MATCH(G519,Events!$A$5:$A$506,0)),ev_split,INDEX(Events!$I$5:$I$506,MATCH(G519,Events!$A$5:$A$506,0)),att_offset,MATCH(G519,Attendance!$B$3:$AZ$3,0),attendees,COUNTIF(INDEX(Attendance!$B$7:$AZ$206,0,att_offset),"1"),IF(ev_split="Equal Split",ev_cost/MAX(1,COUNTA(Roster!$A$5:$A$204)),ev_cost/MAX(1,attendees))),"N/A"))</f>
        <v/>
      </c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9.5" customHeight="1">
      <c r="A520" s="44"/>
      <c r="B520" s="45"/>
      <c r="C520" s="45"/>
      <c r="D520" s="45"/>
      <c r="E520" s="45"/>
      <c r="F520" s="46"/>
      <c r="G520" s="45"/>
      <c r="H520" s="45"/>
      <c r="I520" s="45"/>
      <c r="J520" s="42" t="str">
        <f t="array" ref="J520">IF(G520="","",IFERROR(LET(ev_cost,INDEX(Events!$G$5:$G$506,MATCH(G520,Events!$A$5:$A$506,0)),ev_split,INDEX(Events!$I$5:$I$506,MATCH(G520,Events!$A$5:$A$506,0)),att_offset,MATCH(G520,Attendance!$B$3:$AZ$3,0),attendees,COUNTIF(INDEX(Attendance!$B$7:$AZ$206,0,att_offset),"1"),IF(ev_split="Equal Split",ev_cost/MAX(1,COUNTA(Roster!$A$5:$A$204)),ev_cost/MAX(1,attendees))),"N/A"))</f>
        <v/>
      </c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9.5" customHeight="1">
      <c r="A521" s="47"/>
      <c r="B521" s="48"/>
      <c r="C521" s="48"/>
      <c r="D521" s="48"/>
      <c r="E521" s="48"/>
      <c r="F521" s="51"/>
      <c r="G521" s="48"/>
      <c r="H521" s="48"/>
      <c r="I521" s="48"/>
      <c r="J521" s="42" t="str">
        <f t="array" ref="J521">IF(G521="","",IFERROR(LET(ev_cost,INDEX(Events!$G$5:$G$506,MATCH(G521,Events!$A$5:$A$506,0)),ev_split,INDEX(Events!$I$5:$I$506,MATCH(G521,Events!$A$5:$A$506,0)),att_offset,MATCH(G521,Attendance!$B$3:$AZ$3,0),attendees,COUNTIF(INDEX(Attendance!$B$7:$AZ$206,0,att_offset),"1"),IF(ev_split="Equal Split",ev_cost/MAX(1,COUNTA(Roster!$A$5:$A$204)),ev_cost/MAX(1,attendees))),"N/A"))</f>
        <v/>
      </c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9.5" customHeight="1">
      <c r="A522" s="44"/>
      <c r="B522" s="45"/>
      <c r="C522" s="45"/>
      <c r="D522" s="45"/>
      <c r="E522" s="45"/>
      <c r="F522" s="46"/>
      <c r="G522" s="45"/>
      <c r="H522" s="45"/>
      <c r="I522" s="45"/>
      <c r="J522" s="42" t="str">
        <f t="array" ref="J522">IF(G522="","",IFERROR(LET(ev_cost,INDEX(Events!$G$5:$G$506,MATCH(G522,Events!$A$5:$A$506,0)),ev_split,INDEX(Events!$I$5:$I$506,MATCH(G522,Events!$A$5:$A$506,0)),att_offset,MATCH(G522,Attendance!$B$3:$AZ$3,0),attendees,COUNTIF(INDEX(Attendance!$B$7:$AZ$206,0,att_offset),"1"),IF(ev_split="Equal Split",ev_cost/MAX(1,COUNTA(Roster!$A$5:$A$204)),ev_cost/MAX(1,attendees))),"N/A"))</f>
        <v/>
      </c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9.5" customHeight="1">
      <c r="A523" s="47"/>
      <c r="B523" s="48"/>
      <c r="C523" s="48"/>
      <c r="D523" s="48"/>
      <c r="E523" s="48"/>
      <c r="F523" s="51"/>
      <c r="G523" s="48"/>
      <c r="H523" s="48"/>
      <c r="I523" s="48"/>
      <c r="J523" s="42" t="str">
        <f t="array" ref="J523">IF(G523="","",IFERROR(LET(ev_cost,INDEX(Events!$G$5:$G$506,MATCH(G523,Events!$A$5:$A$506,0)),ev_split,INDEX(Events!$I$5:$I$506,MATCH(G523,Events!$A$5:$A$506,0)),att_offset,MATCH(G523,Attendance!$B$3:$AZ$3,0),attendees,COUNTIF(INDEX(Attendance!$B$7:$AZ$206,0,att_offset),"1"),IF(ev_split="Equal Split",ev_cost/MAX(1,COUNTA(Roster!$A$5:$A$204)),ev_cost/MAX(1,attendees))),"N/A"))</f>
        <v/>
      </c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9.5" customHeight="1">
      <c r="A524" s="44"/>
      <c r="B524" s="45"/>
      <c r="C524" s="45"/>
      <c r="D524" s="45"/>
      <c r="E524" s="45"/>
      <c r="F524" s="46"/>
      <c r="G524" s="45"/>
      <c r="H524" s="45"/>
      <c r="I524" s="45"/>
      <c r="J524" s="42" t="str">
        <f t="array" ref="J524">IF(G524="","",IFERROR(LET(ev_cost,INDEX(Events!$G$5:$G$506,MATCH(G524,Events!$A$5:$A$506,0)),ev_split,INDEX(Events!$I$5:$I$506,MATCH(G524,Events!$A$5:$A$506,0)),att_offset,MATCH(G524,Attendance!$B$3:$AZ$3,0),attendees,COUNTIF(INDEX(Attendance!$B$7:$AZ$206,0,att_offset),"1"),IF(ev_split="Equal Split",ev_cost/MAX(1,COUNTA(Roster!$A$5:$A$204)),ev_cost/MAX(1,attendees))),"N/A"))</f>
        <v/>
      </c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9.5" customHeight="1">
      <c r="A525" s="47"/>
      <c r="B525" s="48"/>
      <c r="C525" s="48"/>
      <c r="D525" s="48"/>
      <c r="E525" s="48"/>
      <c r="F525" s="51"/>
      <c r="G525" s="48"/>
      <c r="H525" s="48"/>
      <c r="I525" s="48"/>
      <c r="J525" s="42" t="str">
        <f t="array" ref="J525">IF(G525="","",IFERROR(LET(ev_cost,INDEX(Events!$G$5:$G$506,MATCH(G525,Events!$A$5:$A$506,0)),ev_split,INDEX(Events!$I$5:$I$506,MATCH(G525,Events!$A$5:$A$506,0)),att_offset,MATCH(G525,Attendance!$B$3:$AZ$3,0),attendees,COUNTIF(INDEX(Attendance!$B$7:$AZ$206,0,att_offset),"1"),IF(ev_split="Equal Split",ev_cost/MAX(1,COUNTA(Roster!$A$5:$A$204)),ev_cost/MAX(1,attendees))),"N/A"))</f>
        <v/>
      </c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9.5" customHeight="1">
      <c r="A526" s="44"/>
      <c r="B526" s="45"/>
      <c r="C526" s="45"/>
      <c r="D526" s="45"/>
      <c r="E526" s="45"/>
      <c r="F526" s="46"/>
      <c r="G526" s="45"/>
      <c r="H526" s="45"/>
      <c r="I526" s="45"/>
      <c r="J526" s="42" t="str">
        <f t="array" ref="J526">IF(G526="","",IFERROR(LET(ev_cost,INDEX(Events!$G$5:$G$506,MATCH(G526,Events!$A$5:$A$506,0)),ev_split,INDEX(Events!$I$5:$I$506,MATCH(G526,Events!$A$5:$A$506,0)),att_offset,MATCH(G526,Attendance!$B$3:$AZ$3,0),attendees,COUNTIF(INDEX(Attendance!$B$7:$AZ$206,0,att_offset),"1"),IF(ev_split="Equal Split",ev_cost/MAX(1,COUNTA(Roster!$A$5:$A$204)),ev_cost/MAX(1,attendees))),"N/A"))</f>
        <v/>
      </c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9.5" customHeight="1">
      <c r="A527" s="47"/>
      <c r="B527" s="48"/>
      <c r="C527" s="48"/>
      <c r="D527" s="48"/>
      <c r="E527" s="48"/>
      <c r="F527" s="51"/>
      <c r="G527" s="48"/>
      <c r="H527" s="48"/>
      <c r="I527" s="48"/>
      <c r="J527" s="42" t="str">
        <f t="array" ref="J527">IF(G527="","",IFERROR(LET(ev_cost,INDEX(Events!$G$5:$G$506,MATCH(G527,Events!$A$5:$A$506,0)),ev_split,INDEX(Events!$I$5:$I$506,MATCH(G527,Events!$A$5:$A$506,0)),att_offset,MATCH(G527,Attendance!$B$3:$AZ$3,0),attendees,COUNTIF(INDEX(Attendance!$B$7:$AZ$206,0,att_offset),"1"),IF(ev_split="Equal Split",ev_cost/MAX(1,COUNTA(Roster!$A$5:$A$204)),ev_cost/MAX(1,attendees))),"N/A"))</f>
        <v/>
      </c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9.5" customHeight="1">
      <c r="A528" s="44"/>
      <c r="B528" s="45"/>
      <c r="C528" s="45"/>
      <c r="D528" s="45"/>
      <c r="E528" s="45"/>
      <c r="F528" s="46"/>
      <c r="G528" s="45"/>
      <c r="H528" s="45"/>
      <c r="I528" s="45"/>
      <c r="J528" s="42" t="str">
        <f t="array" ref="J528">IF(G528="","",IFERROR(LET(ev_cost,INDEX(Events!$G$5:$G$506,MATCH(G528,Events!$A$5:$A$506,0)),ev_split,INDEX(Events!$I$5:$I$506,MATCH(G528,Events!$A$5:$A$506,0)),att_offset,MATCH(G528,Attendance!$B$3:$AZ$3,0),attendees,COUNTIF(INDEX(Attendance!$B$7:$AZ$206,0,att_offset),"1"),IF(ev_split="Equal Split",ev_cost/MAX(1,COUNTA(Roster!$A$5:$A$204)),ev_cost/MAX(1,attendees))),"N/A"))</f>
        <v/>
      </c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9.5" customHeight="1">
      <c r="A529" s="47"/>
      <c r="B529" s="48"/>
      <c r="C529" s="48"/>
      <c r="D529" s="48"/>
      <c r="E529" s="48"/>
      <c r="F529" s="51"/>
      <c r="G529" s="48"/>
      <c r="H529" s="48"/>
      <c r="I529" s="48"/>
      <c r="J529" s="42" t="str">
        <f t="array" ref="J529">IF(G529="","",IFERROR(LET(ev_cost,INDEX(Events!$G$5:$G$506,MATCH(G529,Events!$A$5:$A$506,0)),ev_split,INDEX(Events!$I$5:$I$506,MATCH(G529,Events!$A$5:$A$506,0)),att_offset,MATCH(G529,Attendance!$B$3:$AZ$3,0),attendees,COUNTIF(INDEX(Attendance!$B$7:$AZ$206,0,att_offset),"1"),IF(ev_split="Equal Split",ev_cost/MAX(1,COUNTA(Roster!$A$5:$A$204)),ev_cost/MAX(1,attendees))),"N/A"))</f>
        <v/>
      </c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9.5" customHeight="1">
      <c r="A530" s="44"/>
      <c r="B530" s="45"/>
      <c r="C530" s="45"/>
      <c r="D530" s="45"/>
      <c r="E530" s="45"/>
      <c r="F530" s="46"/>
      <c r="G530" s="45"/>
      <c r="H530" s="45"/>
      <c r="I530" s="45"/>
      <c r="J530" s="42" t="str">
        <f t="array" ref="J530">IF(G530="","",IFERROR(LET(ev_cost,INDEX(Events!$G$5:$G$506,MATCH(G530,Events!$A$5:$A$506,0)),ev_split,INDEX(Events!$I$5:$I$506,MATCH(G530,Events!$A$5:$A$506,0)),att_offset,MATCH(G530,Attendance!$B$3:$AZ$3,0),attendees,COUNTIF(INDEX(Attendance!$B$7:$AZ$206,0,att_offset),"1"),IF(ev_split="Equal Split",ev_cost/MAX(1,COUNTA(Roster!$A$5:$A$204)),ev_cost/MAX(1,attendees))),"N/A"))</f>
        <v/>
      </c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9.5" customHeight="1">
      <c r="A531" s="47"/>
      <c r="B531" s="48"/>
      <c r="C531" s="48"/>
      <c r="D531" s="48"/>
      <c r="E531" s="48"/>
      <c r="F531" s="51"/>
      <c r="G531" s="48"/>
      <c r="H531" s="48"/>
      <c r="I531" s="48"/>
      <c r="J531" s="42" t="str">
        <f t="array" ref="J531">IF(G531="","",IFERROR(LET(ev_cost,INDEX(Events!$G$5:$G$506,MATCH(G531,Events!$A$5:$A$506,0)),ev_split,INDEX(Events!$I$5:$I$506,MATCH(G531,Events!$A$5:$A$506,0)),att_offset,MATCH(G531,Attendance!$B$3:$AZ$3,0),attendees,COUNTIF(INDEX(Attendance!$B$7:$AZ$206,0,att_offset),"1"),IF(ev_split="Equal Split",ev_cost/MAX(1,COUNTA(Roster!$A$5:$A$204)),ev_cost/MAX(1,attendees))),"N/A"))</f>
        <v/>
      </c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9.5" customHeight="1">
      <c r="A532" s="44"/>
      <c r="B532" s="45"/>
      <c r="C532" s="45"/>
      <c r="D532" s="45"/>
      <c r="E532" s="45"/>
      <c r="F532" s="46"/>
      <c r="G532" s="45"/>
      <c r="H532" s="45"/>
      <c r="I532" s="45"/>
      <c r="J532" s="42" t="str">
        <f t="array" ref="J532">IF(G532="","",IFERROR(LET(ev_cost,INDEX(Events!$G$5:$G$506,MATCH(G532,Events!$A$5:$A$506,0)),ev_split,INDEX(Events!$I$5:$I$506,MATCH(G532,Events!$A$5:$A$506,0)),att_offset,MATCH(G532,Attendance!$B$3:$AZ$3,0),attendees,COUNTIF(INDEX(Attendance!$B$7:$AZ$206,0,att_offset),"1"),IF(ev_split="Equal Split",ev_cost/MAX(1,COUNTA(Roster!$A$5:$A$204)),ev_cost/MAX(1,attendees))),"N/A"))</f>
        <v/>
      </c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9.5" customHeight="1">
      <c r="A533" s="47"/>
      <c r="B533" s="48"/>
      <c r="C533" s="48"/>
      <c r="D533" s="48"/>
      <c r="E533" s="48"/>
      <c r="F533" s="51"/>
      <c r="G533" s="48"/>
      <c r="H533" s="48"/>
      <c r="I533" s="48"/>
      <c r="J533" s="42" t="str">
        <f t="array" ref="J533">IF(G533="","",IFERROR(LET(ev_cost,INDEX(Events!$G$5:$G$506,MATCH(G533,Events!$A$5:$A$506,0)),ev_split,INDEX(Events!$I$5:$I$506,MATCH(G533,Events!$A$5:$A$506,0)),att_offset,MATCH(G533,Attendance!$B$3:$AZ$3,0),attendees,COUNTIF(INDEX(Attendance!$B$7:$AZ$206,0,att_offset),"1"),IF(ev_split="Equal Split",ev_cost/MAX(1,COUNTA(Roster!$A$5:$A$204)),ev_cost/MAX(1,attendees))),"N/A"))</f>
        <v/>
      </c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9.5" customHeight="1">
      <c r="A534" s="44"/>
      <c r="B534" s="45"/>
      <c r="C534" s="45"/>
      <c r="D534" s="45"/>
      <c r="E534" s="45"/>
      <c r="F534" s="46"/>
      <c r="G534" s="45"/>
      <c r="H534" s="45"/>
      <c r="I534" s="45"/>
      <c r="J534" s="42" t="str">
        <f t="array" ref="J534">IF(G534="","",IFERROR(LET(ev_cost,INDEX(Events!$G$5:$G$506,MATCH(G534,Events!$A$5:$A$506,0)),ev_split,INDEX(Events!$I$5:$I$506,MATCH(G534,Events!$A$5:$A$506,0)),att_offset,MATCH(G534,Attendance!$B$3:$AZ$3,0),attendees,COUNTIF(INDEX(Attendance!$B$7:$AZ$206,0,att_offset),"1"),IF(ev_split="Equal Split",ev_cost/MAX(1,COUNTA(Roster!$A$5:$A$204)),ev_cost/MAX(1,attendees))),"N/A"))</f>
        <v/>
      </c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9.5" customHeight="1">
      <c r="A535" s="47"/>
      <c r="B535" s="48"/>
      <c r="C535" s="48"/>
      <c r="D535" s="48"/>
      <c r="E535" s="48"/>
      <c r="F535" s="51"/>
      <c r="G535" s="48"/>
      <c r="H535" s="48"/>
      <c r="I535" s="48"/>
      <c r="J535" s="42" t="str">
        <f t="array" ref="J535">IF(G535="","",IFERROR(LET(ev_cost,INDEX(Events!$G$5:$G$506,MATCH(G535,Events!$A$5:$A$506,0)),ev_split,INDEX(Events!$I$5:$I$506,MATCH(G535,Events!$A$5:$A$506,0)),att_offset,MATCH(G535,Attendance!$B$3:$AZ$3,0),attendees,COUNTIF(INDEX(Attendance!$B$7:$AZ$206,0,att_offset),"1"),IF(ev_split="Equal Split",ev_cost/MAX(1,COUNTA(Roster!$A$5:$A$204)),ev_cost/MAX(1,attendees))),"N/A"))</f>
        <v/>
      </c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9.5" customHeight="1">
      <c r="A536" s="44"/>
      <c r="B536" s="45"/>
      <c r="C536" s="45"/>
      <c r="D536" s="45"/>
      <c r="E536" s="45"/>
      <c r="F536" s="46"/>
      <c r="G536" s="45"/>
      <c r="H536" s="45"/>
      <c r="I536" s="45"/>
      <c r="J536" s="42" t="str">
        <f t="array" ref="J536">IF(G536="","",IFERROR(LET(ev_cost,INDEX(Events!$G$5:$G$506,MATCH(G536,Events!$A$5:$A$506,0)),ev_split,INDEX(Events!$I$5:$I$506,MATCH(G536,Events!$A$5:$A$506,0)),att_offset,MATCH(G536,Attendance!$B$3:$AZ$3,0),attendees,COUNTIF(INDEX(Attendance!$B$7:$AZ$206,0,att_offset),"1"),IF(ev_split="Equal Split",ev_cost/MAX(1,COUNTA(Roster!$A$5:$A$204)),ev_cost/MAX(1,attendees))),"N/A"))</f>
        <v/>
      </c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9.5" customHeight="1">
      <c r="A537" s="47"/>
      <c r="B537" s="48"/>
      <c r="C537" s="48"/>
      <c r="D537" s="48"/>
      <c r="E537" s="48"/>
      <c r="F537" s="51"/>
      <c r="G537" s="48"/>
      <c r="H537" s="48"/>
      <c r="I537" s="48"/>
      <c r="J537" s="42" t="str">
        <f t="array" ref="J537">IF(G537="","",IFERROR(LET(ev_cost,INDEX(Events!$G$5:$G$506,MATCH(G537,Events!$A$5:$A$506,0)),ev_split,INDEX(Events!$I$5:$I$506,MATCH(G537,Events!$A$5:$A$506,0)),att_offset,MATCH(G537,Attendance!$B$3:$AZ$3,0),attendees,COUNTIF(INDEX(Attendance!$B$7:$AZ$206,0,att_offset),"1"),IF(ev_split="Equal Split",ev_cost/MAX(1,COUNTA(Roster!$A$5:$A$204)),ev_cost/MAX(1,attendees))),"N/A"))</f>
        <v/>
      </c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9.5" customHeight="1">
      <c r="A538" s="44"/>
      <c r="B538" s="45"/>
      <c r="C538" s="45"/>
      <c r="D538" s="45"/>
      <c r="E538" s="45"/>
      <c r="F538" s="46"/>
      <c r="G538" s="45"/>
      <c r="H538" s="45"/>
      <c r="I538" s="45"/>
      <c r="J538" s="42" t="str">
        <f t="array" ref="J538">IF(G538="","",IFERROR(LET(ev_cost,INDEX(Events!$G$5:$G$506,MATCH(G538,Events!$A$5:$A$506,0)),ev_split,INDEX(Events!$I$5:$I$506,MATCH(G538,Events!$A$5:$A$506,0)),att_offset,MATCH(G538,Attendance!$B$3:$AZ$3,0),attendees,COUNTIF(INDEX(Attendance!$B$7:$AZ$206,0,att_offset),"1"),IF(ev_split="Equal Split",ev_cost/MAX(1,COUNTA(Roster!$A$5:$A$204)),ev_cost/MAX(1,attendees))),"N/A"))</f>
        <v/>
      </c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9.5" customHeight="1">
      <c r="A539" s="47"/>
      <c r="B539" s="48"/>
      <c r="C539" s="48"/>
      <c r="D539" s="48"/>
      <c r="E539" s="48"/>
      <c r="F539" s="51"/>
      <c r="G539" s="48"/>
      <c r="H539" s="48"/>
      <c r="I539" s="48"/>
      <c r="J539" s="42" t="str">
        <f t="array" ref="J539">IF(G539="","",IFERROR(LET(ev_cost,INDEX(Events!$G$5:$G$506,MATCH(G539,Events!$A$5:$A$506,0)),ev_split,INDEX(Events!$I$5:$I$506,MATCH(G539,Events!$A$5:$A$506,0)),att_offset,MATCH(G539,Attendance!$B$3:$AZ$3,0),attendees,COUNTIF(INDEX(Attendance!$B$7:$AZ$206,0,att_offset),"1"),IF(ev_split="Equal Split",ev_cost/MAX(1,COUNTA(Roster!$A$5:$A$204)),ev_cost/MAX(1,attendees))),"N/A"))</f>
        <v/>
      </c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9.5" customHeight="1">
      <c r="A540" s="44"/>
      <c r="B540" s="45"/>
      <c r="C540" s="45"/>
      <c r="D540" s="45"/>
      <c r="E540" s="45"/>
      <c r="F540" s="46"/>
      <c r="G540" s="45"/>
      <c r="H540" s="45"/>
      <c r="I540" s="45"/>
      <c r="J540" s="42" t="str">
        <f t="array" ref="J540">IF(G540="","",IFERROR(LET(ev_cost,INDEX(Events!$G$5:$G$506,MATCH(G540,Events!$A$5:$A$506,0)),ev_split,INDEX(Events!$I$5:$I$506,MATCH(G540,Events!$A$5:$A$506,0)),att_offset,MATCH(G540,Attendance!$B$3:$AZ$3,0),attendees,COUNTIF(INDEX(Attendance!$B$7:$AZ$206,0,att_offset),"1"),IF(ev_split="Equal Split",ev_cost/MAX(1,COUNTA(Roster!$A$5:$A$204)),ev_cost/MAX(1,attendees))),"N/A"))</f>
        <v/>
      </c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9.5" customHeight="1">
      <c r="A541" s="47"/>
      <c r="B541" s="48"/>
      <c r="C541" s="48"/>
      <c r="D541" s="48"/>
      <c r="E541" s="48"/>
      <c r="F541" s="51"/>
      <c r="G541" s="48"/>
      <c r="H541" s="48"/>
      <c r="I541" s="48"/>
      <c r="J541" s="42" t="str">
        <f t="array" ref="J541">IF(G541="","",IFERROR(LET(ev_cost,INDEX(Events!$G$5:$G$506,MATCH(G541,Events!$A$5:$A$506,0)),ev_split,INDEX(Events!$I$5:$I$506,MATCH(G541,Events!$A$5:$A$506,0)),att_offset,MATCH(G541,Attendance!$B$3:$AZ$3,0),attendees,COUNTIF(INDEX(Attendance!$B$7:$AZ$206,0,att_offset),"1"),IF(ev_split="Equal Split",ev_cost/MAX(1,COUNTA(Roster!$A$5:$A$204)),ev_cost/MAX(1,attendees))),"N/A"))</f>
        <v/>
      </c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9.5" customHeight="1">
      <c r="A542" s="44"/>
      <c r="B542" s="45"/>
      <c r="C542" s="45"/>
      <c r="D542" s="45"/>
      <c r="E542" s="45"/>
      <c r="F542" s="46"/>
      <c r="G542" s="45"/>
      <c r="H542" s="45"/>
      <c r="I542" s="45"/>
      <c r="J542" s="42" t="str">
        <f t="array" ref="J542">IF(G542="","",IFERROR(LET(ev_cost,INDEX(Events!$G$5:$G$506,MATCH(G542,Events!$A$5:$A$506,0)),ev_split,INDEX(Events!$I$5:$I$506,MATCH(G542,Events!$A$5:$A$506,0)),att_offset,MATCH(G542,Attendance!$B$3:$AZ$3,0),attendees,COUNTIF(INDEX(Attendance!$B$7:$AZ$206,0,att_offset),"1"),IF(ev_split="Equal Split",ev_cost/MAX(1,COUNTA(Roster!$A$5:$A$204)),ev_cost/MAX(1,attendees))),"N/A"))</f>
        <v/>
      </c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9.5" customHeight="1">
      <c r="A543" s="47"/>
      <c r="B543" s="48"/>
      <c r="C543" s="48"/>
      <c r="D543" s="48"/>
      <c r="E543" s="48"/>
      <c r="F543" s="51"/>
      <c r="G543" s="48"/>
      <c r="H543" s="48"/>
      <c r="I543" s="48"/>
      <c r="J543" s="42" t="str">
        <f t="array" ref="J543">IF(G543="","",IFERROR(LET(ev_cost,INDEX(Events!$G$5:$G$506,MATCH(G543,Events!$A$5:$A$506,0)),ev_split,INDEX(Events!$I$5:$I$506,MATCH(G543,Events!$A$5:$A$506,0)),att_offset,MATCH(G543,Attendance!$B$3:$AZ$3,0),attendees,COUNTIF(INDEX(Attendance!$B$7:$AZ$206,0,att_offset),"1"),IF(ev_split="Equal Split",ev_cost/MAX(1,COUNTA(Roster!$A$5:$A$204)),ev_cost/MAX(1,attendees))),"N/A"))</f>
        <v/>
      </c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9.5" customHeight="1">
      <c r="A544" s="44"/>
      <c r="B544" s="45"/>
      <c r="C544" s="45"/>
      <c r="D544" s="45"/>
      <c r="E544" s="45"/>
      <c r="F544" s="46"/>
      <c r="G544" s="45"/>
      <c r="H544" s="45"/>
      <c r="I544" s="45"/>
      <c r="J544" s="42" t="str">
        <f t="array" ref="J544">IF(G544="","",IFERROR(LET(ev_cost,INDEX(Events!$G$5:$G$506,MATCH(G544,Events!$A$5:$A$506,0)),ev_split,INDEX(Events!$I$5:$I$506,MATCH(G544,Events!$A$5:$A$506,0)),att_offset,MATCH(G544,Attendance!$B$3:$AZ$3,0),attendees,COUNTIF(INDEX(Attendance!$B$7:$AZ$206,0,att_offset),"1"),IF(ev_split="Equal Split",ev_cost/MAX(1,COUNTA(Roster!$A$5:$A$204)),ev_cost/MAX(1,attendees))),"N/A"))</f>
        <v/>
      </c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9.5" customHeight="1">
      <c r="A545" s="47"/>
      <c r="B545" s="48"/>
      <c r="C545" s="48"/>
      <c r="D545" s="48"/>
      <c r="E545" s="48"/>
      <c r="F545" s="51"/>
      <c r="G545" s="48"/>
      <c r="H545" s="48"/>
      <c r="I545" s="48"/>
      <c r="J545" s="42" t="str">
        <f t="array" ref="J545">IF(G545="","",IFERROR(LET(ev_cost,INDEX(Events!$G$5:$G$506,MATCH(G545,Events!$A$5:$A$506,0)),ev_split,INDEX(Events!$I$5:$I$506,MATCH(G545,Events!$A$5:$A$506,0)),att_offset,MATCH(G545,Attendance!$B$3:$AZ$3,0),attendees,COUNTIF(INDEX(Attendance!$B$7:$AZ$206,0,att_offset),"1"),IF(ev_split="Equal Split",ev_cost/MAX(1,COUNTA(Roster!$A$5:$A$204)),ev_cost/MAX(1,attendees))),"N/A"))</f>
        <v/>
      </c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9.5" customHeight="1">
      <c r="A546" s="44"/>
      <c r="B546" s="45"/>
      <c r="C546" s="45"/>
      <c r="D546" s="45"/>
      <c r="E546" s="45"/>
      <c r="F546" s="46"/>
      <c r="G546" s="45"/>
      <c r="H546" s="45"/>
      <c r="I546" s="45"/>
      <c r="J546" s="42" t="str">
        <f t="array" ref="J546">IF(G546="","",IFERROR(LET(ev_cost,INDEX(Events!$G$5:$G$506,MATCH(G546,Events!$A$5:$A$506,0)),ev_split,INDEX(Events!$I$5:$I$506,MATCH(G546,Events!$A$5:$A$506,0)),att_offset,MATCH(G546,Attendance!$B$3:$AZ$3,0),attendees,COUNTIF(INDEX(Attendance!$B$7:$AZ$206,0,att_offset),"1"),IF(ev_split="Equal Split",ev_cost/MAX(1,COUNTA(Roster!$A$5:$A$204)),ev_cost/MAX(1,attendees))),"N/A"))</f>
        <v/>
      </c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9.5" customHeight="1">
      <c r="A547" s="47"/>
      <c r="B547" s="48"/>
      <c r="C547" s="48"/>
      <c r="D547" s="48"/>
      <c r="E547" s="48"/>
      <c r="F547" s="51"/>
      <c r="G547" s="48"/>
      <c r="H547" s="48"/>
      <c r="I547" s="48"/>
      <c r="J547" s="42" t="str">
        <f t="array" ref="J547">IF(G547="","",IFERROR(LET(ev_cost,INDEX(Events!$G$5:$G$506,MATCH(G547,Events!$A$5:$A$506,0)),ev_split,INDEX(Events!$I$5:$I$506,MATCH(G547,Events!$A$5:$A$506,0)),att_offset,MATCH(G547,Attendance!$B$3:$AZ$3,0),attendees,COUNTIF(INDEX(Attendance!$B$7:$AZ$206,0,att_offset),"1"),IF(ev_split="Equal Split",ev_cost/MAX(1,COUNTA(Roster!$A$5:$A$204)),ev_cost/MAX(1,attendees))),"N/A"))</f>
        <v/>
      </c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9.5" customHeight="1">
      <c r="A548" s="44"/>
      <c r="B548" s="45"/>
      <c r="C548" s="45"/>
      <c r="D548" s="45"/>
      <c r="E548" s="45"/>
      <c r="F548" s="46"/>
      <c r="G548" s="45"/>
      <c r="H548" s="45"/>
      <c r="I548" s="45"/>
      <c r="J548" s="42" t="str">
        <f t="array" ref="J548">IF(G548="","",IFERROR(LET(ev_cost,INDEX(Events!$G$5:$G$506,MATCH(G548,Events!$A$5:$A$506,0)),ev_split,INDEX(Events!$I$5:$I$506,MATCH(G548,Events!$A$5:$A$506,0)),att_offset,MATCH(G548,Attendance!$B$3:$AZ$3,0),attendees,COUNTIF(INDEX(Attendance!$B$7:$AZ$206,0,att_offset),"1"),IF(ev_split="Equal Split",ev_cost/MAX(1,COUNTA(Roster!$A$5:$A$204)),ev_cost/MAX(1,attendees))),"N/A"))</f>
        <v/>
      </c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9.5" customHeight="1">
      <c r="A549" s="47"/>
      <c r="B549" s="48"/>
      <c r="C549" s="48"/>
      <c r="D549" s="48"/>
      <c r="E549" s="48"/>
      <c r="F549" s="51"/>
      <c r="G549" s="48"/>
      <c r="H549" s="48"/>
      <c r="I549" s="48"/>
      <c r="J549" s="42" t="str">
        <f t="array" ref="J549">IF(G549="","",IFERROR(LET(ev_cost,INDEX(Events!$G$5:$G$506,MATCH(G549,Events!$A$5:$A$506,0)),ev_split,INDEX(Events!$I$5:$I$506,MATCH(G549,Events!$A$5:$A$506,0)),att_offset,MATCH(G549,Attendance!$B$3:$AZ$3,0),attendees,COUNTIF(INDEX(Attendance!$B$7:$AZ$206,0,att_offset),"1"),IF(ev_split="Equal Split",ev_cost/MAX(1,COUNTA(Roster!$A$5:$A$204)),ev_cost/MAX(1,attendees))),"N/A"))</f>
        <v/>
      </c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9.5" customHeight="1">
      <c r="A550" s="44"/>
      <c r="B550" s="45"/>
      <c r="C550" s="45"/>
      <c r="D550" s="45"/>
      <c r="E550" s="45"/>
      <c r="F550" s="46"/>
      <c r="G550" s="45"/>
      <c r="H550" s="45"/>
      <c r="I550" s="45"/>
      <c r="J550" s="42" t="str">
        <f t="array" ref="J550">IF(G550="","",IFERROR(LET(ev_cost,INDEX(Events!$G$5:$G$506,MATCH(G550,Events!$A$5:$A$506,0)),ev_split,INDEX(Events!$I$5:$I$506,MATCH(G550,Events!$A$5:$A$506,0)),att_offset,MATCH(G550,Attendance!$B$3:$AZ$3,0),attendees,COUNTIF(INDEX(Attendance!$B$7:$AZ$206,0,att_offset),"1"),IF(ev_split="Equal Split",ev_cost/MAX(1,COUNTA(Roster!$A$5:$A$204)),ev_cost/MAX(1,attendees))),"N/A"))</f>
        <v/>
      </c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9.5" customHeight="1">
      <c r="A551" s="47"/>
      <c r="B551" s="48"/>
      <c r="C551" s="48"/>
      <c r="D551" s="48"/>
      <c r="E551" s="48"/>
      <c r="F551" s="51"/>
      <c r="G551" s="48"/>
      <c r="H551" s="48"/>
      <c r="I551" s="48"/>
      <c r="J551" s="42" t="str">
        <f t="array" ref="J551">IF(G551="","",IFERROR(LET(ev_cost,INDEX(Events!$G$5:$G$506,MATCH(G551,Events!$A$5:$A$506,0)),ev_split,INDEX(Events!$I$5:$I$506,MATCH(G551,Events!$A$5:$A$506,0)),att_offset,MATCH(G551,Attendance!$B$3:$AZ$3,0),attendees,COUNTIF(INDEX(Attendance!$B$7:$AZ$206,0,att_offset),"1"),IF(ev_split="Equal Split",ev_cost/MAX(1,COUNTA(Roster!$A$5:$A$204)),ev_cost/MAX(1,attendees))),"N/A"))</f>
        <v/>
      </c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9.5" customHeight="1">
      <c r="A552" s="44"/>
      <c r="B552" s="45"/>
      <c r="C552" s="45"/>
      <c r="D552" s="45"/>
      <c r="E552" s="45"/>
      <c r="F552" s="46"/>
      <c r="G552" s="45"/>
      <c r="H552" s="45"/>
      <c r="I552" s="45"/>
      <c r="J552" s="42" t="str">
        <f t="array" ref="J552">IF(G552="","",IFERROR(LET(ev_cost,INDEX(Events!$G$5:$G$506,MATCH(G552,Events!$A$5:$A$506,0)),ev_split,INDEX(Events!$I$5:$I$506,MATCH(G552,Events!$A$5:$A$506,0)),att_offset,MATCH(G552,Attendance!$B$3:$AZ$3,0),attendees,COUNTIF(INDEX(Attendance!$B$7:$AZ$206,0,att_offset),"1"),IF(ev_split="Equal Split",ev_cost/MAX(1,COUNTA(Roster!$A$5:$A$204)),ev_cost/MAX(1,attendees))),"N/A"))</f>
        <v/>
      </c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9.5" customHeight="1">
      <c r="A553" s="47"/>
      <c r="B553" s="48"/>
      <c r="C553" s="48"/>
      <c r="D553" s="48"/>
      <c r="E553" s="48"/>
      <c r="F553" s="51"/>
      <c r="G553" s="48"/>
      <c r="H553" s="48"/>
      <c r="I553" s="48"/>
      <c r="J553" s="42" t="str">
        <f t="array" ref="J553">IF(G553="","",IFERROR(LET(ev_cost,INDEX(Events!$G$5:$G$506,MATCH(G553,Events!$A$5:$A$506,0)),ev_split,INDEX(Events!$I$5:$I$506,MATCH(G553,Events!$A$5:$A$506,0)),att_offset,MATCH(G553,Attendance!$B$3:$AZ$3,0),attendees,COUNTIF(INDEX(Attendance!$B$7:$AZ$206,0,att_offset),"1"),IF(ev_split="Equal Split",ev_cost/MAX(1,COUNTA(Roster!$A$5:$A$204)),ev_cost/MAX(1,attendees))),"N/A"))</f>
        <v/>
      </c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9.5" customHeight="1">
      <c r="A554" s="44"/>
      <c r="B554" s="45"/>
      <c r="C554" s="45"/>
      <c r="D554" s="45"/>
      <c r="E554" s="45"/>
      <c r="F554" s="46"/>
      <c r="G554" s="45"/>
      <c r="H554" s="45"/>
      <c r="I554" s="45"/>
      <c r="J554" s="42" t="str">
        <f t="array" ref="J554">IF(G554="","",IFERROR(LET(ev_cost,INDEX(Events!$G$5:$G$506,MATCH(G554,Events!$A$5:$A$506,0)),ev_split,INDEX(Events!$I$5:$I$506,MATCH(G554,Events!$A$5:$A$506,0)),att_offset,MATCH(G554,Attendance!$B$3:$AZ$3,0),attendees,COUNTIF(INDEX(Attendance!$B$7:$AZ$206,0,att_offset),"1"),IF(ev_split="Equal Split",ev_cost/MAX(1,COUNTA(Roster!$A$5:$A$204)),ev_cost/MAX(1,attendees))),"N/A"))</f>
        <v/>
      </c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9.5" customHeight="1">
      <c r="A555" s="47"/>
      <c r="B555" s="48"/>
      <c r="C555" s="48"/>
      <c r="D555" s="48"/>
      <c r="E555" s="48"/>
      <c r="F555" s="51"/>
      <c r="G555" s="48"/>
      <c r="H555" s="48"/>
      <c r="I555" s="48"/>
      <c r="J555" s="42" t="str">
        <f t="array" ref="J555">IF(G555="","",IFERROR(LET(ev_cost,INDEX(Events!$G$5:$G$506,MATCH(G555,Events!$A$5:$A$506,0)),ev_split,INDEX(Events!$I$5:$I$506,MATCH(G555,Events!$A$5:$A$506,0)),att_offset,MATCH(G555,Attendance!$B$3:$AZ$3,0),attendees,COUNTIF(INDEX(Attendance!$B$7:$AZ$206,0,att_offset),"1"),IF(ev_split="Equal Split",ev_cost/MAX(1,COUNTA(Roster!$A$5:$A$204)),ev_cost/MAX(1,attendees))),"N/A"))</f>
        <v/>
      </c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9.5" customHeight="1">
      <c r="A556" s="44"/>
      <c r="B556" s="45"/>
      <c r="C556" s="45"/>
      <c r="D556" s="45"/>
      <c r="E556" s="45"/>
      <c r="F556" s="46"/>
      <c r="G556" s="45"/>
      <c r="H556" s="45"/>
      <c r="I556" s="45"/>
      <c r="J556" s="42" t="str">
        <f t="array" ref="J556">IF(G556="","",IFERROR(LET(ev_cost,INDEX(Events!$G$5:$G$506,MATCH(G556,Events!$A$5:$A$506,0)),ev_split,INDEX(Events!$I$5:$I$506,MATCH(G556,Events!$A$5:$A$506,0)),att_offset,MATCH(G556,Attendance!$B$3:$AZ$3,0),attendees,COUNTIF(INDEX(Attendance!$B$7:$AZ$206,0,att_offset),"1"),IF(ev_split="Equal Split",ev_cost/MAX(1,COUNTA(Roster!$A$5:$A$204)),ev_cost/MAX(1,attendees))),"N/A"))</f>
        <v/>
      </c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9.5" customHeight="1">
      <c r="A557" s="47"/>
      <c r="B557" s="48"/>
      <c r="C557" s="48"/>
      <c r="D557" s="48"/>
      <c r="E557" s="48"/>
      <c r="F557" s="51"/>
      <c r="G557" s="48"/>
      <c r="H557" s="48"/>
      <c r="I557" s="48"/>
      <c r="J557" s="42" t="str">
        <f t="array" ref="J557">IF(G557="","",IFERROR(LET(ev_cost,INDEX(Events!$G$5:$G$506,MATCH(G557,Events!$A$5:$A$506,0)),ev_split,INDEX(Events!$I$5:$I$506,MATCH(G557,Events!$A$5:$A$506,0)),att_offset,MATCH(G557,Attendance!$B$3:$AZ$3,0),attendees,COUNTIF(INDEX(Attendance!$B$7:$AZ$206,0,att_offset),"1"),IF(ev_split="Equal Split",ev_cost/MAX(1,COUNTA(Roster!$A$5:$A$204)),ev_cost/MAX(1,attendees))),"N/A"))</f>
        <v/>
      </c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9.5" customHeight="1">
      <c r="A558" s="44"/>
      <c r="B558" s="45"/>
      <c r="C558" s="45"/>
      <c r="D558" s="45"/>
      <c r="E558" s="45"/>
      <c r="F558" s="46"/>
      <c r="G558" s="45"/>
      <c r="H558" s="45"/>
      <c r="I558" s="45"/>
      <c r="J558" s="42" t="str">
        <f t="array" ref="J558">IF(G558="","",IFERROR(LET(ev_cost,INDEX(Events!$G$5:$G$506,MATCH(G558,Events!$A$5:$A$506,0)),ev_split,INDEX(Events!$I$5:$I$506,MATCH(G558,Events!$A$5:$A$506,0)),att_offset,MATCH(G558,Attendance!$B$3:$AZ$3,0),attendees,COUNTIF(INDEX(Attendance!$B$7:$AZ$206,0,att_offset),"1"),IF(ev_split="Equal Split",ev_cost/MAX(1,COUNTA(Roster!$A$5:$A$204)),ev_cost/MAX(1,attendees))),"N/A"))</f>
        <v/>
      </c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9.5" customHeight="1">
      <c r="A559" s="47"/>
      <c r="B559" s="48"/>
      <c r="C559" s="48"/>
      <c r="D559" s="48"/>
      <c r="E559" s="48"/>
      <c r="F559" s="51"/>
      <c r="G559" s="48"/>
      <c r="H559" s="48"/>
      <c r="I559" s="48"/>
      <c r="J559" s="42" t="str">
        <f t="array" ref="J559">IF(G559="","",IFERROR(LET(ev_cost,INDEX(Events!$G$5:$G$506,MATCH(G559,Events!$A$5:$A$506,0)),ev_split,INDEX(Events!$I$5:$I$506,MATCH(G559,Events!$A$5:$A$506,0)),att_offset,MATCH(G559,Attendance!$B$3:$AZ$3,0),attendees,COUNTIF(INDEX(Attendance!$B$7:$AZ$206,0,att_offset),"1"),IF(ev_split="Equal Split",ev_cost/MAX(1,COUNTA(Roster!$A$5:$A$204)),ev_cost/MAX(1,attendees))),"N/A"))</f>
        <v/>
      </c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9.5" customHeight="1">
      <c r="A560" s="44"/>
      <c r="B560" s="45"/>
      <c r="C560" s="45"/>
      <c r="D560" s="45"/>
      <c r="E560" s="45"/>
      <c r="F560" s="46"/>
      <c r="G560" s="45"/>
      <c r="H560" s="45"/>
      <c r="I560" s="45"/>
      <c r="J560" s="42" t="str">
        <f t="array" ref="J560">IF(G560="","",IFERROR(LET(ev_cost,INDEX(Events!$G$5:$G$506,MATCH(G560,Events!$A$5:$A$506,0)),ev_split,INDEX(Events!$I$5:$I$506,MATCH(G560,Events!$A$5:$A$506,0)),att_offset,MATCH(G560,Attendance!$B$3:$AZ$3,0),attendees,COUNTIF(INDEX(Attendance!$B$7:$AZ$206,0,att_offset),"1"),IF(ev_split="Equal Split",ev_cost/MAX(1,COUNTA(Roster!$A$5:$A$204)),ev_cost/MAX(1,attendees))),"N/A"))</f>
        <v/>
      </c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9.5" customHeight="1">
      <c r="A561" s="47"/>
      <c r="B561" s="48"/>
      <c r="C561" s="48"/>
      <c r="D561" s="48"/>
      <c r="E561" s="48"/>
      <c r="F561" s="51"/>
      <c r="G561" s="48"/>
      <c r="H561" s="48"/>
      <c r="I561" s="48"/>
      <c r="J561" s="42" t="str">
        <f t="array" ref="J561">IF(G561="","",IFERROR(LET(ev_cost,INDEX(Events!$G$5:$G$506,MATCH(G561,Events!$A$5:$A$506,0)),ev_split,INDEX(Events!$I$5:$I$506,MATCH(G561,Events!$A$5:$A$506,0)),att_offset,MATCH(G561,Attendance!$B$3:$AZ$3,0),attendees,COUNTIF(INDEX(Attendance!$B$7:$AZ$206,0,att_offset),"1"),IF(ev_split="Equal Split",ev_cost/MAX(1,COUNTA(Roster!$A$5:$A$204)),ev_cost/MAX(1,attendees))),"N/A"))</f>
        <v/>
      </c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9.5" customHeight="1">
      <c r="A562" s="44"/>
      <c r="B562" s="45"/>
      <c r="C562" s="45"/>
      <c r="D562" s="45"/>
      <c r="E562" s="45"/>
      <c r="F562" s="46"/>
      <c r="G562" s="45"/>
      <c r="H562" s="45"/>
      <c r="I562" s="45"/>
      <c r="J562" s="42" t="str">
        <f t="array" ref="J562">IF(G562="","",IFERROR(LET(ev_cost,INDEX(Events!$G$5:$G$506,MATCH(G562,Events!$A$5:$A$506,0)),ev_split,INDEX(Events!$I$5:$I$506,MATCH(G562,Events!$A$5:$A$506,0)),att_offset,MATCH(G562,Attendance!$B$3:$AZ$3,0),attendees,COUNTIF(INDEX(Attendance!$B$7:$AZ$206,0,att_offset),"1"),IF(ev_split="Equal Split",ev_cost/MAX(1,COUNTA(Roster!$A$5:$A$204)),ev_cost/MAX(1,attendees))),"N/A"))</f>
        <v/>
      </c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9.5" customHeight="1">
      <c r="A563" s="47"/>
      <c r="B563" s="48"/>
      <c r="C563" s="48"/>
      <c r="D563" s="48"/>
      <c r="E563" s="48"/>
      <c r="F563" s="51"/>
      <c r="G563" s="48"/>
      <c r="H563" s="48"/>
      <c r="I563" s="48"/>
      <c r="J563" s="42" t="str">
        <f t="array" ref="J563">IF(G563="","",IFERROR(LET(ev_cost,INDEX(Events!$G$5:$G$506,MATCH(G563,Events!$A$5:$A$506,0)),ev_split,INDEX(Events!$I$5:$I$506,MATCH(G563,Events!$A$5:$A$506,0)),att_offset,MATCH(G563,Attendance!$B$3:$AZ$3,0),attendees,COUNTIF(INDEX(Attendance!$B$7:$AZ$206,0,att_offset),"1"),IF(ev_split="Equal Split",ev_cost/MAX(1,COUNTA(Roster!$A$5:$A$204)),ev_cost/MAX(1,attendees))),"N/A"))</f>
        <v/>
      </c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9.5" customHeight="1">
      <c r="A564" s="44"/>
      <c r="B564" s="45"/>
      <c r="C564" s="45"/>
      <c r="D564" s="45"/>
      <c r="E564" s="45"/>
      <c r="F564" s="46"/>
      <c r="G564" s="45"/>
      <c r="H564" s="45"/>
      <c r="I564" s="45"/>
      <c r="J564" s="42" t="str">
        <f t="array" ref="J564">IF(G564="","",IFERROR(LET(ev_cost,INDEX(Events!$G$5:$G$506,MATCH(G564,Events!$A$5:$A$506,0)),ev_split,INDEX(Events!$I$5:$I$506,MATCH(G564,Events!$A$5:$A$506,0)),att_offset,MATCH(G564,Attendance!$B$3:$AZ$3,0),attendees,COUNTIF(INDEX(Attendance!$B$7:$AZ$206,0,att_offset),"1"),IF(ev_split="Equal Split",ev_cost/MAX(1,COUNTA(Roster!$A$5:$A$204)),ev_cost/MAX(1,attendees))),"N/A"))</f>
        <v/>
      </c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9.5" customHeight="1">
      <c r="A565" s="47"/>
      <c r="B565" s="48"/>
      <c r="C565" s="48"/>
      <c r="D565" s="48"/>
      <c r="E565" s="48"/>
      <c r="F565" s="51"/>
      <c r="G565" s="48"/>
      <c r="H565" s="48"/>
      <c r="I565" s="48"/>
      <c r="J565" s="42" t="str">
        <f t="array" ref="J565">IF(G565="","",IFERROR(LET(ev_cost,INDEX(Events!$G$5:$G$506,MATCH(G565,Events!$A$5:$A$506,0)),ev_split,INDEX(Events!$I$5:$I$506,MATCH(G565,Events!$A$5:$A$506,0)),att_offset,MATCH(G565,Attendance!$B$3:$AZ$3,0),attendees,COUNTIF(INDEX(Attendance!$B$7:$AZ$206,0,att_offset),"1"),IF(ev_split="Equal Split",ev_cost/MAX(1,COUNTA(Roster!$A$5:$A$204)),ev_cost/MAX(1,attendees))),"N/A"))</f>
        <v/>
      </c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9.5" customHeight="1">
      <c r="A566" s="44"/>
      <c r="B566" s="45"/>
      <c r="C566" s="45"/>
      <c r="D566" s="45"/>
      <c r="E566" s="45"/>
      <c r="F566" s="46"/>
      <c r="G566" s="45"/>
      <c r="H566" s="45"/>
      <c r="I566" s="45"/>
      <c r="J566" s="42" t="str">
        <f t="array" ref="J566">IF(G566="","",IFERROR(LET(ev_cost,INDEX(Events!$G$5:$G$506,MATCH(G566,Events!$A$5:$A$506,0)),ev_split,INDEX(Events!$I$5:$I$506,MATCH(G566,Events!$A$5:$A$506,0)),att_offset,MATCH(G566,Attendance!$B$3:$AZ$3,0),attendees,COUNTIF(INDEX(Attendance!$B$7:$AZ$206,0,att_offset),"1"),IF(ev_split="Equal Split",ev_cost/MAX(1,COUNTA(Roster!$A$5:$A$204)),ev_cost/MAX(1,attendees))),"N/A"))</f>
        <v/>
      </c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9.5" customHeight="1">
      <c r="A567" s="47"/>
      <c r="B567" s="48"/>
      <c r="C567" s="48"/>
      <c r="D567" s="48"/>
      <c r="E567" s="48"/>
      <c r="F567" s="51"/>
      <c r="G567" s="48"/>
      <c r="H567" s="48"/>
      <c r="I567" s="48"/>
      <c r="J567" s="42" t="str">
        <f t="array" ref="J567">IF(G567="","",IFERROR(LET(ev_cost,INDEX(Events!$G$5:$G$506,MATCH(G567,Events!$A$5:$A$506,0)),ev_split,INDEX(Events!$I$5:$I$506,MATCH(G567,Events!$A$5:$A$506,0)),att_offset,MATCH(G567,Attendance!$B$3:$AZ$3,0),attendees,COUNTIF(INDEX(Attendance!$B$7:$AZ$206,0,att_offset),"1"),IF(ev_split="Equal Split",ev_cost/MAX(1,COUNTA(Roster!$A$5:$A$204)),ev_cost/MAX(1,attendees))),"N/A"))</f>
        <v/>
      </c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9.5" customHeight="1">
      <c r="A568" s="44"/>
      <c r="B568" s="45"/>
      <c r="C568" s="45"/>
      <c r="D568" s="45"/>
      <c r="E568" s="45"/>
      <c r="F568" s="46"/>
      <c r="G568" s="45"/>
      <c r="H568" s="45"/>
      <c r="I568" s="45"/>
      <c r="J568" s="42" t="str">
        <f t="array" ref="J568">IF(G568="","",IFERROR(LET(ev_cost,INDEX(Events!$G$5:$G$506,MATCH(G568,Events!$A$5:$A$506,0)),ev_split,INDEX(Events!$I$5:$I$506,MATCH(G568,Events!$A$5:$A$506,0)),att_offset,MATCH(G568,Attendance!$B$3:$AZ$3,0),attendees,COUNTIF(INDEX(Attendance!$B$7:$AZ$206,0,att_offset),"1"),IF(ev_split="Equal Split",ev_cost/MAX(1,COUNTA(Roster!$A$5:$A$204)),ev_cost/MAX(1,attendees))),"N/A"))</f>
        <v/>
      </c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9.5" customHeight="1">
      <c r="A569" s="47"/>
      <c r="B569" s="48"/>
      <c r="C569" s="48"/>
      <c r="D569" s="48"/>
      <c r="E569" s="48"/>
      <c r="F569" s="51"/>
      <c r="G569" s="48"/>
      <c r="H569" s="48"/>
      <c r="I569" s="48"/>
      <c r="J569" s="42" t="str">
        <f t="array" ref="J569">IF(G569="","",IFERROR(LET(ev_cost,INDEX(Events!$G$5:$G$506,MATCH(G569,Events!$A$5:$A$506,0)),ev_split,INDEX(Events!$I$5:$I$506,MATCH(G569,Events!$A$5:$A$506,0)),att_offset,MATCH(G569,Attendance!$B$3:$AZ$3,0),attendees,COUNTIF(INDEX(Attendance!$B$7:$AZ$206,0,att_offset),"1"),IF(ev_split="Equal Split",ev_cost/MAX(1,COUNTA(Roster!$A$5:$A$204)),ev_cost/MAX(1,attendees))),"N/A"))</f>
        <v/>
      </c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9.5" customHeight="1">
      <c r="A570" s="44"/>
      <c r="B570" s="45"/>
      <c r="C570" s="45"/>
      <c r="D570" s="45"/>
      <c r="E570" s="45"/>
      <c r="F570" s="46"/>
      <c r="G570" s="45"/>
      <c r="H570" s="45"/>
      <c r="I570" s="45"/>
      <c r="J570" s="42" t="str">
        <f t="array" ref="J570">IF(G570="","",IFERROR(LET(ev_cost,INDEX(Events!$G$5:$G$506,MATCH(G570,Events!$A$5:$A$506,0)),ev_split,INDEX(Events!$I$5:$I$506,MATCH(G570,Events!$A$5:$A$506,0)),att_offset,MATCH(G570,Attendance!$B$3:$AZ$3,0),attendees,COUNTIF(INDEX(Attendance!$B$7:$AZ$206,0,att_offset),"1"),IF(ev_split="Equal Split",ev_cost/MAX(1,COUNTA(Roster!$A$5:$A$204)),ev_cost/MAX(1,attendees))),"N/A"))</f>
        <v/>
      </c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9.5" customHeight="1">
      <c r="A571" s="47"/>
      <c r="B571" s="48"/>
      <c r="C571" s="48"/>
      <c r="D571" s="48"/>
      <c r="E571" s="48"/>
      <c r="F571" s="51"/>
      <c r="G571" s="48"/>
      <c r="H571" s="48"/>
      <c r="I571" s="48"/>
      <c r="J571" s="42" t="str">
        <f t="array" ref="J571">IF(G571="","",IFERROR(LET(ev_cost,INDEX(Events!$G$5:$G$506,MATCH(G571,Events!$A$5:$A$506,0)),ev_split,INDEX(Events!$I$5:$I$506,MATCH(G571,Events!$A$5:$A$506,0)),att_offset,MATCH(G571,Attendance!$B$3:$AZ$3,0),attendees,COUNTIF(INDEX(Attendance!$B$7:$AZ$206,0,att_offset),"1"),IF(ev_split="Equal Split",ev_cost/MAX(1,COUNTA(Roster!$A$5:$A$204)),ev_cost/MAX(1,attendees))),"N/A"))</f>
        <v/>
      </c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9.5" customHeight="1">
      <c r="A572" s="44"/>
      <c r="B572" s="45"/>
      <c r="C572" s="45"/>
      <c r="D572" s="45"/>
      <c r="E572" s="45"/>
      <c r="F572" s="46"/>
      <c r="G572" s="45"/>
      <c r="H572" s="45"/>
      <c r="I572" s="45"/>
      <c r="J572" s="42" t="str">
        <f t="array" ref="J572">IF(G572="","",IFERROR(LET(ev_cost,INDEX(Events!$G$5:$G$506,MATCH(G572,Events!$A$5:$A$506,0)),ev_split,INDEX(Events!$I$5:$I$506,MATCH(G572,Events!$A$5:$A$506,0)),att_offset,MATCH(G572,Attendance!$B$3:$AZ$3,0),attendees,COUNTIF(INDEX(Attendance!$B$7:$AZ$206,0,att_offset),"1"),IF(ev_split="Equal Split",ev_cost/MAX(1,COUNTA(Roster!$A$5:$A$204)),ev_cost/MAX(1,attendees))),"N/A"))</f>
        <v/>
      </c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9.5" customHeight="1">
      <c r="A573" s="47"/>
      <c r="B573" s="48"/>
      <c r="C573" s="48"/>
      <c r="D573" s="48"/>
      <c r="E573" s="48"/>
      <c r="F573" s="51"/>
      <c r="G573" s="48"/>
      <c r="H573" s="48"/>
      <c r="I573" s="48"/>
      <c r="J573" s="42" t="str">
        <f t="array" ref="J573">IF(G573="","",IFERROR(LET(ev_cost,INDEX(Events!$G$5:$G$506,MATCH(G573,Events!$A$5:$A$506,0)),ev_split,INDEX(Events!$I$5:$I$506,MATCH(G573,Events!$A$5:$A$506,0)),att_offset,MATCH(G573,Attendance!$B$3:$AZ$3,0),attendees,COUNTIF(INDEX(Attendance!$B$7:$AZ$206,0,att_offset),"1"),IF(ev_split="Equal Split",ev_cost/MAX(1,COUNTA(Roster!$A$5:$A$204)),ev_cost/MAX(1,attendees))),"N/A"))</f>
        <v/>
      </c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9.5" customHeight="1">
      <c r="A574" s="44"/>
      <c r="B574" s="45"/>
      <c r="C574" s="45"/>
      <c r="D574" s="45"/>
      <c r="E574" s="45"/>
      <c r="F574" s="46"/>
      <c r="G574" s="45"/>
      <c r="H574" s="45"/>
      <c r="I574" s="45"/>
      <c r="J574" s="42" t="str">
        <f t="array" ref="J574">IF(G574="","",IFERROR(LET(ev_cost,INDEX(Events!$G$5:$G$506,MATCH(G574,Events!$A$5:$A$506,0)),ev_split,INDEX(Events!$I$5:$I$506,MATCH(G574,Events!$A$5:$A$506,0)),att_offset,MATCH(G574,Attendance!$B$3:$AZ$3,0),attendees,COUNTIF(INDEX(Attendance!$B$7:$AZ$206,0,att_offset),"1"),IF(ev_split="Equal Split",ev_cost/MAX(1,COUNTA(Roster!$A$5:$A$204)),ev_cost/MAX(1,attendees))),"N/A"))</f>
        <v/>
      </c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9.5" customHeight="1">
      <c r="A575" s="47"/>
      <c r="B575" s="48"/>
      <c r="C575" s="48"/>
      <c r="D575" s="48"/>
      <c r="E575" s="48"/>
      <c r="F575" s="51"/>
      <c r="G575" s="48"/>
      <c r="H575" s="48"/>
      <c r="I575" s="48"/>
      <c r="J575" s="42" t="str">
        <f t="array" ref="J575">IF(G575="","",IFERROR(LET(ev_cost,INDEX(Events!$G$5:$G$506,MATCH(G575,Events!$A$5:$A$506,0)),ev_split,INDEX(Events!$I$5:$I$506,MATCH(G575,Events!$A$5:$A$506,0)),att_offset,MATCH(G575,Attendance!$B$3:$AZ$3,0),attendees,COUNTIF(INDEX(Attendance!$B$7:$AZ$206,0,att_offset),"1"),IF(ev_split="Equal Split",ev_cost/MAX(1,COUNTA(Roster!$A$5:$A$204)),ev_cost/MAX(1,attendees))),"N/A"))</f>
        <v/>
      </c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9.5" customHeight="1">
      <c r="A576" s="44"/>
      <c r="B576" s="45"/>
      <c r="C576" s="45"/>
      <c r="D576" s="45"/>
      <c r="E576" s="45"/>
      <c r="F576" s="46"/>
      <c r="G576" s="45"/>
      <c r="H576" s="45"/>
      <c r="I576" s="45"/>
      <c r="J576" s="42" t="str">
        <f t="array" ref="J576">IF(G576="","",IFERROR(LET(ev_cost,INDEX(Events!$G$5:$G$506,MATCH(G576,Events!$A$5:$A$506,0)),ev_split,INDEX(Events!$I$5:$I$506,MATCH(G576,Events!$A$5:$A$506,0)),att_offset,MATCH(G576,Attendance!$B$3:$AZ$3,0),attendees,COUNTIF(INDEX(Attendance!$B$7:$AZ$206,0,att_offset),"1"),IF(ev_split="Equal Split",ev_cost/MAX(1,COUNTA(Roster!$A$5:$A$204)),ev_cost/MAX(1,attendees))),"N/A"))</f>
        <v/>
      </c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9.5" customHeight="1">
      <c r="A577" s="47"/>
      <c r="B577" s="48"/>
      <c r="C577" s="48"/>
      <c r="D577" s="48"/>
      <c r="E577" s="48"/>
      <c r="F577" s="51"/>
      <c r="G577" s="48"/>
      <c r="H577" s="48"/>
      <c r="I577" s="48"/>
      <c r="J577" s="42" t="str">
        <f t="array" ref="J577">IF(G577="","",IFERROR(LET(ev_cost,INDEX(Events!$G$5:$G$506,MATCH(G577,Events!$A$5:$A$506,0)),ev_split,INDEX(Events!$I$5:$I$506,MATCH(G577,Events!$A$5:$A$506,0)),att_offset,MATCH(G577,Attendance!$B$3:$AZ$3,0),attendees,COUNTIF(INDEX(Attendance!$B$7:$AZ$206,0,att_offset),"1"),IF(ev_split="Equal Split",ev_cost/MAX(1,COUNTA(Roster!$A$5:$A$204)),ev_cost/MAX(1,attendees))),"N/A"))</f>
        <v/>
      </c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9.5" customHeight="1">
      <c r="A578" s="44"/>
      <c r="B578" s="45"/>
      <c r="C578" s="45"/>
      <c r="D578" s="45"/>
      <c r="E578" s="45"/>
      <c r="F578" s="46"/>
      <c r="G578" s="45"/>
      <c r="H578" s="45"/>
      <c r="I578" s="45"/>
      <c r="J578" s="42" t="str">
        <f t="array" ref="J578">IF(G578="","",IFERROR(LET(ev_cost,INDEX(Events!$G$5:$G$506,MATCH(G578,Events!$A$5:$A$506,0)),ev_split,INDEX(Events!$I$5:$I$506,MATCH(G578,Events!$A$5:$A$506,0)),att_offset,MATCH(G578,Attendance!$B$3:$AZ$3,0),attendees,COUNTIF(INDEX(Attendance!$B$7:$AZ$206,0,att_offset),"1"),IF(ev_split="Equal Split",ev_cost/MAX(1,COUNTA(Roster!$A$5:$A$204)),ev_cost/MAX(1,attendees))),"N/A"))</f>
        <v/>
      </c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9.5" customHeight="1">
      <c r="A579" s="47"/>
      <c r="B579" s="48"/>
      <c r="C579" s="48"/>
      <c r="D579" s="48"/>
      <c r="E579" s="48"/>
      <c r="F579" s="51"/>
      <c r="G579" s="48"/>
      <c r="H579" s="48"/>
      <c r="I579" s="48"/>
      <c r="J579" s="42" t="str">
        <f t="array" ref="J579">IF(G579="","",IFERROR(LET(ev_cost,INDEX(Events!$G$5:$G$506,MATCH(G579,Events!$A$5:$A$506,0)),ev_split,INDEX(Events!$I$5:$I$506,MATCH(G579,Events!$A$5:$A$506,0)),att_offset,MATCH(G579,Attendance!$B$3:$AZ$3,0),attendees,COUNTIF(INDEX(Attendance!$B$7:$AZ$206,0,att_offset),"1"),IF(ev_split="Equal Split",ev_cost/MAX(1,COUNTA(Roster!$A$5:$A$204)),ev_cost/MAX(1,attendees))),"N/A"))</f>
        <v/>
      </c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9.5" customHeight="1">
      <c r="A580" s="44"/>
      <c r="B580" s="45"/>
      <c r="C580" s="45"/>
      <c r="D580" s="45"/>
      <c r="E580" s="45"/>
      <c r="F580" s="46"/>
      <c r="G580" s="45"/>
      <c r="H580" s="45"/>
      <c r="I580" s="45"/>
      <c r="J580" s="42" t="str">
        <f t="array" ref="J580">IF(G580="","",IFERROR(LET(ev_cost,INDEX(Events!$G$5:$G$506,MATCH(G580,Events!$A$5:$A$506,0)),ev_split,INDEX(Events!$I$5:$I$506,MATCH(G580,Events!$A$5:$A$506,0)),att_offset,MATCH(G580,Attendance!$B$3:$AZ$3,0),attendees,COUNTIF(INDEX(Attendance!$B$7:$AZ$206,0,att_offset),"1"),IF(ev_split="Equal Split",ev_cost/MAX(1,COUNTA(Roster!$A$5:$A$204)),ev_cost/MAX(1,attendees))),"N/A"))</f>
        <v/>
      </c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9.5" customHeight="1">
      <c r="A581" s="47"/>
      <c r="B581" s="48"/>
      <c r="C581" s="48"/>
      <c r="D581" s="48"/>
      <c r="E581" s="48"/>
      <c r="F581" s="51"/>
      <c r="G581" s="48"/>
      <c r="H581" s="48"/>
      <c r="I581" s="48"/>
      <c r="J581" s="42" t="str">
        <f t="array" ref="J581">IF(G581="","",IFERROR(LET(ev_cost,INDEX(Events!$G$5:$G$506,MATCH(G581,Events!$A$5:$A$506,0)),ev_split,INDEX(Events!$I$5:$I$506,MATCH(G581,Events!$A$5:$A$506,0)),att_offset,MATCH(G581,Attendance!$B$3:$AZ$3,0),attendees,COUNTIF(INDEX(Attendance!$B$7:$AZ$206,0,att_offset),"1"),IF(ev_split="Equal Split",ev_cost/MAX(1,COUNTA(Roster!$A$5:$A$204)),ev_cost/MAX(1,attendees))),"N/A"))</f>
        <v/>
      </c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9.5" customHeight="1">
      <c r="A582" s="44"/>
      <c r="B582" s="45"/>
      <c r="C582" s="45"/>
      <c r="D582" s="45"/>
      <c r="E582" s="45"/>
      <c r="F582" s="46"/>
      <c r="G582" s="45"/>
      <c r="H582" s="45"/>
      <c r="I582" s="45"/>
      <c r="J582" s="42" t="str">
        <f t="array" ref="J582">IF(G582="","",IFERROR(LET(ev_cost,INDEX(Events!$G$5:$G$506,MATCH(G582,Events!$A$5:$A$506,0)),ev_split,INDEX(Events!$I$5:$I$506,MATCH(G582,Events!$A$5:$A$506,0)),att_offset,MATCH(G582,Attendance!$B$3:$AZ$3,0),attendees,COUNTIF(INDEX(Attendance!$B$7:$AZ$206,0,att_offset),"1"),IF(ev_split="Equal Split",ev_cost/MAX(1,COUNTA(Roster!$A$5:$A$204)),ev_cost/MAX(1,attendees))),"N/A"))</f>
        <v/>
      </c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9.5" customHeight="1">
      <c r="A583" s="47"/>
      <c r="B583" s="48"/>
      <c r="C583" s="48"/>
      <c r="D583" s="48"/>
      <c r="E583" s="48"/>
      <c r="F583" s="51"/>
      <c r="G583" s="48"/>
      <c r="H583" s="48"/>
      <c r="I583" s="48"/>
      <c r="J583" s="42" t="str">
        <f t="array" ref="J583">IF(G583="","",IFERROR(LET(ev_cost,INDEX(Events!$G$5:$G$506,MATCH(G583,Events!$A$5:$A$506,0)),ev_split,INDEX(Events!$I$5:$I$506,MATCH(G583,Events!$A$5:$A$506,0)),att_offset,MATCH(G583,Attendance!$B$3:$AZ$3,0),attendees,COUNTIF(INDEX(Attendance!$B$7:$AZ$206,0,att_offset),"1"),IF(ev_split="Equal Split",ev_cost/MAX(1,COUNTA(Roster!$A$5:$A$204)),ev_cost/MAX(1,attendees))),"N/A"))</f>
        <v/>
      </c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9.5" customHeight="1">
      <c r="A584" s="44"/>
      <c r="B584" s="45"/>
      <c r="C584" s="45"/>
      <c r="D584" s="45"/>
      <c r="E584" s="45"/>
      <c r="F584" s="46"/>
      <c r="G584" s="45"/>
      <c r="H584" s="45"/>
      <c r="I584" s="45"/>
      <c r="J584" s="42" t="str">
        <f t="array" ref="J584">IF(G584="","",IFERROR(LET(ev_cost,INDEX(Events!$G$5:$G$506,MATCH(G584,Events!$A$5:$A$506,0)),ev_split,INDEX(Events!$I$5:$I$506,MATCH(G584,Events!$A$5:$A$506,0)),att_offset,MATCH(G584,Attendance!$B$3:$AZ$3,0),attendees,COUNTIF(INDEX(Attendance!$B$7:$AZ$206,0,att_offset),"1"),IF(ev_split="Equal Split",ev_cost/MAX(1,COUNTA(Roster!$A$5:$A$204)),ev_cost/MAX(1,attendees))),"N/A"))</f>
        <v/>
      </c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9.5" customHeight="1">
      <c r="A585" s="47"/>
      <c r="B585" s="48"/>
      <c r="C585" s="48"/>
      <c r="D585" s="48"/>
      <c r="E585" s="48"/>
      <c r="F585" s="51"/>
      <c r="G585" s="48"/>
      <c r="H585" s="48"/>
      <c r="I585" s="48"/>
      <c r="J585" s="42" t="str">
        <f t="array" ref="J585">IF(G585="","",IFERROR(LET(ev_cost,INDEX(Events!$G$5:$G$506,MATCH(G585,Events!$A$5:$A$506,0)),ev_split,INDEX(Events!$I$5:$I$506,MATCH(G585,Events!$A$5:$A$506,0)),att_offset,MATCH(G585,Attendance!$B$3:$AZ$3,0),attendees,COUNTIF(INDEX(Attendance!$B$7:$AZ$206,0,att_offset),"1"),IF(ev_split="Equal Split",ev_cost/MAX(1,COUNTA(Roster!$A$5:$A$204)),ev_cost/MAX(1,attendees))),"N/A"))</f>
        <v/>
      </c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9.5" customHeight="1">
      <c r="A586" s="44"/>
      <c r="B586" s="45"/>
      <c r="C586" s="45"/>
      <c r="D586" s="45"/>
      <c r="E586" s="45"/>
      <c r="F586" s="46"/>
      <c r="G586" s="45"/>
      <c r="H586" s="45"/>
      <c r="I586" s="45"/>
      <c r="J586" s="42" t="str">
        <f t="array" ref="J586">IF(G586="","",IFERROR(LET(ev_cost,INDEX(Events!$G$5:$G$506,MATCH(G586,Events!$A$5:$A$506,0)),ev_split,INDEX(Events!$I$5:$I$506,MATCH(G586,Events!$A$5:$A$506,0)),att_offset,MATCH(G586,Attendance!$B$3:$AZ$3,0),attendees,COUNTIF(INDEX(Attendance!$B$7:$AZ$206,0,att_offset),"1"),IF(ev_split="Equal Split",ev_cost/MAX(1,COUNTA(Roster!$A$5:$A$204)),ev_cost/MAX(1,attendees))),"N/A"))</f>
        <v/>
      </c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9.5" customHeight="1">
      <c r="A587" s="47"/>
      <c r="B587" s="48"/>
      <c r="C587" s="48"/>
      <c r="D587" s="48"/>
      <c r="E587" s="48"/>
      <c r="F587" s="51"/>
      <c r="G587" s="48"/>
      <c r="H587" s="48"/>
      <c r="I587" s="48"/>
      <c r="J587" s="42" t="str">
        <f t="array" ref="J587">IF(G587="","",IFERROR(LET(ev_cost,INDEX(Events!$G$5:$G$506,MATCH(G587,Events!$A$5:$A$506,0)),ev_split,INDEX(Events!$I$5:$I$506,MATCH(G587,Events!$A$5:$A$506,0)),att_offset,MATCH(G587,Attendance!$B$3:$AZ$3,0),attendees,COUNTIF(INDEX(Attendance!$B$7:$AZ$206,0,att_offset),"1"),IF(ev_split="Equal Split",ev_cost/MAX(1,COUNTA(Roster!$A$5:$A$204)),ev_cost/MAX(1,attendees))),"N/A"))</f>
        <v/>
      </c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9.5" customHeight="1">
      <c r="A588" s="44"/>
      <c r="B588" s="45"/>
      <c r="C588" s="45"/>
      <c r="D588" s="45"/>
      <c r="E588" s="45"/>
      <c r="F588" s="46"/>
      <c r="G588" s="45"/>
      <c r="H588" s="45"/>
      <c r="I588" s="45"/>
      <c r="J588" s="42" t="str">
        <f t="array" ref="J588">IF(G588="","",IFERROR(LET(ev_cost,INDEX(Events!$G$5:$G$506,MATCH(G588,Events!$A$5:$A$506,0)),ev_split,INDEX(Events!$I$5:$I$506,MATCH(G588,Events!$A$5:$A$506,0)),att_offset,MATCH(G588,Attendance!$B$3:$AZ$3,0),attendees,COUNTIF(INDEX(Attendance!$B$7:$AZ$206,0,att_offset),"1"),IF(ev_split="Equal Split",ev_cost/MAX(1,COUNTA(Roster!$A$5:$A$204)),ev_cost/MAX(1,attendees))),"N/A"))</f>
        <v/>
      </c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9.5" customHeight="1">
      <c r="A589" s="47"/>
      <c r="B589" s="48"/>
      <c r="C589" s="48"/>
      <c r="D589" s="48"/>
      <c r="E589" s="48"/>
      <c r="F589" s="51"/>
      <c r="G589" s="48"/>
      <c r="H589" s="48"/>
      <c r="I589" s="48"/>
      <c r="J589" s="42" t="str">
        <f t="array" ref="J589">IF(G589="","",IFERROR(LET(ev_cost,INDEX(Events!$G$5:$G$506,MATCH(G589,Events!$A$5:$A$506,0)),ev_split,INDEX(Events!$I$5:$I$506,MATCH(G589,Events!$A$5:$A$506,0)),att_offset,MATCH(G589,Attendance!$B$3:$AZ$3,0),attendees,COUNTIF(INDEX(Attendance!$B$7:$AZ$206,0,att_offset),"1"),IF(ev_split="Equal Split",ev_cost/MAX(1,COUNTA(Roster!$A$5:$A$204)),ev_cost/MAX(1,attendees))),"N/A"))</f>
        <v/>
      </c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9.5" customHeight="1">
      <c r="A590" s="44"/>
      <c r="B590" s="45"/>
      <c r="C590" s="45"/>
      <c r="D590" s="45"/>
      <c r="E590" s="45"/>
      <c r="F590" s="46"/>
      <c r="G590" s="45"/>
      <c r="H590" s="45"/>
      <c r="I590" s="45"/>
      <c r="J590" s="42" t="str">
        <f t="array" ref="J590">IF(G590="","",IFERROR(LET(ev_cost,INDEX(Events!$G$5:$G$506,MATCH(G590,Events!$A$5:$A$506,0)),ev_split,INDEX(Events!$I$5:$I$506,MATCH(G590,Events!$A$5:$A$506,0)),att_offset,MATCH(G590,Attendance!$B$3:$AZ$3,0),attendees,COUNTIF(INDEX(Attendance!$B$7:$AZ$206,0,att_offset),"1"),IF(ev_split="Equal Split",ev_cost/MAX(1,COUNTA(Roster!$A$5:$A$204)),ev_cost/MAX(1,attendees))),"N/A"))</f>
        <v/>
      </c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9.5" customHeight="1">
      <c r="A591" s="47"/>
      <c r="B591" s="48"/>
      <c r="C591" s="48"/>
      <c r="D591" s="48"/>
      <c r="E591" s="48"/>
      <c r="F591" s="51"/>
      <c r="G591" s="48"/>
      <c r="H591" s="48"/>
      <c r="I591" s="48"/>
      <c r="J591" s="42" t="str">
        <f t="array" ref="J591">IF(G591="","",IFERROR(LET(ev_cost,INDEX(Events!$G$5:$G$506,MATCH(G591,Events!$A$5:$A$506,0)),ev_split,INDEX(Events!$I$5:$I$506,MATCH(G591,Events!$A$5:$A$506,0)),att_offset,MATCH(G591,Attendance!$B$3:$AZ$3,0),attendees,COUNTIF(INDEX(Attendance!$B$7:$AZ$206,0,att_offset),"1"),IF(ev_split="Equal Split",ev_cost/MAX(1,COUNTA(Roster!$A$5:$A$204)),ev_cost/MAX(1,attendees))),"N/A"))</f>
        <v/>
      </c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9.5" customHeight="1">
      <c r="A592" s="44"/>
      <c r="B592" s="45"/>
      <c r="C592" s="45"/>
      <c r="D592" s="45"/>
      <c r="E592" s="45"/>
      <c r="F592" s="46"/>
      <c r="G592" s="45"/>
      <c r="H592" s="45"/>
      <c r="I592" s="45"/>
      <c r="J592" s="42" t="str">
        <f t="array" ref="J592">IF(G592="","",IFERROR(LET(ev_cost,INDEX(Events!$G$5:$G$506,MATCH(G592,Events!$A$5:$A$506,0)),ev_split,INDEX(Events!$I$5:$I$506,MATCH(G592,Events!$A$5:$A$506,0)),att_offset,MATCH(G592,Attendance!$B$3:$AZ$3,0),attendees,COUNTIF(INDEX(Attendance!$B$7:$AZ$206,0,att_offset),"1"),IF(ev_split="Equal Split",ev_cost/MAX(1,COUNTA(Roster!$A$5:$A$204)),ev_cost/MAX(1,attendees))),"N/A"))</f>
        <v/>
      </c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9.5" customHeight="1">
      <c r="A593" s="47"/>
      <c r="B593" s="48"/>
      <c r="C593" s="48"/>
      <c r="D593" s="48"/>
      <c r="E593" s="48"/>
      <c r="F593" s="51"/>
      <c r="G593" s="48"/>
      <c r="H593" s="48"/>
      <c r="I593" s="48"/>
      <c r="J593" s="42" t="str">
        <f t="array" ref="J593">IF(G593="","",IFERROR(LET(ev_cost,INDEX(Events!$G$5:$G$506,MATCH(G593,Events!$A$5:$A$506,0)),ev_split,INDEX(Events!$I$5:$I$506,MATCH(G593,Events!$A$5:$A$506,0)),att_offset,MATCH(G593,Attendance!$B$3:$AZ$3,0),attendees,COUNTIF(INDEX(Attendance!$B$7:$AZ$206,0,att_offset),"1"),IF(ev_split="Equal Split",ev_cost/MAX(1,COUNTA(Roster!$A$5:$A$204)),ev_cost/MAX(1,attendees))),"N/A"))</f>
        <v/>
      </c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9.5" customHeight="1">
      <c r="A594" s="44"/>
      <c r="B594" s="45"/>
      <c r="C594" s="45"/>
      <c r="D594" s="45"/>
      <c r="E594" s="45"/>
      <c r="F594" s="46"/>
      <c r="G594" s="45"/>
      <c r="H594" s="45"/>
      <c r="I594" s="45"/>
      <c r="J594" s="42" t="str">
        <f t="array" ref="J594">IF(G594="","",IFERROR(LET(ev_cost,INDEX(Events!$G$5:$G$506,MATCH(G594,Events!$A$5:$A$506,0)),ev_split,INDEX(Events!$I$5:$I$506,MATCH(G594,Events!$A$5:$A$506,0)),att_offset,MATCH(G594,Attendance!$B$3:$AZ$3,0),attendees,COUNTIF(INDEX(Attendance!$B$7:$AZ$206,0,att_offset),"1"),IF(ev_split="Equal Split",ev_cost/MAX(1,COUNTA(Roster!$A$5:$A$204)),ev_cost/MAX(1,attendees))),"N/A"))</f>
        <v/>
      </c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9.5" customHeight="1">
      <c r="A595" s="47"/>
      <c r="B595" s="48"/>
      <c r="C595" s="48"/>
      <c r="D595" s="48"/>
      <c r="E595" s="48"/>
      <c r="F595" s="51"/>
      <c r="G595" s="48"/>
      <c r="H595" s="48"/>
      <c r="I595" s="48"/>
      <c r="J595" s="42" t="str">
        <f t="array" ref="J595">IF(G595="","",IFERROR(LET(ev_cost,INDEX(Events!$G$5:$G$506,MATCH(G595,Events!$A$5:$A$506,0)),ev_split,INDEX(Events!$I$5:$I$506,MATCH(G595,Events!$A$5:$A$506,0)),att_offset,MATCH(G595,Attendance!$B$3:$AZ$3,0),attendees,COUNTIF(INDEX(Attendance!$B$7:$AZ$206,0,att_offset),"1"),IF(ev_split="Equal Split",ev_cost/MAX(1,COUNTA(Roster!$A$5:$A$204)),ev_cost/MAX(1,attendees))),"N/A"))</f>
        <v/>
      </c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9.5" customHeight="1">
      <c r="A596" s="44"/>
      <c r="B596" s="45"/>
      <c r="C596" s="45"/>
      <c r="D596" s="45"/>
      <c r="E596" s="45"/>
      <c r="F596" s="46"/>
      <c r="G596" s="45"/>
      <c r="H596" s="45"/>
      <c r="I596" s="45"/>
      <c r="J596" s="42" t="str">
        <f t="array" ref="J596">IF(G596="","",IFERROR(LET(ev_cost,INDEX(Events!$G$5:$G$506,MATCH(G596,Events!$A$5:$A$506,0)),ev_split,INDEX(Events!$I$5:$I$506,MATCH(G596,Events!$A$5:$A$506,0)),att_offset,MATCH(G596,Attendance!$B$3:$AZ$3,0),attendees,COUNTIF(INDEX(Attendance!$B$7:$AZ$206,0,att_offset),"1"),IF(ev_split="Equal Split",ev_cost/MAX(1,COUNTA(Roster!$A$5:$A$204)),ev_cost/MAX(1,attendees))),"N/A"))</f>
        <v/>
      </c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9.5" customHeight="1">
      <c r="A597" s="47"/>
      <c r="B597" s="48"/>
      <c r="C597" s="48"/>
      <c r="D597" s="48"/>
      <c r="E597" s="48"/>
      <c r="F597" s="51"/>
      <c r="G597" s="48"/>
      <c r="H597" s="48"/>
      <c r="I597" s="48"/>
      <c r="J597" s="42" t="str">
        <f t="array" ref="J597">IF(G597="","",IFERROR(LET(ev_cost,INDEX(Events!$G$5:$G$506,MATCH(G597,Events!$A$5:$A$506,0)),ev_split,INDEX(Events!$I$5:$I$506,MATCH(G597,Events!$A$5:$A$506,0)),att_offset,MATCH(G597,Attendance!$B$3:$AZ$3,0),attendees,COUNTIF(INDEX(Attendance!$B$7:$AZ$206,0,att_offset),"1"),IF(ev_split="Equal Split",ev_cost/MAX(1,COUNTA(Roster!$A$5:$A$204)),ev_cost/MAX(1,attendees))),"N/A"))</f>
        <v/>
      </c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9.5" customHeight="1">
      <c r="A598" s="44"/>
      <c r="B598" s="45"/>
      <c r="C598" s="45"/>
      <c r="D598" s="45"/>
      <c r="E598" s="45"/>
      <c r="F598" s="46"/>
      <c r="G598" s="45"/>
      <c r="H598" s="45"/>
      <c r="I598" s="45"/>
      <c r="J598" s="42" t="str">
        <f t="array" ref="J598">IF(G598="","",IFERROR(LET(ev_cost,INDEX(Events!$G$5:$G$506,MATCH(G598,Events!$A$5:$A$506,0)),ev_split,INDEX(Events!$I$5:$I$506,MATCH(G598,Events!$A$5:$A$506,0)),att_offset,MATCH(G598,Attendance!$B$3:$AZ$3,0),attendees,COUNTIF(INDEX(Attendance!$B$7:$AZ$206,0,att_offset),"1"),IF(ev_split="Equal Split",ev_cost/MAX(1,COUNTA(Roster!$A$5:$A$204)),ev_cost/MAX(1,attendees))),"N/A"))</f>
        <v/>
      </c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9.5" customHeight="1">
      <c r="A599" s="47"/>
      <c r="B599" s="48"/>
      <c r="C599" s="48"/>
      <c r="D599" s="48"/>
      <c r="E599" s="48"/>
      <c r="F599" s="51"/>
      <c r="G599" s="48"/>
      <c r="H599" s="48"/>
      <c r="I599" s="48"/>
      <c r="J599" s="42" t="str">
        <f t="array" ref="J599">IF(G599="","",IFERROR(LET(ev_cost,INDEX(Events!$G$5:$G$506,MATCH(G599,Events!$A$5:$A$506,0)),ev_split,INDEX(Events!$I$5:$I$506,MATCH(G599,Events!$A$5:$A$506,0)),att_offset,MATCH(G599,Attendance!$B$3:$AZ$3,0),attendees,COUNTIF(INDEX(Attendance!$B$7:$AZ$206,0,att_offset),"1"),IF(ev_split="Equal Split",ev_cost/MAX(1,COUNTA(Roster!$A$5:$A$204)),ev_cost/MAX(1,attendees))),"N/A"))</f>
        <v/>
      </c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9.5" customHeight="1">
      <c r="A600" s="44"/>
      <c r="B600" s="45"/>
      <c r="C600" s="45"/>
      <c r="D600" s="45"/>
      <c r="E600" s="45"/>
      <c r="F600" s="46"/>
      <c r="G600" s="45"/>
      <c r="H600" s="45"/>
      <c r="I600" s="45"/>
      <c r="J600" s="42" t="str">
        <f t="array" ref="J600">IF(G600="","",IFERROR(LET(ev_cost,INDEX(Events!$G$5:$G$506,MATCH(G600,Events!$A$5:$A$506,0)),ev_split,INDEX(Events!$I$5:$I$506,MATCH(G600,Events!$A$5:$A$506,0)),att_offset,MATCH(G600,Attendance!$B$3:$AZ$3,0),attendees,COUNTIF(INDEX(Attendance!$B$7:$AZ$206,0,att_offset),"1"),IF(ev_split="Equal Split",ev_cost/MAX(1,COUNTA(Roster!$A$5:$A$204)),ev_cost/MAX(1,attendees))),"N/A"))</f>
        <v/>
      </c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9.5" customHeight="1">
      <c r="A601" s="47"/>
      <c r="B601" s="48"/>
      <c r="C601" s="48"/>
      <c r="D601" s="48"/>
      <c r="E601" s="48"/>
      <c r="F601" s="51"/>
      <c r="G601" s="48"/>
      <c r="H601" s="48"/>
      <c r="I601" s="48"/>
      <c r="J601" s="42" t="str">
        <f t="array" ref="J601">IF(G601="","",IFERROR(LET(ev_cost,INDEX(Events!$G$5:$G$506,MATCH(G601,Events!$A$5:$A$506,0)),ev_split,INDEX(Events!$I$5:$I$506,MATCH(G601,Events!$A$5:$A$506,0)),att_offset,MATCH(G601,Attendance!$B$3:$AZ$3,0),attendees,COUNTIF(INDEX(Attendance!$B$7:$AZ$206,0,att_offset),"1"),IF(ev_split="Equal Split",ev_cost/MAX(1,COUNTA(Roster!$A$5:$A$204)),ev_cost/MAX(1,attendees))),"N/A"))</f>
        <v/>
      </c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9.5" customHeight="1">
      <c r="A602" s="44"/>
      <c r="B602" s="45"/>
      <c r="C602" s="45"/>
      <c r="D602" s="45"/>
      <c r="E602" s="45"/>
      <c r="F602" s="46"/>
      <c r="G602" s="45"/>
      <c r="H602" s="45"/>
      <c r="I602" s="45"/>
      <c r="J602" s="42" t="str">
        <f t="array" ref="J602">IF(G602="","",IFERROR(LET(ev_cost,INDEX(Events!$G$5:$G$506,MATCH(G602,Events!$A$5:$A$506,0)),ev_split,INDEX(Events!$I$5:$I$506,MATCH(G602,Events!$A$5:$A$506,0)),att_offset,MATCH(G602,Attendance!$B$3:$AZ$3,0),attendees,COUNTIF(INDEX(Attendance!$B$7:$AZ$206,0,att_offset),"1"),IF(ev_split="Equal Split",ev_cost/MAX(1,COUNTA(Roster!$A$5:$A$204)),ev_cost/MAX(1,attendees))),"N/A"))</f>
        <v/>
      </c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9.5" customHeight="1">
      <c r="A603" s="47"/>
      <c r="B603" s="48"/>
      <c r="C603" s="48"/>
      <c r="D603" s="48"/>
      <c r="E603" s="48"/>
      <c r="F603" s="51"/>
      <c r="G603" s="48"/>
      <c r="H603" s="48"/>
      <c r="I603" s="48"/>
      <c r="J603" s="42" t="str">
        <f t="array" ref="J603">IF(G603="","",IFERROR(LET(ev_cost,INDEX(Events!$G$5:$G$506,MATCH(G603,Events!$A$5:$A$506,0)),ev_split,INDEX(Events!$I$5:$I$506,MATCH(G603,Events!$A$5:$A$506,0)),att_offset,MATCH(G603,Attendance!$B$3:$AZ$3,0),attendees,COUNTIF(INDEX(Attendance!$B$7:$AZ$206,0,att_offset),"1"),IF(ev_split="Equal Split",ev_cost/MAX(1,COUNTA(Roster!$A$5:$A$204)),ev_cost/MAX(1,attendees))),"N/A"))</f>
        <v/>
      </c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9.5" customHeight="1">
      <c r="A604" s="44"/>
      <c r="B604" s="45"/>
      <c r="C604" s="45"/>
      <c r="D604" s="45"/>
      <c r="E604" s="45"/>
      <c r="F604" s="46"/>
      <c r="G604" s="45"/>
      <c r="H604" s="45"/>
      <c r="I604" s="45"/>
      <c r="J604" s="42" t="str">
        <f t="array" ref="J604">IF(G604="","",IFERROR(LET(ev_cost,INDEX(Events!$G$5:$G$506,MATCH(G604,Events!$A$5:$A$506,0)),ev_split,INDEX(Events!$I$5:$I$506,MATCH(G604,Events!$A$5:$A$506,0)),att_offset,MATCH(G604,Attendance!$B$3:$AZ$3,0),attendees,COUNTIF(INDEX(Attendance!$B$7:$AZ$206,0,att_offset),"1"),IF(ev_split="Equal Split",ev_cost/MAX(1,COUNTA(Roster!$A$5:$A$204)),ev_cost/MAX(1,attendees))),"N/A"))</f>
        <v/>
      </c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9.5" customHeight="1">
      <c r="A605" s="47"/>
      <c r="B605" s="48"/>
      <c r="C605" s="48"/>
      <c r="D605" s="48"/>
      <c r="E605" s="48"/>
      <c r="F605" s="51"/>
      <c r="G605" s="48"/>
      <c r="H605" s="48"/>
      <c r="I605" s="48"/>
      <c r="J605" s="42" t="str">
        <f t="array" ref="J605">IF(G605="","",IFERROR(LET(ev_cost,INDEX(Events!$G$5:$G$506,MATCH(G605,Events!$A$5:$A$506,0)),ev_split,INDEX(Events!$I$5:$I$506,MATCH(G605,Events!$A$5:$A$506,0)),att_offset,MATCH(G605,Attendance!$B$3:$AZ$3,0),attendees,COUNTIF(INDEX(Attendance!$B$7:$AZ$206,0,att_offset),"1"),IF(ev_split="Equal Split",ev_cost/MAX(1,COUNTA(Roster!$A$5:$A$204)),ev_cost/MAX(1,attendees))),"N/A"))</f>
        <v/>
      </c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9.5" customHeight="1">
      <c r="A606" s="44"/>
      <c r="B606" s="45"/>
      <c r="C606" s="45"/>
      <c r="D606" s="45"/>
      <c r="E606" s="45"/>
      <c r="F606" s="46"/>
      <c r="G606" s="45"/>
      <c r="H606" s="45"/>
      <c r="I606" s="45"/>
      <c r="J606" s="42" t="str">
        <f t="array" ref="J606">IF(G606="","",IFERROR(LET(ev_cost,INDEX(Events!$G$5:$G$506,MATCH(G606,Events!$A$5:$A$506,0)),ev_split,INDEX(Events!$I$5:$I$506,MATCH(G606,Events!$A$5:$A$506,0)),att_offset,MATCH(G606,Attendance!$B$3:$AZ$3,0),attendees,COUNTIF(INDEX(Attendance!$B$7:$AZ$206,0,att_offset),"1"),IF(ev_split="Equal Split",ev_cost/MAX(1,COUNTA(Roster!$A$5:$A$204)),ev_cost/MAX(1,attendees))),"N/A"))</f>
        <v/>
      </c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9.5" customHeight="1">
      <c r="A607" s="47"/>
      <c r="B607" s="48"/>
      <c r="C607" s="48"/>
      <c r="D607" s="48"/>
      <c r="E607" s="48"/>
      <c r="F607" s="51"/>
      <c r="G607" s="48"/>
      <c r="H607" s="48"/>
      <c r="I607" s="48"/>
      <c r="J607" s="42" t="str">
        <f t="array" ref="J607">IF(G607="","",IFERROR(LET(ev_cost,INDEX(Events!$G$5:$G$506,MATCH(G607,Events!$A$5:$A$506,0)),ev_split,INDEX(Events!$I$5:$I$506,MATCH(G607,Events!$A$5:$A$506,0)),att_offset,MATCH(G607,Attendance!$B$3:$AZ$3,0),attendees,COUNTIF(INDEX(Attendance!$B$7:$AZ$206,0,att_offset),"1"),IF(ev_split="Equal Split",ev_cost/MAX(1,COUNTA(Roster!$A$5:$A$204)),ev_cost/MAX(1,attendees))),"N/A"))</f>
        <v/>
      </c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9.5" customHeight="1">
      <c r="A608" s="44"/>
      <c r="B608" s="45"/>
      <c r="C608" s="45"/>
      <c r="D608" s="45"/>
      <c r="E608" s="45"/>
      <c r="F608" s="46"/>
      <c r="G608" s="45"/>
      <c r="H608" s="45"/>
      <c r="I608" s="45"/>
      <c r="J608" s="42" t="str">
        <f t="array" ref="J608">IF(G608="","",IFERROR(LET(ev_cost,INDEX(Events!$G$5:$G$506,MATCH(G608,Events!$A$5:$A$506,0)),ev_split,INDEX(Events!$I$5:$I$506,MATCH(G608,Events!$A$5:$A$506,0)),att_offset,MATCH(G608,Attendance!$B$3:$AZ$3,0),attendees,COUNTIF(INDEX(Attendance!$B$7:$AZ$206,0,att_offset),"1"),IF(ev_split="Equal Split",ev_cost/MAX(1,COUNTA(Roster!$A$5:$A$204)),ev_cost/MAX(1,attendees))),"N/A"))</f>
        <v/>
      </c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9.5" customHeight="1">
      <c r="A609" s="47"/>
      <c r="B609" s="48"/>
      <c r="C609" s="48"/>
      <c r="D609" s="48"/>
      <c r="E609" s="48"/>
      <c r="F609" s="51"/>
      <c r="G609" s="48"/>
      <c r="H609" s="48"/>
      <c r="I609" s="48"/>
      <c r="J609" s="42" t="str">
        <f t="array" ref="J609">IF(G609="","",IFERROR(LET(ev_cost,INDEX(Events!$G$5:$G$506,MATCH(G609,Events!$A$5:$A$506,0)),ev_split,INDEX(Events!$I$5:$I$506,MATCH(G609,Events!$A$5:$A$506,0)),att_offset,MATCH(G609,Attendance!$B$3:$AZ$3,0),attendees,COUNTIF(INDEX(Attendance!$B$7:$AZ$206,0,att_offset),"1"),IF(ev_split="Equal Split",ev_cost/MAX(1,COUNTA(Roster!$A$5:$A$204)),ev_cost/MAX(1,attendees))),"N/A"))</f>
        <v/>
      </c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9.5" customHeight="1">
      <c r="A610" s="44"/>
      <c r="B610" s="45"/>
      <c r="C610" s="45"/>
      <c r="D610" s="45"/>
      <c r="E610" s="45"/>
      <c r="F610" s="46"/>
      <c r="G610" s="45"/>
      <c r="H610" s="45"/>
      <c r="I610" s="45"/>
      <c r="J610" s="42" t="str">
        <f t="array" ref="J610">IF(G610="","",IFERROR(LET(ev_cost,INDEX(Events!$G$5:$G$506,MATCH(G610,Events!$A$5:$A$506,0)),ev_split,INDEX(Events!$I$5:$I$506,MATCH(G610,Events!$A$5:$A$506,0)),att_offset,MATCH(G610,Attendance!$B$3:$AZ$3,0),attendees,COUNTIF(INDEX(Attendance!$B$7:$AZ$206,0,att_offset),"1"),IF(ev_split="Equal Split",ev_cost/MAX(1,COUNTA(Roster!$A$5:$A$204)),ev_cost/MAX(1,attendees))),"N/A"))</f>
        <v/>
      </c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9.5" customHeight="1">
      <c r="A611" s="47"/>
      <c r="B611" s="48"/>
      <c r="C611" s="48"/>
      <c r="D611" s="48"/>
      <c r="E611" s="48"/>
      <c r="F611" s="51"/>
      <c r="G611" s="48"/>
      <c r="H611" s="48"/>
      <c r="I611" s="48"/>
      <c r="J611" s="42" t="str">
        <f t="array" ref="J611">IF(G611="","",IFERROR(LET(ev_cost,INDEX(Events!$G$5:$G$506,MATCH(G611,Events!$A$5:$A$506,0)),ev_split,INDEX(Events!$I$5:$I$506,MATCH(G611,Events!$A$5:$A$506,0)),att_offset,MATCH(G611,Attendance!$B$3:$AZ$3,0),attendees,COUNTIF(INDEX(Attendance!$B$7:$AZ$206,0,att_offset),"1"),IF(ev_split="Equal Split",ev_cost/MAX(1,COUNTA(Roster!$A$5:$A$204)),ev_cost/MAX(1,attendees))),"N/A"))</f>
        <v/>
      </c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9.5" customHeight="1">
      <c r="A612" s="44"/>
      <c r="B612" s="45"/>
      <c r="C612" s="45"/>
      <c r="D612" s="45"/>
      <c r="E612" s="45"/>
      <c r="F612" s="46"/>
      <c r="G612" s="45"/>
      <c r="H612" s="45"/>
      <c r="I612" s="45"/>
      <c r="J612" s="42" t="str">
        <f t="array" ref="J612">IF(G612="","",IFERROR(LET(ev_cost,INDEX(Events!$G$5:$G$506,MATCH(G612,Events!$A$5:$A$506,0)),ev_split,INDEX(Events!$I$5:$I$506,MATCH(G612,Events!$A$5:$A$506,0)),att_offset,MATCH(G612,Attendance!$B$3:$AZ$3,0),attendees,COUNTIF(INDEX(Attendance!$B$7:$AZ$206,0,att_offset),"1"),IF(ev_split="Equal Split",ev_cost/MAX(1,COUNTA(Roster!$A$5:$A$204)),ev_cost/MAX(1,attendees))),"N/A"))</f>
        <v/>
      </c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9.5" customHeight="1">
      <c r="A613" s="47"/>
      <c r="B613" s="48"/>
      <c r="C613" s="48"/>
      <c r="D613" s="48"/>
      <c r="E613" s="48"/>
      <c r="F613" s="51"/>
      <c r="G613" s="48"/>
      <c r="H613" s="48"/>
      <c r="I613" s="48"/>
      <c r="J613" s="42" t="str">
        <f t="array" ref="J613">IF(G613="","",IFERROR(LET(ev_cost,INDEX(Events!$G$5:$G$506,MATCH(G613,Events!$A$5:$A$506,0)),ev_split,INDEX(Events!$I$5:$I$506,MATCH(G613,Events!$A$5:$A$506,0)),att_offset,MATCH(G613,Attendance!$B$3:$AZ$3,0),attendees,COUNTIF(INDEX(Attendance!$B$7:$AZ$206,0,att_offset),"1"),IF(ev_split="Equal Split",ev_cost/MAX(1,COUNTA(Roster!$A$5:$A$204)),ev_cost/MAX(1,attendees))),"N/A"))</f>
        <v/>
      </c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9.5" customHeight="1">
      <c r="A614" s="44"/>
      <c r="B614" s="45"/>
      <c r="C614" s="45"/>
      <c r="D614" s="45"/>
      <c r="E614" s="45"/>
      <c r="F614" s="46"/>
      <c r="G614" s="45"/>
      <c r="H614" s="45"/>
      <c r="I614" s="45"/>
      <c r="J614" s="42" t="str">
        <f t="array" ref="J614">IF(G614="","",IFERROR(LET(ev_cost,INDEX(Events!$G$5:$G$506,MATCH(G614,Events!$A$5:$A$506,0)),ev_split,INDEX(Events!$I$5:$I$506,MATCH(G614,Events!$A$5:$A$506,0)),att_offset,MATCH(G614,Attendance!$B$3:$AZ$3,0),attendees,COUNTIF(INDEX(Attendance!$B$7:$AZ$206,0,att_offset),"1"),IF(ev_split="Equal Split",ev_cost/MAX(1,COUNTA(Roster!$A$5:$A$204)),ev_cost/MAX(1,attendees))),"N/A"))</f>
        <v/>
      </c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9.5" customHeight="1">
      <c r="A615" s="47"/>
      <c r="B615" s="48"/>
      <c r="C615" s="48"/>
      <c r="D615" s="48"/>
      <c r="E615" s="48"/>
      <c r="F615" s="51"/>
      <c r="G615" s="48"/>
      <c r="H615" s="48"/>
      <c r="I615" s="48"/>
      <c r="J615" s="42" t="str">
        <f t="array" ref="J615">IF(G615="","",IFERROR(LET(ev_cost,INDEX(Events!$G$5:$G$506,MATCH(G615,Events!$A$5:$A$506,0)),ev_split,INDEX(Events!$I$5:$I$506,MATCH(G615,Events!$A$5:$A$506,0)),att_offset,MATCH(G615,Attendance!$B$3:$AZ$3,0),attendees,COUNTIF(INDEX(Attendance!$B$7:$AZ$206,0,att_offset),"1"),IF(ev_split="Equal Split",ev_cost/MAX(1,COUNTA(Roster!$A$5:$A$204)),ev_cost/MAX(1,attendees))),"N/A"))</f>
        <v/>
      </c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9.5" customHeight="1">
      <c r="A616" s="44"/>
      <c r="B616" s="45"/>
      <c r="C616" s="45"/>
      <c r="D616" s="45"/>
      <c r="E616" s="45"/>
      <c r="F616" s="46"/>
      <c r="G616" s="45"/>
      <c r="H616" s="45"/>
      <c r="I616" s="45"/>
      <c r="J616" s="42" t="str">
        <f t="array" ref="J616">IF(G616="","",IFERROR(LET(ev_cost,INDEX(Events!$G$5:$G$506,MATCH(G616,Events!$A$5:$A$506,0)),ev_split,INDEX(Events!$I$5:$I$506,MATCH(G616,Events!$A$5:$A$506,0)),att_offset,MATCH(G616,Attendance!$B$3:$AZ$3,0),attendees,COUNTIF(INDEX(Attendance!$B$7:$AZ$206,0,att_offset),"1"),IF(ev_split="Equal Split",ev_cost/MAX(1,COUNTA(Roster!$A$5:$A$204)),ev_cost/MAX(1,attendees))),"N/A"))</f>
        <v/>
      </c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9.5" customHeight="1">
      <c r="A617" s="47"/>
      <c r="B617" s="48"/>
      <c r="C617" s="48"/>
      <c r="D617" s="48"/>
      <c r="E617" s="48"/>
      <c r="F617" s="51"/>
      <c r="G617" s="48"/>
      <c r="H617" s="48"/>
      <c r="I617" s="48"/>
      <c r="J617" s="42" t="str">
        <f t="array" ref="J617">IF(G617="","",IFERROR(LET(ev_cost,INDEX(Events!$G$5:$G$506,MATCH(G617,Events!$A$5:$A$506,0)),ev_split,INDEX(Events!$I$5:$I$506,MATCH(G617,Events!$A$5:$A$506,0)),att_offset,MATCH(G617,Attendance!$B$3:$AZ$3,0),attendees,COUNTIF(INDEX(Attendance!$B$7:$AZ$206,0,att_offset),"1"),IF(ev_split="Equal Split",ev_cost/MAX(1,COUNTA(Roster!$A$5:$A$204)),ev_cost/MAX(1,attendees))),"N/A"))</f>
        <v/>
      </c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9.5" customHeight="1">
      <c r="A618" s="44"/>
      <c r="B618" s="45"/>
      <c r="C618" s="45"/>
      <c r="D618" s="45"/>
      <c r="E618" s="45"/>
      <c r="F618" s="46"/>
      <c r="G618" s="45"/>
      <c r="H618" s="45"/>
      <c r="I618" s="45"/>
      <c r="J618" s="42" t="str">
        <f t="array" ref="J618">IF(G618="","",IFERROR(LET(ev_cost,INDEX(Events!$G$5:$G$506,MATCH(G618,Events!$A$5:$A$506,0)),ev_split,INDEX(Events!$I$5:$I$506,MATCH(G618,Events!$A$5:$A$506,0)),att_offset,MATCH(G618,Attendance!$B$3:$AZ$3,0),attendees,COUNTIF(INDEX(Attendance!$B$7:$AZ$206,0,att_offset),"1"),IF(ev_split="Equal Split",ev_cost/MAX(1,COUNTA(Roster!$A$5:$A$204)),ev_cost/MAX(1,attendees))),"N/A"))</f>
        <v/>
      </c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9.5" customHeight="1">
      <c r="A619" s="47"/>
      <c r="B619" s="48"/>
      <c r="C619" s="48"/>
      <c r="D619" s="48"/>
      <c r="E619" s="48"/>
      <c r="F619" s="51"/>
      <c r="G619" s="48"/>
      <c r="H619" s="48"/>
      <c r="I619" s="48"/>
      <c r="J619" s="42" t="str">
        <f t="array" ref="J619">IF(G619="","",IFERROR(LET(ev_cost,INDEX(Events!$G$5:$G$506,MATCH(G619,Events!$A$5:$A$506,0)),ev_split,INDEX(Events!$I$5:$I$506,MATCH(G619,Events!$A$5:$A$506,0)),att_offset,MATCH(G619,Attendance!$B$3:$AZ$3,0),attendees,COUNTIF(INDEX(Attendance!$B$7:$AZ$206,0,att_offset),"1"),IF(ev_split="Equal Split",ev_cost/MAX(1,COUNTA(Roster!$A$5:$A$204)),ev_cost/MAX(1,attendees))),"N/A"))</f>
        <v/>
      </c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9.5" customHeight="1">
      <c r="A620" s="44"/>
      <c r="B620" s="45"/>
      <c r="C620" s="45"/>
      <c r="D620" s="45"/>
      <c r="E620" s="45"/>
      <c r="F620" s="46"/>
      <c r="G620" s="45"/>
      <c r="H620" s="45"/>
      <c r="I620" s="45"/>
      <c r="J620" s="42" t="str">
        <f t="array" ref="J620">IF(G620="","",IFERROR(LET(ev_cost,INDEX(Events!$G$5:$G$506,MATCH(G620,Events!$A$5:$A$506,0)),ev_split,INDEX(Events!$I$5:$I$506,MATCH(G620,Events!$A$5:$A$506,0)),att_offset,MATCH(G620,Attendance!$B$3:$AZ$3,0),attendees,COUNTIF(INDEX(Attendance!$B$7:$AZ$206,0,att_offset),"1"),IF(ev_split="Equal Split",ev_cost/MAX(1,COUNTA(Roster!$A$5:$A$204)),ev_cost/MAX(1,attendees))),"N/A"))</f>
        <v/>
      </c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9.5" customHeight="1">
      <c r="A621" s="47"/>
      <c r="B621" s="48"/>
      <c r="C621" s="48"/>
      <c r="D621" s="48"/>
      <c r="E621" s="48"/>
      <c r="F621" s="51"/>
      <c r="G621" s="48"/>
      <c r="H621" s="48"/>
      <c r="I621" s="48"/>
      <c r="J621" s="42" t="str">
        <f t="array" ref="J621">IF(G621="","",IFERROR(LET(ev_cost,INDEX(Events!$G$5:$G$506,MATCH(G621,Events!$A$5:$A$506,0)),ev_split,INDEX(Events!$I$5:$I$506,MATCH(G621,Events!$A$5:$A$506,0)),att_offset,MATCH(G621,Attendance!$B$3:$AZ$3,0),attendees,COUNTIF(INDEX(Attendance!$B$7:$AZ$206,0,att_offset),"1"),IF(ev_split="Equal Split",ev_cost/MAX(1,COUNTA(Roster!$A$5:$A$204)),ev_cost/MAX(1,attendees))),"N/A"))</f>
        <v/>
      </c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9.5" customHeight="1">
      <c r="A622" s="44"/>
      <c r="B622" s="45"/>
      <c r="C622" s="45"/>
      <c r="D622" s="45"/>
      <c r="E622" s="45"/>
      <c r="F622" s="46"/>
      <c r="G622" s="45"/>
      <c r="H622" s="45"/>
      <c r="I622" s="45"/>
      <c r="J622" s="42" t="str">
        <f t="array" ref="J622">IF(G622="","",IFERROR(LET(ev_cost,INDEX(Events!$G$5:$G$506,MATCH(G622,Events!$A$5:$A$506,0)),ev_split,INDEX(Events!$I$5:$I$506,MATCH(G622,Events!$A$5:$A$506,0)),att_offset,MATCH(G622,Attendance!$B$3:$AZ$3,0),attendees,COUNTIF(INDEX(Attendance!$B$7:$AZ$206,0,att_offset),"1"),IF(ev_split="Equal Split",ev_cost/MAX(1,COUNTA(Roster!$A$5:$A$204)),ev_cost/MAX(1,attendees))),"N/A"))</f>
        <v/>
      </c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9.5" customHeight="1">
      <c r="A623" s="47"/>
      <c r="B623" s="48"/>
      <c r="C623" s="48"/>
      <c r="D623" s="48"/>
      <c r="E623" s="48"/>
      <c r="F623" s="51"/>
      <c r="G623" s="48"/>
      <c r="H623" s="48"/>
      <c r="I623" s="48"/>
      <c r="J623" s="42" t="str">
        <f t="array" ref="J623">IF(G623="","",IFERROR(LET(ev_cost,INDEX(Events!$G$5:$G$506,MATCH(G623,Events!$A$5:$A$506,0)),ev_split,INDEX(Events!$I$5:$I$506,MATCH(G623,Events!$A$5:$A$506,0)),att_offset,MATCH(G623,Attendance!$B$3:$AZ$3,0),attendees,COUNTIF(INDEX(Attendance!$B$7:$AZ$206,0,att_offset),"1"),IF(ev_split="Equal Split",ev_cost/MAX(1,COUNTA(Roster!$A$5:$A$204)),ev_cost/MAX(1,attendees))),"N/A"))</f>
        <v/>
      </c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9.5" customHeight="1">
      <c r="A624" s="44"/>
      <c r="B624" s="45"/>
      <c r="C624" s="45"/>
      <c r="D624" s="45"/>
      <c r="E624" s="45"/>
      <c r="F624" s="46"/>
      <c r="G624" s="45"/>
      <c r="H624" s="45"/>
      <c r="I624" s="45"/>
      <c r="J624" s="42" t="str">
        <f t="array" ref="J624">IF(G624="","",IFERROR(LET(ev_cost,INDEX(Events!$G$5:$G$506,MATCH(G624,Events!$A$5:$A$506,0)),ev_split,INDEX(Events!$I$5:$I$506,MATCH(G624,Events!$A$5:$A$506,0)),att_offset,MATCH(G624,Attendance!$B$3:$AZ$3,0),attendees,COUNTIF(INDEX(Attendance!$B$7:$AZ$206,0,att_offset),"1"),IF(ev_split="Equal Split",ev_cost/MAX(1,COUNTA(Roster!$A$5:$A$204)),ev_cost/MAX(1,attendees))),"N/A"))</f>
        <v/>
      </c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9.5" customHeight="1">
      <c r="A625" s="47"/>
      <c r="B625" s="48"/>
      <c r="C625" s="48"/>
      <c r="D625" s="48"/>
      <c r="E625" s="48"/>
      <c r="F625" s="51"/>
      <c r="G625" s="48"/>
      <c r="H625" s="48"/>
      <c r="I625" s="48"/>
      <c r="J625" s="42" t="str">
        <f t="array" ref="J625">IF(G625="","",IFERROR(LET(ev_cost,INDEX(Events!$G$5:$G$506,MATCH(G625,Events!$A$5:$A$506,0)),ev_split,INDEX(Events!$I$5:$I$506,MATCH(G625,Events!$A$5:$A$506,0)),att_offset,MATCH(G625,Attendance!$B$3:$AZ$3,0),attendees,COUNTIF(INDEX(Attendance!$B$7:$AZ$206,0,att_offset),"1"),IF(ev_split="Equal Split",ev_cost/MAX(1,COUNTA(Roster!$A$5:$A$204)),ev_cost/MAX(1,attendees))),"N/A"))</f>
        <v/>
      </c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9.5" customHeight="1">
      <c r="A626" s="44"/>
      <c r="B626" s="45"/>
      <c r="C626" s="45"/>
      <c r="D626" s="45"/>
      <c r="E626" s="45"/>
      <c r="F626" s="46"/>
      <c r="G626" s="45"/>
      <c r="H626" s="45"/>
      <c r="I626" s="45"/>
      <c r="J626" s="42" t="str">
        <f t="array" ref="J626">IF(G626="","",IFERROR(LET(ev_cost,INDEX(Events!$G$5:$G$506,MATCH(G626,Events!$A$5:$A$506,0)),ev_split,INDEX(Events!$I$5:$I$506,MATCH(G626,Events!$A$5:$A$506,0)),att_offset,MATCH(G626,Attendance!$B$3:$AZ$3,0),attendees,COUNTIF(INDEX(Attendance!$B$7:$AZ$206,0,att_offset),"1"),IF(ev_split="Equal Split",ev_cost/MAX(1,COUNTA(Roster!$A$5:$A$204)),ev_cost/MAX(1,attendees))),"N/A"))</f>
        <v/>
      </c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9.5" customHeight="1">
      <c r="A627" s="47"/>
      <c r="B627" s="48"/>
      <c r="C627" s="48"/>
      <c r="D627" s="48"/>
      <c r="E627" s="48"/>
      <c r="F627" s="51"/>
      <c r="G627" s="48"/>
      <c r="H627" s="48"/>
      <c r="I627" s="48"/>
      <c r="J627" s="42" t="str">
        <f t="array" ref="J627">IF(G627="","",IFERROR(LET(ev_cost,INDEX(Events!$G$5:$G$506,MATCH(G627,Events!$A$5:$A$506,0)),ev_split,INDEX(Events!$I$5:$I$506,MATCH(G627,Events!$A$5:$A$506,0)),att_offset,MATCH(G627,Attendance!$B$3:$AZ$3,0),attendees,COUNTIF(INDEX(Attendance!$B$7:$AZ$206,0,att_offset),"1"),IF(ev_split="Equal Split",ev_cost/MAX(1,COUNTA(Roster!$A$5:$A$204)),ev_cost/MAX(1,attendees))),"N/A"))</f>
        <v/>
      </c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9.5" customHeight="1">
      <c r="A628" s="44"/>
      <c r="B628" s="45"/>
      <c r="C628" s="45"/>
      <c r="D628" s="45"/>
      <c r="E628" s="45"/>
      <c r="F628" s="46"/>
      <c r="G628" s="45"/>
      <c r="H628" s="45"/>
      <c r="I628" s="45"/>
      <c r="J628" s="42" t="str">
        <f t="array" ref="J628">IF(G628="","",IFERROR(LET(ev_cost,INDEX(Events!$G$5:$G$506,MATCH(G628,Events!$A$5:$A$506,0)),ev_split,INDEX(Events!$I$5:$I$506,MATCH(G628,Events!$A$5:$A$506,0)),att_offset,MATCH(G628,Attendance!$B$3:$AZ$3,0),attendees,COUNTIF(INDEX(Attendance!$B$7:$AZ$206,0,att_offset),"1"),IF(ev_split="Equal Split",ev_cost/MAX(1,COUNTA(Roster!$A$5:$A$204)),ev_cost/MAX(1,attendees))),"N/A"))</f>
        <v/>
      </c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9.5" customHeight="1">
      <c r="A629" s="47"/>
      <c r="B629" s="48"/>
      <c r="C629" s="48"/>
      <c r="D629" s="48"/>
      <c r="E629" s="48"/>
      <c r="F629" s="51"/>
      <c r="G629" s="48"/>
      <c r="H629" s="48"/>
      <c r="I629" s="48"/>
      <c r="J629" s="42" t="str">
        <f t="array" ref="J629">IF(G629="","",IFERROR(LET(ev_cost,INDEX(Events!$G$5:$G$506,MATCH(G629,Events!$A$5:$A$506,0)),ev_split,INDEX(Events!$I$5:$I$506,MATCH(G629,Events!$A$5:$A$506,0)),att_offset,MATCH(G629,Attendance!$B$3:$AZ$3,0),attendees,COUNTIF(INDEX(Attendance!$B$7:$AZ$206,0,att_offset),"1"),IF(ev_split="Equal Split",ev_cost/MAX(1,COUNTA(Roster!$A$5:$A$204)),ev_cost/MAX(1,attendees))),"N/A"))</f>
        <v/>
      </c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9.5" customHeight="1">
      <c r="A630" s="44"/>
      <c r="B630" s="45"/>
      <c r="C630" s="45"/>
      <c r="D630" s="45"/>
      <c r="E630" s="45"/>
      <c r="F630" s="46"/>
      <c r="G630" s="45"/>
      <c r="H630" s="45"/>
      <c r="I630" s="45"/>
      <c r="J630" s="42" t="str">
        <f t="array" ref="J630">IF(G630="","",IFERROR(LET(ev_cost,INDEX(Events!$G$5:$G$506,MATCH(G630,Events!$A$5:$A$506,0)),ev_split,INDEX(Events!$I$5:$I$506,MATCH(G630,Events!$A$5:$A$506,0)),att_offset,MATCH(G630,Attendance!$B$3:$AZ$3,0),attendees,COUNTIF(INDEX(Attendance!$B$7:$AZ$206,0,att_offset),"1"),IF(ev_split="Equal Split",ev_cost/MAX(1,COUNTA(Roster!$A$5:$A$204)),ev_cost/MAX(1,attendees))),"N/A"))</f>
        <v/>
      </c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9.5" customHeight="1">
      <c r="A631" s="47"/>
      <c r="B631" s="48"/>
      <c r="C631" s="48"/>
      <c r="D631" s="48"/>
      <c r="E631" s="48"/>
      <c r="F631" s="51"/>
      <c r="G631" s="48"/>
      <c r="H631" s="48"/>
      <c r="I631" s="48"/>
      <c r="J631" s="42" t="str">
        <f t="array" ref="J631">IF(G631="","",IFERROR(LET(ev_cost,INDEX(Events!$G$5:$G$506,MATCH(G631,Events!$A$5:$A$506,0)),ev_split,INDEX(Events!$I$5:$I$506,MATCH(G631,Events!$A$5:$A$506,0)),att_offset,MATCH(G631,Attendance!$B$3:$AZ$3,0),attendees,COUNTIF(INDEX(Attendance!$B$7:$AZ$206,0,att_offset),"1"),IF(ev_split="Equal Split",ev_cost/MAX(1,COUNTA(Roster!$A$5:$A$204)),ev_cost/MAX(1,attendees))),"N/A"))</f>
        <v/>
      </c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9.5" customHeight="1">
      <c r="A632" s="44"/>
      <c r="B632" s="45"/>
      <c r="C632" s="45"/>
      <c r="D632" s="45"/>
      <c r="E632" s="45"/>
      <c r="F632" s="46"/>
      <c r="G632" s="45"/>
      <c r="H632" s="45"/>
      <c r="I632" s="45"/>
      <c r="J632" s="42" t="str">
        <f t="array" ref="J632">IF(G632="","",IFERROR(LET(ev_cost,INDEX(Events!$G$5:$G$506,MATCH(G632,Events!$A$5:$A$506,0)),ev_split,INDEX(Events!$I$5:$I$506,MATCH(G632,Events!$A$5:$A$506,0)),att_offset,MATCH(G632,Attendance!$B$3:$AZ$3,0),attendees,COUNTIF(INDEX(Attendance!$B$7:$AZ$206,0,att_offset),"1"),IF(ev_split="Equal Split",ev_cost/MAX(1,COUNTA(Roster!$A$5:$A$204)),ev_cost/MAX(1,attendees))),"N/A"))</f>
        <v/>
      </c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9.5" customHeight="1">
      <c r="A633" s="47"/>
      <c r="B633" s="48"/>
      <c r="C633" s="48"/>
      <c r="D633" s="48"/>
      <c r="E633" s="48"/>
      <c r="F633" s="51"/>
      <c r="G633" s="48"/>
      <c r="H633" s="48"/>
      <c r="I633" s="48"/>
      <c r="J633" s="42" t="str">
        <f t="array" ref="J633">IF(G633="","",IFERROR(LET(ev_cost,INDEX(Events!$G$5:$G$506,MATCH(G633,Events!$A$5:$A$506,0)),ev_split,INDEX(Events!$I$5:$I$506,MATCH(G633,Events!$A$5:$A$506,0)),att_offset,MATCH(G633,Attendance!$B$3:$AZ$3,0),attendees,COUNTIF(INDEX(Attendance!$B$7:$AZ$206,0,att_offset),"1"),IF(ev_split="Equal Split",ev_cost/MAX(1,COUNTA(Roster!$A$5:$A$204)),ev_cost/MAX(1,attendees))),"N/A"))</f>
        <v/>
      </c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9.5" customHeight="1">
      <c r="A634" s="44"/>
      <c r="B634" s="45"/>
      <c r="C634" s="45"/>
      <c r="D634" s="45"/>
      <c r="E634" s="45"/>
      <c r="F634" s="46"/>
      <c r="G634" s="45"/>
      <c r="H634" s="45"/>
      <c r="I634" s="45"/>
      <c r="J634" s="42" t="str">
        <f t="array" ref="J634">IF(G634="","",IFERROR(LET(ev_cost,INDEX(Events!$G$5:$G$506,MATCH(G634,Events!$A$5:$A$506,0)),ev_split,INDEX(Events!$I$5:$I$506,MATCH(G634,Events!$A$5:$A$506,0)),att_offset,MATCH(G634,Attendance!$B$3:$AZ$3,0),attendees,COUNTIF(INDEX(Attendance!$B$7:$AZ$206,0,att_offset),"1"),IF(ev_split="Equal Split",ev_cost/MAX(1,COUNTA(Roster!$A$5:$A$204)),ev_cost/MAX(1,attendees))),"N/A"))</f>
        <v/>
      </c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9.5" customHeight="1">
      <c r="A635" s="47"/>
      <c r="B635" s="48"/>
      <c r="C635" s="48"/>
      <c r="D635" s="48"/>
      <c r="E635" s="48"/>
      <c r="F635" s="51"/>
      <c r="G635" s="48"/>
      <c r="H635" s="48"/>
      <c r="I635" s="48"/>
      <c r="J635" s="42" t="str">
        <f t="array" ref="J635">IF(G635="","",IFERROR(LET(ev_cost,INDEX(Events!$G$5:$G$506,MATCH(G635,Events!$A$5:$A$506,0)),ev_split,INDEX(Events!$I$5:$I$506,MATCH(G635,Events!$A$5:$A$506,0)),att_offset,MATCH(G635,Attendance!$B$3:$AZ$3,0),attendees,COUNTIF(INDEX(Attendance!$B$7:$AZ$206,0,att_offset),"1"),IF(ev_split="Equal Split",ev_cost/MAX(1,COUNTA(Roster!$A$5:$A$204)),ev_cost/MAX(1,attendees))),"N/A"))</f>
        <v/>
      </c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9.5" customHeight="1">
      <c r="A636" s="44"/>
      <c r="B636" s="45"/>
      <c r="C636" s="45"/>
      <c r="D636" s="45"/>
      <c r="E636" s="45"/>
      <c r="F636" s="46"/>
      <c r="G636" s="45"/>
      <c r="H636" s="45"/>
      <c r="I636" s="45"/>
      <c r="J636" s="42" t="str">
        <f t="array" ref="J636">IF(G636="","",IFERROR(LET(ev_cost,INDEX(Events!$G$5:$G$506,MATCH(G636,Events!$A$5:$A$506,0)),ev_split,INDEX(Events!$I$5:$I$506,MATCH(G636,Events!$A$5:$A$506,0)),att_offset,MATCH(G636,Attendance!$B$3:$AZ$3,0),attendees,COUNTIF(INDEX(Attendance!$B$7:$AZ$206,0,att_offset),"1"),IF(ev_split="Equal Split",ev_cost/MAX(1,COUNTA(Roster!$A$5:$A$204)),ev_cost/MAX(1,attendees))),"N/A"))</f>
        <v/>
      </c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9.5" customHeight="1">
      <c r="A637" s="47"/>
      <c r="B637" s="48"/>
      <c r="C637" s="48"/>
      <c r="D637" s="48"/>
      <c r="E637" s="48"/>
      <c r="F637" s="51"/>
      <c r="G637" s="48"/>
      <c r="H637" s="48"/>
      <c r="I637" s="48"/>
      <c r="J637" s="42" t="str">
        <f t="array" ref="J637">IF(G637="","",IFERROR(LET(ev_cost,INDEX(Events!$G$5:$G$506,MATCH(G637,Events!$A$5:$A$506,0)),ev_split,INDEX(Events!$I$5:$I$506,MATCH(G637,Events!$A$5:$A$506,0)),att_offset,MATCH(G637,Attendance!$B$3:$AZ$3,0),attendees,COUNTIF(INDEX(Attendance!$B$7:$AZ$206,0,att_offset),"1"),IF(ev_split="Equal Split",ev_cost/MAX(1,COUNTA(Roster!$A$5:$A$204)),ev_cost/MAX(1,attendees))),"N/A"))</f>
        <v/>
      </c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9.5" customHeight="1">
      <c r="A638" s="44"/>
      <c r="B638" s="45"/>
      <c r="C638" s="45"/>
      <c r="D638" s="45"/>
      <c r="E638" s="45"/>
      <c r="F638" s="46"/>
      <c r="G638" s="45"/>
      <c r="H638" s="45"/>
      <c r="I638" s="45"/>
      <c r="J638" s="42" t="str">
        <f t="array" ref="J638">IF(G638="","",IFERROR(LET(ev_cost,INDEX(Events!$G$5:$G$506,MATCH(G638,Events!$A$5:$A$506,0)),ev_split,INDEX(Events!$I$5:$I$506,MATCH(G638,Events!$A$5:$A$506,0)),att_offset,MATCH(G638,Attendance!$B$3:$AZ$3,0),attendees,COUNTIF(INDEX(Attendance!$B$7:$AZ$206,0,att_offset),"1"),IF(ev_split="Equal Split",ev_cost/MAX(1,COUNTA(Roster!$A$5:$A$204)),ev_cost/MAX(1,attendees))),"N/A"))</f>
        <v/>
      </c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9.5" customHeight="1">
      <c r="A639" s="47"/>
      <c r="B639" s="48"/>
      <c r="C639" s="48"/>
      <c r="D639" s="48"/>
      <c r="E639" s="48"/>
      <c r="F639" s="51"/>
      <c r="G639" s="48"/>
      <c r="H639" s="48"/>
      <c r="I639" s="48"/>
      <c r="J639" s="42" t="str">
        <f t="array" ref="J639">IF(G639="","",IFERROR(LET(ev_cost,INDEX(Events!$G$5:$G$506,MATCH(G639,Events!$A$5:$A$506,0)),ev_split,INDEX(Events!$I$5:$I$506,MATCH(G639,Events!$A$5:$A$506,0)),att_offset,MATCH(G639,Attendance!$B$3:$AZ$3,0),attendees,COUNTIF(INDEX(Attendance!$B$7:$AZ$206,0,att_offset),"1"),IF(ev_split="Equal Split",ev_cost/MAX(1,COUNTA(Roster!$A$5:$A$204)),ev_cost/MAX(1,attendees))),"N/A"))</f>
        <v/>
      </c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9.5" customHeight="1">
      <c r="A640" s="44"/>
      <c r="B640" s="45"/>
      <c r="C640" s="45"/>
      <c r="D640" s="45"/>
      <c r="E640" s="45"/>
      <c r="F640" s="46"/>
      <c r="G640" s="45"/>
      <c r="H640" s="45"/>
      <c r="I640" s="45"/>
      <c r="J640" s="42" t="str">
        <f t="array" ref="J640">IF(G640="","",IFERROR(LET(ev_cost,INDEX(Events!$G$5:$G$506,MATCH(G640,Events!$A$5:$A$506,0)),ev_split,INDEX(Events!$I$5:$I$506,MATCH(G640,Events!$A$5:$A$506,0)),att_offset,MATCH(G640,Attendance!$B$3:$AZ$3,0),attendees,COUNTIF(INDEX(Attendance!$B$7:$AZ$206,0,att_offset),"1"),IF(ev_split="Equal Split",ev_cost/MAX(1,COUNTA(Roster!$A$5:$A$204)),ev_cost/MAX(1,attendees))),"N/A"))</f>
        <v/>
      </c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9.5" customHeight="1">
      <c r="A641" s="47"/>
      <c r="B641" s="48"/>
      <c r="C641" s="48"/>
      <c r="D641" s="48"/>
      <c r="E641" s="48"/>
      <c r="F641" s="51"/>
      <c r="G641" s="48"/>
      <c r="H641" s="48"/>
      <c r="I641" s="48"/>
      <c r="J641" s="42" t="str">
        <f t="array" ref="J641">IF(G641="","",IFERROR(LET(ev_cost,INDEX(Events!$G$5:$G$506,MATCH(G641,Events!$A$5:$A$506,0)),ev_split,INDEX(Events!$I$5:$I$506,MATCH(G641,Events!$A$5:$A$506,0)),att_offset,MATCH(G641,Attendance!$B$3:$AZ$3,0),attendees,COUNTIF(INDEX(Attendance!$B$7:$AZ$206,0,att_offset),"1"),IF(ev_split="Equal Split",ev_cost/MAX(1,COUNTA(Roster!$A$5:$A$204)),ev_cost/MAX(1,attendees))),"N/A"))</f>
        <v/>
      </c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9.5" customHeight="1">
      <c r="A642" s="44"/>
      <c r="B642" s="45"/>
      <c r="C642" s="45"/>
      <c r="D642" s="45"/>
      <c r="E642" s="45"/>
      <c r="F642" s="46"/>
      <c r="G642" s="45"/>
      <c r="H642" s="45"/>
      <c r="I642" s="45"/>
      <c r="J642" s="42" t="str">
        <f t="array" ref="J642">IF(G642="","",IFERROR(LET(ev_cost,INDEX(Events!$G$5:$G$506,MATCH(G642,Events!$A$5:$A$506,0)),ev_split,INDEX(Events!$I$5:$I$506,MATCH(G642,Events!$A$5:$A$506,0)),att_offset,MATCH(G642,Attendance!$B$3:$AZ$3,0),attendees,COUNTIF(INDEX(Attendance!$B$7:$AZ$206,0,att_offset),"1"),IF(ev_split="Equal Split",ev_cost/MAX(1,COUNTA(Roster!$A$5:$A$204)),ev_cost/MAX(1,attendees))),"N/A"))</f>
        <v/>
      </c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9.5" customHeight="1">
      <c r="A643" s="47"/>
      <c r="B643" s="48"/>
      <c r="C643" s="48"/>
      <c r="D643" s="48"/>
      <c r="E643" s="48"/>
      <c r="F643" s="51"/>
      <c r="G643" s="48"/>
      <c r="H643" s="48"/>
      <c r="I643" s="48"/>
      <c r="J643" s="42" t="str">
        <f t="array" ref="J643">IF(G643="","",IFERROR(LET(ev_cost,INDEX(Events!$G$5:$G$506,MATCH(G643,Events!$A$5:$A$506,0)),ev_split,INDEX(Events!$I$5:$I$506,MATCH(G643,Events!$A$5:$A$506,0)),att_offset,MATCH(G643,Attendance!$B$3:$AZ$3,0),attendees,COUNTIF(INDEX(Attendance!$B$7:$AZ$206,0,att_offset),"1"),IF(ev_split="Equal Split",ev_cost/MAX(1,COUNTA(Roster!$A$5:$A$204)),ev_cost/MAX(1,attendees))),"N/A"))</f>
        <v/>
      </c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9.5" customHeight="1">
      <c r="A644" s="44"/>
      <c r="B644" s="45"/>
      <c r="C644" s="45"/>
      <c r="D644" s="45"/>
      <c r="E644" s="45"/>
      <c r="F644" s="46"/>
      <c r="G644" s="45"/>
      <c r="H644" s="45"/>
      <c r="I644" s="45"/>
      <c r="J644" s="42" t="str">
        <f t="array" ref="J644">IF(G644="","",IFERROR(LET(ev_cost,INDEX(Events!$G$5:$G$506,MATCH(G644,Events!$A$5:$A$506,0)),ev_split,INDEX(Events!$I$5:$I$506,MATCH(G644,Events!$A$5:$A$506,0)),att_offset,MATCH(G644,Attendance!$B$3:$AZ$3,0),attendees,COUNTIF(INDEX(Attendance!$B$7:$AZ$206,0,att_offset),"1"),IF(ev_split="Equal Split",ev_cost/MAX(1,COUNTA(Roster!$A$5:$A$204)),ev_cost/MAX(1,attendees))),"N/A"))</f>
        <v/>
      </c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9.5" customHeight="1">
      <c r="A645" s="47"/>
      <c r="B645" s="48"/>
      <c r="C645" s="48"/>
      <c r="D645" s="48"/>
      <c r="E645" s="48"/>
      <c r="F645" s="51"/>
      <c r="G645" s="48"/>
      <c r="H645" s="48"/>
      <c r="I645" s="48"/>
      <c r="J645" s="42" t="str">
        <f t="array" ref="J645">IF(G645="","",IFERROR(LET(ev_cost,INDEX(Events!$G$5:$G$506,MATCH(G645,Events!$A$5:$A$506,0)),ev_split,INDEX(Events!$I$5:$I$506,MATCH(G645,Events!$A$5:$A$506,0)),att_offset,MATCH(G645,Attendance!$B$3:$AZ$3,0),attendees,COUNTIF(INDEX(Attendance!$B$7:$AZ$206,0,att_offset),"1"),IF(ev_split="Equal Split",ev_cost/MAX(1,COUNTA(Roster!$A$5:$A$204)),ev_cost/MAX(1,attendees))),"N/A"))</f>
        <v/>
      </c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9.5" customHeight="1">
      <c r="A646" s="44"/>
      <c r="B646" s="45"/>
      <c r="C646" s="45"/>
      <c r="D646" s="45"/>
      <c r="E646" s="45"/>
      <c r="F646" s="46"/>
      <c r="G646" s="45"/>
      <c r="H646" s="45"/>
      <c r="I646" s="45"/>
      <c r="J646" s="42" t="str">
        <f t="array" ref="J646">IF(G646="","",IFERROR(LET(ev_cost,INDEX(Events!$G$5:$G$506,MATCH(G646,Events!$A$5:$A$506,0)),ev_split,INDEX(Events!$I$5:$I$506,MATCH(G646,Events!$A$5:$A$506,0)),att_offset,MATCH(G646,Attendance!$B$3:$AZ$3,0),attendees,COUNTIF(INDEX(Attendance!$B$7:$AZ$206,0,att_offset),"1"),IF(ev_split="Equal Split",ev_cost/MAX(1,COUNTA(Roster!$A$5:$A$204)),ev_cost/MAX(1,attendees))),"N/A"))</f>
        <v/>
      </c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9.5" customHeight="1">
      <c r="A647" s="47"/>
      <c r="B647" s="48"/>
      <c r="C647" s="48"/>
      <c r="D647" s="48"/>
      <c r="E647" s="48"/>
      <c r="F647" s="51"/>
      <c r="G647" s="48"/>
      <c r="H647" s="48"/>
      <c r="I647" s="48"/>
      <c r="J647" s="42" t="str">
        <f t="array" ref="J647">IF(G647="","",IFERROR(LET(ev_cost,INDEX(Events!$G$5:$G$506,MATCH(G647,Events!$A$5:$A$506,0)),ev_split,INDEX(Events!$I$5:$I$506,MATCH(G647,Events!$A$5:$A$506,0)),att_offset,MATCH(G647,Attendance!$B$3:$AZ$3,0),attendees,COUNTIF(INDEX(Attendance!$B$7:$AZ$206,0,att_offset),"1"),IF(ev_split="Equal Split",ev_cost/MAX(1,COUNTA(Roster!$A$5:$A$204)),ev_cost/MAX(1,attendees))),"N/A"))</f>
        <v/>
      </c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9.5" customHeight="1">
      <c r="A648" s="44"/>
      <c r="B648" s="45"/>
      <c r="C648" s="45"/>
      <c r="D648" s="45"/>
      <c r="E648" s="45"/>
      <c r="F648" s="46"/>
      <c r="G648" s="45"/>
      <c r="H648" s="45"/>
      <c r="I648" s="45"/>
      <c r="J648" s="42" t="str">
        <f t="array" ref="J648">IF(G648="","",IFERROR(LET(ev_cost,INDEX(Events!$G$5:$G$506,MATCH(G648,Events!$A$5:$A$506,0)),ev_split,INDEX(Events!$I$5:$I$506,MATCH(G648,Events!$A$5:$A$506,0)),att_offset,MATCH(G648,Attendance!$B$3:$AZ$3,0),attendees,COUNTIF(INDEX(Attendance!$B$7:$AZ$206,0,att_offset),"1"),IF(ev_split="Equal Split",ev_cost/MAX(1,COUNTA(Roster!$A$5:$A$204)),ev_cost/MAX(1,attendees))),"N/A"))</f>
        <v/>
      </c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9.5" customHeight="1">
      <c r="A649" s="47"/>
      <c r="B649" s="48"/>
      <c r="C649" s="48"/>
      <c r="D649" s="48"/>
      <c r="E649" s="48"/>
      <c r="F649" s="51"/>
      <c r="G649" s="48"/>
      <c r="H649" s="48"/>
      <c r="I649" s="48"/>
      <c r="J649" s="42" t="str">
        <f t="array" ref="J649">IF(G649="","",IFERROR(LET(ev_cost,INDEX(Events!$G$5:$G$506,MATCH(G649,Events!$A$5:$A$506,0)),ev_split,INDEX(Events!$I$5:$I$506,MATCH(G649,Events!$A$5:$A$506,0)),att_offset,MATCH(G649,Attendance!$B$3:$AZ$3,0),attendees,COUNTIF(INDEX(Attendance!$B$7:$AZ$206,0,att_offset),"1"),IF(ev_split="Equal Split",ev_cost/MAX(1,COUNTA(Roster!$A$5:$A$204)),ev_cost/MAX(1,attendees))),"N/A"))</f>
        <v/>
      </c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9.5" customHeight="1">
      <c r="A650" s="44"/>
      <c r="B650" s="45"/>
      <c r="C650" s="45"/>
      <c r="D650" s="45"/>
      <c r="E650" s="45"/>
      <c r="F650" s="46"/>
      <c r="G650" s="45"/>
      <c r="H650" s="45"/>
      <c r="I650" s="45"/>
      <c r="J650" s="42" t="str">
        <f t="array" ref="J650">IF(G650="","",IFERROR(LET(ev_cost,INDEX(Events!$G$5:$G$506,MATCH(G650,Events!$A$5:$A$506,0)),ev_split,INDEX(Events!$I$5:$I$506,MATCH(G650,Events!$A$5:$A$506,0)),att_offset,MATCH(G650,Attendance!$B$3:$AZ$3,0),attendees,COUNTIF(INDEX(Attendance!$B$7:$AZ$206,0,att_offset),"1"),IF(ev_split="Equal Split",ev_cost/MAX(1,COUNTA(Roster!$A$5:$A$204)),ev_cost/MAX(1,attendees))),"N/A"))</f>
        <v/>
      </c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9.5" customHeight="1">
      <c r="A651" s="47"/>
      <c r="B651" s="48"/>
      <c r="C651" s="48"/>
      <c r="D651" s="48"/>
      <c r="E651" s="48"/>
      <c r="F651" s="51"/>
      <c r="G651" s="48"/>
      <c r="H651" s="48"/>
      <c r="I651" s="48"/>
      <c r="J651" s="42" t="str">
        <f t="array" ref="J651">IF(G651="","",IFERROR(LET(ev_cost,INDEX(Events!$G$5:$G$506,MATCH(G651,Events!$A$5:$A$506,0)),ev_split,INDEX(Events!$I$5:$I$506,MATCH(G651,Events!$A$5:$A$506,0)),att_offset,MATCH(G651,Attendance!$B$3:$AZ$3,0),attendees,COUNTIF(INDEX(Attendance!$B$7:$AZ$206,0,att_offset),"1"),IF(ev_split="Equal Split",ev_cost/MAX(1,COUNTA(Roster!$A$5:$A$204)),ev_cost/MAX(1,attendees))),"N/A"))</f>
        <v/>
      </c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9.5" customHeight="1">
      <c r="A652" s="44"/>
      <c r="B652" s="45"/>
      <c r="C652" s="45"/>
      <c r="D652" s="45"/>
      <c r="E652" s="45"/>
      <c r="F652" s="46"/>
      <c r="G652" s="45"/>
      <c r="H652" s="45"/>
      <c r="I652" s="45"/>
      <c r="J652" s="42" t="str">
        <f t="array" ref="J652">IF(G652="","",IFERROR(LET(ev_cost,INDEX(Events!$G$5:$G$506,MATCH(G652,Events!$A$5:$A$506,0)),ev_split,INDEX(Events!$I$5:$I$506,MATCH(G652,Events!$A$5:$A$506,0)),att_offset,MATCH(G652,Attendance!$B$3:$AZ$3,0),attendees,COUNTIF(INDEX(Attendance!$B$7:$AZ$206,0,att_offset),"1"),IF(ev_split="Equal Split",ev_cost/MAX(1,COUNTA(Roster!$A$5:$A$204)),ev_cost/MAX(1,attendees))),"N/A"))</f>
        <v/>
      </c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9.5" customHeight="1">
      <c r="A653" s="47"/>
      <c r="B653" s="48"/>
      <c r="C653" s="48"/>
      <c r="D653" s="48"/>
      <c r="E653" s="48"/>
      <c r="F653" s="51"/>
      <c r="G653" s="48"/>
      <c r="H653" s="48"/>
      <c r="I653" s="48"/>
      <c r="J653" s="42" t="str">
        <f t="array" ref="J653">IF(G653="","",IFERROR(LET(ev_cost,INDEX(Events!$G$5:$G$506,MATCH(G653,Events!$A$5:$A$506,0)),ev_split,INDEX(Events!$I$5:$I$506,MATCH(G653,Events!$A$5:$A$506,0)),att_offset,MATCH(G653,Attendance!$B$3:$AZ$3,0),attendees,COUNTIF(INDEX(Attendance!$B$7:$AZ$206,0,att_offset),"1"),IF(ev_split="Equal Split",ev_cost/MAX(1,COUNTA(Roster!$A$5:$A$204)),ev_cost/MAX(1,attendees))),"N/A"))</f>
        <v/>
      </c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9.5" customHeight="1">
      <c r="A654" s="44"/>
      <c r="B654" s="45"/>
      <c r="C654" s="45"/>
      <c r="D654" s="45"/>
      <c r="E654" s="45"/>
      <c r="F654" s="46"/>
      <c r="G654" s="45"/>
      <c r="H654" s="45"/>
      <c r="I654" s="45"/>
      <c r="J654" s="42" t="str">
        <f t="array" ref="J654">IF(G654="","",IFERROR(LET(ev_cost,INDEX(Events!$G$5:$G$506,MATCH(G654,Events!$A$5:$A$506,0)),ev_split,INDEX(Events!$I$5:$I$506,MATCH(G654,Events!$A$5:$A$506,0)),att_offset,MATCH(G654,Attendance!$B$3:$AZ$3,0),attendees,COUNTIF(INDEX(Attendance!$B$7:$AZ$206,0,att_offset),"1"),IF(ev_split="Equal Split",ev_cost/MAX(1,COUNTA(Roster!$A$5:$A$204)),ev_cost/MAX(1,attendees))),"N/A"))</f>
        <v/>
      </c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9.5" customHeight="1">
      <c r="A655" s="47"/>
      <c r="B655" s="48"/>
      <c r="C655" s="48"/>
      <c r="D655" s="48"/>
      <c r="E655" s="48"/>
      <c r="F655" s="51"/>
      <c r="G655" s="48"/>
      <c r="H655" s="48"/>
      <c r="I655" s="48"/>
      <c r="J655" s="42" t="str">
        <f t="array" ref="J655">IF(G655="","",IFERROR(LET(ev_cost,INDEX(Events!$G$5:$G$506,MATCH(G655,Events!$A$5:$A$506,0)),ev_split,INDEX(Events!$I$5:$I$506,MATCH(G655,Events!$A$5:$A$506,0)),att_offset,MATCH(G655,Attendance!$B$3:$AZ$3,0),attendees,COUNTIF(INDEX(Attendance!$B$7:$AZ$206,0,att_offset),"1"),IF(ev_split="Equal Split",ev_cost/MAX(1,COUNTA(Roster!$A$5:$A$204)),ev_cost/MAX(1,attendees))),"N/A"))</f>
        <v/>
      </c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9.5" customHeight="1">
      <c r="A656" s="44"/>
      <c r="B656" s="45"/>
      <c r="C656" s="45"/>
      <c r="D656" s="45"/>
      <c r="E656" s="45"/>
      <c r="F656" s="46"/>
      <c r="G656" s="45"/>
      <c r="H656" s="45"/>
      <c r="I656" s="45"/>
      <c r="J656" s="42" t="str">
        <f t="array" ref="J656">IF(G656="","",IFERROR(LET(ev_cost,INDEX(Events!$G$5:$G$506,MATCH(G656,Events!$A$5:$A$506,0)),ev_split,INDEX(Events!$I$5:$I$506,MATCH(G656,Events!$A$5:$A$506,0)),att_offset,MATCH(G656,Attendance!$B$3:$AZ$3,0),attendees,COUNTIF(INDEX(Attendance!$B$7:$AZ$206,0,att_offset),"1"),IF(ev_split="Equal Split",ev_cost/MAX(1,COUNTA(Roster!$A$5:$A$204)),ev_cost/MAX(1,attendees))),"N/A"))</f>
        <v/>
      </c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9.5" customHeight="1">
      <c r="A657" s="47"/>
      <c r="B657" s="48"/>
      <c r="C657" s="48"/>
      <c r="D657" s="48"/>
      <c r="E657" s="48"/>
      <c r="F657" s="51"/>
      <c r="G657" s="48"/>
      <c r="H657" s="48"/>
      <c r="I657" s="48"/>
      <c r="J657" s="42" t="str">
        <f t="array" ref="J657">IF(G657="","",IFERROR(LET(ev_cost,INDEX(Events!$G$5:$G$506,MATCH(G657,Events!$A$5:$A$506,0)),ev_split,INDEX(Events!$I$5:$I$506,MATCH(G657,Events!$A$5:$A$506,0)),att_offset,MATCH(G657,Attendance!$B$3:$AZ$3,0),attendees,COUNTIF(INDEX(Attendance!$B$7:$AZ$206,0,att_offset),"1"),IF(ev_split="Equal Split",ev_cost/MAX(1,COUNTA(Roster!$A$5:$A$204)),ev_cost/MAX(1,attendees))),"N/A"))</f>
        <v/>
      </c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9.5" customHeight="1">
      <c r="A658" s="44"/>
      <c r="B658" s="45"/>
      <c r="C658" s="45"/>
      <c r="D658" s="45"/>
      <c r="E658" s="45"/>
      <c r="F658" s="46"/>
      <c r="G658" s="45"/>
      <c r="H658" s="45"/>
      <c r="I658" s="45"/>
      <c r="J658" s="42" t="str">
        <f t="array" ref="J658">IF(G658="","",IFERROR(LET(ev_cost,INDEX(Events!$G$5:$G$506,MATCH(G658,Events!$A$5:$A$506,0)),ev_split,INDEX(Events!$I$5:$I$506,MATCH(G658,Events!$A$5:$A$506,0)),att_offset,MATCH(G658,Attendance!$B$3:$AZ$3,0),attendees,COUNTIF(INDEX(Attendance!$B$7:$AZ$206,0,att_offset),"1"),IF(ev_split="Equal Split",ev_cost/MAX(1,COUNTA(Roster!$A$5:$A$204)),ev_cost/MAX(1,attendees))),"N/A"))</f>
        <v/>
      </c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9.5" customHeight="1">
      <c r="A659" s="47"/>
      <c r="B659" s="48"/>
      <c r="C659" s="48"/>
      <c r="D659" s="48"/>
      <c r="E659" s="48"/>
      <c r="F659" s="51"/>
      <c r="G659" s="48"/>
      <c r="H659" s="48"/>
      <c r="I659" s="48"/>
      <c r="J659" s="42" t="str">
        <f t="array" ref="J659">IF(G659="","",IFERROR(LET(ev_cost,INDEX(Events!$G$5:$G$506,MATCH(G659,Events!$A$5:$A$506,0)),ev_split,INDEX(Events!$I$5:$I$506,MATCH(G659,Events!$A$5:$A$506,0)),att_offset,MATCH(G659,Attendance!$B$3:$AZ$3,0),attendees,COUNTIF(INDEX(Attendance!$B$7:$AZ$206,0,att_offset),"1"),IF(ev_split="Equal Split",ev_cost/MAX(1,COUNTA(Roster!$A$5:$A$204)),ev_cost/MAX(1,attendees))),"N/A"))</f>
        <v/>
      </c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9.5" customHeight="1">
      <c r="A660" s="44"/>
      <c r="B660" s="45"/>
      <c r="C660" s="45"/>
      <c r="D660" s="45"/>
      <c r="E660" s="45"/>
      <c r="F660" s="46"/>
      <c r="G660" s="45"/>
      <c r="H660" s="45"/>
      <c r="I660" s="45"/>
      <c r="J660" s="42" t="str">
        <f t="array" ref="J660">IF(G660="","",IFERROR(LET(ev_cost,INDEX(Events!$G$5:$G$506,MATCH(G660,Events!$A$5:$A$506,0)),ev_split,INDEX(Events!$I$5:$I$506,MATCH(G660,Events!$A$5:$A$506,0)),att_offset,MATCH(G660,Attendance!$B$3:$AZ$3,0),attendees,COUNTIF(INDEX(Attendance!$B$7:$AZ$206,0,att_offset),"1"),IF(ev_split="Equal Split",ev_cost/MAX(1,COUNTA(Roster!$A$5:$A$204)),ev_cost/MAX(1,attendees))),"N/A"))</f>
        <v/>
      </c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9.5" customHeight="1">
      <c r="A661" s="47"/>
      <c r="B661" s="48"/>
      <c r="C661" s="48"/>
      <c r="D661" s="48"/>
      <c r="E661" s="48"/>
      <c r="F661" s="51"/>
      <c r="G661" s="48"/>
      <c r="H661" s="48"/>
      <c r="I661" s="48"/>
      <c r="J661" s="42" t="str">
        <f t="array" ref="J661">IF(G661="","",IFERROR(LET(ev_cost,INDEX(Events!$G$5:$G$506,MATCH(G661,Events!$A$5:$A$506,0)),ev_split,INDEX(Events!$I$5:$I$506,MATCH(G661,Events!$A$5:$A$506,0)),att_offset,MATCH(G661,Attendance!$B$3:$AZ$3,0),attendees,COUNTIF(INDEX(Attendance!$B$7:$AZ$206,0,att_offset),"1"),IF(ev_split="Equal Split",ev_cost/MAX(1,COUNTA(Roster!$A$5:$A$204)),ev_cost/MAX(1,attendees))),"N/A"))</f>
        <v/>
      </c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9.5" customHeight="1">
      <c r="A662" s="44"/>
      <c r="B662" s="45"/>
      <c r="C662" s="45"/>
      <c r="D662" s="45"/>
      <c r="E662" s="45"/>
      <c r="F662" s="46"/>
      <c r="G662" s="45"/>
      <c r="H662" s="45"/>
      <c r="I662" s="45"/>
      <c r="J662" s="42" t="str">
        <f t="array" ref="J662">IF(G662="","",IFERROR(LET(ev_cost,INDEX(Events!$G$5:$G$506,MATCH(G662,Events!$A$5:$A$506,0)),ev_split,INDEX(Events!$I$5:$I$506,MATCH(G662,Events!$A$5:$A$506,0)),att_offset,MATCH(G662,Attendance!$B$3:$AZ$3,0),attendees,COUNTIF(INDEX(Attendance!$B$7:$AZ$206,0,att_offset),"1"),IF(ev_split="Equal Split",ev_cost/MAX(1,COUNTA(Roster!$A$5:$A$204)),ev_cost/MAX(1,attendees))),"N/A"))</f>
        <v/>
      </c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9.5" customHeight="1">
      <c r="A663" s="47"/>
      <c r="B663" s="48"/>
      <c r="C663" s="48"/>
      <c r="D663" s="48"/>
      <c r="E663" s="48"/>
      <c r="F663" s="51"/>
      <c r="G663" s="48"/>
      <c r="H663" s="48"/>
      <c r="I663" s="48"/>
      <c r="J663" s="42" t="str">
        <f t="array" ref="J663">IF(G663="","",IFERROR(LET(ev_cost,INDEX(Events!$G$5:$G$506,MATCH(G663,Events!$A$5:$A$506,0)),ev_split,INDEX(Events!$I$5:$I$506,MATCH(G663,Events!$A$5:$A$506,0)),att_offset,MATCH(G663,Attendance!$B$3:$AZ$3,0),attendees,COUNTIF(INDEX(Attendance!$B$7:$AZ$206,0,att_offset),"1"),IF(ev_split="Equal Split",ev_cost/MAX(1,COUNTA(Roster!$A$5:$A$204)),ev_cost/MAX(1,attendees))),"N/A"))</f>
        <v/>
      </c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9.5" customHeight="1">
      <c r="A664" s="44"/>
      <c r="B664" s="45"/>
      <c r="C664" s="45"/>
      <c r="D664" s="45"/>
      <c r="E664" s="45"/>
      <c r="F664" s="46"/>
      <c r="G664" s="45"/>
      <c r="H664" s="45"/>
      <c r="I664" s="45"/>
      <c r="J664" s="42" t="str">
        <f t="array" ref="J664">IF(G664="","",IFERROR(LET(ev_cost,INDEX(Events!$G$5:$G$506,MATCH(G664,Events!$A$5:$A$506,0)),ev_split,INDEX(Events!$I$5:$I$506,MATCH(G664,Events!$A$5:$A$506,0)),att_offset,MATCH(G664,Attendance!$B$3:$AZ$3,0),attendees,COUNTIF(INDEX(Attendance!$B$7:$AZ$206,0,att_offset),"1"),IF(ev_split="Equal Split",ev_cost/MAX(1,COUNTA(Roster!$A$5:$A$204)),ev_cost/MAX(1,attendees))),"N/A"))</f>
        <v/>
      </c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9.5" customHeight="1">
      <c r="A665" s="47"/>
      <c r="B665" s="48"/>
      <c r="C665" s="48"/>
      <c r="D665" s="48"/>
      <c r="E665" s="48"/>
      <c r="F665" s="51"/>
      <c r="G665" s="48"/>
      <c r="H665" s="48"/>
      <c r="I665" s="48"/>
      <c r="J665" s="42" t="str">
        <f t="array" ref="J665">IF(G665="","",IFERROR(LET(ev_cost,INDEX(Events!$G$5:$G$506,MATCH(G665,Events!$A$5:$A$506,0)),ev_split,INDEX(Events!$I$5:$I$506,MATCH(G665,Events!$A$5:$A$506,0)),att_offset,MATCH(G665,Attendance!$B$3:$AZ$3,0),attendees,COUNTIF(INDEX(Attendance!$B$7:$AZ$206,0,att_offset),"1"),IF(ev_split="Equal Split",ev_cost/MAX(1,COUNTA(Roster!$A$5:$A$204)),ev_cost/MAX(1,attendees))),"N/A"))</f>
        <v/>
      </c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9.5" customHeight="1">
      <c r="A666" s="44"/>
      <c r="B666" s="45"/>
      <c r="C666" s="45"/>
      <c r="D666" s="45"/>
      <c r="E666" s="45"/>
      <c r="F666" s="46"/>
      <c r="G666" s="45"/>
      <c r="H666" s="45"/>
      <c r="I666" s="45"/>
      <c r="J666" s="42" t="str">
        <f t="array" ref="J666">IF(G666="","",IFERROR(LET(ev_cost,INDEX(Events!$G$5:$G$506,MATCH(G666,Events!$A$5:$A$506,0)),ev_split,INDEX(Events!$I$5:$I$506,MATCH(G666,Events!$A$5:$A$506,0)),att_offset,MATCH(G666,Attendance!$B$3:$AZ$3,0),attendees,COUNTIF(INDEX(Attendance!$B$7:$AZ$206,0,att_offset),"1"),IF(ev_split="Equal Split",ev_cost/MAX(1,COUNTA(Roster!$A$5:$A$204)),ev_cost/MAX(1,attendees))),"N/A"))</f>
        <v/>
      </c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9.5" customHeight="1">
      <c r="A667" s="47"/>
      <c r="B667" s="48"/>
      <c r="C667" s="48"/>
      <c r="D667" s="48"/>
      <c r="E667" s="48"/>
      <c r="F667" s="51"/>
      <c r="G667" s="48"/>
      <c r="H667" s="48"/>
      <c r="I667" s="48"/>
      <c r="J667" s="42" t="str">
        <f t="array" ref="J667">IF(G667="","",IFERROR(LET(ev_cost,INDEX(Events!$G$5:$G$506,MATCH(G667,Events!$A$5:$A$506,0)),ev_split,INDEX(Events!$I$5:$I$506,MATCH(G667,Events!$A$5:$A$506,0)),att_offset,MATCH(G667,Attendance!$B$3:$AZ$3,0),attendees,COUNTIF(INDEX(Attendance!$B$7:$AZ$206,0,att_offset),"1"),IF(ev_split="Equal Split",ev_cost/MAX(1,COUNTA(Roster!$A$5:$A$204)),ev_cost/MAX(1,attendees))),"N/A"))</f>
        <v/>
      </c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9.5" customHeight="1">
      <c r="A668" s="44"/>
      <c r="B668" s="45"/>
      <c r="C668" s="45"/>
      <c r="D668" s="45"/>
      <c r="E668" s="45"/>
      <c r="F668" s="46"/>
      <c r="G668" s="45"/>
      <c r="H668" s="45"/>
      <c r="I668" s="45"/>
      <c r="J668" s="42" t="str">
        <f t="array" ref="J668">IF(G668="","",IFERROR(LET(ev_cost,INDEX(Events!$G$5:$G$506,MATCH(G668,Events!$A$5:$A$506,0)),ev_split,INDEX(Events!$I$5:$I$506,MATCH(G668,Events!$A$5:$A$506,0)),att_offset,MATCH(G668,Attendance!$B$3:$AZ$3,0),attendees,COUNTIF(INDEX(Attendance!$B$7:$AZ$206,0,att_offset),"1"),IF(ev_split="Equal Split",ev_cost/MAX(1,COUNTA(Roster!$A$5:$A$204)),ev_cost/MAX(1,attendees))),"N/A"))</f>
        <v/>
      </c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9.5" customHeight="1">
      <c r="A669" s="47"/>
      <c r="B669" s="48"/>
      <c r="C669" s="48"/>
      <c r="D669" s="48"/>
      <c r="E669" s="48"/>
      <c r="F669" s="51"/>
      <c r="G669" s="48"/>
      <c r="H669" s="48"/>
      <c r="I669" s="48"/>
      <c r="J669" s="42" t="str">
        <f t="array" ref="J669">IF(G669="","",IFERROR(LET(ev_cost,INDEX(Events!$G$5:$G$506,MATCH(G669,Events!$A$5:$A$506,0)),ev_split,INDEX(Events!$I$5:$I$506,MATCH(G669,Events!$A$5:$A$506,0)),att_offset,MATCH(G669,Attendance!$B$3:$AZ$3,0),attendees,COUNTIF(INDEX(Attendance!$B$7:$AZ$206,0,att_offset),"1"),IF(ev_split="Equal Split",ev_cost/MAX(1,COUNTA(Roster!$A$5:$A$204)),ev_cost/MAX(1,attendees))),"N/A"))</f>
        <v/>
      </c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9.5" customHeight="1">
      <c r="A670" s="44"/>
      <c r="B670" s="45"/>
      <c r="C670" s="45"/>
      <c r="D670" s="45"/>
      <c r="E670" s="45"/>
      <c r="F670" s="46"/>
      <c r="G670" s="45"/>
      <c r="H670" s="45"/>
      <c r="I670" s="45"/>
      <c r="J670" s="42" t="str">
        <f t="array" ref="J670">IF(G670="","",IFERROR(LET(ev_cost,INDEX(Events!$G$5:$G$506,MATCH(G670,Events!$A$5:$A$506,0)),ev_split,INDEX(Events!$I$5:$I$506,MATCH(G670,Events!$A$5:$A$506,0)),att_offset,MATCH(G670,Attendance!$B$3:$AZ$3,0),attendees,COUNTIF(INDEX(Attendance!$B$7:$AZ$206,0,att_offset),"1"),IF(ev_split="Equal Split",ev_cost/MAX(1,COUNTA(Roster!$A$5:$A$204)),ev_cost/MAX(1,attendees))),"N/A"))</f>
        <v/>
      </c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9.5" customHeight="1">
      <c r="A671" s="47"/>
      <c r="B671" s="48"/>
      <c r="C671" s="48"/>
      <c r="D671" s="48"/>
      <c r="E671" s="48"/>
      <c r="F671" s="51"/>
      <c r="G671" s="48"/>
      <c r="H671" s="48"/>
      <c r="I671" s="48"/>
      <c r="J671" s="42" t="str">
        <f t="array" ref="J671">IF(G671="","",IFERROR(LET(ev_cost,INDEX(Events!$G$5:$G$506,MATCH(G671,Events!$A$5:$A$506,0)),ev_split,INDEX(Events!$I$5:$I$506,MATCH(G671,Events!$A$5:$A$506,0)),att_offset,MATCH(G671,Attendance!$B$3:$AZ$3,0),attendees,COUNTIF(INDEX(Attendance!$B$7:$AZ$206,0,att_offset),"1"),IF(ev_split="Equal Split",ev_cost/MAX(1,COUNTA(Roster!$A$5:$A$204)),ev_cost/MAX(1,attendees))),"N/A"))</f>
        <v/>
      </c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9.5" customHeight="1">
      <c r="A672" s="44"/>
      <c r="B672" s="45"/>
      <c r="C672" s="45"/>
      <c r="D672" s="45"/>
      <c r="E672" s="45"/>
      <c r="F672" s="46"/>
      <c r="G672" s="45"/>
      <c r="H672" s="45"/>
      <c r="I672" s="45"/>
      <c r="J672" s="42" t="str">
        <f t="array" ref="J672">IF(G672="","",IFERROR(LET(ev_cost,INDEX(Events!$G$5:$G$506,MATCH(G672,Events!$A$5:$A$506,0)),ev_split,INDEX(Events!$I$5:$I$506,MATCH(G672,Events!$A$5:$A$506,0)),att_offset,MATCH(G672,Attendance!$B$3:$AZ$3,0),attendees,COUNTIF(INDEX(Attendance!$B$7:$AZ$206,0,att_offset),"1"),IF(ev_split="Equal Split",ev_cost/MAX(1,COUNTA(Roster!$A$5:$A$204)),ev_cost/MAX(1,attendees))),"N/A"))</f>
        <v/>
      </c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9.5" customHeight="1">
      <c r="A673" s="47"/>
      <c r="B673" s="48"/>
      <c r="C673" s="48"/>
      <c r="D673" s="48"/>
      <c r="E673" s="48"/>
      <c r="F673" s="51"/>
      <c r="G673" s="48"/>
      <c r="H673" s="48"/>
      <c r="I673" s="48"/>
      <c r="J673" s="42" t="str">
        <f t="array" ref="J673">IF(G673="","",IFERROR(LET(ev_cost,INDEX(Events!$G$5:$G$506,MATCH(G673,Events!$A$5:$A$506,0)),ev_split,INDEX(Events!$I$5:$I$506,MATCH(G673,Events!$A$5:$A$506,0)),att_offset,MATCH(G673,Attendance!$B$3:$AZ$3,0),attendees,COUNTIF(INDEX(Attendance!$B$7:$AZ$206,0,att_offset),"1"),IF(ev_split="Equal Split",ev_cost/MAX(1,COUNTA(Roster!$A$5:$A$204)),ev_cost/MAX(1,attendees))),"N/A"))</f>
        <v/>
      </c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9.5" customHeight="1">
      <c r="A674" s="44"/>
      <c r="B674" s="45"/>
      <c r="C674" s="45"/>
      <c r="D674" s="45"/>
      <c r="E674" s="45"/>
      <c r="F674" s="46"/>
      <c r="G674" s="45"/>
      <c r="H674" s="45"/>
      <c r="I674" s="45"/>
      <c r="J674" s="42" t="str">
        <f t="array" ref="J674">IF(G674="","",IFERROR(LET(ev_cost,INDEX(Events!$G$5:$G$506,MATCH(G674,Events!$A$5:$A$506,0)),ev_split,INDEX(Events!$I$5:$I$506,MATCH(G674,Events!$A$5:$A$506,0)),att_offset,MATCH(G674,Attendance!$B$3:$AZ$3,0),attendees,COUNTIF(INDEX(Attendance!$B$7:$AZ$206,0,att_offset),"1"),IF(ev_split="Equal Split",ev_cost/MAX(1,COUNTA(Roster!$A$5:$A$204)),ev_cost/MAX(1,attendees))),"N/A"))</f>
        <v/>
      </c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9.5" customHeight="1">
      <c r="A675" s="47"/>
      <c r="B675" s="48"/>
      <c r="C675" s="48"/>
      <c r="D675" s="48"/>
      <c r="E675" s="48"/>
      <c r="F675" s="51"/>
      <c r="G675" s="48"/>
      <c r="H675" s="48"/>
      <c r="I675" s="48"/>
      <c r="J675" s="42" t="str">
        <f t="array" ref="J675">IF(G675="","",IFERROR(LET(ev_cost,INDEX(Events!$G$5:$G$506,MATCH(G675,Events!$A$5:$A$506,0)),ev_split,INDEX(Events!$I$5:$I$506,MATCH(G675,Events!$A$5:$A$506,0)),att_offset,MATCH(G675,Attendance!$B$3:$AZ$3,0),attendees,COUNTIF(INDEX(Attendance!$B$7:$AZ$206,0,att_offset),"1"),IF(ev_split="Equal Split",ev_cost/MAX(1,COUNTA(Roster!$A$5:$A$204)),ev_cost/MAX(1,attendees))),"N/A"))</f>
        <v/>
      </c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9.5" customHeight="1">
      <c r="A676" s="44"/>
      <c r="B676" s="45"/>
      <c r="C676" s="45"/>
      <c r="D676" s="45"/>
      <c r="E676" s="45"/>
      <c r="F676" s="46"/>
      <c r="G676" s="45"/>
      <c r="H676" s="45"/>
      <c r="I676" s="45"/>
      <c r="J676" s="42" t="str">
        <f t="array" ref="J676">IF(G676="","",IFERROR(LET(ev_cost,INDEX(Events!$G$5:$G$506,MATCH(G676,Events!$A$5:$A$506,0)),ev_split,INDEX(Events!$I$5:$I$506,MATCH(G676,Events!$A$5:$A$506,0)),att_offset,MATCH(G676,Attendance!$B$3:$AZ$3,0),attendees,COUNTIF(INDEX(Attendance!$B$7:$AZ$206,0,att_offset),"1"),IF(ev_split="Equal Split",ev_cost/MAX(1,COUNTA(Roster!$A$5:$A$204)),ev_cost/MAX(1,attendees))),"N/A"))</f>
        <v/>
      </c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9.5" customHeight="1">
      <c r="A677" s="47"/>
      <c r="B677" s="48"/>
      <c r="C677" s="48"/>
      <c r="D677" s="48"/>
      <c r="E677" s="48"/>
      <c r="F677" s="51"/>
      <c r="G677" s="48"/>
      <c r="H677" s="48"/>
      <c r="I677" s="48"/>
      <c r="J677" s="42" t="str">
        <f t="array" ref="J677">IF(G677="","",IFERROR(LET(ev_cost,INDEX(Events!$G$5:$G$506,MATCH(G677,Events!$A$5:$A$506,0)),ev_split,INDEX(Events!$I$5:$I$506,MATCH(G677,Events!$A$5:$A$506,0)),att_offset,MATCH(G677,Attendance!$B$3:$AZ$3,0),attendees,COUNTIF(INDEX(Attendance!$B$7:$AZ$206,0,att_offset),"1"),IF(ev_split="Equal Split",ev_cost/MAX(1,COUNTA(Roster!$A$5:$A$204)),ev_cost/MAX(1,attendees))),"N/A"))</f>
        <v/>
      </c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9.5" customHeight="1">
      <c r="A678" s="44"/>
      <c r="B678" s="45"/>
      <c r="C678" s="45"/>
      <c r="D678" s="45"/>
      <c r="E678" s="45"/>
      <c r="F678" s="46"/>
      <c r="G678" s="45"/>
      <c r="H678" s="45"/>
      <c r="I678" s="45"/>
      <c r="J678" s="42" t="str">
        <f t="array" ref="J678">IF(G678="","",IFERROR(LET(ev_cost,INDEX(Events!$G$5:$G$506,MATCH(G678,Events!$A$5:$A$506,0)),ev_split,INDEX(Events!$I$5:$I$506,MATCH(G678,Events!$A$5:$A$506,0)),att_offset,MATCH(G678,Attendance!$B$3:$AZ$3,0),attendees,COUNTIF(INDEX(Attendance!$B$7:$AZ$206,0,att_offset),"1"),IF(ev_split="Equal Split",ev_cost/MAX(1,COUNTA(Roster!$A$5:$A$204)),ev_cost/MAX(1,attendees))),"N/A"))</f>
        <v/>
      </c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9.5" customHeight="1">
      <c r="A679" s="47"/>
      <c r="B679" s="48"/>
      <c r="C679" s="48"/>
      <c r="D679" s="48"/>
      <c r="E679" s="48"/>
      <c r="F679" s="51"/>
      <c r="G679" s="48"/>
      <c r="H679" s="48"/>
      <c r="I679" s="48"/>
      <c r="J679" s="42" t="str">
        <f t="array" ref="J679">IF(G679="","",IFERROR(LET(ev_cost,INDEX(Events!$G$5:$G$506,MATCH(G679,Events!$A$5:$A$506,0)),ev_split,INDEX(Events!$I$5:$I$506,MATCH(G679,Events!$A$5:$A$506,0)),att_offset,MATCH(G679,Attendance!$B$3:$AZ$3,0),attendees,COUNTIF(INDEX(Attendance!$B$7:$AZ$206,0,att_offset),"1"),IF(ev_split="Equal Split",ev_cost/MAX(1,COUNTA(Roster!$A$5:$A$204)),ev_cost/MAX(1,attendees))),"N/A"))</f>
        <v/>
      </c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9.5" customHeight="1">
      <c r="A680" s="44"/>
      <c r="B680" s="45"/>
      <c r="C680" s="45"/>
      <c r="D680" s="45"/>
      <c r="E680" s="45"/>
      <c r="F680" s="46"/>
      <c r="G680" s="45"/>
      <c r="H680" s="45"/>
      <c r="I680" s="45"/>
      <c r="J680" s="42" t="str">
        <f t="array" ref="J680">IF(G680="","",IFERROR(LET(ev_cost,INDEX(Events!$G$5:$G$506,MATCH(G680,Events!$A$5:$A$506,0)),ev_split,INDEX(Events!$I$5:$I$506,MATCH(G680,Events!$A$5:$A$506,0)),att_offset,MATCH(G680,Attendance!$B$3:$AZ$3,0),attendees,COUNTIF(INDEX(Attendance!$B$7:$AZ$206,0,att_offset),"1"),IF(ev_split="Equal Split",ev_cost/MAX(1,COUNTA(Roster!$A$5:$A$204)),ev_cost/MAX(1,attendees))),"N/A"))</f>
        <v/>
      </c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9.5" customHeight="1">
      <c r="A681" s="47"/>
      <c r="B681" s="48"/>
      <c r="C681" s="48"/>
      <c r="D681" s="48"/>
      <c r="E681" s="48"/>
      <c r="F681" s="51"/>
      <c r="G681" s="48"/>
      <c r="H681" s="48"/>
      <c r="I681" s="48"/>
      <c r="J681" s="42" t="str">
        <f t="array" ref="J681">IF(G681="","",IFERROR(LET(ev_cost,INDEX(Events!$G$5:$G$506,MATCH(G681,Events!$A$5:$A$506,0)),ev_split,INDEX(Events!$I$5:$I$506,MATCH(G681,Events!$A$5:$A$506,0)),att_offset,MATCH(G681,Attendance!$B$3:$AZ$3,0),attendees,COUNTIF(INDEX(Attendance!$B$7:$AZ$206,0,att_offset),"1"),IF(ev_split="Equal Split",ev_cost/MAX(1,COUNTA(Roster!$A$5:$A$204)),ev_cost/MAX(1,attendees))),"N/A"))</f>
        <v/>
      </c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9.5" customHeight="1">
      <c r="A682" s="44"/>
      <c r="B682" s="45"/>
      <c r="C682" s="45"/>
      <c r="D682" s="45"/>
      <c r="E682" s="45"/>
      <c r="F682" s="46"/>
      <c r="G682" s="45"/>
      <c r="H682" s="45"/>
      <c r="I682" s="45"/>
      <c r="J682" s="42" t="str">
        <f t="array" ref="J682">IF(G682="","",IFERROR(LET(ev_cost,INDEX(Events!$G$5:$G$506,MATCH(G682,Events!$A$5:$A$506,0)),ev_split,INDEX(Events!$I$5:$I$506,MATCH(G682,Events!$A$5:$A$506,0)),att_offset,MATCH(G682,Attendance!$B$3:$AZ$3,0),attendees,COUNTIF(INDEX(Attendance!$B$7:$AZ$206,0,att_offset),"1"),IF(ev_split="Equal Split",ev_cost/MAX(1,COUNTA(Roster!$A$5:$A$204)),ev_cost/MAX(1,attendees))),"N/A"))</f>
        <v/>
      </c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9.5" customHeight="1">
      <c r="A683" s="47"/>
      <c r="B683" s="48"/>
      <c r="C683" s="48"/>
      <c r="D683" s="48"/>
      <c r="E683" s="48"/>
      <c r="F683" s="51"/>
      <c r="G683" s="48"/>
      <c r="H683" s="48"/>
      <c r="I683" s="48"/>
      <c r="J683" s="42" t="str">
        <f t="array" ref="J683">IF(G683="","",IFERROR(LET(ev_cost,INDEX(Events!$G$5:$G$506,MATCH(G683,Events!$A$5:$A$506,0)),ev_split,INDEX(Events!$I$5:$I$506,MATCH(G683,Events!$A$5:$A$506,0)),att_offset,MATCH(G683,Attendance!$B$3:$AZ$3,0),attendees,COUNTIF(INDEX(Attendance!$B$7:$AZ$206,0,att_offset),"1"),IF(ev_split="Equal Split",ev_cost/MAX(1,COUNTA(Roster!$A$5:$A$204)),ev_cost/MAX(1,attendees))),"N/A"))</f>
        <v/>
      </c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9.5" customHeight="1">
      <c r="A684" s="44"/>
      <c r="B684" s="45"/>
      <c r="C684" s="45"/>
      <c r="D684" s="45"/>
      <c r="E684" s="45"/>
      <c r="F684" s="46"/>
      <c r="G684" s="45"/>
      <c r="H684" s="45"/>
      <c r="I684" s="45"/>
      <c r="J684" s="42" t="str">
        <f t="array" ref="J684">IF(G684="","",IFERROR(LET(ev_cost,INDEX(Events!$G$5:$G$506,MATCH(G684,Events!$A$5:$A$506,0)),ev_split,INDEX(Events!$I$5:$I$506,MATCH(G684,Events!$A$5:$A$506,0)),att_offset,MATCH(G684,Attendance!$B$3:$AZ$3,0),attendees,COUNTIF(INDEX(Attendance!$B$7:$AZ$206,0,att_offset),"1"),IF(ev_split="Equal Split",ev_cost/MAX(1,COUNTA(Roster!$A$5:$A$204)),ev_cost/MAX(1,attendees))),"N/A"))</f>
        <v/>
      </c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9.5" customHeight="1">
      <c r="A685" s="47"/>
      <c r="B685" s="48"/>
      <c r="C685" s="48"/>
      <c r="D685" s="48"/>
      <c r="E685" s="48"/>
      <c r="F685" s="51"/>
      <c r="G685" s="48"/>
      <c r="H685" s="48"/>
      <c r="I685" s="48"/>
      <c r="J685" s="42" t="str">
        <f t="array" ref="J685">IF(G685="","",IFERROR(LET(ev_cost,INDEX(Events!$G$5:$G$506,MATCH(G685,Events!$A$5:$A$506,0)),ev_split,INDEX(Events!$I$5:$I$506,MATCH(G685,Events!$A$5:$A$506,0)),att_offset,MATCH(G685,Attendance!$B$3:$AZ$3,0),attendees,COUNTIF(INDEX(Attendance!$B$7:$AZ$206,0,att_offset),"1"),IF(ev_split="Equal Split",ev_cost/MAX(1,COUNTA(Roster!$A$5:$A$204)),ev_cost/MAX(1,attendees))),"N/A"))</f>
        <v/>
      </c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9.5" customHeight="1">
      <c r="A686" s="44"/>
      <c r="B686" s="45"/>
      <c r="C686" s="45"/>
      <c r="D686" s="45"/>
      <c r="E686" s="45"/>
      <c r="F686" s="46"/>
      <c r="G686" s="45"/>
      <c r="H686" s="45"/>
      <c r="I686" s="45"/>
      <c r="J686" s="42" t="str">
        <f t="array" ref="J686">IF(G686="","",IFERROR(LET(ev_cost,INDEX(Events!$G$5:$G$506,MATCH(G686,Events!$A$5:$A$506,0)),ev_split,INDEX(Events!$I$5:$I$506,MATCH(G686,Events!$A$5:$A$506,0)),att_offset,MATCH(G686,Attendance!$B$3:$AZ$3,0),attendees,COUNTIF(INDEX(Attendance!$B$7:$AZ$206,0,att_offset),"1"),IF(ev_split="Equal Split",ev_cost/MAX(1,COUNTA(Roster!$A$5:$A$204)),ev_cost/MAX(1,attendees))),"N/A"))</f>
        <v/>
      </c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9.5" customHeight="1">
      <c r="A687" s="47"/>
      <c r="B687" s="48"/>
      <c r="C687" s="48"/>
      <c r="D687" s="48"/>
      <c r="E687" s="48"/>
      <c r="F687" s="51"/>
      <c r="G687" s="48"/>
      <c r="H687" s="48"/>
      <c r="I687" s="48"/>
      <c r="J687" s="42" t="str">
        <f t="array" ref="J687">IF(G687="","",IFERROR(LET(ev_cost,INDEX(Events!$G$5:$G$506,MATCH(G687,Events!$A$5:$A$506,0)),ev_split,INDEX(Events!$I$5:$I$506,MATCH(G687,Events!$A$5:$A$506,0)),att_offset,MATCH(G687,Attendance!$B$3:$AZ$3,0),attendees,COUNTIF(INDEX(Attendance!$B$7:$AZ$206,0,att_offset),"1"),IF(ev_split="Equal Split",ev_cost/MAX(1,COUNTA(Roster!$A$5:$A$204)),ev_cost/MAX(1,attendees))),"N/A"))</f>
        <v/>
      </c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9.5" customHeight="1">
      <c r="A688" s="44"/>
      <c r="B688" s="45"/>
      <c r="C688" s="45"/>
      <c r="D688" s="45"/>
      <c r="E688" s="45"/>
      <c r="F688" s="46"/>
      <c r="G688" s="45"/>
      <c r="H688" s="45"/>
      <c r="I688" s="45"/>
      <c r="J688" s="42" t="str">
        <f t="array" ref="J688">IF(G688="","",IFERROR(LET(ev_cost,INDEX(Events!$G$5:$G$506,MATCH(G688,Events!$A$5:$A$506,0)),ev_split,INDEX(Events!$I$5:$I$506,MATCH(G688,Events!$A$5:$A$506,0)),att_offset,MATCH(G688,Attendance!$B$3:$AZ$3,0),attendees,COUNTIF(INDEX(Attendance!$B$7:$AZ$206,0,att_offset),"1"),IF(ev_split="Equal Split",ev_cost/MAX(1,COUNTA(Roster!$A$5:$A$204)),ev_cost/MAX(1,attendees))),"N/A"))</f>
        <v/>
      </c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9.5" customHeight="1">
      <c r="A689" s="47"/>
      <c r="B689" s="48"/>
      <c r="C689" s="48"/>
      <c r="D689" s="48"/>
      <c r="E689" s="48"/>
      <c r="F689" s="51"/>
      <c r="G689" s="48"/>
      <c r="H689" s="48"/>
      <c r="I689" s="48"/>
      <c r="J689" s="42" t="str">
        <f t="array" ref="J689">IF(G689="","",IFERROR(LET(ev_cost,INDEX(Events!$G$5:$G$506,MATCH(G689,Events!$A$5:$A$506,0)),ev_split,INDEX(Events!$I$5:$I$506,MATCH(G689,Events!$A$5:$A$506,0)),att_offset,MATCH(G689,Attendance!$B$3:$AZ$3,0),attendees,COUNTIF(INDEX(Attendance!$B$7:$AZ$206,0,att_offset),"1"),IF(ev_split="Equal Split",ev_cost/MAX(1,COUNTA(Roster!$A$5:$A$204)),ev_cost/MAX(1,attendees))),"N/A"))</f>
        <v/>
      </c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9.5" customHeight="1">
      <c r="A690" s="44"/>
      <c r="B690" s="45"/>
      <c r="C690" s="45"/>
      <c r="D690" s="45"/>
      <c r="E690" s="45"/>
      <c r="F690" s="46"/>
      <c r="G690" s="45"/>
      <c r="H690" s="45"/>
      <c r="I690" s="45"/>
      <c r="J690" s="42" t="str">
        <f t="array" ref="J690">IF(G690="","",IFERROR(LET(ev_cost,INDEX(Events!$G$5:$G$506,MATCH(G690,Events!$A$5:$A$506,0)),ev_split,INDEX(Events!$I$5:$I$506,MATCH(G690,Events!$A$5:$A$506,0)),att_offset,MATCH(G690,Attendance!$B$3:$AZ$3,0),attendees,COUNTIF(INDEX(Attendance!$B$7:$AZ$206,0,att_offset),"1"),IF(ev_split="Equal Split",ev_cost/MAX(1,COUNTA(Roster!$A$5:$A$204)),ev_cost/MAX(1,attendees))),"N/A"))</f>
        <v/>
      </c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9.5" customHeight="1">
      <c r="A691" s="47"/>
      <c r="B691" s="48"/>
      <c r="C691" s="48"/>
      <c r="D691" s="48"/>
      <c r="E691" s="48"/>
      <c r="F691" s="51"/>
      <c r="G691" s="48"/>
      <c r="H691" s="48"/>
      <c r="I691" s="48"/>
      <c r="J691" s="42" t="str">
        <f t="array" ref="J691">IF(G691="","",IFERROR(LET(ev_cost,INDEX(Events!$G$5:$G$506,MATCH(G691,Events!$A$5:$A$506,0)),ev_split,INDEX(Events!$I$5:$I$506,MATCH(G691,Events!$A$5:$A$506,0)),att_offset,MATCH(G691,Attendance!$B$3:$AZ$3,0),attendees,COUNTIF(INDEX(Attendance!$B$7:$AZ$206,0,att_offset),"1"),IF(ev_split="Equal Split",ev_cost/MAX(1,COUNTA(Roster!$A$5:$A$204)),ev_cost/MAX(1,attendees))),"N/A"))</f>
        <v/>
      </c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9.5" customHeight="1">
      <c r="A692" s="44"/>
      <c r="B692" s="45"/>
      <c r="C692" s="45"/>
      <c r="D692" s="45"/>
      <c r="E692" s="45"/>
      <c r="F692" s="46"/>
      <c r="G692" s="45"/>
      <c r="H692" s="45"/>
      <c r="I692" s="45"/>
      <c r="J692" s="42" t="str">
        <f t="array" ref="J692">IF(G692="","",IFERROR(LET(ev_cost,INDEX(Events!$G$5:$G$506,MATCH(G692,Events!$A$5:$A$506,0)),ev_split,INDEX(Events!$I$5:$I$506,MATCH(G692,Events!$A$5:$A$506,0)),att_offset,MATCH(G692,Attendance!$B$3:$AZ$3,0),attendees,COUNTIF(INDEX(Attendance!$B$7:$AZ$206,0,att_offset),"1"),IF(ev_split="Equal Split",ev_cost/MAX(1,COUNTA(Roster!$A$5:$A$204)),ev_cost/MAX(1,attendees))),"N/A"))</f>
        <v/>
      </c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9.5" customHeight="1">
      <c r="A693" s="47"/>
      <c r="B693" s="48"/>
      <c r="C693" s="48"/>
      <c r="D693" s="48"/>
      <c r="E693" s="48"/>
      <c r="F693" s="51"/>
      <c r="G693" s="48"/>
      <c r="H693" s="48"/>
      <c r="I693" s="48"/>
      <c r="J693" s="42" t="str">
        <f t="array" ref="J693">IF(G693="","",IFERROR(LET(ev_cost,INDEX(Events!$G$5:$G$506,MATCH(G693,Events!$A$5:$A$506,0)),ev_split,INDEX(Events!$I$5:$I$506,MATCH(G693,Events!$A$5:$A$506,0)),att_offset,MATCH(G693,Attendance!$B$3:$AZ$3,0),attendees,COUNTIF(INDEX(Attendance!$B$7:$AZ$206,0,att_offset),"1"),IF(ev_split="Equal Split",ev_cost/MAX(1,COUNTA(Roster!$A$5:$A$204)),ev_cost/MAX(1,attendees))),"N/A"))</f>
        <v/>
      </c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9.5" customHeight="1">
      <c r="A694" s="44"/>
      <c r="B694" s="45"/>
      <c r="C694" s="45"/>
      <c r="D694" s="45"/>
      <c r="E694" s="45"/>
      <c r="F694" s="46"/>
      <c r="G694" s="45"/>
      <c r="H694" s="45"/>
      <c r="I694" s="45"/>
      <c r="J694" s="42" t="str">
        <f t="array" ref="J694">IF(G694="","",IFERROR(LET(ev_cost,INDEX(Events!$G$5:$G$506,MATCH(G694,Events!$A$5:$A$506,0)),ev_split,INDEX(Events!$I$5:$I$506,MATCH(G694,Events!$A$5:$A$506,0)),att_offset,MATCH(G694,Attendance!$B$3:$AZ$3,0),attendees,COUNTIF(INDEX(Attendance!$B$7:$AZ$206,0,att_offset),"1"),IF(ev_split="Equal Split",ev_cost/MAX(1,COUNTA(Roster!$A$5:$A$204)),ev_cost/MAX(1,attendees))),"N/A"))</f>
        <v/>
      </c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9.5" customHeight="1">
      <c r="A695" s="47"/>
      <c r="B695" s="48"/>
      <c r="C695" s="48"/>
      <c r="D695" s="48"/>
      <c r="E695" s="48"/>
      <c r="F695" s="51"/>
      <c r="G695" s="48"/>
      <c r="H695" s="48"/>
      <c r="I695" s="48"/>
      <c r="J695" s="42" t="str">
        <f t="array" ref="J695">IF(G695="","",IFERROR(LET(ev_cost,INDEX(Events!$G$5:$G$506,MATCH(G695,Events!$A$5:$A$506,0)),ev_split,INDEX(Events!$I$5:$I$506,MATCH(G695,Events!$A$5:$A$506,0)),att_offset,MATCH(G695,Attendance!$B$3:$AZ$3,0),attendees,COUNTIF(INDEX(Attendance!$B$7:$AZ$206,0,att_offset),"1"),IF(ev_split="Equal Split",ev_cost/MAX(1,COUNTA(Roster!$A$5:$A$204)),ev_cost/MAX(1,attendees))),"N/A"))</f>
        <v/>
      </c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9.5" customHeight="1">
      <c r="A696" s="44"/>
      <c r="B696" s="45"/>
      <c r="C696" s="45"/>
      <c r="D696" s="45"/>
      <c r="E696" s="45"/>
      <c r="F696" s="46"/>
      <c r="G696" s="45"/>
      <c r="H696" s="45"/>
      <c r="I696" s="45"/>
      <c r="J696" s="42" t="str">
        <f t="array" ref="J696">IF(G696="","",IFERROR(LET(ev_cost,INDEX(Events!$G$5:$G$506,MATCH(G696,Events!$A$5:$A$506,0)),ev_split,INDEX(Events!$I$5:$I$506,MATCH(G696,Events!$A$5:$A$506,0)),att_offset,MATCH(G696,Attendance!$B$3:$AZ$3,0),attendees,COUNTIF(INDEX(Attendance!$B$7:$AZ$206,0,att_offset),"1"),IF(ev_split="Equal Split",ev_cost/MAX(1,COUNTA(Roster!$A$5:$A$204)),ev_cost/MAX(1,attendees))),"N/A"))</f>
        <v/>
      </c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9.5" customHeight="1">
      <c r="A697" s="47"/>
      <c r="B697" s="48"/>
      <c r="C697" s="48"/>
      <c r="D697" s="48"/>
      <c r="E697" s="48"/>
      <c r="F697" s="51"/>
      <c r="G697" s="48"/>
      <c r="H697" s="48"/>
      <c r="I697" s="48"/>
      <c r="J697" s="42" t="str">
        <f t="array" ref="J697">IF(G697="","",IFERROR(LET(ev_cost,INDEX(Events!$G$5:$G$506,MATCH(G697,Events!$A$5:$A$506,0)),ev_split,INDEX(Events!$I$5:$I$506,MATCH(G697,Events!$A$5:$A$506,0)),att_offset,MATCH(G697,Attendance!$B$3:$AZ$3,0),attendees,COUNTIF(INDEX(Attendance!$B$7:$AZ$206,0,att_offset),"1"),IF(ev_split="Equal Split",ev_cost/MAX(1,COUNTA(Roster!$A$5:$A$204)),ev_cost/MAX(1,attendees))),"N/A"))</f>
        <v/>
      </c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9.5" customHeight="1">
      <c r="A698" s="44"/>
      <c r="B698" s="45"/>
      <c r="C698" s="45"/>
      <c r="D698" s="45"/>
      <c r="E698" s="45"/>
      <c r="F698" s="46"/>
      <c r="G698" s="45"/>
      <c r="H698" s="45"/>
      <c r="I698" s="45"/>
      <c r="J698" s="42" t="str">
        <f t="array" ref="J698">IF(G698="","",IFERROR(LET(ev_cost,INDEX(Events!$G$5:$G$506,MATCH(G698,Events!$A$5:$A$506,0)),ev_split,INDEX(Events!$I$5:$I$506,MATCH(G698,Events!$A$5:$A$506,0)),att_offset,MATCH(G698,Attendance!$B$3:$AZ$3,0),attendees,COUNTIF(INDEX(Attendance!$B$7:$AZ$206,0,att_offset),"1"),IF(ev_split="Equal Split",ev_cost/MAX(1,COUNTA(Roster!$A$5:$A$204)),ev_cost/MAX(1,attendees))),"N/A"))</f>
        <v/>
      </c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9.5" customHeight="1">
      <c r="A699" s="47"/>
      <c r="B699" s="48"/>
      <c r="C699" s="48"/>
      <c r="D699" s="48"/>
      <c r="E699" s="48"/>
      <c r="F699" s="51"/>
      <c r="G699" s="48"/>
      <c r="H699" s="48"/>
      <c r="I699" s="48"/>
      <c r="J699" s="42" t="str">
        <f t="array" ref="J699">IF(G699="","",IFERROR(LET(ev_cost,INDEX(Events!$G$5:$G$506,MATCH(G699,Events!$A$5:$A$506,0)),ev_split,INDEX(Events!$I$5:$I$506,MATCH(G699,Events!$A$5:$A$506,0)),att_offset,MATCH(G699,Attendance!$B$3:$AZ$3,0),attendees,COUNTIF(INDEX(Attendance!$B$7:$AZ$206,0,att_offset),"1"),IF(ev_split="Equal Split",ev_cost/MAX(1,COUNTA(Roster!$A$5:$A$204)),ev_cost/MAX(1,attendees))),"N/A"))</f>
        <v/>
      </c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9.5" customHeight="1">
      <c r="A700" s="44"/>
      <c r="B700" s="45"/>
      <c r="C700" s="45"/>
      <c r="D700" s="45"/>
      <c r="E700" s="45"/>
      <c r="F700" s="46"/>
      <c r="G700" s="45"/>
      <c r="H700" s="45"/>
      <c r="I700" s="45"/>
      <c r="J700" s="42" t="str">
        <f t="array" ref="J700">IF(G700="","",IFERROR(LET(ev_cost,INDEX(Events!$G$5:$G$506,MATCH(G700,Events!$A$5:$A$506,0)),ev_split,INDEX(Events!$I$5:$I$506,MATCH(G700,Events!$A$5:$A$506,0)),att_offset,MATCH(G700,Attendance!$B$3:$AZ$3,0),attendees,COUNTIF(INDEX(Attendance!$B$7:$AZ$206,0,att_offset),"1"),IF(ev_split="Equal Split",ev_cost/MAX(1,COUNTA(Roster!$A$5:$A$204)),ev_cost/MAX(1,attendees))),"N/A"))</f>
        <v/>
      </c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9.5" customHeight="1">
      <c r="A701" s="47"/>
      <c r="B701" s="48"/>
      <c r="C701" s="48"/>
      <c r="D701" s="48"/>
      <c r="E701" s="48"/>
      <c r="F701" s="51"/>
      <c r="G701" s="48"/>
      <c r="H701" s="48"/>
      <c r="I701" s="48"/>
      <c r="J701" s="42" t="str">
        <f t="array" ref="J701">IF(G701="","",IFERROR(LET(ev_cost,INDEX(Events!$G$5:$G$506,MATCH(G701,Events!$A$5:$A$506,0)),ev_split,INDEX(Events!$I$5:$I$506,MATCH(G701,Events!$A$5:$A$506,0)),att_offset,MATCH(G701,Attendance!$B$3:$AZ$3,0),attendees,COUNTIF(INDEX(Attendance!$B$7:$AZ$206,0,att_offset),"1"),IF(ev_split="Equal Split",ev_cost/MAX(1,COUNTA(Roster!$A$5:$A$204)),ev_cost/MAX(1,attendees))),"N/A"))</f>
        <v/>
      </c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9.5" customHeight="1">
      <c r="A702" s="44"/>
      <c r="B702" s="45"/>
      <c r="C702" s="45"/>
      <c r="D702" s="45"/>
      <c r="E702" s="45"/>
      <c r="F702" s="46"/>
      <c r="G702" s="45"/>
      <c r="H702" s="45"/>
      <c r="I702" s="45"/>
      <c r="J702" s="42" t="str">
        <f t="array" ref="J702">IF(G702="","",IFERROR(LET(ev_cost,INDEX(Events!$G$5:$G$506,MATCH(G702,Events!$A$5:$A$506,0)),ev_split,INDEX(Events!$I$5:$I$506,MATCH(G702,Events!$A$5:$A$506,0)),att_offset,MATCH(G702,Attendance!$B$3:$AZ$3,0),attendees,COUNTIF(INDEX(Attendance!$B$7:$AZ$206,0,att_offset),"1"),IF(ev_split="Equal Split",ev_cost/MAX(1,COUNTA(Roster!$A$5:$A$204)),ev_cost/MAX(1,attendees))),"N/A"))</f>
        <v/>
      </c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9.5" customHeight="1">
      <c r="A703" s="47"/>
      <c r="B703" s="48"/>
      <c r="C703" s="48"/>
      <c r="D703" s="48"/>
      <c r="E703" s="48"/>
      <c r="F703" s="51"/>
      <c r="G703" s="48"/>
      <c r="H703" s="48"/>
      <c r="I703" s="48"/>
      <c r="J703" s="42" t="str">
        <f t="array" ref="J703">IF(G703="","",IFERROR(LET(ev_cost,INDEX(Events!$G$5:$G$506,MATCH(G703,Events!$A$5:$A$506,0)),ev_split,INDEX(Events!$I$5:$I$506,MATCH(G703,Events!$A$5:$A$506,0)),att_offset,MATCH(G703,Attendance!$B$3:$AZ$3,0),attendees,COUNTIF(INDEX(Attendance!$B$7:$AZ$206,0,att_offset),"1"),IF(ev_split="Equal Split",ev_cost/MAX(1,COUNTA(Roster!$A$5:$A$204)),ev_cost/MAX(1,attendees))),"N/A"))</f>
        <v/>
      </c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9.5" customHeight="1">
      <c r="A704" s="44"/>
      <c r="B704" s="45"/>
      <c r="C704" s="45"/>
      <c r="D704" s="45"/>
      <c r="E704" s="45"/>
      <c r="F704" s="46"/>
      <c r="G704" s="45"/>
      <c r="H704" s="45"/>
      <c r="I704" s="45"/>
      <c r="J704" s="42" t="str">
        <f t="array" ref="J704">IF(G704="","",IFERROR(LET(ev_cost,INDEX(Events!$G$5:$G$506,MATCH(G704,Events!$A$5:$A$506,0)),ev_split,INDEX(Events!$I$5:$I$506,MATCH(G704,Events!$A$5:$A$506,0)),att_offset,MATCH(G704,Attendance!$B$3:$AZ$3,0),attendees,COUNTIF(INDEX(Attendance!$B$7:$AZ$206,0,att_offset),"1"),IF(ev_split="Equal Split",ev_cost/MAX(1,COUNTA(Roster!$A$5:$A$204)),ev_cost/MAX(1,attendees))),"N/A"))</f>
        <v/>
      </c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9.5" customHeight="1">
      <c r="A705" s="47"/>
      <c r="B705" s="48"/>
      <c r="C705" s="48"/>
      <c r="D705" s="48"/>
      <c r="E705" s="48"/>
      <c r="F705" s="51"/>
      <c r="G705" s="48"/>
      <c r="H705" s="48"/>
      <c r="I705" s="48"/>
      <c r="J705" s="42" t="str">
        <f t="array" ref="J705">IF(G705="","",IFERROR(LET(ev_cost,INDEX(Events!$G$5:$G$506,MATCH(G705,Events!$A$5:$A$506,0)),ev_split,INDEX(Events!$I$5:$I$506,MATCH(G705,Events!$A$5:$A$506,0)),att_offset,MATCH(G705,Attendance!$B$3:$AZ$3,0),attendees,COUNTIF(INDEX(Attendance!$B$7:$AZ$206,0,att_offset),"1"),IF(ev_split="Equal Split",ev_cost/MAX(1,COUNTA(Roster!$A$5:$A$204)),ev_cost/MAX(1,attendees))),"N/A"))</f>
        <v/>
      </c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9.5" customHeight="1">
      <c r="A706" s="44"/>
      <c r="B706" s="45"/>
      <c r="C706" s="45"/>
      <c r="D706" s="45"/>
      <c r="E706" s="45"/>
      <c r="F706" s="46"/>
      <c r="G706" s="45"/>
      <c r="H706" s="45"/>
      <c r="I706" s="45"/>
      <c r="J706" s="42" t="str">
        <f t="array" ref="J706">IF(G706="","",IFERROR(LET(ev_cost,INDEX(Events!$G$5:$G$506,MATCH(G706,Events!$A$5:$A$506,0)),ev_split,INDEX(Events!$I$5:$I$506,MATCH(G706,Events!$A$5:$A$506,0)),att_offset,MATCH(G706,Attendance!$B$3:$AZ$3,0),attendees,COUNTIF(INDEX(Attendance!$B$7:$AZ$206,0,att_offset),"1"),IF(ev_split="Equal Split",ev_cost/MAX(1,COUNTA(Roster!$A$5:$A$204)),ev_cost/MAX(1,attendees))),"N/A"))</f>
        <v/>
      </c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9.5" customHeight="1">
      <c r="A707" s="47"/>
      <c r="B707" s="48"/>
      <c r="C707" s="48"/>
      <c r="D707" s="48"/>
      <c r="E707" s="48"/>
      <c r="F707" s="51"/>
      <c r="G707" s="48"/>
      <c r="H707" s="48"/>
      <c r="I707" s="48"/>
      <c r="J707" s="42" t="str">
        <f t="array" ref="J707">IF(G707="","",IFERROR(LET(ev_cost,INDEX(Events!$G$5:$G$506,MATCH(G707,Events!$A$5:$A$506,0)),ev_split,INDEX(Events!$I$5:$I$506,MATCH(G707,Events!$A$5:$A$506,0)),att_offset,MATCH(G707,Attendance!$B$3:$AZ$3,0),attendees,COUNTIF(INDEX(Attendance!$B$7:$AZ$206,0,att_offset),"1"),IF(ev_split="Equal Split",ev_cost/MAX(1,COUNTA(Roster!$A$5:$A$204)),ev_cost/MAX(1,attendees))),"N/A"))</f>
        <v/>
      </c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9.5" customHeight="1">
      <c r="A708" s="44"/>
      <c r="B708" s="45"/>
      <c r="C708" s="45"/>
      <c r="D708" s="45"/>
      <c r="E708" s="45"/>
      <c r="F708" s="46"/>
      <c r="G708" s="45"/>
      <c r="H708" s="45"/>
      <c r="I708" s="45"/>
      <c r="J708" s="42" t="str">
        <f t="array" ref="J708">IF(G708="","",IFERROR(LET(ev_cost,INDEX(Events!$G$5:$G$506,MATCH(G708,Events!$A$5:$A$506,0)),ev_split,INDEX(Events!$I$5:$I$506,MATCH(G708,Events!$A$5:$A$506,0)),att_offset,MATCH(G708,Attendance!$B$3:$AZ$3,0),attendees,COUNTIF(INDEX(Attendance!$B$7:$AZ$206,0,att_offset),"1"),IF(ev_split="Equal Split",ev_cost/MAX(1,COUNTA(Roster!$A$5:$A$204)),ev_cost/MAX(1,attendees))),"N/A"))</f>
        <v/>
      </c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9.5" customHeight="1">
      <c r="A709" s="47"/>
      <c r="B709" s="48"/>
      <c r="C709" s="48"/>
      <c r="D709" s="48"/>
      <c r="E709" s="48"/>
      <c r="F709" s="51"/>
      <c r="G709" s="48"/>
      <c r="H709" s="48"/>
      <c r="I709" s="48"/>
      <c r="J709" s="42" t="str">
        <f t="array" ref="J709">IF(G709="","",IFERROR(LET(ev_cost,INDEX(Events!$G$5:$G$506,MATCH(G709,Events!$A$5:$A$506,0)),ev_split,INDEX(Events!$I$5:$I$506,MATCH(G709,Events!$A$5:$A$506,0)),att_offset,MATCH(G709,Attendance!$B$3:$AZ$3,0),attendees,COUNTIF(INDEX(Attendance!$B$7:$AZ$206,0,att_offset),"1"),IF(ev_split="Equal Split",ev_cost/MAX(1,COUNTA(Roster!$A$5:$A$204)),ev_cost/MAX(1,attendees))),"N/A"))</f>
        <v/>
      </c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9.5" customHeight="1">
      <c r="A710" s="44"/>
      <c r="B710" s="45"/>
      <c r="C710" s="45"/>
      <c r="D710" s="45"/>
      <c r="E710" s="45"/>
      <c r="F710" s="46"/>
      <c r="G710" s="45"/>
      <c r="H710" s="45"/>
      <c r="I710" s="45"/>
      <c r="J710" s="42" t="str">
        <f t="array" ref="J710">IF(G710="","",IFERROR(LET(ev_cost,INDEX(Events!$G$5:$G$506,MATCH(G710,Events!$A$5:$A$506,0)),ev_split,INDEX(Events!$I$5:$I$506,MATCH(G710,Events!$A$5:$A$506,0)),att_offset,MATCH(G710,Attendance!$B$3:$AZ$3,0),attendees,COUNTIF(INDEX(Attendance!$B$7:$AZ$206,0,att_offset),"1"),IF(ev_split="Equal Split",ev_cost/MAX(1,COUNTA(Roster!$A$5:$A$204)),ev_cost/MAX(1,attendees))),"N/A"))</f>
        <v/>
      </c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9.5" customHeight="1">
      <c r="A711" s="47"/>
      <c r="B711" s="48"/>
      <c r="C711" s="48"/>
      <c r="D711" s="48"/>
      <c r="E711" s="48"/>
      <c r="F711" s="51"/>
      <c r="G711" s="48"/>
      <c r="H711" s="48"/>
      <c r="I711" s="48"/>
      <c r="J711" s="42" t="str">
        <f t="array" ref="J711">IF(G711="","",IFERROR(LET(ev_cost,INDEX(Events!$G$5:$G$506,MATCH(G711,Events!$A$5:$A$506,0)),ev_split,INDEX(Events!$I$5:$I$506,MATCH(G711,Events!$A$5:$A$506,0)),att_offset,MATCH(G711,Attendance!$B$3:$AZ$3,0),attendees,COUNTIF(INDEX(Attendance!$B$7:$AZ$206,0,att_offset),"1"),IF(ev_split="Equal Split",ev_cost/MAX(1,COUNTA(Roster!$A$5:$A$204)),ev_cost/MAX(1,attendees))),"N/A"))</f>
        <v/>
      </c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9.5" customHeight="1">
      <c r="A712" s="44"/>
      <c r="B712" s="45"/>
      <c r="C712" s="45"/>
      <c r="D712" s="45"/>
      <c r="E712" s="45"/>
      <c r="F712" s="46"/>
      <c r="G712" s="45"/>
      <c r="H712" s="45"/>
      <c r="I712" s="45"/>
      <c r="J712" s="42" t="str">
        <f t="array" ref="J712">IF(G712="","",IFERROR(LET(ev_cost,INDEX(Events!$G$5:$G$506,MATCH(G712,Events!$A$5:$A$506,0)),ev_split,INDEX(Events!$I$5:$I$506,MATCH(G712,Events!$A$5:$A$506,0)),att_offset,MATCH(G712,Attendance!$B$3:$AZ$3,0),attendees,COUNTIF(INDEX(Attendance!$B$7:$AZ$206,0,att_offset),"1"),IF(ev_split="Equal Split",ev_cost/MAX(1,COUNTA(Roster!$A$5:$A$204)),ev_cost/MAX(1,attendees))),"N/A"))</f>
        <v/>
      </c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9.5" customHeight="1">
      <c r="A713" s="47"/>
      <c r="B713" s="48"/>
      <c r="C713" s="48"/>
      <c r="D713" s="48"/>
      <c r="E713" s="48"/>
      <c r="F713" s="51"/>
      <c r="G713" s="48"/>
      <c r="H713" s="48"/>
      <c r="I713" s="48"/>
      <c r="J713" s="42" t="str">
        <f t="array" ref="J713">IF(G713="","",IFERROR(LET(ev_cost,INDEX(Events!$G$5:$G$506,MATCH(G713,Events!$A$5:$A$506,0)),ev_split,INDEX(Events!$I$5:$I$506,MATCH(G713,Events!$A$5:$A$506,0)),att_offset,MATCH(G713,Attendance!$B$3:$AZ$3,0),attendees,COUNTIF(INDEX(Attendance!$B$7:$AZ$206,0,att_offset),"1"),IF(ev_split="Equal Split",ev_cost/MAX(1,COUNTA(Roster!$A$5:$A$204)),ev_cost/MAX(1,attendees))),"N/A"))</f>
        <v/>
      </c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9.5" customHeight="1">
      <c r="A714" s="44"/>
      <c r="B714" s="45"/>
      <c r="C714" s="45"/>
      <c r="D714" s="45"/>
      <c r="E714" s="45"/>
      <c r="F714" s="46"/>
      <c r="G714" s="45"/>
      <c r="H714" s="45"/>
      <c r="I714" s="45"/>
      <c r="J714" s="42" t="str">
        <f t="array" ref="J714">IF(G714="","",IFERROR(LET(ev_cost,INDEX(Events!$G$5:$G$506,MATCH(G714,Events!$A$5:$A$506,0)),ev_split,INDEX(Events!$I$5:$I$506,MATCH(G714,Events!$A$5:$A$506,0)),att_offset,MATCH(G714,Attendance!$B$3:$AZ$3,0),attendees,COUNTIF(INDEX(Attendance!$B$7:$AZ$206,0,att_offset),"1"),IF(ev_split="Equal Split",ev_cost/MAX(1,COUNTA(Roster!$A$5:$A$204)),ev_cost/MAX(1,attendees))),"N/A"))</f>
        <v/>
      </c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9.5" customHeight="1">
      <c r="A715" s="47"/>
      <c r="B715" s="48"/>
      <c r="C715" s="48"/>
      <c r="D715" s="48"/>
      <c r="E715" s="48"/>
      <c r="F715" s="51"/>
      <c r="G715" s="48"/>
      <c r="H715" s="48"/>
      <c r="I715" s="48"/>
      <c r="J715" s="42" t="str">
        <f t="array" ref="J715">IF(G715="","",IFERROR(LET(ev_cost,INDEX(Events!$G$5:$G$506,MATCH(G715,Events!$A$5:$A$506,0)),ev_split,INDEX(Events!$I$5:$I$506,MATCH(G715,Events!$A$5:$A$506,0)),att_offset,MATCH(G715,Attendance!$B$3:$AZ$3,0),attendees,COUNTIF(INDEX(Attendance!$B$7:$AZ$206,0,att_offset),"1"),IF(ev_split="Equal Split",ev_cost/MAX(1,COUNTA(Roster!$A$5:$A$204)),ev_cost/MAX(1,attendees))),"N/A"))</f>
        <v/>
      </c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9.5" customHeight="1">
      <c r="A716" s="44"/>
      <c r="B716" s="45"/>
      <c r="C716" s="45"/>
      <c r="D716" s="45"/>
      <c r="E716" s="45"/>
      <c r="F716" s="46"/>
      <c r="G716" s="45"/>
      <c r="H716" s="45"/>
      <c r="I716" s="45"/>
      <c r="J716" s="42" t="str">
        <f t="array" ref="J716">IF(G716="","",IFERROR(LET(ev_cost,INDEX(Events!$G$5:$G$506,MATCH(G716,Events!$A$5:$A$506,0)),ev_split,INDEX(Events!$I$5:$I$506,MATCH(G716,Events!$A$5:$A$506,0)),att_offset,MATCH(G716,Attendance!$B$3:$AZ$3,0),attendees,COUNTIF(INDEX(Attendance!$B$7:$AZ$206,0,att_offset),"1"),IF(ev_split="Equal Split",ev_cost/MAX(1,COUNTA(Roster!$A$5:$A$204)),ev_cost/MAX(1,attendees))),"N/A"))</f>
        <v/>
      </c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9.5" customHeight="1">
      <c r="A717" s="47"/>
      <c r="B717" s="48"/>
      <c r="C717" s="48"/>
      <c r="D717" s="48"/>
      <c r="E717" s="48"/>
      <c r="F717" s="51"/>
      <c r="G717" s="48"/>
      <c r="H717" s="48"/>
      <c r="I717" s="48"/>
      <c r="J717" s="42" t="str">
        <f t="array" ref="J717">IF(G717="","",IFERROR(LET(ev_cost,INDEX(Events!$G$5:$G$506,MATCH(G717,Events!$A$5:$A$506,0)),ev_split,INDEX(Events!$I$5:$I$506,MATCH(G717,Events!$A$5:$A$506,0)),att_offset,MATCH(G717,Attendance!$B$3:$AZ$3,0),attendees,COUNTIF(INDEX(Attendance!$B$7:$AZ$206,0,att_offset),"1"),IF(ev_split="Equal Split",ev_cost/MAX(1,COUNTA(Roster!$A$5:$A$204)),ev_cost/MAX(1,attendees))),"N/A"))</f>
        <v/>
      </c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9.5" customHeight="1">
      <c r="A718" s="44"/>
      <c r="B718" s="45"/>
      <c r="C718" s="45"/>
      <c r="D718" s="45"/>
      <c r="E718" s="45"/>
      <c r="F718" s="46"/>
      <c r="G718" s="45"/>
      <c r="H718" s="45"/>
      <c r="I718" s="45"/>
      <c r="J718" s="42" t="str">
        <f t="array" ref="J718">IF(G718="","",IFERROR(LET(ev_cost,INDEX(Events!$G$5:$G$506,MATCH(G718,Events!$A$5:$A$506,0)),ev_split,INDEX(Events!$I$5:$I$506,MATCH(G718,Events!$A$5:$A$506,0)),att_offset,MATCH(G718,Attendance!$B$3:$AZ$3,0),attendees,COUNTIF(INDEX(Attendance!$B$7:$AZ$206,0,att_offset),"1"),IF(ev_split="Equal Split",ev_cost/MAX(1,COUNTA(Roster!$A$5:$A$204)),ev_cost/MAX(1,attendees))),"N/A"))</f>
        <v/>
      </c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9.5" customHeight="1">
      <c r="A719" s="47"/>
      <c r="B719" s="48"/>
      <c r="C719" s="48"/>
      <c r="D719" s="48"/>
      <c r="E719" s="48"/>
      <c r="F719" s="51"/>
      <c r="G719" s="48"/>
      <c r="H719" s="48"/>
      <c r="I719" s="48"/>
      <c r="J719" s="42" t="str">
        <f t="array" ref="J719">IF(G719="","",IFERROR(LET(ev_cost,INDEX(Events!$G$5:$G$506,MATCH(G719,Events!$A$5:$A$506,0)),ev_split,INDEX(Events!$I$5:$I$506,MATCH(G719,Events!$A$5:$A$506,0)),att_offset,MATCH(G719,Attendance!$B$3:$AZ$3,0),attendees,COUNTIF(INDEX(Attendance!$B$7:$AZ$206,0,att_offset),"1"),IF(ev_split="Equal Split",ev_cost/MAX(1,COUNTA(Roster!$A$5:$A$204)),ev_cost/MAX(1,attendees))),"N/A"))</f>
        <v/>
      </c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9.5" customHeight="1">
      <c r="A720" s="44"/>
      <c r="B720" s="45"/>
      <c r="C720" s="45"/>
      <c r="D720" s="45"/>
      <c r="E720" s="45"/>
      <c r="F720" s="46"/>
      <c r="G720" s="45"/>
      <c r="H720" s="45"/>
      <c r="I720" s="45"/>
      <c r="J720" s="42" t="str">
        <f t="array" ref="J720">IF(G720="","",IFERROR(LET(ev_cost,INDEX(Events!$G$5:$G$506,MATCH(G720,Events!$A$5:$A$506,0)),ev_split,INDEX(Events!$I$5:$I$506,MATCH(G720,Events!$A$5:$A$506,0)),att_offset,MATCH(G720,Attendance!$B$3:$AZ$3,0),attendees,COUNTIF(INDEX(Attendance!$B$7:$AZ$206,0,att_offset),"1"),IF(ev_split="Equal Split",ev_cost/MAX(1,COUNTA(Roster!$A$5:$A$204)),ev_cost/MAX(1,attendees))),"N/A"))</f>
        <v/>
      </c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9.5" customHeight="1">
      <c r="A721" s="47"/>
      <c r="B721" s="48"/>
      <c r="C721" s="48"/>
      <c r="D721" s="48"/>
      <c r="E721" s="48"/>
      <c r="F721" s="51"/>
      <c r="G721" s="48"/>
      <c r="H721" s="48"/>
      <c r="I721" s="48"/>
      <c r="J721" s="42" t="str">
        <f t="array" ref="J721">IF(G721="","",IFERROR(LET(ev_cost,INDEX(Events!$G$5:$G$506,MATCH(G721,Events!$A$5:$A$506,0)),ev_split,INDEX(Events!$I$5:$I$506,MATCH(G721,Events!$A$5:$A$506,0)),att_offset,MATCH(G721,Attendance!$B$3:$AZ$3,0),attendees,COUNTIF(INDEX(Attendance!$B$7:$AZ$206,0,att_offset),"1"),IF(ev_split="Equal Split",ev_cost/MAX(1,COUNTA(Roster!$A$5:$A$204)),ev_cost/MAX(1,attendees))),"N/A"))</f>
        <v/>
      </c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9.5" customHeight="1">
      <c r="A722" s="44"/>
      <c r="B722" s="45"/>
      <c r="C722" s="45"/>
      <c r="D722" s="45"/>
      <c r="E722" s="45"/>
      <c r="F722" s="46"/>
      <c r="G722" s="45"/>
      <c r="H722" s="45"/>
      <c r="I722" s="45"/>
      <c r="J722" s="42" t="str">
        <f t="array" ref="J722">IF(G722="","",IFERROR(LET(ev_cost,INDEX(Events!$G$5:$G$506,MATCH(G722,Events!$A$5:$A$506,0)),ev_split,INDEX(Events!$I$5:$I$506,MATCH(G722,Events!$A$5:$A$506,0)),att_offset,MATCH(G722,Attendance!$B$3:$AZ$3,0),attendees,COUNTIF(INDEX(Attendance!$B$7:$AZ$206,0,att_offset),"1"),IF(ev_split="Equal Split",ev_cost/MAX(1,COUNTA(Roster!$A$5:$A$204)),ev_cost/MAX(1,attendees))),"N/A"))</f>
        <v/>
      </c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9.5" customHeight="1">
      <c r="A723" s="47"/>
      <c r="B723" s="48"/>
      <c r="C723" s="48"/>
      <c r="D723" s="48"/>
      <c r="E723" s="48"/>
      <c r="F723" s="51"/>
      <c r="G723" s="48"/>
      <c r="H723" s="48"/>
      <c r="I723" s="48"/>
      <c r="J723" s="42" t="str">
        <f t="array" ref="J723">IF(G723="","",IFERROR(LET(ev_cost,INDEX(Events!$G$5:$G$506,MATCH(G723,Events!$A$5:$A$506,0)),ev_split,INDEX(Events!$I$5:$I$506,MATCH(G723,Events!$A$5:$A$506,0)),att_offset,MATCH(G723,Attendance!$B$3:$AZ$3,0),attendees,COUNTIF(INDEX(Attendance!$B$7:$AZ$206,0,att_offset),"1"),IF(ev_split="Equal Split",ev_cost/MAX(1,COUNTA(Roster!$A$5:$A$204)),ev_cost/MAX(1,attendees))),"N/A"))</f>
        <v/>
      </c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9.5" customHeight="1">
      <c r="A724" s="44"/>
      <c r="B724" s="45"/>
      <c r="C724" s="45"/>
      <c r="D724" s="45"/>
      <c r="E724" s="45"/>
      <c r="F724" s="46"/>
      <c r="G724" s="45"/>
      <c r="H724" s="45"/>
      <c r="I724" s="45"/>
      <c r="J724" s="42" t="str">
        <f t="array" ref="J724">IF(G724="","",IFERROR(LET(ev_cost,INDEX(Events!$G$5:$G$506,MATCH(G724,Events!$A$5:$A$506,0)),ev_split,INDEX(Events!$I$5:$I$506,MATCH(G724,Events!$A$5:$A$506,0)),att_offset,MATCH(G724,Attendance!$B$3:$AZ$3,0),attendees,COUNTIF(INDEX(Attendance!$B$7:$AZ$206,0,att_offset),"1"),IF(ev_split="Equal Split",ev_cost/MAX(1,COUNTA(Roster!$A$5:$A$204)),ev_cost/MAX(1,attendees))),"N/A"))</f>
        <v/>
      </c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9.5" customHeight="1">
      <c r="A725" s="47"/>
      <c r="B725" s="48"/>
      <c r="C725" s="48"/>
      <c r="D725" s="48"/>
      <c r="E725" s="48"/>
      <c r="F725" s="51"/>
      <c r="G725" s="48"/>
      <c r="H725" s="48"/>
      <c r="I725" s="48"/>
      <c r="J725" s="42" t="str">
        <f t="array" ref="J725">IF(G725="","",IFERROR(LET(ev_cost,INDEX(Events!$G$5:$G$506,MATCH(G725,Events!$A$5:$A$506,0)),ev_split,INDEX(Events!$I$5:$I$506,MATCH(G725,Events!$A$5:$A$506,0)),att_offset,MATCH(G725,Attendance!$B$3:$AZ$3,0),attendees,COUNTIF(INDEX(Attendance!$B$7:$AZ$206,0,att_offset),"1"),IF(ev_split="Equal Split",ev_cost/MAX(1,COUNTA(Roster!$A$5:$A$204)),ev_cost/MAX(1,attendees))),"N/A"))</f>
        <v/>
      </c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9.5" customHeight="1">
      <c r="A726" s="44"/>
      <c r="B726" s="45"/>
      <c r="C726" s="45"/>
      <c r="D726" s="45"/>
      <c r="E726" s="45"/>
      <c r="F726" s="46"/>
      <c r="G726" s="45"/>
      <c r="H726" s="45"/>
      <c r="I726" s="45"/>
      <c r="J726" s="42" t="str">
        <f t="array" ref="J726">IF(G726="","",IFERROR(LET(ev_cost,INDEX(Events!$G$5:$G$506,MATCH(G726,Events!$A$5:$A$506,0)),ev_split,INDEX(Events!$I$5:$I$506,MATCH(G726,Events!$A$5:$A$506,0)),att_offset,MATCH(G726,Attendance!$B$3:$AZ$3,0),attendees,COUNTIF(INDEX(Attendance!$B$7:$AZ$206,0,att_offset),"1"),IF(ev_split="Equal Split",ev_cost/MAX(1,COUNTA(Roster!$A$5:$A$204)),ev_cost/MAX(1,attendees))),"N/A"))</f>
        <v/>
      </c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9.5" customHeight="1">
      <c r="A727" s="47"/>
      <c r="B727" s="48"/>
      <c r="C727" s="48"/>
      <c r="D727" s="48"/>
      <c r="E727" s="48"/>
      <c r="F727" s="51"/>
      <c r="G727" s="48"/>
      <c r="H727" s="48"/>
      <c r="I727" s="48"/>
      <c r="J727" s="42" t="str">
        <f t="array" ref="J727">IF(G727="","",IFERROR(LET(ev_cost,INDEX(Events!$G$5:$G$506,MATCH(G727,Events!$A$5:$A$506,0)),ev_split,INDEX(Events!$I$5:$I$506,MATCH(G727,Events!$A$5:$A$506,0)),att_offset,MATCH(G727,Attendance!$B$3:$AZ$3,0),attendees,COUNTIF(INDEX(Attendance!$B$7:$AZ$206,0,att_offset),"1"),IF(ev_split="Equal Split",ev_cost/MAX(1,COUNTA(Roster!$A$5:$A$204)),ev_cost/MAX(1,attendees))),"N/A"))</f>
        <v/>
      </c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9.5" customHeight="1">
      <c r="A728" s="44"/>
      <c r="B728" s="45"/>
      <c r="C728" s="45"/>
      <c r="D728" s="45"/>
      <c r="E728" s="45"/>
      <c r="F728" s="46"/>
      <c r="G728" s="45"/>
      <c r="H728" s="45"/>
      <c r="I728" s="45"/>
      <c r="J728" s="42" t="str">
        <f t="array" ref="J728">IF(G728="","",IFERROR(LET(ev_cost,INDEX(Events!$G$5:$G$506,MATCH(G728,Events!$A$5:$A$506,0)),ev_split,INDEX(Events!$I$5:$I$506,MATCH(G728,Events!$A$5:$A$506,0)),att_offset,MATCH(G728,Attendance!$B$3:$AZ$3,0),attendees,COUNTIF(INDEX(Attendance!$B$7:$AZ$206,0,att_offset),"1"),IF(ev_split="Equal Split",ev_cost/MAX(1,COUNTA(Roster!$A$5:$A$204)),ev_cost/MAX(1,attendees))),"N/A"))</f>
        <v/>
      </c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9.5" customHeight="1">
      <c r="A729" s="47"/>
      <c r="B729" s="48"/>
      <c r="C729" s="48"/>
      <c r="D729" s="48"/>
      <c r="E729" s="48"/>
      <c r="F729" s="51"/>
      <c r="G729" s="48"/>
      <c r="H729" s="48"/>
      <c r="I729" s="48"/>
      <c r="J729" s="42" t="str">
        <f t="array" ref="J729">IF(G729="","",IFERROR(LET(ev_cost,INDEX(Events!$G$5:$G$506,MATCH(G729,Events!$A$5:$A$506,0)),ev_split,INDEX(Events!$I$5:$I$506,MATCH(G729,Events!$A$5:$A$506,0)),att_offset,MATCH(G729,Attendance!$B$3:$AZ$3,0),attendees,COUNTIF(INDEX(Attendance!$B$7:$AZ$206,0,att_offset),"1"),IF(ev_split="Equal Split",ev_cost/MAX(1,COUNTA(Roster!$A$5:$A$204)),ev_cost/MAX(1,attendees))),"N/A"))</f>
        <v/>
      </c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9.5" customHeight="1">
      <c r="A730" s="44"/>
      <c r="B730" s="45"/>
      <c r="C730" s="45"/>
      <c r="D730" s="45"/>
      <c r="E730" s="45"/>
      <c r="F730" s="46"/>
      <c r="G730" s="45"/>
      <c r="H730" s="45"/>
      <c r="I730" s="45"/>
      <c r="J730" s="42" t="str">
        <f t="array" ref="J730">IF(G730="","",IFERROR(LET(ev_cost,INDEX(Events!$G$5:$G$506,MATCH(G730,Events!$A$5:$A$506,0)),ev_split,INDEX(Events!$I$5:$I$506,MATCH(G730,Events!$A$5:$A$506,0)),att_offset,MATCH(G730,Attendance!$B$3:$AZ$3,0),attendees,COUNTIF(INDEX(Attendance!$B$7:$AZ$206,0,att_offset),"1"),IF(ev_split="Equal Split",ev_cost/MAX(1,COUNTA(Roster!$A$5:$A$204)),ev_cost/MAX(1,attendees))),"N/A"))</f>
        <v/>
      </c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9.5" customHeight="1">
      <c r="A731" s="47"/>
      <c r="B731" s="48"/>
      <c r="C731" s="48"/>
      <c r="D731" s="48"/>
      <c r="E731" s="48"/>
      <c r="F731" s="51"/>
      <c r="G731" s="48"/>
      <c r="H731" s="48"/>
      <c r="I731" s="48"/>
      <c r="J731" s="42" t="str">
        <f t="array" ref="J731">IF(G731="","",IFERROR(LET(ev_cost,INDEX(Events!$G$5:$G$506,MATCH(G731,Events!$A$5:$A$506,0)),ev_split,INDEX(Events!$I$5:$I$506,MATCH(G731,Events!$A$5:$A$506,0)),att_offset,MATCH(G731,Attendance!$B$3:$AZ$3,0),attendees,COUNTIF(INDEX(Attendance!$B$7:$AZ$206,0,att_offset),"1"),IF(ev_split="Equal Split",ev_cost/MAX(1,COUNTA(Roster!$A$5:$A$204)),ev_cost/MAX(1,attendees))),"N/A"))</f>
        <v/>
      </c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9.5" customHeight="1">
      <c r="A732" s="44"/>
      <c r="B732" s="45"/>
      <c r="C732" s="45"/>
      <c r="D732" s="45"/>
      <c r="E732" s="45"/>
      <c r="F732" s="46"/>
      <c r="G732" s="45"/>
      <c r="H732" s="45"/>
      <c r="I732" s="45"/>
      <c r="J732" s="42" t="str">
        <f t="array" ref="J732">IF(G732="","",IFERROR(LET(ev_cost,INDEX(Events!$G$5:$G$506,MATCH(G732,Events!$A$5:$A$506,0)),ev_split,INDEX(Events!$I$5:$I$506,MATCH(G732,Events!$A$5:$A$506,0)),att_offset,MATCH(G732,Attendance!$B$3:$AZ$3,0),attendees,COUNTIF(INDEX(Attendance!$B$7:$AZ$206,0,att_offset),"1"),IF(ev_split="Equal Split",ev_cost/MAX(1,COUNTA(Roster!$A$5:$A$204)),ev_cost/MAX(1,attendees))),"N/A"))</f>
        <v/>
      </c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9.5" customHeight="1">
      <c r="A733" s="47"/>
      <c r="B733" s="48"/>
      <c r="C733" s="48"/>
      <c r="D733" s="48"/>
      <c r="E733" s="48"/>
      <c r="F733" s="51"/>
      <c r="G733" s="48"/>
      <c r="H733" s="48"/>
      <c r="I733" s="48"/>
      <c r="J733" s="42" t="str">
        <f t="array" ref="J733">IF(G733="","",IFERROR(LET(ev_cost,INDEX(Events!$G$5:$G$506,MATCH(G733,Events!$A$5:$A$506,0)),ev_split,INDEX(Events!$I$5:$I$506,MATCH(G733,Events!$A$5:$A$506,0)),att_offset,MATCH(G733,Attendance!$B$3:$AZ$3,0),attendees,COUNTIF(INDEX(Attendance!$B$7:$AZ$206,0,att_offset),"1"),IF(ev_split="Equal Split",ev_cost/MAX(1,COUNTA(Roster!$A$5:$A$204)),ev_cost/MAX(1,attendees))),"N/A"))</f>
        <v/>
      </c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9.5" customHeight="1">
      <c r="A734" s="44"/>
      <c r="B734" s="45"/>
      <c r="C734" s="45"/>
      <c r="D734" s="45"/>
      <c r="E734" s="45"/>
      <c r="F734" s="46"/>
      <c r="G734" s="45"/>
      <c r="H734" s="45"/>
      <c r="I734" s="45"/>
      <c r="J734" s="42" t="str">
        <f t="array" ref="J734">IF(G734="","",IFERROR(LET(ev_cost,INDEX(Events!$G$5:$G$506,MATCH(G734,Events!$A$5:$A$506,0)),ev_split,INDEX(Events!$I$5:$I$506,MATCH(G734,Events!$A$5:$A$506,0)),att_offset,MATCH(G734,Attendance!$B$3:$AZ$3,0),attendees,COUNTIF(INDEX(Attendance!$B$7:$AZ$206,0,att_offset),"1"),IF(ev_split="Equal Split",ev_cost/MAX(1,COUNTA(Roster!$A$5:$A$204)),ev_cost/MAX(1,attendees))),"N/A"))</f>
        <v/>
      </c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9.5" customHeight="1">
      <c r="A735" s="47"/>
      <c r="B735" s="48"/>
      <c r="C735" s="48"/>
      <c r="D735" s="48"/>
      <c r="E735" s="48"/>
      <c r="F735" s="51"/>
      <c r="G735" s="48"/>
      <c r="H735" s="48"/>
      <c r="I735" s="48"/>
      <c r="J735" s="42" t="str">
        <f t="array" ref="J735">IF(G735="","",IFERROR(LET(ev_cost,INDEX(Events!$G$5:$G$506,MATCH(G735,Events!$A$5:$A$506,0)),ev_split,INDEX(Events!$I$5:$I$506,MATCH(G735,Events!$A$5:$A$506,0)),att_offset,MATCH(G735,Attendance!$B$3:$AZ$3,0),attendees,COUNTIF(INDEX(Attendance!$B$7:$AZ$206,0,att_offset),"1"),IF(ev_split="Equal Split",ev_cost/MAX(1,COUNTA(Roster!$A$5:$A$204)),ev_cost/MAX(1,attendees))),"N/A"))</f>
        <v/>
      </c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9.5" customHeight="1">
      <c r="A736" s="44"/>
      <c r="B736" s="45"/>
      <c r="C736" s="45"/>
      <c r="D736" s="45"/>
      <c r="E736" s="45"/>
      <c r="F736" s="46"/>
      <c r="G736" s="45"/>
      <c r="H736" s="45"/>
      <c r="I736" s="45"/>
      <c r="J736" s="42" t="str">
        <f t="array" ref="J736">IF(G736="","",IFERROR(LET(ev_cost,INDEX(Events!$G$5:$G$506,MATCH(G736,Events!$A$5:$A$506,0)),ev_split,INDEX(Events!$I$5:$I$506,MATCH(G736,Events!$A$5:$A$506,0)),att_offset,MATCH(G736,Attendance!$B$3:$AZ$3,0),attendees,COUNTIF(INDEX(Attendance!$B$7:$AZ$206,0,att_offset),"1"),IF(ev_split="Equal Split",ev_cost/MAX(1,COUNTA(Roster!$A$5:$A$204)),ev_cost/MAX(1,attendees))),"N/A"))</f>
        <v/>
      </c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9.5" customHeight="1">
      <c r="A737" s="47"/>
      <c r="B737" s="48"/>
      <c r="C737" s="48"/>
      <c r="D737" s="48"/>
      <c r="E737" s="48"/>
      <c r="F737" s="51"/>
      <c r="G737" s="48"/>
      <c r="H737" s="48"/>
      <c r="I737" s="48"/>
      <c r="J737" s="42" t="str">
        <f t="array" ref="J737">IF(G737="","",IFERROR(LET(ev_cost,INDEX(Events!$G$5:$G$506,MATCH(G737,Events!$A$5:$A$506,0)),ev_split,INDEX(Events!$I$5:$I$506,MATCH(G737,Events!$A$5:$A$506,0)),att_offset,MATCH(G737,Attendance!$B$3:$AZ$3,0),attendees,COUNTIF(INDEX(Attendance!$B$7:$AZ$206,0,att_offset),"1"),IF(ev_split="Equal Split",ev_cost/MAX(1,COUNTA(Roster!$A$5:$A$204)),ev_cost/MAX(1,attendees))),"N/A"))</f>
        <v/>
      </c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9.5" customHeight="1">
      <c r="A738" s="44"/>
      <c r="B738" s="45"/>
      <c r="C738" s="45"/>
      <c r="D738" s="45"/>
      <c r="E738" s="45"/>
      <c r="F738" s="46"/>
      <c r="G738" s="45"/>
      <c r="H738" s="45"/>
      <c r="I738" s="45"/>
      <c r="J738" s="42" t="str">
        <f t="array" ref="J738">IF(G738="","",IFERROR(LET(ev_cost,INDEX(Events!$G$5:$G$506,MATCH(G738,Events!$A$5:$A$506,0)),ev_split,INDEX(Events!$I$5:$I$506,MATCH(G738,Events!$A$5:$A$506,0)),att_offset,MATCH(G738,Attendance!$B$3:$AZ$3,0),attendees,COUNTIF(INDEX(Attendance!$B$7:$AZ$206,0,att_offset),"1"),IF(ev_split="Equal Split",ev_cost/MAX(1,COUNTA(Roster!$A$5:$A$204)),ev_cost/MAX(1,attendees))),"N/A"))</f>
        <v/>
      </c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9.5" customHeight="1">
      <c r="A739" s="47"/>
      <c r="B739" s="48"/>
      <c r="C739" s="48"/>
      <c r="D739" s="48"/>
      <c r="E739" s="48"/>
      <c r="F739" s="51"/>
      <c r="G739" s="48"/>
      <c r="H739" s="48"/>
      <c r="I739" s="48"/>
      <c r="J739" s="42" t="str">
        <f t="array" ref="J739">IF(G739="","",IFERROR(LET(ev_cost,INDEX(Events!$G$5:$G$506,MATCH(G739,Events!$A$5:$A$506,0)),ev_split,INDEX(Events!$I$5:$I$506,MATCH(G739,Events!$A$5:$A$506,0)),att_offset,MATCH(G739,Attendance!$B$3:$AZ$3,0),attendees,COUNTIF(INDEX(Attendance!$B$7:$AZ$206,0,att_offset),"1"),IF(ev_split="Equal Split",ev_cost/MAX(1,COUNTA(Roster!$A$5:$A$204)),ev_cost/MAX(1,attendees))),"N/A"))</f>
        <v/>
      </c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9.5" customHeight="1">
      <c r="A740" s="44"/>
      <c r="B740" s="45"/>
      <c r="C740" s="45"/>
      <c r="D740" s="45"/>
      <c r="E740" s="45"/>
      <c r="F740" s="46"/>
      <c r="G740" s="45"/>
      <c r="H740" s="45"/>
      <c r="I740" s="45"/>
      <c r="J740" s="42" t="str">
        <f t="array" ref="J740">IF(G740="","",IFERROR(LET(ev_cost,INDEX(Events!$G$5:$G$506,MATCH(G740,Events!$A$5:$A$506,0)),ev_split,INDEX(Events!$I$5:$I$506,MATCH(G740,Events!$A$5:$A$506,0)),att_offset,MATCH(G740,Attendance!$B$3:$AZ$3,0),attendees,COUNTIF(INDEX(Attendance!$B$7:$AZ$206,0,att_offset),"1"),IF(ev_split="Equal Split",ev_cost/MAX(1,COUNTA(Roster!$A$5:$A$204)),ev_cost/MAX(1,attendees))),"N/A"))</f>
        <v/>
      </c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9.5" customHeight="1">
      <c r="A741" s="47"/>
      <c r="B741" s="48"/>
      <c r="C741" s="48"/>
      <c r="D741" s="48"/>
      <c r="E741" s="48"/>
      <c r="F741" s="51"/>
      <c r="G741" s="48"/>
      <c r="H741" s="48"/>
      <c r="I741" s="48"/>
      <c r="J741" s="42" t="str">
        <f t="array" ref="J741">IF(G741="","",IFERROR(LET(ev_cost,INDEX(Events!$G$5:$G$506,MATCH(G741,Events!$A$5:$A$506,0)),ev_split,INDEX(Events!$I$5:$I$506,MATCH(G741,Events!$A$5:$A$506,0)),att_offset,MATCH(G741,Attendance!$B$3:$AZ$3,0),attendees,COUNTIF(INDEX(Attendance!$B$7:$AZ$206,0,att_offset),"1"),IF(ev_split="Equal Split",ev_cost/MAX(1,COUNTA(Roster!$A$5:$A$204)),ev_cost/MAX(1,attendees))),"N/A"))</f>
        <v/>
      </c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9.5" customHeight="1">
      <c r="A742" s="44"/>
      <c r="B742" s="45"/>
      <c r="C742" s="45"/>
      <c r="D742" s="45"/>
      <c r="E742" s="45"/>
      <c r="F742" s="46"/>
      <c r="G742" s="45"/>
      <c r="H742" s="45"/>
      <c r="I742" s="45"/>
      <c r="J742" s="42" t="str">
        <f t="array" ref="J742">IF(G742="","",IFERROR(LET(ev_cost,INDEX(Events!$G$5:$G$506,MATCH(G742,Events!$A$5:$A$506,0)),ev_split,INDEX(Events!$I$5:$I$506,MATCH(G742,Events!$A$5:$A$506,0)),att_offset,MATCH(G742,Attendance!$B$3:$AZ$3,0),attendees,COUNTIF(INDEX(Attendance!$B$7:$AZ$206,0,att_offset),"1"),IF(ev_split="Equal Split",ev_cost/MAX(1,COUNTA(Roster!$A$5:$A$204)),ev_cost/MAX(1,attendees))),"N/A"))</f>
        <v/>
      </c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9.5" customHeight="1">
      <c r="A743" s="47"/>
      <c r="B743" s="48"/>
      <c r="C743" s="48"/>
      <c r="D743" s="48"/>
      <c r="E743" s="48"/>
      <c r="F743" s="51"/>
      <c r="G743" s="48"/>
      <c r="H743" s="48"/>
      <c r="I743" s="48"/>
      <c r="J743" s="42" t="str">
        <f t="array" ref="J743">IF(G743="","",IFERROR(LET(ev_cost,INDEX(Events!$G$5:$G$506,MATCH(G743,Events!$A$5:$A$506,0)),ev_split,INDEX(Events!$I$5:$I$506,MATCH(G743,Events!$A$5:$A$506,0)),att_offset,MATCH(G743,Attendance!$B$3:$AZ$3,0),attendees,COUNTIF(INDEX(Attendance!$B$7:$AZ$206,0,att_offset),"1"),IF(ev_split="Equal Split",ev_cost/MAX(1,COUNTA(Roster!$A$5:$A$204)),ev_cost/MAX(1,attendees))),"N/A"))</f>
        <v/>
      </c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9.5" customHeight="1">
      <c r="A744" s="44"/>
      <c r="B744" s="45"/>
      <c r="C744" s="45"/>
      <c r="D744" s="45"/>
      <c r="E744" s="45"/>
      <c r="F744" s="46"/>
      <c r="G744" s="45"/>
      <c r="H744" s="45"/>
      <c r="I744" s="45"/>
      <c r="J744" s="42" t="str">
        <f t="array" ref="J744">IF(G744="","",IFERROR(LET(ev_cost,INDEX(Events!$G$5:$G$506,MATCH(G744,Events!$A$5:$A$506,0)),ev_split,INDEX(Events!$I$5:$I$506,MATCH(G744,Events!$A$5:$A$506,0)),att_offset,MATCH(G744,Attendance!$B$3:$AZ$3,0),attendees,COUNTIF(INDEX(Attendance!$B$7:$AZ$206,0,att_offset),"1"),IF(ev_split="Equal Split",ev_cost/MAX(1,COUNTA(Roster!$A$5:$A$204)),ev_cost/MAX(1,attendees))),"N/A"))</f>
        <v/>
      </c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9.5" customHeight="1">
      <c r="A745" s="47"/>
      <c r="B745" s="48"/>
      <c r="C745" s="48"/>
      <c r="D745" s="48"/>
      <c r="E745" s="48"/>
      <c r="F745" s="51"/>
      <c r="G745" s="48"/>
      <c r="H745" s="48"/>
      <c r="I745" s="48"/>
      <c r="J745" s="42" t="str">
        <f t="array" ref="J745">IF(G745="","",IFERROR(LET(ev_cost,INDEX(Events!$G$5:$G$506,MATCH(G745,Events!$A$5:$A$506,0)),ev_split,INDEX(Events!$I$5:$I$506,MATCH(G745,Events!$A$5:$A$506,0)),att_offset,MATCH(G745,Attendance!$B$3:$AZ$3,0),attendees,COUNTIF(INDEX(Attendance!$B$7:$AZ$206,0,att_offset),"1"),IF(ev_split="Equal Split",ev_cost/MAX(1,COUNTA(Roster!$A$5:$A$204)),ev_cost/MAX(1,attendees))),"N/A"))</f>
        <v/>
      </c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9.5" customHeight="1">
      <c r="A746" s="44"/>
      <c r="B746" s="45"/>
      <c r="C746" s="45"/>
      <c r="D746" s="45"/>
      <c r="E746" s="45"/>
      <c r="F746" s="46"/>
      <c r="G746" s="45"/>
      <c r="H746" s="45"/>
      <c r="I746" s="45"/>
      <c r="J746" s="42" t="str">
        <f t="array" ref="J746">IF(G746="","",IFERROR(LET(ev_cost,INDEX(Events!$G$5:$G$506,MATCH(G746,Events!$A$5:$A$506,0)),ev_split,INDEX(Events!$I$5:$I$506,MATCH(G746,Events!$A$5:$A$506,0)),att_offset,MATCH(G746,Attendance!$B$3:$AZ$3,0),attendees,COUNTIF(INDEX(Attendance!$B$7:$AZ$206,0,att_offset),"1"),IF(ev_split="Equal Split",ev_cost/MAX(1,COUNTA(Roster!$A$5:$A$204)),ev_cost/MAX(1,attendees))),"N/A"))</f>
        <v/>
      </c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9.5" customHeight="1">
      <c r="A747" s="47"/>
      <c r="B747" s="48"/>
      <c r="C747" s="48"/>
      <c r="D747" s="48"/>
      <c r="E747" s="48"/>
      <c r="F747" s="51"/>
      <c r="G747" s="48"/>
      <c r="H747" s="48"/>
      <c r="I747" s="48"/>
      <c r="J747" s="42" t="str">
        <f t="array" ref="J747">IF(G747="","",IFERROR(LET(ev_cost,INDEX(Events!$G$5:$G$506,MATCH(G747,Events!$A$5:$A$506,0)),ev_split,INDEX(Events!$I$5:$I$506,MATCH(G747,Events!$A$5:$A$506,0)),att_offset,MATCH(G747,Attendance!$B$3:$AZ$3,0),attendees,COUNTIF(INDEX(Attendance!$B$7:$AZ$206,0,att_offset),"1"),IF(ev_split="Equal Split",ev_cost/MAX(1,COUNTA(Roster!$A$5:$A$204)),ev_cost/MAX(1,attendees))),"N/A"))</f>
        <v/>
      </c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9.5" customHeight="1">
      <c r="A748" s="44"/>
      <c r="B748" s="45"/>
      <c r="C748" s="45"/>
      <c r="D748" s="45"/>
      <c r="E748" s="45"/>
      <c r="F748" s="46"/>
      <c r="G748" s="45"/>
      <c r="H748" s="45"/>
      <c r="I748" s="45"/>
      <c r="J748" s="42" t="str">
        <f t="array" ref="J748">IF(G748="","",IFERROR(LET(ev_cost,INDEX(Events!$G$5:$G$506,MATCH(G748,Events!$A$5:$A$506,0)),ev_split,INDEX(Events!$I$5:$I$506,MATCH(G748,Events!$A$5:$A$506,0)),att_offset,MATCH(G748,Attendance!$B$3:$AZ$3,0),attendees,COUNTIF(INDEX(Attendance!$B$7:$AZ$206,0,att_offset),"1"),IF(ev_split="Equal Split",ev_cost/MAX(1,COUNTA(Roster!$A$5:$A$204)),ev_cost/MAX(1,attendees))),"N/A"))</f>
        <v/>
      </c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9.5" customHeight="1">
      <c r="A749" s="47"/>
      <c r="B749" s="48"/>
      <c r="C749" s="48"/>
      <c r="D749" s="48"/>
      <c r="E749" s="48"/>
      <c r="F749" s="51"/>
      <c r="G749" s="48"/>
      <c r="H749" s="48"/>
      <c r="I749" s="48"/>
      <c r="J749" s="42" t="str">
        <f t="array" ref="J749">IF(G749="","",IFERROR(LET(ev_cost,INDEX(Events!$G$5:$G$506,MATCH(G749,Events!$A$5:$A$506,0)),ev_split,INDEX(Events!$I$5:$I$506,MATCH(G749,Events!$A$5:$A$506,0)),att_offset,MATCH(G749,Attendance!$B$3:$AZ$3,0),attendees,COUNTIF(INDEX(Attendance!$B$7:$AZ$206,0,att_offset),"1"),IF(ev_split="Equal Split",ev_cost/MAX(1,COUNTA(Roster!$A$5:$A$204)),ev_cost/MAX(1,attendees))),"N/A"))</f>
        <v/>
      </c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9.5" customHeight="1">
      <c r="A750" s="44"/>
      <c r="B750" s="45"/>
      <c r="C750" s="45"/>
      <c r="D750" s="45"/>
      <c r="E750" s="45"/>
      <c r="F750" s="46"/>
      <c r="G750" s="45"/>
      <c r="H750" s="45"/>
      <c r="I750" s="45"/>
      <c r="J750" s="42" t="str">
        <f t="array" ref="J750">IF(G750="","",IFERROR(LET(ev_cost,INDEX(Events!$G$5:$G$506,MATCH(G750,Events!$A$5:$A$506,0)),ev_split,INDEX(Events!$I$5:$I$506,MATCH(G750,Events!$A$5:$A$506,0)),att_offset,MATCH(G750,Attendance!$B$3:$AZ$3,0),attendees,COUNTIF(INDEX(Attendance!$B$7:$AZ$206,0,att_offset),"1"),IF(ev_split="Equal Split",ev_cost/MAX(1,COUNTA(Roster!$A$5:$A$204)),ev_cost/MAX(1,attendees))),"N/A"))</f>
        <v/>
      </c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9.5" customHeight="1">
      <c r="A751" s="47"/>
      <c r="B751" s="48"/>
      <c r="C751" s="48"/>
      <c r="D751" s="48"/>
      <c r="E751" s="48"/>
      <c r="F751" s="51"/>
      <c r="G751" s="48"/>
      <c r="H751" s="48"/>
      <c r="I751" s="48"/>
      <c r="J751" s="42" t="str">
        <f t="array" ref="J751">IF(G751="","",IFERROR(LET(ev_cost,INDEX(Events!$G$5:$G$506,MATCH(G751,Events!$A$5:$A$506,0)),ev_split,INDEX(Events!$I$5:$I$506,MATCH(G751,Events!$A$5:$A$506,0)),att_offset,MATCH(G751,Attendance!$B$3:$AZ$3,0),attendees,COUNTIF(INDEX(Attendance!$B$7:$AZ$206,0,att_offset),"1"),IF(ev_split="Equal Split",ev_cost/MAX(1,COUNTA(Roster!$A$5:$A$204)),ev_cost/MAX(1,attendees))),"N/A"))</f>
        <v/>
      </c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9.5" customHeight="1">
      <c r="A752" s="44"/>
      <c r="B752" s="45"/>
      <c r="C752" s="45"/>
      <c r="D752" s="45"/>
      <c r="E752" s="45"/>
      <c r="F752" s="46"/>
      <c r="G752" s="45"/>
      <c r="H752" s="45"/>
      <c r="I752" s="45"/>
      <c r="J752" s="42" t="str">
        <f t="array" ref="J752">IF(G752="","",IFERROR(LET(ev_cost,INDEX(Events!$G$5:$G$506,MATCH(G752,Events!$A$5:$A$506,0)),ev_split,INDEX(Events!$I$5:$I$506,MATCH(G752,Events!$A$5:$A$506,0)),att_offset,MATCH(G752,Attendance!$B$3:$AZ$3,0),attendees,COUNTIF(INDEX(Attendance!$B$7:$AZ$206,0,att_offset),"1"),IF(ev_split="Equal Split",ev_cost/MAX(1,COUNTA(Roster!$A$5:$A$204)),ev_cost/MAX(1,attendees))),"N/A"))</f>
        <v/>
      </c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9.5" customHeight="1">
      <c r="A753" s="47"/>
      <c r="B753" s="48"/>
      <c r="C753" s="48"/>
      <c r="D753" s="48"/>
      <c r="E753" s="48"/>
      <c r="F753" s="51"/>
      <c r="G753" s="48"/>
      <c r="H753" s="48"/>
      <c r="I753" s="48"/>
      <c r="J753" s="42" t="str">
        <f t="array" ref="J753">IF(G753="","",IFERROR(LET(ev_cost,INDEX(Events!$G$5:$G$506,MATCH(G753,Events!$A$5:$A$506,0)),ev_split,INDEX(Events!$I$5:$I$506,MATCH(G753,Events!$A$5:$A$506,0)),att_offset,MATCH(G753,Attendance!$B$3:$AZ$3,0),attendees,COUNTIF(INDEX(Attendance!$B$7:$AZ$206,0,att_offset),"1"),IF(ev_split="Equal Split",ev_cost/MAX(1,COUNTA(Roster!$A$5:$A$204)),ev_cost/MAX(1,attendees))),"N/A"))</f>
        <v/>
      </c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9.5" customHeight="1">
      <c r="A754" s="44"/>
      <c r="B754" s="45"/>
      <c r="C754" s="45"/>
      <c r="D754" s="45"/>
      <c r="E754" s="45"/>
      <c r="F754" s="46"/>
      <c r="G754" s="45"/>
      <c r="H754" s="45"/>
      <c r="I754" s="45"/>
      <c r="J754" s="42" t="str">
        <f t="array" ref="J754">IF(G754="","",IFERROR(LET(ev_cost,INDEX(Events!$G$5:$G$506,MATCH(G754,Events!$A$5:$A$506,0)),ev_split,INDEX(Events!$I$5:$I$506,MATCH(G754,Events!$A$5:$A$506,0)),att_offset,MATCH(G754,Attendance!$B$3:$AZ$3,0),attendees,COUNTIF(INDEX(Attendance!$B$7:$AZ$206,0,att_offset),"1"),IF(ev_split="Equal Split",ev_cost/MAX(1,COUNTA(Roster!$A$5:$A$204)),ev_cost/MAX(1,attendees))),"N/A"))</f>
        <v/>
      </c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9.5" customHeight="1">
      <c r="A755" s="47"/>
      <c r="B755" s="48"/>
      <c r="C755" s="48"/>
      <c r="D755" s="48"/>
      <c r="E755" s="48"/>
      <c r="F755" s="51"/>
      <c r="G755" s="48"/>
      <c r="H755" s="48"/>
      <c r="I755" s="48"/>
      <c r="J755" s="42" t="str">
        <f t="array" ref="J755">IF(G755="","",IFERROR(LET(ev_cost,INDEX(Events!$G$5:$G$506,MATCH(G755,Events!$A$5:$A$506,0)),ev_split,INDEX(Events!$I$5:$I$506,MATCH(G755,Events!$A$5:$A$506,0)),att_offset,MATCH(G755,Attendance!$B$3:$AZ$3,0),attendees,COUNTIF(INDEX(Attendance!$B$7:$AZ$206,0,att_offset),"1"),IF(ev_split="Equal Split",ev_cost/MAX(1,COUNTA(Roster!$A$5:$A$204)),ev_cost/MAX(1,attendees))),"N/A"))</f>
        <v/>
      </c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9.5" customHeight="1">
      <c r="A756" s="44"/>
      <c r="B756" s="45"/>
      <c r="C756" s="45"/>
      <c r="D756" s="45"/>
      <c r="E756" s="45"/>
      <c r="F756" s="46"/>
      <c r="G756" s="45"/>
      <c r="H756" s="45"/>
      <c r="I756" s="45"/>
      <c r="J756" s="42" t="str">
        <f t="array" ref="J756">IF(G756="","",IFERROR(LET(ev_cost,INDEX(Events!$G$5:$G$506,MATCH(G756,Events!$A$5:$A$506,0)),ev_split,INDEX(Events!$I$5:$I$506,MATCH(G756,Events!$A$5:$A$506,0)),att_offset,MATCH(G756,Attendance!$B$3:$AZ$3,0),attendees,COUNTIF(INDEX(Attendance!$B$7:$AZ$206,0,att_offset),"1"),IF(ev_split="Equal Split",ev_cost/MAX(1,COUNTA(Roster!$A$5:$A$204)),ev_cost/MAX(1,attendees))),"N/A"))</f>
        <v/>
      </c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9.5" customHeight="1">
      <c r="A757" s="47"/>
      <c r="B757" s="48"/>
      <c r="C757" s="48"/>
      <c r="D757" s="48"/>
      <c r="E757" s="48"/>
      <c r="F757" s="51"/>
      <c r="G757" s="48"/>
      <c r="H757" s="48"/>
      <c r="I757" s="48"/>
      <c r="J757" s="42" t="str">
        <f t="array" ref="J757">IF(G757="","",IFERROR(LET(ev_cost,INDEX(Events!$G$5:$G$506,MATCH(G757,Events!$A$5:$A$506,0)),ev_split,INDEX(Events!$I$5:$I$506,MATCH(G757,Events!$A$5:$A$506,0)),att_offset,MATCH(G757,Attendance!$B$3:$AZ$3,0),attendees,COUNTIF(INDEX(Attendance!$B$7:$AZ$206,0,att_offset),"1"),IF(ev_split="Equal Split",ev_cost/MAX(1,COUNTA(Roster!$A$5:$A$204)),ev_cost/MAX(1,attendees))),"N/A"))</f>
        <v/>
      </c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9.5" customHeight="1">
      <c r="A758" s="44"/>
      <c r="B758" s="45"/>
      <c r="C758" s="45"/>
      <c r="D758" s="45"/>
      <c r="E758" s="45"/>
      <c r="F758" s="46"/>
      <c r="G758" s="45"/>
      <c r="H758" s="45"/>
      <c r="I758" s="45"/>
      <c r="J758" s="42" t="str">
        <f t="array" ref="J758">IF(G758="","",IFERROR(LET(ev_cost,INDEX(Events!$G$5:$G$506,MATCH(G758,Events!$A$5:$A$506,0)),ev_split,INDEX(Events!$I$5:$I$506,MATCH(G758,Events!$A$5:$A$506,0)),att_offset,MATCH(G758,Attendance!$B$3:$AZ$3,0),attendees,COUNTIF(INDEX(Attendance!$B$7:$AZ$206,0,att_offset),"1"),IF(ev_split="Equal Split",ev_cost/MAX(1,COUNTA(Roster!$A$5:$A$204)),ev_cost/MAX(1,attendees))),"N/A"))</f>
        <v/>
      </c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9.5" customHeight="1">
      <c r="A759" s="47"/>
      <c r="B759" s="48"/>
      <c r="C759" s="48"/>
      <c r="D759" s="48"/>
      <c r="E759" s="48"/>
      <c r="F759" s="51"/>
      <c r="G759" s="48"/>
      <c r="H759" s="48"/>
      <c r="I759" s="48"/>
      <c r="J759" s="42" t="str">
        <f t="array" ref="J759">IF(G759="","",IFERROR(LET(ev_cost,INDEX(Events!$G$5:$G$506,MATCH(G759,Events!$A$5:$A$506,0)),ev_split,INDEX(Events!$I$5:$I$506,MATCH(G759,Events!$A$5:$A$506,0)),att_offset,MATCH(G759,Attendance!$B$3:$AZ$3,0),attendees,COUNTIF(INDEX(Attendance!$B$7:$AZ$206,0,att_offset),"1"),IF(ev_split="Equal Split",ev_cost/MAX(1,COUNTA(Roster!$A$5:$A$204)),ev_cost/MAX(1,attendees))),"N/A"))</f>
        <v/>
      </c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9.5" customHeight="1">
      <c r="A760" s="44"/>
      <c r="B760" s="45"/>
      <c r="C760" s="45"/>
      <c r="D760" s="45"/>
      <c r="E760" s="45"/>
      <c r="F760" s="46"/>
      <c r="G760" s="45"/>
      <c r="H760" s="45"/>
      <c r="I760" s="45"/>
      <c r="J760" s="42" t="str">
        <f t="array" ref="J760">IF(G760="","",IFERROR(LET(ev_cost,INDEX(Events!$G$5:$G$506,MATCH(G760,Events!$A$5:$A$506,0)),ev_split,INDEX(Events!$I$5:$I$506,MATCH(G760,Events!$A$5:$A$506,0)),att_offset,MATCH(G760,Attendance!$B$3:$AZ$3,0),attendees,COUNTIF(INDEX(Attendance!$B$7:$AZ$206,0,att_offset),"1"),IF(ev_split="Equal Split",ev_cost/MAX(1,COUNTA(Roster!$A$5:$A$204)),ev_cost/MAX(1,attendees))),"N/A"))</f>
        <v/>
      </c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9.5" customHeight="1">
      <c r="A761" s="47"/>
      <c r="B761" s="48"/>
      <c r="C761" s="48"/>
      <c r="D761" s="48"/>
      <c r="E761" s="48"/>
      <c r="F761" s="51"/>
      <c r="G761" s="48"/>
      <c r="H761" s="48"/>
      <c r="I761" s="48"/>
      <c r="J761" s="42" t="str">
        <f t="array" ref="J761">IF(G761="","",IFERROR(LET(ev_cost,INDEX(Events!$G$5:$G$506,MATCH(G761,Events!$A$5:$A$506,0)),ev_split,INDEX(Events!$I$5:$I$506,MATCH(G761,Events!$A$5:$A$506,0)),att_offset,MATCH(G761,Attendance!$B$3:$AZ$3,0),attendees,COUNTIF(INDEX(Attendance!$B$7:$AZ$206,0,att_offset),"1"),IF(ev_split="Equal Split",ev_cost/MAX(1,COUNTA(Roster!$A$5:$A$204)),ev_cost/MAX(1,attendees))),"N/A"))</f>
        <v/>
      </c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9.5" customHeight="1">
      <c r="A762" s="44"/>
      <c r="B762" s="45"/>
      <c r="C762" s="45"/>
      <c r="D762" s="45"/>
      <c r="E762" s="45"/>
      <c r="F762" s="46"/>
      <c r="G762" s="45"/>
      <c r="H762" s="45"/>
      <c r="I762" s="45"/>
      <c r="J762" s="42" t="str">
        <f t="array" ref="J762">IF(G762="","",IFERROR(LET(ev_cost,INDEX(Events!$G$5:$G$506,MATCH(G762,Events!$A$5:$A$506,0)),ev_split,INDEX(Events!$I$5:$I$506,MATCH(G762,Events!$A$5:$A$506,0)),att_offset,MATCH(G762,Attendance!$B$3:$AZ$3,0),attendees,COUNTIF(INDEX(Attendance!$B$7:$AZ$206,0,att_offset),"1"),IF(ev_split="Equal Split",ev_cost/MAX(1,COUNTA(Roster!$A$5:$A$204)),ev_cost/MAX(1,attendees))),"N/A"))</f>
        <v/>
      </c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9.5" customHeight="1">
      <c r="A763" s="47"/>
      <c r="B763" s="48"/>
      <c r="C763" s="48"/>
      <c r="D763" s="48"/>
      <c r="E763" s="48"/>
      <c r="F763" s="51"/>
      <c r="G763" s="48"/>
      <c r="H763" s="48"/>
      <c r="I763" s="48"/>
      <c r="J763" s="42" t="str">
        <f t="array" ref="J763">IF(G763="","",IFERROR(LET(ev_cost,INDEX(Events!$G$5:$G$506,MATCH(G763,Events!$A$5:$A$506,0)),ev_split,INDEX(Events!$I$5:$I$506,MATCH(G763,Events!$A$5:$A$506,0)),att_offset,MATCH(G763,Attendance!$B$3:$AZ$3,0),attendees,COUNTIF(INDEX(Attendance!$B$7:$AZ$206,0,att_offset),"1"),IF(ev_split="Equal Split",ev_cost/MAX(1,COUNTA(Roster!$A$5:$A$204)),ev_cost/MAX(1,attendees))),"N/A"))</f>
        <v/>
      </c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9.5" customHeight="1">
      <c r="A764" s="44"/>
      <c r="B764" s="45"/>
      <c r="C764" s="45"/>
      <c r="D764" s="45"/>
      <c r="E764" s="45"/>
      <c r="F764" s="46"/>
      <c r="G764" s="45"/>
      <c r="H764" s="45"/>
      <c r="I764" s="45"/>
      <c r="J764" s="42" t="str">
        <f t="array" ref="J764">IF(G764="","",IFERROR(LET(ev_cost,INDEX(Events!$G$5:$G$506,MATCH(G764,Events!$A$5:$A$506,0)),ev_split,INDEX(Events!$I$5:$I$506,MATCH(G764,Events!$A$5:$A$506,0)),att_offset,MATCH(G764,Attendance!$B$3:$AZ$3,0),attendees,COUNTIF(INDEX(Attendance!$B$7:$AZ$206,0,att_offset),"1"),IF(ev_split="Equal Split",ev_cost/MAX(1,COUNTA(Roster!$A$5:$A$204)),ev_cost/MAX(1,attendees))),"N/A"))</f>
        <v/>
      </c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9.5" customHeight="1">
      <c r="A765" s="47"/>
      <c r="B765" s="48"/>
      <c r="C765" s="48"/>
      <c r="D765" s="48"/>
      <c r="E765" s="48"/>
      <c r="F765" s="51"/>
      <c r="G765" s="48"/>
      <c r="H765" s="48"/>
      <c r="I765" s="48"/>
      <c r="J765" s="42" t="str">
        <f t="array" ref="J765">IF(G765="","",IFERROR(LET(ev_cost,INDEX(Events!$G$5:$G$506,MATCH(G765,Events!$A$5:$A$506,0)),ev_split,INDEX(Events!$I$5:$I$506,MATCH(G765,Events!$A$5:$A$506,0)),att_offset,MATCH(G765,Attendance!$B$3:$AZ$3,0),attendees,COUNTIF(INDEX(Attendance!$B$7:$AZ$206,0,att_offset),"1"),IF(ev_split="Equal Split",ev_cost/MAX(1,COUNTA(Roster!$A$5:$A$204)),ev_cost/MAX(1,attendees))),"N/A"))</f>
        <v/>
      </c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9.5" customHeight="1">
      <c r="A766" s="44"/>
      <c r="B766" s="45"/>
      <c r="C766" s="45"/>
      <c r="D766" s="45"/>
      <c r="E766" s="45"/>
      <c r="F766" s="46"/>
      <c r="G766" s="45"/>
      <c r="H766" s="45"/>
      <c r="I766" s="45"/>
      <c r="J766" s="42" t="str">
        <f t="array" ref="J766">IF(G766="","",IFERROR(LET(ev_cost,INDEX(Events!$G$5:$G$506,MATCH(G766,Events!$A$5:$A$506,0)),ev_split,INDEX(Events!$I$5:$I$506,MATCH(G766,Events!$A$5:$A$506,0)),att_offset,MATCH(G766,Attendance!$B$3:$AZ$3,0),attendees,COUNTIF(INDEX(Attendance!$B$7:$AZ$206,0,att_offset),"1"),IF(ev_split="Equal Split",ev_cost/MAX(1,COUNTA(Roster!$A$5:$A$204)),ev_cost/MAX(1,attendees))),"N/A"))</f>
        <v/>
      </c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9.5" customHeight="1">
      <c r="A767" s="47"/>
      <c r="B767" s="48"/>
      <c r="C767" s="48"/>
      <c r="D767" s="48"/>
      <c r="E767" s="48"/>
      <c r="F767" s="51"/>
      <c r="G767" s="48"/>
      <c r="H767" s="48"/>
      <c r="I767" s="48"/>
      <c r="J767" s="42" t="str">
        <f t="array" ref="J767">IF(G767="","",IFERROR(LET(ev_cost,INDEX(Events!$G$5:$G$506,MATCH(G767,Events!$A$5:$A$506,0)),ev_split,INDEX(Events!$I$5:$I$506,MATCH(G767,Events!$A$5:$A$506,0)),att_offset,MATCH(G767,Attendance!$B$3:$AZ$3,0),attendees,COUNTIF(INDEX(Attendance!$B$7:$AZ$206,0,att_offset),"1"),IF(ev_split="Equal Split",ev_cost/MAX(1,COUNTA(Roster!$A$5:$A$204)),ev_cost/MAX(1,attendees))),"N/A"))</f>
        <v/>
      </c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9.5" customHeight="1">
      <c r="A768" s="44"/>
      <c r="B768" s="45"/>
      <c r="C768" s="45"/>
      <c r="D768" s="45"/>
      <c r="E768" s="45"/>
      <c r="F768" s="46"/>
      <c r="G768" s="45"/>
      <c r="H768" s="45"/>
      <c r="I768" s="45"/>
      <c r="J768" s="42" t="str">
        <f t="array" ref="J768">IF(G768="","",IFERROR(LET(ev_cost,INDEX(Events!$G$5:$G$506,MATCH(G768,Events!$A$5:$A$506,0)),ev_split,INDEX(Events!$I$5:$I$506,MATCH(G768,Events!$A$5:$A$506,0)),att_offset,MATCH(G768,Attendance!$B$3:$AZ$3,0),attendees,COUNTIF(INDEX(Attendance!$B$7:$AZ$206,0,att_offset),"1"),IF(ev_split="Equal Split",ev_cost/MAX(1,COUNTA(Roster!$A$5:$A$204)),ev_cost/MAX(1,attendees))),"N/A"))</f>
        <v/>
      </c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9.5" customHeight="1">
      <c r="A769" s="47"/>
      <c r="B769" s="48"/>
      <c r="C769" s="48"/>
      <c r="D769" s="48"/>
      <c r="E769" s="48"/>
      <c r="F769" s="51"/>
      <c r="G769" s="48"/>
      <c r="H769" s="48"/>
      <c r="I769" s="48"/>
      <c r="J769" s="42" t="str">
        <f t="array" ref="J769">IF(G769="","",IFERROR(LET(ev_cost,INDEX(Events!$G$5:$G$506,MATCH(G769,Events!$A$5:$A$506,0)),ev_split,INDEX(Events!$I$5:$I$506,MATCH(G769,Events!$A$5:$A$506,0)),att_offset,MATCH(G769,Attendance!$B$3:$AZ$3,0),attendees,COUNTIF(INDEX(Attendance!$B$7:$AZ$206,0,att_offset),"1"),IF(ev_split="Equal Split",ev_cost/MAX(1,COUNTA(Roster!$A$5:$A$204)),ev_cost/MAX(1,attendees))),"N/A"))</f>
        <v/>
      </c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9.5" customHeight="1">
      <c r="A770" s="44"/>
      <c r="B770" s="45"/>
      <c r="C770" s="45"/>
      <c r="D770" s="45"/>
      <c r="E770" s="45"/>
      <c r="F770" s="46"/>
      <c r="G770" s="45"/>
      <c r="H770" s="45"/>
      <c r="I770" s="45"/>
      <c r="J770" s="42" t="str">
        <f t="array" ref="J770">IF(G770="","",IFERROR(LET(ev_cost,INDEX(Events!$G$5:$G$506,MATCH(G770,Events!$A$5:$A$506,0)),ev_split,INDEX(Events!$I$5:$I$506,MATCH(G770,Events!$A$5:$A$506,0)),att_offset,MATCH(G770,Attendance!$B$3:$AZ$3,0),attendees,COUNTIF(INDEX(Attendance!$B$7:$AZ$206,0,att_offset),"1"),IF(ev_split="Equal Split",ev_cost/MAX(1,COUNTA(Roster!$A$5:$A$204)),ev_cost/MAX(1,attendees))),"N/A"))</f>
        <v/>
      </c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9.5" customHeight="1">
      <c r="A771" s="47"/>
      <c r="B771" s="48"/>
      <c r="C771" s="48"/>
      <c r="D771" s="48"/>
      <c r="E771" s="48"/>
      <c r="F771" s="51"/>
      <c r="G771" s="48"/>
      <c r="H771" s="48"/>
      <c r="I771" s="48"/>
      <c r="J771" s="42" t="str">
        <f t="array" ref="J771">IF(G771="","",IFERROR(LET(ev_cost,INDEX(Events!$G$5:$G$506,MATCH(G771,Events!$A$5:$A$506,0)),ev_split,INDEX(Events!$I$5:$I$506,MATCH(G771,Events!$A$5:$A$506,0)),att_offset,MATCH(G771,Attendance!$B$3:$AZ$3,0),attendees,COUNTIF(INDEX(Attendance!$B$7:$AZ$206,0,att_offset),"1"),IF(ev_split="Equal Split",ev_cost/MAX(1,COUNTA(Roster!$A$5:$A$204)),ev_cost/MAX(1,attendees))),"N/A"))</f>
        <v/>
      </c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9.5" customHeight="1">
      <c r="A772" s="44"/>
      <c r="B772" s="45"/>
      <c r="C772" s="45"/>
      <c r="D772" s="45"/>
      <c r="E772" s="45"/>
      <c r="F772" s="46"/>
      <c r="G772" s="45"/>
      <c r="H772" s="45"/>
      <c r="I772" s="45"/>
      <c r="J772" s="42" t="str">
        <f t="array" ref="J772">IF(G772="","",IFERROR(LET(ev_cost,INDEX(Events!$G$5:$G$506,MATCH(G772,Events!$A$5:$A$506,0)),ev_split,INDEX(Events!$I$5:$I$506,MATCH(G772,Events!$A$5:$A$506,0)),att_offset,MATCH(G772,Attendance!$B$3:$AZ$3,0),attendees,COUNTIF(INDEX(Attendance!$B$7:$AZ$206,0,att_offset),"1"),IF(ev_split="Equal Split",ev_cost/MAX(1,COUNTA(Roster!$A$5:$A$204)),ev_cost/MAX(1,attendees))),"N/A"))</f>
        <v/>
      </c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9.5" customHeight="1">
      <c r="A773" s="47"/>
      <c r="B773" s="48"/>
      <c r="C773" s="48"/>
      <c r="D773" s="48"/>
      <c r="E773" s="48"/>
      <c r="F773" s="51"/>
      <c r="G773" s="48"/>
      <c r="H773" s="48"/>
      <c r="I773" s="48"/>
      <c r="J773" s="42" t="str">
        <f t="array" ref="J773">IF(G773="","",IFERROR(LET(ev_cost,INDEX(Events!$G$5:$G$506,MATCH(G773,Events!$A$5:$A$506,0)),ev_split,INDEX(Events!$I$5:$I$506,MATCH(G773,Events!$A$5:$A$506,0)),att_offset,MATCH(G773,Attendance!$B$3:$AZ$3,0),attendees,COUNTIF(INDEX(Attendance!$B$7:$AZ$206,0,att_offset),"1"),IF(ev_split="Equal Split",ev_cost/MAX(1,COUNTA(Roster!$A$5:$A$204)),ev_cost/MAX(1,attendees))),"N/A"))</f>
        <v/>
      </c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9.5" customHeight="1">
      <c r="A774" s="44"/>
      <c r="B774" s="45"/>
      <c r="C774" s="45"/>
      <c r="D774" s="45"/>
      <c r="E774" s="45"/>
      <c r="F774" s="46"/>
      <c r="G774" s="45"/>
      <c r="H774" s="45"/>
      <c r="I774" s="45"/>
      <c r="J774" s="42" t="str">
        <f t="array" ref="J774">IF(G774="","",IFERROR(LET(ev_cost,INDEX(Events!$G$5:$G$506,MATCH(G774,Events!$A$5:$A$506,0)),ev_split,INDEX(Events!$I$5:$I$506,MATCH(G774,Events!$A$5:$A$506,0)),att_offset,MATCH(G774,Attendance!$B$3:$AZ$3,0),attendees,COUNTIF(INDEX(Attendance!$B$7:$AZ$206,0,att_offset),"1"),IF(ev_split="Equal Split",ev_cost/MAX(1,COUNTA(Roster!$A$5:$A$204)),ev_cost/MAX(1,attendees))),"N/A"))</f>
        <v/>
      </c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9.5" customHeight="1">
      <c r="A775" s="47"/>
      <c r="B775" s="48"/>
      <c r="C775" s="48"/>
      <c r="D775" s="48"/>
      <c r="E775" s="48"/>
      <c r="F775" s="51"/>
      <c r="G775" s="48"/>
      <c r="H775" s="48"/>
      <c r="I775" s="48"/>
      <c r="J775" s="42" t="str">
        <f t="array" ref="J775">IF(G775="","",IFERROR(LET(ev_cost,INDEX(Events!$G$5:$G$506,MATCH(G775,Events!$A$5:$A$506,0)),ev_split,INDEX(Events!$I$5:$I$506,MATCH(G775,Events!$A$5:$A$506,0)),att_offset,MATCH(G775,Attendance!$B$3:$AZ$3,0),attendees,COUNTIF(INDEX(Attendance!$B$7:$AZ$206,0,att_offset),"1"),IF(ev_split="Equal Split",ev_cost/MAX(1,COUNTA(Roster!$A$5:$A$204)),ev_cost/MAX(1,attendees))),"N/A"))</f>
        <v/>
      </c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9.5" customHeight="1">
      <c r="A776" s="44"/>
      <c r="B776" s="45"/>
      <c r="C776" s="45"/>
      <c r="D776" s="45"/>
      <c r="E776" s="45"/>
      <c r="F776" s="46"/>
      <c r="G776" s="45"/>
      <c r="H776" s="45"/>
      <c r="I776" s="45"/>
      <c r="J776" s="42" t="str">
        <f t="array" ref="J776">IF(G776="","",IFERROR(LET(ev_cost,INDEX(Events!$G$5:$G$506,MATCH(G776,Events!$A$5:$A$506,0)),ev_split,INDEX(Events!$I$5:$I$506,MATCH(G776,Events!$A$5:$A$506,0)),att_offset,MATCH(G776,Attendance!$B$3:$AZ$3,0),attendees,COUNTIF(INDEX(Attendance!$B$7:$AZ$206,0,att_offset),"1"),IF(ev_split="Equal Split",ev_cost/MAX(1,COUNTA(Roster!$A$5:$A$204)),ev_cost/MAX(1,attendees))),"N/A"))</f>
        <v/>
      </c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9.5" customHeight="1">
      <c r="A777" s="47"/>
      <c r="B777" s="48"/>
      <c r="C777" s="48"/>
      <c r="D777" s="48"/>
      <c r="E777" s="48"/>
      <c r="F777" s="51"/>
      <c r="G777" s="48"/>
      <c r="H777" s="48"/>
      <c r="I777" s="48"/>
      <c r="J777" s="42" t="str">
        <f t="array" ref="J777">IF(G777="","",IFERROR(LET(ev_cost,INDEX(Events!$G$5:$G$506,MATCH(G777,Events!$A$5:$A$506,0)),ev_split,INDEX(Events!$I$5:$I$506,MATCH(G777,Events!$A$5:$A$506,0)),att_offset,MATCH(G777,Attendance!$B$3:$AZ$3,0),attendees,COUNTIF(INDEX(Attendance!$B$7:$AZ$206,0,att_offset),"1"),IF(ev_split="Equal Split",ev_cost/MAX(1,COUNTA(Roster!$A$5:$A$204)),ev_cost/MAX(1,attendees))),"N/A"))</f>
        <v/>
      </c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9.5" customHeight="1">
      <c r="A778" s="44"/>
      <c r="B778" s="45"/>
      <c r="C778" s="45"/>
      <c r="D778" s="45"/>
      <c r="E778" s="45"/>
      <c r="F778" s="46"/>
      <c r="G778" s="45"/>
      <c r="H778" s="45"/>
      <c r="I778" s="45"/>
      <c r="J778" s="42" t="str">
        <f t="array" ref="J778">IF(G778="","",IFERROR(LET(ev_cost,INDEX(Events!$G$5:$G$506,MATCH(G778,Events!$A$5:$A$506,0)),ev_split,INDEX(Events!$I$5:$I$506,MATCH(G778,Events!$A$5:$A$506,0)),att_offset,MATCH(G778,Attendance!$B$3:$AZ$3,0),attendees,COUNTIF(INDEX(Attendance!$B$7:$AZ$206,0,att_offset),"1"),IF(ev_split="Equal Split",ev_cost/MAX(1,COUNTA(Roster!$A$5:$A$204)),ev_cost/MAX(1,attendees))),"N/A"))</f>
        <v/>
      </c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9.5" customHeight="1">
      <c r="A779" s="47"/>
      <c r="B779" s="48"/>
      <c r="C779" s="48"/>
      <c r="D779" s="48"/>
      <c r="E779" s="48"/>
      <c r="F779" s="51"/>
      <c r="G779" s="48"/>
      <c r="H779" s="48"/>
      <c r="I779" s="48"/>
      <c r="J779" s="42" t="str">
        <f t="array" ref="J779">IF(G779="","",IFERROR(LET(ev_cost,INDEX(Events!$G$5:$G$506,MATCH(G779,Events!$A$5:$A$506,0)),ev_split,INDEX(Events!$I$5:$I$506,MATCH(G779,Events!$A$5:$A$506,0)),att_offset,MATCH(G779,Attendance!$B$3:$AZ$3,0),attendees,COUNTIF(INDEX(Attendance!$B$7:$AZ$206,0,att_offset),"1"),IF(ev_split="Equal Split",ev_cost/MAX(1,COUNTA(Roster!$A$5:$A$204)),ev_cost/MAX(1,attendees))),"N/A"))</f>
        <v/>
      </c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9.5" customHeight="1">
      <c r="A780" s="44"/>
      <c r="B780" s="45"/>
      <c r="C780" s="45"/>
      <c r="D780" s="45"/>
      <c r="E780" s="45"/>
      <c r="F780" s="46"/>
      <c r="G780" s="45"/>
      <c r="H780" s="45"/>
      <c r="I780" s="45"/>
      <c r="J780" s="42" t="str">
        <f t="array" ref="J780">IF(G780="","",IFERROR(LET(ev_cost,INDEX(Events!$G$5:$G$506,MATCH(G780,Events!$A$5:$A$506,0)),ev_split,INDEX(Events!$I$5:$I$506,MATCH(G780,Events!$A$5:$A$506,0)),att_offset,MATCH(G780,Attendance!$B$3:$AZ$3,0),attendees,COUNTIF(INDEX(Attendance!$B$7:$AZ$206,0,att_offset),"1"),IF(ev_split="Equal Split",ev_cost/MAX(1,COUNTA(Roster!$A$5:$A$204)),ev_cost/MAX(1,attendees))),"N/A"))</f>
        <v/>
      </c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9.5" customHeight="1">
      <c r="A781" s="47"/>
      <c r="B781" s="48"/>
      <c r="C781" s="48"/>
      <c r="D781" s="48"/>
      <c r="E781" s="48"/>
      <c r="F781" s="51"/>
      <c r="G781" s="48"/>
      <c r="H781" s="48"/>
      <c r="I781" s="48"/>
      <c r="J781" s="42" t="str">
        <f t="array" ref="J781">IF(G781="","",IFERROR(LET(ev_cost,INDEX(Events!$G$5:$G$506,MATCH(G781,Events!$A$5:$A$506,0)),ev_split,INDEX(Events!$I$5:$I$506,MATCH(G781,Events!$A$5:$A$506,0)),att_offset,MATCH(G781,Attendance!$B$3:$AZ$3,0),attendees,COUNTIF(INDEX(Attendance!$B$7:$AZ$206,0,att_offset),"1"),IF(ev_split="Equal Split",ev_cost/MAX(1,COUNTA(Roster!$A$5:$A$204)),ev_cost/MAX(1,attendees))),"N/A"))</f>
        <v/>
      </c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9.5" customHeight="1">
      <c r="A782" s="44"/>
      <c r="B782" s="45"/>
      <c r="C782" s="45"/>
      <c r="D782" s="45"/>
      <c r="E782" s="45"/>
      <c r="F782" s="46"/>
      <c r="G782" s="45"/>
      <c r="H782" s="45"/>
      <c r="I782" s="45"/>
      <c r="J782" s="42" t="str">
        <f t="array" ref="J782">IF(G782="","",IFERROR(LET(ev_cost,INDEX(Events!$G$5:$G$506,MATCH(G782,Events!$A$5:$A$506,0)),ev_split,INDEX(Events!$I$5:$I$506,MATCH(G782,Events!$A$5:$A$506,0)),att_offset,MATCH(G782,Attendance!$B$3:$AZ$3,0),attendees,COUNTIF(INDEX(Attendance!$B$7:$AZ$206,0,att_offset),"1"),IF(ev_split="Equal Split",ev_cost/MAX(1,COUNTA(Roster!$A$5:$A$204)),ev_cost/MAX(1,attendees))),"N/A"))</f>
        <v/>
      </c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9.5" customHeight="1">
      <c r="A783" s="47"/>
      <c r="B783" s="48"/>
      <c r="C783" s="48"/>
      <c r="D783" s="48"/>
      <c r="E783" s="48"/>
      <c r="F783" s="51"/>
      <c r="G783" s="48"/>
      <c r="H783" s="48"/>
      <c r="I783" s="48"/>
      <c r="J783" s="42" t="str">
        <f t="array" ref="J783">IF(G783="","",IFERROR(LET(ev_cost,INDEX(Events!$G$5:$G$506,MATCH(G783,Events!$A$5:$A$506,0)),ev_split,INDEX(Events!$I$5:$I$506,MATCH(G783,Events!$A$5:$A$506,0)),att_offset,MATCH(G783,Attendance!$B$3:$AZ$3,0),attendees,COUNTIF(INDEX(Attendance!$B$7:$AZ$206,0,att_offset),"1"),IF(ev_split="Equal Split",ev_cost/MAX(1,COUNTA(Roster!$A$5:$A$204)),ev_cost/MAX(1,attendees))),"N/A"))</f>
        <v/>
      </c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9.5" customHeight="1">
      <c r="A784" s="44"/>
      <c r="B784" s="45"/>
      <c r="C784" s="45"/>
      <c r="D784" s="45"/>
      <c r="E784" s="45"/>
      <c r="F784" s="46"/>
      <c r="G784" s="45"/>
      <c r="H784" s="45"/>
      <c r="I784" s="45"/>
      <c r="J784" s="42" t="str">
        <f t="array" ref="J784">IF(G784="","",IFERROR(LET(ev_cost,INDEX(Events!$G$5:$G$506,MATCH(G784,Events!$A$5:$A$506,0)),ev_split,INDEX(Events!$I$5:$I$506,MATCH(G784,Events!$A$5:$A$506,0)),att_offset,MATCH(G784,Attendance!$B$3:$AZ$3,0),attendees,COUNTIF(INDEX(Attendance!$B$7:$AZ$206,0,att_offset),"1"),IF(ev_split="Equal Split",ev_cost/MAX(1,COUNTA(Roster!$A$5:$A$204)),ev_cost/MAX(1,attendees))),"N/A"))</f>
        <v/>
      </c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9.5" customHeight="1">
      <c r="A785" s="47"/>
      <c r="B785" s="48"/>
      <c r="C785" s="48"/>
      <c r="D785" s="48"/>
      <c r="E785" s="48"/>
      <c r="F785" s="51"/>
      <c r="G785" s="48"/>
      <c r="H785" s="48"/>
      <c r="I785" s="48"/>
      <c r="J785" s="42" t="str">
        <f t="array" ref="J785">IF(G785="","",IFERROR(LET(ev_cost,INDEX(Events!$G$5:$G$506,MATCH(G785,Events!$A$5:$A$506,0)),ev_split,INDEX(Events!$I$5:$I$506,MATCH(G785,Events!$A$5:$A$506,0)),att_offset,MATCH(G785,Attendance!$B$3:$AZ$3,0),attendees,COUNTIF(INDEX(Attendance!$B$7:$AZ$206,0,att_offset),"1"),IF(ev_split="Equal Split",ev_cost/MAX(1,COUNTA(Roster!$A$5:$A$204)),ev_cost/MAX(1,attendees))),"N/A"))</f>
        <v/>
      </c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9.5" customHeight="1">
      <c r="A786" s="44"/>
      <c r="B786" s="45"/>
      <c r="C786" s="45"/>
      <c r="D786" s="45"/>
      <c r="E786" s="45"/>
      <c r="F786" s="46"/>
      <c r="G786" s="45"/>
      <c r="H786" s="45"/>
      <c r="I786" s="45"/>
      <c r="J786" s="42" t="str">
        <f t="array" ref="J786">IF(G786="","",IFERROR(LET(ev_cost,INDEX(Events!$G$5:$G$506,MATCH(G786,Events!$A$5:$A$506,0)),ev_split,INDEX(Events!$I$5:$I$506,MATCH(G786,Events!$A$5:$A$506,0)),att_offset,MATCH(G786,Attendance!$B$3:$AZ$3,0),attendees,COUNTIF(INDEX(Attendance!$B$7:$AZ$206,0,att_offset),"1"),IF(ev_split="Equal Split",ev_cost/MAX(1,COUNTA(Roster!$A$5:$A$204)),ev_cost/MAX(1,attendees))),"N/A"))</f>
        <v/>
      </c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9.5" customHeight="1">
      <c r="A787" s="47"/>
      <c r="B787" s="48"/>
      <c r="C787" s="48"/>
      <c r="D787" s="48"/>
      <c r="E787" s="48"/>
      <c r="F787" s="51"/>
      <c r="G787" s="48"/>
      <c r="H787" s="48"/>
      <c r="I787" s="48"/>
      <c r="J787" s="42" t="str">
        <f t="array" ref="J787">IF(G787="","",IFERROR(LET(ev_cost,INDEX(Events!$G$5:$G$506,MATCH(G787,Events!$A$5:$A$506,0)),ev_split,INDEX(Events!$I$5:$I$506,MATCH(G787,Events!$A$5:$A$506,0)),att_offset,MATCH(G787,Attendance!$B$3:$AZ$3,0),attendees,COUNTIF(INDEX(Attendance!$B$7:$AZ$206,0,att_offset),"1"),IF(ev_split="Equal Split",ev_cost/MAX(1,COUNTA(Roster!$A$5:$A$204)),ev_cost/MAX(1,attendees))),"N/A"))</f>
        <v/>
      </c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9.5" customHeight="1">
      <c r="A788" s="44"/>
      <c r="B788" s="45"/>
      <c r="C788" s="45"/>
      <c r="D788" s="45"/>
      <c r="E788" s="45"/>
      <c r="F788" s="46"/>
      <c r="G788" s="45"/>
      <c r="H788" s="45"/>
      <c r="I788" s="45"/>
      <c r="J788" s="42" t="str">
        <f t="array" ref="J788">IF(G788="","",IFERROR(LET(ev_cost,INDEX(Events!$G$5:$G$506,MATCH(G788,Events!$A$5:$A$506,0)),ev_split,INDEX(Events!$I$5:$I$506,MATCH(G788,Events!$A$5:$A$506,0)),att_offset,MATCH(G788,Attendance!$B$3:$AZ$3,0),attendees,COUNTIF(INDEX(Attendance!$B$7:$AZ$206,0,att_offset),"1"),IF(ev_split="Equal Split",ev_cost/MAX(1,COUNTA(Roster!$A$5:$A$204)),ev_cost/MAX(1,attendees))),"N/A"))</f>
        <v/>
      </c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9.5" customHeight="1">
      <c r="A789" s="47"/>
      <c r="B789" s="48"/>
      <c r="C789" s="48"/>
      <c r="D789" s="48"/>
      <c r="E789" s="48"/>
      <c r="F789" s="51"/>
      <c r="G789" s="48"/>
      <c r="H789" s="48"/>
      <c r="I789" s="48"/>
      <c r="J789" s="42" t="str">
        <f t="array" ref="J789">IF(G789="","",IFERROR(LET(ev_cost,INDEX(Events!$G$5:$G$506,MATCH(G789,Events!$A$5:$A$506,0)),ev_split,INDEX(Events!$I$5:$I$506,MATCH(G789,Events!$A$5:$A$506,0)),att_offset,MATCH(G789,Attendance!$B$3:$AZ$3,0),attendees,COUNTIF(INDEX(Attendance!$B$7:$AZ$206,0,att_offset),"1"),IF(ev_split="Equal Split",ev_cost/MAX(1,COUNTA(Roster!$A$5:$A$204)),ev_cost/MAX(1,attendees))),"N/A"))</f>
        <v/>
      </c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9.5" customHeight="1">
      <c r="A790" s="44"/>
      <c r="B790" s="45"/>
      <c r="C790" s="45"/>
      <c r="D790" s="45"/>
      <c r="E790" s="45"/>
      <c r="F790" s="46"/>
      <c r="G790" s="45"/>
      <c r="H790" s="45"/>
      <c r="I790" s="45"/>
      <c r="J790" s="42" t="str">
        <f t="array" ref="J790">IF(G790="","",IFERROR(LET(ev_cost,INDEX(Events!$G$5:$G$506,MATCH(G790,Events!$A$5:$A$506,0)),ev_split,INDEX(Events!$I$5:$I$506,MATCH(G790,Events!$A$5:$A$506,0)),att_offset,MATCH(G790,Attendance!$B$3:$AZ$3,0),attendees,COUNTIF(INDEX(Attendance!$B$7:$AZ$206,0,att_offset),"1"),IF(ev_split="Equal Split",ev_cost/MAX(1,COUNTA(Roster!$A$5:$A$204)),ev_cost/MAX(1,attendees))),"N/A"))</f>
        <v/>
      </c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9.5" customHeight="1">
      <c r="A791" s="47"/>
      <c r="B791" s="48"/>
      <c r="C791" s="48"/>
      <c r="D791" s="48"/>
      <c r="E791" s="48"/>
      <c r="F791" s="51"/>
      <c r="G791" s="48"/>
      <c r="H791" s="48"/>
      <c r="I791" s="48"/>
      <c r="J791" s="42" t="str">
        <f t="array" ref="J791">IF(G791="","",IFERROR(LET(ev_cost,INDEX(Events!$G$5:$G$506,MATCH(G791,Events!$A$5:$A$506,0)),ev_split,INDEX(Events!$I$5:$I$506,MATCH(G791,Events!$A$5:$A$506,0)),att_offset,MATCH(G791,Attendance!$B$3:$AZ$3,0),attendees,COUNTIF(INDEX(Attendance!$B$7:$AZ$206,0,att_offset),"1"),IF(ev_split="Equal Split",ev_cost/MAX(1,COUNTA(Roster!$A$5:$A$204)),ev_cost/MAX(1,attendees))),"N/A"))</f>
        <v/>
      </c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9.5" customHeight="1">
      <c r="A792" s="44"/>
      <c r="B792" s="45"/>
      <c r="C792" s="45"/>
      <c r="D792" s="45"/>
      <c r="E792" s="45"/>
      <c r="F792" s="46"/>
      <c r="G792" s="45"/>
      <c r="H792" s="45"/>
      <c r="I792" s="45"/>
      <c r="J792" s="42" t="str">
        <f t="array" ref="J792">IF(G792="","",IFERROR(LET(ev_cost,INDEX(Events!$G$5:$G$506,MATCH(G792,Events!$A$5:$A$506,0)),ev_split,INDEX(Events!$I$5:$I$506,MATCH(G792,Events!$A$5:$A$506,0)),att_offset,MATCH(G792,Attendance!$B$3:$AZ$3,0),attendees,COUNTIF(INDEX(Attendance!$B$7:$AZ$206,0,att_offset),"1"),IF(ev_split="Equal Split",ev_cost/MAX(1,COUNTA(Roster!$A$5:$A$204)),ev_cost/MAX(1,attendees))),"N/A"))</f>
        <v/>
      </c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9.5" customHeight="1">
      <c r="A793" s="47"/>
      <c r="B793" s="48"/>
      <c r="C793" s="48"/>
      <c r="D793" s="48"/>
      <c r="E793" s="48"/>
      <c r="F793" s="51"/>
      <c r="G793" s="48"/>
      <c r="H793" s="48"/>
      <c r="I793" s="48"/>
      <c r="J793" s="42" t="str">
        <f t="array" ref="J793">IF(G793="","",IFERROR(LET(ev_cost,INDEX(Events!$G$5:$G$506,MATCH(G793,Events!$A$5:$A$506,0)),ev_split,INDEX(Events!$I$5:$I$506,MATCH(G793,Events!$A$5:$A$506,0)),att_offset,MATCH(G793,Attendance!$B$3:$AZ$3,0),attendees,COUNTIF(INDEX(Attendance!$B$7:$AZ$206,0,att_offset),"1"),IF(ev_split="Equal Split",ev_cost/MAX(1,COUNTA(Roster!$A$5:$A$204)),ev_cost/MAX(1,attendees))),"N/A"))</f>
        <v/>
      </c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9.5" customHeight="1">
      <c r="A794" s="44"/>
      <c r="B794" s="45"/>
      <c r="C794" s="45"/>
      <c r="D794" s="45"/>
      <c r="E794" s="45"/>
      <c r="F794" s="46"/>
      <c r="G794" s="45"/>
      <c r="H794" s="45"/>
      <c r="I794" s="45"/>
      <c r="J794" s="42" t="str">
        <f t="array" ref="J794">IF(G794="","",IFERROR(LET(ev_cost,INDEX(Events!$G$5:$G$506,MATCH(G794,Events!$A$5:$A$506,0)),ev_split,INDEX(Events!$I$5:$I$506,MATCH(G794,Events!$A$5:$A$506,0)),att_offset,MATCH(G794,Attendance!$B$3:$AZ$3,0),attendees,COUNTIF(INDEX(Attendance!$B$7:$AZ$206,0,att_offset),"1"),IF(ev_split="Equal Split",ev_cost/MAX(1,COUNTA(Roster!$A$5:$A$204)),ev_cost/MAX(1,attendees))),"N/A"))</f>
        <v/>
      </c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9.5" customHeight="1">
      <c r="A795" s="47"/>
      <c r="B795" s="48"/>
      <c r="C795" s="48"/>
      <c r="D795" s="48"/>
      <c r="E795" s="48"/>
      <c r="F795" s="51"/>
      <c r="G795" s="48"/>
      <c r="H795" s="48"/>
      <c r="I795" s="48"/>
      <c r="J795" s="42" t="str">
        <f t="array" ref="J795">IF(G795="","",IFERROR(LET(ev_cost,INDEX(Events!$G$5:$G$506,MATCH(G795,Events!$A$5:$A$506,0)),ev_split,INDEX(Events!$I$5:$I$506,MATCH(G795,Events!$A$5:$A$506,0)),att_offset,MATCH(G795,Attendance!$B$3:$AZ$3,0),attendees,COUNTIF(INDEX(Attendance!$B$7:$AZ$206,0,att_offset),"1"),IF(ev_split="Equal Split",ev_cost/MAX(1,COUNTA(Roster!$A$5:$A$204)),ev_cost/MAX(1,attendees))),"N/A"))</f>
        <v/>
      </c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9.5" customHeight="1">
      <c r="A796" s="44"/>
      <c r="B796" s="45"/>
      <c r="C796" s="45"/>
      <c r="D796" s="45"/>
      <c r="E796" s="45"/>
      <c r="F796" s="46"/>
      <c r="G796" s="45"/>
      <c r="H796" s="45"/>
      <c r="I796" s="45"/>
      <c r="J796" s="42" t="str">
        <f t="array" ref="J796">IF(G796="","",IFERROR(LET(ev_cost,INDEX(Events!$G$5:$G$506,MATCH(G796,Events!$A$5:$A$506,0)),ev_split,INDEX(Events!$I$5:$I$506,MATCH(G796,Events!$A$5:$A$506,0)),att_offset,MATCH(G796,Attendance!$B$3:$AZ$3,0),attendees,COUNTIF(INDEX(Attendance!$B$7:$AZ$206,0,att_offset),"1"),IF(ev_split="Equal Split",ev_cost/MAX(1,COUNTA(Roster!$A$5:$A$204)),ev_cost/MAX(1,attendees))),"N/A"))</f>
        <v/>
      </c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9.5" customHeight="1">
      <c r="A797" s="47"/>
      <c r="B797" s="48"/>
      <c r="C797" s="48"/>
      <c r="D797" s="48"/>
      <c r="E797" s="48"/>
      <c r="F797" s="51"/>
      <c r="G797" s="48"/>
      <c r="H797" s="48"/>
      <c r="I797" s="48"/>
      <c r="J797" s="42" t="str">
        <f t="array" ref="J797">IF(G797="","",IFERROR(LET(ev_cost,INDEX(Events!$G$5:$G$506,MATCH(G797,Events!$A$5:$A$506,0)),ev_split,INDEX(Events!$I$5:$I$506,MATCH(G797,Events!$A$5:$A$506,0)),att_offset,MATCH(G797,Attendance!$B$3:$AZ$3,0),attendees,COUNTIF(INDEX(Attendance!$B$7:$AZ$206,0,att_offset),"1"),IF(ev_split="Equal Split",ev_cost/MAX(1,COUNTA(Roster!$A$5:$A$204)),ev_cost/MAX(1,attendees))),"N/A"))</f>
        <v/>
      </c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9.5" customHeight="1">
      <c r="A798" s="44"/>
      <c r="B798" s="45"/>
      <c r="C798" s="45"/>
      <c r="D798" s="45"/>
      <c r="E798" s="45"/>
      <c r="F798" s="46"/>
      <c r="G798" s="45"/>
      <c r="H798" s="45"/>
      <c r="I798" s="45"/>
      <c r="J798" s="42" t="str">
        <f t="array" ref="J798">IF(G798="","",IFERROR(LET(ev_cost,INDEX(Events!$G$5:$G$506,MATCH(G798,Events!$A$5:$A$506,0)),ev_split,INDEX(Events!$I$5:$I$506,MATCH(G798,Events!$A$5:$A$506,0)),att_offset,MATCH(G798,Attendance!$B$3:$AZ$3,0),attendees,COUNTIF(INDEX(Attendance!$B$7:$AZ$206,0,att_offset),"1"),IF(ev_split="Equal Split",ev_cost/MAX(1,COUNTA(Roster!$A$5:$A$204)),ev_cost/MAX(1,attendees))),"N/A"))</f>
        <v/>
      </c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9.5" customHeight="1">
      <c r="A799" s="47"/>
      <c r="B799" s="48"/>
      <c r="C799" s="48"/>
      <c r="D799" s="48"/>
      <c r="E799" s="48"/>
      <c r="F799" s="51"/>
      <c r="G799" s="48"/>
      <c r="H799" s="48"/>
      <c r="I799" s="48"/>
      <c r="J799" s="42" t="str">
        <f t="array" ref="J799">IF(G799="","",IFERROR(LET(ev_cost,INDEX(Events!$G$5:$G$506,MATCH(G799,Events!$A$5:$A$506,0)),ev_split,INDEX(Events!$I$5:$I$506,MATCH(G799,Events!$A$5:$A$506,0)),att_offset,MATCH(G799,Attendance!$B$3:$AZ$3,0),attendees,COUNTIF(INDEX(Attendance!$B$7:$AZ$206,0,att_offset),"1"),IF(ev_split="Equal Split",ev_cost/MAX(1,COUNTA(Roster!$A$5:$A$204)),ev_cost/MAX(1,attendees))),"N/A"))</f>
        <v/>
      </c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9.5" customHeight="1">
      <c r="A800" s="44"/>
      <c r="B800" s="45"/>
      <c r="C800" s="45"/>
      <c r="D800" s="45"/>
      <c r="E800" s="45"/>
      <c r="F800" s="46"/>
      <c r="G800" s="45"/>
      <c r="H800" s="45"/>
      <c r="I800" s="45"/>
      <c r="J800" s="42" t="str">
        <f t="array" ref="J800">IF(G800="","",IFERROR(LET(ev_cost,INDEX(Events!$G$5:$G$506,MATCH(G800,Events!$A$5:$A$506,0)),ev_split,INDEX(Events!$I$5:$I$506,MATCH(G800,Events!$A$5:$A$506,0)),att_offset,MATCH(G800,Attendance!$B$3:$AZ$3,0),attendees,COUNTIF(INDEX(Attendance!$B$7:$AZ$206,0,att_offset),"1"),IF(ev_split="Equal Split",ev_cost/MAX(1,COUNTA(Roster!$A$5:$A$204)),ev_cost/MAX(1,attendees))),"N/A"))</f>
        <v/>
      </c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9.5" customHeight="1">
      <c r="A801" s="47"/>
      <c r="B801" s="48"/>
      <c r="C801" s="48"/>
      <c r="D801" s="48"/>
      <c r="E801" s="48"/>
      <c r="F801" s="51"/>
      <c r="G801" s="48"/>
      <c r="H801" s="48"/>
      <c r="I801" s="48"/>
      <c r="J801" s="42" t="str">
        <f t="array" ref="J801">IF(G801="","",IFERROR(LET(ev_cost,INDEX(Events!$G$5:$G$506,MATCH(G801,Events!$A$5:$A$506,0)),ev_split,INDEX(Events!$I$5:$I$506,MATCH(G801,Events!$A$5:$A$506,0)),att_offset,MATCH(G801,Attendance!$B$3:$AZ$3,0),attendees,COUNTIF(INDEX(Attendance!$B$7:$AZ$206,0,att_offset),"1"),IF(ev_split="Equal Split",ev_cost/MAX(1,COUNTA(Roster!$A$5:$A$204)),ev_cost/MAX(1,attendees))),"N/A"))</f>
        <v/>
      </c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9.5" customHeight="1">
      <c r="A802" s="44"/>
      <c r="B802" s="45"/>
      <c r="C802" s="45"/>
      <c r="D802" s="45"/>
      <c r="E802" s="45"/>
      <c r="F802" s="46"/>
      <c r="G802" s="45"/>
      <c r="H802" s="45"/>
      <c r="I802" s="45"/>
      <c r="J802" s="42" t="str">
        <f t="array" ref="J802">IF(G802="","",IFERROR(LET(ev_cost,INDEX(Events!$G$5:$G$506,MATCH(G802,Events!$A$5:$A$506,0)),ev_split,INDEX(Events!$I$5:$I$506,MATCH(G802,Events!$A$5:$A$506,0)),att_offset,MATCH(G802,Attendance!$B$3:$AZ$3,0),attendees,COUNTIF(INDEX(Attendance!$B$7:$AZ$206,0,att_offset),"1"),IF(ev_split="Equal Split",ev_cost/MAX(1,COUNTA(Roster!$A$5:$A$204)),ev_cost/MAX(1,attendees))),"N/A"))</f>
        <v/>
      </c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9.5" customHeight="1">
      <c r="A803" s="47"/>
      <c r="B803" s="48"/>
      <c r="C803" s="48"/>
      <c r="D803" s="48"/>
      <c r="E803" s="48"/>
      <c r="F803" s="51"/>
      <c r="G803" s="48"/>
      <c r="H803" s="48"/>
      <c r="I803" s="48"/>
      <c r="J803" s="42" t="str">
        <f t="array" ref="J803">IF(G803="","",IFERROR(LET(ev_cost,INDEX(Events!$G$5:$G$506,MATCH(G803,Events!$A$5:$A$506,0)),ev_split,INDEX(Events!$I$5:$I$506,MATCH(G803,Events!$A$5:$A$506,0)),att_offset,MATCH(G803,Attendance!$B$3:$AZ$3,0),attendees,COUNTIF(INDEX(Attendance!$B$7:$AZ$206,0,att_offset),"1"),IF(ev_split="Equal Split",ev_cost/MAX(1,COUNTA(Roster!$A$5:$A$204)),ev_cost/MAX(1,attendees))),"N/A"))</f>
        <v/>
      </c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9.5" customHeight="1">
      <c r="A804" s="44"/>
      <c r="B804" s="45"/>
      <c r="C804" s="45"/>
      <c r="D804" s="45"/>
      <c r="E804" s="45"/>
      <c r="F804" s="46"/>
      <c r="G804" s="45"/>
      <c r="H804" s="45"/>
      <c r="I804" s="45"/>
      <c r="J804" s="42" t="str">
        <f t="array" ref="J804">IF(G804="","",IFERROR(LET(ev_cost,INDEX(Events!$G$5:$G$506,MATCH(G804,Events!$A$5:$A$506,0)),ev_split,INDEX(Events!$I$5:$I$506,MATCH(G804,Events!$A$5:$A$506,0)),att_offset,MATCH(G804,Attendance!$B$3:$AZ$3,0),attendees,COUNTIF(INDEX(Attendance!$B$7:$AZ$206,0,att_offset),"1"),IF(ev_split="Equal Split",ev_cost/MAX(1,COUNTA(Roster!$A$5:$A$204)),ev_cost/MAX(1,attendees))),"N/A"))</f>
        <v/>
      </c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9.5" customHeight="1">
      <c r="A805" s="47"/>
      <c r="B805" s="48"/>
      <c r="C805" s="48"/>
      <c r="D805" s="48"/>
      <c r="E805" s="48"/>
      <c r="F805" s="51"/>
      <c r="G805" s="48"/>
      <c r="H805" s="48"/>
      <c r="I805" s="48"/>
      <c r="J805" s="42" t="str">
        <f t="array" ref="J805">IF(G805="","",IFERROR(LET(ev_cost,INDEX(Events!$G$5:$G$506,MATCH(G805,Events!$A$5:$A$506,0)),ev_split,INDEX(Events!$I$5:$I$506,MATCH(G805,Events!$A$5:$A$506,0)),att_offset,MATCH(G805,Attendance!$B$3:$AZ$3,0),attendees,COUNTIF(INDEX(Attendance!$B$7:$AZ$206,0,att_offset),"1"),IF(ev_split="Equal Split",ev_cost/MAX(1,COUNTA(Roster!$A$5:$A$204)),ev_cost/MAX(1,attendees))),"N/A"))</f>
        <v/>
      </c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9.5" customHeight="1">
      <c r="A806" s="44"/>
      <c r="B806" s="45"/>
      <c r="C806" s="45"/>
      <c r="D806" s="45"/>
      <c r="E806" s="45"/>
      <c r="F806" s="46"/>
      <c r="G806" s="45"/>
      <c r="H806" s="45"/>
      <c r="I806" s="45"/>
      <c r="J806" s="42" t="str">
        <f t="array" ref="J806">IF(G806="","",IFERROR(LET(ev_cost,INDEX(Events!$G$5:$G$506,MATCH(G806,Events!$A$5:$A$506,0)),ev_split,INDEX(Events!$I$5:$I$506,MATCH(G806,Events!$A$5:$A$506,0)),att_offset,MATCH(G806,Attendance!$B$3:$AZ$3,0),attendees,COUNTIF(INDEX(Attendance!$B$7:$AZ$206,0,att_offset),"1"),IF(ev_split="Equal Split",ev_cost/MAX(1,COUNTA(Roster!$A$5:$A$204)),ev_cost/MAX(1,attendees))),"N/A"))</f>
        <v/>
      </c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9.5" customHeight="1">
      <c r="A807" s="47"/>
      <c r="B807" s="48"/>
      <c r="C807" s="48"/>
      <c r="D807" s="48"/>
      <c r="E807" s="48"/>
      <c r="F807" s="51"/>
      <c r="G807" s="48"/>
      <c r="H807" s="48"/>
      <c r="I807" s="48"/>
      <c r="J807" s="42" t="str">
        <f t="array" ref="J807">IF(G807="","",IFERROR(LET(ev_cost,INDEX(Events!$G$5:$G$506,MATCH(G807,Events!$A$5:$A$506,0)),ev_split,INDEX(Events!$I$5:$I$506,MATCH(G807,Events!$A$5:$A$506,0)),att_offset,MATCH(G807,Attendance!$B$3:$AZ$3,0),attendees,COUNTIF(INDEX(Attendance!$B$7:$AZ$206,0,att_offset),"1"),IF(ev_split="Equal Split",ev_cost/MAX(1,COUNTA(Roster!$A$5:$A$204)),ev_cost/MAX(1,attendees))),"N/A"))</f>
        <v/>
      </c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9.5" customHeight="1">
      <c r="A808" s="44"/>
      <c r="B808" s="45"/>
      <c r="C808" s="45"/>
      <c r="D808" s="45"/>
      <c r="E808" s="45"/>
      <c r="F808" s="46"/>
      <c r="G808" s="45"/>
      <c r="H808" s="45"/>
      <c r="I808" s="45"/>
      <c r="J808" s="42" t="str">
        <f t="array" ref="J808">IF(G808="","",IFERROR(LET(ev_cost,INDEX(Events!$G$5:$G$506,MATCH(G808,Events!$A$5:$A$506,0)),ev_split,INDEX(Events!$I$5:$I$506,MATCH(G808,Events!$A$5:$A$506,0)),att_offset,MATCH(G808,Attendance!$B$3:$AZ$3,0),attendees,COUNTIF(INDEX(Attendance!$B$7:$AZ$206,0,att_offset),"1"),IF(ev_split="Equal Split",ev_cost/MAX(1,COUNTA(Roster!$A$5:$A$204)),ev_cost/MAX(1,attendees))),"N/A"))</f>
        <v/>
      </c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9.5" customHeight="1">
      <c r="A809" s="47"/>
      <c r="B809" s="48"/>
      <c r="C809" s="48"/>
      <c r="D809" s="48"/>
      <c r="E809" s="48"/>
      <c r="F809" s="51"/>
      <c r="G809" s="48"/>
      <c r="H809" s="48"/>
      <c r="I809" s="48"/>
      <c r="J809" s="42" t="str">
        <f t="array" ref="J809">IF(G809="","",IFERROR(LET(ev_cost,INDEX(Events!$G$5:$G$506,MATCH(G809,Events!$A$5:$A$506,0)),ev_split,INDEX(Events!$I$5:$I$506,MATCH(G809,Events!$A$5:$A$506,0)),att_offset,MATCH(G809,Attendance!$B$3:$AZ$3,0),attendees,COUNTIF(INDEX(Attendance!$B$7:$AZ$206,0,att_offset),"1"),IF(ev_split="Equal Split",ev_cost/MAX(1,COUNTA(Roster!$A$5:$A$204)),ev_cost/MAX(1,attendees))),"N/A"))</f>
        <v/>
      </c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9.5" customHeight="1">
      <c r="A810" s="44"/>
      <c r="B810" s="45"/>
      <c r="C810" s="45"/>
      <c r="D810" s="45"/>
      <c r="E810" s="45"/>
      <c r="F810" s="46"/>
      <c r="G810" s="45"/>
      <c r="H810" s="45"/>
      <c r="I810" s="45"/>
      <c r="J810" s="42" t="str">
        <f t="array" ref="J810">IF(G810="","",IFERROR(LET(ev_cost,INDEX(Events!$G$5:$G$506,MATCH(G810,Events!$A$5:$A$506,0)),ev_split,INDEX(Events!$I$5:$I$506,MATCH(G810,Events!$A$5:$A$506,0)),att_offset,MATCH(G810,Attendance!$B$3:$AZ$3,0),attendees,COUNTIF(INDEX(Attendance!$B$7:$AZ$206,0,att_offset),"1"),IF(ev_split="Equal Split",ev_cost/MAX(1,COUNTA(Roster!$A$5:$A$204)),ev_cost/MAX(1,attendees))),"N/A"))</f>
        <v/>
      </c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9.5" customHeight="1">
      <c r="A811" s="47"/>
      <c r="B811" s="48"/>
      <c r="C811" s="48"/>
      <c r="D811" s="48"/>
      <c r="E811" s="48"/>
      <c r="F811" s="51"/>
      <c r="G811" s="48"/>
      <c r="H811" s="48"/>
      <c r="I811" s="48"/>
      <c r="J811" s="42" t="str">
        <f t="array" ref="J811">IF(G811="","",IFERROR(LET(ev_cost,INDEX(Events!$G$5:$G$506,MATCH(G811,Events!$A$5:$A$506,0)),ev_split,INDEX(Events!$I$5:$I$506,MATCH(G811,Events!$A$5:$A$506,0)),att_offset,MATCH(G811,Attendance!$B$3:$AZ$3,0),attendees,COUNTIF(INDEX(Attendance!$B$7:$AZ$206,0,att_offset),"1"),IF(ev_split="Equal Split",ev_cost/MAX(1,COUNTA(Roster!$A$5:$A$204)),ev_cost/MAX(1,attendees))),"N/A"))</f>
        <v/>
      </c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9.5" customHeight="1">
      <c r="A812" s="44"/>
      <c r="B812" s="45"/>
      <c r="C812" s="45"/>
      <c r="D812" s="45"/>
      <c r="E812" s="45"/>
      <c r="F812" s="46"/>
      <c r="G812" s="45"/>
      <c r="H812" s="45"/>
      <c r="I812" s="45"/>
      <c r="J812" s="42" t="str">
        <f t="array" ref="J812">IF(G812="","",IFERROR(LET(ev_cost,INDEX(Events!$G$5:$G$506,MATCH(G812,Events!$A$5:$A$506,0)),ev_split,INDEX(Events!$I$5:$I$506,MATCH(G812,Events!$A$5:$A$506,0)),att_offset,MATCH(G812,Attendance!$B$3:$AZ$3,0),attendees,COUNTIF(INDEX(Attendance!$B$7:$AZ$206,0,att_offset),"1"),IF(ev_split="Equal Split",ev_cost/MAX(1,COUNTA(Roster!$A$5:$A$204)),ev_cost/MAX(1,attendees))),"N/A"))</f>
        <v/>
      </c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9.5" customHeight="1">
      <c r="A813" s="47"/>
      <c r="B813" s="48"/>
      <c r="C813" s="48"/>
      <c r="D813" s="48"/>
      <c r="E813" s="48"/>
      <c r="F813" s="51"/>
      <c r="G813" s="48"/>
      <c r="H813" s="48"/>
      <c r="I813" s="48"/>
      <c r="J813" s="42" t="str">
        <f t="array" ref="J813">IF(G813="","",IFERROR(LET(ev_cost,INDEX(Events!$G$5:$G$506,MATCH(G813,Events!$A$5:$A$506,0)),ev_split,INDEX(Events!$I$5:$I$506,MATCH(G813,Events!$A$5:$A$506,0)),att_offset,MATCH(G813,Attendance!$B$3:$AZ$3,0),attendees,COUNTIF(INDEX(Attendance!$B$7:$AZ$206,0,att_offset),"1"),IF(ev_split="Equal Split",ev_cost/MAX(1,COUNTA(Roster!$A$5:$A$204)),ev_cost/MAX(1,attendees))),"N/A"))</f>
        <v/>
      </c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9.5" customHeight="1">
      <c r="A814" s="44"/>
      <c r="B814" s="45"/>
      <c r="C814" s="45"/>
      <c r="D814" s="45"/>
      <c r="E814" s="45"/>
      <c r="F814" s="46"/>
      <c r="G814" s="45"/>
      <c r="H814" s="45"/>
      <c r="I814" s="45"/>
      <c r="J814" s="42" t="str">
        <f t="array" ref="J814">IF(G814="","",IFERROR(LET(ev_cost,INDEX(Events!$G$5:$G$506,MATCH(G814,Events!$A$5:$A$506,0)),ev_split,INDEX(Events!$I$5:$I$506,MATCH(G814,Events!$A$5:$A$506,0)),att_offset,MATCH(G814,Attendance!$B$3:$AZ$3,0),attendees,COUNTIF(INDEX(Attendance!$B$7:$AZ$206,0,att_offset),"1"),IF(ev_split="Equal Split",ev_cost/MAX(1,COUNTA(Roster!$A$5:$A$204)),ev_cost/MAX(1,attendees))),"N/A"))</f>
        <v/>
      </c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9.5" customHeight="1">
      <c r="A815" s="47"/>
      <c r="B815" s="48"/>
      <c r="C815" s="48"/>
      <c r="D815" s="48"/>
      <c r="E815" s="48"/>
      <c r="F815" s="51"/>
      <c r="G815" s="48"/>
      <c r="H815" s="48"/>
      <c r="I815" s="48"/>
      <c r="J815" s="42" t="str">
        <f t="array" ref="J815">IF(G815="","",IFERROR(LET(ev_cost,INDEX(Events!$G$5:$G$506,MATCH(G815,Events!$A$5:$A$506,0)),ev_split,INDEX(Events!$I$5:$I$506,MATCH(G815,Events!$A$5:$A$506,0)),att_offset,MATCH(G815,Attendance!$B$3:$AZ$3,0),attendees,COUNTIF(INDEX(Attendance!$B$7:$AZ$206,0,att_offset),"1"),IF(ev_split="Equal Split",ev_cost/MAX(1,COUNTA(Roster!$A$5:$A$204)),ev_cost/MAX(1,attendees))),"N/A"))</f>
        <v/>
      </c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9.5" customHeight="1">
      <c r="A816" s="44"/>
      <c r="B816" s="45"/>
      <c r="C816" s="45"/>
      <c r="D816" s="45"/>
      <c r="E816" s="45"/>
      <c r="F816" s="46"/>
      <c r="G816" s="45"/>
      <c r="H816" s="45"/>
      <c r="I816" s="45"/>
      <c r="J816" s="42" t="str">
        <f t="array" ref="J816">IF(G816="","",IFERROR(LET(ev_cost,INDEX(Events!$G$5:$G$506,MATCH(G816,Events!$A$5:$A$506,0)),ev_split,INDEX(Events!$I$5:$I$506,MATCH(G816,Events!$A$5:$A$506,0)),att_offset,MATCH(G816,Attendance!$B$3:$AZ$3,0),attendees,COUNTIF(INDEX(Attendance!$B$7:$AZ$206,0,att_offset),"1"),IF(ev_split="Equal Split",ev_cost/MAX(1,COUNTA(Roster!$A$5:$A$204)),ev_cost/MAX(1,attendees))),"N/A"))</f>
        <v/>
      </c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9.5" customHeight="1">
      <c r="A817" s="47"/>
      <c r="B817" s="48"/>
      <c r="C817" s="48"/>
      <c r="D817" s="48"/>
      <c r="E817" s="48"/>
      <c r="F817" s="51"/>
      <c r="G817" s="48"/>
      <c r="H817" s="48"/>
      <c r="I817" s="48"/>
      <c r="J817" s="42" t="str">
        <f t="array" ref="J817">IF(G817="","",IFERROR(LET(ev_cost,INDEX(Events!$G$5:$G$506,MATCH(G817,Events!$A$5:$A$506,0)),ev_split,INDEX(Events!$I$5:$I$506,MATCH(G817,Events!$A$5:$A$506,0)),att_offset,MATCH(G817,Attendance!$B$3:$AZ$3,0),attendees,COUNTIF(INDEX(Attendance!$B$7:$AZ$206,0,att_offset),"1"),IF(ev_split="Equal Split",ev_cost/MAX(1,COUNTA(Roster!$A$5:$A$204)),ev_cost/MAX(1,attendees))),"N/A"))</f>
        <v/>
      </c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9.5" customHeight="1">
      <c r="A818" s="44"/>
      <c r="B818" s="45"/>
      <c r="C818" s="45"/>
      <c r="D818" s="45"/>
      <c r="E818" s="45"/>
      <c r="F818" s="46"/>
      <c r="G818" s="45"/>
      <c r="H818" s="45"/>
      <c r="I818" s="45"/>
      <c r="J818" s="42" t="str">
        <f t="array" ref="J818">IF(G818="","",IFERROR(LET(ev_cost,INDEX(Events!$G$5:$G$506,MATCH(G818,Events!$A$5:$A$506,0)),ev_split,INDEX(Events!$I$5:$I$506,MATCH(G818,Events!$A$5:$A$506,0)),att_offset,MATCH(G818,Attendance!$B$3:$AZ$3,0),attendees,COUNTIF(INDEX(Attendance!$B$7:$AZ$206,0,att_offset),"1"),IF(ev_split="Equal Split",ev_cost/MAX(1,COUNTA(Roster!$A$5:$A$204)),ev_cost/MAX(1,attendees))),"N/A"))</f>
        <v/>
      </c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9.5" customHeight="1">
      <c r="A819" s="47"/>
      <c r="B819" s="48"/>
      <c r="C819" s="48"/>
      <c r="D819" s="48"/>
      <c r="E819" s="48"/>
      <c r="F819" s="51"/>
      <c r="G819" s="48"/>
      <c r="H819" s="48"/>
      <c r="I819" s="48"/>
      <c r="J819" s="42" t="str">
        <f t="array" ref="J819">IF(G819="","",IFERROR(LET(ev_cost,INDEX(Events!$G$5:$G$506,MATCH(G819,Events!$A$5:$A$506,0)),ev_split,INDEX(Events!$I$5:$I$506,MATCH(G819,Events!$A$5:$A$506,0)),att_offset,MATCH(G819,Attendance!$B$3:$AZ$3,0),attendees,COUNTIF(INDEX(Attendance!$B$7:$AZ$206,0,att_offset),"1"),IF(ev_split="Equal Split",ev_cost/MAX(1,COUNTA(Roster!$A$5:$A$204)),ev_cost/MAX(1,attendees))),"N/A"))</f>
        <v/>
      </c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9.5" customHeight="1">
      <c r="A820" s="44"/>
      <c r="B820" s="45"/>
      <c r="C820" s="45"/>
      <c r="D820" s="45"/>
      <c r="E820" s="45"/>
      <c r="F820" s="46"/>
      <c r="G820" s="45"/>
      <c r="H820" s="45"/>
      <c r="I820" s="45"/>
      <c r="J820" s="42" t="str">
        <f t="array" ref="J820">IF(G820="","",IFERROR(LET(ev_cost,INDEX(Events!$G$5:$G$506,MATCH(G820,Events!$A$5:$A$506,0)),ev_split,INDEX(Events!$I$5:$I$506,MATCH(G820,Events!$A$5:$A$506,0)),att_offset,MATCH(G820,Attendance!$B$3:$AZ$3,0),attendees,COUNTIF(INDEX(Attendance!$B$7:$AZ$206,0,att_offset),"1"),IF(ev_split="Equal Split",ev_cost/MAX(1,COUNTA(Roster!$A$5:$A$204)),ev_cost/MAX(1,attendees))),"N/A"))</f>
        <v/>
      </c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9.5" customHeight="1">
      <c r="A821" s="47"/>
      <c r="B821" s="48"/>
      <c r="C821" s="48"/>
      <c r="D821" s="48"/>
      <c r="E821" s="48"/>
      <c r="F821" s="51"/>
      <c r="G821" s="48"/>
      <c r="H821" s="48"/>
      <c r="I821" s="48"/>
      <c r="J821" s="42" t="str">
        <f t="array" ref="J821">IF(G821="","",IFERROR(LET(ev_cost,INDEX(Events!$G$5:$G$506,MATCH(G821,Events!$A$5:$A$506,0)),ev_split,INDEX(Events!$I$5:$I$506,MATCH(G821,Events!$A$5:$A$506,0)),att_offset,MATCH(G821,Attendance!$B$3:$AZ$3,0),attendees,COUNTIF(INDEX(Attendance!$B$7:$AZ$206,0,att_offset),"1"),IF(ev_split="Equal Split",ev_cost/MAX(1,COUNTA(Roster!$A$5:$A$204)),ev_cost/MAX(1,attendees))),"N/A"))</f>
        <v/>
      </c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9.5" customHeight="1">
      <c r="A822" s="44"/>
      <c r="B822" s="45"/>
      <c r="C822" s="45"/>
      <c r="D822" s="45"/>
      <c r="E822" s="45"/>
      <c r="F822" s="46"/>
      <c r="G822" s="45"/>
      <c r="H822" s="45"/>
      <c r="I822" s="45"/>
      <c r="J822" s="42" t="str">
        <f t="array" ref="J822">IF(G822="","",IFERROR(LET(ev_cost,INDEX(Events!$G$5:$G$506,MATCH(G822,Events!$A$5:$A$506,0)),ev_split,INDEX(Events!$I$5:$I$506,MATCH(G822,Events!$A$5:$A$506,0)),att_offset,MATCH(G822,Attendance!$B$3:$AZ$3,0),attendees,COUNTIF(INDEX(Attendance!$B$7:$AZ$206,0,att_offset),"1"),IF(ev_split="Equal Split",ev_cost/MAX(1,COUNTA(Roster!$A$5:$A$204)),ev_cost/MAX(1,attendees))),"N/A"))</f>
        <v/>
      </c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9.5" customHeight="1">
      <c r="A823" s="47"/>
      <c r="B823" s="48"/>
      <c r="C823" s="48"/>
      <c r="D823" s="48"/>
      <c r="E823" s="48"/>
      <c r="F823" s="51"/>
      <c r="G823" s="48"/>
      <c r="H823" s="48"/>
      <c r="I823" s="48"/>
      <c r="J823" s="42" t="str">
        <f t="array" ref="J823">IF(G823="","",IFERROR(LET(ev_cost,INDEX(Events!$G$5:$G$506,MATCH(G823,Events!$A$5:$A$506,0)),ev_split,INDEX(Events!$I$5:$I$506,MATCH(G823,Events!$A$5:$A$506,0)),att_offset,MATCH(G823,Attendance!$B$3:$AZ$3,0),attendees,COUNTIF(INDEX(Attendance!$B$7:$AZ$206,0,att_offset),"1"),IF(ev_split="Equal Split",ev_cost/MAX(1,COUNTA(Roster!$A$5:$A$204)),ev_cost/MAX(1,attendees))),"N/A"))</f>
        <v/>
      </c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9.5" customHeight="1">
      <c r="A824" s="44"/>
      <c r="B824" s="45"/>
      <c r="C824" s="45"/>
      <c r="D824" s="45"/>
      <c r="E824" s="45"/>
      <c r="F824" s="46"/>
      <c r="G824" s="45"/>
      <c r="H824" s="45"/>
      <c r="I824" s="45"/>
      <c r="J824" s="42" t="str">
        <f t="array" ref="J824">IF(G824="","",IFERROR(LET(ev_cost,INDEX(Events!$G$5:$G$506,MATCH(G824,Events!$A$5:$A$506,0)),ev_split,INDEX(Events!$I$5:$I$506,MATCH(G824,Events!$A$5:$A$506,0)),att_offset,MATCH(G824,Attendance!$B$3:$AZ$3,0),attendees,COUNTIF(INDEX(Attendance!$B$7:$AZ$206,0,att_offset),"1"),IF(ev_split="Equal Split",ev_cost/MAX(1,COUNTA(Roster!$A$5:$A$204)),ev_cost/MAX(1,attendees))),"N/A"))</f>
        <v/>
      </c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9.5" customHeight="1">
      <c r="A825" s="47"/>
      <c r="B825" s="48"/>
      <c r="C825" s="48"/>
      <c r="D825" s="48"/>
      <c r="E825" s="48"/>
      <c r="F825" s="51"/>
      <c r="G825" s="48"/>
      <c r="H825" s="48"/>
      <c r="I825" s="48"/>
      <c r="J825" s="42" t="str">
        <f t="array" ref="J825">IF(G825="","",IFERROR(LET(ev_cost,INDEX(Events!$G$5:$G$506,MATCH(G825,Events!$A$5:$A$506,0)),ev_split,INDEX(Events!$I$5:$I$506,MATCH(G825,Events!$A$5:$A$506,0)),att_offset,MATCH(G825,Attendance!$B$3:$AZ$3,0),attendees,COUNTIF(INDEX(Attendance!$B$7:$AZ$206,0,att_offset),"1"),IF(ev_split="Equal Split",ev_cost/MAX(1,COUNTA(Roster!$A$5:$A$204)),ev_cost/MAX(1,attendees))),"N/A"))</f>
        <v/>
      </c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9.5" customHeight="1">
      <c r="A826" s="44"/>
      <c r="B826" s="45"/>
      <c r="C826" s="45"/>
      <c r="D826" s="45"/>
      <c r="E826" s="45"/>
      <c r="F826" s="46"/>
      <c r="G826" s="45"/>
      <c r="H826" s="45"/>
      <c r="I826" s="45"/>
      <c r="J826" s="42" t="str">
        <f t="array" ref="J826">IF(G826="","",IFERROR(LET(ev_cost,INDEX(Events!$G$5:$G$506,MATCH(G826,Events!$A$5:$A$506,0)),ev_split,INDEX(Events!$I$5:$I$506,MATCH(G826,Events!$A$5:$A$506,0)),att_offset,MATCH(G826,Attendance!$B$3:$AZ$3,0),attendees,COUNTIF(INDEX(Attendance!$B$7:$AZ$206,0,att_offset),"1"),IF(ev_split="Equal Split",ev_cost/MAX(1,COUNTA(Roster!$A$5:$A$204)),ev_cost/MAX(1,attendees))),"N/A"))</f>
        <v/>
      </c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9.5" customHeight="1">
      <c r="A827" s="47"/>
      <c r="B827" s="48"/>
      <c r="C827" s="48"/>
      <c r="D827" s="48"/>
      <c r="E827" s="48"/>
      <c r="F827" s="51"/>
      <c r="G827" s="48"/>
      <c r="H827" s="48"/>
      <c r="I827" s="48"/>
      <c r="J827" s="42" t="str">
        <f t="array" ref="J827">IF(G827="","",IFERROR(LET(ev_cost,INDEX(Events!$G$5:$G$506,MATCH(G827,Events!$A$5:$A$506,0)),ev_split,INDEX(Events!$I$5:$I$506,MATCH(G827,Events!$A$5:$A$506,0)),att_offset,MATCH(G827,Attendance!$B$3:$AZ$3,0),attendees,COUNTIF(INDEX(Attendance!$B$7:$AZ$206,0,att_offset),"1"),IF(ev_split="Equal Split",ev_cost/MAX(1,COUNTA(Roster!$A$5:$A$204)),ev_cost/MAX(1,attendees))),"N/A"))</f>
        <v/>
      </c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9.5" customHeight="1">
      <c r="A828" s="44"/>
      <c r="B828" s="45"/>
      <c r="C828" s="45"/>
      <c r="D828" s="45"/>
      <c r="E828" s="45"/>
      <c r="F828" s="46"/>
      <c r="G828" s="45"/>
      <c r="H828" s="45"/>
      <c r="I828" s="45"/>
      <c r="J828" s="42" t="str">
        <f t="array" ref="J828">IF(G828="","",IFERROR(LET(ev_cost,INDEX(Events!$G$5:$G$506,MATCH(G828,Events!$A$5:$A$506,0)),ev_split,INDEX(Events!$I$5:$I$506,MATCH(G828,Events!$A$5:$A$506,0)),att_offset,MATCH(G828,Attendance!$B$3:$AZ$3,0),attendees,COUNTIF(INDEX(Attendance!$B$7:$AZ$206,0,att_offset),"1"),IF(ev_split="Equal Split",ev_cost/MAX(1,COUNTA(Roster!$A$5:$A$204)),ev_cost/MAX(1,attendees))),"N/A"))</f>
        <v/>
      </c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9.5" customHeight="1">
      <c r="A829" s="47"/>
      <c r="B829" s="48"/>
      <c r="C829" s="48"/>
      <c r="D829" s="48"/>
      <c r="E829" s="48"/>
      <c r="F829" s="51"/>
      <c r="G829" s="48"/>
      <c r="H829" s="48"/>
      <c r="I829" s="48"/>
      <c r="J829" s="42" t="str">
        <f t="array" ref="J829">IF(G829="","",IFERROR(LET(ev_cost,INDEX(Events!$G$5:$G$506,MATCH(G829,Events!$A$5:$A$506,0)),ev_split,INDEX(Events!$I$5:$I$506,MATCH(G829,Events!$A$5:$A$506,0)),att_offset,MATCH(G829,Attendance!$B$3:$AZ$3,0),attendees,COUNTIF(INDEX(Attendance!$B$7:$AZ$206,0,att_offset),"1"),IF(ev_split="Equal Split",ev_cost/MAX(1,COUNTA(Roster!$A$5:$A$204)),ev_cost/MAX(1,attendees))),"N/A"))</f>
        <v/>
      </c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9.5" customHeight="1">
      <c r="A830" s="44"/>
      <c r="B830" s="45"/>
      <c r="C830" s="45"/>
      <c r="D830" s="45"/>
      <c r="E830" s="45"/>
      <c r="F830" s="46"/>
      <c r="G830" s="45"/>
      <c r="H830" s="45"/>
      <c r="I830" s="45"/>
      <c r="J830" s="42" t="str">
        <f t="array" ref="J830">IF(G830="","",IFERROR(LET(ev_cost,INDEX(Events!$G$5:$G$506,MATCH(G830,Events!$A$5:$A$506,0)),ev_split,INDEX(Events!$I$5:$I$506,MATCH(G830,Events!$A$5:$A$506,0)),att_offset,MATCH(G830,Attendance!$B$3:$AZ$3,0),attendees,COUNTIF(INDEX(Attendance!$B$7:$AZ$206,0,att_offset),"1"),IF(ev_split="Equal Split",ev_cost/MAX(1,COUNTA(Roster!$A$5:$A$204)),ev_cost/MAX(1,attendees))),"N/A"))</f>
        <v/>
      </c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9.5" customHeight="1">
      <c r="A831" s="47"/>
      <c r="B831" s="48"/>
      <c r="C831" s="48"/>
      <c r="D831" s="48"/>
      <c r="E831" s="48"/>
      <c r="F831" s="51"/>
      <c r="G831" s="48"/>
      <c r="H831" s="48"/>
      <c r="I831" s="48"/>
      <c r="J831" s="42" t="str">
        <f t="array" ref="J831">IF(G831="","",IFERROR(LET(ev_cost,INDEX(Events!$G$5:$G$506,MATCH(G831,Events!$A$5:$A$506,0)),ev_split,INDEX(Events!$I$5:$I$506,MATCH(G831,Events!$A$5:$A$506,0)),att_offset,MATCH(G831,Attendance!$B$3:$AZ$3,0),attendees,COUNTIF(INDEX(Attendance!$B$7:$AZ$206,0,att_offset),"1"),IF(ev_split="Equal Split",ev_cost/MAX(1,COUNTA(Roster!$A$5:$A$204)),ev_cost/MAX(1,attendees))),"N/A"))</f>
        <v/>
      </c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9.5" customHeight="1">
      <c r="A832" s="44"/>
      <c r="B832" s="45"/>
      <c r="C832" s="45"/>
      <c r="D832" s="45"/>
      <c r="E832" s="45"/>
      <c r="F832" s="46"/>
      <c r="G832" s="45"/>
      <c r="H832" s="45"/>
      <c r="I832" s="45"/>
      <c r="J832" s="42" t="str">
        <f t="array" ref="J832">IF(G832="","",IFERROR(LET(ev_cost,INDEX(Events!$G$5:$G$506,MATCH(G832,Events!$A$5:$A$506,0)),ev_split,INDEX(Events!$I$5:$I$506,MATCH(G832,Events!$A$5:$A$506,0)),att_offset,MATCH(G832,Attendance!$B$3:$AZ$3,0),attendees,COUNTIF(INDEX(Attendance!$B$7:$AZ$206,0,att_offset),"1"),IF(ev_split="Equal Split",ev_cost/MAX(1,COUNTA(Roster!$A$5:$A$204)),ev_cost/MAX(1,attendees))),"N/A"))</f>
        <v/>
      </c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9.5" customHeight="1">
      <c r="A833" s="47"/>
      <c r="B833" s="48"/>
      <c r="C833" s="48"/>
      <c r="D833" s="48"/>
      <c r="E833" s="48"/>
      <c r="F833" s="51"/>
      <c r="G833" s="48"/>
      <c r="H833" s="48"/>
      <c r="I833" s="48"/>
      <c r="J833" s="42" t="str">
        <f t="array" ref="J833">IF(G833="","",IFERROR(LET(ev_cost,INDEX(Events!$G$5:$G$506,MATCH(G833,Events!$A$5:$A$506,0)),ev_split,INDEX(Events!$I$5:$I$506,MATCH(G833,Events!$A$5:$A$506,0)),att_offset,MATCH(G833,Attendance!$B$3:$AZ$3,0),attendees,COUNTIF(INDEX(Attendance!$B$7:$AZ$206,0,att_offset),"1"),IF(ev_split="Equal Split",ev_cost/MAX(1,COUNTA(Roster!$A$5:$A$204)),ev_cost/MAX(1,attendees))),"N/A"))</f>
        <v/>
      </c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9.5" customHeight="1">
      <c r="A834" s="44"/>
      <c r="B834" s="45"/>
      <c r="C834" s="45"/>
      <c r="D834" s="45"/>
      <c r="E834" s="45"/>
      <c r="F834" s="46"/>
      <c r="G834" s="45"/>
      <c r="H834" s="45"/>
      <c r="I834" s="45"/>
      <c r="J834" s="42" t="str">
        <f t="array" ref="J834">IF(G834="","",IFERROR(LET(ev_cost,INDEX(Events!$G$5:$G$506,MATCH(G834,Events!$A$5:$A$506,0)),ev_split,INDEX(Events!$I$5:$I$506,MATCH(G834,Events!$A$5:$A$506,0)),att_offset,MATCH(G834,Attendance!$B$3:$AZ$3,0),attendees,COUNTIF(INDEX(Attendance!$B$7:$AZ$206,0,att_offset),"1"),IF(ev_split="Equal Split",ev_cost/MAX(1,COUNTA(Roster!$A$5:$A$204)),ev_cost/MAX(1,attendees))),"N/A"))</f>
        <v/>
      </c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9.5" customHeight="1">
      <c r="A835" s="47"/>
      <c r="B835" s="48"/>
      <c r="C835" s="48"/>
      <c r="D835" s="48"/>
      <c r="E835" s="48"/>
      <c r="F835" s="51"/>
      <c r="G835" s="48"/>
      <c r="H835" s="48"/>
      <c r="I835" s="48"/>
      <c r="J835" s="42" t="str">
        <f t="array" ref="J835">IF(G835="","",IFERROR(LET(ev_cost,INDEX(Events!$G$5:$G$506,MATCH(G835,Events!$A$5:$A$506,0)),ev_split,INDEX(Events!$I$5:$I$506,MATCH(G835,Events!$A$5:$A$506,0)),att_offset,MATCH(G835,Attendance!$B$3:$AZ$3,0),attendees,COUNTIF(INDEX(Attendance!$B$7:$AZ$206,0,att_offset),"1"),IF(ev_split="Equal Split",ev_cost/MAX(1,COUNTA(Roster!$A$5:$A$204)),ev_cost/MAX(1,attendees))),"N/A"))</f>
        <v/>
      </c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9.5" customHeight="1">
      <c r="A836" s="44"/>
      <c r="B836" s="45"/>
      <c r="C836" s="45"/>
      <c r="D836" s="45"/>
      <c r="E836" s="45"/>
      <c r="F836" s="46"/>
      <c r="G836" s="45"/>
      <c r="H836" s="45"/>
      <c r="I836" s="45"/>
      <c r="J836" s="42" t="str">
        <f t="array" ref="J836">IF(G836="","",IFERROR(LET(ev_cost,INDEX(Events!$G$5:$G$506,MATCH(G836,Events!$A$5:$A$506,0)),ev_split,INDEX(Events!$I$5:$I$506,MATCH(G836,Events!$A$5:$A$506,0)),att_offset,MATCH(G836,Attendance!$B$3:$AZ$3,0),attendees,COUNTIF(INDEX(Attendance!$B$7:$AZ$206,0,att_offset),"1"),IF(ev_split="Equal Split",ev_cost/MAX(1,COUNTA(Roster!$A$5:$A$204)),ev_cost/MAX(1,attendees))),"N/A"))</f>
        <v/>
      </c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9.5" customHeight="1">
      <c r="A837" s="47"/>
      <c r="B837" s="48"/>
      <c r="C837" s="48"/>
      <c r="D837" s="48"/>
      <c r="E837" s="48"/>
      <c r="F837" s="51"/>
      <c r="G837" s="48"/>
      <c r="H837" s="48"/>
      <c r="I837" s="48"/>
      <c r="J837" s="42" t="str">
        <f t="array" ref="J837">IF(G837="","",IFERROR(LET(ev_cost,INDEX(Events!$G$5:$G$506,MATCH(G837,Events!$A$5:$A$506,0)),ev_split,INDEX(Events!$I$5:$I$506,MATCH(G837,Events!$A$5:$A$506,0)),att_offset,MATCH(G837,Attendance!$B$3:$AZ$3,0),attendees,COUNTIF(INDEX(Attendance!$B$7:$AZ$206,0,att_offset),"1"),IF(ev_split="Equal Split",ev_cost/MAX(1,COUNTA(Roster!$A$5:$A$204)),ev_cost/MAX(1,attendees))),"N/A"))</f>
        <v/>
      </c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9.5" customHeight="1">
      <c r="A838" s="44"/>
      <c r="B838" s="45"/>
      <c r="C838" s="45"/>
      <c r="D838" s="45"/>
      <c r="E838" s="45"/>
      <c r="F838" s="46"/>
      <c r="G838" s="45"/>
      <c r="H838" s="45"/>
      <c r="I838" s="45"/>
      <c r="J838" s="42" t="str">
        <f t="array" ref="J838">IF(G838="","",IFERROR(LET(ev_cost,INDEX(Events!$G$5:$G$506,MATCH(G838,Events!$A$5:$A$506,0)),ev_split,INDEX(Events!$I$5:$I$506,MATCH(G838,Events!$A$5:$A$506,0)),att_offset,MATCH(G838,Attendance!$B$3:$AZ$3,0),attendees,COUNTIF(INDEX(Attendance!$B$7:$AZ$206,0,att_offset),"1"),IF(ev_split="Equal Split",ev_cost/MAX(1,COUNTA(Roster!$A$5:$A$204)),ev_cost/MAX(1,attendees))),"N/A"))</f>
        <v/>
      </c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9.5" customHeight="1">
      <c r="A839" s="47"/>
      <c r="B839" s="48"/>
      <c r="C839" s="48"/>
      <c r="D839" s="48"/>
      <c r="E839" s="48"/>
      <c r="F839" s="51"/>
      <c r="G839" s="48"/>
      <c r="H839" s="48"/>
      <c r="I839" s="48"/>
      <c r="J839" s="42" t="str">
        <f t="array" ref="J839">IF(G839="","",IFERROR(LET(ev_cost,INDEX(Events!$G$5:$G$506,MATCH(G839,Events!$A$5:$A$506,0)),ev_split,INDEX(Events!$I$5:$I$506,MATCH(G839,Events!$A$5:$A$506,0)),att_offset,MATCH(G839,Attendance!$B$3:$AZ$3,0),attendees,COUNTIF(INDEX(Attendance!$B$7:$AZ$206,0,att_offset),"1"),IF(ev_split="Equal Split",ev_cost/MAX(1,COUNTA(Roster!$A$5:$A$204)),ev_cost/MAX(1,attendees))),"N/A"))</f>
        <v/>
      </c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9.5" customHeight="1">
      <c r="A840" s="44"/>
      <c r="B840" s="45"/>
      <c r="C840" s="45"/>
      <c r="D840" s="45"/>
      <c r="E840" s="45"/>
      <c r="F840" s="46"/>
      <c r="G840" s="45"/>
      <c r="H840" s="45"/>
      <c r="I840" s="45"/>
      <c r="J840" s="42" t="str">
        <f t="array" ref="J840">IF(G840="","",IFERROR(LET(ev_cost,INDEX(Events!$G$5:$G$506,MATCH(G840,Events!$A$5:$A$506,0)),ev_split,INDEX(Events!$I$5:$I$506,MATCH(G840,Events!$A$5:$A$506,0)),att_offset,MATCH(G840,Attendance!$B$3:$AZ$3,0),attendees,COUNTIF(INDEX(Attendance!$B$7:$AZ$206,0,att_offset),"1"),IF(ev_split="Equal Split",ev_cost/MAX(1,COUNTA(Roster!$A$5:$A$204)),ev_cost/MAX(1,attendees))),"N/A"))</f>
        <v/>
      </c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9.5" customHeight="1">
      <c r="A841" s="47"/>
      <c r="B841" s="48"/>
      <c r="C841" s="48"/>
      <c r="D841" s="48"/>
      <c r="E841" s="48"/>
      <c r="F841" s="51"/>
      <c r="G841" s="48"/>
      <c r="H841" s="48"/>
      <c r="I841" s="48"/>
      <c r="J841" s="42" t="str">
        <f t="array" ref="J841">IF(G841="","",IFERROR(LET(ev_cost,INDEX(Events!$G$5:$G$506,MATCH(G841,Events!$A$5:$A$506,0)),ev_split,INDEX(Events!$I$5:$I$506,MATCH(G841,Events!$A$5:$A$506,0)),att_offset,MATCH(G841,Attendance!$B$3:$AZ$3,0),attendees,COUNTIF(INDEX(Attendance!$B$7:$AZ$206,0,att_offset),"1"),IF(ev_split="Equal Split",ev_cost/MAX(1,COUNTA(Roster!$A$5:$A$204)),ev_cost/MAX(1,attendees))),"N/A"))</f>
        <v/>
      </c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9.5" customHeight="1">
      <c r="A842" s="44"/>
      <c r="B842" s="45"/>
      <c r="C842" s="45"/>
      <c r="D842" s="45"/>
      <c r="E842" s="45"/>
      <c r="F842" s="46"/>
      <c r="G842" s="45"/>
      <c r="H842" s="45"/>
      <c r="I842" s="45"/>
      <c r="J842" s="42" t="str">
        <f t="array" ref="J842">IF(G842="","",IFERROR(LET(ev_cost,INDEX(Events!$G$5:$G$506,MATCH(G842,Events!$A$5:$A$506,0)),ev_split,INDEX(Events!$I$5:$I$506,MATCH(G842,Events!$A$5:$A$506,0)),att_offset,MATCH(G842,Attendance!$B$3:$AZ$3,0),attendees,COUNTIF(INDEX(Attendance!$B$7:$AZ$206,0,att_offset),"1"),IF(ev_split="Equal Split",ev_cost/MAX(1,COUNTA(Roster!$A$5:$A$204)),ev_cost/MAX(1,attendees))),"N/A"))</f>
        <v/>
      </c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9.5" customHeight="1">
      <c r="A843" s="47"/>
      <c r="B843" s="48"/>
      <c r="C843" s="48"/>
      <c r="D843" s="48"/>
      <c r="E843" s="48"/>
      <c r="F843" s="51"/>
      <c r="G843" s="48"/>
      <c r="H843" s="48"/>
      <c r="I843" s="48"/>
      <c r="J843" s="42" t="str">
        <f t="array" ref="J843">IF(G843="","",IFERROR(LET(ev_cost,INDEX(Events!$G$5:$G$506,MATCH(G843,Events!$A$5:$A$506,0)),ev_split,INDEX(Events!$I$5:$I$506,MATCH(G843,Events!$A$5:$A$506,0)),att_offset,MATCH(G843,Attendance!$B$3:$AZ$3,0),attendees,COUNTIF(INDEX(Attendance!$B$7:$AZ$206,0,att_offset),"1"),IF(ev_split="Equal Split",ev_cost/MAX(1,COUNTA(Roster!$A$5:$A$204)),ev_cost/MAX(1,attendees))),"N/A"))</f>
        <v/>
      </c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9.5" customHeight="1">
      <c r="A844" s="44"/>
      <c r="B844" s="45"/>
      <c r="C844" s="45"/>
      <c r="D844" s="45"/>
      <c r="E844" s="45"/>
      <c r="F844" s="46"/>
      <c r="G844" s="45"/>
      <c r="H844" s="45"/>
      <c r="I844" s="45"/>
      <c r="J844" s="42" t="str">
        <f t="array" ref="J844">IF(G844="","",IFERROR(LET(ev_cost,INDEX(Events!$G$5:$G$506,MATCH(G844,Events!$A$5:$A$506,0)),ev_split,INDEX(Events!$I$5:$I$506,MATCH(G844,Events!$A$5:$A$506,0)),att_offset,MATCH(G844,Attendance!$B$3:$AZ$3,0),attendees,COUNTIF(INDEX(Attendance!$B$7:$AZ$206,0,att_offset),"1"),IF(ev_split="Equal Split",ev_cost/MAX(1,COUNTA(Roster!$A$5:$A$204)),ev_cost/MAX(1,attendees))),"N/A"))</f>
        <v/>
      </c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9.5" customHeight="1">
      <c r="A845" s="47"/>
      <c r="B845" s="48"/>
      <c r="C845" s="48"/>
      <c r="D845" s="48"/>
      <c r="E845" s="48"/>
      <c r="F845" s="51"/>
      <c r="G845" s="48"/>
      <c r="H845" s="48"/>
      <c r="I845" s="48"/>
      <c r="J845" s="42" t="str">
        <f t="array" ref="J845">IF(G845="","",IFERROR(LET(ev_cost,INDEX(Events!$G$5:$G$506,MATCH(G845,Events!$A$5:$A$506,0)),ev_split,INDEX(Events!$I$5:$I$506,MATCH(G845,Events!$A$5:$A$506,0)),att_offset,MATCH(G845,Attendance!$B$3:$AZ$3,0),attendees,COUNTIF(INDEX(Attendance!$B$7:$AZ$206,0,att_offset),"1"),IF(ev_split="Equal Split",ev_cost/MAX(1,COUNTA(Roster!$A$5:$A$204)),ev_cost/MAX(1,attendees))),"N/A"))</f>
        <v/>
      </c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9.5" customHeight="1">
      <c r="A846" s="44"/>
      <c r="B846" s="45"/>
      <c r="C846" s="45"/>
      <c r="D846" s="45"/>
      <c r="E846" s="45"/>
      <c r="F846" s="46"/>
      <c r="G846" s="45"/>
      <c r="H846" s="45"/>
      <c r="I846" s="45"/>
      <c r="J846" s="42" t="str">
        <f t="array" ref="J846">IF(G846="","",IFERROR(LET(ev_cost,INDEX(Events!$G$5:$G$506,MATCH(G846,Events!$A$5:$A$506,0)),ev_split,INDEX(Events!$I$5:$I$506,MATCH(G846,Events!$A$5:$A$506,0)),att_offset,MATCH(G846,Attendance!$B$3:$AZ$3,0),attendees,COUNTIF(INDEX(Attendance!$B$7:$AZ$206,0,att_offset),"1"),IF(ev_split="Equal Split",ev_cost/MAX(1,COUNTA(Roster!$A$5:$A$204)),ev_cost/MAX(1,attendees))),"N/A"))</f>
        <v/>
      </c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9.5" customHeight="1">
      <c r="A847" s="47"/>
      <c r="B847" s="48"/>
      <c r="C847" s="48"/>
      <c r="D847" s="48"/>
      <c r="E847" s="48"/>
      <c r="F847" s="51"/>
      <c r="G847" s="48"/>
      <c r="H847" s="48"/>
      <c r="I847" s="48"/>
      <c r="J847" s="42" t="str">
        <f t="array" ref="J847">IF(G847="","",IFERROR(LET(ev_cost,INDEX(Events!$G$5:$G$506,MATCH(G847,Events!$A$5:$A$506,0)),ev_split,INDEX(Events!$I$5:$I$506,MATCH(G847,Events!$A$5:$A$506,0)),att_offset,MATCH(G847,Attendance!$B$3:$AZ$3,0),attendees,COUNTIF(INDEX(Attendance!$B$7:$AZ$206,0,att_offset),"1"),IF(ev_split="Equal Split",ev_cost/MAX(1,COUNTA(Roster!$A$5:$A$204)),ev_cost/MAX(1,attendees))),"N/A"))</f>
        <v/>
      </c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9.5" customHeight="1">
      <c r="A848" s="44"/>
      <c r="B848" s="45"/>
      <c r="C848" s="45"/>
      <c r="D848" s="45"/>
      <c r="E848" s="45"/>
      <c r="F848" s="46"/>
      <c r="G848" s="45"/>
      <c r="H848" s="45"/>
      <c r="I848" s="45"/>
      <c r="J848" s="42" t="str">
        <f t="array" ref="J848">IF(G848="","",IFERROR(LET(ev_cost,INDEX(Events!$G$5:$G$506,MATCH(G848,Events!$A$5:$A$506,0)),ev_split,INDEX(Events!$I$5:$I$506,MATCH(G848,Events!$A$5:$A$506,0)),att_offset,MATCH(G848,Attendance!$B$3:$AZ$3,0),attendees,COUNTIF(INDEX(Attendance!$B$7:$AZ$206,0,att_offset),"1"),IF(ev_split="Equal Split",ev_cost/MAX(1,COUNTA(Roster!$A$5:$A$204)),ev_cost/MAX(1,attendees))),"N/A"))</f>
        <v/>
      </c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9.5" customHeight="1">
      <c r="A849" s="47"/>
      <c r="B849" s="48"/>
      <c r="C849" s="48"/>
      <c r="D849" s="48"/>
      <c r="E849" s="48"/>
      <c r="F849" s="51"/>
      <c r="G849" s="48"/>
      <c r="H849" s="48"/>
      <c r="I849" s="48"/>
      <c r="J849" s="42" t="str">
        <f t="array" ref="J849">IF(G849="","",IFERROR(LET(ev_cost,INDEX(Events!$G$5:$G$506,MATCH(G849,Events!$A$5:$A$506,0)),ev_split,INDEX(Events!$I$5:$I$506,MATCH(G849,Events!$A$5:$A$506,0)),att_offset,MATCH(G849,Attendance!$B$3:$AZ$3,0),attendees,COUNTIF(INDEX(Attendance!$B$7:$AZ$206,0,att_offset),"1"),IF(ev_split="Equal Split",ev_cost/MAX(1,COUNTA(Roster!$A$5:$A$204)),ev_cost/MAX(1,attendees))),"N/A"))</f>
        <v/>
      </c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9.5" customHeight="1">
      <c r="A850" s="44"/>
      <c r="B850" s="45"/>
      <c r="C850" s="45"/>
      <c r="D850" s="45"/>
      <c r="E850" s="45"/>
      <c r="F850" s="46"/>
      <c r="G850" s="45"/>
      <c r="H850" s="45"/>
      <c r="I850" s="45"/>
      <c r="J850" s="42" t="str">
        <f t="array" ref="J850">IF(G850="","",IFERROR(LET(ev_cost,INDEX(Events!$G$5:$G$506,MATCH(G850,Events!$A$5:$A$506,0)),ev_split,INDEX(Events!$I$5:$I$506,MATCH(G850,Events!$A$5:$A$506,0)),att_offset,MATCH(G850,Attendance!$B$3:$AZ$3,0),attendees,COUNTIF(INDEX(Attendance!$B$7:$AZ$206,0,att_offset),"1"),IF(ev_split="Equal Split",ev_cost/MAX(1,COUNTA(Roster!$A$5:$A$204)),ev_cost/MAX(1,attendees))),"N/A"))</f>
        <v/>
      </c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9.5" customHeight="1">
      <c r="A851" s="47"/>
      <c r="B851" s="48"/>
      <c r="C851" s="48"/>
      <c r="D851" s="48"/>
      <c r="E851" s="48"/>
      <c r="F851" s="51"/>
      <c r="G851" s="48"/>
      <c r="H851" s="48"/>
      <c r="I851" s="48"/>
      <c r="J851" s="42" t="str">
        <f t="array" ref="J851">IF(G851="","",IFERROR(LET(ev_cost,INDEX(Events!$G$5:$G$506,MATCH(G851,Events!$A$5:$A$506,0)),ev_split,INDEX(Events!$I$5:$I$506,MATCH(G851,Events!$A$5:$A$506,0)),att_offset,MATCH(G851,Attendance!$B$3:$AZ$3,0),attendees,COUNTIF(INDEX(Attendance!$B$7:$AZ$206,0,att_offset),"1"),IF(ev_split="Equal Split",ev_cost/MAX(1,COUNTA(Roster!$A$5:$A$204)),ev_cost/MAX(1,attendees))),"N/A"))</f>
        <v/>
      </c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9.5" customHeight="1">
      <c r="A852" s="44"/>
      <c r="B852" s="45"/>
      <c r="C852" s="45"/>
      <c r="D852" s="45"/>
      <c r="E852" s="45"/>
      <c r="F852" s="46"/>
      <c r="G852" s="45"/>
      <c r="H852" s="45"/>
      <c r="I852" s="45"/>
      <c r="J852" s="42" t="str">
        <f t="array" ref="J852">IF(G852="","",IFERROR(LET(ev_cost,INDEX(Events!$G$5:$G$506,MATCH(G852,Events!$A$5:$A$506,0)),ev_split,INDEX(Events!$I$5:$I$506,MATCH(G852,Events!$A$5:$A$506,0)),att_offset,MATCH(G852,Attendance!$B$3:$AZ$3,0),attendees,COUNTIF(INDEX(Attendance!$B$7:$AZ$206,0,att_offset),"1"),IF(ev_split="Equal Split",ev_cost/MAX(1,COUNTA(Roster!$A$5:$A$204)),ev_cost/MAX(1,attendees))),"N/A"))</f>
        <v/>
      </c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9.5" customHeight="1">
      <c r="A853" s="47"/>
      <c r="B853" s="48"/>
      <c r="C853" s="48"/>
      <c r="D853" s="48"/>
      <c r="E853" s="48"/>
      <c r="F853" s="51"/>
      <c r="G853" s="48"/>
      <c r="H853" s="48"/>
      <c r="I853" s="48"/>
      <c r="J853" s="42" t="str">
        <f t="array" ref="J853">IF(G853="","",IFERROR(LET(ev_cost,INDEX(Events!$G$5:$G$506,MATCH(G853,Events!$A$5:$A$506,0)),ev_split,INDEX(Events!$I$5:$I$506,MATCH(G853,Events!$A$5:$A$506,0)),att_offset,MATCH(G853,Attendance!$B$3:$AZ$3,0),attendees,COUNTIF(INDEX(Attendance!$B$7:$AZ$206,0,att_offset),"1"),IF(ev_split="Equal Split",ev_cost/MAX(1,COUNTA(Roster!$A$5:$A$204)),ev_cost/MAX(1,attendees))),"N/A"))</f>
        <v/>
      </c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9.5" customHeight="1">
      <c r="A854" s="44"/>
      <c r="B854" s="45"/>
      <c r="C854" s="45"/>
      <c r="D854" s="45"/>
      <c r="E854" s="45"/>
      <c r="F854" s="46"/>
      <c r="G854" s="45"/>
      <c r="H854" s="45"/>
      <c r="I854" s="45"/>
      <c r="J854" s="42" t="str">
        <f t="array" ref="J854">IF(G854="","",IFERROR(LET(ev_cost,INDEX(Events!$G$5:$G$506,MATCH(G854,Events!$A$5:$A$506,0)),ev_split,INDEX(Events!$I$5:$I$506,MATCH(G854,Events!$A$5:$A$506,0)),att_offset,MATCH(G854,Attendance!$B$3:$AZ$3,0),attendees,COUNTIF(INDEX(Attendance!$B$7:$AZ$206,0,att_offset),"1"),IF(ev_split="Equal Split",ev_cost/MAX(1,COUNTA(Roster!$A$5:$A$204)),ev_cost/MAX(1,attendees))),"N/A"))</f>
        <v/>
      </c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9.5" customHeight="1">
      <c r="A855" s="47"/>
      <c r="B855" s="48"/>
      <c r="C855" s="48"/>
      <c r="D855" s="48"/>
      <c r="E855" s="48"/>
      <c r="F855" s="51"/>
      <c r="G855" s="48"/>
      <c r="H855" s="48"/>
      <c r="I855" s="48"/>
      <c r="J855" s="42" t="str">
        <f t="array" ref="J855">IF(G855="","",IFERROR(LET(ev_cost,INDEX(Events!$G$5:$G$506,MATCH(G855,Events!$A$5:$A$506,0)),ev_split,INDEX(Events!$I$5:$I$506,MATCH(G855,Events!$A$5:$A$506,0)),att_offset,MATCH(G855,Attendance!$B$3:$AZ$3,0),attendees,COUNTIF(INDEX(Attendance!$B$7:$AZ$206,0,att_offset),"1"),IF(ev_split="Equal Split",ev_cost/MAX(1,COUNTA(Roster!$A$5:$A$204)),ev_cost/MAX(1,attendees))),"N/A"))</f>
        <v/>
      </c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9.5" customHeight="1">
      <c r="A856" s="44"/>
      <c r="B856" s="45"/>
      <c r="C856" s="45"/>
      <c r="D856" s="45"/>
      <c r="E856" s="45"/>
      <c r="F856" s="46"/>
      <c r="G856" s="45"/>
      <c r="H856" s="45"/>
      <c r="I856" s="45"/>
      <c r="J856" s="42" t="str">
        <f t="array" ref="J856">IF(G856="","",IFERROR(LET(ev_cost,INDEX(Events!$G$5:$G$506,MATCH(G856,Events!$A$5:$A$506,0)),ev_split,INDEX(Events!$I$5:$I$506,MATCH(G856,Events!$A$5:$A$506,0)),att_offset,MATCH(G856,Attendance!$B$3:$AZ$3,0),attendees,COUNTIF(INDEX(Attendance!$B$7:$AZ$206,0,att_offset),"1"),IF(ev_split="Equal Split",ev_cost/MAX(1,COUNTA(Roster!$A$5:$A$204)),ev_cost/MAX(1,attendees))),"N/A"))</f>
        <v/>
      </c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9.5" customHeight="1">
      <c r="A857" s="47"/>
      <c r="B857" s="48"/>
      <c r="C857" s="48"/>
      <c r="D857" s="48"/>
      <c r="E857" s="48"/>
      <c r="F857" s="51"/>
      <c r="G857" s="48"/>
      <c r="H857" s="48"/>
      <c r="I857" s="48"/>
      <c r="J857" s="42" t="str">
        <f t="array" ref="J857">IF(G857="","",IFERROR(LET(ev_cost,INDEX(Events!$G$5:$G$506,MATCH(G857,Events!$A$5:$A$506,0)),ev_split,INDEX(Events!$I$5:$I$506,MATCH(G857,Events!$A$5:$A$506,0)),att_offset,MATCH(G857,Attendance!$B$3:$AZ$3,0),attendees,COUNTIF(INDEX(Attendance!$B$7:$AZ$206,0,att_offset),"1"),IF(ev_split="Equal Split",ev_cost/MAX(1,COUNTA(Roster!$A$5:$A$204)),ev_cost/MAX(1,attendees))),"N/A"))</f>
        <v/>
      </c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9.5" customHeight="1">
      <c r="A858" s="44"/>
      <c r="B858" s="45"/>
      <c r="C858" s="45"/>
      <c r="D858" s="45"/>
      <c r="E858" s="45"/>
      <c r="F858" s="46"/>
      <c r="G858" s="45"/>
      <c r="H858" s="45"/>
      <c r="I858" s="45"/>
      <c r="J858" s="42" t="str">
        <f t="array" ref="J858">IF(G858="","",IFERROR(LET(ev_cost,INDEX(Events!$G$5:$G$506,MATCH(G858,Events!$A$5:$A$506,0)),ev_split,INDEX(Events!$I$5:$I$506,MATCH(G858,Events!$A$5:$A$506,0)),att_offset,MATCH(G858,Attendance!$B$3:$AZ$3,0),attendees,COUNTIF(INDEX(Attendance!$B$7:$AZ$206,0,att_offset),"1"),IF(ev_split="Equal Split",ev_cost/MAX(1,COUNTA(Roster!$A$5:$A$204)),ev_cost/MAX(1,attendees))),"N/A"))</f>
        <v/>
      </c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9.5" customHeight="1">
      <c r="A859" s="47"/>
      <c r="B859" s="48"/>
      <c r="C859" s="48"/>
      <c r="D859" s="48"/>
      <c r="E859" s="48"/>
      <c r="F859" s="51"/>
      <c r="G859" s="48"/>
      <c r="H859" s="48"/>
      <c r="I859" s="48"/>
      <c r="J859" s="42" t="str">
        <f t="array" ref="J859">IF(G859="","",IFERROR(LET(ev_cost,INDEX(Events!$G$5:$G$506,MATCH(G859,Events!$A$5:$A$506,0)),ev_split,INDEX(Events!$I$5:$I$506,MATCH(G859,Events!$A$5:$A$506,0)),att_offset,MATCH(G859,Attendance!$B$3:$AZ$3,0),attendees,COUNTIF(INDEX(Attendance!$B$7:$AZ$206,0,att_offset),"1"),IF(ev_split="Equal Split",ev_cost/MAX(1,COUNTA(Roster!$A$5:$A$204)),ev_cost/MAX(1,attendees))),"N/A"))</f>
        <v/>
      </c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9.5" customHeight="1">
      <c r="A860" s="44"/>
      <c r="B860" s="45"/>
      <c r="C860" s="45"/>
      <c r="D860" s="45"/>
      <c r="E860" s="45"/>
      <c r="F860" s="46"/>
      <c r="G860" s="45"/>
      <c r="H860" s="45"/>
      <c r="I860" s="45"/>
      <c r="J860" s="42" t="str">
        <f t="array" ref="J860">IF(G860="","",IFERROR(LET(ev_cost,INDEX(Events!$G$5:$G$506,MATCH(G860,Events!$A$5:$A$506,0)),ev_split,INDEX(Events!$I$5:$I$506,MATCH(G860,Events!$A$5:$A$506,0)),att_offset,MATCH(G860,Attendance!$B$3:$AZ$3,0),attendees,COUNTIF(INDEX(Attendance!$B$7:$AZ$206,0,att_offset),"1"),IF(ev_split="Equal Split",ev_cost/MAX(1,COUNTA(Roster!$A$5:$A$204)),ev_cost/MAX(1,attendees))),"N/A"))</f>
        <v/>
      </c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9.5" customHeight="1">
      <c r="A861" s="47"/>
      <c r="B861" s="48"/>
      <c r="C861" s="48"/>
      <c r="D861" s="48"/>
      <c r="E861" s="48"/>
      <c r="F861" s="51"/>
      <c r="G861" s="48"/>
      <c r="H861" s="48"/>
      <c r="I861" s="48"/>
      <c r="J861" s="42" t="str">
        <f t="array" ref="J861">IF(G861="","",IFERROR(LET(ev_cost,INDEX(Events!$G$5:$G$506,MATCH(G861,Events!$A$5:$A$506,0)),ev_split,INDEX(Events!$I$5:$I$506,MATCH(G861,Events!$A$5:$A$506,0)),att_offset,MATCH(G861,Attendance!$B$3:$AZ$3,0),attendees,COUNTIF(INDEX(Attendance!$B$7:$AZ$206,0,att_offset),"1"),IF(ev_split="Equal Split",ev_cost/MAX(1,COUNTA(Roster!$A$5:$A$204)),ev_cost/MAX(1,attendees))),"N/A"))</f>
        <v/>
      </c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9.5" customHeight="1">
      <c r="A862" s="44"/>
      <c r="B862" s="45"/>
      <c r="C862" s="45"/>
      <c r="D862" s="45"/>
      <c r="E862" s="45"/>
      <c r="F862" s="46"/>
      <c r="G862" s="45"/>
      <c r="H862" s="45"/>
      <c r="I862" s="45"/>
      <c r="J862" s="42" t="str">
        <f t="array" ref="J862">IF(G862="","",IFERROR(LET(ev_cost,INDEX(Events!$G$5:$G$506,MATCH(G862,Events!$A$5:$A$506,0)),ev_split,INDEX(Events!$I$5:$I$506,MATCH(G862,Events!$A$5:$A$506,0)),att_offset,MATCH(G862,Attendance!$B$3:$AZ$3,0),attendees,COUNTIF(INDEX(Attendance!$B$7:$AZ$206,0,att_offset),"1"),IF(ev_split="Equal Split",ev_cost/MAX(1,COUNTA(Roster!$A$5:$A$204)),ev_cost/MAX(1,attendees))),"N/A"))</f>
        <v/>
      </c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9.5" customHeight="1">
      <c r="A863" s="47"/>
      <c r="B863" s="48"/>
      <c r="C863" s="48"/>
      <c r="D863" s="48"/>
      <c r="E863" s="48"/>
      <c r="F863" s="51"/>
      <c r="G863" s="48"/>
      <c r="H863" s="48"/>
      <c r="I863" s="48"/>
      <c r="J863" s="42" t="str">
        <f t="array" ref="J863">IF(G863="","",IFERROR(LET(ev_cost,INDEX(Events!$G$5:$G$506,MATCH(G863,Events!$A$5:$A$506,0)),ev_split,INDEX(Events!$I$5:$I$506,MATCH(G863,Events!$A$5:$A$506,0)),att_offset,MATCH(G863,Attendance!$B$3:$AZ$3,0),attendees,COUNTIF(INDEX(Attendance!$B$7:$AZ$206,0,att_offset),"1"),IF(ev_split="Equal Split",ev_cost/MAX(1,COUNTA(Roster!$A$5:$A$204)),ev_cost/MAX(1,attendees))),"N/A"))</f>
        <v/>
      </c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9.5" customHeight="1">
      <c r="A864" s="44"/>
      <c r="B864" s="45"/>
      <c r="C864" s="45"/>
      <c r="D864" s="45"/>
      <c r="E864" s="45"/>
      <c r="F864" s="46"/>
      <c r="G864" s="45"/>
      <c r="H864" s="45"/>
      <c r="I864" s="45"/>
      <c r="J864" s="42" t="str">
        <f t="array" ref="J864">IF(G864="","",IFERROR(LET(ev_cost,INDEX(Events!$G$5:$G$506,MATCH(G864,Events!$A$5:$A$506,0)),ev_split,INDEX(Events!$I$5:$I$506,MATCH(G864,Events!$A$5:$A$506,0)),att_offset,MATCH(G864,Attendance!$B$3:$AZ$3,0),attendees,COUNTIF(INDEX(Attendance!$B$7:$AZ$206,0,att_offset),"1"),IF(ev_split="Equal Split",ev_cost/MAX(1,COUNTA(Roster!$A$5:$A$204)),ev_cost/MAX(1,attendees))),"N/A"))</f>
        <v/>
      </c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9.5" customHeight="1">
      <c r="A865" s="47"/>
      <c r="B865" s="48"/>
      <c r="C865" s="48"/>
      <c r="D865" s="48"/>
      <c r="E865" s="48"/>
      <c r="F865" s="51"/>
      <c r="G865" s="48"/>
      <c r="H865" s="48"/>
      <c r="I865" s="48"/>
      <c r="J865" s="42" t="str">
        <f t="array" ref="J865">IF(G865="","",IFERROR(LET(ev_cost,INDEX(Events!$G$5:$G$506,MATCH(G865,Events!$A$5:$A$506,0)),ev_split,INDEX(Events!$I$5:$I$506,MATCH(G865,Events!$A$5:$A$506,0)),att_offset,MATCH(G865,Attendance!$B$3:$AZ$3,0),attendees,COUNTIF(INDEX(Attendance!$B$7:$AZ$206,0,att_offset),"1"),IF(ev_split="Equal Split",ev_cost/MAX(1,COUNTA(Roster!$A$5:$A$204)),ev_cost/MAX(1,attendees))),"N/A"))</f>
        <v/>
      </c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9.5" customHeight="1">
      <c r="A866" s="44"/>
      <c r="B866" s="45"/>
      <c r="C866" s="45"/>
      <c r="D866" s="45"/>
      <c r="E866" s="45"/>
      <c r="F866" s="46"/>
      <c r="G866" s="45"/>
      <c r="H866" s="45"/>
      <c r="I866" s="45"/>
      <c r="J866" s="42" t="str">
        <f t="array" ref="J866">IF(G866="","",IFERROR(LET(ev_cost,INDEX(Events!$G$5:$G$506,MATCH(G866,Events!$A$5:$A$506,0)),ev_split,INDEX(Events!$I$5:$I$506,MATCH(G866,Events!$A$5:$A$506,0)),att_offset,MATCH(G866,Attendance!$B$3:$AZ$3,0),attendees,COUNTIF(INDEX(Attendance!$B$7:$AZ$206,0,att_offset),"1"),IF(ev_split="Equal Split",ev_cost/MAX(1,COUNTA(Roster!$A$5:$A$204)),ev_cost/MAX(1,attendees))),"N/A"))</f>
        <v/>
      </c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9.5" customHeight="1">
      <c r="A867" s="47"/>
      <c r="B867" s="48"/>
      <c r="C867" s="48"/>
      <c r="D867" s="48"/>
      <c r="E867" s="48"/>
      <c r="F867" s="51"/>
      <c r="G867" s="48"/>
      <c r="H867" s="48"/>
      <c r="I867" s="48"/>
      <c r="J867" s="42" t="str">
        <f t="array" ref="J867">IF(G867="","",IFERROR(LET(ev_cost,INDEX(Events!$G$5:$G$506,MATCH(G867,Events!$A$5:$A$506,0)),ev_split,INDEX(Events!$I$5:$I$506,MATCH(G867,Events!$A$5:$A$506,0)),att_offset,MATCH(G867,Attendance!$B$3:$AZ$3,0),attendees,COUNTIF(INDEX(Attendance!$B$7:$AZ$206,0,att_offset),"1"),IF(ev_split="Equal Split",ev_cost/MAX(1,COUNTA(Roster!$A$5:$A$204)),ev_cost/MAX(1,attendees))),"N/A"))</f>
        <v/>
      </c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9.5" customHeight="1">
      <c r="A868" s="44"/>
      <c r="B868" s="45"/>
      <c r="C868" s="45"/>
      <c r="D868" s="45"/>
      <c r="E868" s="45"/>
      <c r="F868" s="46"/>
      <c r="G868" s="45"/>
      <c r="H868" s="45"/>
      <c r="I868" s="45"/>
      <c r="J868" s="42" t="str">
        <f t="array" ref="J868">IF(G868="","",IFERROR(LET(ev_cost,INDEX(Events!$G$5:$G$506,MATCH(G868,Events!$A$5:$A$506,0)),ev_split,INDEX(Events!$I$5:$I$506,MATCH(G868,Events!$A$5:$A$506,0)),att_offset,MATCH(G868,Attendance!$B$3:$AZ$3,0),attendees,COUNTIF(INDEX(Attendance!$B$7:$AZ$206,0,att_offset),"1"),IF(ev_split="Equal Split",ev_cost/MAX(1,COUNTA(Roster!$A$5:$A$204)),ev_cost/MAX(1,attendees))),"N/A"))</f>
        <v/>
      </c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9.5" customHeight="1">
      <c r="A869" s="47"/>
      <c r="B869" s="48"/>
      <c r="C869" s="48"/>
      <c r="D869" s="48"/>
      <c r="E869" s="48"/>
      <c r="F869" s="51"/>
      <c r="G869" s="48"/>
      <c r="H869" s="48"/>
      <c r="I869" s="48"/>
      <c r="J869" s="42" t="str">
        <f t="array" ref="J869">IF(G869="","",IFERROR(LET(ev_cost,INDEX(Events!$G$5:$G$506,MATCH(G869,Events!$A$5:$A$506,0)),ev_split,INDEX(Events!$I$5:$I$506,MATCH(G869,Events!$A$5:$A$506,0)),att_offset,MATCH(G869,Attendance!$B$3:$AZ$3,0),attendees,COUNTIF(INDEX(Attendance!$B$7:$AZ$206,0,att_offset),"1"),IF(ev_split="Equal Split",ev_cost/MAX(1,COUNTA(Roster!$A$5:$A$204)),ev_cost/MAX(1,attendees))),"N/A"))</f>
        <v/>
      </c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9.5" customHeight="1">
      <c r="A870" s="44"/>
      <c r="B870" s="45"/>
      <c r="C870" s="45"/>
      <c r="D870" s="45"/>
      <c r="E870" s="45"/>
      <c r="F870" s="46"/>
      <c r="G870" s="45"/>
      <c r="H870" s="45"/>
      <c r="I870" s="45"/>
      <c r="J870" s="42" t="str">
        <f t="array" ref="J870">IF(G870="","",IFERROR(LET(ev_cost,INDEX(Events!$G$5:$G$506,MATCH(G870,Events!$A$5:$A$506,0)),ev_split,INDEX(Events!$I$5:$I$506,MATCH(G870,Events!$A$5:$A$506,0)),att_offset,MATCH(G870,Attendance!$B$3:$AZ$3,0),attendees,COUNTIF(INDEX(Attendance!$B$7:$AZ$206,0,att_offset),"1"),IF(ev_split="Equal Split",ev_cost/MAX(1,COUNTA(Roster!$A$5:$A$204)),ev_cost/MAX(1,attendees))),"N/A"))</f>
        <v/>
      </c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9.5" customHeight="1">
      <c r="A871" s="47"/>
      <c r="B871" s="48"/>
      <c r="C871" s="48"/>
      <c r="D871" s="48"/>
      <c r="E871" s="48"/>
      <c r="F871" s="51"/>
      <c r="G871" s="48"/>
      <c r="H871" s="48"/>
      <c r="I871" s="48"/>
      <c r="J871" s="42" t="str">
        <f t="array" ref="J871">IF(G871="","",IFERROR(LET(ev_cost,INDEX(Events!$G$5:$G$506,MATCH(G871,Events!$A$5:$A$506,0)),ev_split,INDEX(Events!$I$5:$I$506,MATCH(G871,Events!$A$5:$A$506,0)),att_offset,MATCH(G871,Attendance!$B$3:$AZ$3,0),attendees,COUNTIF(INDEX(Attendance!$B$7:$AZ$206,0,att_offset),"1"),IF(ev_split="Equal Split",ev_cost/MAX(1,COUNTA(Roster!$A$5:$A$204)),ev_cost/MAX(1,attendees))),"N/A"))</f>
        <v/>
      </c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9.5" customHeight="1">
      <c r="A872" s="44"/>
      <c r="B872" s="45"/>
      <c r="C872" s="45"/>
      <c r="D872" s="45"/>
      <c r="E872" s="45"/>
      <c r="F872" s="46"/>
      <c r="G872" s="45"/>
      <c r="H872" s="45"/>
      <c r="I872" s="45"/>
      <c r="J872" s="42" t="str">
        <f t="array" ref="J872">IF(G872="","",IFERROR(LET(ev_cost,INDEX(Events!$G$5:$G$506,MATCH(G872,Events!$A$5:$A$506,0)),ev_split,INDEX(Events!$I$5:$I$506,MATCH(G872,Events!$A$5:$A$506,0)),att_offset,MATCH(G872,Attendance!$B$3:$AZ$3,0),attendees,COUNTIF(INDEX(Attendance!$B$7:$AZ$206,0,att_offset),"1"),IF(ev_split="Equal Split",ev_cost/MAX(1,COUNTA(Roster!$A$5:$A$204)),ev_cost/MAX(1,attendees))),"N/A"))</f>
        <v/>
      </c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9.5" customHeight="1">
      <c r="A873" s="47"/>
      <c r="B873" s="48"/>
      <c r="C873" s="48"/>
      <c r="D873" s="48"/>
      <c r="E873" s="48"/>
      <c r="F873" s="51"/>
      <c r="G873" s="48"/>
      <c r="H873" s="48"/>
      <c r="I873" s="48"/>
      <c r="J873" s="42" t="str">
        <f t="array" ref="J873">IF(G873="","",IFERROR(LET(ev_cost,INDEX(Events!$G$5:$G$506,MATCH(G873,Events!$A$5:$A$506,0)),ev_split,INDEX(Events!$I$5:$I$506,MATCH(G873,Events!$A$5:$A$506,0)),att_offset,MATCH(G873,Attendance!$B$3:$AZ$3,0),attendees,COUNTIF(INDEX(Attendance!$B$7:$AZ$206,0,att_offset),"1"),IF(ev_split="Equal Split",ev_cost/MAX(1,COUNTA(Roster!$A$5:$A$204)),ev_cost/MAX(1,attendees))),"N/A"))</f>
        <v/>
      </c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9.5" customHeight="1">
      <c r="A874" s="44"/>
      <c r="B874" s="45"/>
      <c r="C874" s="45"/>
      <c r="D874" s="45"/>
      <c r="E874" s="45"/>
      <c r="F874" s="46"/>
      <c r="G874" s="45"/>
      <c r="H874" s="45"/>
      <c r="I874" s="45"/>
      <c r="J874" s="42" t="str">
        <f t="array" ref="J874">IF(G874="","",IFERROR(LET(ev_cost,INDEX(Events!$G$5:$G$506,MATCH(G874,Events!$A$5:$A$506,0)),ev_split,INDEX(Events!$I$5:$I$506,MATCH(G874,Events!$A$5:$A$506,0)),att_offset,MATCH(G874,Attendance!$B$3:$AZ$3,0),attendees,COUNTIF(INDEX(Attendance!$B$7:$AZ$206,0,att_offset),"1"),IF(ev_split="Equal Split",ev_cost/MAX(1,COUNTA(Roster!$A$5:$A$204)),ev_cost/MAX(1,attendees))),"N/A"))</f>
        <v/>
      </c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9.5" customHeight="1">
      <c r="A875" s="47"/>
      <c r="B875" s="48"/>
      <c r="C875" s="48"/>
      <c r="D875" s="48"/>
      <c r="E875" s="48"/>
      <c r="F875" s="51"/>
      <c r="G875" s="48"/>
      <c r="H875" s="48"/>
      <c r="I875" s="48"/>
      <c r="J875" s="42" t="str">
        <f t="array" ref="J875">IF(G875="","",IFERROR(LET(ev_cost,INDEX(Events!$G$5:$G$506,MATCH(G875,Events!$A$5:$A$506,0)),ev_split,INDEX(Events!$I$5:$I$506,MATCH(G875,Events!$A$5:$A$506,0)),att_offset,MATCH(G875,Attendance!$B$3:$AZ$3,0),attendees,COUNTIF(INDEX(Attendance!$B$7:$AZ$206,0,att_offset),"1"),IF(ev_split="Equal Split",ev_cost/MAX(1,COUNTA(Roster!$A$5:$A$204)),ev_cost/MAX(1,attendees))),"N/A"))</f>
        <v/>
      </c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9.5" customHeight="1">
      <c r="A876" s="44"/>
      <c r="B876" s="45"/>
      <c r="C876" s="45"/>
      <c r="D876" s="45"/>
      <c r="E876" s="45"/>
      <c r="F876" s="46"/>
      <c r="G876" s="45"/>
      <c r="H876" s="45"/>
      <c r="I876" s="45"/>
      <c r="J876" s="42" t="str">
        <f t="array" ref="J876">IF(G876="","",IFERROR(LET(ev_cost,INDEX(Events!$G$5:$G$506,MATCH(G876,Events!$A$5:$A$506,0)),ev_split,INDEX(Events!$I$5:$I$506,MATCH(G876,Events!$A$5:$A$506,0)),att_offset,MATCH(G876,Attendance!$B$3:$AZ$3,0),attendees,COUNTIF(INDEX(Attendance!$B$7:$AZ$206,0,att_offset),"1"),IF(ev_split="Equal Split",ev_cost/MAX(1,COUNTA(Roster!$A$5:$A$204)),ev_cost/MAX(1,attendees))),"N/A"))</f>
        <v/>
      </c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9.5" customHeight="1">
      <c r="A877" s="47"/>
      <c r="B877" s="48"/>
      <c r="C877" s="48"/>
      <c r="D877" s="48"/>
      <c r="E877" s="48"/>
      <c r="F877" s="51"/>
      <c r="G877" s="48"/>
      <c r="H877" s="48"/>
      <c r="I877" s="48"/>
      <c r="J877" s="42" t="str">
        <f t="array" ref="J877">IF(G877="","",IFERROR(LET(ev_cost,INDEX(Events!$G$5:$G$506,MATCH(G877,Events!$A$5:$A$506,0)),ev_split,INDEX(Events!$I$5:$I$506,MATCH(G877,Events!$A$5:$A$506,0)),att_offset,MATCH(G877,Attendance!$B$3:$AZ$3,0),attendees,COUNTIF(INDEX(Attendance!$B$7:$AZ$206,0,att_offset),"1"),IF(ev_split="Equal Split",ev_cost/MAX(1,COUNTA(Roster!$A$5:$A$204)),ev_cost/MAX(1,attendees))),"N/A"))</f>
        <v/>
      </c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9.5" customHeight="1">
      <c r="A878" s="44"/>
      <c r="B878" s="45"/>
      <c r="C878" s="45"/>
      <c r="D878" s="45"/>
      <c r="E878" s="45"/>
      <c r="F878" s="46"/>
      <c r="G878" s="45"/>
      <c r="H878" s="45"/>
      <c r="I878" s="45"/>
      <c r="J878" s="42" t="str">
        <f t="array" ref="J878">IF(G878="","",IFERROR(LET(ev_cost,INDEX(Events!$G$5:$G$506,MATCH(G878,Events!$A$5:$A$506,0)),ev_split,INDEX(Events!$I$5:$I$506,MATCH(G878,Events!$A$5:$A$506,0)),att_offset,MATCH(G878,Attendance!$B$3:$AZ$3,0),attendees,COUNTIF(INDEX(Attendance!$B$7:$AZ$206,0,att_offset),"1"),IF(ev_split="Equal Split",ev_cost/MAX(1,COUNTA(Roster!$A$5:$A$204)),ev_cost/MAX(1,attendees))),"N/A"))</f>
        <v/>
      </c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9.5" customHeight="1">
      <c r="A879" s="47"/>
      <c r="B879" s="48"/>
      <c r="C879" s="48"/>
      <c r="D879" s="48"/>
      <c r="E879" s="48"/>
      <c r="F879" s="51"/>
      <c r="G879" s="48"/>
      <c r="H879" s="48"/>
      <c r="I879" s="48"/>
      <c r="J879" s="42" t="str">
        <f t="array" ref="J879">IF(G879="","",IFERROR(LET(ev_cost,INDEX(Events!$G$5:$G$506,MATCH(G879,Events!$A$5:$A$506,0)),ev_split,INDEX(Events!$I$5:$I$506,MATCH(G879,Events!$A$5:$A$506,0)),att_offset,MATCH(G879,Attendance!$B$3:$AZ$3,0),attendees,COUNTIF(INDEX(Attendance!$B$7:$AZ$206,0,att_offset),"1"),IF(ev_split="Equal Split",ev_cost/MAX(1,COUNTA(Roster!$A$5:$A$204)),ev_cost/MAX(1,attendees))),"N/A"))</f>
        <v/>
      </c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9.5" customHeight="1">
      <c r="A880" s="44"/>
      <c r="B880" s="45"/>
      <c r="C880" s="45"/>
      <c r="D880" s="45"/>
      <c r="E880" s="45"/>
      <c r="F880" s="46"/>
      <c r="G880" s="45"/>
      <c r="H880" s="45"/>
      <c r="I880" s="45"/>
      <c r="J880" s="42" t="str">
        <f t="array" ref="J880">IF(G880="","",IFERROR(LET(ev_cost,INDEX(Events!$G$5:$G$506,MATCH(G880,Events!$A$5:$A$506,0)),ev_split,INDEX(Events!$I$5:$I$506,MATCH(G880,Events!$A$5:$A$506,0)),att_offset,MATCH(G880,Attendance!$B$3:$AZ$3,0),attendees,COUNTIF(INDEX(Attendance!$B$7:$AZ$206,0,att_offset),"1"),IF(ev_split="Equal Split",ev_cost/MAX(1,COUNTA(Roster!$A$5:$A$204)),ev_cost/MAX(1,attendees))),"N/A"))</f>
        <v/>
      </c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9.5" customHeight="1">
      <c r="A881" s="47"/>
      <c r="B881" s="48"/>
      <c r="C881" s="48"/>
      <c r="D881" s="48"/>
      <c r="E881" s="48"/>
      <c r="F881" s="51"/>
      <c r="G881" s="48"/>
      <c r="H881" s="48"/>
      <c r="I881" s="48"/>
      <c r="J881" s="42" t="str">
        <f t="array" ref="J881">IF(G881="","",IFERROR(LET(ev_cost,INDEX(Events!$G$5:$G$506,MATCH(G881,Events!$A$5:$A$506,0)),ev_split,INDEX(Events!$I$5:$I$506,MATCH(G881,Events!$A$5:$A$506,0)),att_offset,MATCH(G881,Attendance!$B$3:$AZ$3,0),attendees,COUNTIF(INDEX(Attendance!$B$7:$AZ$206,0,att_offset),"1"),IF(ev_split="Equal Split",ev_cost/MAX(1,COUNTA(Roster!$A$5:$A$204)),ev_cost/MAX(1,attendees))),"N/A"))</f>
        <v/>
      </c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9.5" customHeight="1">
      <c r="A882" s="44"/>
      <c r="B882" s="45"/>
      <c r="C882" s="45"/>
      <c r="D882" s="45"/>
      <c r="E882" s="45"/>
      <c r="F882" s="46"/>
      <c r="G882" s="45"/>
      <c r="H882" s="45"/>
      <c r="I882" s="45"/>
      <c r="J882" s="42" t="str">
        <f t="array" ref="J882">IF(G882="","",IFERROR(LET(ev_cost,INDEX(Events!$G$5:$G$506,MATCH(G882,Events!$A$5:$A$506,0)),ev_split,INDEX(Events!$I$5:$I$506,MATCH(G882,Events!$A$5:$A$506,0)),att_offset,MATCH(G882,Attendance!$B$3:$AZ$3,0),attendees,COUNTIF(INDEX(Attendance!$B$7:$AZ$206,0,att_offset),"1"),IF(ev_split="Equal Split",ev_cost/MAX(1,COUNTA(Roster!$A$5:$A$204)),ev_cost/MAX(1,attendees))),"N/A"))</f>
        <v/>
      </c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9.5" customHeight="1">
      <c r="A883" s="47"/>
      <c r="B883" s="48"/>
      <c r="C883" s="48"/>
      <c r="D883" s="48"/>
      <c r="E883" s="48"/>
      <c r="F883" s="51"/>
      <c r="G883" s="48"/>
      <c r="H883" s="48"/>
      <c r="I883" s="48"/>
      <c r="J883" s="42" t="str">
        <f t="array" ref="J883">IF(G883="","",IFERROR(LET(ev_cost,INDEX(Events!$G$5:$G$506,MATCH(G883,Events!$A$5:$A$506,0)),ev_split,INDEX(Events!$I$5:$I$506,MATCH(G883,Events!$A$5:$A$506,0)),att_offset,MATCH(G883,Attendance!$B$3:$AZ$3,0),attendees,COUNTIF(INDEX(Attendance!$B$7:$AZ$206,0,att_offset),"1"),IF(ev_split="Equal Split",ev_cost/MAX(1,COUNTA(Roster!$A$5:$A$204)),ev_cost/MAX(1,attendees))),"N/A"))</f>
        <v/>
      </c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9.5" customHeight="1">
      <c r="A884" s="44"/>
      <c r="B884" s="45"/>
      <c r="C884" s="45"/>
      <c r="D884" s="45"/>
      <c r="E884" s="45"/>
      <c r="F884" s="46"/>
      <c r="G884" s="45"/>
      <c r="H884" s="45"/>
      <c r="I884" s="45"/>
      <c r="J884" s="42" t="str">
        <f t="array" ref="J884">IF(G884="","",IFERROR(LET(ev_cost,INDEX(Events!$G$5:$G$506,MATCH(G884,Events!$A$5:$A$506,0)),ev_split,INDEX(Events!$I$5:$I$506,MATCH(G884,Events!$A$5:$A$506,0)),att_offset,MATCH(G884,Attendance!$B$3:$AZ$3,0),attendees,COUNTIF(INDEX(Attendance!$B$7:$AZ$206,0,att_offset),"1"),IF(ev_split="Equal Split",ev_cost/MAX(1,COUNTA(Roster!$A$5:$A$204)),ev_cost/MAX(1,attendees))),"N/A"))</f>
        <v/>
      </c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9.5" customHeight="1">
      <c r="A885" s="47"/>
      <c r="B885" s="48"/>
      <c r="C885" s="48"/>
      <c r="D885" s="48"/>
      <c r="E885" s="48"/>
      <c r="F885" s="51"/>
      <c r="G885" s="48"/>
      <c r="H885" s="48"/>
      <c r="I885" s="48"/>
      <c r="J885" s="42" t="str">
        <f t="array" ref="J885">IF(G885="","",IFERROR(LET(ev_cost,INDEX(Events!$G$5:$G$506,MATCH(G885,Events!$A$5:$A$506,0)),ev_split,INDEX(Events!$I$5:$I$506,MATCH(G885,Events!$A$5:$A$506,0)),att_offset,MATCH(G885,Attendance!$B$3:$AZ$3,0),attendees,COUNTIF(INDEX(Attendance!$B$7:$AZ$206,0,att_offset),"1"),IF(ev_split="Equal Split",ev_cost/MAX(1,COUNTA(Roster!$A$5:$A$204)),ev_cost/MAX(1,attendees))),"N/A"))</f>
        <v/>
      </c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9.5" customHeight="1">
      <c r="A886" s="44"/>
      <c r="B886" s="45"/>
      <c r="C886" s="45"/>
      <c r="D886" s="45"/>
      <c r="E886" s="45"/>
      <c r="F886" s="46"/>
      <c r="G886" s="45"/>
      <c r="H886" s="45"/>
      <c r="I886" s="45"/>
      <c r="J886" s="42" t="str">
        <f t="array" ref="J886">IF(G886="","",IFERROR(LET(ev_cost,INDEX(Events!$G$5:$G$506,MATCH(G886,Events!$A$5:$A$506,0)),ev_split,INDEX(Events!$I$5:$I$506,MATCH(G886,Events!$A$5:$A$506,0)),att_offset,MATCH(G886,Attendance!$B$3:$AZ$3,0),attendees,COUNTIF(INDEX(Attendance!$B$7:$AZ$206,0,att_offset),"1"),IF(ev_split="Equal Split",ev_cost/MAX(1,COUNTA(Roster!$A$5:$A$204)),ev_cost/MAX(1,attendees))),"N/A"))</f>
        <v/>
      </c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9.5" customHeight="1">
      <c r="A887" s="47"/>
      <c r="B887" s="48"/>
      <c r="C887" s="48"/>
      <c r="D887" s="48"/>
      <c r="E887" s="48"/>
      <c r="F887" s="51"/>
      <c r="G887" s="48"/>
      <c r="H887" s="48"/>
      <c r="I887" s="48"/>
      <c r="J887" s="42" t="str">
        <f t="array" ref="J887">IF(G887="","",IFERROR(LET(ev_cost,INDEX(Events!$G$5:$G$506,MATCH(G887,Events!$A$5:$A$506,0)),ev_split,INDEX(Events!$I$5:$I$506,MATCH(G887,Events!$A$5:$A$506,0)),att_offset,MATCH(G887,Attendance!$B$3:$AZ$3,0),attendees,COUNTIF(INDEX(Attendance!$B$7:$AZ$206,0,att_offset),"1"),IF(ev_split="Equal Split",ev_cost/MAX(1,COUNTA(Roster!$A$5:$A$204)),ev_cost/MAX(1,attendees))),"N/A"))</f>
        <v/>
      </c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9.5" customHeight="1">
      <c r="A888" s="44"/>
      <c r="B888" s="45"/>
      <c r="C888" s="45"/>
      <c r="D888" s="45"/>
      <c r="E888" s="45"/>
      <c r="F888" s="46"/>
      <c r="G888" s="45"/>
      <c r="H888" s="45"/>
      <c r="I888" s="45"/>
      <c r="J888" s="42" t="str">
        <f t="array" ref="J888">IF(G888="","",IFERROR(LET(ev_cost,INDEX(Events!$G$5:$G$506,MATCH(G888,Events!$A$5:$A$506,0)),ev_split,INDEX(Events!$I$5:$I$506,MATCH(G888,Events!$A$5:$A$506,0)),att_offset,MATCH(G888,Attendance!$B$3:$AZ$3,0),attendees,COUNTIF(INDEX(Attendance!$B$7:$AZ$206,0,att_offset),"1"),IF(ev_split="Equal Split",ev_cost/MAX(1,COUNTA(Roster!$A$5:$A$204)),ev_cost/MAX(1,attendees))),"N/A"))</f>
        <v/>
      </c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9.5" customHeight="1">
      <c r="A889" s="47"/>
      <c r="B889" s="48"/>
      <c r="C889" s="48"/>
      <c r="D889" s="48"/>
      <c r="E889" s="48"/>
      <c r="F889" s="51"/>
      <c r="G889" s="48"/>
      <c r="H889" s="48"/>
      <c r="I889" s="48"/>
      <c r="J889" s="42" t="str">
        <f t="array" ref="J889">IF(G889="","",IFERROR(LET(ev_cost,INDEX(Events!$G$5:$G$506,MATCH(G889,Events!$A$5:$A$506,0)),ev_split,INDEX(Events!$I$5:$I$506,MATCH(G889,Events!$A$5:$A$506,0)),att_offset,MATCH(G889,Attendance!$B$3:$AZ$3,0),attendees,COUNTIF(INDEX(Attendance!$B$7:$AZ$206,0,att_offset),"1"),IF(ev_split="Equal Split",ev_cost/MAX(1,COUNTA(Roster!$A$5:$A$204)),ev_cost/MAX(1,attendees))),"N/A"))</f>
        <v/>
      </c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9.5" customHeight="1">
      <c r="A890" s="44"/>
      <c r="B890" s="45"/>
      <c r="C890" s="45"/>
      <c r="D890" s="45"/>
      <c r="E890" s="45"/>
      <c r="F890" s="46"/>
      <c r="G890" s="45"/>
      <c r="H890" s="45"/>
      <c r="I890" s="45"/>
      <c r="J890" s="42" t="str">
        <f t="array" ref="J890">IF(G890="","",IFERROR(LET(ev_cost,INDEX(Events!$G$5:$G$506,MATCH(G890,Events!$A$5:$A$506,0)),ev_split,INDEX(Events!$I$5:$I$506,MATCH(G890,Events!$A$5:$A$506,0)),att_offset,MATCH(G890,Attendance!$B$3:$AZ$3,0),attendees,COUNTIF(INDEX(Attendance!$B$7:$AZ$206,0,att_offset),"1"),IF(ev_split="Equal Split",ev_cost/MAX(1,COUNTA(Roster!$A$5:$A$204)),ev_cost/MAX(1,attendees))),"N/A"))</f>
        <v/>
      </c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9.5" customHeight="1">
      <c r="A891" s="47"/>
      <c r="B891" s="48"/>
      <c r="C891" s="48"/>
      <c r="D891" s="48"/>
      <c r="E891" s="48"/>
      <c r="F891" s="51"/>
      <c r="G891" s="48"/>
      <c r="H891" s="48"/>
      <c r="I891" s="48"/>
      <c r="J891" s="42" t="str">
        <f t="array" ref="J891">IF(G891="","",IFERROR(LET(ev_cost,INDEX(Events!$G$5:$G$506,MATCH(G891,Events!$A$5:$A$506,0)),ev_split,INDEX(Events!$I$5:$I$506,MATCH(G891,Events!$A$5:$A$506,0)),att_offset,MATCH(G891,Attendance!$B$3:$AZ$3,0),attendees,COUNTIF(INDEX(Attendance!$B$7:$AZ$206,0,att_offset),"1"),IF(ev_split="Equal Split",ev_cost/MAX(1,COUNTA(Roster!$A$5:$A$204)),ev_cost/MAX(1,attendees))),"N/A"))</f>
        <v/>
      </c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9.5" customHeight="1">
      <c r="A892" s="44"/>
      <c r="B892" s="45"/>
      <c r="C892" s="45"/>
      <c r="D892" s="45"/>
      <c r="E892" s="45"/>
      <c r="F892" s="46"/>
      <c r="G892" s="45"/>
      <c r="H892" s="45"/>
      <c r="I892" s="45"/>
      <c r="J892" s="42" t="str">
        <f t="array" ref="J892">IF(G892="","",IFERROR(LET(ev_cost,INDEX(Events!$G$5:$G$506,MATCH(G892,Events!$A$5:$A$506,0)),ev_split,INDEX(Events!$I$5:$I$506,MATCH(G892,Events!$A$5:$A$506,0)),att_offset,MATCH(G892,Attendance!$B$3:$AZ$3,0),attendees,COUNTIF(INDEX(Attendance!$B$7:$AZ$206,0,att_offset),"1"),IF(ev_split="Equal Split",ev_cost/MAX(1,COUNTA(Roster!$A$5:$A$204)),ev_cost/MAX(1,attendees))),"N/A"))</f>
        <v/>
      </c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9.5" customHeight="1">
      <c r="A893" s="47"/>
      <c r="B893" s="48"/>
      <c r="C893" s="48"/>
      <c r="D893" s="48"/>
      <c r="E893" s="48"/>
      <c r="F893" s="51"/>
      <c r="G893" s="48"/>
      <c r="H893" s="48"/>
      <c r="I893" s="48"/>
      <c r="J893" s="42" t="str">
        <f t="array" ref="J893">IF(G893="","",IFERROR(LET(ev_cost,INDEX(Events!$G$5:$G$506,MATCH(G893,Events!$A$5:$A$506,0)),ev_split,INDEX(Events!$I$5:$I$506,MATCH(G893,Events!$A$5:$A$506,0)),att_offset,MATCH(G893,Attendance!$B$3:$AZ$3,0),attendees,COUNTIF(INDEX(Attendance!$B$7:$AZ$206,0,att_offset),"1"),IF(ev_split="Equal Split",ev_cost/MAX(1,COUNTA(Roster!$A$5:$A$204)),ev_cost/MAX(1,attendees))),"N/A"))</f>
        <v/>
      </c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9.5" customHeight="1">
      <c r="A894" s="44"/>
      <c r="B894" s="45"/>
      <c r="C894" s="45"/>
      <c r="D894" s="45"/>
      <c r="E894" s="45"/>
      <c r="F894" s="46"/>
      <c r="G894" s="45"/>
      <c r="H894" s="45"/>
      <c r="I894" s="45"/>
      <c r="J894" s="42" t="str">
        <f t="array" ref="J894">IF(G894="","",IFERROR(LET(ev_cost,INDEX(Events!$G$5:$G$506,MATCH(G894,Events!$A$5:$A$506,0)),ev_split,INDEX(Events!$I$5:$I$506,MATCH(G894,Events!$A$5:$A$506,0)),att_offset,MATCH(G894,Attendance!$B$3:$AZ$3,0),attendees,COUNTIF(INDEX(Attendance!$B$7:$AZ$206,0,att_offset),"1"),IF(ev_split="Equal Split",ev_cost/MAX(1,COUNTA(Roster!$A$5:$A$204)),ev_cost/MAX(1,attendees))),"N/A"))</f>
        <v/>
      </c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9.5" customHeight="1">
      <c r="A895" s="47"/>
      <c r="B895" s="48"/>
      <c r="C895" s="48"/>
      <c r="D895" s="48"/>
      <c r="E895" s="48"/>
      <c r="F895" s="51"/>
      <c r="G895" s="48"/>
      <c r="H895" s="48"/>
      <c r="I895" s="48"/>
      <c r="J895" s="42" t="str">
        <f t="array" ref="J895">IF(G895="","",IFERROR(LET(ev_cost,INDEX(Events!$G$5:$G$506,MATCH(G895,Events!$A$5:$A$506,0)),ev_split,INDEX(Events!$I$5:$I$506,MATCH(G895,Events!$A$5:$A$506,0)),att_offset,MATCH(G895,Attendance!$B$3:$AZ$3,0),attendees,COUNTIF(INDEX(Attendance!$B$7:$AZ$206,0,att_offset),"1"),IF(ev_split="Equal Split",ev_cost/MAX(1,COUNTA(Roster!$A$5:$A$204)),ev_cost/MAX(1,attendees))),"N/A"))</f>
        <v/>
      </c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9.5" customHeight="1">
      <c r="A896" s="44"/>
      <c r="B896" s="45"/>
      <c r="C896" s="45"/>
      <c r="D896" s="45"/>
      <c r="E896" s="45"/>
      <c r="F896" s="46"/>
      <c r="G896" s="45"/>
      <c r="H896" s="45"/>
      <c r="I896" s="45"/>
      <c r="J896" s="42" t="str">
        <f t="array" ref="J896">IF(G896="","",IFERROR(LET(ev_cost,INDEX(Events!$G$5:$G$506,MATCH(G896,Events!$A$5:$A$506,0)),ev_split,INDEX(Events!$I$5:$I$506,MATCH(G896,Events!$A$5:$A$506,0)),att_offset,MATCH(G896,Attendance!$B$3:$AZ$3,0),attendees,COUNTIF(INDEX(Attendance!$B$7:$AZ$206,0,att_offset),"1"),IF(ev_split="Equal Split",ev_cost/MAX(1,COUNTA(Roster!$A$5:$A$204)),ev_cost/MAX(1,attendees))),"N/A"))</f>
        <v/>
      </c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9.5" customHeight="1">
      <c r="A897" s="47"/>
      <c r="B897" s="48"/>
      <c r="C897" s="48"/>
      <c r="D897" s="48"/>
      <c r="E897" s="48"/>
      <c r="F897" s="51"/>
      <c r="G897" s="48"/>
      <c r="H897" s="48"/>
      <c r="I897" s="48"/>
      <c r="J897" s="42" t="str">
        <f t="array" ref="J897">IF(G897="","",IFERROR(LET(ev_cost,INDEX(Events!$G$5:$G$506,MATCH(G897,Events!$A$5:$A$506,0)),ev_split,INDEX(Events!$I$5:$I$506,MATCH(G897,Events!$A$5:$A$506,0)),att_offset,MATCH(G897,Attendance!$B$3:$AZ$3,0),attendees,COUNTIF(INDEX(Attendance!$B$7:$AZ$206,0,att_offset),"1"),IF(ev_split="Equal Split",ev_cost/MAX(1,COUNTA(Roster!$A$5:$A$204)),ev_cost/MAX(1,attendees))),"N/A"))</f>
        <v/>
      </c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9.5" customHeight="1">
      <c r="A898" s="44"/>
      <c r="B898" s="45"/>
      <c r="C898" s="45"/>
      <c r="D898" s="45"/>
      <c r="E898" s="45"/>
      <c r="F898" s="46"/>
      <c r="G898" s="45"/>
      <c r="H898" s="45"/>
      <c r="I898" s="45"/>
      <c r="J898" s="42" t="str">
        <f t="array" ref="J898">IF(G898="","",IFERROR(LET(ev_cost,INDEX(Events!$G$5:$G$506,MATCH(G898,Events!$A$5:$A$506,0)),ev_split,INDEX(Events!$I$5:$I$506,MATCH(G898,Events!$A$5:$A$506,0)),att_offset,MATCH(G898,Attendance!$B$3:$AZ$3,0),attendees,COUNTIF(INDEX(Attendance!$B$7:$AZ$206,0,att_offset),"1"),IF(ev_split="Equal Split",ev_cost/MAX(1,COUNTA(Roster!$A$5:$A$204)),ev_cost/MAX(1,attendees))),"N/A"))</f>
        <v/>
      </c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9.5" customHeight="1">
      <c r="A899" s="47"/>
      <c r="B899" s="48"/>
      <c r="C899" s="48"/>
      <c r="D899" s="48"/>
      <c r="E899" s="48"/>
      <c r="F899" s="51"/>
      <c r="G899" s="48"/>
      <c r="H899" s="48"/>
      <c r="I899" s="48"/>
      <c r="J899" s="42" t="str">
        <f t="array" ref="J899">IF(G899="","",IFERROR(LET(ev_cost,INDEX(Events!$G$5:$G$506,MATCH(G899,Events!$A$5:$A$506,0)),ev_split,INDEX(Events!$I$5:$I$506,MATCH(G899,Events!$A$5:$A$506,0)),att_offset,MATCH(G899,Attendance!$B$3:$AZ$3,0),attendees,COUNTIF(INDEX(Attendance!$B$7:$AZ$206,0,att_offset),"1"),IF(ev_split="Equal Split",ev_cost/MAX(1,COUNTA(Roster!$A$5:$A$204)),ev_cost/MAX(1,attendees))),"N/A"))</f>
        <v/>
      </c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9.5" customHeight="1">
      <c r="A900" s="44"/>
      <c r="B900" s="45"/>
      <c r="C900" s="45"/>
      <c r="D900" s="45"/>
      <c r="E900" s="45"/>
      <c r="F900" s="46"/>
      <c r="G900" s="45"/>
      <c r="H900" s="45"/>
      <c r="I900" s="45"/>
      <c r="J900" s="42" t="str">
        <f t="array" ref="J900">IF(G900="","",IFERROR(LET(ev_cost,INDEX(Events!$G$5:$G$506,MATCH(G900,Events!$A$5:$A$506,0)),ev_split,INDEX(Events!$I$5:$I$506,MATCH(G900,Events!$A$5:$A$506,0)),att_offset,MATCH(G900,Attendance!$B$3:$AZ$3,0),attendees,COUNTIF(INDEX(Attendance!$B$7:$AZ$206,0,att_offset),"1"),IF(ev_split="Equal Split",ev_cost/MAX(1,COUNTA(Roster!$A$5:$A$204)),ev_cost/MAX(1,attendees))),"N/A"))</f>
        <v/>
      </c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9.5" customHeight="1">
      <c r="A901" s="47"/>
      <c r="B901" s="48"/>
      <c r="C901" s="48"/>
      <c r="D901" s="48"/>
      <c r="E901" s="48"/>
      <c r="F901" s="51"/>
      <c r="G901" s="48"/>
      <c r="H901" s="48"/>
      <c r="I901" s="48"/>
      <c r="J901" s="42" t="str">
        <f t="array" ref="J901">IF(G901="","",IFERROR(LET(ev_cost,INDEX(Events!$G$5:$G$506,MATCH(G901,Events!$A$5:$A$506,0)),ev_split,INDEX(Events!$I$5:$I$506,MATCH(G901,Events!$A$5:$A$506,0)),att_offset,MATCH(G901,Attendance!$B$3:$AZ$3,0),attendees,COUNTIF(INDEX(Attendance!$B$7:$AZ$206,0,att_offset),"1"),IF(ev_split="Equal Split",ev_cost/MAX(1,COUNTA(Roster!$A$5:$A$204)),ev_cost/MAX(1,attendees))),"N/A"))</f>
        <v/>
      </c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9.5" customHeight="1">
      <c r="A902" s="44"/>
      <c r="B902" s="45"/>
      <c r="C902" s="45"/>
      <c r="D902" s="45"/>
      <c r="E902" s="45"/>
      <c r="F902" s="46"/>
      <c r="G902" s="45"/>
      <c r="H902" s="45"/>
      <c r="I902" s="45"/>
      <c r="J902" s="42" t="str">
        <f t="array" ref="J902">IF(G902="","",IFERROR(LET(ev_cost,INDEX(Events!$G$5:$G$506,MATCH(G902,Events!$A$5:$A$506,0)),ev_split,INDEX(Events!$I$5:$I$506,MATCH(G902,Events!$A$5:$A$506,0)),att_offset,MATCH(G902,Attendance!$B$3:$AZ$3,0),attendees,COUNTIF(INDEX(Attendance!$B$7:$AZ$206,0,att_offset),"1"),IF(ev_split="Equal Split",ev_cost/MAX(1,COUNTA(Roster!$A$5:$A$204)),ev_cost/MAX(1,attendees))),"N/A"))</f>
        <v/>
      </c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9.5" customHeight="1">
      <c r="A903" s="47"/>
      <c r="B903" s="48"/>
      <c r="C903" s="48"/>
      <c r="D903" s="48"/>
      <c r="E903" s="48"/>
      <c r="F903" s="51"/>
      <c r="G903" s="48"/>
      <c r="H903" s="48"/>
      <c r="I903" s="48"/>
      <c r="J903" s="42" t="str">
        <f t="array" ref="J903">IF(G903="","",IFERROR(LET(ev_cost,INDEX(Events!$G$5:$G$506,MATCH(G903,Events!$A$5:$A$506,0)),ev_split,INDEX(Events!$I$5:$I$506,MATCH(G903,Events!$A$5:$A$506,0)),att_offset,MATCH(G903,Attendance!$B$3:$AZ$3,0),attendees,COUNTIF(INDEX(Attendance!$B$7:$AZ$206,0,att_offset),"1"),IF(ev_split="Equal Split",ev_cost/MAX(1,COUNTA(Roster!$A$5:$A$204)),ev_cost/MAX(1,attendees))),"N/A"))</f>
        <v/>
      </c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9.5" customHeight="1">
      <c r="A904" s="44"/>
      <c r="B904" s="45"/>
      <c r="C904" s="45"/>
      <c r="D904" s="45"/>
      <c r="E904" s="45"/>
      <c r="F904" s="46"/>
      <c r="G904" s="45"/>
      <c r="H904" s="45"/>
      <c r="I904" s="45"/>
      <c r="J904" s="42" t="str">
        <f t="array" ref="J904">IF(G904="","",IFERROR(LET(ev_cost,INDEX(Events!$G$5:$G$506,MATCH(G904,Events!$A$5:$A$506,0)),ev_split,INDEX(Events!$I$5:$I$506,MATCH(G904,Events!$A$5:$A$506,0)),att_offset,MATCH(G904,Attendance!$B$3:$AZ$3,0),attendees,COUNTIF(INDEX(Attendance!$B$7:$AZ$206,0,att_offset),"1"),IF(ev_split="Equal Split",ev_cost/MAX(1,COUNTA(Roster!$A$5:$A$204)),ev_cost/MAX(1,attendees))),"N/A"))</f>
        <v/>
      </c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9.5" customHeight="1">
      <c r="A905" s="47"/>
      <c r="B905" s="48"/>
      <c r="C905" s="48"/>
      <c r="D905" s="48"/>
      <c r="E905" s="48"/>
      <c r="F905" s="51"/>
      <c r="G905" s="48"/>
      <c r="H905" s="48"/>
      <c r="I905" s="48"/>
      <c r="J905" s="42" t="str">
        <f t="array" ref="J905">IF(G905="","",IFERROR(LET(ev_cost,INDEX(Events!$G$5:$G$506,MATCH(G905,Events!$A$5:$A$506,0)),ev_split,INDEX(Events!$I$5:$I$506,MATCH(G905,Events!$A$5:$A$506,0)),att_offset,MATCH(G905,Attendance!$B$3:$AZ$3,0),attendees,COUNTIF(INDEX(Attendance!$B$7:$AZ$206,0,att_offset),"1"),IF(ev_split="Equal Split",ev_cost/MAX(1,COUNTA(Roster!$A$5:$A$204)),ev_cost/MAX(1,attendees))),"N/A"))</f>
        <v/>
      </c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9.5" customHeight="1">
      <c r="A906" s="44"/>
      <c r="B906" s="45"/>
      <c r="C906" s="45"/>
      <c r="D906" s="45"/>
      <c r="E906" s="45"/>
      <c r="F906" s="46"/>
      <c r="G906" s="45"/>
      <c r="H906" s="45"/>
      <c r="I906" s="45"/>
      <c r="J906" s="42" t="str">
        <f t="array" ref="J906">IF(G906="","",IFERROR(LET(ev_cost,INDEX(Events!$G$5:$G$506,MATCH(G906,Events!$A$5:$A$506,0)),ev_split,INDEX(Events!$I$5:$I$506,MATCH(G906,Events!$A$5:$A$506,0)),att_offset,MATCH(G906,Attendance!$B$3:$AZ$3,0),attendees,COUNTIF(INDEX(Attendance!$B$7:$AZ$206,0,att_offset),"1"),IF(ev_split="Equal Split",ev_cost/MAX(1,COUNTA(Roster!$A$5:$A$204)),ev_cost/MAX(1,attendees))),"N/A"))</f>
        <v/>
      </c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9.5" customHeight="1">
      <c r="A907" s="47"/>
      <c r="B907" s="48"/>
      <c r="C907" s="48"/>
      <c r="D907" s="48"/>
      <c r="E907" s="48"/>
      <c r="F907" s="51"/>
      <c r="G907" s="48"/>
      <c r="H907" s="48"/>
      <c r="I907" s="48"/>
      <c r="J907" s="42" t="str">
        <f t="array" ref="J907">IF(G907="","",IFERROR(LET(ev_cost,INDEX(Events!$G$5:$G$506,MATCH(G907,Events!$A$5:$A$506,0)),ev_split,INDEX(Events!$I$5:$I$506,MATCH(G907,Events!$A$5:$A$506,0)),att_offset,MATCH(G907,Attendance!$B$3:$AZ$3,0),attendees,COUNTIF(INDEX(Attendance!$B$7:$AZ$206,0,att_offset),"1"),IF(ev_split="Equal Split",ev_cost/MAX(1,COUNTA(Roster!$A$5:$A$204)),ev_cost/MAX(1,attendees))),"N/A"))</f>
        <v/>
      </c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9.5" customHeight="1">
      <c r="A908" s="44"/>
      <c r="B908" s="45"/>
      <c r="C908" s="45"/>
      <c r="D908" s="45"/>
      <c r="E908" s="45"/>
      <c r="F908" s="46"/>
      <c r="G908" s="45"/>
      <c r="H908" s="45"/>
      <c r="I908" s="45"/>
      <c r="J908" s="42" t="str">
        <f t="array" ref="J908">IF(G908="","",IFERROR(LET(ev_cost,INDEX(Events!$G$5:$G$506,MATCH(G908,Events!$A$5:$A$506,0)),ev_split,INDEX(Events!$I$5:$I$506,MATCH(G908,Events!$A$5:$A$506,0)),att_offset,MATCH(G908,Attendance!$B$3:$AZ$3,0),attendees,COUNTIF(INDEX(Attendance!$B$7:$AZ$206,0,att_offset),"1"),IF(ev_split="Equal Split",ev_cost/MAX(1,COUNTA(Roster!$A$5:$A$204)),ev_cost/MAX(1,attendees))),"N/A"))</f>
        <v/>
      </c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9.5" customHeight="1">
      <c r="A909" s="47"/>
      <c r="B909" s="48"/>
      <c r="C909" s="48"/>
      <c r="D909" s="48"/>
      <c r="E909" s="48"/>
      <c r="F909" s="51"/>
      <c r="G909" s="48"/>
      <c r="H909" s="48"/>
      <c r="I909" s="48"/>
      <c r="J909" s="42" t="str">
        <f t="array" ref="J909">IF(G909="","",IFERROR(LET(ev_cost,INDEX(Events!$G$5:$G$506,MATCH(G909,Events!$A$5:$A$506,0)),ev_split,INDEX(Events!$I$5:$I$506,MATCH(G909,Events!$A$5:$A$506,0)),att_offset,MATCH(G909,Attendance!$B$3:$AZ$3,0),attendees,COUNTIF(INDEX(Attendance!$B$7:$AZ$206,0,att_offset),"1"),IF(ev_split="Equal Split",ev_cost/MAX(1,COUNTA(Roster!$A$5:$A$204)),ev_cost/MAX(1,attendees))),"N/A"))</f>
        <v/>
      </c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9.5" customHeight="1">
      <c r="A910" s="44"/>
      <c r="B910" s="45"/>
      <c r="C910" s="45"/>
      <c r="D910" s="45"/>
      <c r="E910" s="45"/>
      <c r="F910" s="46"/>
      <c r="G910" s="45"/>
      <c r="H910" s="45"/>
      <c r="I910" s="45"/>
      <c r="J910" s="42" t="str">
        <f t="array" ref="J910">IF(G910="","",IFERROR(LET(ev_cost,INDEX(Events!$G$5:$G$506,MATCH(G910,Events!$A$5:$A$506,0)),ev_split,INDEX(Events!$I$5:$I$506,MATCH(G910,Events!$A$5:$A$506,0)),att_offset,MATCH(G910,Attendance!$B$3:$AZ$3,0),attendees,COUNTIF(INDEX(Attendance!$B$7:$AZ$206,0,att_offset),"1"),IF(ev_split="Equal Split",ev_cost/MAX(1,COUNTA(Roster!$A$5:$A$204)),ev_cost/MAX(1,attendees))),"N/A"))</f>
        <v/>
      </c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9.5" customHeight="1">
      <c r="A911" s="47"/>
      <c r="B911" s="48"/>
      <c r="C911" s="48"/>
      <c r="D911" s="48"/>
      <c r="E911" s="48"/>
      <c r="F911" s="51"/>
      <c r="G911" s="48"/>
      <c r="H911" s="48"/>
      <c r="I911" s="48"/>
      <c r="J911" s="42" t="str">
        <f t="array" ref="J911">IF(G911="","",IFERROR(LET(ev_cost,INDEX(Events!$G$5:$G$506,MATCH(G911,Events!$A$5:$A$506,0)),ev_split,INDEX(Events!$I$5:$I$506,MATCH(G911,Events!$A$5:$A$506,0)),att_offset,MATCH(G911,Attendance!$B$3:$AZ$3,0),attendees,COUNTIF(INDEX(Attendance!$B$7:$AZ$206,0,att_offset),"1"),IF(ev_split="Equal Split",ev_cost/MAX(1,COUNTA(Roster!$A$5:$A$204)),ev_cost/MAX(1,attendees))),"N/A"))</f>
        <v/>
      </c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9.5" customHeight="1">
      <c r="A912" s="44"/>
      <c r="B912" s="45"/>
      <c r="C912" s="45"/>
      <c r="D912" s="45"/>
      <c r="E912" s="45"/>
      <c r="F912" s="46"/>
      <c r="G912" s="45"/>
      <c r="H912" s="45"/>
      <c r="I912" s="45"/>
      <c r="J912" s="42" t="str">
        <f t="array" ref="J912">IF(G912="","",IFERROR(LET(ev_cost,INDEX(Events!$G$5:$G$506,MATCH(G912,Events!$A$5:$A$506,0)),ev_split,INDEX(Events!$I$5:$I$506,MATCH(G912,Events!$A$5:$A$506,0)),att_offset,MATCH(G912,Attendance!$B$3:$AZ$3,0),attendees,COUNTIF(INDEX(Attendance!$B$7:$AZ$206,0,att_offset),"1"),IF(ev_split="Equal Split",ev_cost/MAX(1,COUNTA(Roster!$A$5:$A$204)),ev_cost/MAX(1,attendees))),"N/A"))</f>
        <v/>
      </c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9.5" customHeight="1">
      <c r="A913" s="47"/>
      <c r="B913" s="48"/>
      <c r="C913" s="48"/>
      <c r="D913" s="48"/>
      <c r="E913" s="48"/>
      <c r="F913" s="51"/>
      <c r="G913" s="48"/>
      <c r="H913" s="48"/>
      <c r="I913" s="48"/>
      <c r="J913" s="42" t="str">
        <f t="array" ref="J913">IF(G913="","",IFERROR(LET(ev_cost,INDEX(Events!$G$5:$G$506,MATCH(G913,Events!$A$5:$A$506,0)),ev_split,INDEX(Events!$I$5:$I$506,MATCH(G913,Events!$A$5:$A$506,0)),att_offset,MATCH(G913,Attendance!$B$3:$AZ$3,0),attendees,COUNTIF(INDEX(Attendance!$B$7:$AZ$206,0,att_offset),"1"),IF(ev_split="Equal Split",ev_cost/MAX(1,COUNTA(Roster!$A$5:$A$204)),ev_cost/MAX(1,attendees))),"N/A"))</f>
        <v/>
      </c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9.5" customHeight="1">
      <c r="A914" s="44"/>
      <c r="B914" s="45"/>
      <c r="C914" s="45"/>
      <c r="D914" s="45"/>
      <c r="E914" s="45"/>
      <c r="F914" s="46"/>
      <c r="G914" s="45"/>
      <c r="H914" s="45"/>
      <c r="I914" s="45"/>
      <c r="J914" s="42" t="str">
        <f t="array" ref="J914">IF(G914="","",IFERROR(LET(ev_cost,INDEX(Events!$G$5:$G$506,MATCH(G914,Events!$A$5:$A$506,0)),ev_split,INDEX(Events!$I$5:$I$506,MATCH(G914,Events!$A$5:$A$506,0)),att_offset,MATCH(G914,Attendance!$B$3:$AZ$3,0),attendees,COUNTIF(INDEX(Attendance!$B$7:$AZ$206,0,att_offset),"1"),IF(ev_split="Equal Split",ev_cost/MAX(1,COUNTA(Roster!$A$5:$A$204)),ev_cost/MAX(1,attendees))),"N/A"))</f>
        <v/>
      </c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9.5" customHeight="1">
      <c r="A915" s="47"/>
      <c r="B915" s="48"/>
      <c r="C915" s="48"/>
      <c r="D915" s="48"/>
      <c r="E915" s="48"/>
      <c r="F915" s="51"/>
      <c r="G915" s="48"/>
      <c r="H915" s="48"/>
      <c r="I915" s="48"/>
      <c r="J915" s="42" t="str">
        <f t="array" ref="J915">IF(G915="","",IFERROR(LET(ev_cost,INDEX(Events!$G$5:$G$506,MATCH(G915,Events!$A$5:$A$506,0)),ev_split,INDEX(Events!$I$5:$I$506,MATCH(G915,Events!$A$5:$A$506,0)),att_offset,MATCH(G915,Attendance!$B$3:$AZ$3,0),attendees,COUNTIF(INDEX(Attendance!$B$7:$AZ$206,0,att_offset),"1"),IF(ev_split="Equal Split",ev_cost/MAX(1,COUNTA(Roster!$A$5:$A$204)),ev_cost/MAX(1,attendees))),"N/A"))</f>
        <v/>
      </c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9.5" customHeight="1">
      <c r="A916" s="44"/>
      <c r="B916" s="45"/>
      <c r="C916" s="45"/>
      <c r="D916" s="45"/>
      <c r="E916" s="45"/>
      <c r="F916" s="46"/>
      <c r="G916" s="45"/>
      <c r="H916" s="45"/>
      <c r="I916" s="45"/>
      <c r="J916" s="42" t="str">
        <f t="array" ref="J916">IF(G916="","",IFERROR(LET(ev_cost,INDEX(Events!$G$5:$G$506,MATCH(G916,Events!$A$5:$A$506,0)),ev_split,INDEX(Events!$I$5:$I$506,MATCH(G916,Events!$A$5:$A$506,0)),att_offset,MATCH(G916,Attendance!$B$3:$AZ$3,0),attendees,COUNTIF(INDEX(Attendance!$B$7:$AZ$206,0,att_offset),"1"),IF(ev_split="Equal Split",ev_cost/MAX(1,COUNTA(Roster!$A$5:$A$204)),ev_cost/MAX(1,attendees))),"N/A"))</f>
        <v/>
      </c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9.5" customHeight="1">
      <c r="A917" s="47"/>
      <c r="B917" s="48"/>
      <c r="C917" s="48"/>
      <c r="D917" s="48"/>
      <c r="E917" s="48"/>
      <c r="F917" s="51"/>
      <c r="G917" s="48"/>
      <c r="H917" s="48"/>
      <c r="I917" s="48"/>
      <c r="J917" s="42" t="str">
        <f t="array" ref="J917">IF(G917="","",IFERROR(LET(ev_cost,INDEX(Events!$G$5:$G$506,MATCH(G917,Events!$A$5:$A$506,0)),ev_split,INDEX(Events!$I$5:$I$506,MATCH(G917,Events!$A$5:$A$506,0)),att_offset,MATCH(G917,Attendance!$B$3:$AZ$3,0),attendees,COUNTIF(INDEX(Attendance!$B$7:$AZ$206,0,att_offset),"1"),IF(ev_split="Equal Split",ev_cost/MAX(1,COUNTA(Roster!$A$5:$A$204)),ev_cost/MAX(1,attendees))),"N/A"))</f>
        <v/>
      </c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9.5" customHeight="1">
      <c r="A918" s="44"/>
      <c r="B918" s="45"/>
      <c r="C918" s="45"/>
      <c r="D918" s="45"/>
      <c r="E918" s="45"/>
      <c r="F918" s="46"/>
      <c r="G918" s="45"/>
      <c r="H918" s="45"/>
      <c r="I918" s="45"/>
      <c r="J918" s="42" t="str">
        <f t="array" ref="J918">IF(G918="","",IFERROR(LET(ev_cost,INDEX(Events!$G$5:$G$506,MATCH(G918,Events!$A$5:$A$506,0)),ev_split,INDEX(Events!$I$5:$I$506,MATCH(G918,Events!$A$5:$A$506,0)),att_offset,MATCH(G918,Attendance!$B$3:$AZ$3,0),attendees,COUNTIF(INDEX(Attendance!$B$7:$AZ$206,0,att_offset),"1"),IF(ev_split="Equal Split",ev_cost/MAX(1,COUNTA(Roster!$A$5:$A$204)),ev_cost/MAX(1,attendees))),"N/A"))</f>
        <v/>
      </c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9.5" customHeight="1">
      <c r="A919" s="47"/>
      <c r="B919" s="48"/>
      <c r="C919" s="48"/>
      <c r="D919" s="48"/>
      <c r="E919" s="48"/>
      <c r="F919" s="51"/>
      <c r="G919" s="48"/>
      <c r="H919" s="48"/>
      <c r="I919" s="48"/>
      <c r="J919" s="42" t="str">
        <f t="array" ref="J919">IF(G919="","",IFERROR(LET(ev_cost,INDEX(Events!$G$5:$G$506,MATCH(G919,Events!$A$5:$A$506,0)),ev_split,INDEX(Events!$I$5:$I$506,MATCH(G919,Events!$A$5:$A$506,0)),att_offset,MATCH(G919,Attendance!$B$3:$AZ$3,0),attendees,COUNTIF(INDEX(Attendance!$B$7:$AZ$206,0,att_offset),"1"),IF(ev_split="Equal Split",ev_cost/MAX(1,COUNTA(Roster!$A$5:$A$204)),ev_cost/MAX(1,attendees))),"N/A"))</f>
        <v/>
      </c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9.5" customHeight="1">
      <c r="A920" s="44"/>
      <c r="B920" s="45"/>
      <c r="C920" s="45"/>
      <c r="D920" s="45"/>
      <c r="E920" s="45"/>
      <c r="F920" s="46"/>
      <c r="G920" s="45"/>
      <c r="H920" s="45"/>
      <c r="I920" s="45"/>
      <c r="J920" s="42" t="str">
        <f t="array" ref="J920">IF(G920="","",IFERROR(LET(ev_cost,INDEX(Events!$G$5:$G$506,MATCH(G920,Events!$A$5:$A$506,0)),ev_split,INDEX(Events!$I$5:$I$506,MATCH(G920,Events!$A$5:$A$506,0)),att_offset,MATCH(G920,Attendance!$B$3:$AZ$3,0),attendees,COUNTIF(INDEX(Attendance!$B$7:$AZ$206,0,att_offset),"1"),IF(ev_split="Equal Split",ev_cost/MAX(1,COUNTA(Roster!$A$5:$A$204)),ev_cost/MAX(1,attendees))),"N/A"))</f>
        <v/>
      </c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9.5" customHeight="1">
      <c r="A921" s="47"/>
      <c r="B921" s="48"/>
      <c r="C921" s="48"/>
      <c r="D921" s="48"/>
      <c r="E921" s="48"/>
      <c r="F921" s="51"/>
      <c r="G921" s="48"/>
      <c r="H921" s="48"/>
      <c r="I921" s="48"/>
      <c r="J921" s="42" t="str">
        <f t="array" ref="J921">IF(G921="","",IFERROR(LET(ev_cost,INDEX(Events!$G$5:$G$506,MATCH(G921,Events!$A$5:$A$506,0)),ev_split,INDEX(Events!$I$5:$I$506,MATCH(G921,Events!$A$5:$A$506,0)),att_offset,MATCH(G921,Attendance!$B$3:$AZ$3,0),attendees,COUNTIF(INDEX(Attendance!$B$7:$AZ$206,0,att_offset),"1"),IF(ev_split="Equal Split",ev_cost/MAX(1,COUNTA(Roster!$A$5:$A$204)),ev_cost/MAX(1,attendees))),"N/A"))</f>
        <v/>
      </c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9.5" customHeight="1">
      <c r="A922" s="44"/>
      <c r="B922" s="45"/>
      <c r="C922" s="45"/>
      <c r="D922" s="45"/>
      <c r="E922" s="45"/>
      <c r="F922" s="46"/>
      <c r="G922" s="45"/>
      <c r="H922" s="45"/>
      <c r="I922" s="45"/>
      <c r="J922" s="42" t="str">
        <f t="array" ref="J922">IF(G922="","",IFERROR(LET(ev_cost,INDEX(Events!$G$5:$G$506,MATCH(G922,Events!$A$5:$A$506,0)),ev_split,INDEX(Events!$I$5:$I$506,MATCH(G922,Events!$A$5:$A$506,0)),att_offset,MATCH(G922,Attendance!$B$3:$AZ$3,0),attendees,COUNTIF(INDEX(Attendance!$B$7:$AZ$206,0,att_offset),"1"),IF(ev_split="Equal Split",ev_cost/MAX(1,COUNTA(Roster!$A$5:$A$204)),ev_cost/MAX(1,attendees))),"N/A"))</f>
        <v/>
      </c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9.5" customHeight="1">
      <c r="A923" s="47"/>
      <c r="B923" s="48"/>
      <c r="C923" s="48"/>
      <c r="D923" s="48"/>
      <c r="E923" s="48"/>
      <c r="F923" s="51"/>
      <c r="G923" s="48"/>
      <c r="H923" s="48"/>
      <c r="I923" s="48"/>
      <c r="J923" s="42" t="str">
        <f t="array" ref="J923">IF(G923="","",IFERROR(LET(ev_cost,INDEX(Events!$G$5:$G$506,MATCH(G923,Events!$A$5:$A$506,0)),ev_split,INDEX(Events!$I$5:$I$506,MATCH(G923,Events!$A$5:$A$506,0)),att_offset,MATCH(G923,Attendance!$B$3:$AZ$3,0),attendees,COUNTIF(INDEX(Attendance!$B$7:$AZ$206,0,att_offset),"1"),IF(ev_split="Equal Split",ev_cost/MAX(1,COUNTA(Roster!$A$5:$A$204)),ev_cost/MAX(1,attendees))),"N/A"))</f>
        <v/>
      </c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9.5" customHeight="1">
      <c r="A924" s="44"/>
      <c r="B924" s="45"/>
      <c r="C924" s="45"/>
      <c r="D924" s="45"/>
      <c r="E924" s="45"/>
      <c r="F924" s="46"/>
      <c r="G924" s="45"/>
      <c r="H924" s="45"/>
      <c r="I924" s="45"/>
      <c r="J924" s="42" t="str">
        <f t="array" ref="J924">IF(G924="","",IFERROR(LET(ev_cost,INDEX(Events!$G$5:$G$506,MATCH(G924,Events!$A$5:$A$506,0)),ev_split,INDEX(Events!$I$5:$I$506,MATCH(G924,Events!$A$5:$A$506,0)),att_offset,MATCH(G924,Attendance!$B$3:$AZ$3,0),attendees,COUNTIF(INDEX(Attendance!$B$7:$AZ$206,0,att_offset),"1"),IF(ev_split="Equal Split",ev_cost/MAX(1,COUNTA(Roster!$A$5:$A$204)),ev_cost/MAX(1,attendees))),"N/A"))</f>
        <v/>
      </c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9.5" customHeight="1">
      <c r="A925" s="47"/>
      <c r="B925" s="48"/>
      <c r="C925" s="48"/>
      <c r="D925" s="48"/>
      <c r="E925" s="48"/>
      <c r="F925" s="51"/>
      <c r="G925" s="48"/>
      <c r="H925" s="48"/>
      <c r="I925" s="48"/>
      <c r="J925" s="42" t="str">
        <f t="array" ref="J925">IF(G925="","",IFERROR(LET(ev_cost,INDEX(Events!$G$5:$G$506,MATCH(G925,Events!$A$5:$A$506,0)),ev_split,INDEX(Events!$I$5:$I$506,MATCH(G925,Events!$A$5:$A$506,0)),att_offset,MATCH(G925,Attendance!$B$3:$AZ$3,0),attendees,COUNTIF(INDEX(Attendance!$B$7:$AZ$206,0,att_offset),"1"),IF(ev_split="Equal Split",ev_cost/MAX(1,COUNTA(Roster!$A$5:$A$204)),ev_cost/MAX(1,attendees))),"N/A"))</f>
        <v/>
      </c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9.5" customHeight="1">
      <c r="A926" s="44"/>
      <c r="B926" s="45"/>
      <c r="C926" s="45"/>
      <c r="D926" s="45"/>
      <c r="E926" s="45"/>
      <c r="F926" s="46"/>
      <c r="G926" s="45"/>
      <c r="H926" s="45"/>
      <c r="I926" s="45"/>
      <c r="J926" s="42" t="str">
        <f t="array" ref="J926">IF(G926="","",IFERROR(LET(ev_cost,INDEX(Events!$G$5:$G$506,MATCH(G926,Events!$A$5:$A$506,0)),ev_split,INDEX(Events!$I$5:$I$506,MATCH(G926,Events!$A$5:$A$506,0)),att_offset,MATCH(G926,Attendance!$B$3:$AZ$3,0),attendees,COUNTIF(INDEX(Attendance!$B$7:$AZ$206,0,att_offset),"1"),IF(ev_split="Equal Split",ev_cost/MAX(1,COUNTA(Roster!$A$5:$A$204)),ev_cost/MAX(1,attendees))),"N/A"))</f>
        <v/>
      </c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9.5" customHeight="1">
      <c r="A927" s="47"/>
      <c r="B927" s="48"/>
      <c r="C927" s="48"/>
      <c r="D927" s="48"/>
      <c r="E927" s="48"/>
      <c r="F927" s="51"/>
      <c r="G927" s="48"/>
      <c r="H927" s="48"/>
      <c r="I927" s="48"/>
      <c r="J927" s="42" t="str">
        <f t="array" ref="J927">IF(G927="","",IFERROR(LET(ev_cost,INDEX(Events!$G$5:$G$506,MATCH(G927,Events!$A$5:$A$506,0)),ev_split,INDEX(Events!$I$5:$I$506,MATCH(G927,Events!$A$5:$A$506,0)),att_offset,MATCH(G927,Attendance!$B$3:$AZ$3,0),attendees,COUNTIF(INDEX(Attendance!$B$7:$AZ$206,0,att_offset),"1"),IF(ev_split="Equal Split",ev_cost/MAX(1,COUNTA(Roster!$A$5:$A$204)),ev_cost/MAX(1,attendees))),"N/A"))</f>
        <v/>
      </c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9.5" customHeight="1">
      <c r="A928" s="44"/>
      <c r="B928" s="45"/>
      <c r="C928" s="45"/>
      <c r="D928" s="45"/>
      <c r="E928" s="45"/>
      <c r="F928" s="46"/>
      <c r="G928" s="45"/>
      <c r="H928" s="45"/>
      <c r="I928" s="45"/>
      <c r="J928" s="42" t="str">
        <f t="array" ref="J928">IF(G928="","",IFERROR(LET(ev_cost,INDEX(Events!$G$5:$G$506,MATCH(G928,Events!$A$5:$A$506,0)),ev_split,INDEX(Events!$I$5:$I$506,MATCH(G928,Events!$A$5:$A$506,0)),att_offset,MATCH(G928,Attendance!$B$3:$AZ$3,0),attendees,COUNTIF(INDEX(Attendance!$B$7:$AZ$206,0,att_offset),"1"),IF(ev_split="Equal Split",ev_cost/MAX(1,COUNTA(Roster!$A$5:$A$204)),ev_cost/MAX(1,attendees))),"N/A"))</f>
        <v/>
      </c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9.5" customHeight="1">
      <c r="A929" s="47"/>
      <c r="B929" s="48"/>
      <c r="C929" s="48"/>
      <c r="D929" s="48"/>
      <c r="E929" s="48"/>
      <c r="F929" s="51"/>
      <c r="G929" s="48"/>
      <c r="H929" s="48"/>
      <c r="I929" s="48"/>
      <c r="J929" s="42" t="str">
        <f t="array" ref="J929">IF(G929="","",IFERROR(LET(ev_cost,INDEX(Events!$G$5:$G$506,MATCH(G929,Events!$A$5:$A$506,0)),ev_split,INDEX(Events!$I$5:$I$506,MATCH(G929,Events!$A$5:$A$506,0)),att_offset,MATCH(G929,Attendance!$B$3:$AZ$3,0),attendees,COUNTIF(INDEX(Attendance!$B$7:$AZ$206,0,att_offset),"1"),IF(ev_split="Equal Split",ev_cost/MAX(1,COUNTA(Roster!$A$5:$A$204)),ev_cost/MAX(1,attendees))),"N/A"))</f>
        <v/>
      </c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9.5" customHeight="1">
      <c r="A930" s="44"/>
      <c r="B930" s="45"/>
      <c r="C930" s="45"/>
      <c r="D930" s="45"/>
      <c r="E930" s="45"/>
      <c r="F930" s="46"/>
      <c r="G930" s="45"/>
      <c r="H930" s="45"/>
      <c r="I930" s="45"/>
      <c r="J930" s="42" t="str">
        <f t="array" ref="J930">IF(G930="","",IFERROR(LET(ev_cost,INDEX(Events!$G$5:$G$506,MATCH(G930,Events!$A$5:$A$506,0)),ev_split,INDEX(Events!$I$5:$I$506,MATCH(G930,Events!$A$5:$A$506,0)),att_offset,MATCH(G930,Attendance!$B$3:$AZ$3,0),attendees,COUNTIF(INDEX(Attendance!$B$7:$AZ$206,0,att_offset),"1"),IF(ev_split="Equal Split",ev_cost/MAX(1,COUNTA(Roster!$A$5:$A$204)),ev_cost/MAX(1,attendees))),"N/A"))</f>
        <v/>
      </c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9.5" customHeight="1">
      <c r="A931" s="47"/>
      <c r="B931" s="48"/>
      <c r="C931" s="48"/>
      <c r="D931" s="48"/>
      <c r="E931" s="48"/>
      <c r="F931" s="51"/>
      <c r="G931" s="48"/>
      <c r="H931" s="48"/>
      <c r="I931" s="48"/>
      <c r="J931" s="42" t="str">
        <f t="array" ref="J931">IF(G931="","",IFERROR(LET(ev_cost,INDEX(Events!$G$5:$G$506,MATCH(G931,Events!$A$5:$A$506,0)),ev_split,INDEX(Events!$I$5:$I$506,MATCH(G931,Events!$A$5:$A$506,0)),att_offset,MATCH(G931,Attendance!$B$3:$AZ$3,0),attendees,COUNTIF(INDEX(Attendance!$B$7:$AZ$206,0,att_offset),"1"),IF(ev_split="Equal Split",ev_cost/MAX(1,COUNTA(Roster!$A$5:$A$204)),ev_cost/MAX(1,attendees))),"N/A"))</f>
        <v/>
      </c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9.5" customHeight="1">
      <c r="A932" s="44"/>
      <c r="B932" s="45"/>
      <c r="C932" s="45"/>
      <c r="D932" s="45"/>
      <c r="E932" s="45"/>
      <c r="F932" s="46"/>
      <c r="G932" s="45"/>
      <c r="H932" s="45"/>
      <c r="I932" s="45"/>
      <c r="J932" s="42" t="str">
        <f t="array" ref="J932">IF(G932="","",IFERROR(LET(ev_cost,INDEX(Events!$G$5:$G$506,MATCH(G932,Events!$A$5:$A$506,0)),ev_split,INDEX(Events!$I$5:$I$506,MATCH(G932,Events!$A$5:$A$506,0)),att_offset,MATCH(G932,Attendance!$B$3:$AZ$3,0),attendees,COUNTIF(INDEX(Attendance!$B$7:$AZ$206,0,att_offset),"1"),IF(ev_split="Equal Split",ev_cost/MAX(1,COUNTA(Roster!$A$5:$A$204)),ev_cost/MAX(1,attendees))),"N/A"))</f>
        <v/>
      </c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9.5" customHeight="1">
      <c r="A933" s="47"/>
      <c r="B933" s="48"/>
      <c r="C933" s="48"/>
      <c r="D933" s="48"/>
      <c r="E933" s="48"/>
      <c r="F933" s="51"/>
      <c r="G933" s="48"/>
      <c r="H933" s="48"/>
      <c r="I933" s="48"/>
      <c r="J933" s="42" t="str">
        <f t="array" ref="J933">IF(G933="","",IFERROR(LET(ev_cost,INDEX(Events!$G$5:$G$506,MATCH(G933,Events!$A$5:$A$506,0)),ev_split,INDEX(Events!$I$5:$I$506,MATCH(G933,Events!$A$5:$A$506,0)),att_offset,MATCH(G933,Attendance!$B$3:$AZ$3,0),attendees,COUNTIF(INDEX(Attendance!$B$7:$AZ$206,0,att_offset),"1"),IF(ev_split="Equal Split",ev_cost/MAX(1,COUNTA(Roster!$A$5:$A$204)),ev_cost/MAX(1,attendees))),"N/A"))</f>
        <v/>
      </c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9.5" customHeight="1">
      <c r="A934" s="44"/>
      <c r="B934" s="45"/>
      <c r="C934" s="45"/>
      <c r="D934" s="45"/>
      <c r="E934" s="45"/>
      <c r="F934" s="46"/>
      <c r="G934" s="45"/>
      <c r="H934" s="45"/>
      <c r="I934" s="45"/>
      <c r="J934" s="42" t="str">
        <f t="array" ref="J934">IF(G934="","",IFERROR(LET(ev_cost,INDEX(Events!$G$5:$G$506,MATCH(G934,Events!$A$5:$A$506,0)),ev_split,INDEX(Events!$I$5:$I$506,MATCH(G934,Events!$A$5:$A$506,0)),att_offset,MATCH(G934,Attendance!$B$3:$AZ$3,0),attendees,COUNTIF(INDEX(Attendance!$B$7:$AZ$206,0,att_offset),"1"),IF(ev_split="Equal Split",ev_cost/MAX(1,COUNTA(Roster!$A$5:$A$204)),ev_cost/MAX(1,attendees))),"N/A"))</f>
        <v/>
      </c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9.5" customHeight="1">
      <c r="A935" s="47"/>
      <c r="B935" s="48"/>
      <c r="C935" s="48"/>
      <c r="D935" s="48"/>
      <c r="E935" s="48"/>
      <c r="F935" s="51"/>
      <c r="G935" s="48"/>
      <c r="H935" s="48"/>
      <c r="I935" s="48"/>
      <c r="J935" s="42" t="str">
        <f t="array" ref="J935">IF(G935="","",IFERROR(LET(ev_cost,INDEX(Events!$G$5:$G$506,MATCH(G935,Events!$A$5:$A$506,0)),ev_split,INDEX(Events!$I$5:$I$506,MATCH(G935,Events!$A$5:$A$506,0)),att_offset,MATCH(G935,Attendance!$B$3:$AZ$3,0),attendees,COUNTIF(INDEX(Attendance!$B$7:$AZ$206,0,att_offset),"1"),IF(ev_split="Equal Split",ev_cost/MAX(1,COUNTA(Roster!$A$5:$A$204)),ev_cost/MAX(1,attendees))),"N/A"))</f>
        <v/>
      </c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9.5" customHeight="1">
      <c r="A936" s="44"/>
      <c r="B936" s="45"/>
      <c r="C936" s="45"/>
      <c r="D936" s="45"/>
      <c r="E936" s="45"/>
      <c r="F936" s="46"/>
      <c r="G936" s="45"/>
      <c r="H936" s="45"/>
      <c r="I936" s="45"/>
      <c r="J936" s="42" t="str">
        <f t="array" ref="J936">IF(G936="","",IFERROR(LET(ev_cost,INDEX(Events!$G$5:$G$506,MATCH(G936,Events!$A$5:$A$506,0)),ev_split,INDEX(Events!$I$5:$I$506,MATCH(G936,Events!$A$5:$A$506,0)),att_offset,MATCH(G936,Attendance!$B$3:$AZ$3,0),attendees,COUNTIF(INDEX(Attendance!$B$7:$AZ$206,0,att_offset),"1"),IF(ev_split="Equal Split",ev_cost/MAX(1,COUNTA(Roster!$A$5:$A$204)),ev_cost/MAX(1,attendees))),"N/A"))</f>
        <v/>
      </c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9.5" customHeight="1">
      <c r="A937" s="47"/>
      <c r="B937" s="48"/>
      <c r="C937" s="48"/>
      <c r="D937" s="48"/>
      <c r="E937" s="48"/>
      <c r="F937" s="51"/>
      <c r="G937" s="48"/>
      <c r="H937" s="48"/>
      <c r="I937" s="48"/>
      <c r="J937" s="42" t="str">
        <f t="array" ref="J937">IF(G937="","",IFERROR(LET(ev_cost,INDEX(Events!$G$5:$G$506,MATCH(G937,Events!$A$5:$A$506,0)),ev_split,INDEX(Events!$I$5:$I$506,MATCH(G937,Events!$A$5:$A$506,0)),att_offset,MATCH(G937,Attendance!$B$3:$AZ$3,0),attendees,COUNTIF(INDEX(Attendance!$B$7:$AZ$206,0,att_offset),"1"),IF(ev_split="Equal Split",ev_cost/MAX(1,COUNTA(Roster!$A$5:$A$204)),ev_cost/MAX(1,attendees))),"N/A"))</f>
        <v/>
      </c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9.5" customHeight="1">
      <c r="A938" s="44"/>
      <c r="B938" s="45"/>
      <c r="C938" s="45"/>
      <c r="D938" s="45"/>
      <c r="E938" s="45"/>
      <c r="F938" s="46"/>
      <c r="G938" s="45"/>
      <c r="H938" s="45"/>
      <c r="I938" s="45"/>
      <c r="J938" s="42" t="str">
        <f t="array" ref="J938">IF(G938="","",IFERROR(LET(ev_cost,INDEX(Events!$G$5:$G$506,MATCH(G938,Events!$A$5:$A$506,0)),ev_split,INDEX(Events!$I$5:$I$506,MATCH(G938,Events!$A$5:$A$506,0)),att_offset,MATCH(G938,Attendance!$B$3:$AZ$3,0),attendees,COUNTIF(INDEX(Attendance!$B$7:$AZ$206,0,att_offset),"1"),IF(ev_split="Equal Split",ev_cost/MAX(1,COUNTA(Roster!$A$5:$A$204)),ev_cost/MAX(1,attendees))),"N/A"))</f>
        <v/>
      </c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9.5" customHeight="1">
      <c r="A939" s="47"/>
      <c r="B939" s="48"/>
      <c r="C939" s="48"/>
      <c r="D939" s="48"/>
      <c r="E939" s="48"/>
      <c r="F939" s="51"/>
      <c r="G939" s="48"/>
      <c r="H939" s="48"/>
      <c r="I939" s="48"/>
      <c r="J939" s="42" t="str">
        <f t="array" ref="J939">IF(G939="","",IFERROR(LET(ev_cost,INDEX(Events!$G$5:$G$506,MATCH(G939,Events!$A$5:$A$506,0)),ev_split,INDEX(Events!$I$5:$I$506,MATCH(G939,Events!$A$5:$A$506,0)),att_offset,MATCH(G939,Attendance!$B$3:$AZ$3,0),attendees,COUNTIF(INDEX(Attendance!$B$7:$AZ$206,0,att_offset),"1"),IF(ev_split="Equal Split",ev_cost/MAX(1,COUNTA(Roster!$A$5:$A$204)),ev_cost/MAX(1,attendees))),"N/A"))</f>
        <v/>
      </c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9.5" customHeight="1">
      <c r="A940" s="44"/>
      <c r="B940" s="45"/>
      <c r="C940" s="45"/>
      <c r="D940" s="45"/>
      <c r="E940" s="45"/>
      <c r="F940" s="46"/>
      <c r="G940" s="45"/>
      <c r="H940" s="45"/>
      <c r="I940" s="45"/>
      <c r="J940" s="42" t="str">
        <f t="array" ref="J940">IF(G940="","",IFERROR(LET(ev_cost,INDEX(Events!$G$5:$G$506,MATCH(G940,Events!$A$5:$A$506,0)),ev_split,INDEX(Events!$I$5:$I$506,MATCH(G940,Events!$A$5:$A$506,0)),att_offset,MATCH(G940,Attendance!$B$3:$AZ$3,0),attendees,COUNTIF(INDEX(Attendance!$B$7:$AZ$206,0,att_offset),"1"),IF(ev_split="Equal Split",ev_cost/MAX(1,COUNTA(Roster!$A$5:$A$204)),ev_cost/MAX(1,attendees))),"N/A"))</f>
        <v/>
      </c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9.5" customHeight="1">
      <c r="A941" s="47"/>
      <c r="B941" s="48"/>
      <c r="C941" s="48"/>
      <c r="D941" s="48"/>
      <c r="E941" s="48"/>
      <c r="F941" s="51"/>
      <c r="G941" s="48"/>
      <c r="H941" s="48"/>
      <c r="I941" s="48"/>
      <c r="J941" s="42" t="str">
        <f t="array" ref="J941">IF(G941="","",IFERROR(LET(ev_cost,INDEX(Events!$G$5:$G$506,MATCH(G941,Events!$A$5:$A$506,0)),ev_split,INDEX(Events!$I$5:$I$506,MATCH(G941,Events!$A$5:$A$506,0)),att_offset,MATCH(G941,Attendance!$B$3:$AZ$3,0),attendees,COUNTIF(INDEX(Attendance!$B$7:$AZ$206,0,att_offset),"1"),IF(ev_split="Equal Split",ev_cost/MAX(1,COUNTA(Roster!$A$5:$A$204)),ev_cost/MAX(1,attendees))),"N/A"))</f>
        <v/>
      </c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9.5" customHeight="1">
      <c r="A942" s="44"/>
      <c r="B942" s="45"/>
      <c r="C942" s="45"/>
      <c r="D942" s="45"/>
      <c r="E942" s="45"/>
      <c r="F942" s="46"/>
      <c r="G942" s="45"/>
      <c r="H942" s="45"/>
      <c r="I942" s="45"/>
      <c r="J942" s="42" t="str">
        <f t="array" ref="J942">IF(G942="","",IFERROR(LET(ev_cost,INDEX(Events!$G$5:$G$506,MATCH(G942,Events!$A$5:$A$506,0)),ev_split,INDEX(Events!$I$5:$I$506,MATCH(G942,Events!$A$5:$A$506,0)),att_offset,MATCH(G942,Attendance!$B$3:$AZ$3,0),attendees,COUNTIF(INDEX(Attendance!$B$7:$AZ$206,0,att_offset),"1"),IF(ev_split="Equal Split",ev_cost/MAX(1,COUNTA(Roster!$A$5:$A$204)),ev_cost/MAX(1,attendees))),"N/A"))</f>
        <v/>
      </c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9.5" customHeight="1">
      <c r="A943" s="47"/>
      <c r="B943" s="48"/>
      <c r="C943" s="48"/>
      <c r="D943" s="48"/>
      <c r="E943" s="48"/>
      <c r="F943" s="51"/>
      <c r="G943" s="48"/>
      <c r="H943" s="48"/>
      <c r="I943" s="48"/>
      <c r="J943" s="42" t="str">
        <f t="array" ref="J943">IF(G943="","",IFERROR(LET(ev_cost,INDEX(Events!$G$5:$G$506,MATCH(G943,Events!$A$5:$A$506,0)),ev_split,INDEX(Events!$I$5:$I$506,MATCH(G943,Events!$A$5:$A$506,0)),att_offset,MATCH(G943,Attendance!$B$3:$AZ$3,0),attendees,COUNTIF(INDEX(Attendance!$B$7:$AZ$206,0,att_offset),"1"),IF(ev_split="Equal Split",ev_cost/MAX(1,COUNTA(Roster!$A$5:$A$204)),ev_cost/MAX(1,attendees))),"N/A"))</f>
        <v/>
      </c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9.5" customHeight="1">
      <c r="A944" s="44"/>
      <c r="B944" s="45"/>
      <c r="C944" s="45"/>
      <c r="D944" s="45"/>
      <c r="E944" s="45"/>
      <c r="F944" s="46"/>
      <c r="G944" s="45"/>
      <c r="H944" s="45"/>
      <c r="I944" s="45"/>
      <c r="J944" s="42" t="str">
        <f t="array" ref="J944">IF(G944="","",IFERROR(LET(ev_cost,INDEX(Events!$G$5:$G$506,MATCH(G944,Events!$A$5:$A$506,0)),ev_split,INDEX(Events!$I$5:$I$506,MATCH(G944,Events!$A$5:$A$506,0)),att_offset,MATCH(G944,Attendance!$B$3:$AZ$3,0),attendees,COUNTIF(INDEX(Attendance!$B$7:$AZ$206,0,att_offset),"1"),IF(ev_split="Equal Split",ev_cost/MAX(1,COUNTA(Roster!$A$5:$A$204)),ev_cost/MAX(1,attendees))),"N/A"))</f>
        <v/>
      </c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9.5" customHeight="1">
      <c r="A945" s="47"/>
      <c r="B945" s="48"/>
      <c r="C945" s="48"/>
      <c r="D945" s="48"/>
      <c r="E945" s="48"/>
      <c r="F945" s="51"/>
      <c r="G945" s="48"/>
      <c r="H945" s="48"/>
      <c r="I945" s="48"/>
      <c r="J945" s="42" t="str">
        <f t="array" ref="J945">IF(G945="","",IFERROR(LET(ev_cost,INDEX(Events!$G$5:$G$506,MATCH(G945,Events!$A$5:$A$506,0)),ev_split,INDEX(Events!$I$5:$I$506,MATCH(G945,Events!$A$5:$A$506,0)),att_offset,MATCH(G945,Attendance!$B$3:$AZ$3,0),attendees,COUNTIF(INDEX(Attendance!$B$7:$AZ$206,0,att_offset),"1"),IF(ev_split="Equal Split",ev_cost/MAX(1,COUNTA(Roster!$A$5:$A$204)),ev_cost/MAX(1,attendees))),"N/A"))</f>
        <v/>
      </c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9.5" customHeight="1">
      <c r="A946" s="44"/>
      <c r="B946" s="45"/>
      <c r="C946" s="45"/>
      <c r="D946" s="45"/>
      <c r="E946" s="45"/>
      <c r="F946" s="46"/>
      <c r="G946" s="45"/>
      <c r="H946" s="45"/>
      <c r="I946" s="45"/>
      <c r="J946" s="42" t="str">
        <f t="array" ref="J946">IF(G946="","",IFERROR(LET(ev_cost,INDEX(Events!$G$5:$G$506,MATCH(G946,Events!$A$5:$A$506,0)),ev_split,INDEX(Events!$I$5:$I$506,MATCH(G946,Events!$A$5:$A$506,0)),att_offset,MATCH(G946,Attendance!$B$3:$AZ$3,0),attendees,COUNTIF(INDEX(Attendance!$B$7:$AZ$206,0,att_offset),"1"),IF(ev_split="Equal Split",ev_cost/MAX(1,COUNTA(Roster!$A$5:$A$204)),ev_cost/MAX(1,attendees))),"N/A"))</f>
        <v/>
      </c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9.5" customHeight="1">
      <c r="A947" s="47"/>
      <c r="B947" s="48"/>
      <c r="C947" s="48"/>
      <c r="D947" s="48"/>
      <c r="E947" s="48"/>
      <c r="F947" s="51"/>
      <c r="G947" s="48"/>
      <c r="H947" s="48"/>
      <c r="I947" s="48"/>
      <c r="J947" s="42" t="str">
        <f t="array" ref="J947">IF(G947="","",IFERROR(LET(ev_cost,INDEX(Events!$G$5:$G$506,MATCH(G947,Events!$A$5:$A$506,0)),ev_split,INDEX(Events!$I$5:$I$506,MATCH(G947,Events!$A$5:$A$506,0)),att_offset,MATCH(G947,Attendance!$B$3:$AZ$3,0),attendees,COUNTIF(INDEX(Attendance!$B$7:$AZ$206,0,att_offset),"1"),IF(ev_split="Equal Split",ev_cost/MAX(1,COUNTA(Roster!$A$5:$A$204)),ev_cost/MAX(1,attendees))),"N/A"))</f>
        <v/>
      </c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9.5" customHeight="1">
      <c r="A948" s="44"/>
      <c r="B948" s="45"/>
      <c r="C948" s="45"/>
      <c r="D948" s="45"/>
      <c r="E948" s="45"/>
      <c r="F948" s="46"/>
      <c r="G948" s="45"/>
      <c r="H948" s="45"/>
      <c r="I948" s="45"/>
      <c r="J948" s="42" t="str">
        <f t="array" ref="J948">IF(G948="","",IFERROR(LET(ev_cost,INDEX(Events!$G$5:$G$506,MATCH(G948,Events!$A$5:$A$506,0)),ev_split,INDEX(Events!$I$5:$I$506,MATCH(G948,Events!$A$5:$A$506,0)),att_offset,MATCH(G948,Attendance!$B$3:$AZ$3,0),attendees,COUNTIF(INDEX(Attendance!$B$7:$AZ$206,0,att_offset),"1"),IF(ev_split="Equal Split",ev_cost/MAX(1,COUNTA(Roster!$A$5:$A$204)),ev_cost/MAX(1,attendees))),"N/A"))</f>
        <v/>
      </c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9.5" customHeight="1">
      <c r="A949" s="47"/>
      <c r="B949" s="48"/>
      <c r="C949" s="48"/>
      <c r="D949" s="48"/>
      <c r="E949" s="48"/>
      <c r="F949" s="51"/>
      <c r="G949" s="48"/>
      <c r="H949" s="48"/>
      <c r="I949" s="48"/>
      <c r="J949" s="42" t="str">
        <f t="array" ref="J949">IF(G949="","",IFERROR(LET(ev_cost,INDEX(Events!$G$5:$G$506,MATCH(G949,Events!$A$5:$A$506,0)),ev_split,INDEX(Events!$I$5:$I$506,MATCH(G949,Events!$A$5:$A$506,0)),att_offset,MATCH(G949,Attendance!$B$3:$AZ$3,0),attendees,COUNTIF(INDEX(Attendance!$B$7:$AZ$206,0,att_offset),"1"),IF(ev_split="Equal Split",ev_cost/MAX(1,COUNTA(Roster!$A$5:$A$204)),ev_cost/MAX(1,attendees))),"N/A"))</f>
        <v/>
      </c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9.5" customHeight="1">
      <c r="A950" s="44"/>
      <c r="B950" s="45"/>
      <c r="C950" s="45"/>
      <c r="D950" s="45"/>
      <c r="E950" s="45"/>
      <c r="F950" s="46"/>
      <c r="G950" s="45"/>
      <c r="H950" s="45"/>
      <c r="I950" s="45"/>
      <c r="J950" s="42" t="str">
        <f t="array" ref="J950">IF(G950="","",IFERROR(LET(ev_cost,INDEX(Events!$G$5:$G$506,MATCH(G950,Events!$A$5:$A$506,0)),ev_split,INDEX(Events!$I$5:$I$506,MATCH(G950,Events!$A$5:$A$506,0)),att_offset,MATCH(G950,Attendance!$B$3:$AZ$3,0),attendees,COUNTIF(INDEX(Attendance!$B$7:$AZ$206,0,att_offset),"1"),IF(ev_split="Equal Split",ev_cost/MAX(1,COUNTA(Roster!$A$5:$A$204)),ev_cost/MAX(1,attendees))),"N/A"))</f>
        <v/>
      </c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9.5" customHeight="1">
      <c r="A951" s="47"/>
      <c r="B951" s="48"/>
      <c r="C951" s="48"/>
      <c r="D951" s="48"/>
      <c r="E951" s="48"/>
      <c r="F951" s="51"/>
      <c r="G951" s="48"/>
      <c r="H951" s="48"/>
      <c r="I951" s="48"/>
      <c r="J951" s="42" t="str">
        <f t="array" ref="J951">IF(G951="","",IFERROR(LET(ev_cost,INDEX(Events!$G$5:$G$506,MATCH(G951,Events!$A$5:$A$506,0)),ev_split,INDEX(Events!$I$5:$I$506,MATCH(G951,Events!$A$5:$A$506,0)),att_offset,MATCH(G951,Attendance!$B$3:$AZ$3,0),attendees,COUNTIF(INDEX(Attendance!$B$7:$AZ$206,0,att_offset),"1"),IF(ev_split="Equal Split",ev_cost/MAX(1,COUNTA(Roster!$A$5:$A$204)),ev_cost/MAX(1,attendees))),"N/A"))</f>
        <v/>
      </c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9.5" customHeight="1">
      <c r="A952" s="44"/>
      <c r="B952" s="45"/>
      <c r="C952" s="45"/>
      <c r="D952" s="45"/>
      <c r="E952" s="45"/>
      <c r="F952" s="46"/>
      <c r="G952" s="45"/>
      <c r="H952" s="45"/>
      <c r="I952" s="45"/>
      <c r="J952" s="42" t="str">
        <f t="array" ref="J952">IF(G952="","",IFERROR(LET(ev_cost,INDEX(Events!$G$5:$G$506,MATCH(G952,Events!$A$5:$A$506,0)),ev_split,INDEX(Events!$I$5:$I$506,MATCH(G952,Events!$A$5:$A$506,0)),att_offset,MATCH(G952,Attendance!$B$3:$AZ$3,0),attendees,COUNTIF(INDEX(Attendance!$B$7:$AZ$206,0,att_offset),"1"),IF(ev_split="Equal Split",ev_cost/MAX(1,COUNTA(Roster!$A$5:$A$204)),ev_cost/MAX(1,attendees))),"N/A"))</f>
        <v/>
      </c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9.5" customHeight="1">
      <c r="A953" s="47"/>
      <c r="B953" s="48"/>
      <c r="C953" s="48"/>
      <c r="D953" s="48"/>
      <c r="E953" s="48"/>
      <c r="F953" s="51"/>
      <c r="G953" s="48"/>
      <c r="H953" s="48"/>
      <c r="I953" s="48"/>
      <c r="J953" s="42" t="str">
        <f t="array" ref="J953">IF(G953="","",IFERROR(LET(ev_cost,INDEX(Events!$G$5:$G$506,MATCH(G953,Events!$A$5:$A$506,0)),ev_split,INDEX(Events!$I$5:$I$506,MATCH(G953,Events!$A$5:$A$506,0)),att_offset,MATCH(G953,Attendance!$B$3:$AZ$3,0),attendees,COUNTIF(INDEX(Attendance!$B$7:$AZ$206,0,att_offset),"1"),IF(ev_split="Equal Split",ev_cost/MAX(1,COUNTA(Roster!$A$5:$A$204)),ev_cost/MAX(1,attendees))),"N/A"))</f>
        <v/>
      </c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9.5" customHeight="1">
      <c r="A954" s="44"/>
      <c r="B954" s="45"/>
      <c r="C954" s="45"/>
      <c r="D954" s="45"/>
      <c r="E954" s="45"/>
      <c r="F954" s="46"/>
      <c r="G954" s="45"/>
      <c r="H954" s="45"/>
      <c r="I954" s="45"/>
      <c r="J954" s="42" t="str">
        <f t="array" ref="J954">IF(G954="","",IFERROR(LET(ev_cost,INDEX(Events!$G$5:$G$506,MATCH(G954,Events!$A$5:$A$506,0)),ev_split,INDEX(Events!$I$5:$I$506,MATCH(G954,Events!$A$5:$A$506,0)),att_offset,MATCH(G954,Attendance!$B$3:$AZ$3,0),attendees,COUNTIF(INDEX(Attendance!$B$7:$AZ$206,0,att_offset),"1"),IF(ev_split="Equal Split",ev_cost/MAX(1,COUNTA(Roster!$A$5:$A$204)),ev_cost/MAX(1,attendees))),"N/A"))</f>
        <v/>
      </c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9.5" customHeight="1">
      <c r="A955" s="47"/>
      <c r="B955" s="48"/>
      <c r="C955" s="48"/>
      <c r="D955" s="48"/>
      <c r="E955" s="48"/>
      <c r="F955" s="51"/>
      <c r="G955" s="48"/>
      <c r="H955" s="48"/>
      <c r="I955" s="48"/>
      <c r="J955" s="42" t="str">
        <f t="array" ref="J955">IF(G955="","",IFERROR(LET(ev_cost,INDEX(Events!$G$5:$G$506,MATCH(G955,Events!$A$5:$A$506,0)),ev_split,INDEX(Events!$I$5:$I$506,MATCH(G955,Events!$A$5:$A$506,0)),att_offset,MATCH(G955,Attendance!$B$3:$AZ$3,0),attendees,COUNTIF(INDEX(Attendance!$B$7:$AZ$206,0,att_offset),"1"),IF(ev_split="Equal Split",ev_cost/MAX(1,COUNTA(Roster!$A$5:$A$204)),ev_cost/MAX(1,attendees))),"N/A"))</f>
        <v/>
      </c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9.5" customHeight="1">
      <c r="A956" s="44"/>
      <c r="B956" s="45"/>
      <c r="C956" s="45"/>
      <c r="D956" s="45"/>
      <c r="E956" s="45"/>
      <c r="F956" s="46"/>
      <c r="G956" s="45"/>
      <c r="H956" s="45"/>
      <c r="I956" s="45"/>
      <c r="J956" s="42" t="str">
        <f t="array" ref="J956">IF(G956="","",IFERROR(LET(ev_cost,INDEX(Events!$G$5:$G$506,MATCH(G956,Events!$A$5:$A$506,0)),ev_split,INDEX(Events!$I$5:$I$506,MATCH(G956,Events!$A$5:$A$506,0)),att_offset,MATCH(G956,Attendance!$B$3:$AZ$3,0),attendees,COUNTIF(INDEX(Attendance!$B$7:$AZ$206,0,att_offset),"1"),IF(ev_split="Equal Split",ev_cost/MAX(1,COUNTA(Roster!$A$5:$A$204)),ev_cost/MAX(1,attendees))),"N/A"))</f>
        <v/>
      </c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9.5" customHeight="1">
      <c r="A957" s="47"/>
      <c r="B957" s="48"/>
      <c r="C957" s="48"/>
      <c r="D957" s="48"/>
      <c r="E957" s="48"/>
      <c r="F957" s="51"/>
      <c r="G957" s="48"/>
      <c r="H957" s="48"/>
      <c r="I957" s="48"/>
      <c r="J957" s="42" t="str">
        <f t="array" ref="J957">IF(G957="","",IFERROR(LET(ev_cost,INDEX(Events!$G$5:$G$506,MATCH(G957,Events!$A$5:$A$506,0)),ev_split,INDEX(Events!$I$5:$I$506,MATCH(G957,Events!$A$5:$A$506,0)),att_offset,MATCH(G957,Attendance!$B$3:$AZ$3,0),attendees,COUNTIF(INDEX(Attendance!$B$7:$AZ$206,0,att_offset),"1"),IF(ev_split="Equal Split",ev_cost/MAX(1,COUNTA(Roster!$A$5:$A$204)),ev_cost/MAX(1,attendees))),"N/A"))</f>
        <v/>
      </c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9.5" customHeight="1">
      <c r="A958" s="44"/>
      <c r="B958" s="45"/>
      <c r="C958" s="45"/>
      <c r="D958" s="45"/>
      <c r="E958" s="45"/>
      <c r="F958" s="46"/>
      <c r="G958" s="45"/>
      <c r="H958" s="45"/>
      <c r="I958" s="45"/>
      <c r="J958" s="42" t="str">
        <f t="array" ref="J958">IF(G958="","",IFERROR(LET(ev_cost,INDEX(Events!$G$5:$G$506,MATCH(G958,Events!$A$5:$A$506,0)),ev_split,INDEX(Events!$I$5:$I$506,MATCH(G958,Events!$A$5:$A$506,0)),att_offset,MATCH(G958,Attendance!$B$3:$AZ$3,0),attendees,COUNTIF(INDEX(Attendance!$B$7:$AZ$206,0,att_offset),"1"),IF(ev_split="Equal Split",ev_cost/MAX(1,COUNTA(Roster!$A$5:$A$204)),ev_cost/MAX(1,attendees))),"N/A"))</f>
        <v/>
      </c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9.5" customHeight="1">
      <c r="A959" s="47"/>
      <c r="B959" s="48"/>
      <c r="C959" s="48"/>
      <c r="D959" s="48"/>
      <c r="E959" s="48"/>
      <c r="F959" s="51"/>
      <c r="G959" s="48"/>
      <c r="H959" s="48"/>
      <c r="I959" s="48"/>
      <c r="J959" s="42" t="str">
        <f t="array" ref="J959">IF(G959="","",IFERROR(LET(ev_cost,INDEX(Events!$G$5:$G$506,MATCH(G959,Events!$A$5:$A$506,0)),ev_split,INDEX(Events!$I$5:$I$506,MATCH(G959,Events!$A$5:$A$506,0)),att_offset,MATCH(G959,Attendance!$B$3:$AZ$3,0),attendees,COUNTIF(INDEX(Attendance!$B$7:$AZ$206,0,att_offset),"1"),IF(ev_split="Equal Split",ev_cost/MAX(1,COUNTA(Roster!$A$5:$A$204)),ev_cost/MAX(1,attendees))),"N/A"))</f>
        <v/>
      </c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9.5" customHeight="1">
      <c r="A960" s="44"/>
      <c r="B960" s="45"/>
      <c r="C960" s="45"/>
      <c r="D960" s="45"/>
      <c r="E960" s="45"/>
      <c r="F960" s="46"/>
      <c r="G960" s="45"/>
      <c r="H960" s="45"/>
      <c r="I960" s="45"/>
      <c r="J960" s="42" t="str">
        <f t="array" ref="J960">IF(G960="","",IFERROR(LET(ev_cost,INDEX(Events!$G$5:$G$506,MATCH(G960,Events!$A$5:$A$506,0)),ev_split,INDEX(Events!$I$5:$I$506,MATCH(G960,Events!$A$5:$A$506,0)),att_offset,MATCH(G960,Attendance!$B$3:$AZ$3,0),attendees,COUNTIF(INDEX(Attendance!$B$7:$AZ$206,0,att_offset),"1"),IF(ev_split="Equal Split",ev_cost/MAX(1,COUNTA(Roster!$A$5:$A$204)),ev_cost/MAX(1,attendees))),"N/A"))</f>
        <v/>
      </c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9.5" customHeight="1">
      <c r="A961" s="47"/>
      <c r="B961" s="48"/>
      <c r="C961" s="48"/>
      <c r="D961" s="48"/>
      <c r="E961" s="48"/>
      <c r="F961" s="51"/>
      <c r="G961" s="48"/>
      <c r="H961" s="48"/>
      <c r="I961" s="48"/>
      <c r="J961" s="42" t="str">
        <f t="array" ref="J961">IF(G961="","",IFERROR(LET(ev_cost,INDEX(Events!$G$5:$G$506,MATCH(G961,Events!$A$5:$A$506,0)),ev_split,INDEX(Events!$I$5:$I$506,MATCH(G961,Events!$A$5:$A$506,0)),att_offset,MATCH(G961,Attendance!$B$3:$AZ$3,0),attendees,COUNTIF(INDEX(Attendance!$B$7:$AZ$206,0,att_offset),"1"),IF(ev_split="Equal Split",ev_cost/MAX(1,COUNTA(Roster!$A$5:$A$204)),ev_cost/MAX(1,attendees))),"N/A"))</f>
        <v/>
      </c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9.5" customHeight="1">
      <c r="A962" s="44"/>
      <c r="B962" s="45"/>
      <c r="C962" s="45"/>
      <c r="D962" s="45"/>
      <c r="E962" s="45"/>
      <c r="F962" s="46"/>
      <c r="G962" s="45"/>
      <c r="H962" s="45"/>
      <c r="I962" s="45"/>
      <c r="J962" s="42" t="str">
        <f t="array" ref="J962">IF(G962="","",IFERROR(LET(ev_cost,INDEX(Events!$G$5:$G$506,MATCH(G962,Events!$A$5:$A$506,0)),ev_split,INDEX(Events!$I$5:$I$506,MATCH(G962,Events!$A$5:$A$506,0)),att_offset,MATCH(G962,Attendance!$B$3:$AZ$3,0),attendees,COUNTIF(INDEX(Attendance!$B$7:$AZ$206,0,att_offset),"1"),IF(ev_split="Equal Split",ev_cost/MAX(1,COUNTA(Roster!$A$5:$A$204)),ev_cost/MAX(1,attendees))),"N/A"))</f>
        <v/>
      </c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9.5" customHeight="1">
      <c r="A963" s="47"/>
      <c r="B963" s="48"/>
      <c r="C963" s="48"/>
      <c r="D963" s="48"/>
      <c r="E963" s="48"/>
      <c r="F963" s="51"/>
      <c r="G963" s="48"/>
      <c r="H963" s="48"/>
      <c r="I963" s="48"/>
      <c r="J963" s="42" t="str">
        <f t="array" ref="J963">IF(G963="","",IFERROR(LET(ev_cost,INDEX(Events!$G$5:$G$506,MATCH(G963,Events!$A$5:$A$506,0)),ev_split,INDEX(Events!$I$5:$I$506,MATCH(G963,Events!$A$5:$A$506,0)),att_offset,MATCH(G963,Attendance!$B$3:$AZ$3,0),attendees,COUNTIF(INDEX(Attendance!$B$7:$AZ$206,0,att_offset),"1"),IF(ev_split="Equal Split",ev_cost/MAX(1,COUNTA(Roster!$A$5:$A$204)),ev_cost/MAX(1,attendees))),"N/A"))</f>
        <v/>
      </c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9.5" customHeight="1">
      <c r="A964" s="44"/>
      <c r="B964" s="45"/>
      <c r="C964" s="45"/>
      <c r="D964" s="45"/>
      <c r="E964" s="45"/>
      <c r="F964" s="46"/>
      <c r="G964" s="45"/>
      <c r="H964" s="45"/>
      <c r="I964" s="45"/>
      <c r="J964" s="42" t="str">
        <f t="array" ref="J964">IF(G964="","",IFERROR(LET(ev_cost,INDEX(Events!$G$5:$G$506,MATCH(G964,Events!$A$5:$A$506,0)),ev_split,INDEX(Events!$I$5:$I$506,MATCH(G964,Events!$A$5:$A$506,0)),att_offset,MATCH(G964,Attendance!$B$3:$AZ$3,0),attendees,COUNTIF(INDEX(Attendance!$B$7:$AZ$206,0,att_offset),"1"),IF(ev_split="Equal Split",ev_cost/MAX(1,COUNTA(Roster!$A$5:$A$204)),ev_cost/MAX(1,attendees))),"N/A"))</f>
        <v/>
      </c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9.5" customHeight="1">
      <c r="A965" s="47"/>
      <c r="B965" s="48"/>
      <c r="C965" s="48"/>
      <c r="D965" s="48"/>
      <c r="E965" s="48"/>
      <c r="F965" s="51"/>
      <c r="G965" s="48"/>
      <c r="H965" s="48"/>
      <c r="I965" s="48"/>
      <c r="J965" s="42" t="str">
        <f t="array" ref="J965">IF(G965="","",IFERROR(LET(ev_cost,INDEX(Events!$G$5:$G$506,MATCH(G965,Events!$A$5:$A$506,0)),ev_split,INDEX(Events!$I$5:$I$506,MATCH(G965,Events!$A$5:$A$506,0)),att_offset,MATCH(G965,Attendance!$B$3:$AZ$3,0),attendees,COUNTIF(INDEX(Attendance!$B$7:$AZ$206,0,att_offset),"1"),IF(ev_split="Equal Split",ev_cost/MAX(1,COUNTA(Roster!$A$5:$A$204)),ev_cost/MAX(1,attendees))),"N/A"))</f>
        <v/>
      </c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9.5" customHeight="1">
      <c r="A966" s="44"/>
      <c r="B966" s="45"/>
      <c r="C966" s="45"/>
      <c r="D966" s="45"/>
      <c r="E966" s="45"/>
      <c r="F966" s="46"/>
      <c r="G966" s="45"/>
      <c r="H966" s="45"/>
      <c r="I966" s="45"/>
      <c r="J966" s="42" t="str">
        <f t="array" ref="J966">IF(G966="","",IFERROR(LET(ev_cost,INDEX(Events!$G$5:$G$506,MATCH(G966,Events!$A$5:$A$506,0)),ev_split,INDEX(Events!$I$5:$I$506,MATCH(G966,Events!$A$5:$A$506,0)),att_offset,MATCH(G966,Attendance!$B$3:$AZ$3,0),attendees,COUNTIF(INDEX(Attendance!$B$7:$AZ$206,0,att_offset),"1"),IF(ev_split="Equal Split",ev_cost/MAX(1,COUNTA(Roster!$A$5:$A$204)),ev_cost/MAX(1,attendees))),"N/A"))</f>
        <v/>
      </c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9.5" customHeight="1">
      <c r="A967" s="47"/>
      <c r="B967" s="48"/>
      <c r="C967" s="48"/>
      <c r="D967" s="48"/>
      <c r="E967" s="48"/>
      <c r="F967" s="51"/>
      <c r="G967" s="48"/>
      <c r="H967" s="48"/>
      <c r="I967" s="48"/>
      <c r="J967" s="42" t="str">
        <f t="array" ref="J967">IF(G967="","",IFERROR(LET(ev_cost,INDEX(Events!$G$5:$G$506,MATCH(G967,Events!$A$5:$A$506,0)),ev_split,INDEX(Events!$I$5:$I$506,MATCH(G967,Events!$A$5:$A$506,0)),att_offset,MATCH(G967,Attendance!$B$3:$AZ$3,0),attendees,COUNTIF(INDEX(Attendance!$B$7:$AZ$206,0,att_offset),"1"),IF(ev_split="Equal Split",ev_cost/MAX(1,COUNTA(Roster!$A$5:$A$204)),ev_cost/MAX(1,attendees))),"N/A"))</f>
        <v/>
      </c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9.5" customHeight="1">
      <c r="A968" s="44"/>
      <c r="B968" s="45"/>
      <c r="C968" s="45"/>
      <c r="D968" s="45"/>
      <c r="E968" s="45"/>
      <c r="F968" s="46"/>
      <c r="G968" s="45"/>
      <c r="H968" s="45"/>
      <c r="I968" s="45"/>
      <c r="J968" s="42" t="str">
        <f t="array" ref="J968">IF(G968="","",IFERROR(LET(ev_cost,INDEX(Events!$G$5:$G$506,MATCH(G968,Events!$A$5:$A$506,0)),ev_split,INDEX(Events!$I$5:$I$506,MATCH(G968,Events!$A$5:$A$506,0)),att_offset,MATCH(G968,Attendance!$B$3:$AZ$3,0),attendees,COUNTIF(INDEX(Attendance!$B$7:$AZ$206,0,att_offset),"1"),IF(ev_split="Equal Split",ev_cost/MAX(1,COUNTA(Roster!$A$5:$A$204)),ev_cost/MAX(1,attendees))),"N/A"))</f>
        <v/>
      </c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9.5" customHeight="1">
      <c r="A969" s="47"/>
      <c r="B969" s="48"/>
      <c r="C969" s="48"/>
      <c r="D969" s="48"/>
      <c r="E969" s="48"/>
      <c r="F969" s="51"/>
      <c r="G969" s="48"/>
      <c r="H969" s="48"/>
      <c r="I969" s="48"/>
      <c r="J969" s="42" t="str">
        <f t="array" ref="J969">IF(G969="","",IFERROR(LET(ev_cost,INDEX(Events!$G$5:$G$506,MATCH(G969,Events!$A$5:$A$506,0)),ev_split,INDEX(Events!$I$5:$I$506,MATCH(G969,Events!$A$5:$A$506,0)),att_offset,MATCH(G969,Attendance!$B$3:$AZ$3,0),attendees,COUNTIF(INDEX(Attendance!$B$7:$AZ$206,0,att_offset),"1"),IF(ev_split="Equal Split",ev_cost/MAX(1,COUNTA(Roster!$A$5:$A$204)),ev_cost/MAX(1,attendees))),"N/A"))</f>
        <v/>
      </c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9.5" customHeight="1">
      <c r="A970" s="44"/>
      <c r="B970" s="45"/>
      <c r="C970" s="45"/>
      <c r="D970" s="45"/>
      <c r="E970" s="45"/>
      <c r="F970" s="46"/>
      <c r="G970" s="45"/>
      <c r="H970" s="45"/>
      <c r="I970" s="45"/>
      <c r="J970" s="42" t="str">
        <f t="array" ref="J970">IF(G970="","",IFERROR(LET(ev_cost,INDEX(Events!$G$5:$G$506,MATCH(G970,Events!$A$5:$A$506,0)),ev_split,INDEX(Events!$I$5:$I$506,MATCH(G970,Events!$A$5:$A$506,0)),att_offset,MATCH(G970,Attendance!$B$3:$AZ$3,0),attendees,COUNTIF(INDEX(Attendance!$B$7:$AZ$206,0,att_offset),"1"),IF(ev_split="Equal Split",ev_cost/MAX(1,COUNTA(Roster!$A$5:$A$204)),ev_cost/MAX(1,attendees))),"N/A"))</f>
        <v/>
      </c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9.5" customHeight="1">
      <c r="A971" s="47"/>
      <c r="B971" s="48"/>
      <c r="C971" s="48"/>
      <c r="D971" s="48"/>
      <c r="E971" s="48"/>
      <c r="F971" s="51"/>
      <c r="G971" s="48"/>
      <c r="H971" s="48"/>
      <c r="I971" s="48"/>
      <c r="J971" s="42" t="str">
        <f t="array" ref="J971">IF(G971="","",IFERROR(LET(ev_cost,INDEX(Events!$G$5:$G$506,MATCH(G971,Events!$A$5:$A$506,0)),ev_split,INDEX(Events!$I$5:$I$506,MATCH(G971,Events!$A$5:$A$506,0)),att_offset,MATCH(G971,Attendance!$B$3:$AZ$3,0),attendees,COUNTIF(INDEX(Attendance!$B$7:$AZ$206,0,att_offset),"1"),IF(ev_split="Equal Split",ev_cost/MAX(1,COUNTA(Roster!$A$5:$A$204)),ev_cost/MAX(1,attendees))),"N/A"))</f>
        <v/>
      </c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9.5" customHeight="1">
      <c r="A972" s="44"/>
      <c r="B972" s="45"/>
      <c r="C972" s="45"/>
      <c r="D972" s="45"/>
      <c r="E972" s="45"/>
      <c r="F972" s="46"/>
      <c r="G972" s="45"/>
      <c r="H972" s="45"/>
      <c r="I972" s="45"/>
      <c r="J972" s="42" t="str">
        <f t="array" ref="J972">IF(G972="","",IFERROR(LET(ev_cost,INDEX(Events!$G$5:$G$506,MATCH(G972,Events!$A$5:$A$506,0)),ev_split,INDEX(Events!$I$5:$I$506,MATCH(G972,Events!$A$5:$A$506,0)),att_offset,MATCH(G972,Attendance!$B$3:$AZ$3,0),attendees,COUNTIF(INDEX(Attendance!$B$7:$AZ$206,0,att_offset),"1"),IF(ev_split="Equal Split",ev_cost/MAX(1,COUNTA(Roster!$A$5:$A$204)),ev_cost/MAX(1,attendees))),"N/A"))</f>
        <v/>
      </c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9.5" customHeight="1">
      <c r="A973" s="47"/>
      <c r="B973" s="48"/>
      <c r="C973" s="48"/>
      <c r="D973" s="48"/>
      <c r="E973" s="48"/>
      <c r="F973" s="51"/>
      <c r="G973" s="48"/>
      <c r="H973" s="48"/>
      <c r="I973" s="48"/>
      <c r="J973" s="42" t="str">
        <f t="array" ref="J973">IF(G973="","",IFERROR(LET(ev_cost,INDEX(Events!$G$5:$G$506,MATCH(G973,Events!$A$5:$A$506,0)),ev_split,INDEX(Events!$I$5:$I$506,MATCH(G973,Events!$A$5:$A$506,0)),att_offset,MATCH(G973,Attendance!$B$3:$AZ$3,0),attendees,COUNTIF(INDEX(Attendance!$B$7:$AZ$206,0,att_offset),"1"),IF(ev_split="Equal Split",ev_cost/MAX(1,COUNTA(Roster!$A$5:$A$204)),ev_cost/MAX(1,attendees))),"N/A"))</f>
        <v/>
      </c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9.5" customHeight="1">
      <c r="A974" s="44"/>
      <c r="B974" s="45"/>
      <c r="C974" s="45"/>
      <c r="D974" s="45"/>
      <c r="E974" s="45"/>
      <c r="F974" s="46"/>
      <c r="G974" s="45"/>
      <c r="H974" s="45"/>
      <c r="I974" s="45"/>
      <c r="J974" s="42" t="str">
        <f t="array" ref="J974">IF(G974="","",IFERROR(LET(ev_cost,INDEX(Events!$G$5:$G$506,MATCH(G974,Events!$A$5:$A$506,0)),ev_split,INDEX(Events!$I$5:$I$506,MATCH(G974,Events!$A$5:$A$506,0)),att_offset,MATCH(G974,Attendance!$B$3:$AZ$3,0),attendees,COUNTIF(INDEX(Attendance!$B$7:$AZ$206,0,att_offset),"1"),IF(ev_split="Equal Split",ev_cost/MAX(1,COUNTA(Roster!$A$5:$A$204)),ev_cost/MAX(1,attendees))),"N/A"))</f>
        <v/>
      </c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9.5" customHeight="1">
      <c r="A975" s="47"/>
      <c r="B975" s="48"/>
      <c r="C975" s="48"/>
      <c r="D975" s="48"/>
      <c r="E975" s="48"/>
      <c r="F975" s="51"/>
      <c r="G975" s="48"/>
      <c r="H975" s="48"/>
      <c r="I975" s="48"/>
      <c r="J975" s="42" t="str">
        <f t="array" ref="J975">IF(G975="","",IFERROR(LET(ev_cost,INDEX(Events!$G$5:$G$506,MATCH(G975,Events!$A$5:$A$506,0)),ev_split,INDEX(Events!$I$5:$I$506,MATCH(G975,Events!$A$5:$A$506,0)),att_offset,MATCH(G975,Attendance!$B$3:$AZ$3,0),attendees,COUNTIF(INDEX(Attendance!$B$7:$AZ$206,0,att_offset),"1"),IF(ev_split="Equal Split",ev_cost/MAX(1,COUNTA(Roster!$A$5:$A$204)),ev_cost/MAX(1,attendees))),"N/A"))</f>
        <v/>
      </c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9.5" customHeight="1">
      <c r="A976" s="44"/>
      <c r="B976" s="45"/>
      <c r="C976" s="45"/>
      <c r="D976" s="45"/>
      <c r="E976" s="45"/>
      <c r="F976" s="46"/>
      <c r="G976" s="45"/>
      <c r="H976" s="45"/>
      <c r="I976" s="45"/>
      <c r="J976" s="42" t="str">
        <f t="array" ref="J976">IF(G976="","",IFERROR(LET(ev_cost,INDEX(Events!$G$5:$G$506,MATCH(G976,Events!$A$5:$A$506,0)),ev_split,INDEX(Events!$I$5:$I$506,MATCH(G976,Events!$A$5:$A$506,0)),att_offset,MATCH(G976,Attendance!$B$3:$AZ$3,0),attendees,COUNTIF(INDEX(Attendance!$B$7:$AZ$206,0,att_offset),"1"),IF(ev_split="Equal Split",ev_cost/MAX(1,COUNTA(Roster!$A$5:$A$204)),ev_cost/MAX(1,attendees))),"N/A"))</f>
        <v/>
      </c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9.5" customHeight="1">
      <c r="A977" s="47"/>
      <c r="B977" s="48"/>
      <c r="C977" s="48"/>
      <c r="D977" s="48"/>
      <c r="E977" s="48"/>
      <c r="F977" s="51"/>
      <c r="G977" s="48"/>
      <c r="H977" s="48"/>
      <c r="I977" s="48"/>
      <c r="J977" s="42" t="str">
        <f t="array" ref="J977">IF(G977="","",IFERROR(LET(ev_cost,INDEX(Events!$G$5:$G$506,MATCH(G977,Events!$A$5:$A$506,0)),ev_split,INDEX(Events!$I$5:$I$506,MATCH(G977,Events!$A$5:$A$506,0)),att_offset,MATCH(G977,Attendance!$B$3:$AZ$3,0),attendees,COUNTIF(INDEX(Attendance!$B$7:$AZ$206,0,att_offset),"1"),IF(ev_split="Equal Split",ev_cost/MAX(1,COUNTA(Roster!$A$5:$A$204)),ev_cost/MAX(1,attendees))),"N/A"))</f>
        <v/>
      </c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9.5" customHeight="1">
      <c r="A978" s="44"/>
      <c r="B978" s="45"/>
      <c r="C978" s="45"/>
      <c r="D978" s="45"/>
      <c r="E978" s="45"/>
      <c r="F978" s="46"/>
      <c r="G978" s="45"/>
      <c r="H978" s="45"/>
      <c r="I978" s="45"/>
      <c r="J978" s="42" t="str">
        <f t="array" ref="J978">IF(G978="","",IFERROR(LET(ev_cost,INDEX(Events!$G$5:$G$506,MATCH(G978,Events!$A$5:$A$506,0)),ev_split,INDEX(Events!$I$5:$I$506,MATCH(G978,Events!$A$5:$A$506,0)),att_offset,MATCH(G978,Attendance!$B$3:$AZ$3,0),attendees,COUNTIF(INDEX(Attendance!$B$7:$AZ$206,0,att_offset),"1"),IF(ev_split="Equal Split",ev_cost/MAX(1,COUNTA(Roster!$A$5:$A$204)),ev_cost/MAX(1,attendees))),"N/A"))</f>
        <v/>
      </c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9.5" customHeight="1">
      <c r="A979" s="47"/>
      <c r="B979" s="48"/>
      <c r="C979" s="48"/>
      <c r="D979" s="48"/>
      <c r="E979" s="48"/>
      <c r="F979" s="51"/>
      <c r="G979" s="48"/>
      <c r="H979" s="48"/>
      <c r="I979" s="48"/>
      <c r="J979" s="42" t="str">
        <f t="array" ref="J979">IF(G979="","",IFERROR(LET(ev_cost,INDEX(Events!$G$5:$G$506,MATCH(G979,Events!$A$5:$A$506,0)),ev_split,INDEX(Events!$I$5:$I$506,MATCH(G979,Events!$A$5:$A$506,0)),att_offset,MATCH(G979,Attendance!$B$3:$AZ$3,0),attendees,COUNTIF(INDEX(Attendance!$B$7:$AZ$206,0,att_offset),"1"),IF(ev_split="Equal Split",ev_cost/MAX(1,COUNTA(Roster!$A$5:$A$204)),ev_cost/MAX(1,attendees))),"N/A"))</f>
        <v/>
      </c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9.5" customHeight="1">
      <c r="A980" s="44"/>
      <c r="B980" s="45"/>
      <c r="C980" s="45"/>
      <c r="D980" s="45"/>
      <c r="E980" s="45"/>
      <c r="F980" s="46"/>
      <c r="G980" s="45"/>
      <c r="H980" s="45"/>
      <c r="I980" s="45"/>
      <c r="J980" s="42" t="str">
        <f t="array" ref="J980">IF(G980="","",IFERROR(LET(ev_cost,INDEX(Events!$G$5:$G$506,MATCH(G980,Events!$A$5:$A$506,0)),ev_split,INDEX(Events!$I$5:$I$506,MATCH(G980,Events!$A$5:$A$506,0)),att_offset,MATCH(G980,Attendance!$B$3:$AZ$3,0),attendees,COUNTIF(INDEX(Attendance!$B$7:$AZ$206,0,att_offset),"1"),IF(ev_split="Equal Split",ev_cost/MAX(1,COUNTA(Roster!$A$5:$A$204)),ev_cost/MAX(1,attendees))),"N/A"))</f>
        <v/>
      </c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9.5" customHeight="1">
      <c r="A981" s="47"/>
      <c r="B981" s="48"/>
      <c r="C981" s="48"/>
      <c r="D981" s="48"/>
      <c r="E981" s="48"/>
      <c r="F981" s="51"/>
      <c r="G981" s="48"/>
      <c r="H981" s="48"/>
      <c r="I981" s="48"/>
      <c r="J981" s="42" t="str">
        <f t="array" ref="J981">IF(G981="","",IFERROR(LET(ev_cost,INDEX(Events!$G$5:$G$506,MATCH(G981,Events!$A$5:$A$506,0)),ev_split,INDEX(Events!$I$5:$I$506,MATCH(G981,Events!$A$5:$A$506,0)),att_offset,MATCH(G981,Attendance!$B$3:$AZ$3,0),attendees,COUNTIF(INDEX(Attendance!$B$7:$AZ$206,0,att_offset),"1"),IF(ev_split="Equal Split",ev_cost/MAX(1,COUNTA(Roster!$A$5:$A$204)),ev_cost/MAX(1,attendees))),"N/A"))</f>
        <v/>
      </c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9.5" customHeight="1">
      <c r="A982" s="44"/>
      <c r="B982" s="45"/>
      <c r="C982" s="45"/>
      <c r="D982" s="45"/>
      <c r="E982" s="45"/>
      <c r="F982" s="46"/>
      <c r="G982" s="45"/>
      <c r="H982" s="45"/>
      <c r="I982" s="45"/>
      <c r="J982" s="42" t="str">
        <f t="array" ref="J982">IF(G982="","",IFERROR(LET(ev_cost,INDEX(Events!$G$5:$G$506,MATCH(G982,Events!$A$5:$A$506,0)),ev_split,INDEX(Events!$I$5:$I$506,MATCH(G982,Events!$A$5:$A$506,0)),att_offset,MATCH(G982,Attendance!$B$3:$AZ$3,0),attendees,COUNTIF(INDEX(Attendance!$B$7:$AZ$206,0,att_offset),"1"),IF(ev_split="Equal Split",ev_cost/MAX(1,COUNTA(Roster!$A$5:$A$204)),ev_cost/MAX(1,attendees))),"N/A"))</f>
        <v/>
      </c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9.5" customHeight="1">
      <c r="A983" s="47"/>
      <c r="B983" s="48"/>
      <c r="C983" s="48"/>
      <c r="D983" s="48"/>
      <c r="E983" s="48"/>
      <c r="F983" s="51"/>
      <c r="G983" s="48"/>
      <c r="H983" s="48"/>
      <c r="I983" s="48"/>
      <c r="J983" s="42" t="str">
        <f t="array" ref="J983">IF(G983="","",IFERROR(LET(ev_cost,INDEX(Events!$G$5:$G$506,MATCH(G983,Events!$A$5:$A$506,0)),ev_split,INDEX(Events!$I$5:$I$506,MATCH(G983,Events!$A$5:$A$506,0)),att_offset,MATCH(G983,Attendance!$B$3:$AZ$3,0),attendees,COUNTIF(INDEX(Attendance!$B$7:$AZ$206,0,att_offset),"1"),IF(ev_split="Equal Split",ev_cost/MAX(1,COUNTA(Roster!$A$5:$A$204)),ev_cost/MAX(1,attendees))),"N/A"))</f>
        <v/>
      </c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9.5" customHeight="1">
      <c r="A984" s="44"/>
      <c r="B984" s="45"/>
      <c r="C984" s="45"/>
      <c r="D984" s="45"/>
      <c r="E984" s="45"/>
      <c r="F984" s="46"/>
      <c r="G984" s="45"/>
      <c r="H984" s="45"/>
      <c r="I984" s="45"/>
      <c r="J984" s="42" t="str">
        <f t="array" ref="J984">IF(G984="","",IFERROR(LET(ev_cost,INDEX(Events!$G$5:$G$506,MATCH(G984,Events!$A$5:$A$506,0)),ev_split,INDEX(Events!$I$5:$I$506,MATCH(G984,Events!$A$5:$A$506,0)),att_offset,MATCH(G984,Attendance!$B$3:$AZ$3,0),attendees,COUNTIF(INDEX(Attendance!$B$7:$AZ$206,0,att_offset),"1"),IF(ev_split="Equal Split",ev_cost/MAX(1,COUNTA(Roster!$A$5:$A$204)),ev_cost/MAX(1,attendees))),"N/A"))</f>
        <v/>
      </c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9.5" customHeight="1">
      <c r="A985" s="47"/>
      <c r="B985" s="48"/>
      <c r="C985" s="48"/>
      <c r="D985" s="48"/>
      <c r="E985" s="48"/>
      <c r="F985" s="51"/>
      <c r="G985" s="48"/>
      <c r="H985" s="48"/>
      <c r="I985" s="48"/>
      <c r="J985" s="42" t="str">
        <f t="array" ref="J985">IF(G985="","",IFERROR(LET(ev_cost,INDEX(Events!$G$5:$G$506,MATCH(G985,Events!$A$5:$A$506,0)),ev_split,INDEX(Events!$I$5:$I$506,MATCH(G985,Events!$A$5:$A$506,0)),att_offset,MATCH(G985,Attendance!$B$3:$AZ$3,0),attendees,COUNTIF(INDEX(Attendance!$B$7:$AZ$206,0,att_offset),"1"),IF(ev_split="Equal Split",ev_cost/MAX(1,COUNTA(Roster!$A$5:$A$204)),ev_cost/MAX(1,attendees))),"N/A"))</f>
        <v/>
      </c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9.5" customHeight="1">
      <c r="A986" s="44"/>
      <c r="B986" s="45"/>
      <c r="C986" s="45"/>
      <c r="D986" s="45"/>
      <c r="E986" s="45"/>
      <c r="F986" s="46"/>
      <c r="G986" s="45"/>
      <c r="H986" s="45"/>
      <c r="I986" s="45"/>
      <c r="J986" s="42" t="str">
        <f t="array" ref="J986">IF(G986="","",IFERROR(LET(ev_cost,INDEX(Events!$G$5:$G$506,MATCH(G986,Events!$A$5:$A$506,0)),ev_split,INDEX(Events!$I$5:$I$506,MATCH(G986,Events!$A$5:$A$506,0)),att_offset,MATCH(G986,Attendance!$B$3:$AZ$3,0),attendees,COUNTIF(INDEX(Attendance!$B$7:$AZ$206,0,att_offset),"1"),IF(ev_split="Equal Split",ev_cost/MAX(1,COUNTA(Roster!$A$5:$A$204)),ev_cost/MAX(1,attendees))),"N/A"))</f>
        <v/>
      </c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9.5" customHeight="1">
      <c r="A987" s="47"/>
      <c r="B987" s="48"/>
      <c r="C987" s="48"/>
      <c r="D987" s="48"/>
      <c r="E987" s="48"/>
      <c r="F987" s="51"/>
      <c r="G987" s="48"/>
      <c r="H987" s="48"/>
      <c r="I987" s="48"/>
      <c r="J987" s="42" t="str">
        <f t="array" ref="J987">IF(G987="","",IFERROR(LET(ev_cost,INDEX(Events!$G$5:$G$506,MATCH(G987,Events!$A$5:$A$506,0)),ev_split,INDEX(Events!$I$5:$I$506,MATCH(G987,Events!$A$5:$A$506,0)),att_offset,MATCH(G987,Attendance!$B$3:$AZ$3,0),attendees,COUNTIF(INDEX(Attendance!$B$7:$AZ$206,0,att_offset),"1"),IF(ev_split="Equal Split",ev_cost/MAX(1,COUNTA(Roster!$A$5:$A$204)),ev_cost/MAX(1,attendees))),"N/A"))</f>
        <v/>
      </c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9.5" customHeight="1">
      <c r="A988" s="44"/>
      <c r="B988" s="45"/>
      <c r="C988" s="45"/>
      <c r="D988" s="45"/>
      <c r="E988" s="45"/>
      <c r="F988" s="46"/>
      <c r="G988" s="45"/>
      <c r="H988" s="45"/>
      <c r="I988" s="45"/>
      <c r="J988" s="42" t="str">
        <f t="array" ref="J988">IF(G988="","",IFERROR(LET(ev_cost,INDEX(Events!$G$5:$G$506,MATCH(G988,Events!$A$5:$A$506,0)),ev_split,INDEX(Events!$I$5:$I$506,MATCH(G988,Events!$A$5:$A$506,0)),att_offset,MATCH(G988,Attendance!$B$3:$AZ$3,0),attendees,COUNTIF(INDEX(Attendance!$B$7:$AZ$206,0,att_offset),"1"),IF(ev_split="Equal Split",ev_cost/MAX(1,COUNTA(Roster!$A$5:$A$204)),ev_cost/MAX(1,attendees))),"N/A"))</f>
        <v/>
      </c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9.5" customHeight="1">
      <c r="A989" s="47"/>
      <c r="B989" s="48"/>
      <c r="C989" s="48"/>
      <c r="D989" s="48"/>
      <c r="E989" s="48"/>
      <c r="F989" s="51"/>
      <c r="G989" s="48"/>
      <c r="H989" s="48"/>
      <c r="I989" s="48"/>
      <c r="J989" s="42" t="str">
        <f t="array" ref="J989">IF(G989="","",IFERROR(LET(ev_cost,INDEX(Events!$G$5:$G$506,MATCH(G989,Events!$A$5:$A$506,0)),ev_split,INDEX(Events!$I$5:$I$506,MATCH(G989,Events!$A$5:$A$506,0)),att_offset,MATCH(G989,Attendance!$B$3:$AZ$3,0),attendees,COUNTIF(INDEX(Attendance!$B$7:$AZ$206,0,att_offset),"1"),IF(ev_split="Equal Split",ev_cost/MAX(1,COUNTA(Roster!$A$5:$A$204)),ev_cost/MAX(1,attendees))),"N/A"))</f>
        <v/>
      </c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9.5" customHeight="1">
      <c r="A990" s="44"/>
      <c r="B990" s="45"/>
      <c r="C990" s="45"/>
      <c r="D990" s="45"/>
      <c r="E990" s="45"/>
      <c r="F990" s="46"/>
      <c r="G990" s="45"/>
      <c r="H990" s="45"/>
      <c r="I990" s="45"/>
      <c r="J990" s="42" t="str">
        <f t="array" ref="J990">IF(G990="","",IFERROR(LET(ev_cost,INDEX(Events!$G$5:$G$506,MATCH(G990,Events!$A$5:$A$506,0)),ev_split,INDEX(Events!$I$5:$I$506,MATCH(G990,Events!$A$5:$A$506,0)),att_offset,MATCH(G990,Attendance!$B$3:$AZ$3,0),attendees,COUNTIF(INDEX(Attendance!$B$7:$AZ$206,0,att_offset),"1"),IF(ev_split="Equal Split",ev_cost/MAX(1,COUNTA(Roster!$A$5:$A$204)),ev_cost/MAX(1,attendees))),"N/A"))</f>
        <v/>
      </c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9.5" customHeight="1">
      <c r="A991" s="47"/>
      <c r="B991" s="48"/>
      <c r="C991" s="48"/>
      <c r="D991" s="48"/>
      <c r="E991" s="48"/>
      <c r="F991" s="51"/>
      <c r="G991" s="48"/>
      <c r="H991" s="48"/>
      <c r="I991" s="48"/>
      <c r="J991" s="42" t="str">
        <f t="array" ref="J991">IF(G991="","",IFERROR(LET(ev_cost,INDEX(Events!$G$5:$G$506,MATCH(G991,Events!$A$5:$A$506,0)),ev_split,INDEX(Events!$I$5:$I$506,MATCH(G991,Events!$A$5:$A$506,0)),att_offset,MATCH(G991,Attendance!$B$3:$AZ$3,0),attendees,COUNTIF(INDEX(Attendance!$B$7:$AZ$206,0,att_offset),"1"),IF(ev_split="Equal Split",ev_cost/MAX(1,COUNTA(Roster!$A$5:$A$204)),ev_cost/MAX(1,attendees))),"N/A"))</f>
        <v/>
      </c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9.5" customHeight="1">
      <c r="A992" s="44"/>
      <c r="B992" s="45"/>
      <c r="C992" s="45"/>
      <c r="D992" s="45"/>
      <c r="E992" s="45"/>
      <c r="F992" s="46"/>
      <c r="G992" s="45"/>
      <c r="H992" s="45"/>
      <c r="I992" s="45"/>
      <c r="J992" s="42" t="str">
        <f t="array" ref="J992">IF(G992="","",IFERROR(LET(ev_cost,INDEX(Events!$G$5:$G$506,MATCH(G992,Events!$A$5:$A$506,0)),ev_split,INDEX(Events!$I$5:$I$506,MATCH(G992,Events!$A$5:$A$506,0)),att_offset,MATCH(G992,Attendance!$B$3:$AZ$3,0),attendees,COUNTIF(INDEX(Attendance!$B$7:$AZ$206,0,att_offset),"1"),IF(ev_split="Equal Split",ev_cost/MAX(1,COUNTA(Roster!$A$5:$A$204)),ev_cost/MAX(1,attendees))),"N/A"))</f>
        <v/>
      </c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9.5" customHeight="1">
      <c r="A993" s="47"/>
      <c r="B993" s="48"/>
      <c r="C993" s="48"/>
      <c r="D993" s="48"/>
      <c r="E993" s="48"/>
      <c r="F993" s="51"/>
      <c r="G993" s="48"/>
      <c r="H993" s="48"/>
      <c r="I993" s="48"/>
      <c r="J993" s="42" t="str">
        <f t="array" ref="J993">IF(G993="","",IFERROR(LET(ev_cost,INDEX(Events!$G$5:$G$506,MATCH(G993,Events!$A$5:$A$506,0)),ev_split,INDEX(Events!$I$5:$I$506,MATCH(G993,Events!$A$5:$A$506,0)),att_offset,MATCH(G993,Attendance!$B$3:$AZ$3,0),attendees,COUNTIF(INDEX(Attendance!$B$7:$AZ$206,0,att_offset),"1"),IF(ev_split="Equal Split",ev_cost/MAX(1,COUNTA(Roster!$A$5:$A$204)),ev_cost/MAX(1,attendees))),"N/A"))</f>
        <v/>
      </c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9.5" customHeight="1">
      <c r="A994" s="44"/>
      <c r="B994" s="45"/>
      <c r="C994" s="45"/>
      <c r="D994" s="45"/>
      <c r="E994" s="45"/>
      <c r="F994" s="46"/>
      <c r="G994" s="45"/>
      <c r="H994" s="45"/>
      <c r="I994" s="45"/>
      <c r="J994" s="42" t="str">
        <f t="array" ref="J994">IF(G994="","",IFERROR(LET(ev_cost,INDEX(Events!$G$5:$G$506,MATCH(G994,Events!$A$5:$A$506,0)),ev_split,INDEX(Events!$I$5:$I$506,MATCH(G994,Events!$A$5:$A$506,0)),att_offset,MATCH(G994,Attendance!$B$3:$AZ$3,0),attendees,COUNTIF(INDEX(Attendance!$B$7:$AZ$206,0,att_offset),"1"),IF(ev_split="Equal Split",ev_cost/MAX(1,COUNTA(Roster!$A$5:$A$204)),ev_cost/MAX(1,attendees))),"N/A"))</f>
        <v/>
      </c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9.5" customHeight="1">
      <c r="A995" s="47"/>
      <c r="B995" s="48"/>
      <c r="C995" s="48"/>
      <c r="D995" s="48"/>
      <c r="E995" s="48"/>
      <c r="F995" s="51"/>
      <c r="G995" s="48"/>
      <c r="H995" s="48"/>
      <c r="I995" s="48"/>
      <c r="J995" s="42" t="str">
        <f t="array" ref="J995">IF(G995="","",IFERROR(LET(ev_cost,INDEX(Events!$G$5:$G$506,MATCH(G995,Events!$A$5:$A$506,0)),ev_split,INDEX(Events!$I$5:$I$506,MATCH(G995,Events!$A$5:$A$506,0)),att_offset,MATCH(G995,Attendance!$B$3:$AZ$3,0),attendees,COUNTIF(INDEX(Attendance!$B$7:$AZ$206,0,att_offset),"1"),IF(ev_split="Equal Split",ev_cost/MAX(1,COUNTA(Roster!$A$5:$A$204)),ev_cost/MAX(1,attendees))),"N/A"))</f>
        <v/>
      </c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9.5" customHeight="1">
      <c r="A996" s="44"/>
      <c r="B996" s="45"/>
      <c r="C996" s="45"/>
      <c r="D996" s="45"/>
      <c r="E996" s="45"/>
      <c r="F996" s="46"/>
      <c r="G996" s="45"/>
      <c r="H996" s="45"/>
      <c r="I996" s="45"/>
      <c r="J996" s="42" t="str">
        <f t="array" ref="J996">IF(G996="","",IFERROR(LET(ev_cost,INDEX(Events!$G$5:$G$506,MATCH(G996,Events!$A$5:$A$506,0)),ev_split,INDEX(Events!$I$5:$I$506,MATCH(G996,Events!$A$5:$A$506,0)),att_offset,MATCH(G996,Attendance!$B$3:$AZ$3,0),attendees,COUNTIF(INDEX(Attendance!$B$7:$AZ$206,0,att_offset),"1"),IF(ev_split="Equal Split",ev_cost/MAX(1,COUNTA(Roster!$A$5:$A$204)),ev_cost/MAX(1,attendees))),"N/A"))</f>
        <v/>
      </c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5.75" customHeight="1">
      <c r="A997" s="4"/>
      <c r="B997" s="4"/>
      <c r="C997" s="4"/>
      <c r="D997" s="4"/>
      <c r="E997" s="4"/>
      <c r="F997" s="29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5.75" customHeight="1">
      <c r="A998" s="4"/>
      <c r="B998" s="4"/>
      <c r="C998" s="4"/>
      <c r="D998" s="4"/>
      <c r="E998" s="4"/>
      <c r="F998" s="29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5.75" customHeight="1">
      <c r="A999" s="4"/>
      <c r="B999" s="4"/>
      <c r="C999" s="4"/>
      <c r="D999" s="4"/>
      <c r="E999" s="4"/>
      <c r="F999" s="29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5.75" customHeight="1">
      <c r="A1000" s="4"/>
      <c r="B1000" s="4"/>
      <c r="C1000" s="4"/>
      <c r="D1000" s="4"/>
      <c r="E1000" s="4"/>
      <c r="F1000" s="29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mergeCells count="1">
    <mergeCell ref="A1:I1"/>
  </mergeCells>
  <dataValidations>
    <dataValidation type="list" allowBlank="1" sqref="C7:C996">
      <formula1>"Dues,Tournament Fee,Field Fee,Hotel,Travel,Equipment,Fundraiser Income,Sponsorship,Refund,Other"</formula1>
    </dataValidation>
    <dataValidation type="list" allowBlank="1" sqref="D7:D996">
      <formula1>"Income,Expense,Fundraiser"</formula1>
    </dataValidation>
    <dataValidation type="list" allowBlank="1" sqref="I7:I996">
      <formula1>"Cleared,Pending,Disputed"</formula1>
    </dataValidation>
    <dataValidation type="list" allowBlank="1" sqref="G7:G996">
      <formula1>Events!$A$5:$A$506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6.0" topLeftCell="A7" activePane="bottomLeft" state="frozen"/>
      <selection activeCell="B8" sqref="B8" pane="bottomLeft"/>
    </sheetView>
  </sheetViews>
  <sheetFormatPr customHeight="1" defaultColWidth="14.43" defaultRowHeight="15.0"/>
  <cols>
    <col customWidth="1" min="1" max="1" width="22.0"/>
    <col customWidth="1" min="2" max="2" width="20.0"/>
    <col customWidth="1" min="3" max="3" width="18.0"/>
    <col customWidth="1" min="4" max="4" width="24.0"/>
    <col customWidth="1" min="5" max="6" width="18.0"/>
    <col customWidth="1" min="7" max="7" width="16.0"/>
    <col customWidth="1" min="8" max="8" width="20.0"/>
  </cols>
  <sheetData>
    <row r="1" ht="37.5" customHeight="1">
      <c r="A1" s="12" t="s">
        <v>70</v>
      </c>
      <c r="B1" s="13"/>
      <c r="C1" s="13"/>
      <c r="D1" s="13"/>
      <c r="E1" s="13"/>
      <c r="F1" s="13"/>
      <c r="G1" s="13"/>
      <c r="H1" s="1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3.5" customHeight="1">
      <c r="A2" s="4"/>
      <c r="B2" s="4"/>
      <c r="C2" s="4"/>
      <c r="D2" s="4"/>
      <c r="E2" s="4"/>
      <c r="F2" s="4"/>
      <c r="G2" s="52"/>
      <c r="H2" s="52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53" t="s">
        <v>71</v>
      </c>
      <c r="B3" s="53" t="s">
        <v>72</v>
      </c>
      <c r="C3" s="53" t="s">
        <v>73</v>
      </c>
      <c r="D3" s="53" t="s">
        <v>74</v>
      </c>
      <c r="E3" s="53" t="s">
        <v>75</v>
      </c>
      <c r="F3" s="52"/>
      <c r="G3" s="52"/>
      <c r="H3" s="52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54">
        <f>SUMIF(E7:E206,"&gt;0",E7:E206)</f>
        <v>2339.366786</v>
      </c>
      <c r="B4" s="54">
        <f>SUMIF(E7:E206,"&lt;0",E7:E206)</f>
        <v>-2049.366786</v>
      </c>
      <c r="C4" s="54">
        <f>SUM(E7:E206)</f>
        <v>290</v>
      </c>
      <c r="D4" s="55">
        <f>COUNTIF(F7:F206,"Settled")</f>
        <v>3</v>
      </c>
      <c r="E4" s="55">
        <f>COUNTIF(F7:F206,"Unsettled")</f>
        <v>31</v>
      </c>
      <c r="F4" s="52"/>
      <c r="G4" s="52"/>
      <c r="H4" s="52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7.5" customHeight="1">
      <c r="A5" s="4"/>
      <c r="B5" s="4"/>
      <c r="C5" s="4"/>
      <c r="D5" s="4"/>
      <c r="E5" s="4"/>
      <c r="F5" s="4"/>
      <c r="G5" s="52"/>
      <c r="H5" s="52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5" t="s">
        <v>41</v>
      </c>
      <c r="B6" s="5" t="s">
        <v>76</v>
      </c>
      <c r="C6" s="5" t="s">
        <v>77</v>
      </c>
      <c r="D6" s="5" t="s">
        <v>78</v>
      </c>
      <c r="E6" s="5" t="s">
        <v>79</v>
      </c>
      <c r="F6" s="5" t="s">
        <v>5</v>
      </c>
      <c r="G6" s="52"/>
      <c r="H6" s="52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9.5" customHeight="1">
      <c r="A7" s="23" t="str">
        <f>IF(Roster!$A$5&lt;&gt;"",Roster!$A$5,"")</f>
        <v>At</v>
      </c>
      <c r="B7" s="23">
        <f t="array" ref="B7">IF(A7&lt;&gt;"",IFERROR(SUMPRODUCT((INDEX(Attendance!$B$7:$AZ$206,MATCH(A7,Attendance!$A$7:$A$206,0),0)=1)*Attendance!$B$4:$AZ$4),0),"")</f>
        <v>89.63321386</v>
      </c>
      <c r="C7" s="56">
        <f>IF(A7&lt;&gt;"",SUMIFS(Transactions!$F$7:$F$996,Transactions!$D$7:$D$996,"Income",Transactions!$E$7:$E$996,A7),"")</f>
        <v>0</v>
      </c>
      <c r="D7" s="56">
        <f>IF(A7&lt;&gt;"",SUMIFS(Transactions!$F$7:$F$996,Transactions!$D$7:$D$996,"Expense",Transactions!$E$7:$E$996,A7),"")</f>
        <v>0</v>
      </c>
      <c r="E7" s="54">
        <f t="shared" ref="E7:E206" si="1">IF(A7&lt;&gt;"",B7-C7-D7,"")</f>
        <v>89.63321386</v>
      </c>
      <c r="F7" s="54" t="str">
        <f t="shared" ref="F7:F206" si="2">IF(A7&lt;&gt;"",IF(E7=0,"Settled","Unsettled"),"")</f>
        <v>Unsettled</v>
      </c>
      <c r="G7" s="57"/>
      <c r="H7" s="52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9.5" customHeight="1">
      <c r="A8" s="23" t="str">
        <f>IF(Roster!$A$6&lt;&gt;"",Roster!$A$6,"")</f>
        <v>Alex Warrington</v>
      </c>
      <c r="B8" s="23">
        <f t="array" ref="B8">IF(A8&lt;&gt;"",IFERROR(SUMPRODUCT((INDEX(Attendance!$B$7:$AZ$206,MATCH(A8,Attendance!$A$7:$A$206,0),0)=1)*Attendance!$B$4:$AZ$4),0),"")</f>
        <v>89.63321386</v>
      </c>
      <c r="C8" s="56">
        <f>IF(A8&lt;&gt;"",SUMIFS(Transactions!$F$7:$F$996,Transactions!$D$7:$D$996,"Income",Transactions!$E$7:$E$996,A8),"")</f>
        <v>0</v>
      </c>
      <c r="D8" s="56">
        <f>IF(A8&lt;&gt;"",SUMIFS(Transactions!$F$7:$F$996,Transactions!$D$7:$D$996,"Expense",Transactions!$E$7:$E$996,A8),"")</f>
        <v>0</v>
      </c>
      <c r="E8" s="54">
        <f t="shared" si="1"/>
        <v>89.63321386</v>
      </c>
      <c r="F8" s="54" t="str">
        <f t="shared" si="2"/>
        <v>Unsettled</v>
      </c>
      <c r="G8" s="57"/>
      <c r="H8" s="52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9.5" customHeight="1">
      <c r="A9" s="23" t="str">
        <f>IF(Roster!$A$7&lt;&gt;"",Roster!$A$7,"")</f>
        <v>Chris Wohl</v>
      </c>
      <c r="B9" s="23">
        <f t="array" ref="B9">IF(A9&lt;&gt;"",IFERROR(SUMPRODUCT((INDEX(Attendance!$B$7:$AZ$206,MATCH(A9,Attendance!$A$7:$A$206,0),0)=1)*Attendance!$B$4:$AZ$4),0),"")</f>
        <v>89.63321386</v>
      </c>
      <c r="C9" s="56">
        <f>IF(A9&lt;&gt;"",SUMIFS(Transactions!$F$7:$F$996,Transactions!$D$7:$D$996,"Income",Transactions!$E$7:$E$996,A9),"")</f>
        <v>0</v>
      </c>
      <c r="D9" s="56">
        <f>IF(A9&lt;&gt;"",SUMIFS(Transactions!$F$7:$F$996,Transactions!$D$7:$D$996,"Expense",Transactions!$E$7:$E$996,A9),"")</f>
        <v>0</v>
      </c>
      <c r="E9" s="54">
        <f t="shared" si="1"/>
        <v>89.63321386</v>
      </c>
      <c r="F9" s="54" t="str">
        <f t="shared" si="2"/>
        <v>Unsettled</v>
      </c>
      <c r="G9" s="57"/>
      <c r="H9" s="52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9.5" customHeight="1">
      <c r="A10" s="23" t="str">
        <f>IF(Roster!$A$8&lt;&gt;"",Roster!$A$8,"")</f>
        <v>Darra Reppermund</v>
      </c>
      <c r="B10" s="23">
        <f t="array" ref="B10">IF(A10&lt;&gt;"",IFERROR(SUMPRODUCT((INDEX(Attendance!$B$7:$AZ$206,MATCH(A10,Attendance!$A$7:$A$206,0),0)=1)*Attendance!$B$4:$AZ$4),0),"")</f>
        <v>89.63321386</v>
      </c>
      <c r="C10" s="56">
        <f>IF(A10&lt;&gt;"",SUMIFS(Transactions!$F$7:$F$996,Transactions!$D$7:$D$996,"Income",Transactions!$E$7:$E$996,A10),"")</f>
        <v>0</v>
      </c>
      <c r="D10" s="56">
        <f>IF(A10&lt;&gt;"",SUMIFS(Transactions!$F$7:$F$996,Transactions!$D$7:$D$996,"Expense",Transactions!$E$7:$E$996,A10),"")</f>
        <v>0</v>
      </c>
      <c r="E10" s="54">
        <f t="shared" si="1"/>
        <v>89.63321386</v>
      </c>
      <c r="F10" s="54" t="str">
        <f t="shared" si="2"/>
        <v>Unsettled</v>
      </c>
      <c r="G10" s="57"/>
      <c r="H10" s="52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9.5" customHeight="1">
      <c r="A11" s="23" t="str">
        <f>IF(Roster!$A$9&lt;&gt;"",Roster!$A$9,"")</f>
        <v>Dylan Best</v>
      </c>
      <c r="B11" s="23">
        <f t="array" ref="B11">IF(A11&lt;&gt;"",IFERROR(SUMPRODUCT((INDEX(Attendance!$B$7:$AZ$206,MATCH(A11,Attendance!$A$7:$A$206,0),0)=1)*Attendance!$B$4:$AZ$4),0),"")</f>
        <v>89.63321386</v>
      </c>
      <c r="C11" s="56">
        <f>IF(A11&lt;&gt;"",SUMIFS(Transactions!$F$7:$F$996,Transactions!$D$7:$D$996,"Income",Transactions!$E$7:$E$996,A11),"")</f>
        <v>0</v>
      </c>
      <c r="D11" s="56">
        <f>IF(A11&lt;&gt;"",SUMIFS(Transactions!$F$7:$F$996,Transactions!$D$7:$D$996,"Expense",Transactions!$E$7:$E$996,A11),"")</f>
        <v>0</v>
      </c>
      <c r="E11" s="54">
        <f t="shared" si="1"/>
        <v>89.63321386</v>
      </c>
      <c r="F11" s="54" t="str">
        <f t="shared" si="2"/>
        <v>Unsettled</v>
      </c>
      <c r="G11" s="57"/>
      <c r="H11" s="52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9.5" customHeight="1">
      <c r="A12" s="58" t="str">
        <f>IF(Roster!$A$10&lt;&gt;"",Roster!$A$10,"")</f>
        <v>Griffin O'Neal-Freeman</v>
      </c>
      <c r="B12" s="58">
        <f t="array" ref="B12">IF(A12&lt;&gt;"",IFERROR(SUMPRODUCT((INDEX(Attendance!$B$7:$AZ$206,MATCH(A12,Attendance!$A$7:$A$206,0),0)=1)*Attendance!$B$4:$AZ$4),0),"")</f>
        <v>89.63321386</v>
      </c>
      <c r="C12" s="59">
        <f>IF(A12&lt;&gt;"",SUMIFS(Transactions!$F$7:$F$996,Transactions!$D$7:$D$996,"Income",Transactions!$E$7:$E$996,A12),"")</f>
        <v>0</v>
      </c>
      <c r="D12" s="59">
        <f>IF(A12&lt;&gt;"",SUMIFS(Transactions!$F$7:$F$996,Transactions!$D$7:$D$996,"Expense",Transactions!$E$7:$E$996,A12),"")</f>
        <v>0</v>
      </c>
      <c r="E12" s="60">
        <f t="shared" si="1"/>
        <v>89.63321386</v>
      </c>
      <c r="F12" s="60" t="str">
        <f t="shared" si="2"/>
        <v>Unsettled</v>
      </c>
      <c r="G12" s="57"/>
      <c r="H12" s="52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9.5" customHeight="1">
      <c r="A13" s="23" t="str">
        <f>IF(Roster!$A$11&lt;&gt;"",Roster!$A$11,"")</f>
        <v>Haley Young</v>
      </c>
      <c r="B13" s="23">
        <f t="array" ref="B13">IF(A13&lt;&gt;"",IFERROR(SUMPRODUCT((INDEX(Attendance!$B$7:$AZ$206,MATCH(A13,Attendance!$A$7:$A$206,0),0)=1)*Attendance!$B$4:$AZ$4),0),"")</f>
        <v>89.63321386</v>
      </c>
      <c r="C13" s="56">
        <f>IF(A13&lt;&gt;"",SUMIFS(Transactions!$F$7:$F$996,Transactions!$D$7:$D$996,"Income",Transactions!$E$7:$E$996,A13),"")</f>
        <v>0</v>
      </c>
      <c r="D13" s="56">
        <f>IF(A13&lt;&gt;"",SUMIFS(Transactions!$F$7:$F$996,Transactions!$D$7:$D$996,"Expense",Transactions!$E$7:$E$996,A13),"")</f>
        <v>0</v>
      </c>
      <c r="E13" s="54">
        <f t="shared" si="1"/>
        <v>89.63321386</v>
      </c>
      <c r="F13" s="54" t="str">
        <f t="shared" si="2"/>
        <v>Unsettled</v>
      </c>
      <c r="G13" s="57"/>
      <c r="H13" s="52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9.5" customHeight="1">
      <c r="A14" s="58" t="str">
        <f>IF(Roster!$A$12&lt;&gt;"",Roster!$A$12,"")</f>
        <v>Harry Park</v>
      </c>
      <c r="B14" s="58">
        <f t="array" ref="B14">IF(A14&lt;&gt;"",IFERROR(SUMPRODUCT((INDEX(Attendance!$B$7:$AZ$206,MATCH(A14,Attendance!$A$7:$A$206,0),0)=1)*Attendance!$B$4:$AZ$4),0),"")</f>
        <v>89.63321386</v>
      </c>
      <c r="C14" s="59">
        <f>IF(A14&lt;&gt;"",SUMIFS(Transactions!$F$7:$F$996,Transactions!$D$7:$D$996,"Income",Transactions!$E$7:$E$996,A14),"")</f>
        <v>0</v>
      </c>
      <c r="D14" s="59">
        <f>IF(A14&lt;&gt;"",SUMIFS(Transactions!$F$7:$F$996,Transactions!$D$7:$D$996,"Expense",Transactions!$E$7:$E$996,A14),"")</f>
        <v>0</v>
      </c>
      <c r="E14" s="60">
        <f t="shared" si="1"/>
        <v>89.63321386</v>
      </c>
      <c r="F14" s="60" t="str">
        <f t="shared" si="2"/>
        <v>Unsettled</v>
      </c>
      <c r="G14" s="57"/>
      <c r="H14" s="52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9.5" customHeight="1">
      <c r="A15" s="23" t="str">
        <f>IF(Roster!$A$13&lt;&gt;"",Roster!$A$13,"")</f>
        <v>Ian Piper</v>
      </c>
      <c r="B15" s="23">
        <f t="array" ref="B15">IF(A15&lt;&gt;"",IFERROR(SUMPRODUCT((INDEX(Attendance!$B$7:$AZ$206,MATCH(A15,Attendance!$A$7:$A$206,0),0)=1)*Attendance!$B$4:$AZ$4),0),"")</f>
        <v>89.63321386</v>
      </c>
      <c r="C15" s="56">
        <f>IF(A15&lt;&gt;"",SUMIFS(Transactions!$F$7:$F$996,Transactions!$D$7:$D$996,"Income",Transactions!$E$7:$E$996,A15),"")</f>
        <v>0</v>
      </c>
      <c r="D15" s="56">
        <f>IF(A15&lt;&gt;"",SUMIFS(Transactions!$F$7:$F$996,Transactions!$D$7:$D$996,"Expense",Transactions!$E$7:$E$996,A15),"")</f>
        <v>0</v>
      </c>
      <c r="E15" s="54">
        <f t="shared" si="1"/>
        <v>89.63321386</v>
      </c>
      <c r="F15" s="54" t="str">
        <f t="shared" si="2"/>
        <v>Unsettled</v>
      </c>
      <c r="G15" s="57"/>
      <c r="H15" s="52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9.5" customHeight="1">
      <c r="A16" s="58" t="str">
        <f>IF(Roster!$A$14&lt;&gt;"",Roster!$A$14,"")</f>
        <v>Jake Murray</v>
      </c>
      <c r="B16" s="58">
        <f t="array" ref="B16">IF(A16&lt;&gt;"",IFERROR(SUMPRODUCT((INDEX(Attendance!$B$7:$AZ$206,MATCH(A16,Attendance!$A$7:$A$206,0),0)=1)*Attendance!$B$4:$AZ$4),0),"")</f>
        <v>89.63321386</v>
      </c>
      <c r="C16" s="59">
        <f>IF(A16&lt;&gt;"",SUMIFS(Transactions!$F$7:$F$996,Transactions!$D$7:$D$996,"Income",Transactions!$E$7:$E$996,A16),"")</f>
        <v>0</v>
      </c>
      <c r="D16" s="59">
        <f>IF(A16&lt;&gt;"",SUMIFS(Transactions!$F$7:$F$996,Transactions!$D$7:$D$996,"Expense",Transactions!$E$7:$E$996,A16),"")</f>
        <v>2139</v>
      </c>
      <c r="E16" s="60">
        <f t="shared" si="1"/>
        <v>-2049.366786</v>
      </c>
      <c r="F16" s="60" t="str">
        <f t="shared" si="2"/>
        <v>Unsettled</v>
      </c>
      <c r="G16" s="57"/>
      <c r="H16" s="52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9.5" customHeight="1">
      <c r="A17" s="23" t="str">
        <f>IF(Roster!$A$15&lt;&gt;"",Roster!$A$15,"")</f>
        <v>Jenna Nold</v>
      </c>
      <c r="B17" s="23">
        <f t="array" ref="B17">IF(A17&lt;&gt;"",IFERROR(SUMPRODUCT((INDEX(Attendance!$B$7:$AZ$206,MATCH(A17,Attendance!$A$7:$A$206,0),0)=1)*Attendance!$B$4:$AZ$4),0),"")</f>
        <v>89.63321386</v>
      </c>
      <c r="C17" s="56">
        <f>IF(A17&lt;&gt;"",SUMIFS(Transactions!$F$7:$F$996,Transactions!$D$7:$D$996,"Income",Transactions!$E$7:$E$996,A17),"")</f>
        <v>0</v>
      </c>
      <c r="D17" s="56">
        <f>IF(A17&lt;&gt;"",SUMIFS(Transactions!$F$7:$F$996,Transactions!$D$7:$D$996,"Expense",Transactions!$E$7:$E$996,A17),"")</f>
        <v>0</v>
      </c>
      <c r="E17" s="54">
        <f t="shared" si="1"/>
        <v>89.63321386</v>
      </c>
      <c r="F17" s="54" t="str">
        <f t="shared" si="2"/>
        <v>Unsettled</v>
      </c>
      <c r="G17" s="57"/>
      <c r="H17" s="52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9.5" customHeight="1">
      <c r="A18" s="58" t="str">
        <f>IF(Roster!$A$16&lt;&gt;"",Roster!$A$16,"")</f>
        <v>Jimmy Towle</v>
      </c>
      <c r="B18" s="58">
        <f t="array" ref="B18">IF(A18&lt;&gt;"",IFERROR(SUMPRODUCT((INDEX(Attendance!$B$7:$AZ$206,MATCH(A18,Attendance!$A$7:$A$206,0),0)=1)*Attendance!$B$4:$AZ$4),0),"")</f>
        <v>2.225806452</v>
      </c>
      <c r="C18" s="59">
        <f>IF(A18&lt;&gt;"",SUMIFS(Transactions!$F$7:$F$996,Transactions!$D$7:$D$996,"Income",Transactions!$E$7:$E$996,A18),"")</f>
        <v>0</v>
      </c>
      <c r="D18" s="59">
        <f>IF(A18&lt;&gt;"",SUMIFS(Transactions!$F$7:$F$996,Transactions!$D$7:$D$996,"Expense",Transactions!$E$7:$E$996,A18),"")</f>
        <v>0</v>
      </c>
      <c r="E18" s="60">
        <f t="shared" si="1"/>
        <v>2.225806452</v>
      </c>
      <c r="F18" s="60" t="str">
        <f t="shared" si="2"/>
        <v>Unsettled</v>
      </c>
      <c r="G18" s="57"/>
      <c r="H18" s="52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9.5" customHeight="1">
      <c r="A19" s="23" t="str">
        <f>IF(Roster!$A$17&lt;&gt;"",Roster!$A$17,"")</f>
        <v>Kailey Rugani</v>
      </c>
      <c r="B19" s="23">
        <f t="array" ref="B19">IF(A19&lt;&gt;"",IFERROR(SUMPRODUCT((INDEX(Attendance!$B$7:$AZ$206,MATCH(A19,Attendance!$A$7:$A$206,0),0)=1)*Attendance!$B$4:$AZ$4),0),"")</f>
        <v>89.63321386</v>
      </c>
      <c r="C19" s="56">
        <f>IF(A19&lt;&gt;"",SUMIFS(Transactions!$F$7:$F$996,Transactions!$D$7:$D$996,"Income",Transactions!$E$7:$E$996,A19),"")</f>
        <v>0</v>
      </c>
      <c r="D19" s="56">
        <f>IF(A19&lt;&gt;"",SUMIFS(Transactions!$F$7:$F$996,Transactions!$D$7:$D$996,"Expense",Transactions!$E$7:$E$996,A19),"")</f>
        <v>0</v>
      </c>
      <c r="E19" s="54">
        <f t="shared" si="1"/>
        <v>89.63321386</v>
      </c>
      <c r="F19" s="54" t="str">
        <f t="shared" si="2"/>
        <v>Unsettled</v>
      </c>
      <c r="G19" s="57"/>
      <c r="H19" s="52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9.5" customHeight="1">
      <c r="A20" s="58" t="str">
        <f>IF(Roster!$A$18&lt;&gt;"",Roster!$A$18,"")</f>
        <v>Kasey Schock</v>
      </c>
      <c r="B20" s="58">
        <f t="array" ref="B20">IF(A20&lt;&gt;"",IFERROR(SUMPRODUCT((INDEX(Attendance!$B$7:$AZ$206,MATCH(A20,Attendance!$A$7:$A$206,0),0)=1)*Attendance!$B$4:$AZ$4),0),"")</f>
        <v>89.63321386</v>
      </c>
      <c r="C20" s="59">
        <f>IF(A20&lt;&gt;"",SUMIFS(Transactions!$F$7:$F$996,Transactions!$D$7:$D$996,"Income",Transactions!$E$7:$E$996,A20),"")</f>
        <v>0</v>
      </c>
      <c r="D20" s="59">
        <f>IF(A20&lt;&gt;"",SUMIFS(Transactions!$F$7:$F$996,Transactions!$D$7:$D$996,"Expense",Transactions!$E$7:$E$996,A20),"")</f>
        <v>0</v>
      </c>
      <c r="E20" s="60">
        <f t="shared" si="1"/>
        <v>89.63321386</v>
      </c>
      <c r="F20" s="60" t="str">
        <f t="shared" si="2"/>
        <v>Unsettled</v>
      </c>
      <c r="G20" s="57"/>
      <c r="H20" s="52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9.5" customHeight="1">
      <c r="A21" s="23" t="str">
        <f>IF(Roster!$A$19&lt;&gt;"",Roster!$A$19,"")</f>
        <v>Kevin Nicholl</v>
      </c>
      <c r="B21" s="23">
        <f t="array" ref="B21">IF(A21&lt;&gt;"",IFERROR(SUMPRODUCT((INDEX(Attendance!$B$7:$AZ$206,MATCH(A21,Attendance!$A$7:$A$206,0),0)=1)*Attendance!$B$4:$AZ$4),0),"")</f>
        <v>89.63321386</v>
      </c>
      <c r="C21" s="56">
        <f>IF(A21&lt;&gt;"",SUMIFS(Transactions!$F$7:$F$996,Transactions!$D$7:$D$996,"Income",Transactions!$E$7:$E$996,A21),"")</f>
        <v>0</v>
      </c>
      <c r="D21" s="56">
        <f>IF(A21&lt;&gt;"",SUMIFS(Transactions!$F$7:$F$996,Transactions!$D$7:$D$996,"Expense",Transactions!$E$7:$E$996,A21),"")</f>
        <v>0</v>
      </c>
      <c r="E21" s="54">
        <f t="shared" si="1"/>
        <v>89.63321386</v>
      </c>
      <c r="F21" s="54" t="str">
        <f t="shared" si="2"/>
        <v>Unsettled</v>
      </c>
      <c r="G21" s="57"/>
      <c r="H21" s="52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9.5" customHeight="1">
      <c r="A22" s="58" t="str">
        <f>IF(Roster!$A$20&lt;&gt;"",Roster!$A$20,"")</f>
        <v>Kit Asterin</v>
      </c>
      <c r="B22" s="58">
        <f t="array" ref="B22">IF(A22&lt;&gt;"",IFERROR(SUMPRODUCT((INDEX(Attendance!$B$7:$AZ$206,MATCH(A22,Attendance!$A$7:$A$206,0),0)=1)*Attendance!$B$4:$AZ$4),0),"")</f>
        <v>89.63321386</v>
      </c>
      <c r="C22" s="59">
        <f>IF(A22&lt;&gt;"",SUMIFS(Transactions!$F$7:$F$996,Transactions!$D$7:$D$996,"Income",Transactions!$E$7:$E$996,A22),"")</f>
        <v>0</v>
      </c>
      <c r="D22" s="59">
        <f>IF(A22&lt;&gt;"",SUMIFS(Transactions!$F$7:$F$996,Transactions!$D$7:$D$996,"Expense",Transactions!$E$7:$E$996,A22),"")</f>
        <v>0</v>
      </c>
      <c r="E22" s="60">
        <f t="shared" si="1"/>
        <v>89.63321386</v>
      </c>
      <c r="F22" s="60" t="str">
        <f t="shared" si="2"/>
        <v>Unsettled</v>
      </c>
      <c r="G22" s="57"/>
      <c r="H22" s="52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9.5" customHeight="1">
      <c r="A23" s="23" t="str">
        <f>IF(Roster!$A$21&lt;&gt;"",Roster!$A$21,"")</f>
        <v>Kristin Dudley</v>
      </c>
      <c r="B23" s="23">
        <f t="array" ref="B23">IF(A23&lt;&gt;"",IFERROR(SUMPRODUCT((INDEX(Attendance!$B$7:$AZ$206,MATCH(A23,Attendance!$A$7:$A$206,0),0)=1)*Attendance!$B$4:$AZ$4),0),"")</f>
        <v>89.63321386</v>
      </c>
      <c r="C23" s="56">
        <f>IF(A23&lt;&gt;"",SUMIFS(Transactions!$F$7:$F$996,Transactions!$D$7:$D$996,"Income",Transactions!$E$7:$E$996,A23),"")</f>
        <v>0</v>
      </c>
      <c r="D23" s="56">
        <f>IF(A23&lt;&gt;"",SUMIFS(Transactions!$F$7:$F$996,Transactions!$D$7:$D$996,"Expense",Transactions!$E$7:$E$996,A23),"")</f>
        <v>0</v>
      </c>
      <c r="E23" s="54">
        <f t="shared" si="1"/>
        <v>89.63321386</v>
      </c>
      <c r="F23" s="54" t="str">
        <f t="shared" si="2"/>
        <v>Unsettled</v>
      </c>
      <c r="G23" s="57"/>
      <c r="H23" s="52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9.5" customHeight="1">
      <c r="A24" s="58" t="str">
        <f>IF(Roster!$A$22&lt;&gt;"",Roster!$A$22,"")</f>
        <v>Lexie Thomas</v>
      </c>
      <c r="B24" s="58">
        <f t="array" ref="B24">IF(A24&lt;&gt;"",IFERROR(SUMPRODUCT((INDEX(Attendance!$B$7:$AZ$206,MATCH(A24,Attendance!$A$7:$A$206,0),0)=1)*Attendance!$B$4:$AZ$4),0),"")</f>
        <v>89.63321386</v>
      </c>
      <c r="C24" s="59">
        <f>IF(A24&lt;&gt;"",SUMIFS(Transactions!$F$7:$F$996,Transactions!$D$7:$D$996,"Income",Transactions!$E$7:$E$996,A24),"")</f>
        <v>0</v>
      </c>
      <c r="D24" s="59">
        <f>IF(A24&lt;&gt;"",SUMIFS(Transactions!$F$7:$F$996,Transactions!$D$7:$D$996,"Expense",Transactions!$E$7:$E$996,A24),"")</f>
        <v>0</v>
      </c>
      <c r="E24" s="60">
        <f t="shared" si="1"/>
        <v>89.63321386</v>
      </c>
      <c r="F24" s="60" t="str">
        <f t="shared" si="2"/>
        <v>Unsettled</v>
      </c>
      <c r="G24" s="57"/>
      <c r="H24" s="52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9.5" customHeight="1">
      <c r="A25" s="23" t="str">
        <f>IF(Roster!$A$23&lt;&gt;"",Roster!$A$23,"")</f>
        <v>Lucas Jones</v>
      </c>
      <c r="B25" s="23">
        <f t="array" ref="B25">IF(A25&lt;&gt;"",IFERROR(SUMPRODUCT((INDEX(Attendance!$B$7:$AZ$206,MATCH(A25,Attendance!$A$7:$A$206,0),0)=1)*Attendance!$B$4:$AZ$4),0),"")</f>
        <v>2.225806452</v>
      </c>
      <c r="C25" s="56">
        <f>IF(A25&lt;&gt;"",SUMIFS(Transactions!$F$7:$F$996,Transactions!$D$7:$D$996,"Income",Transactions!$E$7:$E$996,A25),"")</f>
        <v>0</v>
      </c>
      <c r="D25" s="56">
        <f>IF(A25&lt;&gt;"",SUMIFS(Transactions!$F$7:$F$996,Transactions!$D$7:$D$996,"Expense",Transactions!$E$7:$E$996,A25),"")</f>
        <v>0</v>
      </c>
      <c r="E25" s="54">
        <f t="shared" si="1"/>
        <v>2.225806452</v>
      </c>
      <c r="F25" s="54" t="str">
        <f t="shared" si="2"/>
        <v>Unsettled</v>
      </c>
      <c r="G25" s="57"/>
      <c r="H25" s="52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9.5" customHeight="1">
      <c r="A26" s="58" t="str">
        <f>IF(Roster!$A$24&lt;&gt;"",Roster!$A$24,"")</f>
        <v>Max Sheppard</v>
      </c>
      <c r="B26" s="58">
        <f t="array" ref="B26">IF(A26&lt;&gt;"",IFERROR(SUMPRODUCT((INDEX(Attendance!$B$7:$AZ$206,MATCH(A26,Attendance!$A$7:$A$206,0),0)=1)*Attendance!$B$4:$AZ$4),0),"")</f>
        <v>89.63321386</v>
      </c>
      <c r="C26" s="59">
        <f>IF(A26&lt;&gt;"",SUMIFS(Transactions!$F$7:$F$996,Transactions!$D$7:$D$996,"Income",Transactions!$E$7:$E$996,A26),"")</f>
        <v>0</v>
      </c>
      <c r="D26" s="59">
        <f>IF(A26&lt;&gt;"",SUMIFS(Transactions!$F$7:$F$996,Transactions!$D$7:$D$996,"Expense",Transactions!$E$7:$E$996,A26),"")</f>
        <v>0</v>
      </c>
      <c r="E26" s="60">
        <f t="shared" si="1"/>
        <v>89.63321386</v>
      </c>
      <c r="F26" s="60" t="str">
        <f t="shared" si="2"/>
        <v>Unsettled</v>
      </c>
      <c r="G26" s="57"/>
      <c r="H26" s="52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23" t="str">
        <f>IF(Roster!$A$25&lt;&gt;"",Roster!$A$25,"")</f>
        <v>Lucius Christie</v>
      </c>
      <c r="B27" s="23">
        <f t="array" ref="B27">IF(A27&lt;&gt;"",IFERROR(SUMPRODUCT((INDEX(Attendance!$B$7:$AZ$206,MATCH(A27,Attendance!$A$7:$A$206,0),0)=1)*Attendance!$B$4:$AZ$4),0),"")</f>
        <v>89.63321386</v>
      </c>
      <c r="C27" s="56">
        <f>IF(A27&lt;&gt;"",SUMIFS(Transactions!$F$7:$F$996,Transactions!$D$7:$D$996,"Income",Transactions!$E$7:$E$996,A27),"")</f>
        <v>0</v>
      </c>
      <c r="D27" s="56">
        <f>IF(A27&lt;&gt;"",SUMIFS(Transactions!$F$7:$F$996,Transactions!$D$7:$D$996,"Expense",Transactions!$E$7:$E$996,A27),"")</f>
        <v>0</v>
      </c>
      <c r="E27" s="54">
        <f t="shared" si="1"/>
        <v>89.63321386</v>
      </c>
      <c r="F27" s="54" t="str">
        <f t="shared" si="2"/>
        <v>Unsettled</v>
      </c>
      <c r="G27" s="57"/>
      <c r="H27" s="52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58" t="str">
        <f>IF(Roster!$A$26&lt;&gt;"",Roster!$A$26,"")</f>
        <v>Patrick McMullen</v>
      </c>
      <c r="B28" s="58">
        <f t="array" ref="B28">IF(A28&lt;&gt;"",IFERROR(SUMPRODUCT((INDEX(Attendance!$B$7:$AZ$206,MATCH(A28,Attendance!$A$7:$A$206,0),0)=1)*Attendance!$B$4:$AZ$4),0),"")</f>
        <v>89.63321386</v>
      </c>
      <c r="C28" s="59">
        <f>IF(A28&lt;&gt;"",SUMIFS(Transactions!$F$7:$F$996,Transactions!$D$7:$D$996,"Income",Transactions!$E$7:$E$996,A28),"")</f>
        <v>0</v>
      </c>
      <c r="D28" s="59">
        <f>IF(A28&lt;&gt;"",SUMIFS(Transactions!$F$7:$F$996,Transactions!$D$7:$D$996,"Expense",Transactions!$E$7:$E$996,A28),"")</f>
        <v>0</v>
      </c>
      <c r="E28" s="60">
        <f t="shared" si="1"/>
        <v>89.63321386</v>
      </c>
      <c r="F28" s="60" t="str">
        <f t="shared" si="2"/>
        <v>Unsettled</v>
      </c>
      <c r="G28" s="57"/>
      <c r="H28" s="52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23" t="str">
        <f>IF(Roster!$A$27&lt;&gt;"",Roster!$A$27,"")</f>
        <v>Rachel Graber</v>
      </c>
      <c r="B29" s="23">
        <f t="array" ref="B29">IF(A29&lt;&gt;"",IFERROR(SUMPRODUCT((INDEX(Attendance!$B$7:$AZ$206,MATCH(A29,Attendance!$A$7:$A$206,0),0)=1)*Attendance!$B$4:$AZ$4),0),"")</f>
        <v>89.63321386</v>
      </c>
      <c r="C29" s="56">
        <f>IF(A29&lt;&gt;"",SUMIFS(Transactions!$F$7:$F$996,Transactions!$D$7:$D$996,"Income",Transactions!$E$7:$E$996,A29),"")</f>
        <v>0</v>
      </c>
      <c r="D29" s="56">
        <f>IF(A29&lt;&gt;"",SUMIFS(Transactions!$F$7:$F$996,Transactions!$D$7:$D$996,"Expense",Transactions!$E$7:$E$996,A29),"")</f>
        <v>0</v>
      </c>
      <c r="E29" s="54">
        <f t="shared" si="1"/>
        <v>89.63321386</v>
      </c>
      <c r="F29" s="54" t="str">
        <f t="shared" si="2"/>
        <v>Unsettled</v>
      </c>
      <c r="G29" s="57"/>
      <c r="H29" s="52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58" t="str">
        <f>IF(Roster!$A$28&lt;&gt;"",Roster!$A$28,"")</f>
        <v>Ryan Kindell</v>
      </c>
      <c r="B30" s="58">
        <f t="array" ref="B30">IF(A30&lt;&gt;"",IFERROR(SUMPRODUCT((INDEX(Attendance!$B$7:$AZ$206,MATCH(A30,Attendance!$A$7:$A$206,0),0)=1)*Attendance!$B$4:$AZ$4),0),"")</f>
        <v>89.63321386</v>
      </c>
      <c r="C30" s="59">
        <f>IF(A30&lt;&gt;"",SUMIFS(Transactions!$F$7:$F$996,Transactions!$D$7:$D$996,"Income",Transactions!$E$7:$E$996,A30),"")</f>
        <v>0</v>
      </c>
      <c r="D30" s="59">
        <f>IF(A30&lt;&gt;"",SUMIFS(Transactions!$F$7:$F$996,Transactions!$D$7:$D$996,"Expense",Transactions!$E$7:$E$996,A30),"")</f>
        <v>0</v>
      </c>
      <c r="E30" s="60">
        <f t="shared" si="1"/>
        <v>89.63321386</v>
      </c>
      <c r="F30" s="60" t="str">
        <f t="shared" si="2"/>
        <v>Unsettled</v>
      </c>
      <c r="G30" s="57"/>
      <c r="H30" s="52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23" t="str">
        <f>IF(Roster!$A$29&lt;&gt;"",Roster!$A$29,"")</f>
        <v>Ryan Ward</v>
      </c>
      <c r="B31" s="23">
        <f t="array" ref="B31">IF(A31&lt;&gt;"",IFERROR(SUMPRODUCT((INDEX(Attendance!$B$7:$AZ$206,MATCH(A31,Attendance!$A$7:$A$206,0),0)=1)*Attendance!$B$4:$AZ$4),0),"")</f>
        <v>89.63321386</v>
      </c>
      <c r="C31" s="56">
        <f>IF(A31&lt;&gt;"",SUMIFS(Transactions!$F$7:$F$996,Transactions!$D$7:$D$996,"Income",Transactions!$E$7:$E$996,A31),"")</f>
        <v>0</v>
      </c>
      <c r="D31" s="56">
        <f>IF(A31&lt;&gt;"",SUMIFS(Transactions!$F$7:$F$996,Transactions!$D$7:$D$996,"Expense",Transactions!$E$7:$E$996,A31),"")</f>
        <v>0</v>
      </c>
      <c r="E31" s="54">
        <f t="shared" si="1"/>
        <v>89.63321386</v>
      </c>
      <c r="F31" s="54" t="str">
        <f t="shared" si="2"/>
        <v>Unsettled</v>
      </c>
      <c r="G31" s="57"/>
      <c r="H31" s="52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58" t="str">
        <f>IF(Roster!$A$30&lt;&gt;"",Roster!$A$30,"")</f>
        <v>Sam Gombiner</v>
      </c>
      <c r="B32" s="58">
        <f t="array" ref="B32">IF(A32&lt;&gt;"",IFERROR(SUMPRODUCT((INDEX(Attendance!$B$7:$AZ$206,MATCH(A32,Attendance!$A$7:$A$206,0),0)=1)*Attendance!$B$4:$AZ$4),0),"")</f>
        <v>2.225806452</v>
      </c>
      <c r="C32" s="59">
        <f>IF(A32&lt;&gt;"",SUMIFS(Transactions!$F$7:$F$996,Transactions!$D$7:$D$996,"Income",Transactions!$E$7:$E$996,A32),"")</f>
        <v>0</v>
      </c>
      <c r="D32" s="59">
        <f>IF(A32&lt;&gt;"",SUMIFS(Transactions!$F$7:$F$996,Transactions!$D$7:$D$996,"Expense",Transactions!$E$7:$E$996,A32),"")</f>
        <v>0</v>
      </c>
      <c r="E32" s="60">
        <f t="shared" si="1"/>
        <v>2.225806452</v>
      </c>
      <c r="F32" s="60" t="str">
        <f t="shared" si="2"/>
        <v>Unsettled</v>
      </c>
      <c r="G32" s="57"/>
      <c r="H32" s="52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23" t="str">
        <f>IF(Roster!$A$31&lt;&gt;"",Roster!$A$31,"")</f>
        <v>Sarah Kingsley-Hart</v>
      </c>
      <c r="B33" s="23">
        <f t="array" ref="B33">IF(A33&lt;&gt;"",IFERROR(SUMPRODUCT((INDEX(Attendance!$B$7:$AZ$206,MATCH(A33,Attendance!$A$7:$A$206,0),0)=1)*Attendance!$B$4:$AZ$4),0),"")</f>
        <v>89.63321386</v>
      </c>
      <c r="C33" s="56">
        <f>IF(A33&lt;&gt;"",SUMIFS(Transactions!$F$7:$F$996,Transactions!$D$7:$D$996,"Income",Transactions!$E$7:$E$996,A33),"")</f>
        <v>0</v>
      </c>
      <c r="D33" s="56">
        <f>IF(A33&lt;&gt;"",SUMIFS(Transactions!$F$7:$F$996,Transactions!$D$7:$D$996,"Expense",Transactions!$E$7:$E$996,A33),"")</f>
        <v>0</v>
      </c>
      <c r="E33" s="54">
        <f t="shared" si="1"/>
        <v>89.63321386</v>
      </c>
      <c r="F33" s="54" t="str">
        <f t="shared" si="2"/>
        <v>Unsettled</v>
      </c>
      <c r="G33" s="57"/>
      <c r="H33" s="52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58" t="str">
        <f>IF(Roster!$A$32&lt;&gt;"",Roster!$A$32,"")</f>
        <v>Sarah Lynch</v>
      </c>
      <c r="B34" s="58">
        <f t="array" ref="B34">IF(A34&lt;&gt;"",IFERROR(SUMPRODUCT((INDEX(Attendance!$B$7:$AZ$206,MATCH(A34,Attendance!$A$7:$A$206,0),0)=1)*Attendance!$B$4:$AZ$4),0),"")</f>
        <v>89.63321386</v>
      </c>
      <c r="C34" s="59">
        <f>IF(A34&lt;&gt;"",SUMIFS(Transactions!$F$7:$F$996,Transactions!$D$7:$D$996,"Income",Transactions!$E$7:$E$996,A34),"")</f>
        <v>0</v>
      </c>
      <c r="D34" s="59">
        <f>IF(A34&lt;&gt;"",SUMIFS(Transactions!$F$7:$F$996,Transactions!$D$7:$D$996,"Expense",Transactions!$E$7:$E$996,A34),"")</f>
        <v>0</v>
      </c>
      <c r="E34" s="60">
        <f t="shared" si="1"/>
        <v>89.63321386</v>
      </c>
      <c r="F34" s="60" t="str">
        <f t="shared" si="2"/>
        <v>Unsettled</v>
      </c>
      <c r="G34" s="57"/>
      <c r="H34" s="52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23" t="str">
        <f>IF(Roster!$A$33&lt;&gt;"",Roster!$A$33,"")</f>
        <v>Shani Rosenthal</v>
      </c>
      <c r="B35" s="23">
        <f t="array" ref="B35">IF(A35&lt;&gt;"",IFERROR(SUMPRODUCT((INDEX(Attendance!$B$7:$AZ$206,MATCH(A35,Attendance!$A$7:$A$206,0),0)=1)*Attendance!$B$4:$AZ$4),0),"")</f>
        <v>89.63321386</v>
      </c>
      <c r="C35" s="56">
        <f>IF(A35&lt;&gt;"",SUMIFS(Transactions!$F$7:$F$996,Transactions!$D$7:$D$996,"Income",Transactions!$E$7:$E$996,A35),"")</f>
        <v>0</v>
      </c>
      <c r="D35" s="56">
        <f>IF(A35&lt;&gt;"",SUMIFS(Transactions!$F$7:$F$996,Transactions!$D$7:$D$996,"Expense",Transactions!$E$7:$E$996,A35),"")</f>
        <v>0</v>
      </c>
      <c r="E35" s="54">
        <f t="shared" si="1"/>
        <v>89.63321386</v>
      </c>
      <c r="F35" s="54" t="str">
        <f t="shared" si="2"/>
        <v>Unsettled</v>
      </c>
      <c r="G35" s="57"/>
      <c r="H35" s="52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58" t="str">
        <f>IF(Roster!$A$34&lt;&gt;"",Roster!$A$34,"")</f>
        <v>Vivian Shen</v>
      </c>
      <c r="B36" s="58">
        <f t="array" ref="B36">IF(A36&lt;&gt;"",IFERROR(SUMPRODUCT((INDEX(Attendance!$B$7:$AZ$206,MATCH(A36,Attendance!$A$7:$A$206,0),0)=1)*Attendance!$B$4:$AZ$4),0),"")</f>
        <v>89.63321386</v>
      </c>
      <c r="C36" s="59">
        <f>IF(A36&lt;&gt;"",SUMIFS(Transactions!$F$7:$F$996,Transactions!$D$7:$D$996,"Income",Transactions!$E$7:$E$996,A36),"")</f>
        <v>0</v>
      </c>
      <c r="D36" s="59">
        <f>IF(A36&lt;&gt;"",SUMIFS(Transactions!$F$7:$F$996,Transactions!$D$7:$D$996,"Expense",Transactions!$E$7:$E$996,A36),"")</f>
        <v>0</v>
      </c>
      <c r="E36" s="60">
        <f t="shared" si="1"/>
        <v>89.63321386</v>
      </c>
      <c r="F36" s="60" t="str">
        <f t="shared" si="2"/>
        <v>Unsettled</v>
      </c>
      <c r="G36" s="57"/>
      <c r="H36" s="52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23" t="str">
        <f>IF(Roster!$A$35&lt;&gt;"",Roster!$A$35,"")</f>
        <v>Zach Esakof</v>
      </c>
      <c r="B37" s="23">
        <f t="array" ref="B37">IF(A37&lt;&gt;"",IFERROR(SUMPRODUCT((INDEX(Attendance!$B$7:$AZ$206,MATCH(A37,Attendance!$A$7:$A$206,0),0)=1)*Attendance!$B$4:$AZ$4),0),"")</f>
        <v>2.225806452</v>
      </c>
      <c r="C37" s="56">
        <f>IF(A37&lt;&gt;"",SUMIFS(Transactions!$F$7:$F$996,Transactions!$D$7:$D$996,"Income",Transactions!$E$7:$E$996,A37),"")</f>
        <v>0</v>
      </c>
      <c r="D37" s="56">
        <f>IF(A37&lt;&gt;"",SUMIFS(Transactions!$F$7:$F$996,Transactions!$D$7:$D$996,"Expense",Transactions!$E$7:$E$996,A37),"")</f>
        <v>0</v>
      </c>
      <c r="E37" s="54">
        <f t="shared" si="1"/>
        <v>2.225806452</v>
      </c>
      <c r="F37" s="54" t="str">
        <f t="shared" si="2"/>
        <v>Unsettled</v>
      </c>
      <c r="G37" s="57"/>
      <c r="H37" s="52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58" t="str">
        <f>IF(Roster!$A$36&lt;&gt;"",Roster!$A$36,"")</f>
        <v>Annette Kukunas-Piper</v>
      </c>
      <c r="B38" s="58">
        <f t="array" ref="B38">IF(A38&lt;&gt;"",IFERROR(SUMPRODUCT((INDEX(Attendance!$B$7:$AZ$206,MATCH(A38,Attendance!$A$7:$A$206,0),0)=1)*Attendance!$B$4:$AZ$4),0),"")</f>
        <v>0</v>
      </c>
      <c r="C38" s="59">
        <f>IF(A38&lt;&gt;"",SUMIFS(Transactions!$F$7:$F$996,Transactions!$D$7:$D$996,"Income",Transactions!$E$7:$E$996,A38),"")</f>
        <v>0</v>
      </c>
      <c r="D38" s="59">
        <f>IF(A38&lt;&gt;"",SUMIFS(Transactions!$F$7:$F$996,Transactions!$D$7:$D$996,"Expense",Transactions!$E$7:$E$996,A38),"")</f>
        <v>0</v>
      </c>
      <c r="E38" s="60">
        <f t="shared" si="1"/>
        <v>0</v>
      </c>
      <c r="F38" s="60" t="str">
        <f t="shared" si="2"/>
        <v>Settled</v>
      </c>
      <c r="G38" s="57"/>
      <c r="H38" s="52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23" t="str">
        <f>IF(Roster!$A$37&lt;&gt;"",Roster!$A$37,"")</f>
        <v>Matt Duffy</v>
      </c>
      <c r="B39" s="23">
        <f t="array" ref="B39">IF(A39&lt;&gt;"",IFERROR(SUMPRODUCT((INDEX(Attendance!$B$7:$AZ$206,MATCH(A39,Attendance!$A$7:$A$206,0),0)=1)*Attendance!$B$4:$AZ$4),0),"")</f>
        <v>0</v>
      </c>
      <c r="C39" s="56">
        <f>IF(A39&lt;&gt;"",SUMIFS(Transactions!$F$7:$F$996,Transactions!$D$7:$D$996,"Income",Transactions!$E$7:$E$996,A39),"")</f>
        <v>0</v>
      </c>
      <c r="D39" s="56">
        <f>IF(A39&lt;&gt;"",SUMIFS(Transactions!$F$7:$F$996,Transactions!$D$7:$D$996,"Expense",Transactions!$E$7:$E$996,A39),"")</f>
        <v>0</v>
      </c>
      <c r="E39" s="54">
        <f t="shared" si="1"/>
        <v>0</v>
      </c>
      <c r="F39" s="54" t="str">
        <f t="shared" si="2"/>
        <v>Settled</v>
      </c>
      <c r="G39" s="57"/>
      <c r="H39" s="52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58" t="str">
        <f>IF(Roster!$A$38&lt;&gt;"",Roster!$A$38,"")</f>
        <v>Ryan Birchard</v>
      </c>
      <c r="B40" s="58">
        <f t="array" ref="B40">IF(A40&lt;&gt;"",IFERROR(SUMPRODUCT((INDEX(Attendance!$B$7:$AZ$206,MATCH(A40,Attendance!$A$7:$A$206,0),0)=1)*Attendance!$B$4:$AZ$4),0),"")</f>
        <v>0</v>
      </c>
      <c r="C40" s="59">
        <f>IF(A40&lt;&gt;"",SUMIFS(Transactions!$F$7:$F$996,Transactions!$D$7:$D$996,"Income",Transactions!$E$7:$E$996,A40),"")</f>
        <v>0</v>
      </c>
      <c r="D40" s="59">
        <f>IF(A40&lt;&gt;"",SUMIFS(Transactions!$F$7:$F$996,Transactions!$D$7:$D$996,"Expense",Transactions!$E$7:$E$996,A40),"")</f>
        <v>0</v>
      </c>
      <c r="E40" s="60">
        <f t="shared" si="1"/>
        <v>0</v>
      </c>
      <c r="F40" s="60" t="str">
        <f t="shared" si="2"/>
        <v>Settled</v>
      </c>
      <c r="G40" s="57"/>
      <c r="H40" s="52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23" t="str">
        <f>IF(Roster!$A$39&lt;&gt;"",Roster!$A$39,"")</f>
        <v/>
      </c>
      <c r="B41" s="23" t="str">
        <f t="array" ref="B41">IF(A41&lt;&gt;"",IFERROR(SUMPRODUCT((INDEX(Attendance!$B$7:$AZ$206,MATCH(A41,Attendance!$A$7:$A$206,0),0)=1)*Attendance!$B$4:$AZ$4),0),"")</f>
        <v/>
      </c>
      <c r="C41" s="56" t="str">
        <f>IF(A41&lt;&gt;"",SUMIFS(Transactions!$F$7:$F$996,Transactions!$D$7:$D$996,"Income",Transactions!$E$7:$E$996,A41),"")</f>
        <v/>
      </c>
      <c r="D41" s="56" t="str">
        <f>IF(A41&lt;&gt;"",SUMIFS(Transactions!$F$7:$F$996,Transactions!$D$7:$D$996,"Expense",Transactions!$E$7:$E$996,A41),"")</f>
        <v/>
      </c>
      <c r="E41" s="54" t="str">
        <f t="shared" si="1"/>
        <v/>
      </c>
      <c r="F41" s="54" t="str">
        <f t="shared" si="2"/>
        <v/>
      </c>
      <c r="G41" s="57"/>
      <c r="H41" s="52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58" t="str">
        <f>IF(Roster!$A$40&lt;&gt;"",Roster!$A$40,"")</f>
        <v/>
      </c>
      <c r="B42" s="58" t="str">
        <f t="array" ref="B42">IF(A42&lt;&gt;"",IFERROR(SUMPRODUCT((INDEX(Attendance!$B$7:$AZ$206,MATCH(A42,Attendance!$A$7:$A$206,0),0)=1)*Attendance!$B$4:$AZ$4),0),"")</f>
        <v/>
      </c>
      <c r="C42" s="59" t="str">
        <f>IF(A42&lt;&gt;"",SUMIFS(Transactions!$F$7:$F$996,Transactions!$D$7:$D$996,"Income",Transactions!$E$7:$E$996,A42),"")</f>
        <v/>
      </c>
      <c r="D42" s="59" t="str">
        <f>IF(A42&lt;&gt;"",SUMIFS(Transactions!$F$7:$F$996,Transactions!$D$7:$D$996,"Expense",Transactions!$E$7:$E$996,A42),"")</f>
        <v/>
      </c>
      <c r="E42" s="60" t="str">
        <f t="shared" si="1"/>
        <v/>
      </c>
      <c r="F42" s="60" t="str">
        <f t="shared" si="2"/>
        <v/>
      </c>
      <c r="G42" s="57"/>
      <c r="H42" s="52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23" t="str">
        <f>IF(Roster!$A$41&lt;&gt;"",Roster!$A$41,"")</f>
        <v/>
      </c>
      <c r="B43" s="23" t="str">
        <f t="array" ref="B43">IF(A43&lt;&gt;"",IFERROR(SUMPRODUCT((INDEX(Attendance!$B$7:$AZ$206,MATCH(A43,Attendance!$A$7:$A$206,0),0)=1)*Attendance!$B$4:$AZ$4),0),"")</f>
        <v/>
      </c>
      <c r="C43" s="56" t="str">
        <f>IF(A43&lt;&gt;"",SUMIFS(Transactions!$F$7:$F$996,Transactions!$D$7:$D$996,"Income",Transactions!$E$7:$E$996,A43),"")</f>
        <v/>
      </c>
      <c r="D43" s="56" t="str">
        <f>IF(A43&lt;&gt;"",SUMIFS(Transactions!$F$7:$F$996,Transactions!$D$7:$D$996,"Expense",Transactions!$E$7:$E$996,A43),"")</f>
        <v/>
      </c>
      <c r="E43" s="54" t="str">
        <f t="shared" si="1"/>
        <v/>
      </c>
      <c r="F43" s="54" t="str">
        <f t="shared" si="2"/>
        <v/>
      </c>
      <c r="G43" s="57"/>
      <c r="H43" s="52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58" t="str">
        <f>IF(Roster!$A$42&lt;&gt;"",Roster!$A$42,"")</f>
        <v/>
      </c>
      <c r="B44" s="58" t="str">
        <f t="array" ref="B44">IF(A44&lt;&gt;"",IFERROR(SUMPRODUCT((INDEX(Attendance!$B$7:$AZ$206,MATCH(A44,Attendance!$A$7:$A$206,0),0)=1)*Attendance!$B$4:$AZ$4),0),"")</f>
        <v/>
      </c>
      <c r="C44" s="59" t="str">
        <f>IF(A44&lt;&gt;"",SUMIFS(Transactions!$F$7:$F$996,Transactions!$D$7:$D$996,"Income",Transactions!$E$7:$E$996,A44),"")</f>
        <v/>
      </c>
      <c r="D44" s="59" t="str">
        <f>IF(A44&lt;&gt;"",SUMIFS(Transactions!$F$7:$F$996,Transactions!$D$7:$D$996,"Expense",Transactions!$E$7:$E$996,A44),"")</f>
        <v/>
      </c>
      <c r="E44" s="60" t="str">
        <f t="shared" si="1"/>
        <v/>
      </c>
      <c r="F44" s="60" t="str">
        <f t="shared" si="2"/>
        <v/>
      </c>
      <c r="G44" s="57"/>
      <c r="H44" s="52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23" t="str">
        <f>IF(Roster!$A$43&lt;&gt;"",Roster!$A$43,"")</f>
        <v/>
      </c>
      <c r="B45" s="23" t="str">
        <f t="array" ref="B45">IF(A45&lt;&gt;"",IFERROR(SUMPRODUCT((INDEX(Attendance!$B$7:$AZ$206,MATCH(A45,Attendance!$A$7:$A$206,0),0)=1)*Attendance!$B$4:$AZ$4),0),"")</f>
        <v/>
      </c>
      <c r="C45" s="56" t="str">
        <f>IF(A45&lt;&gt;"",SUMIFS(Transactions!$F$7:$F$996,Transactions!$D$7:$D$996,"Income",Transactions!$E$7:$E$996,A45),"")</f>
        <v/>
      </c>
      <c r="D45" s="56" t="str">
        <f>IF(A45&lt;&gt;"",SUMIFS(Transactions!$F$7:$F$996,Transactions!$D$7:$D$996,"Expense",Transactions!$E$7:$E$996,A45),"")</f>
        <v/>
      </c>
      <c r="E45" s="54" t="str">
        <f t="shared" si="1"/>
        <v/>
      </c>
      <c r="F45" s="54" t="str">
        <f t="shared" si="2"/>
        <v/>
      </c>
      <c r="G45" s="57"/>
      <c r="H45" s="52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58" t="str">
        <f>IF(Roster!$A$44&lt;&gt;"",Roster!$A$44,"")</f>
        <v/>
      </c>
      <c r="B46" s="58" t="str">
        <f t="array" ref="B46">IF(A46&lt;&gt;"",IFERROR(SUMPRODUCT((INDEX(Attendance!$B$7:$AZ$206,MATCH(A46,Attendance!$A$7:$A$206,0),0)=1)*Attendance!$B$4:$AZ$4),0),"")</f>
        <v/>
      </c>
      <c r="C46" s="59" t="str">
        <f>IF(A46&lt;&gt;"",SUMIFS(Transactions!$F$7:$F$996,Transactions!$D$7:$D$996,"Income",Transactions!$E$7:$E$996,A46),"")</f>
        <v/>
      </c>
      <c r="D46" s="59" t="str">
        <f>IF(A46&lt;&gt;"",SUMIFS(Transactions!$F$7:$F$996,Transactions!$D$7:$D$996,"Expense",Transactions!$E$7:$E$996,A46),"")</f>
        <v/>
      </c>
      <c r="E46" s="60" t="str">
        <f t="shared" si="1"/>
        <v/>
      </c>
      <c r="F46" s="60" t="str">
        <f t="shared" si="2"/>
        <v/>
      </c>
      <c r="G46" s="57"/>
      <c r="H46" s="52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23" t="str">
        <f>IF(Roster!$A$45&lt;&gt;"",Roster!$A$45,"")</f>
        <v/>
      </c>
      <c r="B47" s="23" t="str">
        <f t="array" ref="B47">IF(A47&lt;&gt;"",IFERROR(SUMPRODUCT((INDEX(Attendance!$B$7:$AZ$206,MATCH(A47,Attendance!$A$7:$A$206,0),0)=1)*Attendance!$B$4:$AZ$4),0),"")</f>
        <v/>
      </c>
      <c r="C47" s="56" t="str">
        <f>IF(A47&lt;&gt;"",SUMIFS(Transactions!$F$7:$F$996,Transactions!$D$7:$D$996,"Income",Transactions!$E$7:$E$996,A47),"")</f>
        <v/>
      </c>
      <c r="D47" s="56" t="str">
        <f>IF(A47&lt;&gt;"",SUMIFS(Transactions!$F$7:$F$996,Transactions!$D$7:$D$996,"Expense",Transactions!$E$7:$E$996,A47),"")</f>
        <v/>
      </c>
      <c r="E47" s="54" t="str">
        <f t="shared" si="1"/>
        <v/>
      </c>
      <c r="F47" s="54" t="str">
        <f t="shared" si="2"/>
        <v/>
      </c>
      <c r="G47" s="57"/>
      <c r="H47" s="52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58" t="str">
        <f>IF(Roster!$A$46&lt;&gt;"",Roster!$A$46,"")</f>
        <v/>
      </c>
      <c r="B48" s="58" t="str">
        <f t="array" ref="B48">IF(A48&lt;&gt;"",IFERROR(SUMPRODUCT((INDEX(Attendance!$B$7:$AZ$206,MATCH(A48,Attendance!$A$7:$A$206,0),0)=1)*Attendance!$B$4:$AZ$4),0),"")</f>
        <v/>
      </c>
      <c r="C48" s="59" t="str">
        <f>IF(A48&lt;&gt;"",SUMIFS(Transactions!$F$7:$F$996,Transactions!$D$7:$D$996,"Income",Transactions!$E$7:$E$996,A48),"")</f>
        <v/>
      </c>
      <c r="D48" s="59" t="str">
        <f>IF(A48&lt;&gt;"",SUMIFS(Transactions!$F$7:$F$996,Transactions!$D$7:$D$996,"Expense",Transactions!$E$7:$E$996,A48),"")</f>
        <v/>
      </c>
      <c r="E48" s="60" t="str">
        <f t="shared" si="1"/>
        <v/>
      </c>
      <c r="F48" s="60" t="str">
        <f t="shared" si="2"/>
        <v/>
      </c>
      <c r="G48" s="57"/>
      <c r="H48" s="52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23" t="str">
        <f>IF(Roster!$A$47&lt;&gt;"",Roster!$A$47,"")</f>
        <v/>
      </c>
      <c r="B49" s="23" t="str">
        <f t="array" ref="B49">IF(A49&lt;&gt;"",IFERROR(SUMPRODUCT((INDEX(Attendance!$B$7:$AZ$206,MATCH(A49,Attendance!$A$7:$A$206,0),0)=1)*Attendance!$B$4:$AZ$4),0),"")</f>
        <v/>
      </c>
      <c r="C49" s="56" t="str">
        <f>IF(A49&lt;&gt;"",SUMIFS(Transactions!$F$7:$F$996,Transactions!$D$7:$D$996,"Income",Transactions!$E$7:$E$996,A49),"")</f>
        <v/>
      </c>
      <c r="D49" s="56" t="str">
        <f>IF(A49&lt;&gt;"",SUMIFS(Transactions!$F$7:$F$996,Transactions!$D$7:$D$996,"Expense",Transactions!$E$7:$E$996,A49),"")</f>
        <v/>
      </c>
      <c r="E49" s="54" t="str">
        <f t="shared" si="1"/>
        <v/>
      </c>
      <c r="F49" s="54" t="str">
        <f t="shared" si="2"/>
        <v/>
      </c>
      <c r="G49" s="57"/>
      <c r="H49" s="52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58" t="str">
        <f>IF(Roster!$A$48&lt;&gt;"",Roster!$A$48,"")</f>
        <v/>
      </c>
      <c r="B50" s="58" t="str">
        <f t="array" ref="B50">IF(A50&lt;&gt;"",IFERROR(SUMPRODUCT((INDEX(Attendance!$B$7:$AZ$206,MATCH(A50,Attendance!$A$7:$A$206,0),0)=1)*Attendance!$B$4:$AZ$4),0),"")</f>
        <v/>
      </c>
      <c r="C50" s="59" t="str">
        <f>IF(A50&lt;&gt;"",SUMIFS(Transactions!$F$7:$F$996,Transactions!$D$7:$D$996,"Income",Transactions!$E$7:$E$996,A50),"")</f>
        <v/>
      </c>
      <c r="D50" s="59" t="str">
        <f>IF(A50&lt;&gt;"",SUMIFS(Transactions!$F$7:$F$996,Transactions!$D$7:$D$996,"Expense",Transactions!$E$7:$E$996,A50),"")</f>
        <v/>
      </c>
      <c r="E50" s="60" t="str">
        <f t="shared" si="1"/>
        <v/>
      </c>
      <c r="F50" s="60" t="str">
        <f t="shared" si="2"/>
        <v/>
      </c>
      <c r="G50" s="57"/>
      <c r="H50" s="52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23" t="str">
        <f>IF(Roster!$A$49&lt;&gt;"",Roster!$A$49,"")</f>
        <v/>
      </c>
      <c r="B51" s="23" t="str">
        <f t="array" ref="B51">IF(A51&lt;&gt;"",IFERROR(SUMPRODUCT((INDEX(Attendance!$B$7:$AZ$206,MATCH(A51,Attendance!$A$7:$A$206,0),0)=1)*Attendance!$B$4:$AZ$4),0),"")</f>
        <v/>
      </c>
      <c r="C51" s="56" t="str">
        <f>IF(A51&lt;&gt;"",SUMIFS(Transactions!$F$7:$F$996,Transactions!$D$7:$D$996,"Income",Transactions!$E$7:$E$996,A51),"")</f>
        <v/>
      </c>
      <c r="D51" s="56" t="str">
        <f>IF(A51&lt;&gt;"",SUMIFS(Transactions!$F$7:$F$996,Transactions!$D$7:$D$996,"Expense",Transactions!$E$7:$E$996,A51),"")</f>
        <v/>
      </c>
      <c r="E51" s="54" t="str">
        <f t="shared" si="1"/>
        <v/>
      </c>
      <c r="F51" s="54" t="str">
        <f t="shared" si="2"/>
        <v/>
      </c>
      <c r="G51" s="57"/>
      <c r="H51" s="52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58" t="str">
        <f>IF(Roster!$A$50&lt;&gt;"",Roster!$A$50,"")</f>
        <v/>
      </c>
      <c r="B52" s="58" t="str">
        <f t="array" ref="B52">IF(A52&lt;&gt;"",IFERROR(SUMPRODUCT((INDEX(Attendance!$B$7:$AZ$206,MATCH(A52,Attendance!$A$7:$A$206,0),0)=1)*Attendance!$B$4:$AZ$4),0),"")</f>
        <v/>
      </c>
      <c r="C52" s="59" t="str">
        <f>IF(A52&lt;&gt;"",SUMIFS(Transactions!$F$7:$F$996,Transactions!$D$7:$D$996,"Income",Transactions!$E$7:$E$996,A52),"")</f>
        <v/>
      </c>
      <c r="D52" s="59" t="str">
        <f>IF(A52&lt;&gt;"",SUMIFS(Transactions!$F$7:$F$996,Transactions!$D$7:$D$996,"Expense",Transactions!$E$7:$E$996,A52),"")</f>
        <v/>
      </c>
      <c r="E52" s="60" t="str">
        <f t="shared" si="1"/>
        <v/>
      </c>
      <c r="F52" s="60" t="str">
        <f t="shared" si="2"/>
        <v/>
      </c>
      <c r="G52" s="57"/>
      <c r="H52" s="52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23" t="str">
        <f>IF(Roster!$A$51&lt;&gt;"",Roster!$A$51,"")</f>
        <v/>
      </c>
      <c r="B53" s="23" t="str">
        <f t="array" ref="B53">IF(A53&lt;&gt;"",IFERROR(SUMPRODUCT((INDEX(Attendance!$B$7:$AZ$206,MATCH(A53,Attendance!$A$7:$A$206,0),0)=1)*Attendance!$B$4:$AZ$4),0),"")</f>
        <v/>
      </c>
      <c r="C53" s="56" t="str">
        <f>IF(A53&lt;&gt;"",SUMIFS(Transactions!$F$7:$F$996,Transactions!$D$7:$D$996,"Income",Transactions!$E$7:$E$996,A53),"")</f>
        <v/>
      </c>
      <c r="D53" s="56" t="str">
        <f>IF(A53&lt;&gt;"",SUMIFS(Transactions!$F$7:$F$996,Transactions!$D$7:$D$996,"Expense",Transactions!$E$7:$E$996,A53),"")</f>
        <v/>
      </c>
      <c r="E53" s="54" t="str">
        <f t="shared" si="1"/>
        <v/>
      </c>
      <c r="F53" s="54" t="str">
        <f t="shared" si="2"/>
        <v/>
      </c>
      <c r="G53" s="57"/>
      <c r="H53" s="52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58" t="str">
        <f>IF(Roster!$A$52&lt;&gt;"",Roster!$A$52,"")</f>
        <v/>
      </c>
      <c r="B54" s="58" t="str">
        <f t="array" ref="B54">IF(A54&lt;&gt;"",IFERROR(SUMPRODUCT((INDEX(Attendance!$B$7:$AZ$206,MATCH(A54,Attendance!$A$7:$A$206,0),0)=1)*Attendance!$B$4:$AZ$4),0),"")</f>
        <v/>
      </c>
      <c r="C54" s="59" t="str">
        <f>IF(A54&lt;&gt;"",SUMIFS(Transactions!$F$7:$F$996,Transactions!$D$7:$D$996,"Income",Transactions!$E$7:$E$996,A54),"")</f>
        <v/>
      </c>
      <c r="D54" s="59" t="str">
        <f>IF(A54&lt;&gt;"",SUMIFS(Transactions!$F$7:$F$996,Transactions!$D$7:$D$996,"Expense",Transactions!$E$7:$E$996,A54),"")</f>
        <v/>
      </c>
      <c r="E54" s="60" t="str">
        <f t="shared" si="1"/>
        <v/>
      </c>
      <c r="F54" s="60" t="str">
        <f t="shared" si="2"/>
        <v/>
      </c>
      <c r="G54" s="57"/>
      <c r="H54" s="52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23" t="str">
        <f>IF(Roster!$A$53&lt;&gt;"",Roster!$A$53,"")</f>
        <v/>
      </c>
      <c r="B55" s="23" t="str">
        <f t="array" ref="B55">IF(A55&lt;&gt;"",IFERROR(SUMPRODUCT((INDEX(Attendance!$B$7:$AZ$206,MATCH(A55,Attendance!$A$7:$A$206,0),0)=1)*Attendance!$B$4:$AZ$4),0),"")</f>
        <v/>
      </c>
      <c r="C55" s="56" t="str">
        <f>IF(A55&lt;&gt;"",SUMIFS(Transactions!$F$7:$F$996,Transactions!$D$7:$D$996,"Income",Transactions!$E$7:$E$996,A55),"")</f>
        <v/>
      </c>
      <c r="D55" s="56" t="str">
        <f>IF(A55&lt;&gt;"",SUMIFS(Transactions!$F$7:$F$996,Transactions!$D$7:$D$996,"Expense",Transactions!$E$7:$E$996,A55),"")</f>
        <v/>
      </c>
      <c r="E55" s="54" t="str">
        <f t="shared" si="1"/>
        <v/>
      </c>
      <c r="F55" s="54" t="str">
        <f t="shared" si="2"/>
        <v/>
      </c>
      <c r="G55" s="57"/>
      <c r="H55" s="52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58" t="str">
        <f>IF(Roster!$A$54&lt;&gt;"",Roster!$A$54,"")</f>
        <v/>
      </c>
      <c r="B56" s="58" t="str">
        <f t="array" ref="B56">IF(A56&lt;&gt;"",IFERROR(SUMPRODUCT((INDEX(Attendance!$B$7:$AZ$206,MATCH(A56,Attendance!$A$7:$A$206,0),0)=1)*Attendance!$B$4:$AZ$4),0),"")</f>
        <v/>
      </c>
      <c r="C56" s="59" t="str">
        <f>IF(A56&lt;&gt;"",SUMIFS(Transactions!$F$7:$F$996,Transactions!$D$7:$D$996,"Income",Transactions!$E$7:$E$996,A56),"")</f>
        <v/>
      </c>
      <c r="D56" s="59" t="str">
        <f>IF(A56&lt;&gt;"",SUMIFS(Transactions!$F$7:$F$996,Transactions!$D$7:$D$996,"Expense",Transactions!$E$7:$E$996,A56),"")</f>
        <v/>
      </c>
      <c r="E56" s="60" t="str">
        <f t="shared" si="1"/>
        <v/>
      </c>
      <c r="F56" s="60" t="str">
        <f t="shared" si="2"/>
        <v/>
      </c>
      <c r="G56" s="57"/>
      <c r="H56" s="52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23" t="str">
        <f>IF(Roster!$A$55&lt;&gt;"",Roster!$A$55,"")</f>
        <v/>
      </c>
      <c r="B57" s="23" t="str">
        <f t="array" ref="B57">IF(A57&lt;&gt;"",IFERROR(SUMPRODUCT((INDEX(Attendance!$B$7:$AZ$206,MATCH(A57,Attendance!$A$7:$A$206,0),0)=1)*Attendance!$B$4:$AZ$4),0),"")</f>
        <v/>
      </c>
      <c r="C57" s="56" t="str">
        <f>IF(A57&lt;&gt;"",SUMIFS(Transactions!$F$7:$F$996,Transactions!$D$7:$D$996,"Income",Transactions!$E$7:$E$996,A57),"")</f>
        <v/>
      </c>
      <c r="D57" s="56" t="str">
        <f>IF(A57&lt;&gt;"",SUMIFS(Transactions!$F$7:$F$996,Transactions!$D$7:$D$996,"Expense",Transactions!$E$7:$E$996,A57),"")</f>
        <v/>
      </c>
      <c r="E57" s="54" t="str">
        <f t="shared" si="1"/>
        <v/>
      </c>
      <c r="F57" s="54" t="str">
        <f t="shared" si="2"/>
        <v/>
      </c>
      <c r="G57" s="57"/>
      <c r="H57" s="52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58" t="str">
        <f>IF(Roster!$A$56&lt;&gt;"",Roster!$A$56,"")</f>
        <v/>
      </c>
      <c r="B58" s="58" t="str">
        <f t="array" ref="B58">IF(A58&lt;&gt;"",IFERROR(SUMPRODUCT((INDEX(Attendance!$B$7:$AZ$206,MATCH(A58,Attendance!$A$7:$A$206,0),0)=1)*Attendance!$B$4:$AZ$4),0),"")</f>
        <v/>
      </c>
      <c r="C58" s="59" t="str">
        <f>IF(A58&lt;&gt;"",SUMIFS(Transactions!$F$7:$F$996,Transactions!$D$7:$D$996,"Income",Transactions!$E$7:$E$996,A58),"")</f>
        <v/>
      </c>
      <c r="D58" s="59" t="str">
        <f>IF(A58&lt;&gt;"",SUMIFS(Transactions!$F$7:$F$996,Transactions!$D$7:$D$996,"Expense",Transactions!$E$7:$E$996,A58),"")</f>
        <v/>
      </c>
      <c r="E58" s="60" t="str">
        <f t="shared" si="1"/>
        <v/>
      </c>
      <c r="F58" s="60" t="str">
        <f t="shared" si="2"/>
        <v/>
      </c>
      <c r="G58" s="57"/>
      <c r="H58" s="52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23" t="str">
        <f>IF(Roster!$A$57&lt;&gt;"",Roster!$A$57,"")</f>
        <v/>
      </c>
      <c r="B59" s="23" t="str">
        <f t="array" ref="B59">IF(A59&lt;&gt;"",IFERROR(SUMPRODUCT((INDEX(Attendance!$B$7:$AZ$206,MATCH(A59,Attendance!$A$7:$A$206,0),0)=1)*Attendance!$B$4:$AZ$4),0),"")</f>
        <v/>
      </c>
      <c r="C59" s="56" t="str">
        <f>IF(A59&lt;&gt;"",SUMIFS(Transactions!$F$7:$F$996,Transactions!$D$7:$D$996,"Income",Transactions!$E$7:$E$996,A59),"")</f>
        <v/>
      </c>
      <c r="D59" s="56" t="str">
        <f>IF(A59&lt;&gt;"",SUMIFS(Transactions!$F$7:$F$996,Transactions!$D$7:$D$996,"Expense",Transactions!$E$7:$E$996,A59),"")</f>
        <v/>
      </c>
      <c r="E59" s="54" t="str">
        <f t="shared" si="1"/>
        <v/>
      </c>
      <c r="F59" s="54" t="str">
        <f t="shared" si="2"/>
        <v/>
      </c>
      <c r="G59" s="57"/>
      <c r="H59" s="52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58" t="str">
        <f>IF(Roster!$A$58&lt;&gt;"",Roster!$A$58,"")</f>
        <v/>
      </c>
      <c r="B60" s="58" t="str">
        <f t="array" ref="B60">IF(A60&lt;&gt;"",IFERROR(SUMPRODUCT((INDEX(Attendance!$B$7:$AZ$206,MATCH(A60,Attendance!$A$7:$A$206,0),0)=1)*Attendance!$B$4:$AZ$4),0),"")</f>
        <v/>
      </c>
      <c r="C60" s="59" t="str">
        <f>IF(A60&lt;&gt;"",SUMIFS(Transactions!$F$7:$F$996,Transactions!$D$7:$D$996,"Income",Transactions!$E$7:$E$996,A60),"")</f>
        <v/>
      </c>
      <c r="D60" s="59" t="str">
        <f>IF(A60&lt;&gt;"",SUMIFS(Transactions!$F$7:$F$996,Transactions!$D$7:$D$996,"Expense",Transactions!$E$7:$E$996,A60),"")</f>
        <v/>
      </c>
      <c r="E60" s="60" t="str">
        <f t="shared" si="1"/>
        <v/>
      </c>
      <c r="F60" s="60" t="str">
        <f t="shared" si="2"/>
        <v/>
      </c>
      <c r="G60" s="57"/>
      <c r="H60" s="52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23" t="str">
        <f>IF(Roster!$A$59&lt;&gt;"",Roster!$A$59,"")</f>
        <v/>
      </c>
      <c r="B61" s="23" t="str">
        <f t="array" ref="B61">IF(A61&lt;&gt;"",IFERROR(SUMPRODUCT((INDEX(Attendance!$B$7:$AZ$206,MATCH(A61,Attendance!$A$7:$A$206,0),0)=1)*Attendance!$B$4:$AZ$4),0),"")</f>
        <v/>
      </c>
      <c r="C61" s="56" t="str">
        <f>IF(A61&lt;&gt;"",SUMIFS(Transactions!$F$7:$F$996,Transactions!$D$7:$D$996,"Income",Transactions!$E$7:$E$996,A61),"")</f>
        <v/>
      </c>
      <c r="D61" s="56" t="str">
        <f>IF(A61&lt;&gt;"",SUMIFS(Transactions!$F$7:$F$996,Transactions!$D$7:$D$996,"Expense",Transactions!$E$7:$E$996,A61),"")</f>
        <v/>
      </c>
      <c r="E61" s="54" t="str">
        <f t="shared" si="1"/>
        <v/>
      </c>
      <c r="F61" s="54" t="str">
        <f t="shared" si="2"/>
        <v/>
      </c>
      <c r="G61" s="57"/>
      <c r="H61" s="52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58" t="str">
        <f>IF(Roster!$A$60&lt;&gt;"",Roster!$A$60,"")</f>
        <v/>
      </c>
      <c r="B62" s="58" t="str">
        <f t="array" ref="B62">IF(A62&lt;&gt;"",IFERROR(SUMPRODUCT((INDEX(Attendance!$B$7:$AZ$206,MATCH(A62,Attendance!$A$7:$A$206,0),0)=1)*Attendance!$B$4:$AZ$4),0),"")</f>
        <v/>
      </c>
      <c r="C62" s="59" t="str">
        <f>IF(A62&lt;&gt;"",SUMIFS(Transactions!$F$7:$F$996,Transactions!$D$7:$D$996,"Income",Transactions!$E$7:$E$996,A62),"")</f>
        <v/>
      </c>
      <c r="D62" s="59" t="str">
        <f>IF(A62&lt;&gt;"",SUMIFS(Transactions!$F$7:$F$996,Transactions!$D$7:$D$996,"Expense",Transactions!$E$7:$E$996,A62),"")</f>
        <v/>
      </c>
      <c r="E62" s="60" t="str">
        <f t="shared" si="1"/>
        <v/>
      </c>
      <c r="F62" s="60" t="str">
        <f t="shared" si="2"/>
        <v/>
      </c>
      <c r="G62" s="57"/>
      <c r="H62" s="52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23" t="str">
        <f>IF(Roster!$A$61&lt;&gt;"",Roster!$A$61,"")</f>
        <v/>
      </c>
      <c r="B63" s="23" t="str">
        <f t="array" ref="B63">IF(A63&lt;&gt;"",IFERROR(SUMPRODUCT((INDEX(Attendance!$B$7:$AZ$206,MATCH(A63,Attendance!$A$7:$A$206,0),0)=1)*Attendance!$B$4:$AZ$4),0),"")</f>
        <v/>
      </c>
      <c r="C63" s="56" t="str">
        <f>IF(A63&lt;&gt;"",SUMIFS(Transactions!$F$7:$F$996,Transactions!$D$7:$D$996,"Income",Transactions!$E$7:$E$996,A63),"")</f>
        <v/>
      </c>
      <c r="D63" s="56" t="str">
        <f>IF(A63&lt;&gt;"",SUMIFS(Transactions!$F$7:$F$996,Transactions!$D$7:$D$996,"Expense",Transactions!$E$7:$E$996,A63),"")</f>
        <v/>
      </c>
      <c r="E63" s="54" t="str">
        <f t="shared" si="1"/>
        <v/>
      </c>
      <c r="F63" s="54" t="str">
        <f t="shared" si="2"/>
        <v/>
      </c>
      <c r="G63" s="57"/>
      <c r="H63" s="52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58" t="str">
        <f>IF(Roster!$A$62&lt;&gt;"",Roster!$A$62,"")</f>
        <v/>
      </c>
      <c r="B64" s="58" t="str">
        <f t="array" ref="B64">IF(A64&lt;&gt;"",IFERROR(SUMPRODUCT((INDEX(Attendance!$B$7:$AZ$206,MATCH(A64,Attendance!$A$7:$A$206,0),0)=1)*Attendance!$B$4:$AZ$4),0),"")</f>
        <v/>
      </c>
      <c r="C64" s="59" t="str">
        <f>IF(A64&lt;&gt;"",SUMIFS(Transactions!$F$7:$F$996,Transactions!$D$7:$D$996,"Income",Transactions!$E$7:$E$996,A64),"")</f>
        <v/>
      </c>
      <c r="D64" s="59" t="str">
        <f>IF(A64&lt;&gt;"",SUMIFS(Transactions!$F$7:$F$996,Transactions!$D$7:$D$996,"Expense",Transactions!$E$7:$E$996,A64),"")</f>
        <v/>
      </c>
      <c r="E64" s="60" t="str">
        <f t="shared" si="1"/>
        <v/>
      </c>
      <c r="F64" s="60" t="str">
        <f t="shared" si="2"/>
        <v/>
      </c>
      <c r="G64" s="57"/>
      <c r="H64" s="52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23" t="str">
        <f>IF(Roster!$A$63&lt;&gt;"",Roster!$A$63,"")</f>
        <v/>
      </c>
      <c r="B65" s="23" t="str">
        <f t="array" ref="B65">IF(A65&lt;&gt;"",IFERROR(SUMPRODUCT((INDEX(Attendance!$B$7:$AZ$206,MATCH(A65,Attendance!$A$7:$A$206,0),0)=1)*Attendance!$B$4:$AZ$4),0),"")</f>
        <v/>
      </c>
      <c r="C65" s="56" t="str">
        <f>IF(A65&lt;&gt;"",SUMIFS(Transactions!$F$7:$F$996,Transactions!$D$7:$D$996,"Income",Transactions!$E$7:$E$996,A65),"")</f>
        <v/>
      </c>
      <c r="D65" s="56" t="str">
        <f>IF(A65&lt;&gt;"",SUMIFS(Transactions!$F$7:$F$996,Transactions!$D$7:$D$996,"Expense",Transactions!$E$7:$E$996,A65),"")</f>
        <v/>
      </c>
      <c r="E65" s="54" t="str">
        <f t="shared" si="1"/>
        <v/>
      </c>
      <c r="F65" s="54" t="str">
        <f t="shared" si="2"/>
        <v/>
      </c>
      <c r="G65" s="57"/>
      <c r="H65" s="52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58" t="str">
        <f>IF(Roster!$A$64&lt;&gt;"",Roster!$A$64,"")</f>
        <v/>
      </c>
      <c r="B66" s="58" t="str">
        <f t="array" ref="B66">IF(A66&lt;&gt;"",IFERROR(SUMPRODUCT((INDEX(Attendance!$B$7:$AZ$206,MATCH(A66,Attendance!$A$7:$A$206,0),0)=1)*Attendance!$B$4:$AZ$4),0),"")</f>
        <v/>
      </c>
      <c r="C66" s="59" t="str">
        <f>IF(A66&lt;&gt;"",SUMIFS(Transactions!$F$7:$F$996,Transactions!$D$7:$D$996,"Income",Transactions!$E$7:$E$996,A66),"")</f>
        <v/>
      </c>
      <c r="D66" s="59" t="str">
        <f>IF(A66&lt;&gt;"",SUMIFS(Transactions!$F$7:$F$996,Transactions!$D$7:$D$996,"Expense",Transactions!$E$7:$E$996,A66),"")</f>
        <v/>
      </c>
      <c r="E66" s="60" t="str">
        <f t="shared" si="1"/>
        <v/>
      </c>
      <c r="F66" s="60" t="str">
        <f t="shared" si="2"/>
        <v/>
      </c>
      <c r="G66" s="57"/>
      <c r="H66" s="52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23" t="str">
        <f>IF(Roster!$A$65&lt;&gt;"",Roster!$A$65,"")</f>
        <v/>
      </c>
      <c r="B67" s="23" t="str">
        <f t="array" ref="B67">IF(A67&lt;&gt;"",IFERROR(SUMPRODUCT((INDEX(Attendance!$B$7:$AZ$206,MATCH(A67,Attendance!$A$7:$A$206,0),0)=1)*Attendance!$B$4:$AZ$4),0),"")</f>
        <v/>
      </c>
      <c r="C67" s="56" t="str">
        <f>IF(A67&lt;&gt;"",SUMIFS(Transactions!$F$7:$F$996,Transactions!$D$7:$D$996,"Income",Transactions!$E$7:$E$996,A67),"")</f>
        <v/>
      </c>
      <c r="D67" s="56" t="str">
        <f>IF(A67&lt;&gt;"",SUMIFS(Transactions!$F$7:$F$996,Transactions!$D$7:$D$996,"Expense",Transactions!$E$7:$E$996,A67),"")</f>
        <v/>
      </c>
      <c r="E67" s="54" t="str">
        <f t="shared" si="1"/>
        <v/>
      </c>
      <c r="F67" s="54" t="str">
        <f t="shared" si="2"/>
        <v/>
      </c>
      <c r="G67" s="57"/>
      <c r="H67" s="52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58" t="str">
        <f>IF(Roster!$A$66&lt;&gt;"",Roster!$A$66,"")</f>
        <v/>
      </c>
      <c r="B68" s="58" t="str">
        <f t="array" ref="B68">IF(A68&lt;&gt;"",IFERROR(SUMPRODUCT((INDEX(Attendance!$B$7:$AZ$206,MATCH(A68,Attendance!$A$7:$A$206,0),0)=1)*Attendance!$B$4:$AZ$4),0),"")</f>
        <v/>
      </c>
      <c r="C68" s="59" t="str">
        <f>IF(A68&lt;&gt;"",SUMIFS(Transactions!$F$7:$F$996,Transactions!$D$7:$D$996,"Income",Transactions!$E$7:$E$996,A68),"")</f>
        <v/>
      </c>
      <c r="D68" s="59" t="str">
        <f>IF(A68&lt;&gt;"",SUMIFS(Transactions!$F$7:$F$996,Transactions!$D$7:$D$996,"Expense",Transactions!$E$7:$E$996,A68),"")</f>
        <v/>
      </c>
      <c r="E68" s="60" t="str">
        <f t="shared" si="1"/>
        <v/>
      </c>
      <c r="F68" s="60" t="str">
        <f t="shared" si="2"/>
        <v/>
      </c>
      <c r="G68" s="57"/>
      <c r="H68" s="52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23" t="str">
        <f>IF(Roster!$A$67&lt;&gt;"",Roster!$A$67,"")</f>
        <v/>
      </c>
      <c r="B69" s="23" t="str">
        <f t="array" ref="B69">IF(A69&lt;&gt;"",IFERROR(SUMPRODUCT((INDEX(Attendance!$B$7:$AZ$206,MATCH(A69,Attendance!$A$7:$A$206,0),0)=1)*Attendance!$B$4:$AZ$4),0),"")</f>
        <v/>
      </c>
      <c r="C69" s="56" t="str">
        <f>IF(A69&lt;&gt;"",SUMIFS(Transactions!$F$7:$F$996,Transactions!$D$7:$D$996,"Income",Transactions!$E$7:$E$996,A69),"")</f>
        <v/>
      </c>
      <c r="D69" s="56" t="str">
        <f>IF(A69&lt;&gt;"",SUMIFS(Transactions!$F$7:$F$996,Transactions!$D$7:$D$996,"Expense",Transactions!$E$7:$E$996,A69),"")</f>
        <v/>
      </c>
      <c r="E69" s="54" t="str">
        <f t="shared" si="1"/>
        <v/>
      </c>
      <c r="F69" s="54" t="str">
        <f t="shared" si="2"/>
        <v/>
      </c>
      <c r="G69" s="57"/>
      <c r="H69" s="52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58" t="str">
        <f>IF(Roster!$A$68&lt;&gt;"",Roster!$A$68,"")</f>
        <v/>
      </c>
      <c r="B70" s="58" t="str">
        <f t="array" ref="B70">IF(A70&lt;&gt;"",IFERROR(SUMPRODUCT((INDEX(Attendance!$B$7:$AZ$206,MATCH(A70,Attendance!$A$7:$A$206,0),0)=1)*Attendance!$B$4:$AZ$4),0),"")</f>
        <v/>
      </c>
      <c r="C70" s="59" t="str">
        <f>IF(A70&lt;&gt;"",SUMIFS(Transactions!$F$7:$F$996,Transactions!$D$7:$D$996,"Income",Transactions!$E$7:$E$996,A70),"")</f>
        <v/>
      </c>
      <c r="D70" s="59" t="str">
        <f>IF(A70&lt;&gt;"",SUMIFS(Transactions!$F$7:$F$996,Transactions!$D$7:$D$996,"Expense",Transactions!$E$7:$E$996,A70),"")</f>
        <v/>
      </c>
      <c r="E70" s="60" t="str">
        <f t="shared" si="1"/>
        <v/>
      </c>
      <c r="F70" s="60" t="str">
        <f t="shared" si="2"/>
        <v/>
      </c>
      <c r="G70" s="57"/>
      <c r="H70" s="52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23" t="str">
        <f>IF(Roster!$A$69&lt;&gt;"",Roster!$A$69,"")</f>
        <v/>
      </c>
      <c r="B71" s="23" t="str">
        <f t="array" ref="B71">IF(A71&lt;&gt;"",IFERROR(SUMPRODUCT((INDEX(Attendance!$B$7:$AZ$206,MATCH(A71,Attendance!$A$7:$A$206,0),0)=1)*Attendance!$B$4:$AZ$4),0),"")</f>
        <v/>
      </c>
      <c r="C71" s="56" t="str">
        <f>IF(A71&lt;&gt;"",SUMIFS(Transactions!$F$7:$F$996,Transactions!$D$7:$D$996,"Income",Transactions!$E$7:$E$996,A71),"")</f>
        <v/>
      </c>
      <c r="D71" s="56" t="str">
        <f>IF(A71&lt;&gt;"",SUMIFS(Transactions!$F$7:$F$996,Transactions!$D$7:$D$996,"Expense",Transactions!$E$7:$E$996,A71),"")</f>
        <v/>
      </c>
      <c r="E71" s="54" t="str">
        <f t="shared" si="1"/>
        <v/>
      </c>
      <c r="F71" s="54" t="str">
        <f t="shared" si="2"/>
        <v/>
      </c>
      <c r="G71" s="57"/>
      <c r="H71" s="52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58" t="str">
        <f>IF(Roster!$A$70&lt;&gt;"",Roster!$A$70,"")</f>
        <v/>
      </c>
      <c r="B72" s="58" t="str">
        <f t="array" ref="B72">IF(A72&lt;&gt;"",IFERROR(SUMPRODUCT((INDEX(Attendance!$B$7:$AZ$206,MATCH(A72,Attendance!$A$7:$A$206,0),0)=1)*Attendance!$B$4:$AZ$4),0),"")</f>
        <v/>
      </c>
      <c r="C72" s="59" t="str">
        <f>IF(A72&lt;&gt;"",SUMIFS(Transactions!$F$7:$F$996,Transactions!$D$7:$D$996,"Income",Transactions!$E$7:$E$996,A72),"")</f>
        <v/>
      </c>
      <c r="D72" s="59" t="str">
        <f>IF(A72&lt;&gt;"",SUMIFS(Transactions!$F$7:$F$996,Transactions!$D$7:$D$996,"Expense",Transactions!$E$7:$E$996,A72),"")</f>
        <v/>
      </c>
      <c r="E72" s="60" t="str">
        <f t="shared" si="1"/>
        <v/>
      </c>
      <c r="F72" s="60" t="str">
        <f t="shared" si="2"/>
        <v/>
      </c>
      <c r="G72" s="57"/>
      <c r="H72" s="52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23" t="str">
        <f>IF(Roster!$A$71&lt;&gt;"",Roster!$A$71,"")</f>
        <v/>
      </c>
      <c r="B73" s="23" t="str">
        <f t="array" ref="B73">IF(A73&lt;&gt;"",IFERROR(SUMPRODUCT((INDEX(Attendance!$B$7:$AZ$206,MATCH(A73,Attendance!$A$7:$A$206,0),0)=1)*Attendance!$B$4:$AZ$4),0),"")</f>
        <v/>
      </c>
      <c r="C73" s="56" t="str">
        <f>IF(A73&lt;&gt;"",SUMIFS(Transactions!$F$7:$F$996,Transactions!$D$7:$D$996,"Income",Transactions!$E$7:$E$996,A73),"")</f>
        <v/>
      </c>
      <c r="D73" s="56" t="str">
        <f>IF(A73&lt;&gt;"",SUMIFS(Transactions!$F$7:$F$996,Transactions!$D$7:$D$996,"Expense",Transactions!$E$7:$E$996,A73),"")</f>
        <v/>
      </c>
      <c r="E73" s="54" t="str">
        <f t="shared" si="1"/>
        <v/>
      </c>
      <c r="F73" s="54" t="str">
        <f t="shared" si="2"/>
        <v/>
      </c>
      <c r="G73" s="57"/>
      <c r="H73" s="52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58" t="str">
        <f>IF(Roster!$A$72&lt;&gt;"",Roster!$A$72,"")</f>
        <v/>
      </c>
      <c r="B74" s="58" t="str">
        <f t="array" ref="B74">IF(A74&lt;&gt;"",IFERROR(SUMPRODUCT((INDEX(Attendance!$B$7:$AZ$206,MATCH(A74,Attendance!$A$7:$A$206,0),0)=1)*Attendance!$B$4:$AZ$4),0),"")</f>
        <v/>
      </c>
      <c r="C74" s="59" t="str">
        <f>IF(A74&lt;&gt;"",SUMIFS(Transactions!$F$7:$F$996,Transactions!$D$7:$D$996,"Income",Transactions!$E$7:$E$996,A74),"")</f>
        <v/>
      </c>
      <c r="D74" s="59" t="str">
        <f>IF(A74&lt;&gt;"",SUMIFS(Transactions!$F$7:$F$996,Transactions!$D$7:$D$996,"Expense",Transactions!$E$7:$E$996,A74),"")</f>
        <v/>
      </c>
      <c r="E74" s="60" t="str">
        <f t="shared" si="1"/>
        <v/>
      </c>
      <c r="F74" s="60" t="str">
        <f t="shared" si="2"/>
        <v/>
      </c>
      <c r="G74" s="57"/>
      <c r="H74" s="52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23" t="str">
        <f>IF(Roster!$A$73&lt;&gt;"",Roster!$A$73,"")</f>
        <v/>
      </c>
      <c r="B75" s="23" t="str">
        <f t="array" ref="B75">IF(A75&lt;&gt;"",IFERROR(SUMPRODUCT((INDEX(Attendance!$B$7:$AZ$206,MATCH(A75,Attendance!$A$7:$A$206,0),0)=1)*Attendance!$B$4:$AZ$4),0),"")</f>
        <v/>
      </c>
      <c r="C75" s="56" t="str">
        <f>IF(A75&lt;&gt;"",SUMIFS(Transactions!$F$7:$F$996,Transactions!$D$7:$D$996,"Income",Transactions!$E$7:$E$996,A75),"")</f>
        <v/>
      </c>
      <c r="D75" s="56" t="str">
        <f>IF(A75&lt;&gt;"",SUMIFS(Transactions!$F$7:$F$996,Transactions!$D$7:$D$996,"Expense",Transactions!$E$7:$E$996,A75),"")</f>
        <v/>
      </c>
      <c r="E75" s="54" t="str">
        <f t="shared" si="1"/>
        <v/>
      </c>
      <c r="F75" s="54" t="str">
        <f t="shared" si="2"/>
        <v/>
      </c>
      <c r="G75" s="57"/>
      <c r="H75" s="52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58" t="str">
        <f>IF(Roster!$A$74&lt;&gt;"",Roster!$A$74,"")</f>
        <v/>
      </c>
      <c r="B76" s="58" t="str">
        <f t="array" ref="B76">IF(A76&lt;&gt;"",IFERROR(SUMPRODUCT((INDEX(Attendance!$B$7:$AZ$206,MATCH(A76,Attendance!$A$7:$A$206,0),0)=1)*Attendance!$B$4:$AZ$4),0),"")</f>
        <v/>
      </c>
      <c r="C76" s="59" t="str">
        <f>IF(A76&lt;&gt;"",SUMIFS(Transactions!$F$7:$F$996,Transactions!$D$7:$D$996,"Income",Transactions!$E$7:$E$996,A76),"")</f>
        <v/>
      </c>
      <c r="D76" s="59" t="str">
        <f>IF(A76&lt;&gt;"",SUMIFS(Transactions!$F$7:$F$996,Transactions!$D$7:$D$996,"Expense",Transactions!$E$7:$E$996,A76),"")</f>
        <v/>
      </c>
      <c r="E76" s="60" t="str">
        <f t="shared" si="1"/>
        <v/>
      </c>
      <c r="F76" s="60" t="str">
        <f t="shared" si="2"/>
        <v/>
      </c>
      <c r="G76" s="57"/>
      <c r="H76" s="52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23" t="str">
        <f>IF(Roster!$A$75&lt;&gt;"",Roster!$A$75,"")</f>
        <v/>
      </c>
      <c r="B77" s="23" t="str">
        <f t="array" ref="B77">IF(A77&lt;&gt;"",IFERROR(SUMPRODUCT((INDEX(Attendance!$B$7:$AZ$206,MATCH(A77,Attendance!$A$7:$A$206,0),0)=1)*Attendance!$B$4:$AZ$4),0),"")</f>
        <v/>
      </c>
      <c r="C77" s="56" t="str">
        <f>IF(A77&lt;&gt;"",SUMIFS(Transactions!$F$7:$F$996,Transactions!$D$7:$D$996,"Income",Transactions!$E$7:$E$996,A77),"")</f>
        <v/>
      </c>
      <c r="D77" s="56" t="str">
        <f>IF(A77&lt;&gt;"",SUMIFS(Transactions!$F$7:$F$996,Transactions!$D$7:$D$996,"Expense",Transactions!$E$7:$E$996,A77),"")</f>
        <v/>
      </c>
      <c r="E77" s="54" t="str">
        <f t="shared" si="1"/>
        <v/>
      </c>
      <c r="F77" s="54" t="str">
        <f t="shared" si="2"/>
        <v/>
      </c>
      <c r="G77" s="57"/>
      <c r="H77" s="52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58" t="str">
        <f>IF(Roster!$A$76&lt;&gt;"",Roster!$A$76,"")</f>
        <v/>
      </c>
      <c r="B78" s="58" t="str">
        <f t="array" ref="B78">IF(A78&lt;&gt;"",IFERROR(SUMPRODUCT((INDEX(Attendance!$B$7:$AZ$206,MATCH(A78,Attendance!$A$7:$A$206,0),0)=1)*Attendance!$B$4:$AZ$4),0),"")</f>
        <v/>
      </c>
      <c r="C78" s="59" t="str">
        <f>IF(A78&lt;&gt;"",SUMIFS(Transactions!$F$7:$F$996,Transactions!$D$7:$D$996,"Income",Transactions!$E$7:$E$996,A78),"")</f>
        <v/>
      </c>
      <c r="D78" s="59" t="str">
        <f>IF(A78&lt;&gt;"",SUMIFS(Transactions!$F$7:$F$996,Transactions!$D$7:$D$996,"Expense",Transactions!$E$7:$E$996,A78),"")</f>
        <v/>
      </c>
      <c r="E78" s="60" t="str">
        <f t="shared" si="1"/>
        <v/>
      </c>
      <c r="F78" s="60" t="str">
        <f t="shared" si="2"/>
        <v/>
      </c>
      <c r="G78" s="57"/>
      <c r="H78" s="52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23" t="str">
        <f>IF(Roster!$A$77&lt;&gt;"",Roster!$A$77,"")</f>
        <v/>
      </c>
      <c r="B79" s="23" t="str">
        <f t="array" ref="B79">IF(A79&lt;&gt;"",IFERROR(SUMPRODUCT((INDEX(Attendance!$B$7:$AZ$206,MATCH(A79,Attendance!$A$7:$A$206,0),0)=1)*Attendance!$B$4:$AZ$4),0),"")</f>
        <v/>
      </c>
      <c r="C79" s="56" t="str">
        <f>IF(A79&lt;&gt;"",SUMIFS(Transactions!$F$7:$F$996,Transactions!$D$7:$D$996,"Income",Transactions!$E$7:$E$996,A79),"")</f>
        <v/>
      </c>
      <c r="D79" s="56" t="str">
        <f>IF(A79&lt;&gt;"",SUMIFS(Transactions!$F$7:$F$996,Transactions!$D$7:$D$996,"Expense",Transactions!$E$7:$E$996,A79),"")</f>
        <v/>
      </c>
      <c r="E79" s="54" t="str">
        <f t="shared" si="1"/>
        <v/>
      </c>
      <c r="F79" s="54" t="str">
        <f t="shared" si="2"/>
        <v/>
      </c>
      <c r="G79" s="57"/>
      <c r="H79" s="52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58" t="str">
        <f>IF(Roster!$A$78&lt;&gt;"",Roster!$A$78,"")</f>
        <v/>
      </c>
      <c r="B80" s="58" t="str">
        <f t="array" ref="B80">IF(A80&lt;&gt;"",IFERROR(SUMPRODUCT((INDEX(Attendance!$B$7:$AZ$206,MATCH(A80,Attendance!$A$7:$A$206,0),0)=1)*Attendance!$B$4:$AZ$4),0),"")</f>
        <v/>
      </c>
      <c r="C80" s="59" t="str">
        <f>IF(A80&lt;&gt;"",SUMIFS(Transactions!$F$7:$F$996,Transactions!$D$7:$D$996,"Income",Transactions!$E$7:$E$996,A80),"")</f>
        <v/>
      </c>
      <c r="D80" s="59" t="str">
        <f>IF(A80&lt;&gt;"",SUMIFS(Transactions!$F$7:$F$996,Transactions!$D$7:$D$996,"Expense",Transactions!$E$7:$E$996,A80),"")</f>
        <v/>
      </c>
      <c r="E80" s="60" t="str">
        <f t="shared" si="1"/>
        <v/>
      </c>
      <c r="F80" s="60" t="str">
        <f t="shared" si="2"/>
        <v/>
      </c>
      <c r="G80" s="57"/>
      <c r="H80" s="52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23" t="str">
        <f>IF(Roster!$A$79&lt;&gt;"",Roster!$A$79,"")</f>
        <v/>
      </c>
      <c r="B81" s="23" t="str">
        <f t="array" ref="B81">IF(A81&lt;&gt;"",IFERROR(SUMPRODUCT((INDEX(Attendance!$B$7:$AZ$206,MATCH(A81,Attendance!$A$7:$A$206,0),0)=1)*Attendance!$B$4:$AZ$4),0),"")</f>
        <v/>
      </c>
      <c r="C81" s="56" t="str">
        <f>IF(A81&lt;&gt;"",SUMIFS(Transactions!$F$7:$F$996,Transactions!$D$7:$D$996,"Income",Transactions!$E$7:$E$996,A81),"")</f>
        <v/>
      </c>
      <c r="D81" s="56" t="str">
        <f>IF(A81&lt;&gt;"",SUMIFS(Transactions!$F$7:$F$996,Transactions!$D$7:$D$996,"Expense",Transactions!$E$7:$E$996,A81),"")</f>
        <v/>
      </c>
      <c r="E81" s="54" t="str">
        <f t="shared" si="1"/>
        <v/>
      </c>
      <c r="F81" s="54" t="str">
        <f t="shared" si="2"/>
        <v/>
      </c>
      <c r="G81" s="57"/>
      <c r="H81" s="52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58" t="str">
        <f>IF(Roster!$A$80&lt;&gt;"",Roster!$A$80,"")</f>
        <v/>
      </c>
      <c r="B82" s="58" t="str">
        <f t="array" ref="B82">IF(A82&lt;&gt;"",IFERROR(SUMPRODUCT((INDEX(Attendance!$B$7:$AZ$206,MATCH(A82,Attendance!$A$7:$A$206,0),0)=1)*Attendance!$B$4:$AZ$4),0),"")</f>
        <v/>
      </c>
      <c r="C82" s="59" t="str">
        <f>IF(A82&lt;&gt;"",SUMIFS(Transactions!$F$7:$F$996,Transactions!$D$7:$D$996,"Income",Transactions!$E$7:$E$996,A82),"")</f>
        <v/>
      </c>
      <c r="D82" s="59" t="str">
        <f>IF(A82&lt;&gt;"",SUMIFS(Transactions!$F$7:$F$996,Transactions!$D$7:$D$996,"Expense",Transactions!$E$7:$E$996,A82),"")</f>
        <v/>
      </c>
      <c r="E82" s="60" t="str">
        <f t="shared" si="1"/>
        <v/>
      </c>
      <c r="F82" s="60" t="str">
        <f t="shared" si="2"/>
        <v/>
      </c>
      <c r="G82" s="57"/>
      <c r="H82" s="52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23" t="str">
        <f>IF(Roster!$A$81&lt;&gt;"",Roster!$A$81,"")</f>
        <v/>
      </c>
      <c r="B83" s="23" t="str">
        <f t="array" ref="B83">IF(A83&lt;&gt;"",IFERROR(SUMPRODUCT((INDEX(Attendance!$B$7:$AZ$206,MATCH(A83,Attendance!$A$7:$A$206,0),0)=1)*Attendance!$B$4:$AZ$4),0),"")</f>
        <v/>
      </c>
      <c r="C83" s="56" t="str">
        <f>IF(A83&lt;&gt;"",SUMIFS(Transactions!$F$7:$F$996,Transactions!$D$7:$D$996,"Income",Transactions!$E$7:$E$996,A83),"")</f>
        <v/>
      </c>
      <c r="D83" s="56" t="str">
        <f>IF(A83&lt;&gt;"",SUMIFS(Transactions!$F$7:$F$996,Transactions!$D$7:$D$996,"Expense",Transactions!$E$7:$E$996,A83),"")</f>
        <v/>
      </c>
      <c r="E83" s="54" t="str">
        <f t="shared" si="1"/>
        <v/>
      </c>
      <c r="F83" s="54" t="str">
        <f t="shared" si="2"/>
        <v/>
      </c>
      <c r="G83" s="57"/>
      <c r="H83" s="52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58" t="str">
        <f>IF(Roster!$A$82&lt;&gt;"",Roster!$A$82,"")</f>
        <v/>
      </c>
      <c r="B84" s="58" t="str">
        <f t="array" ref="B84">IF(A84&lt;&gt;"",IFERROR(SUMPRODUCT((INDEX(Attendance!$B$7:$AZ$206,MATCH(A84,Attendance!$A$7:$A$206,0),0)=1)*Attendance!$B$4:$AZ$4),0),"")</f>
        <v/>
      </c>
      <c r="C84" s="59" t="str">
        <f>IF(A84&lt;&gt;"",SUMIFS(Transactions!$F$7:$F$996,Transactions!$D$7:$D$996,"Income",Transactions!$E$7:$E$996,A84),"")</f>
        <v/>
      </c>
      <c r="D84" s="59" t="str">
        <f>IF(A84&lt;&gt;"",SUMIFS(Transactions!$F$7:$F$996,Transactions!$D$7:$D$996,"Expense",Transactions!$E$7:$E$996,A84),"")</f>
        <v/>
      </c>
      <c r="E84" s="60" t="str">
        <f t="shared" si="1"/>
        <v/>
      </c>
      <c r="F84" s="60" t="str">
        <f t="shared" si="2"/>
        <v/>
      </c>
      <c r="G84" s="57"/>
      <c r="H84" s="52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23" t="str">
        <f>IF(Roster!$A$83&lt;&gt;"",Roster!$A$83,"")</f>
        <v/>
      </c>
      <c r="B85" s="23" t="str">
        <f t="array" ref="B85">IF(A85&lt;&gt;"",IFERROR(SUMPRODUCT((INDEX(Attendance!$B$7:$AZ$206,MATCH(A85,Attendance!$A$7:$A$206,0),0)=1)*Attendance!$B$4:$AZ$4),0),"")</f>
        <v/>
      </c>
      <c r="C85" s="56" t="str">
        <f>IF(A85&lt;&gt;"",SUMIFS(Transactions!$F$7:$F$996,Transactions!$D$7:$D$996,"Income",Transactions!$E$7:$E$996,A85),"")</f>
        <v/>
      </c>
      <c r="D85" s="56" t="str">
        <f>IF(A85&lt;&gt;"",SUMIFS(Transactions!$F$7:$F$996,Transactions!$D$7:$D$996,"Expense",Transactions!$E$7:$E$996,A85),"")</f>
        <v/>
      </c>
      <c r="E85" s="54" t="str">
        <f t="shared" si="1"/>
        <v/>
      </c>
      <c r="F85" s="54" t="str">
        <f t="shared" si="2"/>
        <v/>
      </c>
      <c r="G85" s="57"/>
      <c r="H85" s="52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58" t="str">
        <f>IF(Roster!$A$84&lt;&gt;"",Roster!$A$84,"")</f>
        <v/>
      </c>
      <c r="B86" s="58" t="str">
        <f t="array" ref="B86">IF(A86&lt;&gt;"",IFERROR(SUMPRODUCT((INDEX(Attendance!$B$7:$AZ$206,MATCH(A86,Attendance!$A$7:$A$206,0),0)=1)*Attendance!$B$4:$AZ$4),0),"")</f>
        <v/>
      </c>
      <c r="C86" s="59" t="str">
        <f>IF(A86&lt;&gt;"",SUMIFS(Transactions!$F$7:$F$996,Transactions!$D$7:$D$996,"Income",Transactions!$E$7:$E$996,A86),"")</f>
        <v/>
      </c>
      <c r="D86" s="59" t="str">
        <f>IF(A86&lt;&gt;"",SUMIFS(Transactions!$F$7:$F$996,Transactions!$D$7:$D$996,"Expense",Transactions!$E$7:$E$996,A86),"")</f>
        <v/>
      </c>
      <c r="E86" s="60" t="str">
        <f t="shared" si="1"/>
        <v/>
      </c>
      <c r="F86" s="60" t="str">
        <f t="shared" si="2"/>
        <v/>
      </c>
      <c r="G86" s="57"/>
      <c r="H86" s="52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23" t="str">
        <f>IF(Roster!$A$85&lt;&gt;"",Roster!$A$85,"")</f>
        <v/>
      </c>
      <c r="B87" s="23" t="str">
        <f t="array" ref="B87">IF(A87&lt;&gt;"",IFERROR(SUMPRODUCT((INDEX(Attendance!$B$7:$AZ$206,MATCH(A87,Attendance!$A$7:$A$206,0),0)=1)*Attendance!$B$4:$AZ$4),0),"")</f>
        <v/>
      </c>
      <c r="C87" s="56" t="str">
        <f>IF(A87&lt;&gt;"",SUMIFS(Transactions!$F$7:$F$996,Transactions!$D$7:$D$996,"Income",Transactions!$E$7:$E$996,A87),"")</f>
        <v/>
      </c>
      <c r="D87" s="56" t="str">
        <f>IF(A87&lt;&gt;"",SUMIFS(Transactions!$F$7:$F$996,Transactions!$D$7:$D$996,"Expense",Transactions!$E$7:$E$996,A87),"")</f>
        <v/>
      </c>
      <c r="E87" s="54" t="str">
        <f t="shared" si="1"/>
        <v/>
      </c>
      <c r="F87" s="54" t="str">
        <f t="shared" si="2"/>
        <v/>
      </c>
      <c r="G87" s="57"/>
      <c r="H87" s="52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58" t="str">
        <f>IF(Roster!$A$86&lt;&gt;"",Roster!$A$86,"")</f>
        <v/>
      </c>
      <c r="B88" s="58" t="str">
        <f t="array" ref="B88">IF(A88&lt;&gt;"",IFERROR(SUMPRODUCT((INDEX(Attendance!$B$7:$AZ$206,MATCH(A88,Attendance!$A$7:$A$206,0),0)=1)*Attendance!$B$4:$AZ$4),0),"")</f>
        <v/>
      </c>
      <c r="C88" s="59" t="str">
        <f>IF(A88&lt;&gt;"",SUMIFS(Transactions!$F$7:$F$996,Transactions!$D$7:$D$996,"Income",Transactions!$E$7:$E$996,A88),"")</f>
        <v/>
      </c>
      <c r="D88" s="59" t="str">
        <f>IF(A88&lt;&gt;"",SUMIFS(Transactions!$F$7:$F$996,Transactions!$D$7:$D$996,"Expense",Transactions!$E$7:$E$996,A88),"")</f>
        <v/>
      </c>
      <c r="E88" s="60" t="str">
        <f t="shared" si="1"/>
        <v/>
      </c>
      <c r="F88" s="60" t="str">
        <f t="shared" si="2"/>
        <v/>
      </c>
      <c r="G88" s="57"/>
      <c r="H88" s="52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23" t="str">
        <f>IF(Roster!$A$87&lt;&gt;"",Roster!$A$87,"")</f>
        <v/>
      </c>
      <c r="B89" s="23" t="str">
        <f t="array" ref="B89">IF(A89&lt;&gt;"",IFERROR(SUMPRODUCT((INDEX(Attendance!$B$7:$AZ$206,MATCH(A89,Attendance!$A$7:$A$206,0),0)=1)*Attendance!$B$4:$AZ$4),0),"")</f>
        <v/>
      </c>
      <c r="C89" s="56" t="str">
        <f>IF(A89&lt;&gt;"",SUMIFS(Transactions!$F$7:$F$996,Transactions!$D$7:$D$996,"Income",Transactions!$E$7:$E$996,A89),"")</f>
        <v/>
      </c>
      <c r="D89" s="56" t="str">
        <f>IF(A89&lt;&gt;"",SUMIFS(Transactions!$F$7:$F$996,Transactions!$D$7:$D$996,"Expense",Transactions!$E$7:$E$996,A89),"")</f>
        <v/>
      </c>
      <c r="E89" s="54" t="str">
        <f t="shared" si="1"/>
        <v/>
      </c>
      <c r="F89" s="54" t="str">
        <f t="shared" si="2"/>
        <v/>
      </c>
      <c r="G89" s="57"/>
      <c r="H89" s="52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58" t="str">
        <f>IF(Roster!$A$88&lt;&gt;"",Roster!$A$88,"")</f>
        <v/>
      </c>
      <c r="B90" s="58" t="str">
        <f t="array" ref="B90">IF(A90&lt;&gt;"",IFERROR(SUMPRODUCT((INDEX(Attendance!$B$7:$AZ$206,MATCH(A90,Attendance!$A$7:$A$206,0),0)=1)*Attendance!$B$4:$AZ$4),0),"")</f>
        <v/>
      </c>
      <c r="C90" s="59" t="str">
        <f>IF(A90&lt;&gt;"",SUMIFS(Transactions!$F$7:$F$996,Transactions!$D$7:$D$996,"Income",Transactions!$E$7:$E$996,A90),"")</f>
        <v/>
      </c>
      <c r="D90" s="59" t="str">
        <f>IF(A90&lt;&gt;"",SUMIFS(Transactions!$F$7:$F$996,Transactions!$D$7:$D$996,"Expense",Transactions!$E$7:$E$996,A90),"")</f>
        <v/>
      </c>
      <c r="E90" s="60" t="str">
        <f t="shared" si="1"/>
        <v/>
      </c>
      <c r="F90" s="60" t="str">
        <f t="shared" si="2"/>
        <v/>
      </c>
      <c r="G90" s="57"/>
      <c r="H90" s="52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23" t="str">
        <f>IF(Roster!$A$89&lt;&gt;"",Roster!$A$89,"")</f>
        <v/>
      </c>
      <c r="B91" s="23" t="str">
        <f t="array" ref="B91">IF(A91&lt;&gt;"",IFERROR(SUMPRODUCT((INDEX(Attendance!$B$7:$AZ$206,MATCH(A91,Attendance!$A$7:$A$206,0),0)=1)*Attendance!$B$4:$AZ$4),0),"")</f>
        <v/>
      </c>
      <c r="C91" s="56" t="str">
        <f>IF(A91&lt;&gt;"",SUMIFS(Transactions!$F$7:$F$996,Transactions!$D$7:$D$996,"Income",Transactions!$E$7:$E$996,A91),"")</f>
        <v/>
      </c>
      <c r="D91" s="56" t="str">
        <f>IF(A91&lt;&gt;"",SUMIFS(Transactions!$F$7:$F$996,Transactions!$D$7:$D$996,"Expense",Transactions!$E$7:$E$996,A91),"")</f>
        <v/>
      </c>
      <c r="E91" s="54" t="str">
        <f t="shared" si="1"/>
        <v/>
      </c>
      <c r="F91" s="54" t="str">
        <f t="shared" si="2"/>
        <v/>
      </c>
      <c r="G91" s="57"/>
      <c r="H91" s="52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58" t="str">
        <f>IF(Roster!$A$90&lt;&gt;"",Roster!$A$90,"")</f>
        <v/>
      </c>
      <c r="B92" s="58" t="str">
        <f t="array" ref="B92">IF(A92&lt;&gt;"",IFERROR(SUMPRODUCT((INDEX(Attendance!$B$7:$AZ$206,MATCH(A92,Attendance!$A$7:$A$206,0),0)=1)*Attendance!$B$4:$AZ$4),0),"")</f>
        <v/>
      </c>
      <c r="C92" s="59" t="str">
        <f>IF(A92&lt;&gt;"",SUMIFS(Transactions!$F$7:$F$996,Transactions!$D$7:$D$996,"Income",Transactions!$E$7:$E$996,A92),"")</f>
        <v/>
      </c>
      <c r="D92" s="59" t="str">
        <f>IF(A92&lt;&gt;"",SUMIFS(Transactions!$F$7:$F$996,Transactions!$D$7:$D$996,"Expense",Transactions!$E$7:$E$996,A92),"")</f>
        <v/>
      </c>
      <c r="E92" s="60" t="str">
        <f t="shared" si="1"/>
        <v/>
      </c>
      <c r="F92" s="60" t="str">
        <f t="shared" si="2"/>
        <v/>
      </c>
      <c r="G92" s="57"/>
      <c r="H92" s="52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23" t="str">
        <f>IF(Roster!$A$91&lt;&gt;"",Roster!$A$91,"")</f>
        <v/>
      </c>
      <c r="B93" s="23" t="str">
        <f t="array" ref="B93">IF(A93&lt;&gt;"",IFERROR(SUMPRODUCT((INDEX(Attendance!$B$7:$AZ$206,MATCH(A93,Attendance!$A$7:$A$206,0),0)=1)*Attendance!$B$4:$AZ$4),0),"")</f>
        <v/>
      </c>
      <c r="C93" s="56" t="str">
        <f>IF(A93&lt;&gt;"",SUMIFS(Transactions!$F$7:$F$996,Transactions!$D$7:$D$996,"Income",Transactions!$E$7:$E$996,A93),"")</f>
        <v/>
      </c>
      <c r="D93" s="56" t="str">
        <f>IF(A93&lt;&gt;"",SUMIFS(Transactions!$F$7:$F$996,Transactions!$D$7:$D$996,"Expense",Transactions!$E$7:$E$996,A93),"")</f>
        <v/>
      </c>
      <c r="E93" s="54" t="str">
        <f t="shared" si="1"/>
        <v/>
      </c>
      <c r="F93" s="54" t="str">
        <f t="shared" si="2"/>
        <v/>
      </c>
      <c r="G93" s="57"/>
      <c r="H93" s="52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58" t="str">
        <f>IF(Roster!$A$92&lt;&gt;"",Roster!$A$92,"")</f>
        <v/>
      </c>
      <c r="B94" s="58" t="str">
        <f t="array" ref="B94">IF(A94&lt;&gt;"",IFERROR(SUMPRODUCT((INDEX(Attendance!$B$7:$AZ$206,MATCH(A94,Attendance!$A$7:$A$206,0),0)=1)*Attendance!$B$4:$AZ$4),0),"")</f>
        <v/>
      </c>
      <c r="C94" s="59" t="str">
        <f>IF(A94&lt;&gt;"",SUMIFS(Transactions!$F$7:$F$996,Transactions!$D$7:$D$996,"Income",Transactions!$E$7:$E$996,A94),"")</f>
        <v/>
      </c>
      <c r="D94" s="59" t="str">
        <f>IF(A94&lt;&gt;"",SUMIFS(Transactions!$F$7:$F$996,Transactions!$D$7:$D$996,"Expense",Transactions!$E$7:$E$996,A94),"")</f>
        <v/>
      </c>
      <c r="E94" s="60" t="str">
        <f t="shared" si="1"/>
        <v/>
      </c>
      <c r="F94" s="60" t="str">
        <f t="shared" si="2"/>
        <v/>
      </c>
      <c r="G94" s="57"/>
      <c r="H94" s="52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23" t="str">
        <f>IF(Roster!$A$93&lt;&gt;"",Roster!$A$93,"")</f>
        <v/>
      </c>
      <c r="B95" s="23" t="str">
        <f t="array" ref="B95">IF(A95&lt;&gt;"",IFERROR(SUMPRODUCT((INDEX(Attendance!$B$7:$AZ$206,MATCH(A95,Attendance!$A$7:$A$206,0),0)=1)*Attendance!$B$4:$AZ$4),0),"")</f>
        <v/>
      </c>
      <c r="C95" s="56" t="str">
        <f>IF(A95&lt;&gt;"",SUMIFS(Transactions!$F$7:$F$996,Transactions!$D$7:$D$996,"Income",Transactions!$E$7:$E$996,A95),"")</f>
        <v/>
      </c>
      <c r="D95" s="56" t="str">
        <f>IF(A95&lt;&gt;"",SUMIFS(Transactions!$F$7:$F$996,Transactions!$D$7:$D$996,"Expense",Transactions!$E$7:$E$996,A95),"")</f>
        <v/>
      </c>
      <c r="E95" s="54" t="str">
        <f t="shared" si="1"/>
        <v/>
      </c>
      <c r="F95" s="54" t="str">
        <f t="shared" si="2"/>
        <v/>
      </c>
      <c r="G95" s="57"/>
      <c r="H95" s="52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58" t="str">
        <f>IF(Roster!$A$94&lt;&gt;"",Roster!$A$94,"")</f>
        <v/>
      </c>
      <c r="B96" s="58" t="str">
        <f t="array" ref="B96">IF(A96&lt;&gt;"",IFERROR(SUMPRODUCT((INDEX(Attendance!$B$7:$AZ$206,MATCH(A96,Attendance!$A$7:$A$206,0),0)=1)*Attendance!$B$4:$AZ$4),0),"")</f>
        <v/>
      </c>
      <c r="C96" s="59" t="str">
        <f>IF(A96&lt;&gt;"",SUMIFS(Transactions!$F$7:$F$996,Transactions!$D$7:$D$996,"Income",Transactions!$E$7:$E$996,A96),"")</f>
        <v/>
      </c>
      <c r="D96" s="59" t="str">
        <f>IF(A96&lt;&gt;"",SUMIFS(Transactions!$F$7:$F$996,Transactions!$D$7:$D$996,"Expense",Transactions!$E$7:$E$996,A96),"")</f>
        <v/>
      </c>
      <c r="E96" s="60" t="str">
        <f t="shared" si="1"/>
        <v/>
      </c>
      <c r="F96" s="60" t="str">
        <f t="shared" si="2"/>
        <v/>
      </c>
      <c r="G96" s="57"/>
      <c r="H96" s="52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23" t="str">
        <f>IF(Roster!$A$95&lt;&gt;"",Roster!$A$95,"")</f>
        <v/>
      </c>
      <c r="B97" s="23" t="str">
        <f t="array" ref="B97">IF(A97&lt;&gt;"",IFERROR(SUMPRODUCT((INDEX(Attendance!$B$7:$AZ$206,MATCH(A97,Attendance!$A$7:$A$206,0),0)=1)*Attendance!$B$4:$AZ$4),0),"")</f>
        <v/>
      </c>
      <c r="C97" s="56" t="str">
        <f>IF(A97&lt;&gt;"",SUMIFS(Transactions!$F$7:$F$996,Transactions!$D$7:$D$996,"Income",Transactions!$E$7:$E$996,A97),"")</f>
        <v/>
      </c>
      <c r="D97" s="56" t="str">
        <f>IF(A97&lt;&gt;"",SUMIFS(Transactions!$F$7:$F$996,Transactions!$D$7:$D$996,"Expense",Transactions!$E$7:$E$996,A97),"")</f>
        <v/>
      </c>
      <c r="E97" s="54" t="str">
        <f t="shared" si="1"/>
        <v/>
      </c>
      <c r="F97" s="54" t="str">
        <f t="shared" si="2"/>
        <v/>
      </c>
      <c r="G97" s="57"/>
      <c r="H97" s="52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58" t="str">
        <f>IF(Roster!$A$96&lt;&gt;"",Roster!$A$96,"")</f>
        <v/>
      </c>
      <c r="B98" s="58" t="str">
        <f t="array" ref="B98">IF(A98&lt;&gt;"",IFERROR(SUMPRODUCT((INDEX(Attendance!$B$7:$AZ$206,MATCH(A98,Attendance!$A$7:$A$206,0),0)=1)*Attendance!$B$4:$AZ$4),0),"")</f>
        <v/>
      </c>
      <c r="C98" s="59" t="str">
        <f>IF(A98&lt;&gt;"",SUMIFS(Transactions!$F$7:$F$996,Transactions!$D$7:$D$996,"Income",Transactions!$E$7:$E$996,A98),"")</f>
        <v/>
      </c>
      <c r="D98" s="59" t="str">
        <f>IF(A98&lt;&gt;"",SUMIFS(Transactions!$F$7:$F$996,Transactions!$D$7:$D$996,"Expense",Transactions!$E$7:$E$996,A98),"")</f>
        <v/>
      </c>
      <c r="E98" s="60" t="str">
        <f t="shared" si="1"/>
        <v/>
      </c>
      <c r="F98" s="60" t="str">
        <f t="shared" si="2"/>
        <v/>
      </c>
      <c r="G98" s="57"/>
      <c r="H98" s="52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23" t="str">
        <f>IF(Roster!$A$97&lt;&gt;"",Roster!$A$97,"")</f>
        <v/>
      </c>
      <c r="B99" s="23" t="str">
        <f t="array" ref="B99">IF(A99&lt;&gt;"",IFERROR(SUMPRODUCT((INDEX(Attendance!$B$7:$AZ$206,MATCH(A99,Attendance!$A$7:$A$206,0),0)=1)*Attendance!$B$4:$AZ$4),0),"")</f>
        <v/>
      </c>
      <c r="C99" s="56" t="str">
        <f>IF(A99&lt;&gt;"",SUMIFS(Transactions!$F$7:$F$996,Transactions!$D$7:$D$996,"Income",Transactions!$E$7:$E$996,A99),"")</f>
        <v/>
      </c>
      <c r="D99" s="56" t="str">
        <f>IF(A99&lt;&gt;"",SUMIFS(Transactions!$F$7:$F$996,Transactions!$D$7:$D$996,"Expense",Transactions!$E$7:$E$996,A99),"")</f>
        <v/>
      </c>
      <c r="E99" s="54" t="str">
        <f t="shared" si="1"/>
        <v/>
      </c>
      <c r="F99" s="54" t="str">
        <f t="shared" si="2"/>
        <v/>
      </c>
      <c r="G99" s="57"/>
      <c r="H99" s="52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58" t="str">
        <f>IF(Roster!$A$98&lt;&gt;"",Roster!$A$98,"")</f>
        <v/>
      </c>
      <c r="B100" s="58" t="str">
        <f t="array" ref="B100">IF(A100&lt;&gt;"",IFERROR(SUMPRODUCT((INDEX(Attendance!$B$7:$AZ$206,MATCH(A100,Attendance!$A$7:$A$206,0),0)=1)*Attendance!$B$4:$AZ$4),0),"")</f>
        <v/>
      </c>
      <c r="C100" s="59" t="str">
        <f>IF(A100&lt;&gt;"",SUMIFS(Transactions!$F$7:$F$996,Transactions!$D$7:$D$996,"Income",Transactions!$E$7:$E$996,A100),"")</f>
        <v/>
      </c>
      <c r="D100" s="59" t="str">
        <f>IF(A100&lt;&gt;"",SUMIFS(Transactions!$F$7:$F$996,Transactions!$D$7:$D$996,"Expense",Transactions!$E$7:$E$996,A100),"")</f>
        <v/>
      </c>
      <c r="E100" s="60" t="str">
        <f t="shared" si="1"/>
        <v/>
      </c>
      <c r="F100" s="60" t="str">
        <f t="shared" si="2"/>
        <v/>
      </c>
      <c r="G100" s="57"/>
      <c r="H100" s="52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23" t="str">
        <f>IF(Roster!$A$99&lt;&gt;"",Roster!$A$99,"")</f>
        <v/>
      </c>
      <c r="B101" s="23" t="str">
        <f t="array" ref="B101">IF(A101&lt;&gt;"",IFERROR(SUMPRODUCT((INDEX(Attendance!$B$7:$AZ$206,MATCH(A101,Attendance!$A$7:$A$206,0),0)=1)*Attendance!$B$4:$AZ$4),0),"")</f>
        <v/>
      </c>
      <c r="C101" s="56" t="str">
        <f>IF(A101&lt;&gt;"",SUMIFS(Transactions!$F$7:$F$996,Transactions!$D$7:$D$996,"Income",Transactions!$E$7:$E$996,A101),"")</f>
        <v/>
      </c>
      <c r="D101" s="56" t="str">
        <f>IF(A101&lt;&gt;"",SUMIFS(Transactions!$F$7:$F$996,Transactions!$D$7:$D$996,"Expense",Transactions!$E$7:$E$996,A101),"")</f>
        <v/>
      </c>
      <c r="E101" s="54" t="str">
        <f t="shared" si="1"/>
        <v/>
      </c>
      <c r="F101" s="54" t="str">
        <f t="shared" si="2"/>
        <v/>
      </c>
      <c r="G101" s="57"/>
      <c r="H101" s="52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58" t="str">
        <f>IF(Roster!$A$100&lt;&gt;"",Roster!$A$100,"")</f>
        <v/>
      </c>
      <c r="B102" s="58" t="str">
        <f t="array" ref="B102">IF(A102&lt;&gt;"",IFERROR(SUMPRODUCT((INDEX(Attendance!$B$7:$AZ$206,MATCH(A102,Attendance!$A$7:$A$206,0),0)=1)*Attendance!$B$4:$AZ$4),0),"")</f>
        <v/>
      </c>
      <c r="C102" s="59" t="str">
        <f>IF(A102&lt;&gt;"",SUMIFS(Transactions!$F$7:$F$996,Transactions!$D$7:$D$996,"Income",Transactions!$E$7:$E$996,A102),"")</f>
        <v/>
      </c>
      <c r="D102" s="59" t="str">
        <f>IF(A102&lt;&gt;"",SUMIFS(Transactions!$F$7:$F$996,Transactions!$D$7:$D$996,"Expense",Transactions!$E$7:$E$996,A102),"")</f>
        <v/>
      </c>
      <c r="E102" s="60" t="str">
        <f t="shared" si="1"/>
        <v/>
      </c>
      <c r="F102" s="60" t="str">
        <f t="shared" si="2"/>
        <v/>
      </c>
      <c r="G102" s="57"/>
      <c r="H102" s="52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23" t="str">
        <f>IF(Roster!$A$101&lt;&gt;"",Roster!$A$101,"")</f>
        <v/>
      </c>
      <c r="B103" s="23" t="str">
        <f t="array" ref="B103">IF(A103&lt;&gt;"",IFERROR(SUMPRODUCT((INDEX(Attendance!$B$7:$AZ$206,MATCH(A103,Attendance!$A$7:$A$206,0),0)=1)*Attendance!$B$4:$AZ$4),0),"")</f>
        <v/>
      </c>
      <c r="C103" s="56" t="str">
        <f>IF(A103&lt;&gt;"",SUMIFS(Transactions!$F$7:$F$996,Transactions!$D$7:$D$996,"Income",Transactions!$E$7:$E$996,A103),"")</f>
        <v/>
      </c>
      <c r="D103" s="56" t="str">
        <f>IF(A103&lt;&gt;"",SUMIFS(Transactions!$F$7:$F$996,Transactions!$D$7:$D$996,"Expense",Transactions!$E$7:$E$996,A103),"")</f>
        <v/>
      </c>
      <c r="E103" s="54" t="str">
        <f t="shared" si="1"/>
        <v/>
      </c>
      <c r="F103" s="54" t="str">
        <f t="shared" si="2"/>
        <v/>
      </c>
      <c r="G103" s="57"/>
      <c r="H103" s="52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58" t="str">
        <f>IF(Roster!$A$102&lt;&gt;"",Roster!$A$102,"")</f>
        <v/>
      </c>
      <c r="B104" s="58" t="str">
        <f t="array" ref="B104">IF(A104&lt;&gt;"",IFERROR(SUMPRODUCT((INDEX(Attendance!$B$7:$AZ$206,MATCH(A104,Attendance!$A$7:$A$206,0),0)=1)*Attendance!$B$4:$AZ$4),0),"")</f>
        <v/>
      </c>
      <c r="C104" s="59" t="str">
        <f>IF(A104&lt;&gt;"",SUMIFS(Transactions!$F$7:$F$996,Transactions!$D$7:$D$996,"Income",Transactions!$E$7:$E$996,A104),"")</f>
        <v/>
      </c>
      <c r="D104" s="59" t="str">
        <f>IF(A104&lt;&gt;"",SUMIFS(Transactions!$F$7:$F$996,Transactions!$D$7:$D$996,"Expense",Transactions!$E$7:$E$996,A104),"")</f>
        <v/>
      </c>
      <c r="E104" s="60" t="str">
        <f t="shared" si="1"/>
        <v/>
      </c>
      <c r="F104" s="60" t="str">
        <f t="shared" si="2"/>
        <v/>
      </c>
      <c r="G104" s="57"/>
      <c r="H104" s="52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23" t="str">
        <f>IF(Roster!$A$103&lt;&gt;"",Roster!$A$103,"")</f>
        <v/>
      </c>
      <c r="B105" s="23" t="str">
        <f t="array" ref="B105">IF(A105&lt;&gt;"",IFERROR(SUMPRODUCT((INDEX(Attendance!$B$7:$AZ$206,MATCH(A105,Attendance!$A$7:$A$206,0),0)=1)*Attendance!$B$4:$AZ$4),0),"")</f>
        <v/>
      </c>
      <c r="C105" s="56" t="str">
        <f>IF(A105&lt;&gt;"",SUMIFS(Transactions!$F$7:$F$996,Transactions!$D$7:$D$996,"Income",Transactions!$E$7:$E$996,A105),"")</f>
        <v/>
      </c>
      <c r="D105" s="56" t="str">
        <f>IF(A105&lt;&gt;"",SUMIFS(Transactions!$F$7:$F$996,Transactions!$D$7:$D$996,"Expense",Transactions!$E$7:$E$996,A105),"")</f>
        <v/>
      </c>
      <c r="E105" s="54" t="str">
        <f t="shared" si="1"/>
        <v/>
      </c>
      <c r="F105" s="54" t="str">
        <f t="shared" si="2"/>
        <v/>
      </c>
      <c r="G105" s="57"/>
      <c r="H105" s="52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58" t="str">
        <f>IF(Roster!$A$104&lt;&gt;"",Roster!$A$104,"")</f>
        <v/>
      </c>
      <c r="B106" s="58" t="str">
        <f t="array" ref="B106">IF(A106&lt;&gt;"",IFERROR(SUMPRODUCT((INDEX(Attendance!$B$7:$AZ$206,MATCH(A106,Attendance!$A$7:$A$206,0),0)=1)*Attendance!$B$4:$AZ$4),0),"")</f>
        <v/>
      </c>
      <c r="C106" s="59" t="str">
        <f>IF(A106&lt;&gt;"",SUMIFS(Transactions!$F$7:$F$996,Transactions!$D$7:$D$996,"Income",Transactions!$E$7:$E$996,A106),"")</f>
        <v/>
      </c>
      <c r="D106" s="59" t="str">
        <f>IF(A106&lt;&gt;"",SUMIFS(Transactions!$F$7:$F$996,Transactions!$D$7:$D$996,"Expense",Transactions!$E$7:$E$996,A106),"")</f>
        <v/>
      </c>
      <c r="E106" s="60" t="str">
        <f t="shared" si="1"/>
        <v/>
      </c>
      <c r="F106" s="60" t="str">
        <f t="shared" si="2"/>
        <v/>
      </c>
      <c r="G106" s="57"/>
      <c r="H106" s="52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23" t="str">
        <f>IF(Roster!$A$105&lt;&gt;"",Roster!$A$105,"")</f>
        <v/>
      </c>
      <c r="B107" s="23" t="str">
        <f t="array" ref="B107">IF(A107&lt;&gt;"",IFERROR(SUMPRODUCT((INDEX(Attendance!$B$7:$AZ$206,MATCH(A107,Attendance!$A$7:$A$206,0),0)=1)*Attendance!$B$4:$AZ$4),0),"")</f>
        <v/>
      </c>
      <c r="C107" s="56" t="str">
        <f>IF(A107&lt;&gt;"",SUMIFS(Transactions!$F$7:$F$996,Transactions!$D$7:$D$996,"Income",Transactions!$E$7:$E$996,A107),"")</f>
        <v/>
      </c>
      <c r="D107" s="56" t="str">
        <f>IF(A107&lt;&gt;"",SUMIFS(Transactions!$F$7:$F$996,Transactions!$D$7:$D$996,"Expense",Transactions!$E$7:$E$996,A107),"")</f>
        <v/>
      </c>
      <c r="E107" s="54" t="str">
        <f t="shared" si="1"/>
        <v/>
      </c>
      <c r="F107" s="54" t="str">
        <f t="shared" si="2"/>
        <v/>
      </c>
      <c r="G107" s="57"/>
      <c r="H107" s="52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58" t="str">
        <f>IF(Roster!$A$106&lt;&gt;"",Roster!$A$106,"")</f>
        <v/>
      </c>
      <c r="B108" s="58" t="str">
        <f t="array" ref="B108">IF(A108&lt;&gt;"",IFERROR(SUMPRODUCT((INDEX(Attendance!$B$7:$AZ$206,MATCH(A108,Attendance!$A$7:$A$206,0),0)=1)*Attendance!$B$4:$AZ$4),0),"")</f>
        <v/>
      </c>
      <c r="C108" s="59" t="str">
        <f>IF(A108&lt;&gt;"",SUMIFS(Transactions!$F$7:$F$996,Transactions!$D$7:$D$996,"Income",Transactions!$E$7:$E$996,A108),"")</f>
        <v/>
      </c>
      <c r="D108" s="59" t="str">
        <f>IF(A108&lt;&gt;"",SUMIFS(Transactions!$F$7:$F$996,Transactions!$D$7:$D$996,"Expense",Transactions!$E$7:$E$996,A108),"")</f>
        <v/>
      </c>
      <c r="E108" s="60" t="str">
        <f t="shared" si="1"/>
        <v/>
      </c>
      <c r="F108" s="60" t="str">
        <f t="shared" si="2"/>
        <v/>
      </c>
      <c r="G108" s="57"/>
      <c r="H108" s="52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23" t="str">
        <f>IF(Roster!$A$107&lt;&gt;"",Roster!$A$107,"")</f>
        <v/>
      </c>
      <c r="B109" s="23" t="str">
        <f t="array" ref="B109">IF(A109&lt;&gt;"",IFERROR(SUMPRODUCT((INDEX(Attendance!$B$7:$AZ$206,MATCH(A109,Attendance!$A$7:$A$206,0),0)=1)*Attendance!$B$4:$AZ$4),0),"")</f>
        <v/>
      </c>
      <c r="C109" s="56" t="str">
        <f>IF(A109&lt;&gt;"",SUMIFS(Transactions!$F$7:$F$996,Transactions!$D$7:$D$996,"Income",Transactions!$E$7:$E$996,A109),"")</f>
        <v/>
      </c>
      <c r="D109" s="56" t="str">
        <f>IF(A109&lt;&gt;"",SUMIFS(Transactions!$F$7:$F$996,Transactions!$D$7:$D$996,"Expense",Transactions!$E$7:$E$996,A109),"")</f>
        <v/>
      </c>
      <c r="E109" s="54" t="str">
        <f t="shared" si="1"/>
        <v/>
      </c>
      <c r="F109" s="54" t="str">
        <f t="shared" si="2"/>
        <v/>
      </c>
      <c r="G109" s="57"/>
      <c r="H109" s="52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58" t="str">
        <f>IF(Roster!$A$108&lt;&gt;"",Roster!$A$108,"")</f>
        <v/>
      </c>
      <c r="B110" s="58" t="str">
        <f t="array" ref="B110">IF(A110&lt;&gt;"",IFERROR(SUMPRODUCT((INDEX(Attendance!$B$7:$AZ$206,MATCH(A110,Attendance!$A$7:$A$206,0),0)=1)*Attendance!$B$4:$AZ$4),0),"")</f>
        <v/>
      </c>
      <c r="C110" s="59" t="str">
        <f>IF(A110&lt;&gt;"",SUMIFS(Transactions!$F$7:$F$996,Transactions!$D$7:$D$996,"Income",Transactions!$E$7:$E$996,A110),"")</f>
        <v/>
      </c>
      <c r="D110" s="59" t="str">
        <f>IF(A110&lt;&gt;"",SUMIFS(Transactions!$F$7:$F$996,Transactions!$D$7:$D$996,"Expense",Transactions!$E$7:$E$996,A110),"")</f>
        <v/>
      </c>
      <c r="E110" s="60" t="str">
        <f t="shared" si="1"/>
        <v/>
      </c>
      <c r="F110" s="60" t="str">
        <f t="shared" si="2"/>
        <v/>
      </c>
      <c r="G110" s="57"/>
      <c r="H110" s="52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23" t="str">
        <f>IF(Roster!$A$109&lt;&gt;"",Roster!$A$109,"")</f>
        <v/>
      </c>
      <c r="B111" s="23" t="str">
        <f t="array" ref="B111">IF(A111&lt;&gt;"",IFERROR(SUMPRODUCT((INDEX(Attendance!$B$7:$AZ$206,MATCH(A111,Attendance!$A$7:$A$206,0),0)=1)*Attendance!$B$4:$AZ$4),0),"")</f>
        <v/>
      </c>
      <c r="C111" s="56" t="str">
        <f>IF(A111&lt;&gt;"",SUMIFS(Transactions!$F$7:$F$996,Transactions!$D$7:$D$996,"Income",Transactions!$E$7:$E$996,A111),"")</f>
        <v/>
      </c>
      <c r="D111" s="56" t="str">
        <f>IF(A111&lt;&gt;"",SUMIFS(Transactions!$F$7:$F$996,Transactions!$D$7:$D$996,"Expense",Transactions!$E$7:$E$996,A111),"")</f>
        <v/>
      </c>
      <c r="E111" s="54" t="str">
        <f t="shared" si="1"/>
        <v/>
      </c>
      <c r="F111" s="54" t="str">
        <f t="shared" si="2"/>
        <v/>
      </c>
      <c r="G111" s="57"/>
      <c r="H111" s="52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58" t="str">
        <f>IF(Roster!$A$110&lt;&gt;"",Roster!$A$110,"")</f>
        <v/>
      </c>
      <c r="B112" s="58" t="str">
        <f t="array" ref="B112">IF(A112&lt;&gt;"",IFERROR(SUMPRODUCT((INDEX(Attendance!$B$7:$AZ$206,MATCH(A112,Attendance!$A$7:$A$206,0),0)=1)*Attendance!$B$4:$AZ$4),0),"")</f>
        <v/>
      </c>
      <c r="C112" s="59" t="str">
        <f>IF(A112&lt;&gt;"",SUMIFS(Transactions!$F$7:$F$996,Transactions!$D$7:$D$996,"Income",Transactions!$E$7:$E$996,A112),"")</f>
        <v/>
      </c>
      <c r="D112" s="59" t="str">
        <f>IF(A112&lt;&gt;"",SUMIFS(Transactions!$F$7:$F$996,Transactions!$D$7:$D$996,"Expense",Transactions!$E$7:$E$996,A112),"")</f>
        <v/>
      </c>
      <c r="E112" s="60" t="str">
        <f t="shared" si="1"/>
        <v/>
      </c>
      <c r="F112" s="60" t="str">
        <f t="shared" si="2"/>
        <v/>
      </c>
      <c r="G112" s="57"/>
      <c r="H112" s="52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23" t="str">
        <f>IF(Roster!$A$111&lt;&gt;"",Roster!$A$111,"")</f>
        <v/>
      </c>
      <c r="B113" s="23" t="str">
        <f t="array" ref="B113">IF(A113&lt;&gt;"",IFERROR(SUMPRODUCT((INDEX(Attendance!$B$7:$AZ$206,MATCH(A113,Attendance!$A$7:$A$206,0),0)=1)*Attendance!$B$4:$AZ$4),0),"")</f>
        <v/>
      </c>
      <c r="C113" s="56" t="str">
        <f>IF(A113&lt;&gt;"",SUMIFS(Transactions!$F$7:$F$996,Transactions!$D$7:$D$996,"Income",Transactions!$E$7:$E$996,A113),"")</f>
        <v/>
      </c>
      <c r="D113" s="56" t="str">
        <f>IF(A113&lt;&gt;"",SUMIFS(Transactions!$F$7:$F$996,Transactions!$D$7:$D$996,"Expense",Transactions!$E$7:$E$996,A113),"")</f>
        <v/>
      </c>
      <c r="E113" s="54" t="str">
        <f t="shared" si="1"/>
        <v/>
      </c>
      <c r="F113" s="54" t="str">
        <f t="shared" si="2"/>
        <v/>
      </c>
      <c r="G113" s="57"/>
      <c r="H113" s="52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58" t="str">
        <f>IF(Roster!$A$112&lt;&gt;"",Roster!$A$112,"")</f>
        <v/>
      </c>
      <c r="B114" s="58" t="str">
        <f t="array" ref="B114">IF(A114&lt;&gt;"",IFERROR(SUMPRODUCT((INDEX(Attendance!$B$7:$AZ$206,MATCH(A114,Attendance!$A$7:$A$206,0),0)=1)*Attendance!$B$4:$AZ$4),0),"")</f>
        <v/>
      </c>
      <c r="C114" s="59" t="str">
        <f>IF(A114&lt;&gt;"",SUMIFS(Transactions!$F$7:$F$996,Transactions!$D$7:$D$996,"Income",Transactions!$E$7:$E$996,A114),"")</f>
        <v/>
      </c>
      <c r="D114" s="59" t="str">
        <f>IF(A114&lt;&gt;"",SUMIFS(Transactions!$F$7:$F$996,Transactions!$D$7:$D$996,"Expense",Transactions!$E$7:$E$996,A114),"")</f>
        <v/>
      </c>
      <c r="E114" s="60" t="str">
        <f t="shared" si="1"/>
        <v/>
      </c>
      <c r="F114" s="60" t="str">
        <f t="shared" si="2"/>
        <v/>
      </c>
      <c r="G114" s="57"/>
      <c r="H114" s="52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23" t="str">
        <f>IF(Roster!$A$113&lt;&gt;"",Roster!$A$113,"")</f>
        <v/>
      </c>
      <c r="B115" s="23" t="str">
        <f t="array" ref="B115">IF(A115&lt;&gt;"",IFERROR(SUMPRODUCT((INDEX(Attendance!$B$7:$AZ$206,MATCH(A115,Attendance!$A$7:$A$206,0),0)=1)*Attendance!$B$4:$AZ$4),0),"")</f>
        <v/>
      </c>
      <c r="C115" s="56" t="str">
        <f>IF(A115&lt;&gt;"",SUMIFS(Transactions!$F$7:$F$996,Transactions!$D$7:$D$996,"Income",Transactions!$E$7:$E$996,A115),"")</f>
        <v/>
      </c>
      <c r="D115" s="56" t="str">
        <f>IF(A115&lt;&gt;"",SUMIFS(Transactions!$F$7:$F$996,Transactions!$D$7:$D$996,"Expense",Transactions!$E$7:$E$996,A115),"")</f>
        <v/>
      </c>
      <c r="E115" s="54" t="str">
        <f t="shared" si="1"/>
        <v/>
      </c>
      <c r="F115" s="54" t="str">
        <f t="shared" si="2"/>
        <v/>
      </c>
      <c r="G115" s="57"/>
      <c r="H115" s="52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58" t="str">
        <f>IF(Roster!$A$114&lt;&gt;"",Roster!$A$114,"")</f>
        <v/>
      </c>
      <c r="B116" s="58" t="str">
        <f t="array" ref="B116">IF(A116&lt;&gt;"",IFERROR(SUMPRODUCT((INDEX(Attendance!$B$7:$AZ$206,MATCH(A116,Attendance!$A$7:$A$206,0),0)=1)*Attendance!$B$4:$AZ$4),0),"")</f>
        <v/>
      </c>
      <c r="C116" s="59" t="str">
        <f>IF(A116&lt;&gt;"",SUMIFS(Transactions!$F$7:$F$996,Transactions!$D$7:$D$996,"Income",Transactions!$E$7:$E$996,A116),"")</f>
        <v/>
      </c>
      <c r="D116" s="59" t="str">
        <f>IF(A116&lt;&gt;"",SUMIFS(Transactions!$F$7:$F$996,Transactions!$D$7:$D$996,"Expense",Transactions!$E$7:$E$996,A116),"")</f>
        <v/>
      </c>
      <c r="E116" s="60" t="str">
        <f t="shared" si="1"/>
        <v/>
      </c>
      <c r="F116" s="60" t="str">
        <f t="shared" si="2"/>
        <v/>
      </c>
      <c r="G116" s="57"/>
      <c r="H116" s="52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23" t="str">
        <f>IF(Roster!$A$115&lt;&gt;"",Roster!$A$115,"")</f>
        <v/>
      </c>
      <c r="B117" s="23" t="str">
        <f t="array" ref="B117">IF(A117&lt;&gt;"",IFERROR(SUMPRODUCT((INDEX(Attendance!$B$7:$AZ$206,MATCH(A117,Attendance!$A$7:$A$206,0),0)=1)*Attendance!$B$4:$AZ$4),0),"")</f>
        <v/>
      </c>
      <c r="C117" s="56" t="str">
        <f>IF(A117&lt;&gt;"",SUMIFS(Transactions!$F$7:$F$996,Transactions!$D$7:$D$996,"Income",Transactions!$E$7:$E$996,A117),"")</f>
        <v/>
      </c>
      <c r="D117" s="56" t="str">
        <f>IF(A117&lt;&gt;"",SUMIFS(Transactions!$F$7:$F$996,Transactions!$D$7:$D$996,"Expense",Transactions!$E$7:$E$996,A117),"")</f>
        <v/>
      </c>
      <c r="E117" s="54" t="str">
        <f t="shared" si="1"/>
        <v/>
      </c>
      <c r="F117" s="54" t="str">
        <f t="shared" si="2"/>
        <v/>
      </c>
      <c r="G117" s="57"/>
      <c r="H117" s="52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58" t="str">
        <f>IF(Roster!$A$116&lt;&gt;"",Roster!$A$116,"")</f>
        <v/>
      </c>
      <c r="B118" s="58" t="str">
        <f t="array" ref="B118">IF(A118&lt;&gt;"",IFERROR(SUMPRODUCT((INDEX(Attendance!$B$7:$AZ$206,MATCH(A118,Attendance!$A$7:$A$206,0),0)=1)*Attendance!$B$4:$AZ$4),0),"")</f>
        <v/>
      </c>
      <c r="C118" s="59" t="str">
        <f>IF(A118&lt;&gt;"",SUMIFS(Transactions!$F$7:$F$996,Transactions!$D$7:$D$996,"Income",Transactions!$E$7:$E$996,A118),"")</f>
        <v/>
      </c>
      <c r="D118" s="59" t="str">
        <f>IF(A118&lt;&gt;"",SUMIFS(Transactions!$F$7:$F$996,Transactions!$D$7:$D$996,"Expense",Transactions!$E$7:$E$996,A118),"")</f>
        <v/>
      </c>
      <c r="E118" s="60" t="str">
        <f t="shared" si="1"/>
        <v/>
      </c>
      <c r="F118" s="60" t="str">
        <f t="shared" si="2"/>
        <v/>
      </c>
      <c r="G118" s="57"/>
      <c r="H118" s="52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23" t="str">
        <f>IF(Roster!$A$117&lt;&gt;"",Roster!$A$117,"")</f>
        <v/>
      </c>
      <c r="B119" s="23" t="str">
        <f t="array" ref="B119">IF(A119&lt;&gt;"",IFERROR(SUMPRODUCT((INDEX(Attendance!$B$7:$AZ$206,MATCH(A119,Attendance!$A$7:$A$206,0),0)=1)*Attendance!$B$4:$AZ$4),0),"")</f>
        <v/>
      </c>
      <c r="C119" s="56" t="str">
        <f>IF(A119&lt;&gt;"",SUMIFS(Transactions!$F$7:$F$996,Transactions!$D$7:$D$996,"Income",Transactions!$E$7:$E$996,A119),"")</f>
        <v/>
      </c>
      <c r="D119" s="56" t="str">
        <f>IF(A119&lt;&gt;"",SUMIFS(Transactions!$F$7:$F$996,Transactions!$D$7:$D$996,"Expense",Transactions!$E$7:$E$996,A119),"")</f>
        <v/>
      </c>
      <c r="E119" s="54" t="str">
        <f t="shared" si="1"/>
        <v/>
      </c>
      <c r="F119" s="54" t="str">
        <f t="shared" si="2"/>
        <v/>
      </c>
      <c r="G119" s="57"/>
      <c r="H119" s="52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58" t="str">
        <f>IF(Roster!$A$118&lt;&gt;"",Roster!$A$118,"")</f>
        <v/>
      </c>
      <c r="B120" s="58" t="str">
        <f t="array" ref="B120">IF(A120&lt;&gt;"",IFERROR(SUMPRODUCT((INDEX(Attendance!$B$7:$AZ$206,MATCH(A120,Attendance!$A$7:$A$206,0),0)=1)*Attendance!$B$4:$AZ$4),0),"")</f>
        <v/>
      </c>
      <c r="C120" s="59" t="str">
        <f>IF(A120&lt;&gt;"",SUMIFS(Transactions!$F$7:$F$996,Transactions!$D$7:$D$996,"Income",Transactions!$E$7:$E$996,A120),"")</f>
        <v/>
      </c>
      <c r="D120" s="59" t="str">
        <f>IF(A120&lt;&gt;"",SUMIFS(Transactions!$F$7:$F$996,Transactions!$D$7:$D$996,"Expense",Transactions!$E$7:$E$996,A120),"")</f>
        <v/>
      </c>
      <c r="E120" s="60" t="str">
        <f t="shared" si="1"/>
        <v/>
      </c>
      <c r="F120" s="60" t="str">
        <f t="shared" si="2"/>
        <v/>
      </c>
      <c r="G120" s="57"/>
      <c r="H120" s="52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23" t="str">
        <f>IF(Roster!$A$119&lt;&gt;"",Roster!$A$119,"")</f>
        <v/>
      </c>
      <c r="B121" s="23" t="str">
        <f t="array" ref="B121">IF(A121&lt;&gt;"",IFERROR(SUMPRODUCT((INDEX(Attendance!$B$7:$AZ$206,MATCH(A121,Attendance!$A$7:$A$206,0),0)=1)*Attendance!$B$4:$AZ$4),0),"")</f>
        <v/>
      </c>
      <c r="C121" s="56" t="str">
        <f>IF(A121&lt;&gt;"",SUMIFS(Transactions!$F$7:$F$996,Transactions!$D$7:$D$996,"Income",Transactions!$E$7:$E$996,A121),"")</f>
        <v/>
      </c>
      <c r="D121" s="56" t="str">
        <f>IF(A121&lt;&gt;"",SUMIFS(Transactions!$F$7:$F$996,Transactions!$D$7:$D$996,"Expense",Transactions!$E$7:$E$996,A121),"")</f>
        <v/>
      </c>
      <c r="E121" s="54" t="str">
        <f t="shared" si="1"/>
        <v/>
      </c>
      <c r="F121" s="54" t="str">
        <f t="shared" si="2"/>
        <v/>
      </c>
      <c r="G121" s="57"/>
      <c r="H121" s="52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58" t="str">
        <f>IF(Roster!$A$120&lt;&gt;"",Roster!$A$120,"")</f>
        <v/>
      </c>
      <c r="B122" s="58" t="str">
        <f t="array" ref="B122">IF(A122&lt;&gt;"",IFERROR(SUMPRODUCT((INDEX(Attendance!$B$7:$AZ$206,MATCH(A122,Attendance!$A$7:$A$206,0),0)=1)*Attendance!$B$4:$AZ$4),0),"")</f>
        <v/>
      </c>
      <c r="C122" s="59" t="str">
        <f>IF(A122&lt;&gt;"",SUMIFS(Transactions!$F$7:$F$996,Transactions!$D$7:$D$996,"Income",Transactions!$E$7:$E$996,A122),"")</f>
        <v/>
      </c>
      <c r="D122" s="59" t="str">
        <f>IF(A122&lt;&gt;"",SUMIFS(Transactions!$F$7:$F$996,Transactions!$D$7:$D$996,"Expense",Transactions!$E$7:$E$996,A122),"")</f>
        <v/>
      </c>
      <c r="E122" s="60" t="str">
        <f t="shared" si="1"/>
        <v/>
      </c>
      <c r="F122" s="60" t="str">
        <f t="shared" si="2"/>
        <v/>
      </c>
      <c r="G122" s="57"/>
      <c r="H122" s="52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23" t="str">
        <f>IF(Roster!$A$121&lt;&gt;"",Roster!$A$121,"")</f>
        <v/>
      </c>
      <c r="B123" s="23" t="str">
        <f t="array" ref="B123">IF(A123&lt;&gt;"",IFERROR(SUMPRODUCT((INDEX(Attendance!$B$7:$AZ$206,MATCH(A123,Attendance!$A$7:$A$206,0),0)=1)*Attendance!$B$4:$AZ$4),0),"")</f>
        <v/>
      </c>
      <c r="C123" s="56" t="str">
        <f>IF(A123&lt;&gt;"",SUMIFS(Transactions!$F$7:$F$996,Transactions!$D$7:$D$996,"Income",Transactions!$E$7:$E$996,A123),"")</f>
        <v/>
      </c>
      <c r="D123" s="56" t="str">
        <f>IF(A123&lt;&gt;"",SUMIFS(Transactions!$F$7:$F$996,Transactions!$D$7:$D$996,"Expense",Transactions!$E$7:$E$996,A123),"")</f>
        <v/>
      </c>
      <c r="E123" s="54" t="str">
        <f t="shared" si="1"/>
        <v/>
      </c>
      <c r="F123" s="54" t="str">
        <f t="shared" si="2"/>
        <v/>
      </c>
      <c r="G123" s="57"/>
      <c r="H123" s="52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58" t="str">
        <f>IF(Roster!$A$122&lt;&gt;"",Roster!$A$122,"")</f>
        <v/>
      </c>
      <c r="B124" s="58" t="str">
        <f t="array" ref="B124">IF(A124&lt;&gt;"",IFERROR(SUMPRODUCT((INDEX(Attendance!$B$7:$AZ$206,MATCH(A124,Attendance!$A$7:$A$206,0),0)=1)*Attendance!$B$4:$AZ$4),0),"")</f>
        <v/>
      </c>
      <c r="C124" s="59" t="str">
        <f>IF(A124&lt;&gt;"",SUMIFS(Transactions!$F$7:$F$996,Transactions!$D$7:$D$996,"Income",Transactions!$E$7:$E$996,A124),"")</f>
        <v/>
      </c>
      <c r="D124" s="59" t="str">
        <f>IF(A124&lt;&gt;"",SUMIFS(Transactions!$F$7:$F$996,Transactions!$D$7:$D$996,"Expense",Transactions!$E$7:$E$996,A124),"")</f>
        <v/>
      </c>
      <c r="E124" s="60" t="str">
        <f t="shared" si="1"/>
        <v/>
      </c>
      <c r="F124" s="60" t="str">
        <f t="shared" si="2"/>
        <v/>
      </c>
      <c r="G124" s="57"/>
      <c r="H124" s="52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23" t="str">
        <f>IF(Roster!$A$123&lt;&gt;"",Roster!$A$123,"")</f>
        <v/>
      </c>
      <c r="B125" s="23" t="str">
        <f t="array" ref="B125">IF(A125&lt;&gt;"",IFERROR(SUMPRODUCT((INDEX(Attendance!$B$7:$AZ$206,MATCH(A125,Attendance!$A$7:$A$206,0),0)=1)*Attendance!$B$4:$AZ$4),0),"")</f>
        <v/>
      </c>
      <c r="C125" s="56" t="str">
        <f>IF(A125&lt;&gt;"",SUMIFS(Transactions!$F$7:$F$996,Transactions!$D$7:$D$996,"Income",Transactions!$E$7:$E$996,A125),"")</f>
        <v/>
      </c>
      <c r="D125" s="56" t="str">
        <f>IF(A125&lt;&gt;"",SUMIFS(Transactions!$F$7:$F$996,Transactions!$D$7:$D$996,"Expense",Transactions!$E$7:$E$996,A125),"")</f>
        <v/>
      </c>
      <c r="E125" s="54" t="str">
        <f t="shared" si="1"/>
        <v/>
      </c>
      <c r="F125" s="54" t="str">
        <f t="shared" si="2"/>
        <v/>
      </c>
      <c r="G125" s="57"/>
      <c r="H125" s="52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58" t="str">
        <f>IF(Roster!$A$124&lt;&gt;"",Roster!$A$124,"")</f>
        <v/>
      </c>
      <c r="B126" s="58" t="str">
        <f t="array" ref="B126">IF(A126&lt;&gt;"",IFERROR(SUMPRODUCT((INDEX(Attendance!$B$7:$AZ$206,MATCH(A126,Attendance!$A$7:$A$206,0),0)=1)*Attendance!$B$4:$AZ$4),0),"")</f>
        <v/>
      </c>
      <c r="C126" s="59" t="str">
        <f>IF(A126&lt;&gt;"",SUMIFS(Transactions!$F$7:$F$996,Transactions!$D$7:$D$996,"Income",Transactions!$E$7:$E$996,A126),"")</f>
        <v/>
      </c>
      <c r="D126" s="59" t="str">
        <f>IF(A126&lt;&gt;"",SUMIFS(Transactions!$F$7:$F$996,Transactions!$D$7:$D$996,"Expense",Transactions!$E$7:$E$996,A126),"")</f>
        <v/>
      </c>
      <c r="E126" s="60" t="str">
        <f t="shared" si="1"/>
        <v/>
      </c>
      <c r="F126" s="60" t="str">
        <f t="shared" si="2"/>
        <v/>
      </c>
      <c r="G126" s="57"/>
      <c r="H126" s="52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23" t="str">
        <f>IF(Roster!$A$125&lt;&gt;"",Roster!$A$125,"")</f>
        <v/>
      </c>
      <c r="B127" s="23" t="str">
        <f t="array" ref="B127">IF(A127&lt;&gt;"",IFERROR(SUMPRODUCT((INDEX(Attendance!$B$7:$AZ$206,MATCH(A127,Attendance!$A$7:$A$206,0),0)=1)*Attendance!$B$4:$AZ$4),0),"")</f>
        <v/>
      </c>
      <c r="C127" s="56" t="str">
        <f>IF(A127&lt;&gt;"",SUMIFS(Transactions!$F$7:$F$996,Transactions!$D$7:$D$996,"Income",Transactions!$E$7:$E$996,A127),"")</f>
        <v/>
      </c>
      <c r="D127" s="56" t="str">
        <f>IF(A127&lt;&gt;"",SUMIFS(Transactions!$F$7:$F$996,Transactions!$D$7:$D$996,"Expense",Transactions!$E$7:$E$996,A127),"")</f>
        <v/>
      </c>
      <c r="E127" s="54" t="str">
        <f t="shared" si="1"/>
        <v/>
      </c>
      <c r="F127" s="54" t="str">
        <f t="shared" si="2"/>
        <v/>
      </c>
      <c r="G127" s="57"/>
      <c r="H127" s="52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58" t="str">
        <f>IF(Roster!$A$126&lt;&gt;"",Roster!$A$126,"")</f>
        <v/>
      </c>
      <c r="B128" s="58" t="str">
        <f t="array" ref="B128">IF(A128&lt;&gt;"",IFERROR(SUMPRODUCT((INDEX(Attendance!$B$7:$AZ$206,MATCH(A128,Attendance!$A$7:$A$206,0),0)=1)*Attendance!$B$4:$AZ$4),0),"")</f>
        <v/>
      </c>
      <c r="C128" s="59" t="str">
        <f>IF(A128&lt;&gt;"",SUMIFS(Transactions!$F$7:$F$996,Transactions!$D$7:$D$996,"Income",Transactions!$E$7:$E$996,A128),"")</f>
        <v/>
      </c>
      <c r="D128" s="59" t="str">
        <f>IF(A128&lt;&gt;"",SUMIFS(Transactions!$F$7:$F$996,Transactions!$D$7:$D$996,"Expense",Transactions!$E$7:$E$996,A128),"")</f>
        <v/>
      </c>
      <c r="E128" s="60" t="str">
        <f t="shared" si="1"/>
        <v/>
      </c>
      <c r="F128" s="60" t="str">
        <f t="shared" si="2"/>
        <v/>
      </c>
      <c r="G128" s="57"/>
      <c r="H128" s="52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23" t="str">
        <f>IF(Roster!$A$127&lt;&gt;"",Roster!$A$127,"")</f>
        <v/>
      </c>
      <c r="B129" s="23" t="str">
        <f t="array" ref="B129">IF(A129&lt;&gt;"",IFERROR(SUMPRODUCT((INDEX(Attendance!$B$7:$AZ$206,MATCH(A129,Attendance!$A$7:$A$206,0),0)=1)*Attendance!$B$4:$AZ$4),0),"")</f>
        <v/>
      </c>
      <c r="C129" s="56" t="str">
        <f>IF(A129&lt;&gt;"",SUMIFS(Transactions!$F$7:$F$996,Transactions!$D$7:$D$996,"Income",Transactions!$E$7:$E$996,A129),"")</f>
        <v/>
      </c>
      <c r="D129" s="56" t="str">
        <f>IF(A129&lt;&gt;"",SUMIFS(Transactions!$F$7:$F$996,Transactions!$D$7:$D$996,"Expense",Transactions!$E$7:$E$996,A129),"")</f>
        <v/>
      </c>
      <c r="E129" s="54" t="str">
        <f t="shared" si="1"/>
        <v/>
      </c>
      <c r="F129" s="54" t="str">
        <f t="shared" si="2"/>
        <v/>
      </c>
      <c r="G129" s="57"/>
      <c r="H129" s="52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58" t="str">
        <f>IF(Roster!$A$128&lt;&gt;"",Roster!$A$128,"")</f>
        <v/>
      </c>
      <c r="B130" s="58" t="str">
        <f t="array" ref="B130">IF(A130&lt;&gt;"",IFERROR(SUMPRODUCT((INDEX(Attendance!$B$7:$AZ$206,MATCH(A130,Attendance!$A$7:$A$206,0),0)=1)*Attendance!$B$4:$AZ$4),0),"")</f>
        <v/>
      </c>
      <c r="C130" s="59" t="str">
        <f>IF(A130&lt;&gt;"",SUMIFS(Transactions!$F$7:$F$996,Transactions!$D$7:$D$996,"Income",Transactions!$E$7:$E$996,A130),"")</f>
        <v/>
      </c>
      <c r="D130" s="59" t="str">
        <f>IF(A130&lt;&gt;"",SUMIFS(Transactions!$F$7:$F$996,Transactions!$D$7:$D$996,"Expense",Transactions!$E$7:$E$996,A130),"")</f>
        <v/>
      </c>
      <c r="E130" s="60" t="str">
        <f t="shared" si="1"/>
        <v/>
      </c>
      <c r="F130" s="60" t="str">
        <f t="shared" si="2"/>
        <v/>
      </c>
      <c r="G130" s="57"/>
      <c r="H130" s="52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23" t="str">
        <f>IF(Roster!$A$129&lt;&gt;"",Roster!$A$129,"")</f>
        <v/>
      </c>
      <c r="B131" s="23" t="str">
        <f t="array" ref="B131">IF(A131&lt;&gt;"",IFERROR(SUMPRODUCT((INDEX(Attendance!$B$7:$AZ$206,MATCH(A131,Attendance!$A$7:$A$206,0),0)=1)*Attendance!$B$4:$AZ$4),0),"")</f>
        <v/>
      </c>
      <c r="C131" s="56" t="str">
        <f>IF(A131&lt;&gt;"",SUMIFS(Transactions!$F$7:$F$996,Transactions!$D$7:$D$996,"Income",Transactions!$E$7:$E$996,A131),"")</f>
        <v/>
      </c>
      <c r="D131" s="56" t="str">
        <f>IF(A131&lt;&gt;"",SUMIFS(Transactions!$F$7:$F$996,Transactions!$D$7:$D$996,"Expense",Transactions!$E$7:$E$996,A131),"")</f>
        <v/>
      </c>
      <c r="E131" s="54" t="str">
        <f t="shared" si="1"/>
        <v/>
      </c>
      <c r="F131" s="54" t="str">
        <f t="shared" si="2"/>
        <v/>
      </c>
      <c r="G131" s="57"/>
      <c r="H131" s="52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58" t="str">
        <f>IF(Roster!$A$130&lt;&gt;"",Roster!$A$130,"")</f>
        <v/>
      </c>
      <c r="B132" s="58" t="str">
        <f t="array" ref="B132">IF(A132&lt;&gt;"",IFERROR(SUMPRODUCT((INDEX(Attendance!$B$7:$AZ$206,MATCH(A132,Attendance!$A$7:$A$206,0),0)=1)*Attendance!$B$4:$AZ$4),0),"")</f>
        <v/>
      </c>
      <c r="C132" s="59" t="str">
        <f>IF(A132&lt;&gt;"",SUMIFS(Transactions!$F$7:$F$996,Transactions!$D$7:$D$996,"Income",Transactions!$E$7:$E$996,A132),"")</f>
        <v/>
      </c>
      <c r="D132" s="59" t="str">
        <f>IF(A132&lt;&gt;"",SUMIFS(Transactions!$F$7:$F$996,Transactions!$D$7:$D$996,"Expense",Transactions!$E$7:$E$996,A132),"")</f>
        <v/>
      </c>
      <c r="E132" s="60" t="str">
        <f t="shared" si="1"/>
        <v/>
      </c>
      <c r="F132" s="60" t="str">
        <f t="shared" si="2"/>
        <v/>
      </c>
      <c r="G132" s="57"/>
      <c r="H132" s="52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23" t="str">
        <f>IF(Roster!$A$131&lt;&gt;"",Roster!$A$131,"")</f>
        <v/>
      </c>
      <c r="B133" s="23" t="str">
        <f t="array" ref="B133">IF(A133&lt;&gt;"",IFERROR(SUMPRODUCT((INDEX(Attendance!$B$7:$AZ$206,MATCH(A133,Attendance!$A$7:$A$206,0),0)=1)*Attendance!$B$4:$AZ$4),0),"")</f>
        <v/>
      </c>
      <c r="C133" s="56" t="str">
        <f>IF(A133&lt;&gt;"",SUMIFS(Transactions!$F$7:$F$996,Transactions!$D$7:$D$996,"Income",Transactions!$E$7:$E$996,A133),"")</f>
        <v/>
      </c>
      <c r="D133" s="56" t="str">
        <f>IF(A133&lt;&gt;"",SUMIFS(Transactions!$F$7:$F$996,Transactions!$D$7:$D$996,"Expense",Transactions!$E$7:$E$996,A133),"")</f>
        <v/>
      </c>
      <c r="E133" s="54" t="str">
        <f t="shared" si="1"/>
        <v/>
      </c>
      <c r="F133" s="54" t="str">
        <f t="shared" si="2"/>
        <v/>
      </c>
      <c r="G133" s="57"/>
      <c r="H133" s="52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58" t="str">
        <f>IF(Roster!$A$132&lt;&gt;"",Roster!$A$132,"")</f>
        <v/>
      </c>
      <c r="B134" s="58" t="str">
        <f t="array" ref="B134">IF(A134&lt;&gt;"",IFERROR(SUMPRODUCT((INDEX(Attendance!$B$7:$AZ$206,MATCH(A134,Attendance!$A$7:$A$206,0),0)=1)*Attendance!$B$4:$AZ$4),0),"")</f>
        <v/>
      </c>
      <c r="C134" s="59" t="str">
        <f>IF(A134&lt;&gt;"",SUMIFS(Transactions!$F$7:$F$996,Transactions!$D$7:$D$996,"Income",Transactions!$E$7:$E$996,A134),"")</f>
        <v/>
      </c>
      <c r="D134" s="59" t="str">
        <f>IF(A134&lt;&gt;"",SUMIFS(Transactions!$F$7:$F$996,Transactions!$D$7:$D$996,"Expense",Transactions!$E$7:$E$996,A134),"")</f>
        <v/>
      </c>
      <c r="E134" s="60" t="str">
        <f t="shared" si="1"/>
        <v/>
      </c>
      <c r="F134" s="60" t="str">
        <f t="shared" si="2"/>
        <v/>
      </c>
      <c r="G134" s="57"/>
      <c r="H134" s="52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23" t="str">
        <f>IF(Roster!$A$133&lt;&gt;"",Roster!$A$133,"")</f>
        <v/>
      </c>
      <c r="B135" s="23" t="str">
        <f t="array" ref="B135">IF(A135&lt;&gt;"",IFERROR(SUMPRODUCT((INDEX(Attendance!$B$7:$AZ$206,MATCH(A135,Attendance!$A$7:$A$206,0),0)=1)*Attendance!$B$4:$AZ$4),0),"")</f>
        <v/>
      </c>
      <c r="C135" s="56" t="str">
        <f>IF(A135&lt;&gt;"",SUMIFS(Transactions!$F$7:$F$996,Transactions!$D$7:$D$996,"Income",Transactions!$E$7:$E$996,A135),"")</f>
        <v/>
      </c>
      <c r="D135" s="56" t="str">
        <f>IF(A135&lt;&gt;"",SUMIFS(Transactions!$F$7:$F$996,Transactions!$D$7:$D$996,"Expense",Transactions!$E$7:$E$996,A135),"")</f>
        <v/>
      </c>
      <c r="E135" s="54" t="str">
        <f t="shared" si="1"/>
        <v/>
      </c>
      <c r="F135" s="54" t="str">
        <f t="shared" si="2"/>
        <v/>
      </c>
      <c r="G135" s="57"/>
      <c r="H135" s="52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58" t="str">
        <f>IF(Roster!$A$134&lt;&gt;"",Roster!$A$134,"")</f>
        <v/>
      </c>
      <c r="B136" s="58" t="str">
        <f t="array" ref="B136">IF(A136&lt;&gt;"",IFERROR(SUMPRODUCT((INDEX(Attendance!$B$7:$AZ$206,MATCH(A136,Attendance!$A$7:$A$206,0),0)=1)*Attendance!$B$4:$AZ$4),0),"")</f>
        <v/>
      </c>
      <c r="C136" s="59" t="str">
        <f>IF(A136&lt;&gt;"",SUMIFS(Transactions!$F$7:$F$996,Transactions!$D$7:$D$996,"Income",Transactions!$E$7:$E$996,A136),"")</f>
        <v/>
      </c>
      <c r="D136" s="59" t="str">
        <f>IF(A136&lt;&gt;"",SUMIFS(Transactions!$F$7:$F$996,Transactions!$D$7:$D$996,"Expense",Transactions!$E$7:$E$996,A136),"")</f>
        <v/>
      </c>
      <c r="E136" s="60" t="str">
        <f t="shared" si="1"/>
        <v/>
      </c>
      <c r="F136" s="60" t="str">
        <f t="shared" si="2"/>
        <v/>
      </c>
      <c r="G136" s="57"/>
      <c r="H136" s="52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23" t="str">
        <f>IF(Roster!$A$135&lt;&gt;"",Roster!$A$135,"")</f>
        <v/>
      </c>
      <c r="B137" s="23" t="str">
        <f t="array" ref="B137">IF(A137&lt;&gt;"",IFERROR(SUMPRODUCT((INDEX(Attendance!$B$7:$AZ$206,MATCH(A137,Attendance!$A$7:$A$206,0),0)=1)*Attendance!$B$4:$AZ$4),0),"")</f>
        <v/>
      </c>
      <c r="C137" s="56" t="str">
        <f>IF(A137&lt;&gt;"",SUMIFS(Transactions!$F$7:$F$996,Transactions!$D$7:$D$996,"Income",Transactions!$E$7:$E$996,A137),"")</f>
        <v/>
      </c>
      <c r="D137" s="56" t="str">
        <f>IF(A137&lt;&gt;"",SUMIFS(Transactions!$F$7:$F$996,Transactions!$D$7:$D$996,"Expense",Transactions!$E$7:$E$996,A137),"")</f>
        <v/>
      </c>
      <c r="E137" s="54" t="str">
        <f t="shared" si="1"/>
        <v/>
      </c>
      <c r="F137" s="54" t="str">
        <f t="shared" si="2"/>
        <v/>
      </c>
      <c r="G137" s="57"/>
      <c r="H137" s="52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58" t="str">
        <f>IF(Roster!$A$136&lt;&gt;"",Roster!$A$136,"")</f>
        <v/>
      </c>
      <c r="B138" s="58" t="str">
        <f t="array" ref="B138">IF(A138&lt;&gt;"",IFERROR(SUMPRODUCT((INDEX(Attendance!$B$7:$AZ$206,MATCH(A138,Attendance!$A$7:$A$206,0),0)=1)*Attendance!$B$4:$AZ$4),0),"")</f>
        <v/>
      </c>
      <c r="C138" s="59" t="str">
        <f>IF(A138&lt;&gt;"",SUMIFS(Transactions!$F$7:$F$996,Transactions!$D$7:$D$996,"Income",Transactions!$E$7:$E$996,A138),"")</f>
        <v/>
      </c>
      <c r="D138" s="59" t="str">
        <f>IF(A138&lt;&gt;"",SUMIFS(Transactions!$F$7:$F$996,Transactions!$D$7:$D$996,"Expense",Transactions!$E$7:$E$996,A138),"")</f>
        <v/>
      </c>
      <c r="E138" s="60" t="str">
        <f t="shared" si="1"/>
        <v/>
      </c>
      <c r="F138" s="60" t="str">
        <f t="shared" si="2"/>
        <v/>
      </c>
      <c r="G138" s="57"/>
      <c r="H138" s="52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23" t="str">
        <f>IF(Roster!$A$137&lt;&gt;"",Roster!$A$137,"")</f>
        <v/>
      </c>
      <c r="B139" s="23" t="str">
        <f t="array" ref="B139">IF(A139&lt;&gt;"",IFERROR(SUMPRODUCT((INDEX(Attendance!$B$7:$AZ$206,MATCH(A139,Attendance!$A$7:$A$206,0),0)=1)*Attendance!$B$4:$AZ$4),0),"")</f>
        <v/>
      </c>
      <c r="C139" s="56" t="str">
        <f>IF(A139&lt;&gt;"",SUMIFS(Transactions!$F$7:$F$996,Transactions!$D$7:$D$996,"Income",Transactions!$E$7:$E$996,A139),"")</f>
        <v/>
      </c>
      <c r="D139" s="56" t="str">
        <f>IF(A139&lt;&gt;"",SUMIFS(Transactions!$F$7:$F$996,Transactions!$D$7:$D$996,"Expense",Transactions!$E$7:$E$996,A139),"")</f>
        <v/>
      </c>
      <c r="E139" s="54" t="str">
        <f t="shared" si="1"/>
        <v/>
      </c>
      <c r="F139" s="54" t="str">
        <f t="shared" si="2"/>
        <v/>
      </c>
      <c r="G139" s="57"/>
      <c r="H139" s="52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58" t="str">
        <f>IF(Roster!$A$138&lt;&gt;"",Roster!$A$138,"")</f>
        <v/>
      </c>
      <c r="B140" s="58" t="str">
        <f t="array" ref="B140">IF(A140&lt;&gt;"",IFERROR(SUMPRODUCT((INDEX(Attendance!$B$7:$AZ$206,MATCH(A140,Attendance!$A$7:$A$206,0),0)=1)*Attendance!$B$4:$AZ$4),0),"")</f>
        <v/>
      </c>
      <c r="C140" s="59" t="str">
        <f>IF(A140&lt;&gt;"",SUMIFS(Transactions!$F$7:$F$996,Transactions!$D$7:$D$996,"Income",Transactions!$E$7:$E$996,A140),"")</f>
        <v/>
      </c>
      <c r="D140" s="59" t="str">
        <f>IF(A140&lt;&gt;"",SUMIFS(Transactions!$F$7:$F$996,Transactions!$D$7:$D$996,"Expense",Transactions!$E$7:$E$996,A140),"")</f>
        <v/>
      </c>
      <c r="E140" s="60" t="str">
        <f t="shared" si="1"/>
        <v/>
      </c>
      <c r="F140" s="60" t="str">
        <f t="shared" si="2"/>
        <v/>
      </c>
      <c r="G140" s="57"/>
      <c r="H140" s="52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23" t="str">
        <f>IF(Roster!$A$139&lt;&gt;"",Roster!$A$139,"")</f>
        <v/>
      </c>
      <c r="B141" s="23" t="str">
        <f t="array" ref="B141">IF(A141&lt;&gt;"",IFERROR(SUMPRODUCT((INDEX(Attendance!$B$7:$AZ$206,MATCH(A141,Attendance!$A$7:$A$206,0),0)=1)*Attendance!$B$4:$AZ$4),0),"")</f>
        <v/>
      </c>
      <c r="C141" s="56" t="str">
        <f>IF(A141&lt;&gt;"",SUMIFS(Transactions!$F$7:$F$996,Transactions!$D$7:$D$996,"Income",Transactions!$E$7:$E$996,A141),"")</f>
        <v/>
      </c>
      <c r="D141" s="56" t="str">
        <f>IF(A141&lt;&gt;"",SUMIFS(Transactions!$F$7:$F$996,Transactions!$D$7:$D$996,"Expense",Transactions!$E$7:$E$996,A141),"")</f>
        <v/>
      </c>
      <c r="E141" s="54" t="str">
        <f t="shared" si="1"/>
        <v/>
      </c>
      <c r="F141" s="54" t="str">
        <f t="shared" si="2"/>
        <v/>
      </c>
      <c r="G141" s="57"/>
      <c r="H141" s="52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58" t="str">
        <f>IF(Roster!$A$140&lt;&gt;"",Roster!$A$140,"")</f>
        <v/>
      </c>
      <c r="B142" s="58" t="str">
        <f t="array" ref="B142">IF(A142&lt;&gt;"",IFERROR(SUMPRODUCT((INDEX(Attendance!$B$7:$AZ$206,MATCH(A142,Attendance!$A$7:$A$206,0),0)=1)*Attendance!$B$4:$AZ$4),0),"")</f>
        <v/>
      </c>
      <c r="C142" s="59" t="str">
        <f>IF(A142&lt;&gt;"",SUMIFS(Transactions!$F$7:$F$996,Transactions!$D$7:$D$996,"Income",Transactions!$E$7:$E$996,A142),"")</f>
        <v/>
      </c>
      <c r="D142" s="59" t="str">
        <f>IF(A142&lt;&gt;"",SUMIFS(Transactions!$F$7:$F$996,Transactions!$D$7:$D$996,"Expense",Transactions!$E$7:$E$996,A142),"")</f>
        <v/>
      </c>
      <c r="E142" s="60" t="str">
        <f t="shared" si="1"/>
        <v/>
      </c>
      <c r="F142" s="60" t="str">
        <f t="shared" si="2"/>
        <v/>
      </c>
      <c r="G142" s="57"/>
      <c r="H142" s="52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23" t="str">
        <f>IF(Roster!$A$141&lt;&gt;"",Roster!$A$141,"")</f>
        <v/>
      </c>
      <c r="B143" s="23" t="str">
        <f t="array" ref="B143">IF(A143&lt;&gt;"",IFERROR(SUMPRODUCT((INDEX(Attendance!$B$7:$AZ$206,MATCH(A143,Attendance!$A$7:$A$206,0),0)=1)*Attendance!$B$4:$AZ$4),0),"")</f>
        <v/>
      </c>
      <c r="C143" s="56" t="str">
        <f>IF(A143&lt;&gt;"",SUMIFS(Transactions!$F$7:$F$996,Transactions!$D$7:$D$996,"Income",Transactions!$E$7:$E$996,A143),"")</f>
        <v/>
      </c>
      <c r="D143" s="56" t="str">
        <f>IF(A143&lt;&gt;"",SUMIFS(Transactions!$F$7:$F$996,Transactions!$D$7:$D$996,"Expense",Transactions!$E$7:$E$996,A143),"")</f>
        <v/>
      </c>
      <c r="E143" s="54" t="str">
        <f t="shared" si="1"/>
        <v/>
      </c>
      <c r="F143" s="54" t="str">
        <f t="shared" si="2"/>
        <v/>
      </c>
      <c r="G143" s="57"/>
      <c r="H143" s="52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58" t="str">
        <f>IF(Roster!$A$142&lt;&gt;"",Roster!$A$142,"")</f>
        <v/>
      </c>
      <c r="B144" s="58" t="str">
        <f t="array" ref="B144">IF(A144&lt;&gt;"",IFERROR(SUMPRODUCT((INDEX(Attendance!$B$7:$AZ$206,MATCH(A144,Attendance!$A$7:$A$206,0),0)=1)*Attendance!$B$4:$AZ$4),0),"")</f>
        <v/>
      </c>
      <c r="C144" s="59" t="str">
        <f>IF(A144&lt;&gt;"",SUMIFS(Transactions!$F$7:$F$996,Transactions!$D$7:$D$996,"Income",Transactions!$E$7:$E$996,A144),"")</f>
        <v/>
      </c>
      <c r="D144" s="59" t="str">
        <f>IF(A144&lt;&gt;"",SUMIFS(Transactions!$F$7:$F$996,Transactions!$D$7:$D$996,"Expense",Transactions!$E$7:$E$996,A144),"")</f>
        <v/>
      </c>
      <c r="E144" s="60" t="str">
        <f t="shared" si="1"/>
        <v/>
      </c>
      <c r="F144" s="60" t="str">
        <f t="shared" si="2"/>
        <v/>
      </c>
      <c r="G144" s="57"/>
      <c r="H144" s="52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23" t="str">
        <f>IF(Roster!$A$143&lt;&gt;"",Roster!$A$143,"")</f>
        <v/>
      </c>
      <c r="B145" s="23" t="str">
        <f t="array" ref="B145">IF(A145&lt;&gt;"",IFERROR(SUMPRODUCT((INDEX(Attendance!$B$7:$AZ$206,MATCH(A145,Attendance!$A$7:$A$206,0),0)=1)*Attendance!$B$4:$AZ$4),0),"")</f>
        <v/>
      </c>
      <c r="C145" s="56" t="str">
        <f>IF(A145&lt;&gt;"",SUMIFS(Transactions!$F$7:$F$996,Transactions!$D$7:$D$996,"Income",Transactions!$E$7:$E$996,A145),"")</f>
        <v/>
      </c>
      <c r="D145" s="56" t="str">
        <f>IF(A145&lt;&gt;"",SUMIFS(Transactions!$F$7:$F$996,Transactions!$D$7:$D$996,"Expense",Transactions!$E$7:$E$996,A145),"")</f>
        <v/>
      </c>
      <c r="E145" s="54" t="str">
        <f t="shared" si="1"/>
        <v/>
      </c>
      <c r="F145" s="54" t="str">
        <f t="shared" si="2"/>
        <v/>
      </c>
      <c r="G145" s="57"/>
      <c r="H145" s="52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58" t="str">
        <f>IF(Roster!$A$144&lt;&gt;"",Roster!$A$144,"")</f>
        <v/>
      </c>
      <c r="B146" s="58" t="str">
        <f t="array" ref="B146">IF(A146&lt;&gt;"",IFERROR(SUMPRODUCT((INDEX(Attendance!$B$7:$AZ$206,MATCH(A146,Attendance!$A$7:$A$206,0),0)=1)*Attendance!$B$4:$AZ$4),0),"")</f>
        <v/>
      </c>
      <c r="C146" s="59" t="str">
        <f>IF(A146&lt;&gt;"",SUMIFS(Transactions!$F$7:$F$996,Transactions!$D$7:$D$996,"Income",Transactions!$E$7:$E$996,A146),"")</f>
        <v/>
      </c>
      <c r="D146" s="59" t="str">
        <f>IF(A146&lt;&gt;"",SUMIFS(Transactions!$F$7:$F$996,Transactions!$D$7:$D$996,"Expense",Transactions!$E$7:$E$996,A146),"")</f>
        <v/>
      </c>
      <c r="E146" s="60" t="str">
        <f t="shared" si="1"/>
        <v/>
      </c>
      <c r="F146" s="60" t="str">
        <f t="shared" si="2"/>
        <v/>
      </c>
      <c r="G146" s="57"/>
      <c r="H146" s="52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23" t="str">
        <f>IF(Roster!$A$145&lt;&gt;"",Roster!$A$145,"")</f>
        <v/>
      </c>
      <c r="B147" s="23" t="str">
        <f t="array" ref="B147">IF(A147&lt;&gt;"",IFERROR(SUMPRODUCT((INDEX(Attendance!$B$7:$AZ$206,MATCH(A147,Attendance!$A$7:$A$206,0),0)=1)*Attendance!$B$4:$AZ$4),0),"")</f>
        <v/>
      </c>
      <c r="C147" s="56" t="str">
        <f>IF(A147&lt;&gt;"",SUMIFS(Transactions!$F$7:$F$996,Transactions!$D$7:$D$996,"Income",Transactions!$E$7:$E$996,A147),"")</f>
        <v/>
      </c>
      <c r="D147" s="56" t="str">
        <f>IF(A147&lt;&gt;"",SUMIFS(Transactions!$F$7:$F$996,Transactions!$D$7:$D$996,"Expense",Transactions!$E$7:$E$996,A147),"")</f>
        <v/>
      </c>
      <c r="E147" s="54" t="str">
        <f t="shared" si="1"/>
        <v/>
      </c>
      <c r="F147" s="54" t="str">
        <f t="shared" si="2"/>
        <v/>
      </c>
      <c r="G147" s="57"/>
      <c r="H147" s="52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58" t="str">
        <f>IF(Roster!$A$146&lt;&gt;"",Roster!$A$146,"")</f>
        <v/>
      </c>
      <c r="B148" s="58" t="str">
        <f t="array" ref="B148">IF(A148&lt;&gt;"",IFERROR(SUMPRODUCT((INDEX(Attendance!$B$7:$AZ$206,MATCH(A148,Attendance!$A$7:$A$206,0),0)=1)*Attendance!$B$4:$AZ$4),0),"")</f>
        <v/>
      </c>
      <c r="C148" s="59" t="str">
        <f>IF(A148&lt;&gt;"",SUMIFS(Transactions!$F$7:$F$996,Transactions!$D$7:$D$996,"Income",Transactions!$E$7:$E$996,A148),"")</f>
        <v/>
      </c>
      <c r="D148" s="59" t="str">
        <f>IF(A148&lt;&gt;"",SUMIFS(Transactions!$F$7:$F$996,Transactions!$D$7:$D$996,"Expense",Transactions!$E$7:$E$996,A148),"")</f>
        <v/>
      </c>
      <c r="E148" s="60" t="str">
        <f t="shared" si="1"/>
        <v/>
      </c>
      <c r="F148" s="60" t="str">
        <f t="shared" si="2"/>
        <v/>
      </c>
      <c r="G148" s="57"/>
      <c r="H148" s="52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23" t="str">
        <f>IF(Roster!$A$147&lt;&gt;"",Roster!$A$147,"")</f>
        <v/>
      </c>
      <c r="B149" s="23" t="str">
        <f t="array" ref="B149">IF(A149&lt;&gt;"",IFERROR(SUMPRODUCT((INDEX(Attendance!$B$7:$AZ$206,MATCH(A149,Attendance!$A$7:$A$206,0),0)=1)*Attendance!$B$4:$AZ$4),0),"")</f>
        <v/>
      </c>
      <c r="C149" s="56" t="str">
        <f>IF(A149&lt;&gt;"",SUMIFS(Transactions!$F$7:$F$996,Transactions!$D$7:$D$996,"Income",Transactions!$E$7:$E$996,A149),"")</f>
        <v/>
      </c>
      <c r="D149" s="56" t="str">
        <f>IF(A149&lt;&gt;"",SUMIFS(Transactions!$F$7:$F$996,Transactions!$D$7:$D$996,"Expense",Transactions!$E$7:$E$996,A149),"")</f>
        <v/>
      </c>
      <c r="E149" s="54" t="str">
        <f t="shared" si="1"/>
        <v/>
      </c>
      <c r="F149" s="54" t="str">
        <f t="shared" si="2"/>
        <v/>
      </c>
      <c r="G149" s="57"/>
      <c r="H149" s="52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58" t="str">
        <f>IF(Roster!$A$148&lt;&gt;"",Roster!$A$148,"")</f>
        <v/>
      </c>
      <c r="B150" s="58" t="str">
        <f t="array" ref="B150">IF(A150&lt;&gt;"",IFERROR(SUMPRODUCT((INDEX(Attendance!$B$7:$AZ$206,MATCH(A150,Attendance!$A$7:$A$206,0),0)=1)*Attendance!$B$4:$AZ$4),0),"")</f>
        <v/>
      </c>
      <c r="C150" s="59" t="str">
        <f>IF(A150&lt;&gt;"",SUMIFS(Transactions!$F$7:$F$996,Transactions!$D$7:$D$996,"Income",Transactions!$E$7:$E$996,A150),"")</f>
        <v/>
      </c>
      <c r="D150" s="59" t="str">
        <f>IF(A150&lt;&gt;"",SUMIFS(Transactions!$F$7:$F$996,Transactions!$D$7:$D$996,"Expense",Transactions!$E$7:$E$996,A150),"")</f>
        <v/>
      </c>
      <c r="E150" s="60" t="str">
        <f t="shared" si="1"/>
        <v/>
      </c>
      <c r="F150" s="60" t="str">
        <f t="shared" si="2"/>
        <v/>
      </c>
      <c r="G150" s="57"/>
      <c r="H150" s="52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23" t="str">
        <f>IF(Roster!$A$149&lt;&gt;"",Roster!$A$149,"")</f>
        <v/>
      </c>
      <c r="B151" s="23" t="str">
        <f t="array" ref="B151">IF(A151&lt;&gt;"",IFERROR(SUMPRODUCT((INDEX(Attendance!$B$7:$AZ$206,MATCH(A151,Attendance!$A$7:$A$206,0),0)=1)*Attendance!$B$4:$AZ$4),0),"")</f>
        <v/>
      </c>
      <c r="C151" s="56" t="str">
        <f>IF(A151&lt;&gt;"",SUMIFS(Transactions!$F$7:$F$996,Transactions!$D$7:$D$996,"Income",Transactions!$E$7:$E$996,A151),"")</f>
        <v/>
      </c>
      <c r="D151" s="56" t="str">
        <f>IF(A151&lt;&gt;"",SUMIFS(Transactions!$F$7:$F$996,Transactions!$D$7:$D$996,"Expense",Transactions!$E$7:$E$996,A151),"")</f>
        <v/>
      </c>
      <c r="E151" s="54" t="str">
        <f t="shared" si="1"/>
        <v/>
      </c>
      <c r="F151" s="54" t="str">
        <f t="shared" si="2"/>
        <v/>
      </c>
      <c r="G151" s="57"/>
      <c r="H151" s="52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58" t="str">
        <f>IF(Roster!$A$150&lt;&gt;"",Roster!$A$150,"")</f>
        <v/>
      </c>
      <c r="B152" s="58" t="str">
        <f t="array" ref="B152">IF(A152&lt;&gt;"",IFERROR(SUMPRODUCT((INDEX(Attendance!$B$7:$AZ$206,MATCH(A152,Attendance!$A$7:$A$206,0),0)=1)*Attendance!$B$4:$AZ$4),0),"")</f>
        <v/>
      </c>
      <c r="C152" s="59" t="str">
        <f>IF(A152&lt;&gt;"",SUMIFS(Transactions!$F$7:$F$996,Transactions!$D$7:$D$996,"Income",Transactions!$E$7:$E$996,A152),"")</f>
        <v/>
      </c>
      <c r="D152" s="59" t="str">
        <f>IF(A152&lt;&gt;"",SUMIFS(Transactions!$F$7:$F$996,Transactions!$D$7:$D$996,"Expense",Transactions!$E$7:$E$996,A152),"")</f>
        <v/>
      </c>
      <c r="E152" s="60" t="str">
        <f t="shared" si="1"/>
        <v/>
      </c>
      <c r="F152" s="60" t="str">
        <f t="shared" si="2"/>
        <v/>
      </c>
      <c r="G152" s="57"/>
      <c r="H152" s="52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23" t="str">
        <f>IF(Roster!$A$151&lt;&gt;"",Roster!$A$151,"")</f>
        <v/>
      </c>
      <c r="B153" s="23" t="str">
        <f t="array" ref="B153">IF(A153&lt;&gt;"",IFERROR(SUMPRODUCT((INDEX(Attendance!$B$7:$AZ$206,MATCH(A153,Attendance!$A$7:$A$206,0),0)=1)*Attendance!$B$4:$AZ$4),0),"")</f>
        <v/>
      </c>
      <c r="C153" s="56" t="str">
        <f>IF(A153&lt;&gt;"",SUMIFS(Transactions!$F$7:$F$996,Transactions!$D$7:$D$996,"Income",Transactions!$E$7:$E$996,A153),"")</f>
        <v/>
      </c>
      <c r="D153" s="56" t="str">
        <f>IF(A153&lt;&gt;"",SUMIFS(Transactions!$F$7:$F$996,Transactions!$D$7:$D$996,"Expense",Transactions!$E$7:$E$996,A153),"")</f>
        <v/>
      </c>
      <c r="E153" s="54" t="str">
        <f t="shared" si="1"/>
        <v/>
      </c>
      <c r="F153" s="54" t="str">
        <f t="shared" si="2"/>
        <v/>
      </c>
      <c r="G153" s="57"/>
      <c r="H153" s="52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58" t="str">
        <f>IF(Roster!$A$152&lt;&gt;"",Roster!$A$152,"")</f>
        <v/>
      </c>
      <c r="B154" s="58" t="str">
        <f t="array" ref="B154">IF(A154&lt;&gt;"",IFERROR(SUMPRODUCT((INDEX(Attendance!$B$7:$AZ$206,MATCH(A154,Attendance!$A$7:$A$206,0),0)=1)*Attendance!$B$4:$AZ$4),0),"")</f>
        <v/>
      </c>
      <c r="C154" s="59" t="str">
        <f>IF(A154&lt;&gt;"",SUMIFS(Transactions!$F$7:$F$996,Transactions!$D$7:$D$996,"Income",Transactions!$E$7:$E$996,A154),"")</f>
        <v/>
      </c>
      <c r="D154" s="59" t="str">
        <f>IF(A154&lt;&gt;"",SUMIFS(Transactions!$F$7:$F$996,Transactions!$D$7:$D$996,"Expense",Transactions!$E$7:$E$996,A154),"")</f>
        <v/>
      </c>
      <c r="E154" s="60" t="str">
        <f t="shared" si="1"/>
        <v/>
      </c>
      <c r="F154" s="60" t="str">
        <f t="shared" si="2"/>
        <v/>
      </c>
      <c r="G154" s="57"/>
      <c r="H154" s="52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23" t="str">
        <f>IF(Roster!$A$153&lt;&gt;"",Roster!$A$153,"")</f>
        <v/>
      </c>
      <c r="B155" s="23" t="str">
        <f t="array" ref="B155">IF(A155&lt;&gt;"",IFERROR(SUMPRODUCT((INDEX(Attendance!$B$7:$AZ$206,MATCH(A155,Attendance!$A$7:$A$206,0),0)=1)*Attendance!$B$4:$AZ$4),0),"")</f>
        <v/>
      </c>
      <c r="C155" s="56" t="str">
        <f>IF(A155&lt;&gt;"",SUMIFS(Transactions!$F$7:$F$996,Transactions!$D$7:$D$996,"Income",Transactions!$E$7:$E$996,A155),"")</f>
        <v/>
      </c>
      <c r="D155" s="56" t="str">
        <f>IF(A155&lt;&gt;"",SUMIFS(Transactions!$F$7:$F$996,Transactions!$D$7:$D$996,"Expense",Transactions!$E$7:$E$996,A155),"")</f>
        <v/>
      </c>
      <c r="E155" s="54" t="str">
        <f t="shared" si="1"/>
        <v/>
      </c>
      <c r="F155" s="54" t="str">
        <f t="shared" si="2"/>
        <v/>
      </c>
      <c r="G155" s="57"/>
      <c r="H155" s="52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58" t="str">
        <f>IF(Roster!$A$154&lt;&gt;"",Roster!$A$154,"")</f>
        <v/>
      </c>
      <c r="B156" s="58" t="str">
        <f t="array" ref="B156">IF(A156&lt;&gt;"",IFERROR(SUMPRODUCT((INDEX(Attendance!$B$7:$AZ$206,MATCH(A156,Attendance!$A$7:$A$206,0),0)=1)*Attendance!$B$4:$AZ$4),0),"")</f>
        <v/>
      </c>
      <c r="C156" s="59" t="str">
        <f>IF(A156&lt;&gt;"",SUMIFS(Transactions!$F$7:$F$996,Transactions!$D$7:$D$996,"Income",Transactions!$E$7:$E$996,A156),"")</f>
        <v/>
      </c>
      <c r="D156" s="59" t="str">
        <f>IF(A156&lt;&gt;"",SUMIFS(Transactions!$F$7:$F$996,Transactions!$D$7:$D$996,"Expense",Transactions!$E$7:$E$996,A156),"")</f>
        <v/>
      </c>
      <c r="E156" s="60" t="str">
        <f t="shared" si="1"/>
        <v/>
      </c>
      <c r="F156" s="60" t="str">
        <f t="shared" si="2"/>
        <v/>
      </c>
      <c r="G156" s="57"/>
      <c r="H156" s="52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23" t="str">
        <f>IF(Roster!$A$155&lt;&gt;"",Roster!$A$155,"")</f>
        <v/>
      </c>
      <c r="B157" s="23" t="str">
        <f t="array" ref="B157">IF(A157&lt;&gt;"",IFERROR(SUMPRODUCT((INDEX(Attendance!$B$7:$AZ$206,MATCH(A157,Attendance!$A$7:$A$206,0),0)=1)*Attendance!$B$4:$AZ$4),0),"")</f>
        <v/>
      </c>
      <c r="C157" s="56" t="str">
        <f>IF(A157&lt;&gt;"",SUMIFS(Transactions!$F$7:$F$996,Transactions!$D$7:$D$996,"Income",Transactions!$E$7:$E$996,A157),"")</f>
        <v/>
      </c>
      <c r="D157" s="56" t="str">
        <f>IF(A157&lt;&gt;"",SUMIFS(Transactions!$F$7:$F$996,Transactions!$D$7:$D$996,"Expense",Transactions!$E$7:$E$996,A157),"")</f>
        <v/>
      </c>
      <c r="E157" s="54" t="str">
        <f t="shared" si="1"/>
        <v/>
      </c>
      <c r="F157" s="54" t="str">
        <f t="shared" si="2"/>
        <v/>
      </c>
      <c r="G157" s="57"/>
      <c r="H157" s="52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58" t="str">
        <f>IF(Roster!$A$156&lt;&gt;"",Roster!$A$156,"")</f>
        <v/>
      </c>
      <c r="B158" s="58" t="str">
        <f t="array" ref="B158">IF(A158&lt;&gt;"",IFERROR(SUMPRODUCT((INDEX(Attendance!$B$7:$AZ$206,MATCH(A158,Attendance!$A$7:$A$206,0),0)=1)*Attendance!$B$4:$AZ$4),0),"")</f>
        <v/>
      </c>
      <c r="C158" s="59" t="str">
        <f>IF(A158&lt;&gt;"",SUMIFS(Transactions!$F$7:$F$996,Transactions!$D$7:$D$996,"Income",Transactions!$E$7:$E$996,A158),"")</f>
        <v/>
      </c>
      <c r="D158" s="59" t="str">
        <f>IF(A158&lt;&gt;"",SUMIFS(Transactions!$F$7:$F$996,Transactions!$D$7:$D$996,"Expense",Transactions!$E$7:$E$996,A158),"")</f>
        <v/>
      </c>
      <c r="E158" s="60" t="str">
        <f t="shared" si="1"/>
        <v/>
      </c>
      <c r="F158" s="60" t="str">
        <f t="shared" si="2"/>
        <v/>
      </c>
      <c r="G158" s="57"/>
      <c r="H158" s="52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23" t="str">
        <f>IF(Roster!$A$157&lt;&gt;"",Roster!$A$157,"")</f>
        <v/>
      </c>
      <c r="B159" s="23" t="str">
        <f t="array" ref="B159">IF(A159&lt;&gt;"",IFERROR(SUMPRODUCT((INDEX(Attendance!$B$7:$AZ$206,MATCH(A159,Attendance!$A$7:$A$206,0),0)=1)*Attendance!$B$4:$AZ$4),0),"")</f>
        <v/>
      </c>
      <c r="C159" s="56" t="str">
        <f>IF(A159&lt;&gt;"",SUMIFS(Transactions!$F$7:$F$996,Transactions!$D$7:$D$996,"Income",Transactions!$E$7:$E$996,A159),"")</f>
        <v/>
      </c>
      <c r="D159" s="56" t="str">
        <f>IF(A159&lt;&gt;"",SUMIFS(Transactions!$F$7:$F$996,Transactions!$D$7:$D$996,"Expense",Transactions!$E$7:$E$996,A159),"")</f>
        <v/>
      </c>
      <c r="E159" s="54" t="str">
        <f t="shared" si="1"/>
        <v/>
      </c>
      <c r="F159" s="54" t="str">
        <f t="shared" si="2"/>
        <v/>
      </c>
      <c r="G159" s="57"/>
      <c r="H159" s="52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58" t="str">
        <f>IF(Roster!$A$158&lt;&gt;"",Roster!$A$158,"")</f>
        <v/>
      </c>
      <c r="B160" s="58" t="str">
        <f t="array" ref="B160">IF(A160&lt;&gt;"",IFERROR(SUMPRODUCT((INDEX(Attendance!$B$7:$AZ$206,MATCH(A160,Attendance!$A$7:$A$206,0),0)=1)*Attendance!$B$4:$AZ$4),0),"")</f>
        <v/>
      </c>
      <c r="C160" s="59" t="str">
        <f>IF(A160&lt;&gt;"",SUMIFS(Transactions!$F$7:$F$996,Transactions!$D$7:$D$996,"Income",Transactions!$E$7:$E$996,A160),"")</f>
        <v/>
      </c>
      <c r="D160" s="59" t="str">
        <f>IF(A160&lt;&gt;"",SUMIFS(Transactions!$F$7:$F$996,Transactions!$D$7:$D$996,"Expense",Transactions!$E$7:$E$996,A160),"")</f>
        <v/>
      </c>
      <c r="E160" s="60" t="str">
        <f t="shared" si="1"/>
        <v/>
      </c>
      <c r="F160" s="60" t="str">
        <f t="shared" si="2"/>
        <v/>
      </c>
      <c r="G160" s="57"/>
      <c r="H160" s="52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23" t="str">
        <f>IF(Roster!$A$159&lt;&gt;"",Roster!$A$159,"")</f>
        <v/>
      </c>
      <c r="B161" s="23" t="str">
        <f t="array" ref="B161">IF(A161&lt;&gt;"",IFERROR(SUMPRODUCT((INDEX(Attendance!$B$7:$AZ$206,MATCH(A161,Attendance!$A$7:$A$206,0),0)=1)*Attendance!$B$4:$AZ$4),0),"")</f>
        <v/>
      </c>
      <c r="C161" s="56" t="str">
        <f>IF(A161&lt;&gt;"",SUMIFS(Transactions!$F$7:$F$996,Transactions!$D$7:$D$996,"Income",Transactions!$E$7:$E$996,A161),"")</f>
        <v/>
      </c>
      <c r="D161" s="56" t="str">
        <f>IF(A161&lt;&gt;"",SUMIFS(Transactions!$F$7:$F$996,Transactions!$D$7:$D$996,"Expense",Transactions!$E$7:$E$996,A161),"")</f>
        <v/>
      </c>
      <c r="E161" s="54" t="str">
        <f t="shared" si="1"/>
        <v/>
      </c>
      <c r="F161" s="54" t="str">
        <f t="shared" si="2"/>
        <v/>
      </c>
      <c r="G161" s="57"/>
      <c r="H161" s="52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58" t="str">
        <f>IF(Roster!$A$160&lt;&gt;"",Roster!$A$160,"")</f>
        <v/>
      </c>
      <c r="B162" s="58" t="str">
        <f t="array" ref="B162">IF(A162&lt;&gt;"",IFERROR(SUMPRODUCT((INDEX(Attendance!$B$7:$AZ$206,MATCH(A162,Attendance!$A$7:$A$206,0),0)=1)*Attendance!$B$4:$AZ$4),0),"")</f>
        <v/>
      </c>
      <c r="C162" s="59" t="str">
        <f>IF(A162&lt;&gt;"",SUMIFS(Transactions!$F$7:$F$996,Transactions!$D$7:$D$996,"Income",Transactions!$E$7:$E$996,A162),"")</f>
        <v/>
      </c>
      <c r="D162" s="59" t="str">
        <f>IF(A162&lt;&gt;"",SUMIFS(Transactions!$F$7:$F$996,Transactions!$D$7:$D$996,"Expense",Transactions!$E$7:$E$996,A162),"")</f>
        <v/>
      </c>
      <c r="E162" s="60" t="str">
        <f t="shared" si="1"/>
        <v/>
      </c>
      <c r="F162" s="60" t="str">
        <f t="shared" si="2"/>
        <v/>
      </c>
      <c r="G162" s="57"/>
      <c r="H162" s="52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23" t="str">
        <f>IF(Roster!$A$161&lt;&gt;"",Roster!$A$161,"")</f>
        <v/>
      </c>
      <c r="B163" s="23" t="str">
        <f t="array" ref="B163">IF(A163&lt;&gt;"",IFERROR(SUMPRODUCT((INDEX(Attendance!$B$7:$AZ$206,MATCH(A163,Attendance!$A$7:$A$206,0),0)=1)*Attendance!$B$4:$AZ$4),0),"")</f>
        <v/>
      </c>
      <c r="C163" s="56" t="str">
        <f>IF(A163&lt;&gt;"",SUMIFS(Transactions!$F$7:$F$996,Transactions!$D$7:$D$996,"Income",Transactions!$E$7:$E$996,A163),"")</f>
        <v/>
      </c>
      <c r="D163" s="56" t="str">
        <f>IF(A163&lt;&gt;"",SUMIFS(Transactions!$F$7:$F$996,Transactions!$D$7:$D$996,"Expense",Transactions!$E$7:$E$996,A163),"")</f>
        <v/>
      </c>
      <c r="E163" s="54" t="str">
        <f t="shared" si="1"/>
        <v/>
      </c>
      <c r="F163" s="54" t="str">
        <f t="shared" si="2"/>
        <v/>
      </c>
      <c r="G163" s="57"/>
      <c r="H163" s="52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58" t="str">
        <f>IF(Roster!$A$162&lt;&gt;"",Roster!$A$162,"")</f>
        <v/>
      </c>
      <c r="B164" s="58" t="str">
        <f t="array" ref="B164">IF(A164&lt;&gt;"",IFERROR(SUMPRODUCT((INDEX(Attendance!$B$7:$AZ$206,MATCH(A164,Attendance!$A$7:$A$206,0),0)=1)*Attendance!$B$4:$AZ$4),0),"")</f>
        <v/>
      </c>
      <c r="C164" s="59" t="str">
        <f>IF(A164&lt;&gt;"",SUMIFS(Transactions!$F$7:$F$996,Transactions!$D$7:$D$996,"Income",Transactions!$E$7:$E$996,A164),"")</f>
        <v/>
      </c>
      <c r="D164" s="59" t="str">
        <f>IF(A164&lt;&gt;"",SUMIFS(Transactions!$F$7:$F$996,Transactions!$D$7:$D$996,"Expense",Transactions!$E$7:$E$996,A164),"")</f>
        <v/>
      </c>
      <c r="E164" s="60" t="str">
        <f t="shared" si="1"/>
        <v/>
      </c>
      <c r="F164" s="60" t="str">
        <f t="shared" si="2"/>
        <v/>
      </c>
      <c r="G164" s="57"/>
      <c r="H164" s="52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23" t="str">
        <f>IF(Roster!$A$163&lt;&gt;"",Roster!$A$163,"")</f>
        <v/>
      </c>
      <c r="B165" s="23" t="str">
        <f t="array" ref="B165">IF(A165&lt;&gt;"",IFERROR(SUMPRODUCT((INDEX(Attendance!$B$7:$AZ$206,MATCH(A165,Attendance!$A$7:$A$206,0),0)=1)*Attendance!$B$4:$AZ$4),0),"")</f>
        <v/>
      </c>
      <c r="C165" s="56" t="str">
        <f>IF(A165&lt;&gt;"",SUMIFS(Transactions!$F$7:$F$996,Transactions!$D$7:$D$996,"Income",Transactions!$E$7:$E$996,A165),"")</f>
        <v/>
      </c>
      <c r="D165" s="56" t="str">
        <f>IF(A165&lt;&gt;"",SUMIFS(Transactions!$F$7:$F$996,Transactions!$D$7:$D$996,"Expense",Transactions!$E$7:$E$996,A165),"")</f>
        <v/>
      </c>
      <c r="E165" s="54" t="str">
        <f t="shared" si="1"/>
        <v/>
      </c>
      <c r="F165" s="54" t="str">
        <f t="shared" si="2"/>
        <v/>
      </c>
      <c r="G165" s="57"/>
      <c r="H165" s="52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58" t="str">
        <f>IF(Roster!$A$164&lt;&gt;"",Roster!$A$164,"")</f>
        <v/>
      </c>
      <c r="B166" s="58" t="str">
        <f t="array" ref="B166">IF(A166&lt;&gt;"",IFERROR(SUMPRODUCT((INDEX(Attendance!$B$7:$AZ$206,MATCH(A166,Attendance!$A$7:$A$206,0),0)=1)*Attendance!$B$4:$AZ$4),0),"")</f>
        <v/>
      </c>
      <c r="C166" s="59" t="str">
        <f>IF(A166&lt;&gt;"",SUMIFS(Transactions!$F$7:$F$996,Transactions!$D$7:$D$996,"Income",Transactions!$E$7:$E$996,A166),"")</f>
        <v/>
      </c>
      <c r="D166" s="59" t="str">
        <f>IF(A166&lt;&gt;"",SUMIFS(Transactions!$F$7:$F$996,Transactions!$D$7:$D$996,"Expense",Transactions!$E$7:$E$996,A166),"")</f>
        <v/>
      </c>
      <c r="E166" s="60" t="str">
        <f t="shared" si="1"/>
        <v/>
      </c>
      <c r="F166" s="60" t="str">
        <f t="shared" si="2"/>
        <v/>
      </c>
      <c r="G166" s="57"/>
      <c r="H166" s="52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23" t="str">
        <f>IF(Roster!$A$165&lt;&gt;"",Roster!$A$165,"")</f>
        <v/>
      </c>
      <c r="B167" s="23" t="str">
        <f t="array" ref="B167">IF(A167&lt;&gt;"",IFERROR(SUMPRODUCT((INDEX(Attendance!$B$7:$AZ$206,MATCH(A167,Attendance!$A$7:$A$206,0),0)=1)*Attendance!$B$4:$AZ$4),0),"")</f>
        <v/>
      </c>
      <c r="C167" s="56" t="str">
        <f>IF(A167&lt;&gt;"",SUMIFS(Transactions!$F$7:$F$996,Transactions!$D$7:$D$996,"Income",Transactions!$E$7:$E$996,A167),"")</f>
        <v/>
      </c>
      <c r="D167" s="56" t="str">
        <f>IF(A167&lt;&gt;"",SUMIFS(Transactions!$F$7:$F$996,Transactions!$D$7:$D$996,"Expense",Transactions!$E$7:$E$996,A167),"")</f>
        <v/>
      </c>
      <c r="E167" s="54" t="str">
        <f t="shared" si="1"/>
        <v/>
      </c>
      <c r="F167" s="54" t="str">
        <f t="shared" si="2"/>
        <v/>
      </c>
      <c r="G167" s="57"/>
      <c r="H167" s="52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58" t="str">
        <f>IF(Roster!$A$166&lt;&gt;"",Roster!$A$166,"")</f>
        <v/>
      </c>
      <c r="B168" s="58" t="str">
        <f t="array" ref="B168">IF(A168&lt;&gt;"",IFERROR(SUMPRODUCT((INDEX(Attendance!$B$7:$AZ$206,MATCH(A168,Attendance!$A$7:$A$206,0),0)=1)*Attendance!$B$4:$AZ$4),0),"")</f>
        <v/>
      </c>
      <c r="C168" s="59" t="str">
        <f>IF(A168&lt;&gt;"",SUMIFS(Transactions!$F$7:$F$996,Transactions!$D$7:$D$996,"Income",Transactions!$E$7:$E$996,A168),"")</f>
        <v/>
      </c>
      <c r="D168" s="59" t="str">
        <f>IF(A168&lt;&gt;"",SUMIFS(Transactions!$F$7:$F$996,Transactions!$D$7:$D$996,"Expense",Transactions!$E$7:$E$996,A168),"")</f>
        <v/>
      </c>
      <c r="E168" s="60" t="str">
        <f t="shared" si="1"/>
        <v/>
      </c>
      <c r="F168" s="60" t="str">
        <f t="shared" si="2"/>
        <v/>
      </c>
      <c r="G168" s="57"/>
      <c r="H168" s="52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23" t="str">
        <f>IF(Roster!$A$167&lt;&gt;"",Roster!$A$167,"")</f>
        <v/>
      </c>
      <c r="B169" s="23" t="str">
        <f t="array" ref="B169">IF(A169&lt;&gt;"",IFERROR(SUMPRODUCT((INDEX(Attendance!$B$7:$AZ$206,MATCH(A169,Attendance!$A$7:$A$206,0),0)=1)*Attendance!$B$4:$AZ$4),0),"")</f>
        <v/>
      </c>
      <c r="C169" s="56" t="str">
        <f>IF(A169&lt;&gt;"",SUMIFS(Transactions!$F$7:$F$996,Transactions!$D$7:$D$996,"Income",Transactions!$E$7:$E$996,A169),"")</f>
        <v/>
      </c>
      <c r="D169" s="56" t="str">
        <f>IF(A169&lt;&gt;"",SUMIFS(Transactions!$F$7:$F$996,Transactions!$D$7:$D$996,"Expense",Transactions!$E$7:$E$996,A169),"")</f>
        <v/>
      </c>
      <c r="E169" s="54" t="str">
        <f t="shared" si="1"/>
        <v/>
      </c>
      <c r="F169" s="54" t="str">
        <f t="shared" si="2"/>
        <v/>
      </c>
      <c r="G169" s="57"/>
      <c r="H169" s="52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58" t="str">
        <f>IF(Roster!$A$168&lt;&gt;"",Roster!$A$168,"")</f>
        <v/>
      </c>
      <c r="B170" s="58" t="str">
        <f t="array" ref="B170">IF(A170&lt;&gt;"",IFERROR(SUMPRODUCT((INDEX(Attendance!$B$7:$AZ$206,MATCH(A170,Attendance!$A$7:$A$206,0),0)=1)*Attendance!$B$4:$AZ$4),0),"")</f>
        <v/>
      </c>
      <c r="C170" s="59" t="str">
        <f>IF(A170&lt;&gt;"",SUMIFS(Transactions!$F$7:$F$996,Transactions!$D$7:$D$996,"Income",Transactions!$E$7:$E$996,A170),"")</f>
        <v/>
      </c>
      <c r="D170" s="59" t="str">
        <f>IF(A170&lt;&gt;"",SUMIFS(Transactions!$F$7:$F$996,Transactions!$D$7:$D$996,"Expense",Transactions!$E$7:$E$996,A170),"")</f>
        <v/>
      </c>
      <c r="E170" s="60" t="str">
        <f t="shared" si="1"/>
        <v/>
      </c>
      <c r="F170" s="60" t="str">
        <f t="shared" si="2"/>
        <v/>
      </c>
      <c r="G170" s="57"/>
      <c r="H170" s="52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23" t="str">
        <f>IF(Roster!$A$169&lt;&gt;"",Roster!$A$169,"")</f>
        <v/>
      </c>
      <c r="B171" s="23" t="str">
        <f t="array" ref="B171">IF(A171&lt;&gt;"",IFERROR(SUMPRODUCT((INDEX(Attendance!$B$7:$AZ$206,MATCH(A171,Attendance!$A$7:$A$206,0),0)=1)*Attendance!$B$4:$AZ$4),0),"")</f>
        <v/>
      </c>
      <c r="C171" s="56" t="str">
        <f>IF(A171&lt;&gt;"",SUMIFS(Transactions!$F$7:$F$996,Transactions!$D$7:$D$996,"Income",Transactions!$E$7:$E$996,A171),"")</f>
        <v/>
      </c>
      <c r="D171" s="56" t="str">
        <f>IF(A171&lt;&gt;"",SUMIFS(Transactions!$F$7:$F$996,Transactions!$D$7:$D$996,"Expense",Transactions!$E$7:$E$996,A171),"")</f>
        <v/>
      </c>
      <c r="E171" s="54" t="str">
        <f t="shared" si="1"/>
        <v/>
      </c>
      <c r="F171" s="54" t="str">
        <f t="shared" si="2"/>
        <v/>
      </c>
      <c r="G171" s="57"/>
      <c r="H171" s="52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58" t="str">
        <f>IF(Roster!$A$170&lt;&gt;"",Roster!$A$170,"")</f>
        <v/>
      </c>
      <c r="B172" s="58" t="str">
        <f t="array" ref="B172">IF(A172&lt;&gt;"",IFERROR(SUMPRODUCT((INDEX(Attendance!$B$7:$AZ$206,MATCH(A172,Attendance!$A$7:$A$206,0),0)=1)*Attendance!$B$4:$AZ$4),0),"")</f>
        <v/>
      </c>
      <c r="C172" s="59" t="str">
        <f>IF(A172&lt;&gt;"",SUMIFS(Transactions!$F$7:$F$996,Transactions!$D$7:$D$996,"Income",Transactions!$E$7:$E$996,A172),"")</f>
        <v/>
      </c>
      <c r="D172" s="59" t="str">
        <f>IF(A172&lt;&gt;"",SUMIFS(Transactions!$F$7:$F$996,Transactions!$D$7:$D$996,"Expense",Transactions!$E$7:$E$996,A172),"")</f>
        <v/>
      </c>
      <c r="E172" s="60" t="str">
        <f t="shared" si="1"/>
        <v/>
      </c>
      <c r="F172" s="60" t="str">
        <f t="shared" si="2"/>
        <v/>
      </c>
      <c r="G172" s="57"/>
      <c r="H172" s="52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23" t="str">
        <f>IF(Roster!$A$171&lt;&gt;"",Roster!$A$171,"")</f>
        <v/>
      </c>
      <c r="B173" s="23" t="str">
        <f t="array" ref="B173">IF(A173&lt;&gt;"",IFERROR(SUMPRODUCT((INDEX(Attendance!$B$7:$AZ$206,MATCH(A173,Attendance!$A$7:$A$206,0),0)=1)*Attendance!$B$4:$AZ$4),0),"")</f>
        <v/>
      </c>
      <c r="C173" s="56" t="str">
        <f>IF(A173&lt;&gt;"",SUMIFS(Transactions!$F$7:$F$996,Transactions!$D$7:$D$996,"Income",Transactions!$E$7:$E$996,A173),"")</f>
        <v/>
      </c>
      <c r="D173" s="56" t="str">
        <f>IF(A173&lt;&gt;"",SUMIFS(Transactions!$F$7:$F$996,Transactions!$D$7:$D$996,"Expense",Transactions!$E$7:$E$996,A173),"")</f>
        <v/>
      </c>
      <c r="E173" s="54" t="str">
        <f t="shared" si="1"/>
        <v/>
      </c>
      <c r="F173" s="54" t="str">
        <f t="shared" si="2"/>
        <v/>
      </c>
      <c r="G173" s="57"/>
      <c r="H173" s="52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58" t="str">
        <f>IF(Roster!$A$172&lt;&gt;"",Roster!$A$172,"")</f>
        <v/>
      </c>
      <c r="B174" s="58" t="str">
        <f t="array" ref="B174">IF(A174&lt;&gt;"",IFERROR(SUMPRODUCT((INDEX(Attendance!$B$7:$AZ$206,MATCH(A174,Attendance!$A$7:$A$206,0),0)=1)*Attendance!$B$4:$AZ$4),0),"")</f>
        <v/>
      </c>
      <c r="C174" s="59" t="str">
        <f>IF(A174&lt;&gt;"",SUMIFS(Transactions!$F$7:$F$996,Transactions!$D$7:$D$996,"Income",Transactions!$E$7:$E$996,A174),"")</f>
        <v/>
      </c>
      <c r="D174" s="59" t="str">
        <f>IF(A174&lt;&gt;"",SUMIFS(Transactions!$F$7:$F$996,Transactions!$D$7:$D$996,"Expense",Transactions!$E$7:$E$996,A174),"")</f>
        <v/>
      </c>
      <c r="E174" s="60" t="str">
        <f t="shared" si="1"/>
        <v/>
      </c>
      <c r="F174" s="60" t="str">
        <f t="shared" si="2"/>
        <v/>
      </c>
      <c r="G174" s="57"/>
      <c r="H174" s="52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23" t="str">
        <f>IF(Roster!$A$173&lt;&gt;"",Roster!$A$173,"")</f>
        <v/>
      </c>
      <c r="B175" s="23" t="str">
        <f t="array" ref="B175">IF(A175&lt;&gt;"",IFERROR(SUMPRODUCT((INDEX(Attendance!$B$7:$AZ$206,MATCH(A175,Attendance!$A$7:$A$206,0),0)=1)*Attendance!$B$4:$AZ$4),0),"")</f>
        <v/>
      </c>
      <c r="C175" s="56" t="str">
        <f>IF(A175&lt;&gt;"",SUMIFS(Transactions!$F$7:$F$996,Transactions!$D$7:$D$996,"Income",Transactions!$E$7:$E$996,A175),"")</f>
        <v/>
      </c>
      <c r="D175" s="56" t="str">
        <f>IF(A175&lt;&gt;"",SUMIFS(Transactions!$F$7:$F$996,Transactions!$D$7:$D$996,"Expense",Transactions!$E$7:$E$996,A175),"")</f>
        <v/>
      </c>
      <c r="E175" s="54" t="str">
        <f t="shared" si="1"/>
        <v/>
      </c>
      <c r="F175" s="54" t="str">
        <f t="shared" si="2"/>
        <v/>
      </c>
      <c r="G175" s="57"/>
      <c r="H175" s="52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58" t="str">
        <f>IF(Roster!$A$174&lt;&gt;"",Roster!$A$174,"")</f>
        <v/>
      </c>
      <c r="B176" s="58" t="str">
        <f t="array" ref="B176">IF(A176&lt;&gt;"",IFERROR(SUMPRODUCT((INDEX(Attendance!$B$7:$AZ$206,MATCH(A176,Attendance!$A$7:$A$206,0),0)=1)*Attendance!$B$4:$AZ$4),0),"")</f>
        <v/>
      </c>
      <c r="C176" s="59" t="str">
        <f>IF(A176&lt;&gt;"",SUMIFS(Transactions!$F$7:$F$996,Transactions!$D$7:$D$996,"Income",Transactions!$E$7:$E$996,A176),"")</f>
        <v/>
      </c>
      <c r="D176" s="59" t="str">
        <f>IF(A176&lt;&gt;"",SUMIFS(Transactions!$F$7:$F$996,Transactions!$D$7:$D$996,"Expense",Transactions!$E$7:$E$996,A176),"")</f>
        <v/>
      </c>
      <c r="E176" s="60" t="str">
        <f t="shared" si="1"/>
        <v/>
      </c>
      <c r="F176" s="60" t="str">
        <f t="shared" si="2"/>
        <v/>
      </c>
      <c r="G176" s="57"/>
      <c r="H176" s="52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23" t="str">
        <f>IF(Roster!$A$175&lt;&gt;"",Roster!$A$175,"")</f>
        <v/>
      </c>
      <c r="B177" s="23" t="str">
        <f t="array" ref="B177">IF(A177&lt;&gt;"",IFERROR(SUMPRODUCT((INDEX(Attendance!$B$7:$AZ$206,MATCH(A177,Attendance!$A$7:$A$206,0),0)=1)*Attendance!$B$4:$AZ$4),0),"")</f>
        <v/>
      </c>
      <c r="C177" s="56" t="str">
        <f>IF(A177&lt;&gt;"",SUMIFS(Transactions!$F$7:$F$996,Transactions!$D$7:$D$996,"Income",Transactions!$E$7:$E$996,A177),"")</f>
        <v/>
      </c>
      <c r="D177" s="56" t="str">
        <f>IF(A177&lt;&gt;"",SUMIFS(Transactions!$F$7:$F$996,Transactions!$D$7:$D$996,"Expense",Transactions!$E$7:$E$996,A177),"")</f>
        <v/>
      </c>
      <c r="E177" s="54" t="str">
        <f t="shared" si="1"/>
        <v/>
      </c>
      <c r="F177" s="54" t="str">
        <f t="shared" si="2"/>
        <v/>
      </c>
      <c r="G177" s="57"/>
      <c r="H177" s="52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58" t="str">
        <f>IF(Roster!$A$176&lt;&gt;"",Roster!$A$176,"")</f>
        <v/>
      </c>
      <c r="B178" s="58" t="str">
        <f t="array" ref="B178">IF(A178&lt;&gt;"",IFERROR(SUMPRODUCT((INDEX(Attendance!$B$7:$AZ$206,MATCH(A178,Attendance!$A$7:$A$206,0),0)=1)*Attendance!$B$4:$AZ$4),0),"")</f>
        <v/>
      </c>
      <c r="C178" s="59" t="str">
        <f>IF(A178&lt;&gt;"",SUMIFS(Transactions!$F$7:$F$996,Transactions!$D$7:$D$996,"Income",Transactions!$E$7:$E$996,A178),"")</f>
        <v/>
      </c>
      <c r="D178" s="59" t="str">
        <f>IF(A178&lt;&gt;"",SUMIFS(Transactions!$F$7:$F$996,Transactions!$D$7:$D$996,"Expense",Transactions!$E$7:$E$996,A178),"")</f>
        <v/>
      </c>
      <c r="E178" s="60" t="str">
        <f t="shared" si="1"/>
        <v/>
      </c>
      <c r="F178" s="60" t="str">
        <f t="shared" si="2"/>
        <v/>
      </c>
      <c r="G178" s="57"/>
      <c r="H178" s="52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23" t="str">
        <f>IF(Roster!$A$177&lt;&gt;"",Roster!$A$177,"")</f>
        <v/>
      </c>
      <c r="B179" s="23" t="str">
        <f t="array" ref="B179">IF(A179&lt;&gt;"",IFERROR(SUMPRODUCT((INDEX(Attendance!$B$7:$AZ$206,MATCH(A179,Attendance!$A$7:$A$206,0),0)=1)*Attendance!$B$4:$AZ$4),0),"")</f>
        <v/>
      </c>
      <c r="C179" s="56" t="str">
        <f>IF(A179&lt;&gt;"",SUMIFS(Transactions!$F$7:$F$996,Transactions!$D$7:$D$996,"Income",Transactions!$E$7:$E$996,A179),"")</f>
        <v/>
      </c>
      <c r="D179" s="56" t="str">
        <f>IF(A179&lt;&gt;"",SUMIFS(Transactions!$F$7:$F$996,Transactions!$D$7:$D$996,"Expense",Transactions!$E$7:$E$996,A179),"")</f>
        <v/>
      </c>
      <c r="E179" s="54" t="str">
        <f t="shared" si="1"/>
        <v/>
      </c>
      <c r="F179" s="54" t="str">
        <f t="shared" si="2"/>
        <v/>
      </c>
      <c r="G179" s="57"/>
      <c r="H179" s="52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58" t="str">
        <f>IF(Roster!$A$178&lt;&gt;"",Roster!$A$178,"")</f>
        <v/>
      </c>
      <c r="B180" s="58" t="str">
        <f t="array" ref="B180">IF(A180&lt;&gt;"",IFERROR(SUMPRODUCT((INDEX(Attendance!$B$7:$AZ$206,MATCH(A180,Attendance!$A$7:$A$206,0),0)=1)*Attendance!$B$4:$AZ$4),0),"")</f>
        <v/>
      </c>
      <c r="C180" s="59" t="str">
        <f>IF(A180&lt;&gt;"",SUMIFS(Transactions!$F$7:$F$996,Transactions!$D$7:$D$996,"Income",Transactions!$E$7:$E$996,A180),"")</f>
        <v/>
      </c>
      <c r="D180" s="59" t="str">
        <f>IF(A180&lt;&gt;"",SUMIFS(Transactions!$F$7:$F$996,Transactions!$D$7:$D$996,"Expense",Transactions!$E$7:$E$996,A180),"")</f>
        <v/>
      </c>
      <c r="E180" s="60" t="str">
        <f t="shared" si="1"/>
        <v/>
      </c>
      <c r="F180" s="60" t="str">
        <f t="shared" si="2"/>
        <v/>
      </c>
      <c r="G180" s="57"/>
      <c r="H180" s="52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23" t="str">
        <f>IF(Roster!$A$179&lt;&gt;"",Roster!$A$179,"")</f>
        <v/>
      </c>
      <c r="B181" s="23" t="str">
        <f t="array" ref="B181">IF(A181&lt;&gt;"",IFERROR(SUMPRODUCT((INDEX(Attendance!$B$7:$AZ$206,MATCH(A181,Attendance!$A$7:$A$206,0),0)=1)*Attendance!$B$4:$AZ$4),0),"")</f>
        <v/>
      </c>
      <c r="C181" s="56" t="str">
        <f>IF(A181&lt;&gt;"",SUMIFS(Transactions!$F$7:$F$996,Transactions!$D$7:$D$996,"Income",Transactions!$E$7:$E$996,A181),"")</f>
        <v/>
      </c>
      <c r="D181" s="56" t="str">
        <f>IF(A181&lt;&gt;"",SUMIFS(Transactions!$F$7:$F$996,Transactions!$D$7:$D$996,"Expense",Transactions!$E$7:$E$996,A181),"")</f>
        <v/>
      </c>
      <c r="E181" s="54" t="str">
        <f t="shared" si="1"/>
        <v/>
      </c>
      <c r="F181" s="54" t="str">
        <f t="shared" si="2"/>
        <v/>
      </c>
      <c r="G181" s="57"/>
      <c r="H181" s="52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58" t="str">
        <f>IF(Roster!$A$180&lt;&gt;"",Roster!$A$180,"")</f>
        <v/>
      </c>
      <c r="B182" s="58" t="str">
        <f t="array" ref="B182">IF(A182&lt;&gt;"",IFERROR(SUMPRODUCT((INDEX(Attendance!$B$7:$AZ$206,MATCH(A182,Attendance!$A$7:$A$206,0),0)=1)*Attendance!$B$4:$AZ$4),0),"")</f>
        <v/>
      </c>
      <c r="C182" s="59" t="str">
        <f>IF(A182&lt;&gt;"",SUMIFS(Transactions!$F$7:$F$996,Transactions!$D$7:$D$996,"Income",Transactions!$E$7:$E$996,A182),"")</f>
        <v/>
      </c>
      <c r="D182" s="59" t="str">
        <f>IF(A182&lt;&gt;"",SUMIFS(Transactions!$F$7:$F$996,Transactions!$D$7:$D$996,"Expense",Transactions!$E$7:$E$996,A182),"")</f>
        <v/>
      </c>
      <c r="E182" s="60" t="str">
        <f t="shared" si="1"/>
        <v/>
      </c>
      <c r="F182" s="60" t="str">
        <f t="shared" si="2"/>
        <v/>
      </c>
      <c r="G182" s="57"/>
      <c r="H182" s="52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23" t="str">
        <f>IF(Roster!$A$181&lt;&gt;"",Roster!$A$181,"")</f>
        <v/>
      </c>
      <c r="B183" s="23" t="str">
        <f t="array" ref="B183">IF(A183&lt;&gt;"",IFERROR(SUMPRODUCT((INDEX(Attendance!$B$7:$AZ$206,MATCH(A183,Attendance!$A$7:$A$206,0),0)=1)*Attendance!$B$4:$AZ$4),0),"")</f>
        <v/>
      </c>
      <c r="C183" s="56" t="str">
        <f>IF(A183&lt;&gt;"",SUMIFS(Transactions!$F$7:$F$996,Transactions!$D$7:$D$996,"Income",Transactions!$E$7:$E$996,A183),"")</f>
        <v/>
      </c>
      <c r="D183" s="56" t="str">
        <f>IF(A183&lt;&gt;"",SUMIFS(Transactions!$F$7:$F$996,Transactions!$D$7:$D$996,"Expense",Transactions!$E$7:$E$996,A183),"")</f>
        <v/>
      </c>
      <c r="E183" s="54" t="str">
        <f t="shared" si="1"/>
        <v/>
      </c>
      <c r="F183" s="54" t="str">
        <f t="shared" si="2"/>
        <v/>
      </c>
      <c r="G183" s="57"/>
      <c r="H183" s="52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58" t="str">
        <f>IF(Roster!$A$182&lt;&gt;"",Roster!$A$182,"")</f>
        <v/>
      </c>
      <c r="B184" s="58" t="str">
        <f t="array" ref="B184">IF(A184&lt;&gt;"",IFERROR(SUMPRODUCT((INDEX(Attendance!$B$7:$AZ$206,MATCH(A184,Attendance!$A$7:$A$206,0),0)=1)*Attendance!$B$4:$AZ$4),0),"")</f>
        <v/>
      </c>
      <c r="C184" s="59" t="str">
        <f>IF(A184&lt;&gt;"",SUMIFS(Transactions!$F$7:$F$996,Transactions!$D$7:$D$996,"Income",Transactions!$E$7:$E$996,A184),"")</f>
        <v/>
      </c>
      <c r="D184" s="59" t="str">
        <f>IF(A184&lt;&gt;"",SUMIFS(Transactions!$F$7:$F$996,Transactions!$D$7:$D$996,"Expense",Transactions!$E$7:$E$996,A184),"")</f>
        <v/>
      </c>
      <c r="E184" s="60" t="str">
        <f t="shared" si="1"/>
        <v/>
      </c>
      <c r="F184" s="60" t="str">
        <f t="shared" si="2"/>
        <v/>
      </c>
      <c r="G184" s="57"/>
      <c r="H184" s="52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23" t="str">
        <f>IF(Roster!$A$183&lt;&gt;"",Roster!$A$183,"")</f>
        <v/>
      </c>
      <c r="B185" s="23" t="str">
        <f t="array" ref="B185">IF(A185&lt;&gt;"",IFERROR(SUMPRODUCT((INDEX(Attendance!$B$7:$AZ$206,MATCH(A185,Attendance!$A$7:$A$206,0),0)=1)*Attendance!$B$4:$AZ$4),0),"")</f>
        <v/>
      </c>
      <c r="C185" s="56" t="str">
        <f>IF(A185&lt;&gt;"",SUMIFS(Transactions!$F$7:$F$996,Transactions!$D$7:$D$996,"Income",Transactions!$E$7:$E$996,A185),"")</f>
        <v/>
      </c>
      <c r="D185" s="56" t="str">
        <f>IF(A185&lt;&gt;"",SUMIFS(Transactions!$F$7:$F$996,Transactions!$D$7:$D$996,"Expense",Transactions!$E$7:$E$996,A185),"")</f>
        <v/>
      </c>
      <c r="E185" s="54" t="str">
        <f t="shared" si="1"/>
        <v/>
      </c>
      <c r="F185" s="54" t="str">
        <f t="shared" si="2"/>
        <v/>
      </c>
      <c r="G185" s="57"/>
      <c r="H185" s="52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58" t="str">
        <f>IF(Roster!$A$184&lt;&gt;"",Roster!$A$184,"")</f>
        <v/>
      </c>
      <c r="B186" s="58" t="str">
        <f t="array" ref="B186">IF(A186&lt;&gt;"",IFERROR(SUMPRODUCT((INDEX(Attendance!$B$7:$AZ$206,MATCH(A186,Attendance!$A$7:$A$206,0),0)=1)*Attendance!$B$4:$AZ$4),0),"")</f>
        <v/>
      </c>
      <c r="C186" s="59" t="str">
        <f>IF(A186&lt;&gt;"",SUMIFS(Transactions!$F$7:$F$996,Transactions!$D$7:$D$996,"Income",Transactions!$E$7:$E$996,A186),"")</f>
        <v/>
      </c>
      <c r="D186" s="59" t="str">
        <f>IF(A186&lt;&gt;"",SUMIFS(Transactions!$F$7:$F$996,Transactions!$D$7:$D$996,"Expense",Transactions!$E$7:$E$996,A186),"")</f>
        <v/>
      </c>
      <c r="E186" s="60" t="str">
        <f t="shared" si="1"/>
        <v/>
      </c>
      <c r="F186" s="60" t="str">
        <f t="shared" si="2"/>
        <v/>
      </c>
      <c r="G186" s="57"/>
      <c r="H186" s="52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23" t="str">
        <f>IF(Roster!$A$185&lt;&gt;"",Roster!$A$185,"")</f>
        <v/>
      </c>
      <c r="B187" s="23" t="str">
        <f t="array" ref="B187">IF(A187&lt;&gt;"",IFERROR(SUMPRODUCT((INDEX(Attendance!$B$7:$AZ$206,MATCH(A187,Attendance!$A$7:$A$206,0),0)=1)*Attendance!$B$4:$AZ$4),0),"")</f>
        <v/>
      </c>
      <c r="C187" s="56" t="str">
        <f>IF(A187&lt;&gt;"",SUMIFS(Transactions!$F$7:$F$996,Transactions!$D$7:$D$996,"Income",Transactions!$E$7:$E$996,A187),"")</f>
        <v/>
      </c>
      <c r="D187" s="56" t="str">
        <f>IF(A187&lt;&gt;"",SUMIFS(Transactions!$F$7:$F$996,Transactions!$D$7:$D$996,"Expense",Transactions!$E$7:$E$996,A187),"")</f>
        <v/>
      </c>
      <c r="E187" s="54" t="str">
        <f t="shared" si="1"/>
        <v/>
      </c>
      <c r="F187" s="54" t="str">
        <f t="shared" si="2"/>
        <v/>
      </c>
      <c r="G187" s="57"/>
      <c r="H187" s="52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58" t="str">
        <f>IF(Roster!$A$186&lt;&gt;"",Roster!$A$186,"")</f>
        <v/>
      </c>
      <c r="B188" s="58" t="str">
        <f t="array" ref="B188">IF(A188&lt;&gt;"",IFERROR(SUMPRODUCT((INDEX(Attendance!$B$7:$AZ$206,MATCH(A188,Attendance!$A$7:$A$206,0),0)=1)*Attendance!$B$4:$AZ$4),0),"")</f>
        <v/>
      </c>
      <c r="C188" s="59" t="str">
        <f>IF(A188&lt;&gt;"",SUMIFS(Transactions!$F$7:$F$996,Transactions!$D$7:$D$996,"Income",Transactions!$E$7:$E$996,A188),"")</f>
        <v/>
      </c>
      <c r="D188" s="59" t="str">
        <f>IF(A188&lt;&gt;"",SUMIFS(Transactions!$F$7:$F$996,Transactions!$D$7:$D$996,"Expense",Transactions!$E$7:$E$996,A188),"")</f>
        <v/>
      </c>
      <c r="E188" s="60" t="str">
        <f t="shared" si="1"/>
        <v/>
      </c>
      <c r="F188" s="60" t="str">
        <f t="shared" si="2"/>
        <v/>
      </c>
      <c r="G188" s="57"/>
      <c r="H188" s="52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23" t="str">
        <f>IF(Roster!$A$187&lt;&gt;"",Roster!$A$187,"")</f>
        <v/>
      </c>
      <c r="B189" s="23" t="str">
        <f t="array" ref="B189">IF(A189&lt;&gt;"",IFERROR(SUMPRODUCT((INDEX(Attendance!$B$7:$AZ$206,MATCH(A189,Attendance!$A$7:$A$206,0),0)=1)*Attendance!$B$4:$AZ$4),0),"")</f>
        <v/>
      </c>
      <c r="C189" s="56" t="str">
        <f>IF(A189&lt;&gt;"",SUMIFS(Transactions!$F$7:$F$996,Transactions!$D$7:$D$996,"Income",Transactions!$E$7:$E$996,A189),"")</f>
        <v/>
      </c>
      <c r="D189" s="56" t="str">
        <f>IF(A189&lt;&gt;"",SUMIFS(Transactions!$F$7:$F$996,Transactions!$D$7:$D$996,"Expense",Transactions!$E$7:$E$996,A189),"")</f>
        <v/>
      </c>
      <c r="E189" s="54" t="str">
        <f t="shared" si="1"/>
        <v/>
      </c>
      <c r="F189" s="54" t="str">
        <f t="shared" si="2"/>
        <v/>
      </c>
      <c r="G189" s="57"/>
      <c r="H189" s="52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58" t="str">
        <f>IF(Roster!$A$188&lt;&gt;"",Roster!$A$188,"")</f>
        <v/>
      </c>
      <c r="B190" s="58" t="str">
        <f t="array" ref="B190">IF(A190&lt;&gt;"",IFERROR(SUMPRODUCT((INDEX(Attendance!$B$7:$AZ$206,MATCH(A190,Attendance!$A$7:$A$206,0),0)=1)*Attendance!$B$4:$AZ$4),0),"")</f>
        <v/>
      </c>
      <c r="C190" s="59" t="str">
        <f>IF(A190&lt;&gt;"",SUMIFS(Transactions!$F$7:$F$996,Transactions!$D$7:$D$996,"Income",Transactions!$E$7:$E$996,A190),"")</f>
        <v/>
      </c>
      <c r="D190" s="59" t="str">
        <f>IF(A190&lt;&gt;"",SUMIFS(Transactions!$F$7:$F$996,Transactions!$D$7:$D$996,"Expense",Transactions!$E$7:$E$996,A190),"")</f>
        <v/>
      </c>
      <c r="E190" s="60" t="str">
        <f t="shared" si="1"/>
        <v/>
      </c>
      <c r="F190" s="60" t="str">
        <f t="shared" si="2"/>
        <v/>
      </c>
      <c r="G190" s="57"/>
      <c r="H190" s="52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23" t="str">
        <f>IF(Roster!$A$189&lt;&gt;"",Roster!$A$189,"")</f>
        <v/>
      </c>
      <c r="B191" s="23" t="str">
        <f t="array" ref="B191">IF(A191&lt;&gt;"",IFERROR(SUMPRODUCT((INDEX(Attendance!$B$7:$AZ$206,MATCH(A191,Attendance!$A$7:$A$206,0),0)=1)*Attendance!$B$4:$AZ$4),0),"")</f>
        <v/>
      </c>
      <c r="C191" s="56" t="str">
        <f>IF(A191&lt;&gt;"",SUMIFS(Transactions!$F$7:$F$996,Transactions!$D$7:$D$996,"Income",Transactions!$E$7:$E$996,A191),"")</f>
        <v/>
      </c>
      <c r="D191" s="56" t="str">
        <f>IF(A191&lt;&gt;"",SUMIFS(Transactions!$F$7:$F$996,Transactions!$D$7:$D$996,"Expense",Transactions!$E$7:$E$996,A191),"")</f>
        <v/>
      </c>
      <c r="E191" s="54" t="str">
        <f t="shared" si="1"/>
        <v/>
      </c>
      <c r="F191" s="54" t="str">
        <f t="shared" si="2"/>
        <v/>
      </c>
      <c r="G191" s="57"/>
      <c r="H191" s="52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58" t="str">
        <f>IF(Roster!$A$190&lt;&gt;"",Roster!$A$190,"")</f>
        <v/>
      </c>
      <c r="B192" s="58" t="str">
        <f t="array" ref="B192">IF(A192&lt;&gt;"",IFERROR(SUMPRODUCT((INDEX(Attendance!$B$7:$AZ$206,MATCH(A192,Attendance!$A$7:$A$206,0),0)=1)*Attendance!$B$4:$AZ$4),0),"")</f>
        <v/>
      </c>
      <c r="C192" s="59" t="str">
        <f>IF(A192&lt;&gt;"",SUMIFS(Transactions!$F$7:$F$996,Transactions!$D$7:$D$996,"Income",Transactions!$E$7:$E$996,A192),"")</f>
        <v/>
      </c>
      <c r="D192" s="59" t="str">
        <f>IF(A192&lt;&gt;"",SUMIFS(Transactions!$F$7:$F$996,Transactions!$D$7:$D$996,"Expense",Transactions!$E$7:$E$996,A192),"")</f>
        <v/>
      </c>
      <c r="E192" s="60" t="str">
        <f t="shared" si="1"/>
        <v/>
      </c>
      <c r="F192" s="60" t="str">
        <f t="shared" si="2"/>
        <v/>
      </c>
      <c r="G192" s="57"/>
      <c r="H192" s="52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23" t="str">
        <f>IF(Roster!$A$191&lt;&gt;"",Roster!$A$191,"")</f>
        <v/>
      </c>
      <c r="B193" s="23" t="str">
        <f t="array" ref="B193">IF(A193&lt;&gt;"",IFERROR(SUMPRODUCT((INDEX(Attendance!$B$7:$AZ$206,MATCH(A193,Attendance!$A$7:$A$206,0),0)=1)*Attendance!$B$4:$AZ$4),0),"")</f>
        <v/>
      </c>
      <c r="C193" s="56" t="str">
        <f>IF(A193&lt;&gt;"",SUMIFS(Transactions!$F$7:$F$996,Transactions!$D$7:$D$996,"Income",Transactions!$E$7:$E$996,A193),"")</f>
        <v/>
      </c>
      <c r="D193" s="56" t="str">
        <f>IF(A193&lt;&gt;"",SUMIFS(Transactions!$F$7:$F$996,Transactions!$D$7:$D$996,"Expense",Transactions!$E$7:$E$996,A193),"")</f>
        <v/>
      </c>
      <c r="E193" s="54" t="str">
        <f t="shared" si="1"/>
        <v/>
      </c>
      <c r="F193" s="54" t="str">
        <f t="shared" si="2"/>
        <v/>
      </c>
      <c r="G193" s="57"/>
      <c r="H193" s="52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58" t="str">
        <f>IF(Roster!$A$192&lt;&gt;"",Roster!$A$192,"")</f>
        <v/>
      </c>
      <c r="B194" s="58" t="str">
        <f t="array" ref="B194">IF(A194&lt;&gt;"",IFERROR(SUMPRODUCT((INDEX(Attendance!$B$7:$AZ$206,MATCH(A194,Attendance!$A$7:$A$206,0),0)=1)*Attendance!$B$4:$AZ$4),0),"")</f>
        <v/>
      </c>
      <c r="C194" s="59" t="str">
        <f>IF(A194&lt;&gt;"",SUMIFS(Transactions!$F$7:$F$996,Transactions!$D$7:$D$996,"Income",Transactions!$E$7:$E$996,A194),"")</f>
        <v/>
      </c>
      <c r="D194" s="59" t="str">
        <f>IF(A194&lt;&gt;"",SUMIFS(Transactions!$F$7:$F$996,Transactions!$D$7:$D$996,"Expense",Transactions!$E$7:$E$996,A194),"")</f>
        <v/>
      </c>
      <c r="E194" s="60" t="str">
        <f t="shared" si="1"/>
        <v/>
      </c>
      <c r="F194" s="60" t="str">
        <f t="shared" si="2"/>
        <v/>
      </c>
      <c r="G194" s="57"/>
      <c r="H194" s="52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23" t="str">
        <f>IF(Roster!$A$193&lt;&gt;"",Roster!$A$193,"")</f>
        <v/>
      </c>
      <c r="B195" s="23" t="str">
        <f t="array" ref="B195">IF(A195&lt;&gt;"",IFERROR(SUMPRODUCT((INDEX(Attendance!$B$7:$AZ$206,MATCH(A195,Attendance!$A$7:$A$206,0),0)=1)*Attendance!$B$4:$AZ$4),0),"")</f>
        <v/>
      </c>
      <c r="C195" s="56" t="str">
        <f>IF(A195&lt;&gt;"",SUMIFS(Transactions!$F$7:$F$996,Transactions!$D$7:$D$996,"Income",Transactions!$E$7:$E$996,A195),"")</f>
        <v/>
      </c>
      <c r="D195" s="56" t="str">
        <f>IF(A195&lt;&gt;"",SUMIFS(Transactions!$F$7:$F$996,Transactions!$D$7:$D$996,"Expense",Transactions!$E$7:$E$996,A195),"")</f>
        <v/>
      </c>
      <c r="E195" s="54" t="str">
        <f t="shared" si="1"/>
        <v/>
      </c>
      <c r="F195" s="54" t="str">
        <f t="shared" si="2"/>
        <v/>
      </c>
      <c r="G195" s="57"/>
      <c r="H195" s="52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58" t="str">
        <f>IF(Roster!$A$194&lt;&gt;"",Roster!$A$194,"")</f>
        <v/>
      </c>
      <c r="B196" s="58" t="str">
        <f t="array" ref="B196">IF(A196&lt;&gt;"",IFERROR(SUMPRODUCT((INDEX(Attendance!$B$7:$AZ$206,MATCH(A196,Attendance!$A$7:$A$206,0),0)=1)*Attendance!$B$4:$AZ$4),0),"")</f>
        <v/>
      </c>
      <c r="C196" s="59" t="str">
        <f>IF(A196&lt;&gt;"",SUMIFS(Transactions!$F$7:$F$996,Transactions!$D$7:$D$996,"Income",Transactions!$E$7:$E$996,A196),"")</f>
        <v/>
      </c>
      <c r="D196" s="59" t="str">
        <f>IF(A196&lt;&gt;"",SUMIFS(Transactions!$F$7:$F$996,Transactions!$D$7:$D$996,"Expense",Transactions!$E$7:$E$996,A196),"")</f>
        <v/>
      </c>
      <c r="E196" s="60" t="str">
        <f t="shared" si="1"/>
        <v/>
      </c>
      <c r="F196" s="60" t="str">
        <f t="shared" si="2"/>
        <v/>
      </c>
      <c r="G196" s="57"/>
      <c r="H196" s="52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23" t="str">
        <f>IF(Roster!$A$195&lt;&gt;"",Roster!$A$195,"")</f>
        <v/>
      </c>
      <c r="B197" s="23" t="str">
        <f t="array" ref="B197">IF(A197&lt;&gt;"",IFERROR(SUMPRODUCT((INDEX(Attendance!$B$7:$AZ$206,MATCH(A197,Attendance!$A$7:$A$206,0),0)=1)*Attendance!$B$4:$AZ$4),0),"")</f>
        <v/>
      </c>
      <c r="C197" s="56" t="str">
        <f>IF(A197&lt;&gt;"",SUMIFS(Transactions!$F$7:$F$996,Transactions!$D$7:$D$996,"Income",Transactions!$E$7:$E$996,A197),"")</f>
        <v/>
      </c>
      <c r="D197" s="56" t="str">
        <f>IF(A197&lt;&gt;"",SUMIFS(Transactions!$F$7:$F$996,Transactions!$D$7:$D$996,"Expense",Transactions!$E$7:$E$996,A197),"")</f>
        <v/>
      </c>
      <c r="E197" s="54" t="str">
        <f t="shared" si="1"/>
        <v/>
      </c>
      <c r="F197" s="54" t="str">
        <f t="shared" si="2"/>
        <v/>
      </c>
      <c r="G197" s="57"/>
      <c r="H197" s="52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58" t="str">
        <f>IF(Roster!$A$196&lt;&gt;"",Roster!$A$196,"")</f>
        <v/>
      </c>
      <c r="B198" s="58" t="str">
        <f t="array" ref="B198">IF(A198&lt;&gt;"",IFERROR(SUMPRODUCT((INDEX(Attendance!$B$7:$AZ$206,MATCH(A198,Attendance!$A$7:$A$206,0),0)=1)*Attendance!$B$4:$AZ$4),0),"")</f>
        <v/>
      </c>
      <c r="C198" s="59" t="str">
        <f>IF(A198&lt;&gt;"",SUMIFS(Transactions!$F$7:$F$996,Transactions!$D$7:$D$996,"Income",Transactions!$E$7:$E$996,A198),"")</f>
        <v/>
      </c>
      <c r="D198" s="59" t="str">
        <f>IF(A198&lt;&gt;"",SUMIFS(Transactions!$F$7:$F$996,Transactions!$D$7:$D$996,"Expense",Transactions!$E$7:$E$996,A198),"")</f>
        <v/>
      </c>
      <c r="E198" s="60" t="str">
        <f t="shared" si="1"/>
        <v/>
      </c>
      <c r="F198" s="60" t="str">
        <f t="shared" si="2"/>
        <v/>
      </c>
      <c r="G198" s="57"/>
      <c r="H198" s="52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23" t="str">
        <f>IF(Roster!$A$197&lt;&gt;"",Roster!$A$197,"")</f>
        <v/>
      </c>
      <c r="B199" s="23" t="str">
        <f t="array" ref="B199">IF(A199&lt;&gt;"",IFERROR(SUMPRODUCT((INDEX(Attendance!$B$7:$AZ$206,MATCH(A199,Attendance!$A$7:$A$206,0),0)=1)*Attendance!$B$4:$AZ$4),0),"")</f>
        <v/>
      </c>
      <c r="C199" s="56" t="str">
        <f>IF(A199&lt;&gt;"",SUMIFS(Transactions!$F$7:$F$996,Transactions!$D$7:$D$996,"Income",Transactions!$E$7:$E$996,A199),"")</f>
        <v/>
      </c>
      <c r="D199" s="56" t="str">
        <f>IF(A199&lt;&gt;"",SUMIFS(Transactions!$F$7:$F$996,Transactions!$D$7:$D$996,"Expense",Transactions!$E$7:$E$996,A199),"")</f>
        <v/>
      </c>
      <c r="E199" s="54" t="str">
        <f t="shared" si="1"/>
        <v/>
      </c>
      <c r="F199" s="54" t="str">
        <f t="shared" si="2"/>
        <v/>
      </c>
      <c r="G199" s="57"/>
      <c r="H199" s="52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58" t="str">
        <f>IF(Roster!$A$198&lt;&gt;"",Roster!$A$198,"")</f>
        <v/>
      </c>
      <c r="B200" s="58" t="str">
        <f t="array" ref="B200">IF(A200&lt;&gt;"",IFERROR(SUMPRODUCT((INDEX(Attendance!$B$7:$AZ$206,MATCH(A200,Attendance!$A$7:$A$206,0),0)=1)*Attendance!$B$4:$AZ$4),0),"")</f>
        <v/>
      </c>
      <c r="C200" s="59" t="str">
        <f>IF(A200&lt;&gt;"",SUMIFS(Transactions!$F$7:$F$996,Transactions!$D$7:$D$996,"Income",Transactions!$E$7:$E$996,A200),"")</f>
        <v/>
      </c>
      <c r="D200" s="59" t="str">
        <f>IF(A200&lt;&gt;"",SUMIFS(Transactions!$F$7:$F$996,Transactions!$D$7:$D$996,"Expense",Transactions!$E$7:$E$996,A200),"")</f>
        <v/>
      </c>
      <c r="E200" s="60" t="str">
        <f t="shared" si="1"/>
        <v/>
      </c>
      <c r="F200" s="60" t="str">
        <f t="shared" si="2"/>
        <v/>
      </c>
      <c r="G200" s="57"/>
      <c r="H200" s="52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23" t="str">
        <f>IF(Roster!$A$199&lt;&gt;"",Roster!$A$199,"")</f>
        <v/>
      </c>
      <c r="B201" s="23" t="str">
        <f t="array" ref="B201">IF(A201&lt;&gt;"",IFERROR(SUMPRODUCT((INDEX(Attendance!$B$7:$AZ$206,MATCH(A201,Attendance!$A$7:$A$206,0),0)=1)*Attendance!$B$4:$AZ$4),0),"")</f>
        <v/>
      </c>
      <c r="C201" s="56" t="str">
        <f>IF(A201&lt;&gt;"",SUMIFS(Transactions!$F$7:$F$996,Transactions!$D$7:$D$996,"Income",Transactions!$E$7:$E$996,A201),"")</f>
        <v/>
      </c>
      <c r="D201" s="56" t="str">
        <f>IF(A201&lt;&gt;"",SUMIFS(Transactions!$F$7:$F$996,Transactions!$D$7:$D$996,"Expense",Transactions!$E$7:$E$996,A201),"")</f>
        <v/>
      </c>
      <c r="E201" s="54" t="str">
        <f t="shared" si="1"/>
        <v/>
      </c>
      <c r="F201" s="54" t="str">
        <f t="shared" si="2"/>
        <v/>
      </c>
      <c r="G201" s="57"/>
      <c r="H201" s="52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58" t="str">
        <f>IF(Roster!$A$200&lt;&gt;"",Roster!$A$200,"")</f>
        <v/>
      </c>
      <c r="B202" s="58" t="str">
        <f t="array" ref="B202">IF(A202&lt;&gt;"",IFERROR(SUMPRODUCT((INDEX(Attendance!$B$7:$AZ$206,MATCH(A202,Attendance!$A$7:$A$206,0),0)=1)*Attendance!$B$4:$AZ$4),0),"")</f>
        <v/>
      </c>
      <c r="C202" s="59" t="str">
        <f>IF(A202&lt;&gt;"",SUMIFS(Transactions!$F$7:$F$996,Transactions!$D$7:$D$996,"Income",Transactions!$E$7:$E$996,A202),"")</f>
        <v/>
      </c>
      <c r="D202" s="59" t="str">
        <f>IF(A202&lt;&gt;"",SUMIFS(Transactions!$F$7:$F$996,Transactions!$D$7:$D$996,"Expense",Transactions!$E$7:$E$996,A202),"")</f>
        <v/>
      </c>
      <c r="E202" s="60" t="str">
        <f t="shared" si="1"/>
        <v/>
      </c>
      <c r="F202" s="60" t="str">
        <f t="shared" si="2"/>
        <v/>
      </c>
      <c r="G202" s="57"/>
      <c r="H202" s="52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23" t="str">
        <f>IF(Roster!$A$201&lt;&gt;"",Roster!$A$201,"")</f>
        <v/>
      </c>
      <c r="B203" s="23" t="str">
        <f t="array" ref="B203">IF(A203&lt;&gt;"",IFERROR(SUMPRODUCT((INDEX(Attendance!$B$7:$AZ$206,MATCH(A203,Attendance!$A$7:$A$206,0),0)=1)*Attendance!$B$4:$AZ$4),0),"")</f>
        <v/>
      </c>
      <c r="C203" s="56" t="str">
        <f>IF(A203&lt;&gt;"",SUMIFS(Transactions!$F$7:$F$996,Transactions!$D$7:$D$996,"Income",Transactions!$E$7:$E$996,A203),"")</f>
        <v/>
      </c>
      <c r="D203" s="56" t="str">
        <f>IF(A203&lt;&gt;"",SUMIFS(Transactions!$F$7:$F$996,Transactions!$D$7:$D$996,"Expense",Transactions!$E$7:$E$996,A203),"")</f>
        <v/>
      </c>
      <c r="E203" s="54" t="str">
        <f t="shared" si="1"/>
        <v/>
      </c>
      <c r="F203" s="54" t="str">
        <f t="shared" si="2"/>
        <v/>
      </c>
      <c r="G203" s="57"/>
      <c r="H203" s="52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58" t="str">
        <f>IF(Roster!$A$202&lt;&gt;"",Roster!$A$202,"")</f>
        <v/>
      </c>
      <c r="B204" s="58" t="str">
        <f t="array" ref="B204">IF(A204&lt;&gt;"",IFERROR(SUMPRODUCT((INDEX(Attendance!$B$7:$AZ$206,MATCH(A204,Attendance!$A$7:$A$206,0),0)=1)*Attendance!$B$4:$AZ$4),0),"")</f>
        <v/>
      </c>
      <c r="C204" s="59" t="str">
        <f>IF(A204&lt;&gt;"",SUMIFS(Transactions!$F$7:$F$996,Transactions!$D$7:$D$996,"Income",Transactions!$E$7:$E$996,A204),"")</f>
        <v/>
      </c>
      <c r="D204" s="59" t="str">
        <f>IF(A204&lt;&gt;"",SUMIFS(Transactions!$F$7:$F$996,Transactions!$D$7:$D$996,"Expense",Transactions!$E$7:$E$996,A204),"")</f>
        <v/>
      </c>
      <c r="E204" s="60" t="str">
        <f t="shared" si="1"/>
        <v/>
      </c>
      <c r="F204" s="60" t="str">
        <f t="shared" si="2"/>
        <v/>
      </c>
      <c r="G204" s="57"/>
      <c r="H204" s="52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23" t="str">
        <f>IF(Roster!$A$203&lt;&gt;"",Roster!$A$203,"")</f>
        <v/>
      </c>
      <c r="B205" s="23" t="str">
        <f t="array" ref="B205">IF(A205&lt;&gt;"",IFERROR(SUMPRODUCT((INDEX(Attendance!$B$7:$AZ$206,MATCH(A205,Attendance!$A$7:$A$206,0),0)=1)*Attendance!$B$4:$AZ$4),0),"")</f>
        <v/>
      </c>
      <c r="C205" s="56" t="str">
        <f>IF(A205&lt;&gt;"",SUMIFS(Transactions!$F$7:$F$996,Transactions!$D$7:$D$996,"Income",Transactions!$E$7:$E$996,A205),"")</f>
        <v/>
      </c>
      <c r="D205" s="56" t="str">
        <f>IF(A205&lt;&gt;"",SUMIFS(Transactions!$F$7:$F$996,Transactions!$D$7:$D$996,"Expense",Transactions!$E$7:$E$996,A205),"")</f>
        <v/>
      </c>
      <c r="E205" s="54" t="str">
        <f t="shared" si="1"/>
        <v/>
      </c>
      <c r="F205" s="54" t="str">
        <f t="shared" si="2"/>
        <v/>
      </c>
      <c r="G205" s="57"/>
      <c r="H205" s="52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58" t="str">
        <f>IF(Roster!$A$204&lt;&gt;"",Roster!$A$204,"")</f>
        <v/>
      </c>
      <c r="B206" s="58" t="str">
        <f t="array" ref="B206">IF(A206&lt;&gt;"",IFERROR(SUMPRODUCT((INDEX(Attendance!$B$7:$AZ$206,MATCH(A206,Attendance!$A$7:$A$206,0),0)=1)*Attendance!$B$4:$AZ$4),0),"")</f>
        <v/>
      </c>
      <c r="C206" s="59" t="str">
        <f>IF(A206&lt;&gt;"",SUMIFS(Transactions!$F$7:$F$996,Transactions!$D$7:$D$996,"Income",Transactions!$E$7:$E$996,A206),"")</f>
        <v/>
      </c>
      <c r="D206" s="59" t="str">
        <f>IF(A206&lt;&gt;"",SUMIFS(Transactions!$F$7:$F$996,Transactions!$D$7:$D$996,"Expense",Transactions!$E$7:$E$996,A206),"")</f>
        <v/>
      </c>
      <c r="E206" s="60" t="str">
        <f t="shared" si="1"/>
        <v/>
      </c>
      <c r="F206" s="60" t="str">
        <f t="shared" si="2"/>
        <v/>
      </c>
      <c r="G206" s="57"/>
      <c r="H206" s="52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mergeCells count="1">
    <mergeCell ref="A1:H1"/>
  </mergeCells>
  <dataValidations>
    <dataValidation type="list" allowBlank="1" sqref="H7:H206">
      <formula1>"Settled,Unsettled,Partial"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22.0"/>
    <col customWidth="1" min="3" max="3" width="30.0"/>
    <col customWidth="1" min="4" max="4" width="16.0"/>
    <col customWidth="1" min="5" max="5" width="14.0"/>
    <col customWidth="1" min="6" max="6" width="30.0"/>
    <col customWidth="1" min="7" max="7" width="14.0"/>
  </cols>
  <sheetData>
    <row r="1">
      <c r="A1" s="61" t="s">
        <v>80</v>
      </c>
      <c r="B1" s="20"/>
      <c r="C1" s="20"/>
      <c r="D1" s="20"/>
      <c r="E1" s="20"/>
      <c r="F1" s="20"/>
      <c r="G1" s="20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62" t="s">
        <v>81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5" t="s">
        <v>52</v>
      </c>
      <c r="B4" s="5" t="s">
        <v>41</v>
      </c>
      <c r="C4" s="5" t="s">
        <v>53</v>
      </c>
      <c r="D4" s="5" t="s">
        <v>12</v>
      </c>
      <c r="E4" s="5" t="s">
        <v>56</v>
      </c>
      <c r="F4" s="5" t="s">
        <v>82</v>
      </c>
      <c r="G4" s="5" t="s">
        <v>5</v>
      </c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63"/>
      <c r="B5" s="63"/>
      <c r="C5" s="63"/>
      <c r="D5" s="63"/>
      <c r="E5" s="63"/>
      <c r="F5" s="63"/>
      <c r="G5" s="64" t="s">
        <v>51</v>
      </c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63"/>
      <c r="B6" s="63"/>
      <c r="C6" s="63"/>
      <c r="D6" s="63"/>
      <c r="E6" s="63"/>
      <c r="F6" s="63"/>
      <c r="G6" s="64" t="s">
        <v>51</v>
      </c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63"/>
      <c r="B7" s="63"/>
      <c r="C7" s="63"/>
      <c r="D7" s="63"/>
      <c r="E7" s="63"/>
      <c r="F7" s="63"/>
      <c r="G7" s="64" t="s">
        <v>51</v>
      </c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63"/>
      <c r="B8" s="63"/>
      <c r="C8" s="63"/>
      <c r="D8" s="63"/>
      <c r="E8" s="63"/>
      <c r="F8" s="63"/>
      <c r="G8" s="64" t="s">
        <v>51</v>
      </c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63"/>
      <c r="B9" s="63"/>
      <c r="C9" s="63"/>
      <c r="D9" s="63"/>
      <c r="E9" s="63"/>
      <c r="F9" s="63"/>
      <c r="G9" s="64" t="s">
        <v>51</v>
      </c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63"/>
      <c r="B10" s="63"/>
      <c r="C10" s="63"/>
      <c r="D10" s="63"/>
      <c r="E10" s="63"/>
      <c r="F10" s="63"/>
      <c r="G10" s="64" t="s">
        <v>51</v>
      </c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63"/>
      <c r="B11" s="63"/>
      <c r="C11" s="63"/>
      <c r="D11" s="63"/>
      <c r="E11" s="63"/>
      <c r="F11" s="63"/>
      <c r="G11" s="64" t="s">
        <v>51</v>
      </c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63"/>
      <c r="B12" s="63"/>
      <c r="C12" s="63"/>
      <c r="D12" s="63"/>
      <c r="E12" s="63"/>
      <c r="F12" s="63"/>
      <c r="G12" s="64" t="s">
        <v>51</v>
      </c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63"/>
      <c r="B13" s="63"/>
      <c r="C13" s="63"/>
      <c r="D13" s="63"/>
      <c r="E13" s="63"/>
      <c r="F13" s="63"/>
      <c r="G13" s="64" t="s">
        <v>51</v>
      </c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63"/>
      <c r="B14" s="63"/>
      <c r="C14" s="63"/>
      <c r="D14" s="63"/>
      <c r="E14" s="63"/>
      <c r="F14" s="63"/>
      <c r="G14" s="64" t="s">
        <v>51</v>
      </c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63"/>
      <c r="B15" s="63"/>
      <c r="C15" s="63"/>
      <c r="D15" s="63"/>
      <c r="E15" s="63"/>
      <c r="F15" s="63"/>
      <c r="G15" s="64" t="s">
        <v>51</v>
      </c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63"/>
      <c r="B16" s="63"/>
      <c r="C16" s="63"/>
      <c r="D16" s="63"/>
      <c r="E16" s="63"/>
      <c r="F16" s="63"/>
      <c r="G16" s="64" t="s">
        <v>51</v>
      </c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63"/>
      <c r="B17" s="63"/>
      <c r="C17" s="63"/>
      <c r="D17" s="63"/>
      <c r="E17" s="63"/>
      <c r="F17" s="63"/>
      <c r="G17" s="64" t="s">
        <v>51</v>
      </c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63"/>
      <c r="B18" s="63"/>
      <c r="C18" s="63"/>
      <c r="D18" s="63"/>
      <c r="E18" s="63"/>
      <c r="F18" s="63"/>
      <c r="G18" s="64" t="s">
        <v>51</v>
      </c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63"/>
      <c r="B19" s="63"/>
      <c r="C19" s="63"/>
      <c r="D19" s="63"/>
      <c r="E19" s="63"/>
      <c r="F19" s="63"/>
      <c r="G19" s="64" t="s">
        <v>51</v>
      </c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63"/>
      <c r="B20" s="63"/>
      <c r="C20" s="63"/>
      <c r="D20" s="63"/>
      <c r="E20" s="63"/>
      <c r="F20" s="63"/>
      <c r="G20" s="64" t="s">
        <v>51</v>
      </c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5.75" customHeight="1">
      <c r="A21" s="63"/>
      <c r="B21" s="63"/>
      <c r="C21" s="63"/>
      <c r="D21" s="63"/>
      <c r="E21" s="63"/>
      <c r="F21" s="63"/>
      <c r="G21" s="64" t="s">
        <v>51</v>
      </c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5.75" customHeight="1">
      <c r="A22" s="63"/>
      <c r="B22" s="63"/>
      <c r="C22" s="63"/>
      <c r="D22" s="63"/>
      <c r="E22" s="63"/>
      <c r="F22" s="63"/>
      <c r="G22" s="64" t="s">
        <v>51</v>
      </c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5.75" customHeight="1">
      <c r="A23" s="63"/>
      <c r="B23" s="63"/>
      <c r="C23" s="63"/>
      <c r="D23" s="63"/>
      <c r="E23" s="63"/>
      <c r="F23" s="63"/>
      <c r="G23" s="64" t="s">
        <v>51</v>
      </c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5.75" customHeight="1">
      <c r="A24" s="63"/>
      <c r="B24" s="63"/>
      <c r="C24" s="63"/>
      <c r="D24" s="63"/>
      <c r="E24" s="63"/>
      <c r="F24" s="63"/>
      <c r="G24" s="64" t="s">
        <v>51</v>
      </c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5.75" customHeight="1">
      <c r="A25" s="63"/>
      <c r="B25" s="63"/>
      <c r="C25" s="63"/>
      <c r="D25" s="63"/>
      <c r="E25" s="63"/>
      <c r="F25" s="63"/>
      <c r="G25" s="64" t="s">
        <v>51</v>
      </c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63"/>
      <c r="B26" s="63"/>
      <c r="C26" s="63"/>
      <c r="D26" s="63"/>
      <c r="E26" s="63"/>
      <c r="F26" s="63"/>
      <c r="G26" s="64" t="s">
        <v>51</v>
      </c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63"/>
      <c r="B27" s="63"/>
      <c r="C27" s="63"/>
      <c r="D27" s="63"/>
      <c r="E27" s="63"/>
      <c r="F27" s="63"/>
      <c r="G27" s="64" t="s">
        <v>51</v>
      </c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63"/>
      <c r="B28" s="63"/>
      <c r="C28" s="63"/>
      <c r="D28" s="63"/>
      <c r="E28" s="63"/>
      <c r="F28" s="63"/>
      <c r="G28" s="64" t="s">
        <v>51</v>
      </c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63"/>
      <c r="B29" s="63"/>
      <c r="C29" s="63"/>
      <c r="D29" s="63"/>
      <c r="E29" s="63"/>
      <c r="F29" s="63"/>
      <c r="G29" s="64" t="s">
        <v>51</v>
      </c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63"/>
      <c r="B30" s="63"/>
      <c r="C30" s="63"/>
      <c r="D30" s="63"/>
      <c r="E30" s="63"/>
      <c r="F30" s="63"/>
      <c r="G30" s="64" t="s">
        <v>51</v>
      </c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63"/>
      <c r="B31" s="63"/>
      <c r="C31" s="63"/>
      <c r="D31" s="63"/>
      <c r="E31" s="63"/>
      <c r="F31" s="63"/>
      <c r="G31" s="64" t="s">
        <v>51</v>
      </c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63"/>
      <c r="B32" s="63"/>
      <c r="C32" s="63"/>
      <c r="D32" s="63"/>
      <c r="E32" s="63"/>
      <c r="F32" s="63"/>
      <c r="G32" s="64" t="s">
        <v>51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63"/>
      <c r="B33" s="63"/>
      <c r="C33" s="63"/>
      <c r="D33" s="63"/>
      <c r="E33" s="63"/>
      <c r="F33" s="63"/>
      <c r="G33" s="64" t="s">
        <v>51</v>
      </c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63"/>
      <c r="B34" s="63"/>
      <c r="C34" s="63"/>
      <c r="D34" s="63"/>
      <c r="E34" s="63"/>
      <c r="F34" s="63"/>
      <c r="G34" s="64" t="s">
        <v>51</v>
      </c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63"/>
      <c r="B35" s="63"/>
      <c r="C35" s="63"/>
      <c r="D35" s="63"/>
      <c r="E35" s="63"/>
      <c r="F35" s="63"/>
      <c r="G35" s="64" t="s">
        <v>51</v>
      </c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63"/>
      <c r="B36" s="63"/>
      <c r="C36" s="63"/>
      <c r="D36" s="63"/>
      <c r="E36" s="63"/>
      <c r="F36" s="63"/>
      <c r="G36" s="64" t="s">
        <v>51</v>
      </c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63"/>
      <c r="B37" s="63"/>
      <c r="C37" s="63"/>
      <c r="D37" s="63"/>
      <c r="E37" s="63"/>
      <c r="F37" s="63"/>
      <c r="G37" s="64" t="s">
        <v>51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63"/>
      <c r="B38" s="63"/>
      <c r="C38" s="63"/>
      <c r="D38" s="63"/>
      <c r="E38" s="63"/>
      <c r="F38" s="63"/>
      <c r="G38" s="64" t="s">
        <v>51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63"/>
      <c r="B39" s="63"/>
      <c r="C39" s="63"/>
      <c r="D39" s="63"/>
      <c r="E39" s="63"/>
      <c r="F39" s="63"/>
      <c r="G39" s="64" t="s">
        <v>51</v>
      </c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63"/>
      <c r="B40" s="63"/>
      <c r="C40" s="63"/>
      <c r="D40" s="63"/>
      <c r="E40" s="63"/>
      <c r="F40" s="63"/>
      <c r="G40" s="64" t="s">
        <v>51</v>
      </c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63"/>
      <c r="B41" s="63"/>
      <c r="C41" s="63"/>
      <c r="D41" s="63"/>
      <c r="E41" s="63"/>
      <c r="F41" s="63"/>
      <c r="G41" s="64" t="s">
        <v>51</v>
      </c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63"/>
      <c r="B42" s="63"/>
      <c r="C42" s="63"/>
      <c r="D42" s="63"/>
      <c r="E42" s="63"/>
      <c r="F42" s="63"/>
      <c r="G42" s="64" t="s">
        <v>51</v>
      </c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63"/>
      <c r="B43" s="63"/>
      <c r="C43" s="63"/>
      <c r="D43" s="63"/>
      <c r="E43" s="63"/>
      <c r="F43" s="63"/>
      <c r="G43" s="64" t="s">
        <v>51</v>
      </c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63"/>
      <c r="B44" s="63"/>
      <c r="C44" s="63"/>
      <c r="D44" s="63"/>
      <c r="E44" s="63"/>
      <c r="F44" s="63"/>
      <c r="G44" s="64" t="s">
        <v>51</v>
      </c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63"/>
      <c r="B45" s="63"/>
      <c r="C45" s="63"/>
      <c r="D45" s="63"/>
      <c r="E45" s="63"/>
      <c r="F45" s="63"/>
      <c r="G45" s="64" t="s">
        <v>51</v>
      </c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63"/>
      <c r="B46" s="63"/>
      <c r="C46" s="63"/>
      <c r="D46" s="63"/>
      <c r="E46" s="63"/>
      <c r="F46" s="63"/>
      <c r="G46" s="64" t="s">
        <v>51</v>
      </c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63"/>
      <c r="B47" s="63"/>
      <c r="C47" s="63"/>
      <c r="D47" s="63"/>
      <c r="E47" s="63"/>
      <c r="F47" s="63"/>
      <c r="G47" s="64" t="s">
        <v>51</v>
      </c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63"/>
      <c r="B48" s="63"/>
      <c r="C48" s="63"/>
      <c r="D48" s="63"/>
      <c r="E48" s="63"/>
      <c r="F48" s="63"/>
      <c r="G48" s="64" t="s">
        <v>51</v>
      </c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63"/>
      <c r="B49" s="63"/>
      <c r="C49" s="63"/>
      <c r="D49" s="63"/>
      <c r="E49" s="63"/>
      <c r="F49" s="63"/>
      <c r="G49" s="64" t="s">
        <v>51</v>
      </c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63"/>
      <c r="B50" s="63"/>
      <c r="C50" s="63"/>
      <c r="D50" s="63"/>
      <c r="E50" s="63"/>
      <c r="F50" s="63"/>
      <c r="G50" s="64" t="s">
        <v>51</v>
      </c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63"/>
      <c r="B51" s="63"/>
      <c r="C51" s="63"/>
      <c r="D51" s="63"/>
      <c r="E51" s="63"/>
      <c r="F51" s="63"/>
      <c r="G51" s="64" t="s">
        <v>51</v>
      </c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63"/>
      <c r="B52" s="63"/>
      <c r="C52" s="63"/>
      <c r="D52" s="63"/>
      <c r="E52" s="63"/>
      <c r="F52" s="63"/>
      <c r="G52" s="64" t="s">
        <v>51</v>
      </c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63"/>
      <c r="B53" s="63"/>
      <c r="C53" s="63"/>
      <c r="D53" s="63"/>
      <c r="E53" s="63"/>
      <c r="F53" s="63"/>
      <c r="G53" s="64" t="s">
        <v>51</v>
      </c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63"/>
      <c r="B54" s="63"/>
      <c r="C54" s="63"/>
      <c r="D54" s="63"/>
      <c r="E54" s="63"/>
      <c r="F54" s="63"/>
      <c r="G54" s="64" t="s">
        <v>51</v>
      </c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63"/>
      <c r="B55" s="63"/>
      <c r="C55" s="63"/>
      <c r="D55" s="63"/>
      <c r="E55" s="63"/>
      <c r="F55" s="63"/>
      <c r="G55" s="64" t="s">
        <v>51</v>
      </c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63"/>
      <c r="B56" s="63"/>
      <c r="C56" s="63"/>
      <c r="D56" s="63"/>
      <c r="E56" s="63"/>
      <c r="F56" s="63"/>
      <c r="G56" s="64" t="s">
        <v>51</v>
      </c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63"/>
      <c r="B57" s="63"/>
      <c r="C57" s="63"/>
      <c r="D57" s="63"/>
      <c r="E57" s="63"/>
      <c r="F57" s="63"/>
      <c r="G57" s="64" t="s">
        <v>51</v>
      </c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63"/>
      <c r="B58" s="63"/>
      <c r="C58" s="63"/>
      <c r="D58" s="63"/>
      <c r="E58" s="63"/>
      <c r="F58" s="63"/>
      <c r="G58" s="64" t="s">
        <v>51</v>
      </c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63"/>
      <c r="B59" s="63"/>
      <c r="C59" s="63"/>
      <c r="D59" s="63"/>
      <c r="E59" s="63"/>
      <c r="F59" s="63"/>
      <c r="G59" s="64" t="s">
        <v>51</v>
      </c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63"/>
      <c r="B60" s="63"/>
      <c r="C60" s="63"/>
      <c r="D60" s="63"/>
      <c r="E60" s="63"/>
      <c r="F60" s="63"/>
      <c r="G60" s="64" t="s">
        <v>51</v>
      </c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63"/>
      <c r="B61" s="63"/>
      <c r="C61" s="63"/>
      <c r="D61" s="63"/>
      <c r="E61" s="63"/>
      <c r="F61" s="63"/>
      <c r="G61" s="64" t="s">
        <v>51</v>
      </c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63"/>
      <c r="B62" s="63"/>
      <c r="C62" s="63"/>
      <c r="D62" s="63"/>
      <c r="E62" s="63"/>
      <c r="F62" s="63"/>
      <c r="G62" s="64" t="s">
        <v>51</v>
      </c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63"/>
      <c r="B63" s="63"/>
      <c r="C63" s="63"/>
      <c r="D63" s="63"/>
      <c r="E63" s="63"/>
      <c r="F63" s="63"/>
      <c r="G63" s="64" t="s">
        <v>51</v>
      </c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63"/>
      <c r="B64" s="63"/>
      <c r="C64" s="63"/>
      <c r="D64" s="63"/>
      <c r="E64" s="63"/>
      <c r="F64" s="63"/>
      <c r="G64" s="64" t="s">
        <v>51</v>
      </c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63"/>
      <c r="B65" s="63"/>
      <c r="C65" s="63"/>
      <c r="D65" s="63"/>
      <c r="E65" s="63"/>
      <c r="F65" s="63"/>
      <c r="G65" s="64" t="s">
        <v>51</v>
      </c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63"/>
      <c r="B66" s="63"/>
      <c r="C66" s="63"/>
      <c r="D66" s="63"/>
      <c r="E66" s="63"/>
      <c r="F66" s="63"/>
      <c r="G66" s="64" t="s">
        <v>51</v>
      </c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63"/>
      <c r="B67" s="63"/>
      <c r="C67" s="63"/>
      <c r="D67" s="63"/>
      <c r="E67" s="63"/>
      <c r="F67" s="63"/>
      <c r="G67" s="64" t="s">
        <v>51</v>
      </c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63"/>
      <c r="B68" s="63"/>
      <c r="C68" s="63"/>
      <c r="D68" s="63"/>
      <c r="E68" s="63"/>
      <c r="F68" s="63"/>
      <c r="G68" s="64" t="s">
        <v>51</v>
      </c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63"/>
      <c r="B69" s="63"/>
      <c r="C69" s="63"/>
      <c r="D69" s="63"/>
      <c r="E69" s="63"/>
      <c r="F69" s="63"/>
      <c r="G69" s="64" t="s">
        <v>51</v>
      </c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63"/>
      <c r="B70" s="63"/>
      <c r="C70" s="63"/>
      <c r="D70" s="63"/>
      <c r="E70" s="63"/>
      <c r="F70" s="63"/>
      <c r="G70" s="64" t="s">
        <v>51</v>
      </c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63"/>
      <c r="B71" s="63"/>
      <c r="C71" s="63"/>
      <c r="D71" s="63"/>
      <c r="E71" s="63"/>
      <c r="F71" s="63"/>
      <c r="G71" s="64" t="s">
        <v>51</v>
      </c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63"/>
      <c r="B72" s="63"/>
      <c r="C72" s="63"/>
      <c r="D72" s="63"/>
      <c r="E72" s="63"/>
      <c r="F72" s="63"/>
      <c r="G72" s="64" t="s">
        <v>51</v>
      </c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63"/>
      <c r="B73" s="63"/>
      <c r="C73" s="63"/>
      <c r="D73" s="63"/>
      <c r="E73" s="63"/>
      <c r="F73" s="63"/>
      <c r="G73" s="64" t="s">
        <v>51</v>
      </c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63"/>
      <c r="B74" s="63"/>
      <c r="C74" s="63"/>
      <c r="D74" s="63"/>
      <c r="E74" s="63"/>
      <c r="F74" s="63"/>
      <c r="G74" s="64" t="s">
        <v>51</v>
      </c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63"/>
      <c r="B75" s="63"/>
      <c r="C75" s="63"/>
      <c r="D75" s="63"/>
      <c r="E75" s="63"/>
      <c r="F75" s="63"/>
      <c r="G75" s="64" t="s">
        <v>51</v>
      </c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63"/>
      <c r="B76" s="63"/>
      <c r="C76" s="63"/>
      <c r="D76" s="63"/>
      <c r="E76" s="63"/>
      <c r="F76" s="63"/>
      <c r="G76" s="64" t="s">
        <v>51</v>
      </c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63"/>
      <c r="B77" s="63"/>
      <c r="C77" s="63"/>
      <c r="D77" s="63"/>
      <c r="E77" s="63"/>
      <c r="F77" s="63"/>
      <c r="G77" s="64" t="s">
        <v>51</v>
      </c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63"/>
      <c r="B78" s="63"/>
      <c r="C78" s="63"/>
      <c r="D78" s="63"/>
      <c r="E78" s="63"/>
      <c r="F78" s="63"/>
      <c r="G78" s="64" t="s">
        <v>51</v>
      </c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63"/>
      <c r="B79" s="63"/>
      <c r="C79" s="63"/>
      <c r="D79" s="63"/>
      <c r="E79" s="63"/>
      <c r="F79" s="63"/>
      <c r="G79" s="64" t="s">
        <v>51</v>
      </c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63"/>
      <c r="B80" s="63"/>
      <c r="C80" s="63"/>
      <c r="D80" s="63"/>
      <c r="E80" s="63"/>
      <c r="F80" s="63"/>
      <c r="G80" s="64" t="s">
        <v>51</v>
      </c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63"/>
      <c r="B81" s="63"/>
      <c r="C81" s="63"/>
      <c r="D81" s="63"/>
      <c r="E81" s="63"/>
      <c r="F81" s="63"/>
      <c r="G81" s="64" t="s">
        <v>51</v>
      </c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63"/>
      <c r="B82" s="63"/>
      <c r="C82" s="63"/>
      <c r="D82" s="63"/>
      <c r="E82" s="63"/>
      <c r="F82" s="63"/>
      <c r="G82" s="64" t="s">
        <v>51</v>
      </c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63"/>
      <c r="B83" s="63"/>
      <c r="C83" s="63"/>
      <c r="D83" s="63"/>
      <c r="E83" s="63"/>
      <c r="F83" s="63"/>
      <c r="G83" s="64" t="s">
        <v>51</v>
      </c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63"/>
      <c r="B84" s="63"/>
      <c r="C84" s="63"/>
      <c r="D84" s="63"/>
      <c r="E84" s="63"/>
      <c r="F84" s="63"/>
      <c r="G84" s="64" t="s">
        <v>51</v>
      </c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63"/>
      <c r="B85" s="63"/>
      <c r="C85" s="63"/>
      <c r="D85" s="63"/>
      <c r="E85" s="63"/>
      <c r="F85" s="63"/>
      <c r="G85" s="64" t="s">
        <v>51</v>
      </c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63"/>
      <c r="B86" s="63"/>
      <c r="C86" s="63"/>
      <c r="D86" s="63"/>
      <c r="E86" s="63"/>
      <c r="F86" s="63"/>
      <c r="G86" s="64" t="s">
        <v>51</v>
      </c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63"/>
      <c r="B87" s="63"/>
      <c r="C87" s="63"/>
      <c r="D87" s="63"/>
      <c r="E87" s="63"/>
      <c r="F87" s="63"/>
      <c r="G87" s="64" t="s">
        <v>51</v>
      </c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63"/>
      <c r="B88" s="63"/>
      <c r="C88" s="63"/>
      <c r="D88" s="63"/>
      <c r="E88" s="63"/>
      <c r="F88" s="63"/>
      <c r="G88" s="64" t="s">
        <v>51</v>
      </c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63"/>
      <c r="B89" s="63"/>
      <c r="C89" s="63"/>
      <c r="D89" s="63"/>
      <c r="E89" s="63"/>
      <c r="F89" s="63"/>
      <c r="G89" s="64" t="s">
        <v>51</v>
      </c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63"/>
      <c r="B90" s="63"/>
      <c r="C90" s="63"/>
      <c r="D90" s="63"/>
      <c r="E90" s="63"/>
      <c r="F90" s="63"/>
      <c r="G90" s="64" t="s">
        <v>51</v>
      </c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63"/>
      <c r="B91" s="63"/>
      <c r="C91" s="63"/>
      <c r="D91" s="63"/>
      <c r="E91" s="63"/>
      <c r="F91" s="63"/>
      <c r="G91" s="64" t="s">
        <v>51</v>
      </c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63"/>
      <c r="B92" s="63"/>
      <c r="C92" s="63"/>
      <c r="D92" s="63"/>
      <c r="E92" s="63"/>
      <c r="F92" s="63"/>
      <c r="G92" s="64" t="s">
        <v>51</v>
      </c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63"/>
      <c r="B93" s="63"/>
      <c r="C93" s="63"/>
      <c r="D93" s="63"/>
      <c r="E93" s="63"/>
      <c r="F93" s="63"/>
      <c r="G93" s="64" t="s">
        <v>51</v>
      </c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63"/>
      <c r="B94" s="63"/>
      <c r="C94" s="63"/>
      <c r="D94" s="63"/>
      <c r="E94" s="63"/>
      <c r="F94" s="63"/>
      <c r="G94" s="64" t="s">
        <v>51</v>
      </c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63"/>
      <c r="B95" s="63"/>
      <c r="C95" s="63"/>
      <c r="D95" s="63"/>
      <c r="E95" s="63"/>
      <c r="F95" s="63"/>
      <c r="G95" s="64" t="s">
        <v>51</v>
      </c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63"/>
      <c r="B96" s="63"/>
      <c r="C96" s="63"/>
      <c r="D96" s="63"/>
      <c r="E96" s="63"/>
      <c r="F96" s="63"/>
      <c r="G96" s="64" t="s">
        <v>51</v>
      </c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63"/>
      <c r="B97" s="63"/>
      <c r="C97" s="63"/>
      <c r="D97" s="63"/>
      <c r="E97" s="63"/>
      <c r="F97" s="63"/>
      <c r="G97" s="64" t="s">
        <v>51</v>
      </c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63"/>
      <c r="B98" s="63"/>
      <c r="C98" s="63"/>
      <c r="D98" s="63"/>
      <c r="E98" s="63"/>
      <c r="F98" s="63"/>
      <c r="G98" s="64" t="s">
        <v>51</v>
      </c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63"/>
      <c r="B99" s="63"/>
      <c r="C99" s="63"/>
      <c r="D99" s="63"/>
      <c r="E99" s="63"/>
      <c r="F99" s="63"/>
      <c r="G99" s="64" t="s">
        <v>51</v>
      </c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63"/>
      <c r="B100" s="63"/>
      <c r="C100" s="63"/>
      <c r="D100" s="63"/>
      <c r="E100" s="63"/>
      <c r="F100" s="63"/>
      <c r="G100" s="64" t="s">
        <v>51</v>
      </c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63"/>
      <c r="B101" s="63"/>
      <c r="C101" s="63"/>
      <c r="D101" s="63"/>
      <c r="E101" s="63"/>
      <c r="F101" s="63"/>
      <c r="G101" s="64" t="s">
        <v>51</v>
      </c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63"/>
      <c r="B102" s="63"/>
      <c r="C102" s="63"/>
      <c r="D102" s="63"/>
      <c r="E102" s="63"/>
      <c r="F102" s="63"/>
      <c r="G102" s="64" t="s">
        <v>51</v>
      </c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63"/>
      <c r="B103" s="63"/>
      <c r="C103" s="63"/>
      <c r="D103" s="63"/>
      <c r="E103" s="63"/>
      <c r="F103" s="63"/>
      <c r="G103" s="64" t="s">
        <v>51</v>
      </c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63"/>
      <c r="B104" s="63"/>
      <c r="C104" s="63"/>
      <c r="D104" s="63"/>
      <c r="E104" s="63"/>
      <c r="F104" s="63"/>
      <c r="G104" s="64" t="s">
        <v>51</v>
      </c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63"/>
      <c r="B105" s="63"/>
      <c r="C105" s="63"/>
      <c r="D105" s="63"/>
      <c r="E105" s="63"/>
      <c r="F105" s="63"/>
      <c r="G105" s="64" t="s">
        <v>51</v>
      </c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63"/>
      <c r="B106" s="63"/>
      <c r="C106" s="63"/>
      <c r="D106" s="63"/>
      <c r="E106" s="63"/>
      <c r="F106" s="63"/>
      <c r="G106" s="64" t="s">
        <v>51</v>
      </c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63"/>
      <c r="B107" s="63"/>
      <c r="C107" s="63"/>
      <c r="D107" s="63"/>
      <c r="E107" s="63"/>
      <c r="F107" s="63"/>
      <c r="G107" s="64" t="s">
        <v>51</v>
      </c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63"/>
      <c r="B108" s="63"/>
      <c r="C108" s="63"/>
      <c r="D108" s="63"/>
      <c r="E108" s="63"/>
      <c r="F108" s="63"/>
      <c r="G108" s="64" t="s">
        <v>51</v>
      </c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63"/>
      <c r="B109" s="63"/>
      <c r="C109" s="63"/>
      <c r="D109" s="63"/>
      <c r="E109" s="63"/>
      <c r="F109" s="63"/>
      <c r="G109" s="64" t="s">
        <v>51</v>
      </c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63"/>
      <c r="B110" s="63"/>
      <c r="C110" s="63"/>
      <c r="D110" s="63"/>
      <c r="E110" s="63"/>
      <c r="F110" s="63"/>
      <c r="G110" s="64" t="s">
        <v>51</v>
      </c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63"/>
      <c r="B111" s="63"/>
      <c r="C111" s="63"/>
      <c r="D111" s="63"/>
      <c r="E111" s="63"/>
      <c r="F111" s="63"/>
      <c r="G111" s="64" t="s">
        <v>51</v>
      </c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63"/>
      <c r="B112" s="63"/>
      <c r="C112" s="63"/>
      <c r="D112" s="63"/>
      <c r="E112" s="63"/>
      <c r="F112" s="63"/>
      <c r="G112" s="64" t="s">
        <v>51</v>
      </c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63"/>
      <c r="B113" s="63"/>
      <c r="C113" s="63"/>
      <c r="D113" s="63"/>
      <c r="E113" s="63"/>
      <c r="F113" s="63"/>
      <c r="G113" s="64" t="s">
        <v>51</v>
      </c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63"/>
      <c r="B114" s="63"/>
      <c r="C114" s="63"/>
      <c r="D114" s="63"/>
      <c r="E114" s="63"/>
      <c r="F114" s="63"/>
      <c r="G114" s="64" t="s">
        <v>51</v>
      </c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63"/>
      <c r="B115" s="63"/>
      <c r="C115" s="63"/>
      <c r="D115" s="63"/>
      <c r="E115" s="63"/>
      <c r="F115" s="63"/>
      <c r="G115" s="64" t="s">
        <v>51</v>
      </c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63"/>
      <c r="B116" s="63"/>
      <c r="C116" s="63"/>
      <c r="D116" s="63"/>
      <c r="E116" s="63"/>
      <c r="F116" s="63"/>
      <c r="G116" s="64" t="s">
        <v>51</v>
      </c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63"/>
      <c r="B117" s="63"/>
      <c r="C117" s="63"/>
      <c r="D117" s="63"/>
      <c r="E117" s="63"/>
      <c r="F117" s="63"/>
      <c r="G117" s="64" t="s">
        <v>51</v>
      </c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63"/>
      <c r="B118" s="63"/>
      <c r="C118" s="63"/>
      <c r="D118" s="63"/>
      <c r="E118" s="63"/>
      <c r="F118" s="63"/>
      <c r="G118" s="64" t="s">
        <v>51</v>
      </c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63"/>
      <c r="B119" s="63"/>
      <c r="C119" s="63"/>
      <c r="D119" s="63"/>
      <c r="E119" s="63"/>
      <c r="F119" s="63"/>
      <c r="G119" s="64" t="s">
        <v>51</v>
      </c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63"/>
      <c r="B120" s="63"/>
      <c r="C120" s="63"/>
      <c r="D120" s="63"/>
      <c r="E120" s="63"/>
      <c r="F120" s="63"/>
      <c r="G120" s="64" t="s">
        <v>51</v>
      </c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63"/>
      <c r="B121" s="63"/>
      <c r="C121" s="63"/>
      <c r="D121" s="63"/>
      <c r="E121" s="63"/>
      <c r="F121" s="63"/>
      <c r="G121" s="64" t="s">
        <v>51</v>
      </c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63"/>
      <c r="B122" s="63"/>
      <c r="C122" s="63"/>
      <c r="D122" s="63"/>
      <c r="E122" s="63"/>
      <c r="F122" s="63"/>
      <c r="G122" s="64" t="s">
        <v>51</v>
      </c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63"/>
      <c r="B123" s="63"/>
      <c r="C123" s="63"/>
      <c r="D123" s="63"/>
      <c r="E123" s="63"/>
      <c r="F123" s="63"/>
      <c r="G123" s="64" t="s">
        <v>51</v>
      </c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63"/>
      <c r="B124" s="63"/>
      <c r="C124" s="63"/>
      <c r="D124" s="63"/>
      <c r="E124" s="63"/>
      <c r="F124" s="63"/>
      <c r="G124" s="64" t="s">
        <v>51</v>
      </c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63"/>
      <c r="B125" s="63"/>
      <c r="C125" s="63"/>
      <c r="D125" s="63"/>
      <c r="E125" s="63"/>
      <c r="F125" s="63"/>
      <c r="G125" s="64" t="s">
        <v>51</v>
      </c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63"/>
      <c r="B126" s="63"/>
      <c r="C126" s="63"/>
      <c r="D126" s="63"/>
      <c r="E126" s="63"/>
      <c r="F126" s="63"/>
      <c r="G126" s="64" t="s">
        <v>51</v>
      </c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63"/>
      <c r="B127" s="63"/>
      <c r="C127" s="63"/>
      <c r="D127" s="63"/>
      <c r="E127" s="63"/>
      <c r="F127" s="63"/>
      <c r="G127" s="64" t="s">
        <v>51</v>
      </c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63"/>
      <c r="B128" s="63"/>
      <c r="C128" s="63"/>
      <c r="D128" s="63"/>
      <c r="E128" s="63"/>
      <c r="F128" s="63"/>
      <c r="G128" s="64" t="s">
        <v>51</v>
      </c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63"/>
      <c r="B129" s="63"/>
      <c r="C129" s="63"/>
      <c r="D129" s="63"/>
      <c r="E129" s="63"/>
      <c r="F129" s="63"/>
      <c r="G129" s="64" t="s">
        <v>51</v>
      </c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63"/>
      <c r="B130" s="63"/>
      <c r="C130" s="63"/>
      <c r="D130" s="63"/>
      <c r="E130" s="63"/>
      <c r="F130" s="63"/>
      <c r="G130" s="64" t="s">
        <v>51</v>
      </c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63"/>
      <c r="B131" s="63"/>
      <c r="C131" s="63"/>
      <c r="D131" s="63"/>
      <c r="E131" s="63"/>
      <c r="F131" s="63"/>
      <c r="G131" s="64" t="s">
        <v>51</v>
      </c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63"/>
      <c r="B132" s="63"/>
      <c r="C132" s="63"/>
      <c r="D132" s="63"/>
      <c r="E132" s="63"/>
      <c r="F132" s="63"/>
      <c r="G132" s="64" t="s">
        <v>51</v>
      </c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63"/>
      <c r="B133" s="63"/>
      <c r="C133" s="63"/>
      <c r="D133" s="63"/>
      <c r="E133" s="63"/>
      <c r="F133" s="63"/>
      <c r="G133" s="64" t="s">
        <v>51</v>
      </c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63"/>
      <c r="B134" s="63"/>
      <c r="C134" s="63"/>
      <c r="D134" s="63"/>
      <c r="E134" s="63"/>
      <c r="F134" s="63"/>
      <c r="G134" s="64" t="s">
        <v>51</v>
      </c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63"/>
      <c r="B135" s="63"/>
      <c r="C135" s="63"/>
      <c r="D135" s="63"/>
      <c r="E135" s="63"/>
      <c r="F135" s="63"/>
      <c r="G135" s="64" t="s">
        <v>51</v>
      </c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63"/>
      <c r="B136" s="63"/>
      <c r="C136" s="63"/>
      <c r="D136" s="63"/>
      <c r="E136" s="63"/>
      <c r="F136" s="63"/>
      <c r="G136" s="64" t="s">
        <v>51</v>
      </c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63"/>
      <c r="B137" s="63"/>
      <c r="C137" s="63"/>
      <c r="D137" s="63"/>
      <c r="E137" s="63"/>
      <c r="F137" s="63"/>
      <c r="G137" s="64" t="s">
        <v>51</v>
      </c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63"/>
      <c r="B138" s="63"/>
      <c r="C138" s="63"/>
      <c r="D138" s="63"/>
      <c r="E138" s="63"/>
      <c r="F138" s="63"/>
      <c r="G138" s="64" t="s">
        <v>51</v>
      </c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63"/>
      <c r="B139" s="63"/>
      <c r="C139" s="63"/>
      <c r="D139" s="63"/>
      <c r="E139" s="63"/>
      <c r="F139" s="63"/>
      <c r="G139" s="64" t="s">
        <v>51</v>
      </c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63"/>
      <c r="B140" s="63"/>
      <c r="C140" s="63"/>
      <c r="D140" s="63"/>
      <c r="E140" s="63"/>
      <c r="F140" s="63"/>
      <c r="G140" s="64" t="s">
        <v>51</v>
      </c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63"/>
      <c r="B141" s="63"/>
      <c r="C141" s="63"/>
      <c r="D141" s="63"/>
      <c r="E141" s="63"/>
      <c r="F141" s="63"/>
      <c r="G141" s="64" t="s">
        <v>51</v>
      </c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63"/>
      <c r="B142" s="63"/>
      <c r="C142" s="63"/>
      <c r="D142" s="63"/>
      <c r="E142" s="63"/>
      <c r="F142" s="63"/>
      <c r="G142" s="64" t="s">
        <v>51</v>
      </c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63"/>
      <c r="B143" s="63"/>
      <c r="C143" s="63"/>
      <c r="D143" s="63"/>
      <c r="E143" s="63"/>
      <c r="F143" s="63"/>
      <c r="G143" s="64" t="s">
        <v>51</v>
      </c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63"/>
      <c r="B144" s="63"/>
      <c r="C144" s="63"/>
      <c r="D144" s="63"/>
      <c r="E144" s="63"/>
      <c r="F144" s="63"/>
      <c r="G144" s="64" t="s">
        <v>51</v>
      </c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63"/>
      <c r="B145" s="63"/>
      <c r="C145" s="63"/>
      <c r="D145" s="63"/>
      <c r="E145" s="63"/>
      <c r="F145" s="63"/>
      <c r="G145" s="64" t="s">
        <v>51</v>
      </c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63"/>
      <c r="B146" s="63"/>
      <c r="C146" s="63"/>
      <c r="D146" s="63"/>
      <c r="E146" s="63"/>
      <c r="F146" s="63"/>
      <c r="G146" s="64" t="s">
        <v>51</v>
      </c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63"/>
      <c r="B147" s="63"/>
      <c r="C147" s="63"/>
      <c r="D147" s="63"/>
      <c r="E147" s="63"/>
      <c r="F147" s="63"/>
      <c r="G147" s="64" t="s">
        <v>51</v>
      </c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63"/>
      <c r="B148" s="63"/>
      <c r="C148" s="63"/>
      <c r="D148" s="63"/>
      <c r="E148" s="63"/>
      <c r="F148" s="63"/>
      <c r="G148" s="64" t="s">
        <v>51</v>
      </c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63"/>
      <c r="B149" s="63"/>
      <c r="C149" s="63"/>
      <c r="D149" s="63"/>
      <c r="E149" s="63"/>
      <c r="F149" s="63"/>
      <c r="G149" s="64" t="s">
        <v>51</v>
      </c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63"/>
      <c r="B150" s="63"/>
      <c r="C150" s="63"/>
      <c r="D150" s="63"/>
      <c r="E150" s="63"/>
      <c r="F150" s="63"/>
      <c r="G150" s="64" t="s">
        <v>51</v>
      </c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63"/>
      <c r="B151" s="63"/>
      <c r="C151" s="63"/>
      <c r="D151" s="63"/>
      <c r="E151" s="63"/>
      <c r="F151" s="63"/>
      <c r="G151" s="64" t="s">
        <v>51</v>
      </c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63"/>
      <c r="B152" s="63"/>
      <c r="C152" s="63"/>
      <c r="D152" s="63"/>
      <c r="E152" s="63"/>
      <c r="F152" s="63"/>
      <c r="G152" s="64" t="s">
        <v>51</v>
      </c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63"/>
      <c r="B153" s="63"/>
      <c r="C153" s="63"/>
      <c r="D153" s="63"/>
      <c r="E153" s="63"/>
      <c r="F153" s="63"/>
      <c r="G153" s="64" t="s">
        <v>51</v>
      </c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63"/>
      <c r="B154" s="63"/>
      <c r="C154" s="63"/>
      <c r="D154" s="63"/>
      <c r="E154" s="63"/>
      <c r="F154" s="63"/>
      <c r="G154" s="64" t="s">
        <v>51</v>
      </c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63"/>
      <c r="B155" s="63"/>
      <c r="C155" s="63"/>
      <c r="D155" s="63"/>
      <c r="E155" s="63"/>
      <c r="F155" s="63"/>
      <c r="G155" s="64" t="s">
        <v>51</v>
      </c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63"/>
      <c r="B156" s="63"/>
      <c r="C156" s="63"/>
      <c r="D156" s="63"/>
      <c r="E156" s="63"/>
      <c r="F156" s="63"/>
      <c r="G156" s="64" t="s">
        <v>51</v>
      </c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63"/>
      <c r="B157" s="63"/>
      <c r="C157" s="63"/>
      <c r="D157" s="63"/>
      <c r="E157" s="63"/>
      <c r="F157" s="63"/>
      <c r="G157" s="64" t="s">
        <v>51</v>
      </c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63"/>
      <c r="B158" s="63"/>
      <c r="C158" s="63"/>
      <c r="D158" s="63"/>
      <c r="E158" s="63"/>
      <c r="F158" s="63"/>
      <c r="G158" s="64" t="s">
        <v>51</v>
      </c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63"/>
      <c r="B159" s="63"/>
      <c r="C159" s="63"/>
      <c r="D159" s="63"/>
      <c r="E159" s="63"/>
      <c r="F159" s="63"/>
      <c r="G159" s="64" t="s">
        <v>51</v>
      </c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63"/>
      <c r="B160" s="63"/>
      <c r="C160" s="63"/>
      <c r="D160" s="63"/>
      <c r="E160" s="63"/>
      <c r="F160" s="63"/>
      <c r="G160" s="64" t="s">
        <v>51</v>
      </c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63"/>
      <c r="B161" s="63"/>
      <c r="C161" s="63"/>
      <c r="D161" s="63"/>
      <c r="E161" s="63"/>
      <c r="F161" s="63"/>
      <c r="G161" s="64" t="s">
        <v>51</v>
      </c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63"/>
      <c r="B162" s="63"/>
      <c r="C162" s="63"/>
      <c r="D162" s="63"/>
      <c r="E162" s="63"/>
      <c r="F162" s="63"/>
      <c r="G162" s="64" t="s">
        <v>51</v>
      </c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63"/>
      <c r="B163" s="63"/>
      <c r="C163" s="63"/>
      <c r="D163" s="63"/>
      <c r="E163" s="63"/>
      <c r="F163" s="63"/>
      <c r="G163" s="64" t="s">
        <v>51</v>
      </c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63"/>
      <c r="B164" s="63"/>
      <c r="C164" s="63"/>
      <c r="D164" s="63"/>
      <c r="E164" s="63"/>
      <c r="F164" s="63"/>
      <c r="G164" s="64" t="s">
        <v>51</v>
      </c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63"/>
      <c r="B165" s="63"/>
      <c r="C165" s="63"/>
      <c r="D165" s="63"/>
      <c r="E165" s="63"/>
      <c r="F165" s="63"/>
      <c r="G165" s="64" t="s">
        <v>51</v>
      </c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63"/>
      <c r="B166" s="63"/>
      <c r="C166" s="63"/>
      <c r="D166" s="63"/>
      <c r="E166" s="63"/>
      <c r="F166" s="63"/>
      <c r="G166" s="64" t="s">
        <v>51</v>
      </c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63"/>
      <c r="B167" s="63"/>
      <c r="C167" s="63"/>
      <c r="D167" s="63"/>
      <c r="E167" s="63"/>
      <c r="F167" s="63"/>
      <c r="G167" s="64" t="s">
        <v>51</v>
      </c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63"/>
      <c r="B168" s="63"/>
      <c r="C168" s="63"/>
      <c r="D168" s="63"/>
      <c r="E168" s="63"/>
      <c r="F168" s="63"/>
      <c r="G168" s="64" t="s">
        <v>51</v>
      </c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63"/>
      <c r="B169" s="63"/>
      <c r="C169" s="63"/>
      <c r="D169" s="63"/>
      <c r="E169" s="63"/>
      <c r="F169" s="63"/>
      <c r="G169" s="64" t="s">
        <v>51</v>
      </c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63"/>
      <c r="B170" s="63"/>
      <c r="C170" s="63"/>
      <c r="D170" s="63"/>
      <c r="E170" s="63"/>
      <c r="F170" s="63"/>
      <c r="G170" s="64" t="s">
        <v>51</v>
      </c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63"/>
      <c r="B171" s="63"/>
      <c r="C171" s="63"/>
      <c r="D171" s="63"/>
      <c r="E171" s="63"/>
      <c r="F171" s="63"/>
      <c r="G171" s="64" t="s">
        <v>51</v>
      </c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63"/>
      <c r="B172" s="63"/>
      <c r="C172" s="63"/>
      <c r="D172" s="63"/>
      <c r="E172" s="63"/>
      <c r="F172" s="63"/>
      <c r="G172" s="64" t="s">
        <v>51</v>
      </c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63"/>
      <c r="B173" s="63"/>
      <c r="C173" s="63"/>
      <c r="D173" s="63"/>
      <c r="E173" s="63"/>
      <c r="F173" s="63"/>
      <c r="G173" s="64" t="s">
        <v>51</v>
      </c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63"/>
      <c r="B174" s="63"/>
      <c r="C174" s="63"/>
      <c r="D174" s="63"/>
      <c r="E174" s="63"/>
      <c r="F174" s="63"/>
      <c r="G174" s="64" t="s">
        <v>51</v>
      </c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63"/>
      <c r="B175" s="63"/>
      <c r="C175" s="63"/>
      <c r="D175" s="63"/>
      <c r="E175" s="63"/>
      <c r="F175" s="63"/>
      <c r="G175" s="64" t="s">
        <v>51</v>
      </c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63"/>
      <c r="B176" s="63"/>
      <c r="C176" s="63"/>
      <c r="D176" s="63"/>
      <c r="E176" s="63"/>
      <c r="F176" s="63"/>
      <c r="G176" s="64" t="s">
        <v>51</v>
      </c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63"/>
      <c r="B177" s="63"/>
      <c r="C177" s="63"/>
      <c r="D177" s="63"/>
      <c r="E177" s="63"/>
      <c r="F177" s="63"/>
      <c r="G177" s="64" t="s">
        <v>51</v>
      </c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63"/>
      <c r="B178" s="63"/>
      <c r="C178" s="63"/>
      <c r="D178" s="63"/>
      <c r="E178" s="63"/>
      <c r="F178" s="63"/>
      <c r="G178" s="64" t="s">
        <v>51</v>
      </c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63"/>
      <c r="B179" s="63"/>
      <c r="C179" s="63"/>
      <c r="D179" s="63"/>
      <c r="E179" s="63"/>
      <c r="F179" s="63"/>
      <c r="G179" s="64" t="s">
        <v>51</v>
      </c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63"/>
      <c r="B180" s="63"/>
      <c r="C180" s="63"/>
      <c r="D180" s="63"/>
      <c r="E180" s="63"/>
      <c r="F180" s="63"/>
      <c r="G180" s="64" t="s">
        <v>51</v>
      </c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63"/>
      <c r="B181" s="63"/>
      <c r="C181" s="63"/>
      <c r="D181" s="63"/>
      <c r="E181" s="63"/>
      <c r="F181" s="63"/>
      <c r="G181" s="64" t="s">
        <v>51</v>
      </c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63"/>
      <c r="B182" s="63"/>
      <c r="C182" s="63"/>
      <c r="D182" s="63"/>
      <c r="E182" s="63"/>
      <c r="F182" s="63"/>
      <c r="G182" s="64" t="s">
        <v>51</v>
      </c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63"/>
      <c r="B183" s="63"/>
      <c r="C183" s="63"/>
      <c r="D183" s="63"/>
      <c r="E183" s="63"/>
      <c r="F183" s="63"/>
      <c r="G183" s="64" t="s">
        <v>51</v>
      </c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63"/>
      <c r="B184" s="63"/>
      <c r="C184" s="63"/>
      <c r="D184" s="63"/>
      <c r="E184" s="63"/>
      <c r="F184" s="63"/>
      <c r="G184" s="64" t="s">
        <v>51</v>
      </c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63"/>
      <c r="B185" s="63"/>
      <c r="C185" s="63"/>
      <c r="D185" s="63"/>
      <c r="E185" s="63"/>
      <c r="F185" s="63"/>
      <c r="G185" s="64" t="s">
        <v>51</v>
      </c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63"/>
      <c r="B186" s="63"/>
      <c r="C186" s="63"/>
      <c r="D186" s="63"/>
      <c r="E186" s="63"/>
      <c r="F186" s="63"/>
      <c r="G186" s="64" t="s">
        <v>51</v>
      </c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63"/>
      <c r="B187" s="63"/>
      <c r="C187" s="63"/>
      <c r="D187" s="63"/>
      <c r="E187" s="63"/>
      <c r="F187" s="63"/>
      <c r="G187" s="64" t="s">
        <v>51</v>
      </c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63"/>
      <c r="B188" s="63"/>
      <c r="C188" s="63"/>
      <c r="D188" s="63"/>
      <c r="E188" s="63"/>
      <c r="F188" s="63"/>
      <c r="G188" s="64" t="s">
        <v>51</v>
      </c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63"/>
      <c r="B189" s="63"/>
      <c r="C189" s="63"/>
      <c r="D189" s="63"/>
      <c r="E189" s="63"/>
      <c r="F189" s="63"/>
      <c r="G189" s="64" t="s">
        <v>51</v>
      </c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63"/>
      <c r="B190" s="63"/>
      <c r="C190" s="63"/>
      <c r="D190" s="63"/>
      <c r="E190" s="63"/>
      <c r="F190" s="63"/>
      <c r="G190" s="64" t="s">
        <v>51</v>
      </c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63"/>
      <c r="B191" s="63"/>
      <c r="C191" s="63"/>
      <c r="D191" s="63"/>
      <c r="E191" s="63"/>
      <c r="F191" s="63"/>
      <c r="G191" s="64" t="s">
        <v>51</v>
      </c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63"/>
      <c r="B192" s="63"/>
      <c r="C192" s="63"/>
      <c r="D192" s="63"/>
      <c r="E192" s="63"/>
      <c r="F192" s="63"/>
      <c r="G192" s="64" t="s">
        <v>51</v>
      </c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63"/>
      <c r="B193" s="63"/>
      <c r="C193" s="63"/>
      <c r="D193" s="63"/>
      <c r="E193" s="63"/>
      <c r="F193" s="63"/>
      <c r="G193" s="64" t="s">
        <v>51</v>
      </c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63"/>
      <c r="B194" s="63"/>
      <c r="C194" s="63"/>
      <c r="D194" s="63"/>
      <c r="E194" s="63"/>
      <c r="F194" s="63"/>
      <c r="G194" s="64" t="s">
        <v>51</v>
      </c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63"/>
      <c r="B195" s="63"/>
      <c r="C195" s="63"/>
      <c r="D195" s="63"/>
      <c r="E195" s="63"/>
      <c r="F195" s="63"/>
      <c r="G195" s="64" t="s">
        <v>51</v>
      </c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63"/>
      <c r="B196" s="63"/>
      <c r="C196" s="63"/>
      <c r="D196" s="63"/>
      <c r="E196" s="63"/>
      <c r="F196" s="63"/>
      <c r="G196" s="64" t="s">
        <v>51</v>
      </c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63"/>
      <c r="B197" s="63"/>
      <c r="C197" s="63"/>
      <c r="D197" s="63"/>
      <c r="E197" s="63"/>
      <c r="F197" s="63"/>
      <c r="G197" s="64" t="s">
        <v>51</v>
      </c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63"/>
      <c r="B198" s="63"/>
      <c r="C198" s="63"/>
      <c r="D198" s="63"/>
      <c r="E198" s="63"/>
      <c r="F198" s="63"/>
      <c r="G198" s="64" t="s">
        <v>51</v>
      </c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63"/>
      <c r="B199" s="63"/>
      <c r="C199" s="63"/>
      <c r="D199" s="63"/>
      <c r="E199" s="63"/>
      <c r="F199" s="63"/>
      <c r="G199" s="64" t="s">
        <v>51</v>
      </c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63"/>
      <c r="B200" s="63"/>
      <c r="C200" s="63"/>
      <c r="D200" s="63"/>
      <c r="E200" s="63"/>
      <c r="F200" s="63"/>
      <c r="G200" s="64" t="s">
        <v>51</v>
      </c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63"/>
      <c r="B201" s="63"/>
      <c r="C201" s="63"/>
      <c r="D201" s="63"/>
      <c r="E201" s="63"/>
      <c r="F201" s="63"/>
      <c r="G201" s="64" t="s">
        <v>51</v>
      </c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63"/>
      <c r="B202" s="63"/>
      <c r="C202" s="63"/>
      <c r="D202" s="63"/>
      <c r="E202" s="63"/>
      <c r="F202" s="63"/>
      <c r="G202" s="64" t="s">
        <v>51</v>
      </c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63"/>
      <c r="B203" s="63"/>
      <c r="C203" s="63"/>
      <c r="D203" s="63"/>
      <c r="E203" s="63"/>
      <c r="F203" s="63"/>
      <c r="G203" s="64" t="s">
        <v>51</v>
      </c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63"/>
      <c r="B204" s="63"/>
      <c r="C204" s="63"/>
      <c r="D204" s="63"/>
      <c r="E204" s="63"/>
      <c r="F204" s="63"/>
      <c r="G204" s="64" t="s">
        <v>51</v>
      </c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56.86"/>
    <col customWidth="1" min="3" max="6" width="8.71"/>
  </cols>
  <sheetData>
    <row r="1" ht="37.5" customHeight="1">
      <c r="A1" s="65" t="s">
        <v>83</v>
      </c>
      <c r="B1" s="28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66" t="s">
        <v>84</v>
      </c>
      <c r="B3" s="28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40" t="s">
        <v>85</v>
      </c>
      <c r="B4" s="67">
        <f>COUNTA(Roster!A5:A204)</f>
        <v>34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1.75" customHeight="1">
      <c r="A5" s="40" t="s">
        <v>86</v>
      </c>
      <c r="B5" s="67">
        <f>COUNTIF(Roster!E5:E204,"Active")</f>
        <v>34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40" t="s">
        <v>87</v>
      </c>
      <c r="B6" s="67">
        <f>COUNTIF(Roster!D5:D204,"Coach")+COUNTIF(Roster!D5:D204,"Treasurer")</f>
        <v>4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21.75" customHeight="1">
      <c r="A7" s="40" t="s">
        <v>88</v>
      </c>
      <c r="B7" s="67">
        <f>COUNTIF(Roster!D5:D204,"Captain")</f>
        <v>3</v>
      </c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1.75" customHeight="1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21.75" customHeight="1">
      <c r="A9" s="66" t="s">
        <v>89</v>
      </c>
      <c r="B9" s="28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21.75" customHeight="1">
      <c r="A10" s="40" t="s">
        <v>90</v>
      </c>
      <c r="B10" s="68">
        <f>SUMIF(Roster!E5:E204,"Active",Roster!B5:B204)</f>
        <v>2429</v>
      </c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21.75" customHeight="1">
      <c r="A11" s="40" t="s">
        <v>91</v>
      </c>
      <c r="B11" s="68">
        <f>SUMIFS(Transactions!F7:F996,Transactions!D7:D996,"Income",Transactions!C7:C996,"Dues")</f>
        <v>0</v>
      </c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1.75" customHeight="1">
      <c r="A12" s="40" t="s">
        <v>92</v>
      </c>
      <c r="B12" s="68">
        <f>B10-B11</f>
        <v>2429</v>
      </c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21.75" customHeight="1">
      <c r="A13" s="40" t="s">
        <v>93</v>
      </c>
      <c r="B13" s="68">
        <f>Transactions!A4</f>
        <v>2109</v>
      </c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21.75" customHeight="1">
      <c r="A14" s="40" t="s">
        <v>94</v>
      </c>
      <c r="B14" s="68">
        <f>Transactions!B4</f>
        <v>2139</v>
      </c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1.75" customHeight="1">
      <c r="A15" s="40" t="s">
        <v>49</v>
      </c>
      <c r="B15" s="68">
        <f>Transactions!C4</f>
        <v>-30</v>
      </c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1.75" customHeight="1">
      <c r="A16" s="40" t="s">
        <v>95</v>
      </c>
      <c r="B16" s="68">
        <f>Transactions!E4</f>
        <v>0</v>
      </c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21.75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21.75" customHeight="1">
      <c r="A18" s="66" t="s">
        <v>96</v>
      </c>
      <c r="B18" s="28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1.75" customHeight="1">
      <c r="A19" s="40" t="s">
        <v>97</v>
      </c>
      <c r="B19" s="67">
        <f>COUNTA(Events!A5:A506)</f>
        <v>8</v>
      </c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21.75" customHeight="1">
      <c r="A20" s="40" t="s">
        <v>98</v>
      </c>
      <c r="B20" s="67">
        <f>COUNTIF(Events!D5:D506,"Practice")</f>
        <v>2</v>
      </c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21.75" customHeight="1">
      <c r="A21" s="40" t="s">
        <v>99</v>
      </c>
      <c r="B21" s="67" t="str">
        <f>Events!D4</f>
        <v>Category</v>
      </c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1.75" customHeight="1">
      <c r="A22" s="40" t="s">
        <v>100</v>
      </c>
      <c r="B22" s="67" t="str">
        <f>Events!D4</f>
        <v>Category</v>
      </c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21.75" customHeight="1">
      <c r="A23" s="40" t="s">
        <v>101</v>
      </c>
      <c r="B23" s="68" t="str">
        <f>Events!H4</f>
        <v/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1.75" customHeight="1">
      <c r="A24" s="40" t="s">
        <v>102</v>
      </c>
      <c r="B24" s="68" t="str">
        <f>Events!I4</f>
        <v>Split Method</v>
      </c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21.75" customHeight="1">
      <c r="A25" s="40" t="s">
        <v>103</v>
      </c>
      <c r="B25" s="68" t="str">
        <f>Events!J4</f>
        <v>Notes</v>
      </c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mergeCells count="4">
    <mergeCell ref="A1:B1"/>
    <mergeCell ref="A3:B3"/>
    <mergeCell ref="A9:B9"/>
    <mergeCell ref="A18:B18"/>
  </mergeCells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60.0"/>
    <col customWidth="1" min="3" max="6" width="8.71"/>
  </cols>
  <sheetData>
    <row r="1" ht="37.5" customHeight="1">
      <c r="A1" s="26" t="s">
        <v>104</v>
      </c>
      <c r="B1" s="28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69" t="s">
        <v>105</v>
      </c>
      <c r="B3" s="70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71" t="s">
        <v>106</v>
      </c>
      <c r="B4" s="72" t="s">
        <v>107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1.75" customHeight="1">
      <c r="A5" s="73" t="s">
        <v>108</v>
      </c>
      <c r="B5" s="72" t="s">
        <v>109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74" t="s">
        <v>110</v>
      </c>
      <c r="B6" s="72" t="s">
        <v>111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21.75" customHeight="1">
      <c r="A7" s="75"/>
      <c r="B7" s="72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1.75" customHeight="1">
      <c r="A8" s="69" t="s">
        <v>112</v>
      </c>
      <c r="B8" s="70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21.75" customHeight="1">
      <c r="A9" s="76" t="s">
        <v>113</v>
      </c>
      <c r="B9" s="72" t="s">
        <v>114</v>
      </c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21.75" customHeight="1">
      <c r="A10" s="76" t="s">
        <v>115</v>
      </c>
      <c r="B10" s="72" t="s">
        <v>116</v>
      </c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21.75" customHeight="1">
      <c r="A11" s="76" t="s">
        <v>117</v>
      </c>
      <c r="B11" s="72" t="s">
        <v>118</v>
      </c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1.75" customHeight="1">
      <c r="A12" s="76" t="s">
        <v>119</v>
      </c>
      <c r="B12" s="72" t="s">
        <v>120</v>
      </c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21.75" customHeight="1">
      <c r="A13" s="75"/>
      <c r="B13" s="72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21.75" customHeight="1">
      <c r="A14" s="69" t="s">
        <v>121</v>
      </c>
      <c r="B14" s="70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1.75" customHeight="1">
      <c r="A15" s="76" t="s">
        <v>122</v>
      </c>
      <c r="B15" s="72" t="s">
        <v>123</v>
      </c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1.75" customHeight="1">
      <c r="A16" s="76" t="s">
        <v>124</v>
      </c>
      <c r="B16" s="72" t="s">
        <v>125</v>
      </c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21.75" customHeight="1">
      <c r="A17" s="76" t="s">
        <v>126</v>
      </c>
      <c r="B17" s="72" t="s">
        <v>127</v>
      </c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21.75" customHeight="1">
      <c r="A18" s="76" t="s">
        <v>128</v>
      </c>
      <c r="B18" s="72" t="s">
        <v>129</v>
      </c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1.75" customHeight="1">
      <c r="A19" s="75"/>
      <c r="B19" s="72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21.75" customHeight="1">
      <c r="A20" s="69" t="s">
        <v>130</v>
      </c>
      <c r="B20" s="70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21.75" customHeight="1">
      <c r="A21" s="76" t="s">
        <v>131</v>
      </c>
      <c r="B21" s="72" t="s">
        <v>132</v>
      </c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1.75" customHeight="1">
      <c r="A22" s="76" t="s">
        <v>133</v>
      </c>
      <c r="B22" s="72" t="s">
        <v>134</v>
      </c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21.75" customHeight="1">
      <c r="A23" s="76" t="s">
        <v>135</v>
      </c>
      <c r="B23" s="72" t="s">
        <v>136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1.75" customHeight="1">
      <c r="A24" s="76" t="s">
        <v>137</v>
      </c>
      <c r="B24" s="72" t="s">
        <v>138</v>
      </c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21.75" customHeight="1">
      <c r="A25" s="76" t="s">
        <v>139</v>
      </c>
      <c r="B25" s="72" t="s">
        <v>140</v>
      </c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21.75" customHeight="1">
      <c r="A26" s="76" t="s">
        <v>141</v>
      </c>
      <c r="B26" s="72" t="s">
        <v>142</v>
      </c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21.75" customHeight="1">
      <c r="A27" s="76" t="s">
        <v>143</v>
      </c>
      <c r="B27" s="72" t="s">
        <v>144</v>
      </c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21.75" customHeight="1">
      <c r="A28" s="75"/>
      <c r="B28" s="72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21.75" customHeight="1">
      <c r="A29" s="69" t="s">
        <v>145</v>
      </c>
      <c r="B29" s="70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21.75" customHeight="1">
      <c r="A30" s="76" t="s">
        <v>146</v>
      </c>
      <c r="B30" s="72" t="s">
        <v>147</v>
      </c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21.75" customHeight="1">
      <c r="A31" s="76" t="s">
        <v>21</v>
      </c>
      <c r="B31" s="72" t="s">
        <v>148</v>
      </c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21.75" customHeight="1">
      <c r="A32" s="76" t="s">
        <v>149</v>
      </c>
      <c r="B32" s="72" t="s">
        <v>150</v>
      </c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21.75" customHeight="1">
      <c r="A33" s="76" t="s">
        <v>151</v>
      </c>
      <c r="B33" s="72" t="s">
        <v>152</v>
      </c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21.75" customHeight="1">
      <c r="A34" s="76" t="s">
        <v>153</v>
      </c>
      <c r="B34" s="72" t="s">
        <v>154</v>
      </c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mergeCells count="1">
    <mergeCell ref="A1:B1"/>
  </mergeCells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00000"/>
    <pageSetUpPr/>
  </sheetPr>
  <sheetViews>
    <sheetView showGridLines="0" workbookViewId="0">
      <pane ySplit="5.0" topLeftCell="A6" activePane="bottomLeft" state="frozen"/>
      <selection activeCell="B7" sqref="B7" pane="bottomLeft"/>
    </sheetView>
  </sheetViews>
  <sheetFormatPr customHeight="1" defaultColWidth="14.43" defaultRowHeight="15.0"/>
  <cols>
    <col customWidth="1" min="1" max="1" width="24.0"/>
    <col customWidth="1" min="2" max="3" width="16.0"/>
    <col customWidth="1" min="4" max="4" width="20.0"/>
    <col customWidth="1" min="5" max="5" width="28.0"/>
    <col customWidth="1" min="6" max="6" width="8.71"/>
  </cols>
  <sheetData>
    <row r="1" ht="37.5" customHeight="1">
      <c r="A1" s="77" t="s">
        <v>155</v>
      </c>
      <c r="B1" s="27"/>
      <c r="C1" s="27"/>
      <c r="D1" s="27"/>
      <c r="E1" s="28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30.0" customHeight="1">
      <c r="A2" s="78" t="s">
        <v>156</v>
      </c>
      <c r="B2" s="27"/>
      <c r="C2" s="27"/>
      <c r="D2" s="27"/>
      <c r="E2" s="28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19.5" customHeight="1">
      <c r="A3" s="79" t="s">
        <v>157</v>
      </c>
      <c r="B3" s="27"/>
      <c r="C3" s="27"/>
      <c r="D3" s="27"/>
      <c r="E3" s="28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7.5" customHeight="1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1.75" customHeight="1">
      <c r="A5" s="80" t="s">
        <v>41</v>
      </c>
      <c r="B5" s="80" t="s">
        <v>158</v>
      </c>
      <c r="C5" s="80" t="s">
        <v>4</v>
      </c>
      <c r="D5" s="80" t="s">
        <v>5</v>
      </c>
      <c r="E5" s="80" t="s">
        <v>159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81" t="s">
        <v>160</v>
      </c>
      <c r="B6" s="82" t="s">
        <v>161</v>
      </c>
      <c r="C6" s="83" t="s">
        <v>162</v>
      </c>
      <c r="D6" s="83" t="s">
        <v>163</v>
      </c>
      <c r="E6" s="81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21.75" customHeight="1">
      <c r="A7" s="81" t="s">
        <v>164</v>
      </c>
      <c r="B7" s="82" t="s">
        <v>165</v>
      </c>
      <c r="C7" s="83" t="s">
        <v>166</v>
      </c>
      <c r="D7" s="83" t="s">
        <v>163</v>
      </c>
      <c r="E7" s="81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1.75" customHeight="1">
      <c r="A8" s="40" t="s">
        <v>167</v>
      </c>
      <c r="B8" s="84" t="s">
        <v>168</v>
      </c>
      <c r="C8" s="85" t="s">
        <v>166</v>
      </c>
      <c r="D8" s="85" t="s">
        <v>163</v>
      </c>
      <c r="E8" s="40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21.75" customHeight="1">
      <c r="A9" s="40" t="s">
        <v>169</v>
      </c>
      <c r="B9" s="84" t="s">
        <v>170</v>
      </c>
      <c r="C9" s="85" t="s">
        <v>166</v>
      </c>
      <c r="D9" s="85" t="s">
        <v>163</v>
      </c>
      <c r="E9" s="40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21.75" customHeight="1">
      <c r="A10" s="81" t="s">
        <v>171</v>
      </c>
      <c r="B10" s="82" t="s">
        <v>172</v>
      </c>
      <c r="C10" s="83" t="s">
        <v>166</v>
      </c>
      <c r="D10" s="83" t="s">
        <v>163</v>
      </c>
      <c r="E10" s="81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21.75" customHeight="1">
      <c r="A11" s="86" t="s">
        <v>173</v>
      </c>
      <c r="B11" s="87" t="s">
        <v>174</v>
      </c>
      <c r="C11" s="83" t="s">
        <v>166</v>
      </c>
      <c r="D11" s="83" t="s">
        <v>163</v>
      </c>
      <c r="E11" s="86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1.75" customHeight="1">
      <c r="A12" s="88" t="s">
        <v>175</v>
      </c>
      <c r="B12" s="89" t="s">
        <v>176</v>
      </c>
      <c r="C12" s="83" t="s">
        <v>166</v>
      </c>
      <c r="D12" s="83" t="s">
        <v>163</v>
      </c>
      <c r="E12" s="88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21.75" customHeight="1">
      <c r="A13" s="86" t="s">
        <v>177</v>
      </c>
      <c r="B13" s="87" t="s">
        <v>178</v>
      </c>
      <c r="C13" s="83" t="s">
        <v>166</v>
      </c>
      <c r="D13" s="83" t="s">
        <v>163</v>
      </c>
      <c r="E13" s="86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21.75" customHeight="1">
      <c r="A14" s="88" t="s">
        <v>179</v>
      </c>
      <c r="B14" s="89" t="s">
        <v>180</v>
      </c>
      <c r="C14" s="83" t="s">
        <v>166</v>
      </c>
      <c r="D14" s="83" t="s">
        <v>163</v>
      </c>
      <c r="E14" s="88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1.75" customHeight="1">
      <c r="A15" s="86" t="s">
        <v>63</v>
      </c>
      <c r="B15" s="87" t="s">
        <v>181</v>
      </c>
      <c r="C15" s="83" t="s">
        <v>182</v>
      </c>
      <c r="D15" s="83" t="s">
        <v>163</v>
      </c>
      <c r="E15" s="86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1.75" customHeight="1">
      <c r="A16" s="88" t="s">
        <v>183</v>
      </c>
      <c r="B16" s="89" t="s">
        <v>184</v>
      </c>
      <c r="C16" s="83" t="s">
        <v>162</v>
      </c>
      <c r="D16" s="83" t="s">
        <v>163</v>
      </c>
      <c r="E16" s="88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21.75" customHeight="1">
      <c r="A17" s="86" t="s">
        <v>185</v>
      </c>
      <c r="B17" s="87" t="s">
        <v>186</v>
      </c>
      <c r="C17" s="83" t="s">
        <v>166</v>
      </c>
      <c r="D17" s="83" t="s">
        <v>163</v>
      </c>
      <c r="E17" s="86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21.75" customHeight="1">
      <c r="A18" s="88" t="s">
        <v>187</v>
      </c>
      <c r="B18" s="89" t="s">
        <v>188</v>
      </c>
      <c r="C18" s="83" t="s">
        <v>166</v>
      </c>
      <c r="D18" s="83" t="s">
        <v>163</v>
      </c>
      <c r="E18" s="88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1.75" customHeight="1">
      <c r="A19" s="86" t="s">
        <v>189</v>
      </c>
      <c r="B19" s="87" t="s">
        <v>190</v>
      </c>
      <c r="C19" s="83" t="s">
        <v>166</v>
      </c>
      <c r="D19" s="83" t="s">
        <v>163</v>
      </c>
      <c r="E19" s="86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21.75" customHeight="1">
      <c r="A20" s="88" t="s">
        <v>191</v>
      </c>
      <c r="B20" s="89" t="s">
        <v>192</v>
      </c>
      <c r="C20" s="83" t="s">
        <v>166</v>
      </c>
      <c r="D20" s="83" t="s">
        <v>163</v>
      </c>
      <c r="E20" s="88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21.75" customHeight="1">
      <c r="A21" s="86" t="s">
        <v>193</v>
      </c>
      <c r="B21" s="87" t="s">
        <v>194</v>
      </c>
      <c r="C21" s="83" t="s">
        <v>162</v>
      </c>
      <c r="D21" s="83" t="s">
        <v>163</v>
      </c>
      <c r="E21" s="86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1.75" customHeight="1">
      <c r="A22" s="88" t="s">
        <v>195</v>
      </c>
      <c r="B22" s="89" t="s">
        <v>196</v>
      </c>
      <c r="C22" s="83" t="s">
        <v>166</v>
      </c>
      <c r="D22" s="83" t="s">
        <v>163</v>
      </c>
      <c r="E22" s="88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21.75" customHeight="1">
      <c r="A23" s="86" t="s">
        <v>197</v>
      </c>
      <c r="B23" s="87" t="s">
        <v>198</v>
      </c>
      <c r="C23" s="83" t="s">
        <v>166</v>
      </c>
      <c r="D23" s="83" t="s">
        <v>163</v>
      </c>
      <c r="E23" s="86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1.75" customHeight="1">
      <c r="A24" s="88" t="s">
        <v>199</v>
      </c>
      <c r="B24" s="89" t="s">
        <v>200</v>
      </c>
      <c r="C24" s="83" t="s">
        <v>166</v>
      </c>
      <c r="D24" s="83" t="s">
        <v>163</v>
      </c>
      <c r="E24" s="88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21.75" customHeight="1">
      <c r="A25" s="90" t="s">
        <v>201</v>
      </c>
      <c r="B25" s="91" t="s">
        <v>202</v>
      </c>
      <c r="C25" s="83" t="s">
        <v>166</v>
      </c>
      <c r="D25" s="83" t="s">
        <v>163</v>
      </c>
      <c r="E25" s="86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21.75" customHeight="1">
      <c r="A26" s="86" t="s">
        <v>203</v>
      </c>
      <c r="B26" s="87" t="s">
        <v>204</v>
      </c>
      <c r="C26" s="83" t="s">
        <v>166</v>
      </c>
      <c r="D26" s="83" t="s">
        <v>163</v>
      </c>
      <c r="E26" s="88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21.75" customHeight="1">
      <c r="A27" s="88" t="s">
        <v>205</v>
      </c>
      <c r="B27" s="89" t="s">
        <v>206</v>
      </c>
      <c r="C27" s="83" t="s">
        <v>166</v>
      </c>
      <c r="D27" s="83" t="s">
        <v>163</v>
      </c>
      <c r="E27" s="86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21.75" customHeight="1">
      <c r="A28" s="86" t="s">
        <v>207</v>
      </c>
      <c r="B28" s="87" t="s">
        <v>208</v>
      </c>
      <c r="C28" s="83" t="s">
        <v>166</v>
      </c>
      <c r="D28" s="83" t="s">
        <v>163</v>
      </c>
      <c r="E28" s="88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21.75" customHeight="1">
      <c r="A29" s="88" t="s">
        <v>209</v>
      </c>
      <c r="B29" s="89" t="s">
        <v>210</v>
      </c>
      <c r="C29" s="83" t="s">
        <v>166</v>
      </c>
      <c r="D29" s="83" t="s">
        <v>163</v>
      </c>
      <c r="E29" s="86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21.75" customHeight="1">
      <c r="A30" s="86" t="s">
        <v>211</v>
      </c>
      <c r="B30" s="87" t="s">
        <v>212</v>
      </c>
      <c r="C30" s="83" t="s">
        <v>166</v>
      </c>
      <c r="D30" s="83" t="s">
        <v>163</v>
      </c>
      <c r="E30" s="88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21.75" customHeight="1">
      <c r="A31" s="88" t="s">
        <v>213</v>
      </c>
      <c r="B31" s="89" t="s">
        <v>214</v>
      </c>
      <c r="C31" s="83" t="s">
        <v>166</v>
      </c>
      <c r="D31" s="83" t="s">
        <v>163</v>
      </c>
      <c r="E31" s="86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21.75" customHeight="1">
      <c r="A32" s="86" t="s">
        <v>215</v>
      </c>
      <c r="B32" s="87" t="s">
        <v>216</v>
      </c>
      <c r="C32" s="83" t="s">
        <v>166</v>
      </c>
      <c r="D32" s="83" t="s">
        <v>163</v>
      </c>
      <c r="E32" s="88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21.75" customHeight="1">
      <c r="A33" s="88" t="s">
        <v>217</v>
      </c>
      <c r="B33" s="89" t="s">
        <v>218</v>
      </c>
      <c r="C33" s="83" t="s">
        <v>166</v>
      </c>
      <c r="D33" s="83" t="s">
        <v>163</v>
      </c>
      <c r="E33" s="86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21.75" customHeight="1">
      <c r="A34" s="86" t="s">
        <v>219</v>
      </c>
      <c r="B34" s="87" t="s">
        <v>220</v>
      </c>
      <c r="C34" s="83" t="s">
        <v>166</v>
      </c>
      <c r="D34" s="83" t="s">
        <v>163</v>
      </c>
      <c r="E34" s="88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21.75" customHeight="1">
      <c r="A35" s="88" t="s">
        <v>221</v>
      </c>
      <c r="B35" s="89" t="s">
        <v>222</v>
      </c>
      <c r="C35" s="83" t="s">
        <v>166</v>
      </c>
      <c r="D35" s="83" t="s">
        <v>163</v>
      </c>
      <c r="E35" s="86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21.75" customHeight="1">
      <c r="A36" s="86" t="s">
        <v>223</v>
      </c>
      <c r="B36" s="87" t="s">
        <v>224</v>
      </c>
      <c r="C36" s="83" t="s">
        <v>166</v>
      </c>
      <c r="D36" s="83" t="s">
        <v>163</v>
      </c>
      <c r="E36" s="88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21.75" customHeight="1">
      <c r="A37" s="88" t="s">
        <v>225</v>
      </c>
      <c r="B37" s="89" t="s">
        <v>226</v>
      </c>
      <c r="C37" s="83" t="s">
        <v>227</v>
      </c>
      <c r="D37" s="83" t="s">
        <v>163</v>
      </c>
      <c r="E37" s="86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21.75" customHeight="1">
      <c r="A38" s="86" t="s">
        <v>228</v>
      </c>
      <c r="B38" s="87" t="s">
        <v>229</v>
      </c>
      <c r="C38" s="83" t="s">
        <v>227</v>
      </c>
      <c r="D38" s="83" t="s">
        <v>163</v>
      </c>
      <c r="E38" s="88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21.75" customHeight="1">
      <c r="A39" s="88" t="s">
        <v>230</v>
      </c>
      <c r="B39" s="89" t="s">
        <v>231</v>
      </c>
      <c r="C39" s="83" t="s">
        <v>227</v>
      </c>
      <c r="D39" s="83" t="s">
        <v>163</v>
      </c>
      <c r="E39" s="86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21.75" customHeight="1">
      <c r="A40" s="86" t="s">
        <v>232</v>
      </c>
      <c r="B40" s="87" t="s">
        <v>233</v>
      </c>
      <c r="C40" s="83" t="s">
        <v>166</v>
      </c>
      <c r="D40" s="83" t="s">
        <v>163</v>
      </c>
      <c r="E40" s="88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21.75" customHeight="1">
      <c r="A41" s="86"/>
      <c r="B41" s="87"/>
      <c r="C41" s="92"/>
      <c r="D41" s="92"/>
      <c r="E41" s="86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21.75" customHeight="1">
      <c r="A42" s="88"/>
      <c r="B42" s="89"/>
      <c r="C42" s="93"/>
      <c r="D42" s="93"/>
      <c r="E42" s="88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21.75" customHeight="1">
      <c r="A43" s="86"/>
      <c r="B43" s="87"/>
      <c r="C43" s="92"/>
      <c r="D43" s="92"/>
      <c r="E43" s="86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21.75" customHeight="1">
      <c r="A44" s="88"/>
      <c r="B44" s="89"/>
      <c r="C44" s="93"/>
      <c r="D44" s="93"/>
      <c r="E44" s="88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21.75" customHeight="1">
      <c r="A45" s="86"/>
      <c r="B45" s="87"/>
      <c r="C45" s="92"/>
      <c r="D45" s="92"/>
      <c r="E45" s="86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21.75" customHeight="1">
      <c r="A46" s="88"/>
      <c r="B46" s="89"/>
      <c r="C46" s="93"/>
      <c r="D46" s="93"/>
      <c r="E46" s="88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21.75" customHeight="1">
      <c r="A47" s="86"/>
      <c r="B47" s="87"/>
      <c r="C47" s="92"/>
      <c r="D47" s="92"/>
      <c r="E47" s="86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21.75" customHeight="1">
      <c r="A48" s="88"/>
      <c r="B48" s="89"/>
      <c r="C48" s="93"/>
      <c r="D48" s="93"/>
      <c r="E48" s="88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21.75" customHeight="1">
      <c r="A49" s="86"/>
      <c r="B49" s="87"/>
      <c r="C49" s="92"/>
      <c r="D49" s="92"/>
      <c r="E49" s="86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21.75" customHeight="1">
      <c r="A50" s="88"/>
      <c r="B50" s="89"/>
      <c r="C50" s="93"/>
      <c r="D50" s="93"/>
      <c r="E50" s="88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21.75" customHeight="1">
      <c r="A51" s="86"/>
      <c r="B51" s="87"/>
      <c r="C51" s="92"/>
      <c r="D51" s="92"/>
      <c r="E51" s="86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21.75" customHeight="1">
      <c r="A52" s="88"/>
      <c r="B52" s="89"/>
      <c r="C52" s="93"/>
      <c r="D52" s="93"/>
      <c r="E52" s="88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21.75" customHeight="1">
      <c r="A53" s="86"/>
      <c r="B53" s="87"/>
      <c r="C53" s="92"/>
      <c r="D53" s="92"/>
      <c r="E53" s="86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21.75" customHeight="1">
      <c r="A54" s="88"/>
      <c r="B54" s="89"/>
      <c r="C54" s="93"/>
      <c r="D54" s="93"/>
      <c r="E54" s="88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21.75" customHeight="1">
      <c r="A55" s="86"/>
      <c r="B55" s="87"/>
      <c r="C55" s="92"/>
      <c r="D55" s="92"/>
      <c r="E55" s="86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21.75" customHeight="1">
      <c r="A56" s="88"/>
      <c r="B56" s="89"/>
      <c r="C56" s="93"/>
      <c r="D56" s="93"/>
      <c r="E56" s="88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21.75" customHeight="1">
      <c r="A57" s="86"/>
      <c r="B57" s="87"/>
      <c r="C57" s="92"/>
      <c r="D57" s="92"/>
      <c r="E57" s="86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21.75" customHeight="1">
      <c r="A58" s="88"/>
      <c r="B58" s="89"/>
      <c r="C58" s="93"/>
      <c r="D58" s="93"/>
      <c r="E58" s="88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21.75" customHeight="1">
      <c r="A59" s="86"/>
      <c r="B59" s="87"/>
      <c r="C59" s="92"/>
      <c r="D59" s="92"/>
      <c r="E59" s="86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21.75" customHeight="1">
      <c r="A60" s="88"/>
      <c r="B60" s="89"/>
      <c r="C60" s="93"/>
      <c r="D60" s="93"/>
      <c r="E60" s="88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21.75" customHeight="1">
      <c r="A61" s="86"/>
      <c r="B61" s="87"/>
      <c r="C61" s="92"/>
      <c r="D61" s="92"/>
      <c r="E61" s="86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21.75" customHeight="1">
      <c r="A62" s="88"/>
      <c r="B62" s="89"/>
      <c r="C62" s="93"/>
      <c r="D62" s="93"/>
      <c r="E62" s="88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21.75" customHeight="1">
      <c r="A63" s="86"/>
      <c r="B63" s="87"/>
      <c r="C63" s="92"/>
      <c r="D63" s="92"/>
      <c r="E63" s="86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21.75" customHeight="1">
      <c r="A64" s="88"/>
      <c r="B64" s="89"/>
      <c r="C64" s="93"/>
      <c r="D64" s="93"/>
      <c r="E64" s="88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21.75" customHeight="1">
      <c r="A65" s="86"/>
      <c r="B65" s="87"/>
      <c r="C65" s="92"/>
      <c r="D65" s="92"/>
      <c r="E65" s="86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21.75" customHeight="1">
      <c r="A66" s="88"/>
      <c r="B66" s="89"/>
      <c r="C66" s="93"/>
      <c r="D66" s="93"/>
      <c r="E66" s="88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21.75" customHeight="1">
      <c r="A67" s="86"/>
      <c r="B67" s="87"/>
      <c r="C67" s="92"/>
      <c r="D67" s="92"/>
      <c r="E67" s="86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21.75" customHeight="1">
      <c r="A68" s="88"/>
      <c r="B68" s="89"/>
      <c r="C68" s="93"/>
      <c r="D68" s="93"/>
      <c r="E68" s="88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21.75" customHeight="1">
      <c r="A69" s="86"/>
      <c r="B69" s="87"/>
      <c r="C69" s="92"/>
      <c r="D69" s="92"/>
      <c r="E69" s="86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21.75" customHeight="1">
      <c r="A70" s="88"/>
      <c r="B70" s="89"/>
      <c r="C70" s="93"/>
      <c r="D70" s="93"/>
      <c r="E70" s="88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21.75" customHeight="1">
      <c r="A71" s="86"/>
      <c r="B71" s="87"/>
      <c r="C71" s="92"/>
      <c r="D71" s="92"/>
      <c r="E71" s="86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21.75" customHeight="1">
      <c r="A72" s="88"/>
      <c r="B72" s="89"/>
      <c r="C72" s="93"/>
      <c r="D72" s="93"/>
      <c r="E72" s="88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21.75" customHeight="1">
      <c r="A73" s="86"/>
      <c r="B73" s="87"/>
      <c r="C73" s="92"/>
      <c r="D73" s="92"/>
      <c r="E73" s="86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21.75" customHeight="1">
      <c r="A74" s="88"/>
      <c r="B74" s="89"/>
      <c r="C74" s="93"/>
      <c r="D74" s="93"/>
      <c r="E74" s="88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21.75" customHeight="1">
      <c r="A75" s="86"/>
      <c r="B75" s="87"/>
      <c r="C75" s="92"/>
      <c r="D75" s="92"/>
      <c r="E75" s="86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21.75" customHeight="1">
      <c r="A76" s="88"/>
      <c r="B76" s="89"/>
      <c r="C76" s="93"/>
      <c r="D76" s="93"/>
      <c r="E76" s="88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21.75" customHeight="1">
      <c r="A77" s="86"/>
      <c r="B77" s="87"/>
      <c r="C77" s="92"/>
      <c r="D77" s="92"/>
      <c r="E77" s="86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21.75" customHeight="1">
      <c r="A78" s="88"/>
      <c r="B78" s="89"/>
      <c r="C78" s="93"/>
      <c r="D78" s="93"/>
      <c r="E78" s="88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21.75" customHeight="1">
      <c r="A79" s="86"/>
      <c r="B79" s="87"/>
      <c r="C79" s="92"/>
      <c r="D79" s="92"/>
      <c r="E79" s="86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21.75" customHeight="1">
      <c r="A80" s="88"/>
      <c r="B80" s="89"/>
      <c r="C80" s="93"/>
      <c r="D80" s="93"/>
      <c r="E80" s="88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21.75" customHeight="1">
      <c r="A81" s="86"/>
      <c r="B81" s="87"/>
      <c r="C81" s="92"/>
      <c r="D81" s="92"/>
      <c r="E81" s="86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21.75" customHeight="1">
      <c r="A82" s="88"/>
      <c r="B82" s="89"/>
      <c r="C82" s="93"/>
      <c r="D82" s="93"/>
      <c r="E82" s="88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21.75" customHeight="1">
      <c r="A83" s="86"/>
      <c r="B83" s="87"/>
      <c r="C83" s="92"/>
      <c r="D83" s="92"/>
      <c r="E83" s="86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21.75" customHeight="1">
      <c r="A84" s="88"/>
      <c r="B84" s="89"/>
      <c r="C84" s="93"/>
      <c r="D84" s="93"/>
      <c r="E84" s="88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21.75" customHeight="1">
      <c r="A85" s="86"/>
      <c r="B85" s="87"/>
      <c r="C85" s="92"/>
      <c r="D85" s="92"/>
      <c r="E85" s="86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21.75" customHeight="1">
      <c r="A86" s="88"/>
      <c r="B86" s="89"/>
      <c r="C86" s="93"/>
      <c r="D86" s="93"/>
      <c r="E86" s="88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21.75" customHeight="1">
      <c r="A87" s="86"/>
      <c r="B87" s="87"/>
      <c r="C87" s="92"/>
      <c r="D87" s="92"/>
      <c r="E87" s="86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21.75" customHeight="1">
      <c r="A88" s="88"/>
      <c r="B88" s="89"/>
      <c r="C88" s="93"/>
      <c r="D88" s="93"/>
      <c r="E88" s="88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21.75" customHeight="1">
      <c r="A89" s="86"/>
      <c r="B89" s="87"/>
      <c r="C89" s="92"/>
      <c r="D89" s="92"/>
      <c r="E89" s="86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21.75" customHeight="1">
      <c r="A90" s="88"/>
      <c r="B90" s="89"/>
      <c r="C90" s="93"/>
      <c r="D90" s="93"/>
      <c r="E90" s="88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21.75" customHeight="1">
      <c r="A91" s="86"/>
      <c r="B91" s="87"/>
      <c r="C91" s="92"/>
      <c r="D91" s="92"/>
      <c r="E91" s="86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21.75" customHeight="1">
      <c r="A92" s="88"/>
      <c r="B92" s="89"/>
      <c r="C92" s="93"/>
      <c r="D92" s="93"/>
      <c r="E92" s="88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21.75" customHeight="1">
      <c r="A93" s="86"/>
      <c r="B93" s="87"/>
      <c r="C93" s="92"/>
      <c r="D93" s="92"/>
      <c r="E93" s="86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21.75" customHeight="1">
      <c r="A94" s="88"/>
      <c r="B94" s="89"/>
      <c r="C94" s="93"/>
      <c r="D94" s="93"/>
      <c r="E94" s="88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21.75" customHeight="1">
      <c r="A95" s="86"/>
      <c r="B95" s="87"/>
      <c r="C95" s="92"/>
      <c r="D95" s="92"/>
      <c r="E95" s="86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21.75" customHeight="1">
      <c r="A96" s="88"/>
      <c r="B96" s="89"/>
      <c r="C96" s="93"/>
      <c r="D96" s="93"/>
      <c r="E96" s="88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21.75" customHeight="1">
      <c r="A97" s="86"/>
      <c r="B97" s="87"/>
      <c r="C97" s="92"/>
      <c r="D97" s="92"/>
      <c r="E97" s="86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21.75" customHeight="1">
      <c r="A98" s="88"/>
      <c r="B98" s="89"/>
      <c r="C98" s="93"/>
      <c r="D98" s="93"/>
      <c r="E98" s="88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21.75" customHeight="1">
      <c r="A99" s="86"/>
      <c r="B99" s="87"/>
      <c r="C99" s="92"/>
      <c r="D99" s="92"/>
      <c r="E99" s="86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21.75" customHeight="1">
      <c r="A100" s="88"/>
      <c r="B100" s="89"/>
      <c r="C100" s="93"/>
      <c r="D100" s="93"/>
      <c r="E100" s="88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21.75" customHeight="1">
      <c r="A101" s="86"/>
      <c r="B101" s="87"/>
      <c r="C101" s="92"/>
      <c r="D101" s="92"/>
      <c r="E101" s="86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21.75" customHeight="1">
      <c r="A102" s="88"/>
      <c r="B102" s="89"/>
      <c r="C102" s="93"/>
      <c r="D102" s="93"/>
      <c r="E102" s="88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21.75" customHeight="1">
      <c r="A103" s="86"/>
      <c r="B103" s="87"/>
      <c r="C103" s="92"/>
      <c r="D103" s="92"/>
      <c r="E103" s="86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21.75" customHeight="1">
      <c r="A104" s="88"/>
      <c r="B104" s="89"/>
      <c r="C104" s="93"/>
      <c r="D104" s="93"/>
      <c r="E104" s="88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21.75" customHeight="1">
      <c r="A105" s="86"/>
      <c r="B105" s="87"/>
      <c r="C105" s="92"/>
      <c r="D105" s="92"/>
      <c r="E105" s="86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94" t="s">
        <v>234</v>
      </c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mergeCells count="4">
    <mergeCell ref="A1:E1"/>
    <mergeCell ref="A2:E2"/>
    <mergeCell ref="A3:E3"/>
    <mergeCell ref="A107:E107"/>
  </mergeCells>
  <dataValidations>
    <dataValidation type="list" allowBlank="1" sqref="C6:C105">
      <formula1>"Player,Captain,Coach,Treasurer,Support"</formula1>
    </dataValidation>
    <dataValidation type="list" allowBlank="1" sqref="D6:D105">
      <formula1>"Active,Inactive,Alumni"</formula1>
    </dataValidation>
  </dataValidation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2026-06-05T05:22:21Z</dcterms:created>
  <dc:creator>openpyxl</dc:creator>
</cp:coreProperties>
</file>