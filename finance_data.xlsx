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<sst xmlns="http://schemas.openxmlformats.org/spreadsheetml/2006/main" count="442" uniqueCount="255">
  <si>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</si>
  <si>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</si>
  <si>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</si>
  <si>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</si>
  <si>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</si>
  <si>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</si>
  <si>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</si>
  <si>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</si>
  <si>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</si>
  <si>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</si>
  <si>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</si>
  <si>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</si>
  <si>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</si>
  <si>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</si>
  <si>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</si>
  <si>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</si>
  <si>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</si>
  <si>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</si>
  <si>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</si>
  <si>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</si>
  <si>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</si>
  <si>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</si>
  <si>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</si>
  <si>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</si>
  <si>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</si>
  <si>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</si>
  <si>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</si>
  <si>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</si>
  <si>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</si>
  <si>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</si>
  <si>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</si>
  <si>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</si>
  <si>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</si>
  <si>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</si>
  <si>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</si>
  <si>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</si>
  <si>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</si>
  <si>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</si>
  <si>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</si>
  <si>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</si>
  <si>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</si>
  <si>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</si>
  <si>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</si>
  <si>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</si>
  <si>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</si>
  <si>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</si>
  <si>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</si>
  <si>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</si>
  <si>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</si>
  <si>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</si>
  <si>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</si>
  <si>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</si>
  <si>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</si>
  <si>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</si>
  <si>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</si>
  <si>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</si>
  <si>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</si>
  <si>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</si>
  <si>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</si>
  <si>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</si>
  <si>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</si>
  <si>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</si>
  <si>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</si>
  <si>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</si>
  <si>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</si>
  <si>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</si>
  <si>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</si>
  <si>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</si>
  <si>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</si>
  <si>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</si>
  <si>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</si>
  <si>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</si>
  <si>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</si>
  <si>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</si>
  <si>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</si>
  <si>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</si>
  <si>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</si>
  <si>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</si>
  <si>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</si>
  <si>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</si>
  <si>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</si>
  <si>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</si>
  <si>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</si>
  <si>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</si>
  <si>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</si>
  <si>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</si>
  <si>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</si>
  <si>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</si>
  <si>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</si>
  <si>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</si>
  <si>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</si>
  <si>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</si>
  <si>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</si>
  <si>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</si>
  <si>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</si>
  <si>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</si>
  <si>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</si>
  <si>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</si>
  <si>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</si>
  <si>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</si>
  <si>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</si>
  <si>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</si>
  <si>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</si>
  <si>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</si>
  <si>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</si>
  <si>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</si>
  <si>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</si>
  <si>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</si>
  <si>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</si>
  <si>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</si>
  <si>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</si>
  <si>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</si>
  <si>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</si>
  <si>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</si>
  <si>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</si>
  <si>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</si>
  <si>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</si>
  <si>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</si>
  <si>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</si>
  <si>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</si>
  <si>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</si>
  <si>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</si>
  <si>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</si>
  <si>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</si>
  <si>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</si>
  <si>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</si>
  <si>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</si>
  <si>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</si>
  <si>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</si>
  <si>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</si>
  <si>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</si>
  <si>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</si>
  <si>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</si>
  <si>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</si>
  <si>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</si>
  <si>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</si>
  <si>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</si>
  <si>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</si>
  <si>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</si>
  <si>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</si>
  <si>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</si>
  <si>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</si>
  <si>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</si>
  <si>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</si>
  <si>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</si>
  <si>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</si>
  <si>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</si>
  <si>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</si>
  <si>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</si>
  <si>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</si>
  <si>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</si>
  <si>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</si>
  <si>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</si>
  <si>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</si>
  <si>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</si>
  <si>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</si>
  <si>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</si>
  <si>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</si>
  <si>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</si>
  <si>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</si>
  <si>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</si>
  <si>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</si>
  <si>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</si>
  <si>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</si>
  <si>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</si>
  <si>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</si>
  <si>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</si>
  <si>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</si>
  <si>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</si>
  <si>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</si>
  <si>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</si>
  <si>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</si>
  <si>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</si>
  <si>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</si>
  <si>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</si>
  <si>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</si>
  <si>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</si>
  <si>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</si>
  <si>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</si>
  <si>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</si>
  <si>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</si>
  <si>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</si>
  <si>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</si>
  <si>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</si>
  <si>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</si>
  <si>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</si>
  <si>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</si>
  <si>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</si>
  <si>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</si>
  <si>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</si>
  <si>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</si>
  <si>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</si>
  <si>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</si>
  <si>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</si>
  <si>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</si>
  <si>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</si>
  <si>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</si>
  <si>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</si>
  <si>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</si>
  <si>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</si>
  <si>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</si>
  <si>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</si>
  <si>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</si>
  <si>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</si>
  <si>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</si>
  <si>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</si>
  <si>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</si>
  <si>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</si>
  <si>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</si>
  <si>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</si>
  <si>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</si>
  <si>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</si>
  <si>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</si>
  <si>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</si>
  <si>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</si>
  <si>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</si>
  <si>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</si>
  <si>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</si>
  <si>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</si>
  <si>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</si>
  <si>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</si>
  <si>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</si>
  <si>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</si>
  <si>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</si>
  <si>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</si>
  <si>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</si>
  <si>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</si>
  <si>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</si>
  <si>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</si>
  <si>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</si>
  <si>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</si>
  <si>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</si>
  <si>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</si>
  <si>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</si>
  <si>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</si>
  <si>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</si>
  <si>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</si>
  <si>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</si>
  <si>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</si>
  <si>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</si>
  <si>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</si>
  <si>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</si>
  <si>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</si>
  <si>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</si>
  <si>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</si>
  <si>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</si>
  <si>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Lily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</si>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</sst>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17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1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80.10181103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42.0284777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42.0284777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42.0284777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80.10181103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42.0284777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42.0284777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42.0284777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9.171334842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80.10181103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42.0284777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2.029411765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42.0284777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42.0284777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42.0284777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42.0284777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80.10181103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42.0284777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2.029411765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42.0284777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42.0284777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42.0284777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42.0284777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42.0284777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42.0284777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2.029411765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42.0284777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2.029411765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80.10181103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80.10181103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2.029411765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34.88655462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34.88655462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34.88655462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69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2" t="str">
        <f>IF(Roster!$A$13&lt;&gt;"",Roster!$A$13,"")</f>
        <v>Ian Piper</v>
      </c>
      <c r="B15" s="36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2" t="str">
        <f>IF(Roster!$A$35&lt;&gt;"",Roster!$A$35,"")</f>
        <v>Zach Esakof</v>
      </c>
      <c r="B37" s="36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2" t="str">
        <f>IF(Roster!$A$36&lt;&gt;"",Roster!$A$36,"")</f>
        <v>Annette Kukunas-Piper</v>
      </c>
      <c r="B38" s="36">
        <v>1.0</v>
      </c>
      <c r="C38" s="33" t="s">
        <v>46</v>
      </c>
      <c r="D38" s="33"/>
      <c r="E38" s="33"/>
      <c r="F38" s="33"/>
      <c r="G38" s="36">
        <v>1.0</v>
      </c>
      <c r="H38" s="36" t="s">
        <v>46</v>
      </c>
      <c r="I38" s="33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2" t="str">
        <f>IF(Roster!$A$37&lt;&gt;"",Roster!$A$37,"")</f>
        <v>Matt Duffy</v>
      </c>
      <c r="B39" s="36">
        <v>1.0</v>
      </c>
      <c r="C39" s="33" t="s">
        <v>46</v>
      </c>
      <c r="D39" s="33"/>
      <c r="E39" s="33"/>
      <c r="F39" s="33"/>
      <c r="G39" s="36">
        <v>1.0</v>
      </c>
      <c r="H39" s="36" t="s">
        <v>46</v>
      </c>
      <c r="I39" s="33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2" t="str">
        <f>IF(Roster!$A$38&lt;&gt;"",Roster!$A$38,"")</f>
        <v>Ryan Birchard</v>
      </c>
      <c r="B40" s="36">
        <v>1.0</v>
      </c>
      <c r="C40" s="33" t="s">
        <v>46</v>
      </c>
      <c r="D40" s="33"/>
      <c r="E40" s="33"/>
      <c r="F40" s="33"/>
      <c r="G40" s="36">
        <v>1.0</v>
      </c>
      <c r="H40" s="36" t="s">
        <v>46</v>
      </c>
      <c r="I40" s="33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6" t="s">
        <v>46</v>
      </c>
      <c r="I41" s="33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2" t="str">
        <f>IF(Roster!$A$40&lt;&gt;"",Roster!$A$40,"")</f>
        <v>Lily</v>
      </c>
      <c r="B42" s="36" t="s">
        <v>46</v>
      </c>
      <c r="C42" s="36" t="s">
        <v>46</v>
      </c>
      <c r="D42" s="33"/>
      <c r="E42" s="33"/>
      <c r="F42" s="33"/>
      <c r="G42" s="36">
        <v>0.0</v>
      </c>
      <c r="H42" s="36">
        <v>0.0</v>
      </c>
      <c r="I42" s="36">
        <v>0.0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2553.13</v>
      </c>
      <c r="C4" s="45">
        <f>A4-B4</f>
        <v>-444.13</v>
      </c>
      <c r="D4" s="46">
        <f>IFERROR(AVERAGE(F7:F996),0)</f>
        <v>582.76625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55"/>
      <c r="C15" s="55"/>
      <c r="D15" s="55"/>
      <c r="E15" s="55"/>
      <c r="F15" s="62"/>
      <c r="G15" s="55"/>
      <c r="H15" s="55"/>
      <c r="I15" s="55"/>
      <c r="J15" s="5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3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3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3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3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3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3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3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3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3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3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3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3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3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3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3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3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3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3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3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3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3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3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3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3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3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3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3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3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3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3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3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3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3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3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3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3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3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3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3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3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3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3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3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3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3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3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3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3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3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3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3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3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3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3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3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3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3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3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3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3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3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3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3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3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3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3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3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3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3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3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3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3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3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3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3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3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3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3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3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3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3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3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3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3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3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3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3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3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3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3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3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3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3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3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3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3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3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3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3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3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3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3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3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3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3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3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3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3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3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3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3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3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3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3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3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3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3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3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3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3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3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3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3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3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3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3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3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3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3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3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3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3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3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3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3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3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3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3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3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3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3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3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3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3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3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3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3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3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3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3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3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3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3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3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3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3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3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3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3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3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3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3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3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3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3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3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3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3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3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3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3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3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3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3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3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3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3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3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3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3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3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3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3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3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3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3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3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3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3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3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3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3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3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3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3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3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3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3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3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3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3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3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3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3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3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3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3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3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3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3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3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3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3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3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3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3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3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3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3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3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3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3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3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3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3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3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3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3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3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3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3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3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3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3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3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3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3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3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3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3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3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3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3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3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3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3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3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3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3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3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3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3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3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3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3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3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3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3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3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3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3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3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3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3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3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3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3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3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3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3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3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3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3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3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3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3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3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3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3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3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3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3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3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3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3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3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3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3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3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3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3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3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3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3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3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3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3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3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3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3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3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3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3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3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3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3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3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3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3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3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3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3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3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3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3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3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3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3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3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3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3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3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3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3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3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3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3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3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3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3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3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3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3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3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3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3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3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3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3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3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3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3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3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3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3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3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3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3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3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3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3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3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3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3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3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3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3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3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3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3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3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3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3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3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3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3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3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3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3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3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3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3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3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3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3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3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3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3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3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3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3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3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3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3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3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3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3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3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3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3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3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3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3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3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3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3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3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3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3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3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3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3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3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3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3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3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3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3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3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3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3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3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3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3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3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3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3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3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3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3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3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3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3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3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3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3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3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3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3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3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3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3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3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3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3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3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3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3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3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3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3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3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3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3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3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3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3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3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3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3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3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3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3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3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3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3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3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3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3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3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3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3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3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3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3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3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3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3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3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3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3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3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3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3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3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3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3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3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3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3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3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3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3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3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3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3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3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3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3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3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77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4"/>
      <c r="H2" s="6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5" t="s">
        <v>78</v>
      </c>
      <c r="B3" s="65" t="s">
        <v>79</v>
      </c>
      <c r="C3" s="65" t="s">
        <v>80</v>
      </c>
      <c r="D3" s="65" t="s">
        <v>81</v>
      </c>
      <c r="E3" s="65" t="s">
        <v>82</v>
      </c>
      <c r="F3" s="64"/>
      <c r="G3" s="64"/>
      <c r="H3" s="6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6">
        <f>SUMIF(E7:E206,"&gt;0",E7:E206)</f>
        <v>1280.999711</v>
      </c>
      <c r="B4" s="66">
        <f>SUMIF(E7:E206,"&lt;0",E7:E206)</f>
        <v>-2430.999711</v>
      </c>
      <c r="C4" s="66">
        <f>SUM(E7:E206)</f>
        <v>-1150</v>
      </c>
      <c r="D4" s="67">
        <f>COUNTIF(F7:F206,"Settled")</f>
        <v>2</v>
      </c>
      <c r="E4" s="67">
        <f>COUNTIF(F7:F206,"Unsettled")</f>
        <v>34</v>
      </c>
      <c r="F4" s="64"/>
      <c r="G4" s="64"/>
      <c r="H4" s="6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4"/>
      <c r="H5" s="6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83</v>
      </c>
      <c r="C6" s="5" t="s">
        <v>84</v>
      </c>
      <c r="D6" s="5" t="s">
        <v>85</v>
      </c>
      <c r="E6" s="5" t="s">
        <v>86</v>
      </c>
      <c r="F6" s="5" t="s">
        <v>5</v>
      </c>
      <c r="G6" s="64"/>
      <c r="H6" s="6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80.10181103</v>
      </c>
      <c r="C7" s="68">
        <f>IF(A7&lt;&gt;"",SUMIFS(Transactions!$F$7:$F$996,Transactions!$D$7:$D$996,"Income",Transactions!$E$7:$E$996,A7),"")</f>
        <v>0</v>
      </c>
      <c r="D7" s="68">
        <f>IF(A7&lt;&gt;"",SUMIFS(Transactions!$F$7:$F$996,Transactions!$D$7:$D$996,"Expense",Transactions!$E$7:$E$996,A7),"")</f>
        <v>0</v>
      </c>
      <c r="E7" s="66">
        <f t="shared" ref="E7:E206" si="1">IF(A7&lt;&gt;"",B7-C7-D7,"")</f>
        <v>80.10181103</v>
      </c>
      <c r="F7" s="66" t="str">
        <f t="shared" ref="F7:F206" si="2">IF(A7&lt;&gt;"",IF(E7=0,"Settled","Unsettled"),"")</f>
        <v>Unsettled</v>
      </c>
      <c r="G7" s="69"/>
      <c r="H7" s="6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42.0284777</v>
      </c>
      <c r="C8" s="68">
        <f>IF(A8&lt;&gt;"",SUMIFS(Transactions!$F$7:$F$996,Transactions!$D$7:$D$996,"Income",Transactions!$E$7:$E$996,A8),"")</f>
        <v>0</v>
      </c>
      <c r="D8" s="68">
        <f>IF(A8&lt;&gt;"",SUMIFS(Transactions!$F$7:$F$996,Transactions!$D$7:$D$996,"Expense",Transactions!$E$7:$E$996,A8),"")</f>
        <v>0</v>
      </c>
      <c r="E8" s="66">
        <f t="shared" si="1"/>
        <v>42.0284777</v>
      </c>
      <c r="F8" s="66" t="str">
        <f t="shared" si="2"/>
        <v>Unsettled</v>
      </c>
      <c r="G8" s="69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42.0284777</v>
      </c>
      <c r="C9" s="68">
        <f>IF(A9&lt;&gt;"",SUMIFS(Transactions!$F$7:$F$996,Transactions!$D$7:$D$996,"Income",Transactions!$E$7:$E$996,A9),"")</f>
        <v>0</v>
      </c>
      <c r="D9" s="68">
        <f>IF(A9&lt;&gt;"",SUMIFS(Transactions!$F$7:$F$996,Transactions!$D$7:$D$996,"Expense",Transactions!$E$7:$E$996,A9),"")</f>
        <v>0</v>
      </c>
      <c r="E9" s="66">
        <f t="shared" si="1"/>
        <v>42.0284777</v>
      </c>
      <c r="F9" s="66" t="str">
        <f t="shared" si="2"/>
        <v>Unsettled</v>
      </c>
      <c r="G9" s="69"/>
      <c r="H9" s="6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42.0284777</v>
      </c>
      <c r="C10" s="68">
        <f>IF(A10&lt;&gt;"",SUMIFS(Transactions!$F$7:$F$996,Transactions!$D$7:$D$996,"Income",Transactions!$E$7:$E$996,A10),"")</f>
        <v>0</v>
      </c>
      <c r="D10" s="68">
        <f>IF(A10&lt;&gt;"",SUMIFS(Transactions!$F$7:$F$996,Transactions!$D$7:$D$996,"Expense",Transactions!$E$7:$E$996,A10),"")</f>
        <v>0</v>
      </c>
      <c r="E10" s="66">
        <f t="shared" si="1"/>
        <v>42.0284777</v>
      </c>
      <c r="F10" s="66" t="str">
        <f t="shared" si="2"/>
        <v>Unsettled</v>
      </c>
      <c r="G10" s="69"/>
      <c r="H10" s="6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80.10181103</v>
      </c>
      <c r="C11" s="68">
        <f>IF(A11&lt;&gt;"",SUMIFS(Transactions!$F$7:$F$996,Transactions!$D$7:$D$996,"Income",Transactions!$E$7:$E$996,A11),"")</f>
        <v>0</v>
      </c>
      <c r="D11" s="68">
        <f>IF(A11&lt;&gt;"",SUMIFS(Transactions!$F$7:$F$996,Transactions!$D$7:$D$996,"Expense",Transactions!$E$7:$E$996,A11),"")</f>
        <v>0</v>
      </c>
      <c r="E11" s="66">
        <f t="shared" si="1"/>
        <v>80.10181103</v>
      </c>
      <c r="F11" s="66" t="str">
        <f t="shared" si="2"/>
        <v>Unsettled</v>
      </c>
      <c r="G11" s="69"/>
      <c r="H11" s="6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0" t="str">
        <f>IF(Roster!$A$10&lt;&gt;"",Roster!$A$10,"")</f>
        <v>Griffin O'Neal-Freeman</v>
      </c>
      <c r="B12" s="70">
        <f t="array" ref="B12">IF(A12&lt;&gt;"",IFERROR(SUMPRODUCT((INDEX(Attendance!$B$7:$AZ$206,MATCH(A12,Attendance!$A$7:$A$206,0),0)=1)*Attendance!$B$4:$AZ$4),0),"")</f>
        <v>42.0284777</v>
      </c>
      <c r="C12" s="71">
        <f>IF(A12&lt;&gt;"",SUMIFS(Transactions!$F$7:$F$996,Transactions!$D$7:$D$996,"Income",Transactions!$E$7:$E$996,A12),"")</f>
        <v>0</v>
      </c>
      <c r="D12" s="71">
        <f>IF(A12&lt;&gt;"",SUMIFS(Transactions!$F$7:$F$996,Transactions!$D$7:$D$996,"Expense",Transactions!$E$7:$E$996,A12),"")</f>
        <v>0</v>
      </c>
      <c r="E12" s="72">
        <f t="shared" si="1"/>
        <v>42.0284777</v>
      </c>
      <c r="F12" s="72" t="str">
        <f t="shared" si="2"/>
        <v>Unsettled</v>
      </c>
      <c r="G12" s="69"/>
      <c r="H12" s="6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42.0284777</v>
      </c>
      <c r="C13" s="68">
        <f>IF(A13&lt;&gt;"",SUMIFS(Transactions!$F$7:$F$996,Transactions!$D$7:$D$996,"Income",Transactions!$E$7:$E$996,A13),"")</f>
        <v>0</v>
      </c>
      <c r="D13" s="68">
        <f>IF(A13&lt;&gt;"",SUMIFS(Transactions!$F$7:$F$996,Transactions!$D$7:$D$996,"Expense",Transactions!$E$7:$E$996,A13),"")</f>
        <v>0</v>
      </c>
      <c r="E13" s="66">
        <f t="shared" si="1"/>
        <v>42.0284777</v>
      </c>
      <c r="F13" s="66" t="str">
        <f t="shared" si="2"/>
        <v>Unsettled</v>
      </c>
      <c r="G13" s="69"/>
      <c r="H13" s="6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0" t="str">
        <f>IF(Roster!$A$12&lt;&gt;"",Roster!$A$12,"")</f>
        <v>Harry Park</v>
      </c>
      <c r="B14" s="70">
        <f t="array" ref="B14">IF(A14&lt;&gt;"",IFERROR(SUMPRODUCT((INDEX(Attendance!$B$7:$AZ$206,MATCH(A14,Attendance!$A$7:$A$206,0),0)=1)*Attendance!$B$4:$AZ$4),0),"")</f>
        <v>42.0284777</v>
      </c>
      <c r="C14" s="71">
        <f>IF(A14&lt;&gt;"",SUMIFS(Transactions!$F$7:$F$996,Transactions!$D$7:$D$996,"Income",Transactions!$E$7:$E$996,A14),"")</f>
        <v>0</v>
      </c>
      <c r="D14" s="71">
        <f>IF(A14&lt;&gt;"",SUMIFS(Transactions!$F$7:$F$996,Transactions!$D$7:$D$996,"Expense",Transactions!$E$7:$E$996,A14),"")</f>
        <v>0</v>
      </c>
      <c r="E14" s="72">
        <f t="shared" si="1"/>
        <v>42.0284777</v>
      </c>
      <c r="F14" s="72" t="str">
        <f t="shared" si="2"/>
        <v>Unsettled</v>
      </c>
      <c r="G14" s="69"/>
      <c r="H14" s="6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9.171334842</v>
      </c>
      <c r="C15" s="68">
        <f>IF(A15&lt;&gt;"",SUMIFS(Transactions!$F$7:$F$996,Transactions!$D$7:$D$996,"Income",Transactions!$E$7:$E$996,A15),"")</f>
        <v>0</v>
      </c>
      <c r="D15" s="68">
        <f>IF(A15&lt;&gt;"",SUMIFS(Transactions!$F$7:$F$996,Transactions!$D$7:$D$996,"Expense",Transactions!$E$7:$E$996,A15),"")</f>
        <v>0</v>
      </c>
      <c r="E15" s="66">
        <f t="shared" si="1"/>
        <v>9.171334842</v>
      </c>
      <c r="F15" s="66" t="str">
        <f t="shared" si="2"/>
        <v>Unsettled</v>
      </c>
      <c r="G15" s="69"/>
      <c r="H15" s="6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0" t="str">
        <f>IF(Roster!$A$14&lt;&gt;"",Roster!$A$14,"")</f>
        <v>Jake Murray</v>
      </c>
      <c r="B16" s="70">
        <f t="array" ref="B16">IF(A16&lt;&gt;"",IFERROR(SUMPRODUCT((INDEX(Attendance!$B$7:$AZ$206,MATCH(A16,Attendance!$A$7:$A$206,0),0)=1)*Attendance!$B$4:$AZ$4),0),"")</f>
        <v>80.10181103</v>
      </c>
      <c r="C16" s="71">
        <f>IF(A16&lt;&gt;"",SUMIFS(Transactions!$F$7:$F$996,Transactions!$D$7:$D$996,"Income",Transactions!$E$7:$E$996,A16),"")</f>
        <v>0</v>
      </c>
      <c r="D16" s="71">
        <f>IF(A16&lt;&gt;"",SUMIFS(Transactions!$F$7:$F$996,Transactions!$D$7:$D$996,"Expense",Transactions!$E$7:$E$996,A16),"")</f>
        <v>2367.44</v>
      </c>
      <c r="E16" s="72">
        <f t="shared" si="1"/>
        <v>-2287.338189</v>
      </c>
      <c r="F16" s="72" t="str">
        <f t="shared" si="2"/>
        <v>Unsettled</v>
      </c>
      <c r="G16" s="69"/>
      <c r="H16" s="6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42.0284777</v>
      </c>
      <c r="C17" s="68">
        <f>IF(A17&lt;&gt;"",SUMIFS(Transactions!$F$7:$F$996,Transactions!$D$7:$D$996,"Income",Transactions!$E$7:$E$996,A17),"")</f>
        <v>0</v>
      </c>
      <c r="D17" s="68">
        <f>IF(A17&lt;&gt;"",SUMIFS(Transactions!$F$7:$F$996,Transactions!$D$7:$D$996,"Expense",Transactions!$E$7:$E$996,A17),"")</f>
        <v>185.69</v>
      </c>
      <c r="E17" s="66">
        <f t="shared" si="1"/>
        <v>-143.6615223</v>
      </c>
      <c r="F17" s="66" t="str">
        <f t="shared" si="2"/>
        <v>Unsettled</v>
      </c>
      <c r="G17" s="69"/>
      <c r="H17" s="6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0" t="str">
        <f>IF(Roster!$A$16&lt;&gt;"",Roster!$A$16,"")</f>
        <v>Jimmy Towle</v>
      </c>
      <c r="B18" s="70">
        <f t="array" ref="B18">IF(A18&lt;&gt;"",IFERROR(SUMPRODUCT((INDEX(Attendance!$B$7:$AZ$206,MATCH(A18,Attendance!$A$7:$A$206,0),0)=1)*Attendance!$B$4:$AZ$4),0),"")</f>
        <v>2.029411765</v>
      </c>
      <c r="C18" s="71">
        <f>IF(A18&lt;&gt;"",SUMIFS(Transactions!$F$7:$F$996,Transactions!$D$7:$D$996,"Income",Transactions!$E$7:$E$996,A18),"")</f>
        <v>0</v>
      </c>
      <c r="D18" s="71">
        <f>IF(A18&lt;&gt;"",SUMIFS(Transactions!$F$7:$F$996,Transactions!$D$7:$D$996,"Expense",Transactions!$E$7:$E$996,A18),"")</f>
        <v>0</v>
      </c>
      <c r="E18" s="72">
        <f t="shared" si="1"/>
        <v>2.029411765</v>
      </c>
      <c r="F18" s="72" t="str">
        <f t="shared" si="2"/>
        <v>Unsettled</v>
      </c>
      <c r="G18" s="69"/>
      <c r="H18" s="6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42.0284777</v>
      </c>
      <c r="C19" s="68">
        <f>IF(A19&lt;&gt;"",SUMIFS(Transactions!$F$7:$F$996,Transactions!$D$7:$D$996,"Income",Transactions!$E$7:$E$996,A19),"")</f>
        <v>0</v>
      </c>
      <c r="D19" s="68">
        <f>IF(A19&lt;&gt;"",SUMIFS(Transactions!$F$7:$F$996,Transactions!$D$7:$D$996,"Expense",Transactions!$E$7:$E$996,A19),"")</f>
        <v>0</v>
      </c>
      <c r="E19" s="66">
        <f t="shared" si="1"/>
        <v>42.0284777</v>
      </c>
      <c r="F19" s="66" t="str">
        <f t="shared" si="2"/>
        <v>Unsettled</v>
      </c>
      <c r="G19" s="69"/>
      <c r="H19" s="6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0" t="str">
        <f>IF(Roster!$A$18&lt;&gt;"",Roster!$A$18,"")</f>
        <v>Kasey Schock</v>
      </c>
      <c r="B20" s="70">
        <f t="array" ref="B20">IF(A20&lt;&gt;"",IFERROR(SUMPRODUCT((INDEX(Attendance!$B$7:$AZ$206,MATCH(A20,Attendance!$A$7:$A$206,0),0)=1)*Attendance!$B$4:$AZ$4),0),"")</f>
        <v>42.0284777</v>
      </c>
      <c r="C20" s="71">
        <f>IF(A20&lt;&gt;"",SUMIFS(Transactions!$F$7:$F$996,Transactions!$D$7:$D$996,"Income",Transactions!$E$7:$E$996,A20),"")</f>
        <v>0</v>
      </c>
      <c r="D20" s="71">
        <f>IF(A20&lt;&gt;"",SUMIFS(Transactions!$F$7:$F$996,Transactions!$D$7:$D$996,"Expense",Transactions!$E$7:$E$996,A20),"")</f>
        <v>0</v>
      </c>
      <c r="E20" s="72">
        <f t="shared" si="1"/>
        <v>42.0284777</v>
      </c>
      <c r="F20" s="72" t="str">
        <f t="shared" si="2"/>
        <v>Unsettled</v>
      </c>
      <c r="G20" s="69"/>
      <c r="H20" s="6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42.0284777</v>
      </c>
      <c r="C21" s="68">
        <f>IF(A21&lt;&gt;"",SUMIFS(Transactions!$F$7:$F$996,Transactions!$D$7:$D$996,"Income",Transactions!$E$7:$E$996,A21),"")</f>
        <v>0</v>
      </c>
      <c r="D21" s="68">
        <f>IF(A21&lt;&gt;"",SUMIFS(Transactions!$F$7:$F$996,Transactions!$D$7:$D$996,"Expense",Transactions!$E$7:$E$996,A21),"")</f>
        <v>0</v>
      </c>
      <c r="E21" s="66">
        <f t="shared" si="1"/>
        <v>42.0284777</v>
      </c>
      <c r="F21" s="66" t="str">
        <f t="shared" si="2"/>
        <v>Unsettled</v>
      </c>
      <c r="G21" s="69"/>
      <c r="H21" s="6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0" t="str">
        <f>IF(Roster!$A$20&lt;&gt;"",Roster!$A$20,"")</f>
        <v>Kit Asterin</v>
      </c>
      <c r="B22" s="70">
        <f t="array" ref="B22">IF(A22&lt;&gt;"",IFERROR(SUMPRODUCT((INDEX(Attendance!$B$7:$AZ$206,MATCH(A22,Attendance!$A$7:$A$206,0),0)=1)*Attendance!$B$4:$AZ$4),0),"")</f>
        <v>42.0284777</v>
      </c>
      <c r="C22" s="71">
        <f>IF(A22&lt;&gt;"",SUMIFS(Transactions!$F$7:$F$996,Transactions!$D$7:$D$996,"Income",Transactions!$E$7:$E$996,A22),"")</f>
        <v>0</v>
      </c>
      <c r="D22" s="71">
        <f>IF(A22&lt;&gt;"",SUMIFS(Transactions!$F$7:$F$996,Transactions!$D$7:$D$996,"Expense",Transactions!$E$7:$E$996,A22),"")</f>
        <v>0</v>
      </c>
      <c r="E22" s="72">
        <f t="shared" si="1"/>
        <v>42.0284777</v>
      </c>
      <c r="F22" s="72" t="str">
        <f t="shared" si="2"/>
        <v>Unsettled</v>
      </c>
      <c r="G22" s="69"/>
      <c r="H22" s="6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80.10181103</v>
      </c>
      <c r="C23" s="68">
        <f>IF(A23&lt;&gt;"",SUMIFS(Transactions!$F$7:$F$996,Transactions!$D$7:$D$996,"Income",Transactions!$E$7:$E$996,A23),"")</f>
        <v>0</v>
      </c>
      <c r="D23" s="68">
        <f>IF(A23&lt;&gt;"",SUMIFS(Transactions!$F$7:$F$996,Transactions!$D$7:$D$996,"Expense",Transactions!$E$7:$E$996,A23),"")</f>
        <v>0</v>
      </c>
      <c r="E23" s="66">
        <f t="shared" si="1"/>
        <v>80.10181103</v>
      </c>
      <c r="F23" s="66" t="str">
        <f t="shared" si="2"/>
        <v>Unsettled</v>
      </c>
      <c r="G23" s="69"/>
      <c r="H23" s="6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0" t="str">
        <f>IF(Roster!$A$22&lt;&gt;"",Roster!$A$22,"")</f>
        <v>Lexie Thomas</v>
      </c>
      <c r="B24" s="70">
        <f t="array" ref="B24">IF(A24&lt;&gt;"",IFERROR(SUMPRODUCT((INDEX(Attendance!$B$7:$AZ$206,MATCH(A24,Attendance!$A$7:$A$206,0),0)=1)*Attendance!$B$4:$AZ$4),0),"")</f>
        <v>42.0284777</v>
      </c>
      <c r="C24" s="71">
        <f>IF(A24&lt;&gt;"",SUMIFS(Transactions!$F$7:$F$996,Transactions!$D$7:$D$996,"Income",Transactions!$E$7:$E$996,A24),"")</f>
        <v>0</v>
      </c>
      <c r="D24" s="71">
        <f>IF(A24&lt;&gt;"",SUMIFS(Transactions!$F$7:$F$996,Transactions!$D$7:$D$996,"Expense",Transactions!$E$7:$E$996,A24),"")</f>
        <v>0</v>
      </c>
      <c r="E24" s="72">
        <f t="shared" si="1"/>
        <v>42.0284777</v>
      </c>
      <c r="F24" s="72" t="str">
        <f t="shared" si="2"/>
        <v>Unsettled</v>
      </c>
      <c r="G24" s="69"/>
      <c r="H24" s="6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2.029411765</v>
      </c>
      <c r="C25" s="68">
        <f>IF(A25&lt;&gt;"",SUMIFS(Transactions!$F$7:$F$996,Transactions!$D$7:$D$996,"Income",Transactions!$E$7:$E$996,A25),"")</f>
        <v>0</v>
      </c>
      <c r="D25" s="68">
        <f>IF(A25&lt;&gt;"",SUMIFS(Transactions!$F$7:$F$996,Transactions!$D$7:$D$996,"Expense",Transactions!$E$7:$E$996,A25),"")</f>
        <v>0</v>
      </c>
      <c r="E25" s="66">
        <f t="shared" si="1"/>
        <v>2.029411765</v>
      </c>
      <c r="F25" s="66" t="str">
        <f t="shared" si="2"/>
        <v>Unsettled</v>
      </c>
      <c r="G25" s="69"/>
      <c r="H25" s="6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0" t="str">
        <f>IF(Roster!$A$24&lt;&gt;"",Roster!$A$24,"")</f>
        <v>Max Sheppard</v>
      </c>
      <c r="B26" s="70">
        <f t="array" ref="B26">IF(A26&lt;&gt;"",IFERROR(SUMPRODUCT((INDEX(Attendance!$B$7:$AZ$206,MATCH(A26,Attendance!$A$7:$A$206,0),0)=1)*Attendance!$B$4:$AZ$4),0),"")</f>
        <v>42.0284777</v>
      </c>
      <c r="C26" s="71">
        <f>IF(A26&lt;&gt;"",SUMIFS(Transactions!$F$7:$F$996,Transactions!$D$7:$D$996,"Income",Transactions!$E$7:$E$996,A26),"")</f>
        <v>0</v>
      </c>
      <c r="D26" s="71">
        <f>IF(A26&lt;&gt;"",SUMIFS(Transactions!$F$7:$F$996,Transactions!$D$7:$D$996,"Expense",Transactions!$E$7:$E$996,A26),"")</f>
        <v>0</v>
      </c>
      <c r="E26" s="72">
        <f t="shared" si="1"/>
        <v>42.0284777</v>
      </c>
      <c r="F26" s="72" t="str">
        <f t="shared" si="2"/>
        <v>Unsettled</v>
      </c>
      <c r="G26" s="69"/>
      <c r="H26" s="6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42.0284777</v>
      </c>
      <c r="C27" s="68">
        <f>IF(A27&lt;&gt;"",SUMIFS(Transactions!$F$7:$F$996,Transactions!$D$7:$D$996,"Income",Transactions!$E$7:$E$996,A27),"")</f>
        <v>0</v>
      </c>
      <c r="D27" s="68">
        <f>IF(A27&lt;&gt;"",SUMIFS(Transactions!$F$7:$F$996,Transactions!$D$7:$D$996,"Expense",Transactions!$E$7:$E$996,A27),"")</f>
        <v>0</v>
      </c>
      <c r="E27" s="66">
        <f t="shared" si="1"/>
        <v>42.0284777</v>
      </c>
      <c r="F27" s="66" t="str">
        <f t="shared" si="2"/>
        <v>Unsettled</v>
      </c>
      <c r="G27" s="69"/>
      <c r="H27" s="6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0" t="str">
        <f>IF(Roster!$A$26&lt;&gt;"",Roster!$A$26,"")</f>
        <v>Patrick McMullen</v>
      </c>
      <c r="B28" s="70">
        <f t="array" ref="B28">IF(A28&lt;&gt;"",IFERROR(SUMPRODUCT((INDEX(Attendance!$B$7:$AZ$206,MATCH(A28,Attendance!$A$7:$A$206,0),0)=1)*Attendance!$B$4:$AZ$4),0),"")</f>
        <v>42.0284777</v>
      </c>
      <c r="C28" s="71">
        <f>IF(A28&lt;&gt;"",SUMIFS(Transactions!$F$7:$F$996,Transactions!$D$7:$D$996,"Income",Transactions!$E$7:$E$996,A28),"")</f>
        <v>0</v>
      </c>
      <c r="D28" s="71">
        <f>IF(A28&lt;&gt;"",SUMIFS(Transactions!$F$7:$F$996,Transactions!$D$7:$D$996,"Expense",Transactions!$E$7:$E$996,A28),"")</f>
        <v>0</v>
      </c>
      <c r="E28" s="72">
        <f t="shared" si="1"/>
        <v>42.0284777</v>
      </c>
      <c r="F28" s="72" t="str">
        <f t="shared" si="2"/>
        <v>Unsettled</v>
      </c>
      <c r="G28" s="69"/>
      <c r="H28" s="6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42.0284777</v>
      </c>
      <c r="C29" s="68">
        <f>IF(A29&lt;&gt;"",SUMIFS(Transactions!$F$7:$F$996,Transactions!$D$7:$D$996,"Income",Transactions!$E$7:$E$996,A29),"")</f>
        <v>0</v>
      </c>
      <c r="D29" s="68">
        <f>IF(A29&lt;&gt;"",SUMIFS(Transactions!$F$7:$F$996,Transactions!$D$7:$D$996,"Expense",Transactions!$E$7:$E$996,A29),"")</f>
        <v>0</v>
      </c>
      <c r="E29" s="66">
        <f t="shared" si="1"/>
        <v>42.0284777</v>
      </c>
      <c r="F29" s="66" t="str">
        <f t="shared" si="2"/>
        <v>Unsettled</v>
      </c>
      <c r="G29" s="69"/>
      <c r="H29" s="6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0" t="str">
        <f>IF(Roster!$A$28&lt;&gt;"",Roster!$A$28,"")</f>
        <v>Ryan Kindell</v>
      </c>
      <c r="B30" s="70">
        <f t="array" ref="B30">IF(A30&lt;&gt;"",IFERROR(SUMPRODUCT((INDEX(Attendance!$B$7:$AZ$206,MATCH(A30,Attendance!$A$7:$A$206,0),0)=1)*Attendance!$B$4:$AZ$4),0),"")</f>
        <v>42.0284777</v>
      </c>
      <c r="C30" s="71">
        <f>IF(A30&lt;&gt;"",SUMIFS(Transactions!$F$7:$F$996,Transactions!$D$7:$D$996,"Income",Transactions!$E$7:$E$996,A30),"")</f>
        <v>0</v>
      </c>
      <c r="D30" s="71">
        <f>IF(A30&lt;&gt;"",SUMIFS(Transactions!$F$7:$F$996,Transactions!$D$7:$D$996,"Expense",Transactions!$E$7:$E$996,A30),"")</f>
        <v>0</v>
      </c>
      <c r="E30" s="72">
        <f t="shared" si="1"/>
        <v>42.0284777</v>
      </c>
      <c r="F30" s="72" t="str">
        <f t="shared" si="2"/>
        <v>Unsettled</v>
      </c>
      <c r="G30" s="69"/>
      <c r="H30" s="6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42.0284777</v>
      </c>
      <c r="C31" s="68">
        <f>IF(A31&lt;&gt;"",SUMIFS(Transactions!$F$7:$F$996,Transactions!$D$7:$D$996,"Income",Transactions!$E$7:$E$996,A31),"")</f>
        <v>0</v>
      </c>
      <c r="D31" s="68">
        <f>IF(A31&lt;&gt;"",SUMIFS(Transactions!$F$7:$F$996,Transactions!$D$7:$D$996,"Expense",Transactions!$E$7:$E$996,A31),"")</f>
        <v>0</v>
      </c>
      <c r="E31" s="66">
        <f t="shared" si="1"/>
        <v>42.0284777</v>
      </c>
      <c r="F31" s="66" t="str">
        <f t="shared" si="2"/>
        <v>Unsettled</v>
      </c>
      <c r="G31" s="69"/>
      <c r="H31" s="6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0" t="str">
        <f>IF(Roster!$A$30&lt;&gt;"",Roster!$A$30,"")</f>
        <v>Sam Gombiner</v>
      </c>
      <c r="B32" s="70">
        <f t="array" ref="B32">IF(A32&lt;&gt;"",IFERROR(SUMPRODUCT((INDEX(Attendance!$B$7:$AZ$206,MATCH(A32,Attendance!$A$7:$A$206,0),0)=1)*Attendance!$B$4:$AZ$4),0),"")</f>
        <v>2.029411765</v>
      </c>
      <c r="C32" s="71">
        <f>IF(A32&lt;&gt;"",SUMIFS(Transactions!$F$7:$F$996,Transactions!$D$7:$D$996,"Income",Transactions!$E$7:$E$996,A32),"")</f>
        <v>0</v>
      </c>
      <c r="D32" s="71">
        <f>IF(A32&lt;&gt;"",SUMIFS(Transactions!$F$7:$F$996,Transactions!$D$7:$D$996,"Expense",Transactions!$E$7:$E$996,A32),"")</f>
        <v>0</v>
      </c>
      <c r="E32" s="72">
        <f t="shared" si="1"/>
        <v>2.029411765</v>
      </c>
      <c r="F32" s="72" t="str">
        <f t="shared" si="2"/>
        <v>Unsettled</v>
      </c>
      <c r="G32" s="69"/>
      <c r="H32" s="6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42.0284777</v>
      </c>
      <c r="C33" s="68">
        <f>IF(A33&lt;&gt;"",SUMIFS(Transactions!$F$7:$F$996,Transactions!$D$7:$D$996,"Income",Transactions!$E$7:$E$996,A33),"")</f>
        <v>0</v>
      </c>
      <c r="D33" s="68">
        <f>IF(A33&lt;&gt;"",SUMIFS(Transactions!$F$7:$F$996,Transactions!$D$7:$D$996,"Expense",Transactions!$E$7:$E$996,A33),"")</f>
        <v>0</v>
      </c>
      <c r="E33" s="66">
        <f t="shared" si="1"/>
        <v>42.0284777</v>
      </c>
      <c r="F33" s="66" t="str">
        <f t="shared" si="2"/>
        <v>Unsettled</v>
      </c>
      <c r="G33" s="69"/>
      <c r="H33" s="6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0" t="str">
        <f>IF(Roster!$A$32&lt;&gt;"",Roster!$A$32,"")</f>
        <v>Sarah Lynch</v>
      </c>
      <c r="B34" s="70">
        <f t="array" ref="B34">IF(A34&lt;&gt;"",IFERROR(SUMPRODUCT((INDEX(Attendance!$B$7:$AZ$206,MATCH(A34,Attendance!$A$7:$A$206,0),0)=1)*Attendance!$B$4:$AZ$4),0),"")</f>
        <v>2.029411765</v>
      </c>
      <c r="C34" s="71">
        <f>IF(A34&lt;&gt;"",SUMIFS(Transactions!$F$7:$F$996,Transactions!$D$7:$D$996,"Income",Transactions!$E$7:$E$996,A34),"")</f>
        <v>0</v>
      </c>
      <c r="D34" s="71">
        <f>IF(A34&lt;&gt;"",SUMIFS(Transactions!$F$7:$F$996,Transactions!$D$7:$D$996,"Expense",Transactions!$E$7:$E$996,A34),"")</f>
        <v>0</v>
      </c>
      <c r="E34" s="72">
        <f t="shared" si="1"/>
        <v>2.029411765</v>
      </c>
      <c r="F34" s="72" t="str">
        <f t="shared" si="2"/>
        <v>Unsettled</v>
      </c>
      <c r="G34" s="69"/>
      <c r="H34" s="6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80.10181103</v>
      </c>
      <c r="C35" s="68">
        <f>IF(A35&lt;&gt;"",SUMIFS(Transactions!$F$7:$F$996,Transactions!$D$7:$D$996,"Income",Transactions!$E$7:$E$996,A35),"")</f>
        <v>0</v>
      </c>
      <c r="D35" s="68">
        <f>IF(A35&lt;&gt;"",SUMIFS(Transactions!$F$7:$F$996,Transactions!$D$7:$D$996,"Expense",Transactions!$E$7:$E$996,A35),"")</f>
        <v>0</v>
      </c>
      <c r="E35" s="66">
        <f t="shared" si="1"/>
        <v>80.10181103</v>
      </c>
      <c r="F35" s="66" t="str">
        <f t="shared" si="2"/>
        <v>Unsettled</v>
      </c>
      <c r="G35" s="69"/>
      <c r="H35" s="6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0" t="str">
        <f>IF(Roster!$A$34&lt;&gt;"",Roster!$A$34,"")</f>
        <v>Vivian Shen</v>
      </c>
      <c r="B36" s="70">
        <f t="array" ref="B36">IF(A36&lt;&gt;"",IFERROR(SUMPRODUCT((INDEX(Attendance!$B$7:$AZ$206,MATCH(A36,Attendance!$A$7:$A$206,0),0)=1)*Attendance!$B$4:$AZ$4),0),"")</f>
        <v>80.10181103</v>
      </c>
      <c r="C36" s="71">
        <f>IF(A36&lt;&gt;"",SUMIFS(Transactions!$F$7:$F$996,Transactions!$D$7:$D$996,"Income",Transactions!$E$7:$E$996,A36),"")</f>
        <v>0</v>
      </c>
      <c r="D36" s="71">
        <f>IF(A36&lt;&gt;"",SUMIFS(Transactions!$F$7:$F$996,Transactions!$D$7:$D$996,"Expense",Transactions!$E$7:$E$996,A36),"")</f>
        <v>0</v>
      </c>
      <c r="E36" s="72">
        <f t="shared" si="1"/>
        <v>80.10181103</v>
      </c>
      <c r="F36" s="72" t="str">
        <f t="shared" si="2"/>
        <v>Unsettled</v>
      </c>
      <c r="G36" s="69"/>
      <c r="H36" s="6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2.029411765</v>
      </c>
      <c r="C37" s="68">
        <f>IF(A37&lt;&gt;"",SUMIFS(Transactions!$F$7:$F$996,Transactions!$D$7:$D$996,"Income",Transactions!$E$7:$E$996,A37),"")</f>
        <v>0</v>
      </c>
      <c r="D37" s="68">
        <f>IF(A37&lt;&gt;"",SUMIFS(Transactions!$F$7:$F$996,Transactions!$D$7:$D$996,"Expense",Transactions!$E$7:$E$996,A37),"")</f>
        <v>0</v>
      </c>
      <c r="E37" s="66">
        <f t="shared" si="1"/>
        <v>2.029411765</v>
      </c>
      <c r="F37" s="66" t="str">
        <f t="shared" si="2"/>
        <v>Unsettled</v>
      </c>
      <c r="G37" s="69"/>
      <c r="H37" s="6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0" t="str">
        <f>IF(Roster!$A$36&lt;&gt;"",Roster!$A$36,"")</f>
        <v>Annette Kukunas-Piper</v>
      </c>
      <c r="B38" s="70">
        <f t="array" ref="B38">IF(A38&lt;&gt;"",IFERROR(SUMPRODUCT((INDEX(Attendance!$B$7:$AZ$206,MATCH(A38,Attendance!$A$7:$A$206,0),0)=1)*Attendance!$B$4:$AZ$4),0),"")</f>
        <v>34.88655462</v>
      </c>
      <c r="C38" s="71">
        <f>IF(A38&lt;&gt;"",SUMIFS(Transactions!$F$7:$F$996,Transactions!$D$7:$D$996,"Income",Transactions!$E$7:$E$996,A38),"")</f>
        <v>0</v>
      </c>
      <c r="D38" s="71">
        <f>IF(A38&lt;&gt;"",SUMIFS(Transactions!$F$7:$F$996,Transactions!$D$7:$D$996,"Expense",Transactions!$E$7:$E$996,A38),"")</f>
        <v>0</v>
      </c>
      <c r="E38" s="72">
        <f t="shared" si="1"/>
        <v>34.88655462</v>
      </c>
      <c r="F38" s="72" t="str">
        <f t="shared" si="2"/>
        <v>Unsettled</v>
      </c>
      <c r="G38" s="69"/>
      <c r="H38" s="6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34.88655462</v>
      </c>
      <c r="C39" s="68">
        <f>IF(A39&lt;&gt;"",SUMIFS(Transactions!$F$7:$F$996,Transactions!$D$7:$D$996,"Income",Transactions!$E$7:$E$996,A39),"")</f>
        <v>0</v>
      </c>
      <c r="D39" s="68">
        <f>IF(A39&lt;&gt;"",SUMIFS(Transactions!$F$7:$F$996,Transactions!$D$7:$D$996,"Expense",Transactions!$E$7:$E$996,A39),"")</f>
        <v>0</v>
      </c>
      <c r="E39" s="66">
        <f t="shared" si="1"/>
        <v>34.88655462</v>
      </c>
      <c r="F39" s="66" t="str">
        <f t="shared" si="2"/>
        <v>Unsettled</v>
      </c>
      <c r="G39" s="69"/>
      <c r="H39" s="6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0" t="str">
        <f>IF(Roster!$A$38&lt;&gt;"",Roster!$A$38,"")</f>
        <v>Ryan Birchard</v>
      </c>
      <c r="B40" s="70">
        <f t="array" ref="B40">IF(A40&lt;&gt;"",IFERROR(SUMPRODUCT((INDEX(Attendance!$B$7:$AZ$206,MATCH(A40,Attendance!$A$7:$A$206,0),0)=1)*Attendance!$B$4:$AZ$4),0),"")</f>
        <v>34.88655462</v>
      </c>
      <c r="C40" s="71">
        <f>IF(A40&lt;&gt;"",SUMIFS(Transactions!$F$7:$F$996,Transactions!$D$7:$D$996,"Income",Transactions!$E$7:$E$996,A40),"")</f>
        <v>0</v>
      </c>
      <c r="D40" s="71">
        <f>IF(A40&lt;&gt;"",SUMIFS(Transactions!$F$7:$F$996,Transactions!$D$7:$D$996,"Expense",Transactions!$E$7:$E$996,A40),"")</f>
        <v>0</v>
      </c>
      <c r="E40" s="72">
        <f t="shared" si="1"/>
        <v>34.88655462</v>
      </c>
      <c r="F40" s="72" t="str">
        <f t="shared" si="2"/>
        <v>Unsettled</v>
      </c>
      <c r="G40" s="69"/>
      <c r="H40" s="6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68">
        <f>IF(A41&lt;&gt;"",SUMIFS(Transactions!$F$7:$F$996,Transactions!$D$7:$D$996,"Income",Transactions!$E$7:$E$996,A41),"")</f>
        <v>0</v>
      </c>
      <c r="D41" s="68">
        <f>IF(A41&lt;&gt;"",SUMIFS(Transactions!$F$7:$F$996,Transactions!$D$7:$D$996,"Expense",Transactions!$E$7:$E$996,A41),"")</f>
        <v>0</v>
      </c>
      <c r="E41" s="66">
        <f t="shared" si="1"/>
        <v>0</v>
      </c>
      <c r="F41" s="66" t="str">
        <f t="shared" si="2"/>
        <v>Settled</v>
      </c>
      <c r="G41" s="69"/>
      <c r="H41" s="6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0" t="str">
        <f>IF(Roster!$A$40&lt;&gt;"",Roster!$A$40,"")</f>
        <v>Lily</v>
      </c>
      <c r="B42" s="70">
        <f t="array" ref="B42">IF(A42&lt;&gt;"",IFERROR(SUMPRODUCT((INDEX(Attendance!$B$7:$AZ$206,MATCH(A42,Attendance!$A$7:$A$206,0),0)=1)*Attendance!$B$4:$AZ$4),0),"")</f>
        <v>0</v>
      </c>
      <c r="C42" s="71">
        <f>IF(A42&lt;&gt;"",SUMIFS(Transactions!$F$7:$F$996,Transactions!$D$7:$D$996,"Income",Transactions!$E$7:$E$996,A42),"")</f>
        <v>0</v>
      </c>
      <c r="D42" s="71">
        <f>IF(A42&lt;&gt;"",SUMIFS(Transactions!$F$7:$F$996,Transactions!$D$7:$D$996,"Expense",Transactions!$E$7:$E$996,A42),"")</f>
        <v>0</v>
      </c>
      <c r="E42" s="72">
        <f t="shared" si="1"/>
        <v>0</v>
      </c>
      <c r="F42" s="72" t="str">
        <f t="shared" si="2"/>
        <v>Settled</v>
      </c>
      <c r="G42" s="69"/>
      <c r="H42" s="6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68" t="str">
        <f>IF(A43&lt;&gt;"",SUMIFS(Transactions!$F$7:$F$996,Transactions!$D$7:$D$996,"Income",Transactions!$E$7:$E$996,A43),"")</f>
        <v/>
      </c>
      <c r="D43" s="68" t="str">
        <f>IF(A43&lt;&gt;"",SUMIFS(Transactions!$F$7:$F$996,Transactions!$D$7:$D$996,"Expense",Transactions!$E$7:$E$996,A43),"")</f>
        <v/>
      </c>
      <c r="E43" s="66" t="str">
        <f t="shared" si="1"/>
        <v/>
      </c>
      <c r="F43" s="66" t="str">
        <f t="shared" si="2"/>
        <v/>
      </c>
      <c r="G43" s="69"/>
      <c r="H43" s="6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0" t="str">
        <f>IF(Roster!$A$42&lt;&gt;"",Roster!$A$42,"")</f>
        <v/>
      </c>
      <c r="B44" s="70" t="str">
        <f t="array" ref="B44">IF(A44&lt;&gt;"",IFERROR(SUMPRODUCT((INDEX(Attendance!$B$7:$AZ$206,MATCH(A44,Attendance!$A$7:$A$206,0),0)=1)*Attendance!$B$4:$AZ$4),0),"")</f>
        <v/>
      </c>
      <c r="C44" s="71" t="str">
        <f>IF(A44&lt;&gt;"",SUMIFS(Transactions!$F$7:$F$996,Transactions!$D$7:$D$996,"Income",Transactions!$E$7:$E$996,A44),"")</f>
        <v/>
      </c>
      <c r="D44" s="71" t="str">
        <f>IF(A44&lt;&gt;"",SUMIFS(Transactions!$F$7:$F$996,Transactions!$D$7:$D$996,"Expense",Transactions!$E$7:$E$996,A44),"")</f>
        <v/>
      </c>
      <c r="E44" s="72" t="str">
        <f t="shared" si="1"/>
        <v/>
      </c>
      <c r="F44" s="72" t="str">
        <f t="shared" si="2"/>
        <v/>
      </c>
      <c r="G44" s="69"/>
      <c r="H44" s="6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68" t="str">
        <f>IF(A45&lt;&gt;"",SUMIFS(Transactions!$F$7:$F$996,Transactions!$D$7:$D$996,"Income",Transactions!$E$7:$E$996,A45),"")</f>
        <v/>
      </c>
      <c r="D45" s="68" t="str">
        <f>IF(A45&lt;&gt;"",SUMIFS(Transactions!$F$7:$F$996,Transactions!$D$7:$D$996,"Expense",Transactions!$E$7:$E$996,A45),"")</f>
        <v/>
      </c>
      <c r="E45" s="66" t="str">
        <f t="shared" si="1"/>
        <v/>
      </c>
      <c r="F45" s="66" t="str">
        <f t="shared" si="2"/>
        <v/>
      </c>
      <c r="G45" s="69"/>
      <c r="H45" s="6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0" t="str">
        <f>IF(Roster!$A$44&lt;&gt;"",Roster!$A$44,"")</f>
        <v/>
      </c>
      <c r="B46" s="70" t="str">
        <f t="array" ref="B46">IF(A46&lt;&gt;"",IFERROR(SUMPRODUCT((INDEX(Attendance!$B$7:$AZ$206,MATCH(A46,Attendance!$A$7:$A$206,0),0)=1)*Attendance!$B$4:$AZ$4),0),"")</f>
        <v/>
      </c>
      <c r="C46" s="71" t="str">
        <f>IF(A46&lt;&gt;"",SUMIFS(Transactions!$F$7:$F$996,Transactions!$D$7:$D$996,"Income",Transactions!$E$7:$E$996,A46),"")</f>
        <v/>
      </c>
      <c r="D46" s="71" t="str">
        <f>IF(A46&lt;&gt;"",SUMIFS(Transactions!$F$7:$F$996,Transactions!$D$7:$D$996,"Expense",Transactions!$E$7:$E$996,A46),"")</f>
        <v/>
      </c>
      <c r="E46" s="72" t="str">
        <f t="shared" si="1"/>
        <v/>
      </c>
      <c r="F46" s="72" t="str">
        <f t="shared" si="2"/>
        <v/>
      </c>
      <c r="G46" s="69"/>
      <c r="H46" s="6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68" t="str">
        <f>IF(A47&lt;&gt;"",SUMIFS(Transactions!$F$7:$F$996,Transactions!$D$7:$D$996,"Income",Transactions!$E$7:$E$996,A47),"")</f>
        <v/>
      </c>
      <c r="D47" s="68" t="str">
        <f>IF(A47&lt;&gt;"",SUMIFS(Transactions!$F$7:$F$996,Transactions!$D$7:$D$996,"Expense",Transactions!$E$7:$E$996,A47),"")</f>
        <v/>
      </c>
      <c r="E47" s="66" t="str">
        <f t="shared" si="1"/>
        <v/>
      </c>
      <c r="F47" s="66" t="str">
        <f t="shared" si="2"/>
        <v/>
      </c>
      <c r="G47" s="69"/>
      <c r="H47" s="6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0" t="str">
        <f>IF(Roster!$A$46&lt;&gt;"",Roster!$A$46,"")</f>
        <v/>
      </c>
      <c r="B48" s="70" t="str">
        <f t="array" ref="B48">IF(A48&lt;&gt;"",IFERROR(SUMPRODUCT((INDEX(Attendance!$B$7:$AZ$206,MATCH(A48,Attendance!$A$7:$A$206,0),0)=1)*Attendance!$B$4:$AZ$4),0),"")</f>
        <v/>
      </c>
      <c r="C48" s="71" t="str">
        <f>IF(A48&lt;&gt;"",SUMIFS(Transactions!$F$7:$F$996,Transactions!$D$7:$D$996,"Income",Transactions!$E$7:$E$996,A48),"")</f>
        <v/>
      </c>
      <c r="D48" s="71" t="str">
        <f>IF(A48&lt;&gt;"",SUMIFS(Transactions!$F$7:$F$996,Transactions!$D$7:$D$996,"Expense",Transactions!$E$7:$E$996,A48),"")</f>
        <v/>
      </c>
      <c r="E48" s="72" t="str">
        <f t="shared" si="1"/>
        <v/>
      </c>
      <c r="F48" s="72" t="str">
        <f t="shared" si="2"/>
        <v/>
      </c>
      <c r="G48" s="69"/>
      <c r="H48" s="6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68" t="str">
        <f>IF(A49&lt;&gt;"",SUMIFS(Transactions!$F$7:$F$996,Transactions!$D$7:$D$996,"Income",Transactions!$E$7:$E$996,A49),"")</f>
        <v/>
      </c>
      <c r="D49" s="68" t="str">
        <f>IF(A49&lt;&gt;"",SUMIFS(Transactions!$F$7:$F$996,Transactions!$D$7:$D$996,"Expense",Transactions!$E$7:$E$996,A49),"")</f>
        <v/>
      </c>
      <c r="E49" s="66" t="str">
        <f t="shared" si="1"/>
        <v/>
      </c>
      <c r="F49" s="66" t="str">
        <f t="shared" si="2"/>
        <v/>
      </c>
      <c r="G49" s="69"/>
      <c r="H49" s="6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0" t="str">
        <f>IF(Roster!$A$48&lt;&gt;"",Roster!$A$48,"")</f>
        <v/>
      </c>
      <c r="B50" s="70" t="str">
        <f t="array" ref="B50">IF(A50&lt;&gt;"",IFERROR(SUMPRODUCT((INDEX(Attendance!$B$7:$AZ$206,MATCH(A50,Attendance!$A$7:$A$206,0),0)=1)*Attendance!$B$4:$AZ$4),0),"")</f>
        <v/>
      </c>
      <c r="C50" s="71" t="str">
        <f>IF(A50&lt;&gt;"",SUMIFS(Transactions!$F$7:$F$996,Transactions!$D$7:$D$996,"Income",Transactions!$E$7:$E$996,A50),"")</f>
        <v/>
      </c>
      <c r="D50" s="71" t="str">
        <f>IF(A50&lt;&gt;"",SUMIFS(Transactions!$F$7:$F$996,Transactions!$D$7:$D$996,"Expense",Transactions!$E$7:$E$996,A50),"")</f>
        <v/>
      </c>
      <c r="E50" s="72" t="str">
        <f t="shared" si="1"/>
        <v/>
      </c>
      <c r="F50" s="72" t="str">
        <f t="shared" si="2"/>
        <v/>
      </c>
      <c r="G50" s="69"/>
      <c r="H50" s="6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68" t="str">
        <f>IF(A51&lt;&gt;"",SUMIFS(Transactions!$F$7:$F$996,Transactions!$D$7:$D$996,"Income",Transactions!$E$7:$E$996,A51),"")</f>
        <v/>
      </c>
      <c r="D51" s="68" t="str">
        <f>IF(A51&lt;&gt;"",SUMIFS(Transactions!$F$7:$F$996,Transactions!$D$7:$D$996,"Expense",Transactions!$E$7:$E$996,A51),"")</f>
        <v/>
      </c>
      <c r="E51" s="66" t="str">
        <f t="shared" si="1"/>
        <v/>
      </c>
      <c r="F51" s="66" t="str">
        <f t="shared" si="2"/>
        <v/>
      </c>
      <c r="G51" s="69"/>
      <c r="H51" s="6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0" t="str">
        <f>IF(Roster!$A$50&lt;&gt;"",Roster!$A$50,"")</f>
        <v/>
      </c>
      <c r="B52" s="70" t="str">
        <f t="array" ref="B52">IF(A52&lt;&gt;"",IFERROR(SUMPRODUCT((INDEX(Attendance!$B$7:$AZ$206,MATCH(A52,Attendance!$A$7:$A$206,0),0)=1)*Attendance!$B$4:$AZ$4),0),"")</f>
        <v/>
      </c>
      <c r="C52" s="71" t="str">
        <f>IF(A52&lt;&gt;"",SUMIFS(Transactions!$F$7:$F$996,Transactions!$D$7:$D$996,"Income",Transactions!$E$7:$E$996,A52),"")</f>
        <v/>
      </c>
      <c r="D52" s="71" t="str">
        <f>IF(A52&lt;&gt;"",SUMIFS(Transactions!$F$7:$F$996,Transactions!$D$7:$D$996,"Expense",Transactions!$E$7:$E$996,A52),"")</f>
        <v/>
      </c>
      <c r="E52" s="72" t="str">
        <f t="shared" si="1"/>
        <v/>
      </c>
      <c r="F52" s="72" t="str">
        <f t="shared" si="2"/>
        <v/>
      </c>
      <c r="G52" s="69"/>
      <c r="H52" s="6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68" t="str">
        <f>IF(A53&lt;&gt;"",SUMIFS(Transactions!$F$7:$F$996,Transactions!$D$7:$D$996,"Income",Transactions!$E$7:$E$996,A53),"")</f>
        <v/>
      </c>
      <c r="D53" s="68" t="str">
        <f>IF(A53&lt;&gt;"",SUMIFS(Transactions!$F$7:$F$996,Transactions!$D$7:$D$996,"Expense",Transactions!$E$7:$E$996,A53),"")</f>
        <v/>
      </c>
      <c r="E53" s="66" t="str">
        <f t="shared" si="1"/>
        <v/>
      </c>
      <c r="F53" s="66" t="str">
        <f t="shared" si="2"/>
        <v/>
      </c>
      <c r="G53" s="69"/>
      <c r="H53" s="6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0" t="str">
        <f>IF(Roster!$A$52&lt;&gt;"",Roster!$A$52,"")</f>
        <v/>
      </c>
      <c r="B54" s="70" t="str">
        <f t="array" ref="B54">IF(A54&lt;&gt;"",IFERROR(SUMPRODUCT((INDEX(Attendance!$B$7:$AZ$206,MATCH(A54,Attendance!$A$7:$A$206,0),0)=1)*Attendance!$B$4:$AZ$4),0),"")</f>
        <v/>
      </c>
      <c r="C54" s="71" t="str">
        <f>IF(A54&lt;&gt;"",SUMIFS(Transactions!$F$7:$F$996,Transactions!$D$7:$D$996,"Income",Transactions!$E$7:$E$996,A54),"")</f>
        <v/>
      </c>
      <c r="D54" s="71" t="str">
        <f>IF(A54&lt;&gt;"",SUMIFS(Transactions!$F$7:$F$996,Transactions!$D$7:$D$996,"Expense",Transactions!$E$7:$E$996,A54),"")</f>
        <v/>
      </c>
      <c r="E54" s="72" t="str">
        <f t="shared" si="1"/>
        <v/>
      </c>
      <c r="F54" s="72" t="str">
        <f t="shared" si="2"/>
        <v/>
      </c>
      <c r="G54" s="69"/>
      <c r="H54" s="6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68" t="str">
        <f>IF(A55&lt;&gt;"",SUMIFS(Transactions!$F$7:$F$996,Transactions!$D$7:$D$996,"Income",Transactions!$E$7:$E$996,A55),"")</f>
        <v/>
      </c>
      <c r="D55" s="68" t="str">
        <f>IF(A55&lt;&gt;"",SUMIFS(Transactions!$F$7:$F$996,Transactions!$D$7:$D$996,"Expense",Transactions!$E$7:$E$996,A55),"")</f>
        <v/>
      </c>
      <c r="E55" s="66" t="str">
        <f t="shared" si="1"/>
        <v/>
      </c>
      <c r="F55" s="66" t="str">
        <f t="shared" si="2"/>
        <v/>
      </c>
      <c r="G55" s="69"/>
      <c r="H55" s="6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0" t="str">
        <f>IF(Roster!$A$54&lt;&gt;"",Roster!$A$54,"")</f>
        <v/>
      </c>
      <c r="B56" s="70" t="str">
        <f t="array" ref="B56">IF(A56&lt;&gt;"",IFERROR(SUMPRODUCT((INDEX(Attendance!$B$7:$AZ$206,MATCH(A56,Attendance!$A$7:$A$206,0),0)=1)*Attendance!$B$4:$AZ$4),0),"")</f>
        <v/>
      </c>
      <c r="C56" s="71" t="str">
        <f>IF(A56&lt;&gt;"",SUMIFS(Transactions!$F$7:$F$996,Transactions!$D$7:$D$996,"Income",Transactions!$E$7:$E$996,A56),"")</f>
        <v/>
      </c>
      <c r="D56" s="71" t="str">
        <f>IF(A56&lt;&gt;"",SUMIFS(Transactions!$F$7:$F$996,Transactions!$D$7:$D$996,"Expense",Transactions!$E$7:$E$996,A56),"")</f>
        <v/>
      </c>
      <c r="E56" s="72" t="str">
        <f t="shared" si="1"/>
        <v/>
      </c>
      <c r="F56" s="72" t="str">
        <f t="shared" si="2"/>
        <v/>
      </c>
      <c r="G56" s="69"/>
      <c r="H56" s="6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68" t="str">
        <f>IF(A57&lt;&gt;"",SUMIFS(Transactions!$F$7:$F$996,Transactions!$D$7:$D$996,"Income",Transactions!$E$7:$E$996,A57),"")</f>
        <v/>
      </c>
      <c r="D57" s="68" t="str">
        <f>IF(A57&lt;&gt;"",SUMIFS(Transactions!$F$7:$F$996,Transactions!$D$7:$D$996,"Expense",Transactions!$E$7:$E$996,A57),"")</f>
        <v/>
      </c>
      <c r="E57" s="66" t="str">
        <f t="shared" si="1"/>
        <v/>
      </c>
      <c r="F57" s="66" t="str">
        <f t="shared" si="2"/>
        <v/>
      </c>
      <c r="G57" s="69"/>
      <c r="H57" s="6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0" t="str">
        <f>IF(Roster!$A$56&lt;&gt;"",Roster!$A$56,"")</f>
        <v/>
      </c>
      <c r="B58" s="70" t="str">
        <f t="array" ref="B58">IF(A58&lt;&gt;"",IFERROR(SUMPRODUCT((INDEX(Attendance!$B$7:$AZ$206,MATCH(A58,Attendance!$A$7:$A$206,0),0)=1)*Attendance!$B$4:$AZ$4),0),"")</f>
        <v/>
      </c>
      <c r="C58" s="71" t="str">
        <f>IF(A58&lt;&gt;"",SUMIFS(Transactions!$F$7:$F$996,Transactions!$D$7:$D$996,"Income",Transactions!$E$7:$E$996,A58),"")</f>
        <v/>
      </c>
      <c r="D58" s="71" t="str">
        <f>IF(A58&lt;&gt;"",SUMIFS(Transactions!$F$7:$F$996,Transactions!$D$7:$D$996,"Expense",Transactions!$E$7:$E$996,A58),"")</f>
        <v/>
      </c>
      <c r="E58" s="72" t="str">
        <f t="shared" si="1"/>
        <v/>
      </c>
      <c r="F58" s="72" t="str">
        <f t="shared" si="2"/>
        <v/>
      </c>
      <c r="G58" s="69"/>
      <c r="H58" s="6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68" t="str">
        <f>IF(A59&lt;&gt;"",SUMIFS(Transactions!$F$7:$F$996,Transactions!$D$7:$D$996,"Income",Transactions!$E$7:$E$996,A59),"")</f>
        <v/>
      </c>
      <c r="D59" s="68" t="str">
        <f>IF(A59&lt;&gt;"",SUMIFS(Transactions!$F$7:$F$996,Transactions!$D$7:$D$996,"Expense",Transactions!$E$7:$E$996,A59),"")</f>
        <v/>
      </c>
      <c r="E59" s="66" t="str">
        <f t="shared" si="1"/>
        <v/>
      </c>
      <c r="F59" s="66" t="str">
        <f t="shared" si="2"/>
        <v/>
      </c>
      <c r="G59" s="69"/>
      <c r="H59" s="6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0" t="str">
        <f>IF(Roster!$A$58&lt;&gt;"",Roster!$A$58,"")</f>
        <v/>
      </c>
      <c r="B60" s="70" t="str">
        <f t="array" ref="B60">IF(A60&lt;&gt;"",IFERROR(SUMPRODUCT((INDEX(Attendance!$B$7:$AZ$206,MATCH(A60,Attendance!$A$7:$A$206,0),0)=1)*Attendance!$B$4:$AZ$4),0),"")</f>
        <v/>
      </c>
      <c r="C60" s="71" t="str">
        <f>IF(A60&lt;&gt;"",SUMIFS(Transactions!$F$7:$F$996,Transactions!$D$7:$D$996,"Income",Transactions!$E$7:$E$996,A60),"")</f>
        <v/>
      </c>
      <c r="D60" s="71" t="str">
        <f>IF(A60&lt;&gt;"",SUMIFS(Transactions!$F$7:$F$996,Transactions!$D$7:$D$996,"Expense",Transactions!$E$7:$E$996,A60),"")</f>
        <v/>
      </c>
      <c r="E60" s="72" t="str">
        <f t="shared" si="1"/>
        <v/>
      </c>
      <c r="F60" s="72" t="str">
        <f t="shared" si="2"/>
        <v/>
      </c>
      <c r="G60" s="69"/>
      <c r="H60" s="6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68" t="str">
        <f>IF(A61&lt;&gt;"",SUMIFS(Transactions!$F$7:$F$996,Transactions!$D$7:$D$996,"Income",Transactions!$E$7:$E$996,A61),"")</f>
        <v/>
      </c>
      <c r="D61" s="68" t="str">
        <f>IF(A61&lt;&gt;"",SUMIFS(Transactions!$F$7:$F$996,Transactions!$D$7:$D$996,"Expense",Transactions!$E$7:$E$996,A61),"")</f>
        <v/>
      </c>
      <c r="E61" s="66" t="str">
        <f t="shared" si="1"/>
        <v/>
      </c>
      <c r="F61" s="66" t="str">
        <f t="shared" si="2"/>
        <v/>
      </c>
      <c r="G61" s="69"/>
      <c r="H61" s="6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0" t="str">
        <f>IF(Roster!$A$60&lt;&gt;"",Roster!$A$60,"")</f>
        <v/>
      </c>
      <c r="B62" s="70" t="str">
        <f t="array" ref="B62">IF(A62&lt;&gt;"",IFERROR(SUMPRODUCT((INDEX(Attendance!$B$7:$AZ$206,MATCH(A62,Attendance!$A$7:$A$206,0),0)=1)*Attendance!$B$4:$AZ$4),0),"")</f>
        <v/>
      </c>
      <c r="C62" s="71" t="str">
        <f>IF(A62&lt;&gt;"",SUMIFS(Transactions!$F$7:$F$996,Transactions!$D$7:$D$996,"Income",Transactions!$E$7:$E$996,A62),"")</f>
        <v/>
      </c>
      <c r="D62" s="71" t="str">
        <f>IF(A62&lt;&gt;"",SUMIFS(Transactions!$F$7:$F$996,Transactions!$D$7:$D$996,"Expense",Transactions!$E$7:$E$996,A62),"")</f>
        <v/>
      </c>
      <c r="E62" s="72" t="str">
        <f t="shared" si="1"/>
        <v/>
      </c>
      <c r="F62" s="72" t="str">
        <f t="shared" si="2"/>
        <v/>
      </c>
      <c r="G62" s="69"/>
      <c r="H62" s="6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68" t="str">
        <f>IF(A63&lt;&gt;"",SUMIFS(Transactions!$F$7:$F$996,Transactions!$D$7:$D$996,"Income",Transactions!$E$7:$E$996,A63),"")</f>
        <v/>
      </c>
      <c r="D63" s="68" t="str">
        <f>IF(A63&lt;&gt;"",SUMIFS(Transactions!$F$7:$F$996,Transactions!$D$7:$D$996,"Expense",Transactions!$E$7:$E$996,A63),"")</f>
        <v/>
      </c>
      <c r="E63" s="66" t="str">
        <f t="shared" si="1"/>
        <v/>
      </c>
      <c r="F63" s="66" t="str">
        <f t="shared" si="2"/>
        <v/>
      </c>
      <c r="G63" s="69"/>
      <c r="H63" s="6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0" t="str">
        <f>IF(Roster!$A$62&lt;&gt;"",Roster!$A$62,"")</f>
        <v/>
      </c>
      <c r="B64" s="70" t="str">
        <f t="array" ref="B64">IF(A64&lt;&gt;"",IFERROR(SUMPRODUCT((INDEX(Attendance!$B$7:$AZ$206,MATCH(A64,Attendance!$A$7:$A$206,0),0)=1)*Attendance!$B$4:$AZ$4),0),"")</f>
        <v/>
      </c>
      <c r="C64" s="71" t="str">
        <f>IF(A64&lt;&gt;"",SUMIFS(Transactions!$F$7:$F$996,Transactions!$D$7:$D$996,"Income",Transactions!$E$7:$E$996,A64),"")</f>
        <v/>
      </c>
      <c r="D64" s="71" t="str">
        <f>IF(A64&lt;&gt;"",SUMIFS(Transactions!$F$7:$F$996,Transactions!$D$7:$D$996,"Expense",Transactions!$E$7:$E$996,A64),"")</f>
        <v/>
      </c>
      <c r="E64" s="72" t="str">
        <f t="shared" si="1"/>
        <v/>
      </c>
      <c r="F64" s="72" t="str">
        <f t="shared" si="2"/>
        <v/>
      </c>
      <c r="G64" s="69"/>
      <c r="H64" s="6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68" t="str">
        <f>IF(A65&lt;&gt;"",SUMIFS(Transactions!$F$7:$F$996,Transactions!$D$7:$D$996,"Income",Transactions!$E$7:$E$996,A65),"")</f>
        <v/>
      </c>
      <c r="D65" s="68" t="str">
        <f>IF(A65&lt;&gt;"",SUMIFS(Transactions!$F$7:$F$996,Transactions!$D$7:$D$996,"Expense",Transactions!$E$7:$E$996,A65),"")</f>
        <v/>
      </c>
      <c r="E65" s="66" t="str">
        <f t="shared" si="1"/>
        <v/>
      </c>
      <c r="F65" s="66" t="str">
        <f t="shared" si="2"/>
        <v/>
      </c>
      <c r="G65" s="69"/>
      <c r="H65" s="6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0" t="str">
        <f>IF(Roster!$A$64&lt;&gt;"",Roster!$A$64,"")</f>
        <v/>
      </c>
      <c r="B66" s="70" t="str">
        <f t="array" ref="B66">IF(A66&lt;&gt;"",IFERROR(SUMPRODUCT((INDEX(Attendance!$B$7:$AZ$206,MATCH(A66,Attendance!$A$7:$A$206,0),0)=1)*Attendance!$B$4:$AZ$4),0),"")</f>
        <v/>
      </c>
      <c r="C66" s="71" t="str">
        <f>IF(A66&lt;&gt;"",SUMIFS(Transactions!$F$7:$F$996,Transactions!$D$7:$D$996,"Income",Transactions!$E$7:$E$996,A66),"")</f>
        <v/>
      </c>
      <c r="D66" s="71" t="str">
        <f>IF(A66&lt;&gt;"",SUMIFS(Transactions!$F$7:$F$996,Transactions!$D$7:$D$996,"Expense",Transactions!$E$7:$E$996,A66),"")</f>
        <v/>
      </c>
      <c r="E66" s="72" t="str">
        <f t="shared" si="1"/>
        <v/>
      </c>
      <c r="F66" s="72" t="str">
        <f t="shared" si="2"/>
        <v/>
      </c>
      <c r="G66" s="69"/>
      <c r="H66" s="6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68" t="str">
        <f>IF(A67&lt;&gt;"",SUMIFS(Transactions!$F$7:$F$996,Transactions!$D$7:$D$996,"Income",Transactions!$E$7:$E$996,A67),"")</f>
        <v/>
      </c>
      <c r="D67" s="68" t="str">
        <f>IF(A67&lt;&gt;"",SUMIFS(Transactions!$F$7:$F$996,Transactions!$D$7:$D$996,"Expense",Transactions!$E$7:$E$996,A67),"")</f>
        <v/>
      </c>
      <c r="E67" s="66" t="str">
        <f t="shared" si="1"/>
        <v/>
      </c>
      <c r="F67" s="66" t="str">
        <f t="shared" si="2"/>
        <v/>
      </c>
      <c r="G67" s="69"/>
      <c r="H67" s="6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0" t="str">
        <f>IF(Roster!$A$66&lt;&gt;"",Roster!$A$66,"")</f>
        <v/>
      </c>
      <c r="B68" s="70" t="str">
        <f t="array" ref="B68">IF(A68&lt;&gt;"",IFERROR(SUMPRODUCT((INDEX(Attendance!$B$7:$AZ$206,MATCH(A68,Attendance!$A$7:$A$206,0),0)=1)*Attendance!$B$4:$AZ$4),0),"")</f>
        <v/>
      </c>
      <c r="C68" s="71" t="str">
        <f>IF(A68&lt;&gt;"",SUMIFS(Transactions!$F$7:$F$996,Transactions!$D$7:$D$996,"Income",Transactions!$E$7:$E$996,A68),"")</f>
        <v/>
      </c>
      <c r="D68" s="71" t="str">
        <f>IF(A68&lt;&gt;"",SUMIFS(Transactions!$F$7:$F$996,Transactions!$D$7:$D$996,"Expense",Transactions!$E$7:$E$996,A68),"")</f>
        <v/>
      </c>
      <c r="E68" s="72" t="str">
        <f t="shared" si="1"/>
        <v/>
      </c>
      <c r="F68" s="72" t="str">
        <f t="shared" si="2"/>
        <v/>
      </c>
      <c r="G68" s="69"/>
      <c r="H68" s="6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68" t="str">
        <f>IF(A69&lt;&gt;"",SUMIFS(Transactions!$F$7:$F$996,Transactions!$D$7:$D$996,"Income",Transactions!$E$7:$E$996,A69),"")</f>
        <v/>
      </c>
      <c r="D69" s="68" t="str">
        <f>IF(A69&lt;&gt;"",SUMIFS(Transactions!$F$7:$F$996,Transactions!$D$7:$D$996,"Expense",Transactions!$E$7:$E$996,A69),"")</f>
        <v/>
      </c>
      <c r="E69" s="66" t="str">
        <f t="shared" si="1"/>
        <v/>
      </c>
      <c r="F69" s="66" t="str">
        <f t="shared" si="2"/>
        <v/>
      </c>
      <c r="G69" s="69"/>
      <c r="H69" s="6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0" t="str">
        <f>IF(Roster!$A$68&lt;&gt;"",Roster!$A$68,"")</f>
        <v/>
      </c>
      <c r="B70" s="70" t="str">
        <f t="array" ref="B70">IF(A70&lt;&gt;"",IFERROR(SUMPRODUCT((INDEX(Attendance!$B$7:$AZ$206,MATCH(A70,Attendance!$A$7:$A$206,0),0)=1)*Attendance!$B$4:$AZ$4),0),"")</f>
        <v/>
      </c>
      <c r="C70" s="71" t="str">
        <f>IF(A70&lt;&gt;"",SUMIFS(Transactions!$F$7:$F$996,Transactions!$D$7:$D$996,"Income",Transactions!$E$7:$E$996,A70),"")</f>
        <v/>
      </c>
      <c r="D70" s="71" t="str">
        <f>IF(A70&lt;&gt;"",SUMIFS(Transactions!$F$7:$F$996,Transactions!$D$7:$D$996,"Expense",Transactions!$E$7:$E$996,A70),"")</f>
        <v/>
      </c>
      <c r="E70" s="72" t="str">
        <f t="shared" si="1"/>
        <v/>
      </c>
      <c r="F70" s="72" t="str">
        <f t="shared" si="2"/>
        <v/>
      </c>
      <c r="G70" s="69"/>
      <c r="H70" s="6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68" t="str">
        <f>IF(A71&lt;&gt;"",SUMIFS(Transactions!$F$7:$F$996,Transactions!$D$7:$D$996,"Income",Transactions!$E$7:$E$996,A71),"")</f>
        <v/>
      </c>
      <c r="D71" s="68" t="str">
        <f>IF(A71&lt;&gt;"",SUMIFS(Transactions!$F$7:$F$996,Transactions!$D$7:$D$996,"Expense",Transactions!$E$7:$E$996,A71),"")</f>
        <v/>
      </c>
      <c r="E71" s="66" t="str">
        <f t="shared" si="1"/>
        <v/>
      </c>
      <c r="F71" s="66" t="str">
        <f t="shared" si="2"/>
        <v/>
      </c>
      <c r="G71" s="69"/>
      <c r="H71" s="6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0" t="str">
        <f>IF(Roster!$A$70&lt;&gt;"",Roster!$A$70,"")</f>
        <v/>
      </c>
      <c r="B72" s="70" t="str">
        <f t="array" ref="B72">IF(A72&lt;&gt;"",IFERROR(SUMPRODUCT((INDEX(Attendance!$B$7:$AZ$206,MATCH(A72,Attendance!$A$7:$A$206,0),0)=1)*Attendance!$B$4:$AZ$4),0),"")</f>
        <v/>
      </c>
      <c r="C72" s="71" t="str">
        <f>IF(A72&lt;&gt;"",SUMIFS(Transactions!$F$7:$F$996,Transactions!$D$7:$D$996,"Income",Transactions!$E$7:$E$996,A72),"")</f>
        <v/>
      </c>
      <c r="D72" s="71" t="str">
        <f>IF(A72&lt;&gt;"",SUMIFS(Transactions!$F$7:$F$996,Transactions!$D$7:$D$996,"Expense",Transactions!$E$7:$E$996,A72),"")</f>
        <v/>
      </c>
      <c r="E72" s="72" t="str">
        <f t="shared" si="1"/>
        <v/>
      </c>
      <c r="F72" s="72" t="str">
        <f t="shared" si="2"/>
        <v/>
      </c>
      <c r="G72" s="69"/>
      <c r="H72" s="6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68" t="str">
        <f>IF(A73&lt;&gt;"",SUMIFS(Transactions!$F$7:$F$996,Transactions!$D$7:$D$996,"Income",Transactions!$E$7:$E$996,A73),"")</f>
        <v/>
      </c>
      <c r="D73" s="68" t="str">
        <f>IF(A73&lt;&gt;"",SUMIFS(Transactions!$F$7:$F$996,Transactions!$D$7:$D$996,"Expense",Transactions!$E$7:$E$996,A73),"")</f>
        <v/>
      </c>
      <c r="E73" s="66" t="str">
        <f t="shared" si="1"/>
        <v/>
      </c>
      <c r="F73" s="66" t="str">
        <f t="shared" si="2"/>
        <v/>
      </c>
      <c r="G73" s="69"/>
      <c r="H73" s="6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0" t="str">
        <f>IF(Roster!$A$72&lt;&gt;"",Roster!$A$72,"")</f>
        <v/>
      </c>
      <c r="B74" s="70" t="str">
        <f t="array" ref="B74">IF(A74&lt;&gt;"",IFERROR(SUMPRODUCT((INDEX(Attendance!$B$7:$AZ$206,MATCH(A74,Attendance!$A$7:$A$206,0),0)=1)*Attendance!$B$4:$AZ$4),0),"")</f>
        <v/>
      </c>
      <c r="C74" s="71" t="str">
        <f>IF(A74&lt;&gt;"",SUMIFS(Transactions!$F$7:$F$996,Transactions!$D$7:$D$996,"Income",Transactions!$E$7:$E$996,A74),"")</f>
        <v/>
      </c>
      <c r="D74" s="71" t="str">
        <f>IF(A74&lt;&gt;"",SUMIFS(Transactions!$F$7:$F$996,Transactions!$D$7:$D$996,"Expense",Transactions!$E$7:$E$996,A74),"")</f>
        <v/>
      </c>
      <c r="E74" s="72" t="str">
        <f t="shared" si="1"/>
        <v/>
      </c>
      <c r="F74" s="72" t="str">
        <f t="shared" si="2"/>
        <v/>
      </c>
      <c r="G74" s="69"/>
      <c r="H74" s="6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68" t="str">
        <f>IF(A75&lt;&gt;"",SUMIFS(Transactions!$F$7:$F$996,Transactions!$D$7:$D$996,"Income",Transactions!$E$7:$E$996,A75),"")</f>
        <v/>
      </c>
      <c r="D75" s="68" t="str">
        <f>IF(A75&lt;&gt;"",SUMIFS(Transactions!$F$7:$F$996,Transactions!$D$7:$D$996,"Expense",Transactions!$E$7:$E$996,A75),"")</f>
        <v/>
      </c>
      <c r="E75" s="66" t="str">
        <f t="shared" si="1"/>
        <v/>
      </c>
      <c r="F75" s="66" t="str">
        <f t="shared" si="2"/>
        <v/>
      </c>
      <c r="G75" s="69"/>
      <c r="H75" s="6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0" t="str">
        <f>IF(Roster!$A$74&lt;&gt;"",Roster!$A$74,"")</f>
        <v/>
      </c>
      <c r="B76" s="70" t="str">
        <f t="array" ref="B76">IF(A76&lt;&gt;"",IFERROR(SUMPRODUCT((INDEX(Attendance!$B$7:$AZ$206,MATCH(A76,Attendance!$A$7:$A$206,0),0)=1)*Attendance!$B$4:$AZ$4),0),"")</f>
        <v/>
      </c>
      <c r="C76" s="71" t="str">
        <f>IF(A76&lt;&gt;"",SUMIFS(Transactions!$F$7:$F$996,Transactions!$D$7:$D$996,"Income",Transactions!$E$7:$E$996,A76),"")</f>
        <v/>
      </c>
      <c r="D76" s="71" t="str">
        <f>IF(A76&lt;&gt;"",SUMIFS(Transactions!$F$7:$F$996,Transactions!$D$7:$D$996,"Expense",Transactions!$E$7:$E$996,A76),"")</f>
        <v/>
      </c>
      <c r="E76" s="72" t="str">
        <f t="shared" si="1"/>
        <v/>
      </c>
      <c r="F76" s="72" t="str">
        <f t="shared" si="2"/>
        <v/>
      </c>
      <c r="G76" s="69"/>
      <c r="H76" s="6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68" t="str">
        <f>IF(A77&lt;&gt;"",SUMIFS(Transactions!$F$7:$F$996,Transactions!$D$7:$D$996,"Income",Transactions!$E$7:$E$996,A77),"")</f>
        <v/>
      </c>
      <c r="D77" s="68" t="str">
        <f>IF(A77&lt;&gt;"",SUMIFS(Transactions!$F$7:$F$996,Transactions!$D$7:$D$996,"Expense",Transactions!$E$7:$E$996,A77),"")</f>
        <v/>
      </c>
      <c r="E77" s="66" t="str">
        <f t="shared" si="1"/>
        <v/>
      </c>
      <c r="F77" s="66" t="str">
        <f t="shared" si="2"/>
        <v/>
      </c>
      <c r="G77" s="69"/>
      <c r="H77" s="6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0" t="str">
        <f>IF(Roster!$A$76&lt;&gt;"",Roster!$A$76,"")</f>
        <v/>
      </c>
      <c r="B78" s="70" t="str">
        <f t="array" ref="B78">IF(A78&lt;&gt;"",IFERROR(SUMPRODUCT((INDEX(Attendance!$B$7:$AZ$206,MATCH(A78,Attendance!$A$7:$A$206,0),0)=1)*Attendance!$B$4:$AZ$4),0),"")</f>
        <v/>
      </c>
      <c r="C78" s="71" t="str">
        <f>IF(A78&lt;&gt;"",SUMIFS(Transactions!$F$7:$F$996,Transactions!$D$7:$D$996,"Income",Transactions!$E$7:$E$996,A78),"")</f>
        <v/>
      </c>
      <c r="D78" s="71" t="str">
        <f>IF(A78&lt;&gt;"",SUMIFS(Transactions!$F$7:$F$996,Transactions!$D$7:$D$996,"Expense",Transactions!$E$7:$E$996,A78),"")</f>
        <v/>
      </c>
      <c r="E78" s="72" t="str">
        <f t="shared" si="1"/>
        <v/>
      </c>
      <c r="F78" s="72" t="str">
        <f t="shared" si="2"/>
        <v/>
      </c>
      <c r="G78" s="69"/>
      <c r="H78" s="6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68" t="str">
        <f>IF(A79&lt;&gt;"",SUMIFS(Transactions!$F$7:$F$996,Transactions!$D$7:$D$996,"Income",Transactions!$E$7:$E$996,A79),"")</f>
        <v/>
      </c>
      <c r="D79" s="68" t="str">
        <f>IF(A79&lt;&gt;"",SUMIFS(Transactions!$F$7:$F$996,Transactions!$D$7:$D$996,"Expense",Transactions!$E$7:$E$996,A79),"")</f>
        <v/>
      </c>
      <c r="E79" s="66" t="str">
        <f t="shared" si="1"/>
        <v/>
      </c>
      <c r="F79" s="66" t="str">
        <f t="shared" si="2"/>
        <v/>
      </c>
      <c r="G79" s="69"/>
      <c r="H79" s="6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0" t="str">
        <f>IF(Roster!$A$78&lt;&gt;"",Roster!$A$78,"")</f>
        <v/>
      </c>
      <c r="B80" s="70" t="str">
        <f t="array" ref="B80">IF(A80&lt;&gt;"",IFERROR(SUMPRODUCT((INDEX(Attendance!$B$7:$AZ$206,MATCH(A80,Attendance!$A$7:$A$206,0),0)=1)*Attendance!$B$4:$AZ$4),0),"")</f>
        <v/>
      </c>
      <c r="C80" s="71" t="str">
        <f>IF(A80&lt;&gt;"",SUMIFS(Transactions!$F$7:$F$996,Transactions!$D$7:$D$996,"Income",Transactions!$E$7:$E$996,A80),"")</f>
        <v/>
      </c>
      <c r="D80" s="71" t="str">
        <f>IF(A80&lt;&gt;"",SUMIFS(Transactions!$F$7:$F$996,Transactions!$D$7:$D$996,"Expense",Transactions!$E$7:$E$996,A80),"")</f>
        <v/>
      </c>
      <c r="E80" s="72" t="str">
        <f t="shared" si="1"/>
        <v/>
      </c>
      <c r="F80" s="72" t="str">
        <f t="shared" si="2"/>
        <v/>
      </c>
      <c r="G80" s="69"/>
      <c r="H80" s="6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68" t="str">
        <f>IF(A81&lt;&gt;"",SUMIFS(Transactions!$F$7:$F$996,Transactions!$D$7:$D$996,"Income",Transactions!$E$7:$E$996,A81),"")</f>
        <v/>
      </c>
      <c r="D81" s="68" t="str">
        <f>IF(A81&lt;&gt;"",SUMIFS(Transactions!$F$7:$F$996,Transactions!$D$7:$D$996,"Expense",Transactions!$E$7:$E$996,A81),"")</f>
        <v/>
      </c>
      <c r="E81" s="66" t="str">
        <f t="shared" si="1"/>
        <v/>
      </c>
      <c r="F81" s="66" t="str">
        <f t="shared" si="2"/>
        <v/>
      </c>
      <c r="G81" s="69"/>
      <c r="H81" s="6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0" t="str">
        <f>IF(Roster!$A$80&lt;&gt;"",Roster!$A$80,"")</f>
        <v/>
      </c>
      <c r="B82" s="70" t="str">
        <f t="array" ref="B82">IF(A82&lt;&gt;"",IFERROR(SUMPRODUCT((INDEX(Attendance!$B$7:$AZ$206,MATCH(A82,Attendance!$A$7:$A$206,0),0)=1)*Attendance!$B$4:$AZ$4),0),"")</f>
        <v/>
      </c>
      <c r="C82" s="71" t="str">
        <f>IF(A82&lt;&gt;"",SUMIFS(Transactions!$F$7:$F$996,Transactions!$D$7:$D$996,"Income",Transactions!$E$7:$E$996,A82),"")</f>
        <v/>
      </c>
      <c r="D82" s="71" t="str">
        <f>IF(A82&lt;&gt;"",SUMIFS(Transactions!$F$7:$F$996,Transactions!$D$7:$D$996,"Expense",Transactions!$E$7:$E$996,A82),"")</f>
        <v/>
      </c>
      <c r="E82" s="72" t="str">
        <f t="shared" si="1"/>
        <v/>
      </c>
      <c r="F82" s="72" t="str">
        <f t="shared" si="2"/>
        <v/>
      </c>
      <c r="G82" s="69"/>
      <c r="H82" s="6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68" t="str">
        <f>IF(A83&lt;&gt;"",SUMIFS(Transactions!$F$7:$F$996,Transactions!$D$7:$D$996,"Income",Transactions!$E$7:$E$996,A83),"")</f>
        <v/>
      </c>
      <c r="D83" s="68" t="str">
        <f>IF(A83&lt;&gt;"",SUMIFS(Transactions!$F$7:$F$996,Transactions!$D$7:$D$996,"Expense",Transactions!$E$7:$E$996,A83),"")</f>
        <v/>
      </c>
      <c r="E83" s="66" t="str">
        <f t="shared" si="1"/>
        <v/>
      </c>
      <c r="F83" s="66" t="str">
        <f t="shared" si="2"/>
        <v/>
      </c>
      <c r="G83" s="69"/>
      <c r="H83" s="6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0" t="str">
        <f>IF(Roster!$A$82&lt;&gt;"",Roster!$A$82,"")</f>
        <v/>
      </c>
      <c r="B84" s="70" t="str">
        <f t="array" ref="B84">IF(A84&lt;&gt;"",IFERROR(SUMPRODUCT((INDEX(Attendance!$B$7:$AZ$206,MATCH(A84,Attendance!$A$7:$A$206,0),0)=1)*Attendance!$B$4:$AZ$4),0),"")</f>
        <v/>
      </c>
      <c r="C84" s="71" t="str">
        <f>IF(A84&lt;&gt;"",SUMIFS(Transactions!$F$7:$F$996,Transactions!$D$7:$D$996,"Income",Transactions!$E$7:$E$996,A84),"")</f>
        <v/>
      </c>
      <c r="D84" s="71" t="str">
        <f>IF(A84&lt;&gt;"",SUMIFS(Transactions!$F$7:$F$996,Transactions!$D$7:$D$996,"Expense",Transactions!$E$7:$E$996,A84),"")</f>
        <v/>
      </c>
      <c r="E84" s="72" t="str">
        <f t="shared" si="1"/>
        <v/>
      </c>
      <c r="F84" s="72" t="str">
        <f t="shared" si="2"/>
        <v/>
      </c>
      <c r="G84" s="69"/>
      <c r="H84" s="6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68" t="str">
        <f>IF(A85&lt;&gt;"",SUMIFS(Transactions!$F$7:$F$996,Transactions!$D$7:$D$996,"Income",Transactions!$E$7:$E$996,A85),"")</f>
        <v/>
      </c>
      <c r="D85" s="68" t="str">
        <f>IF(A85&lt;&gt;"",SUMIFS(Transactions!$F$7:$F$996,Transactions!$D$7:$D$996,"Expense",Transactions!$E$7:$E$996,A85),"")</f>
        <v/>
      </c>
      <c r="E85" s="66" t="str">
        <f t="shared" si="1"/>
        <v/>
      </c>
      <c r="F85" s="66" t="str">
        <f t="shared" si="2"/>
        <v/>
      </c>
      <c r="G85" s="69"/>
      <c r="H85" s="6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0" t="str">
        <f>IF(Roster!$A$84&lt;&gt;"",Roster!$A$84,"")</f>
        <v/>
      </c>
      <c r="B86" s="70" t="str">
        <f t="array" ref="B86">IF(A86&lt;&gt;"",IFERROR(SUMPRODUCT((INDEX(Attendance!$B$7:$AZ$206,MATCH(A86,Attendance!$A$7:$A$206,0),0)=1)*Attendance!$B$4:$AZ$4),0),"")</f>
        <v/>
      </c>
      <c r="C86" s="71" t="str">
        <f>IF(A86&lt;&gt;"",SUMIFS(Transactions!$F$7:$F$996,Transactions!$D$7:$D$996,"Income",Transactions!$E$7:$E$996,A86),"")</f>
        <v/>
      </c>
      <c r="D86" s="71" t="str">
        <f>IF(A86&lt;&gt;"",SUMIFS(Transactions!$F$7:$F$996,Transactions!$D$7:$D$996,"Expense",Transactions!$E$7:$E$996,A86),"")</f>
        <v/>
      </c>
      <c r="E86" s="72" t="str">
        <f t="shared" si="1"/>
        <v/>
      </c>
      <c r="F86" s="72" t="str">
        <f t="shared" si="2"/>
        <v/>
      </c>
      <c r="G86" s="69"/>
      <c r="H86" s="6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68" t="str">
        <f>IF(A87&lt;&gt;"",SUMIFS(Transactions!$F$7:$F$996,Transactions!$D$7:$D$996,"Income",Transactions!$E$7:$E$996,A87),"")</f>
        <v/>
      </c>
      <c r="D87" s="68" t="str">
        <f>IF(A87&lt;&gt;"",SUMIFS(Transactions!$F$7:$F$996,Transactions!$D$7:$D$996,"Expense",Transactions!$E$7:$E$996,A87),"")</f>
        <v/>
      </c>
      <c r="E87" s="66" t="str">
        <f t="shared" si="1"/>
        <v/>
      </c>
      <c r="F87" s="66" t="str">
        <f t="shared" si="2"/>
        <v/>
      </c>
      <c r="G87" s="69"/>
      <c r="H87" s="6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0" t="str">
        <f>IF(Roster!$A$86&lt;&gt;"",Roster!$A$86,"")</f>
        <v/>
      </c>
      <c r="B88" s="70" t="str">
        <f t="array" ref="B88">IF(A88&lt;&gt;"",IFERROR(SUMPRODUCT((INDEX(Attendance!$B$7:$AZ$206,MATCH(A88,Attendance!$A$7:$A$206,0),0)=1)*Attendance!$B$4:$AZ$4),0),"")</f>
        <v/>
      </c>
      <c r="C88" s="71" t="str">
        <f>IF(A88&lt;&gt;"",SUMIFS(Transactions!$F$7:$F$996,Transactions!$D$7:$D$996,"Income",Transactions!$E$7:$E$996,A88),"")</f>
        <v/>
      </c>
      <c r="D88" s="71" t="str">
        <f>IF(A88&lt;&gt;"",SUMIFS(Transactions!$F$7:$F$996,Transactions!$D$7:$D$996,"Expense",Transactions!$E$7:$E$996,A88),"")</f>
        <v/>
      </c>
      <c r="E88" s="72" t="str">
        <f t="shared" si="1"/>
        <v/>
      </c>
      <c r="F88" s="72" t="str">
        <f t="shared" si="2"/>
        <v/>
      </c>
      <c r="G88" s="69"/>
      <c r="H88" s="6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68" t="str">
        <f>IF(A89&lt;&gt;"",SUMIFS(Transactions!$F$7:$F$996,Transactions!$D$7:$D$996,"Income",Transactions!$E$7:$E$996,A89),"")</f>
        <v/>
      </c>
      <c r="D89" s="68" t="str">
        <f>IF(A89&lt;&gt;"",SUMIFS(Transactions!$F$7:$F$996,Transactions!$D$7:$D$996,"Expense",Transactions!$E$7:$E$996,A89),"")</f>
        <v/>
      </c>
      <c r="E89" s="66" t="str">
        <f t="shared" si="1"/>
        <v/>
      </c>
      <c r="F89" s="66" t="str">
        <f t="shared" si="2"/>
        <v/>
      </c>
      <c r="G89" s="69"/>
      <c r="H89" s="6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0" t="str">
        <f>IF(Roster!$A$88&lt;&gt;"",Roster!$A$88,"")</f>
        <v/>
      </c>
      <c r="B90" s="70" t="str">
        <f t="array" ref="B90">IF(A90&lt;&gt;"",IFERROR(SUMPRODUCT((INDEX(Attendance!$B$7:$AZ$206,MATCH(A90,Attendance!$A$7:$A$206,0),0)=1)*Attendance!$B$4:$AZ$4),0),"")</f>
        <v/>
      </c>
      <c r="C90" s="71" t="str">
        <f>IF(A90&lt;&gt;"",SUMIFS(Transactions!$F$7:$F$996,Transactions!$D$7:$D$996,"Income",Transactions!$E$7:$E$996,A90),"")</f>
        <v/>
      </c>
      <c r="D90" s="71" t="str">
        <f>IF(A90&lt;&gt;"",SUMIFS(Transactions!$F$7:$F$996,Transactions!$D$7:$D$996,"Expense",Transactions!$E$7:$E$996,A90),"")</f>
        <v/>
      </c>
      <c r="E90" s="72" t="str">
        <f t="shared" si="1"/>
        <v/>
      </c>
      <c r="F90" s="72" t="str">
        <f t="shared" si="2"/>
        <v/>
      </c>
      <c r="G90" s="69"/>
      <c r="H90" s="6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68" t="str">
        <f>IF(A91&lt;&gt;"",SUMIFS(Transactions!$F$7:$F$996,Transactions!$D$7:$D$996,"Income",Transactions!$E$7:$E$996,A91),"")</f>
        <v/>
      </c>
      <c r="D91" s="68" t="str">
        <f>IF(A91&lt;&gt;"",SUMIFS(Transactions!$F$7:$F$996,Transactions!$D$7:$D$996,"Expense",Transactions!$E$7:$E$996,A91),"")</f>
        <v/>
      </c>
      <c r="E91" s="66" t="str">
        <f t="shared" si="1"/>
        <v/>
      </c>
      <c r="F91" s="66" t="str">
        <f t="shared" si="2"/>
        <v/>
      </c>
      <c r="G91" s="69"/>
      <c r="H91" s="6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0" t="str">
        <f>IF(Roster!$A$90&lt;&gt;"",Roster!$A$90,"")</f>
        <v/>
      </c>
      <c r="B92" s="70" t="str">
        <f t="array" ref="B92">IF(A92&lt;&gt;"",IFERROR(SUMPRODUCT((INDEX(Attendance!$B$7:$AZ$206,MATCH(A92,Attendance!$A$7:$A$206,0),0)=1)*Attendance!$B$4:$AZ$4),0),"")</f>
        <v/>
      </c>
      <c r="C92" s="71" t="str">
        <f>IF(A92&lt;&gt;"",SUMIFS(Transactions!$F$7:$F$996,Transactions!$D$7:$D$996,"Income",Transactions!$E$7:$E$996,A92),"")</f>
        <v/>
      </c>
      <c r="D92" s="71" t="str">
        <f>IF(A92&lt;&gt;"",SUMIFS(Transactions!$F$7:$F$996,Transactions!$D$7:$D$996,"Expense",Transactions!$E$7:$E$996,A92),"")</f>
        <v/>
      </c>
      <c r="E92" s="72" t="str">
        <f t="shared" si="1"/>
        <v/>
      </c>
      <c r="F92" s="72" t="str">
        <f t="shared" si="2"/>
        <v/>
      </c>
      <c r="G92" s="69"/>
      <c r="H92" s="6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68" t="str">
        <f>IF(A93&lt;&gt;"",SUMIFS(Transactions!$F$7:$F$996,Transactions!$D$7:$D$996,"Income",Transactions!$E$7:$E$996,A93),"")</f>
        <v/>
      </c>
      <c r="D93" s="68" t="str">
        <f>IF(A93&lt;&gt;"",SUMIFS(Transactions!$F$7:$F$996,Transactions!$D$7:$D$996,"Expense",Transactions!$E$7:$E$996,A93),"")</f>
        <v/>
      </c>
      <c r="E93" s="66" t="str">
        <f t="shared" si="1"/>
        <v/>
      </c>
      <c r="F93" s="66" t="str">
        <f t="shared" si="2"/>
        <v/>
      </c>
      <c r="G93" s="69"/>
      <c r="H93" s="6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0" t="str">
        <f>IF(Roster!$A$92&lt;&gt;"",Roster!$A$92,"")</f>
        <v/>
      </c>
      <c r="B94" s="70" t="str">
        <f t="array" ref="B94">IF(A94&lt;&gt;"",IFERROR(SUMPRODUCT((INDEX(Attendance!$B$7:$AZ$206,MATCH(A94,Attendance!$A$7:$A$206,0),0)=1)*Attendance!$B$4:$AZ$4),0),"")</f>
        <v/>
      </c>
      <c r="C94" s="71" t="str">
        <f>IF(A94&lt;&gt;"",SUMIFS(Transactions!$F$7:$F$996,Transactions!$D$7:$D$996,"Income",Transactions!$E$7:$E$996,A94),"")</f>
        <v/>
      </c>
      <c r="D94" s="71" t="str">
        <f>IF(A94&lt;&gt;"",SUMIFS(Transactions!$F$7:$F$996,Transactions!$D$7:$D$996,"Expense",Transactions!$E$7:$E$996,A94),"")</f>
        <v/>
      </c>
      <c r="E94" s="72" t="str">
        <f t="shared" si="1"/>
        <v/>
      </c>
      <c r="F94" s="72" t="str">
        <f t="shared" si="2"/>
        <v/>
      </c>
      <c r="G94" s="69"/>
      <c r="H94" s="6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68" t="str">
        <f>IF(A95&lt;&gt;"",SUMIFS(Transactions!$F$7:$F$996,Transactions!$D$7:$D$996,"Income",Transactions!$E$7:$E$996,A95),"")</f>
        <v/>
      </c>
      <c r="D95" s="68" t="str">
        <f>IF(A95&lt;&gt;"",SUMIFS(Transactions!$F$7:$F$996,Transactions!$D$7:$D$996,"Expense",Transactions!$E$7:$E$996,A95),"")</f>
        <v/>
      </c>
      <c r="E95" s="66" t="str">
        <f t="shared" si="1"/>
        <v/>
      </c>
      <c r="F95" s="66" t="str">
        <f t="shared" si="2"/>
        <v/>
      </c>
      <c r="G95" s="69"/>
      <c r="H95" s="6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0" t="str">
        <f>IF(Roster!$A$94&lt;&gt;"",Roster!$A$94,"")</f>
        <v/>
      </c>
      <c r="B96" s="70" t="str">
        <f t="array" ref="B96">IF(A96&lt;&gt;"",IFERROR(SUMPRODUCT((INDEX(Attendance!$B$7:$AZ$206,MATCH(A96,Attendance!$A$7:$A$206,0),0)=1)*Attendance!$B$4:$AZ$4),0),"")</f>
        <v/>
      </c>
      <c r="C96" s="71" t="str">
        <f>IF(A96&lt;&gt;"",SUMIFS(Transactions!$F$7:$F$996,Transactions!$D$7:$D$996,"Income",Transactions!$E$7:$E$996,A96),"")</f>
        <v/>
      </c>
      <c r="D96" s="71" t="str">
        <f>IF(A96&lt;&gt;"",SUMIFS(Transactions!$F$7:$F$996,Transactions!$D$7:$D$996,"Expense",Transactions!$E$7:$E$996,A96),"")</f>
        <v/>
      </c>
      <c r="E96" s="72" t="str">
        <f t="shared" si="1"/>
        <v/>
      </c>
      <c r="F96" s="72" t="str">
        <f t="shared" si="2"/>
        <v/>
      </c>
      <c r="G96" s="69"/>
      <c r="H96" s="6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68" t="str">
        <f>IF(A97&lt;&gt;"",SUMIFS(Transactions!$F$7:$F$996,Transactions!$D$7:$D$996,"Income",Transactions!$E$7:$E$996,A97),"")</f>
        <v/>
      </c>
      <c r="D97" s="68" t="str">
        <f>IF(A97&lt;&gt;"",SUMIFS(Transactions!$F$7:$F$996,Transactions!$D$7:$D$996,"Expense",Transactions!$E$7:$E$996,A97),"")</f>
        <v/>
      </c>
      <c r="E97" s="66" t="str">
        <f t="shared" si="1"/>
        <v/>
      </c>
      <c r="F97" s="66" t="str">
        <f t="shared" si="2"/>
        <v/>
      </c>
      <c r="G97" s="69"/>
      <c r="H97" s="6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0" t="str">
        <f>IF(Roster!$A$96&lt;&gt;"",Roster!$A$96,"")</f>
        <v/>
      </c>
      <c r="B98" s="70" t="str">
        <f t="array" ref="B98">IF(A98&lt;&gt;"",IFERROR(SUMPRODUCT((INDEX(Attendance!$B$7:$AZ$206,MATCH(A98,Attendance!$A$7:$A$206,0),0)=1)*Attendance!$B$4:$AZ$4),0),"")</f>
        <v/>
      </c>
      <c r="C98" s="71" t="str">
        <f>IF(A98&lt;&gt;"",SUMIFS(Transactions!$F$7:$F$996,Transactions!$D$7:$D$996,"Income",Transactions!$E$7:$E$996,A98),"")</f>
        <v/>
      </c>
      <c r="D98" s="71" t="str">
        <f>IF(A98&lt;&gt;"",SUMIFS(Transactions!$F$7:$F$996,Transactions!$D$7:$D$996,"Expense",Transactions!$E$7:$E$996,A98),"")</f>
        <v/>
      </c>
      <c r="E98" s="72" t="str">
        <f t="shared" si="1"/>
        <v/>
      </c>
      <c r="F98" s="72" t="str">
        <f t="shared" si="2"/>
        <v/>
      </c>
      <c r="G98" s="69"/>
      <c r="H98" s="6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68" t="str">
        <f>IF(A99&lt;&gt;"",SUMIFS(Transactions!$F$7:$F$996,Transactions!$D$7:$D$996,"Income",Transactions!$E$7:$E$996,A99),"")</f>
        <v/>
      </c>
      <c r="D99" s="68" t="str">
        <f>IF(A99&lt;&gt;"",SUMIFS(Transactions!$F$7:$F$996,Transactions!$D$7:$D$996,"Expense",Transactions!$E$7:$E$996,A99),"")</f>
        <v/>
      </c>
      <c r="E99" s="66" t="str">
        <f t="shared" si="1"/>
        <v/>
      </c>
      <c r="F99" s="66" t="str">
        <f t="shared" si="2"/>
        <v/>
      </c>
      <c r="G99" s="69"/>
      <c r="H99" s="6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0" t="str">
        <f>IF(Roster!$A$98&lt;&gt;"",Roster!$A$98,"")</f>
        <v/>
      </c>
      <c r="B100" s="70" t="str">
        <f t="array" ref="B100">IF(A100&lt;&gt;"",IFERROR(SUMPRODUCT((INDEX(Attendance!$B$7:$AZ$206,MATCH(A100,Attendance!$A$7:$A$206,0),0)=1)*Attendance!$B$4:$AZ$4),0),"")</f>
        <v/>
      </c>
      <c r="C100" s="71" t="str">
        <f>IF(A100&lt;&gt;"",SUMIFS(Transactions!$F$7:$F$996,Transactions!$D$7:$D$996,"Income",Transactions!$E$7:$E$996,A100),"")</f>
        <v/>
      </c>
      <c r="D100" s="71" t="str">
        <f>IF(A100&lt;&gt;"",SUMIFS(Transactions!$F$7:$F$996,Transactions!$D$7:$D$996,"Expense",Transactions!$E$7:$E$996,A100),"")</f>
        <v/>
      </c>
      <c r="E100" s="72" t="str">
        <f t="shared" si="1"/>
        <v/>
      </c>
      <c r="F100" s="72" t="str">
        <f t="shared" si="2"/>
        <v/>
      </c>
      <c r="G100" s="69"/>
      <c r="H100" s="6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68" t="str">
        <f>IF(A101&lt;&gt;"",SUMIFS(Transactions!$F$7:$F$996,Transactions!$D$7:$D$996,"Income",Transactions!$E$7:$E$996,A101),"")</f>
        <v/>
      </c>
      <c r="D101" s="68" t="str">
        <f>IF(A101&lt;&gt;"",SUMIFS(Transactions!$F$7:$F$996,Transactions!$D$7:$D$996,"Expense",Transactions!$E$7:$E$996,A101),"")</f>
        <v/>
      </c>
      <c r="E101" s="66" t="str">
        <f t="shared" si="1"/>
        <v/>
      </c>
      <c r="F101" s="66" t="str">
        <f t="shared" si="2"/>
        <v/>
      </c>
      <c r="G101" s="69"/>
      <c r="H101" s="6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0" t="str">
        <f>IF(Roster!$A$100&lt;&gt;"",Roster!$A$100,"")</f>
        <v/>
      </c>
      <c r="B102" s="70" t="str">
        <f t="array" ref="B102">IF(A102&lt;&gt;"",IFERROR(SUMPRODUCT((INDEX(Attendance!$B$7:$AZ$206,MATCH(A102,Attendance!$A$7:$A$206,0),0)=1)*Attendance!$B$4:$AZ$4),0),"")</f>
        <v/>
      </c>
      <c r="C102" s="71" t="str">
        <f>IF(A102&lt;&gt;"",SUMIFS(Transactions!$F$7:$F$996,Transactions!$D$7:$D$996,"Income",Transactions!$E$7:$E$996,A102),"")</f>
        <v/>
      </c>
      <c r="D102" s="71" t="str">
        <f>IF(A102&lt;&gt;"",SUMIFS(Transactions!$F$7:$F$996,Transactions!$D$7:$D$996,"Expense",Transactions!$E$7:$E$996,A102),"")</f>
        <v/>
      </c>
      <c r="E102" s="72" t="str">
        <f t="shared" si="1"/>
        <v/>
      </c>
      <c r="F102" s="72" t="str">
        <f t="shared" si="2"/>
        <v/>
      </c>
      <c r="G102" s="69"/>
      <c r="H102" s="6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68" t="str">
        <f>IF(A103&lt;&gt;"",SUMIFS(Transactions!$F$7:$F$996,Transactions!$D$7:$D$996,"Income",Transactions!$E$7:$E$996,A103),"")</f>
        <v/>
      </c>
      <c r="D103" s="68" t="str">
        <f>IF(A103&lt;&gt;"",SUMIFS(Transactions!$F$7:$F$996,Transactions!$D$7:$D$996,"Expense",Transactions!$E$7:$E$996,A103),"")</f>
        <v/>
      </c>
      <c r="E103" s="66" t="str">
        <f t="shared" si="1"/>
        <v/>
      </c>
      <c r="F103" s="66" t="str">
        <f t="shared" si="2"/>
        <v/>
      </c>
      <c r="G103" s="69"/>
      <c r="H103" s="6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0" t="str">
        <f>IF(Roster!$A$102&lt;&gt;"",Roster!$A$102,"")</f>
        <v/>
      </c>
      <c r="B104" s="70" t="str">
        <f t="array" ref="B104">IF(A104&lt;&gt;"",IFERROR(SUMPRODUCT((INDEX(Attendance!$B$7:$AZ$206,MATCH(A104,Attendance!$A$7:$A$206,0),0)=1)*Attendance!$B$4:$AZ$4),0),"")</f>
        <v/>
      </c>
      <c r="C104" s="71" t="str">
        <f>IF(A104&lt;&gt;"",SUMIFS(Transactions!$F$7:$F$996,Transactions!$D$7:$D$996,"Income",Transactions!$E$7:$E$996,A104),"")</f>
        <v/>
      </c>
      <c r="D104" s="71" t="str">
        <f>IF(A104&lt;&gt;"",SUMIFS(Transactions!$F$7:$F$996,Transactions!$D$7:$D$996,"Expense",Transactions!$E$7:$E$996,A104),"")</f>
        <v/>
      </c>
      <c r="E104" s="72" t="str">
        <f t="shared" si="1"/>
        <v/>
      </c>
      <c r="F104" s="72" t="str">
        <f t="shared" si="2"/>
        <v/>
      </c>
      <c r="G104" s="69"/>
      <c r="H104" s="6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68" t="str">
        <f>IF(A105&lt;&gt;"",SUMIFS(Transactions!$F$7:$F$996,Transactions!$D$7:$D$996,"Income",Transactions!$E$7:$E$996,A105),"")</f>
        <v/>
      </c>
      <c r="D105" s="68" t="str">
        <f>IF(A105&lt;&gt;"",SUMIFS(Transactions!$F$7:$F$996,Transactions!$D$7:$D$996,"Expense",Transactions!$E$7:$E$996,A105),"")</f>
        <v/>
      </c>
      <c r="E105" s="66" t="str">
        <f t="shared" si="1"/>
        <v/>
      </c>
      <c r="F105" s="66" t="str">
        <f t="shared" si="2"/>
        <v/>
      </c>
      <c r="G105" s="69"/>
      <c r="H105" s="6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0" t="str">
        <f>IF(Roster!$A$104&lt;&gt;"",Roster!$A$104,"")</f>
        <v/>
      </c>
      <c r="B106" s="70" t="str">
        <f t="array" ref="B106">IF(A106&lt;&gt;"",IFERROR(SUMPRODUCT((INDEX(Attendance!$B$7:$AZ$206,MATCH(A106,Attendance!$A$7:$A$206,0),0)=1)*Attendance!$B$4:$AZ$4),0),"")</f>
        <v/>
      </c>
      <c r="C106" s="71" t="str">
        <f>IF(A106&lt;&gt;"",SUMIFS(Transactions!$F$7:$F$996,Transactions!$D$7:$D$996,"Income",Transactions!$E$7:$E$996,A106),"")</f>
        <v/>
      </c>
      <c r="D106" s="71" t="str">
        <f>IF(A106&lt;&gt;"",SUMIFS(Transactions!$F$7:$F$996,Transactions!$D$7:$D$996,"Expense",Transactions!$E$7:$E$996,A106),"")</f>
        <v/>
      </c>
      <c r="E106" s="72" t="str">
        <f t="shared" si="1"/>
        <v/>
      </c>
      <c r="F106" s="72" t="str">
        <f t="shared" si="2"/>
        <v/>
      </c>
      <c r="G106" s="69"/>
      <c r="H106" s="6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68" t="str">
        <f>IF(A107&lt;&gt;"",SUMIFS(Transactions!$F$7:$F$996,Transactions!$D$7:$D$996,"Income",Transactions!$E$7:$E$996,A107),"")</f>
        <v/>
      </c>
      <c r="D107" s="68" t="str">
        <f>IF(A107&lt;&gt;"",SUMIFS(Transactions!$F$7:$F$996,Transactions!$D$7:$D$996,"Expense",Transactions!$E$7:$E$996,A107),"")</f>
        <v/>
      </c>
      <c r="E107" s="66" t="str">
        <f t="shared" si="1"/>
        <v/>
      </c>
      <c r="F107" s="66" t="str">
        <f t="shared" si="2"/>
        <v/>
      </c>
      <c r="G107" s="69"/>
      <c r="H107" s="6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0" t="str">
        <f>IF(Roster!$A$106&lt;&gt;"",Roster!$A$106,"")</f>
        <v/>
      </c>
      <c r="B108" s="70" t="str">
        <f t="array" ref="B108">IF(A108&lt;&gt;"",IFERROR(SUMPRODUCT((INDEX(Attendance!$B$7:$AZ$206,MATCH(A108,Attendance!$A$7:$A$206,0),0)=1)*Attendance!$B$4:$AZ$4),0),"")</f>
        <v/>
      </c>
      <c r="C108" s="71" t="str">
        <f>IF(A108&lt;&gt;"",SUMIFS(Transactions!$F$7:$F$996,Transactions!$D$7:$D$996,"Income",Transactions!$E$7:$E$996,A108),"")</f>
        <v/>
      </c>
      <c r="D108" s="71" t="str">
        <f>IF(A108&lt;&gt;"",SUMIFS(Transactions!$F$7:$F$996,Transactions!$D$7:$D$996,"Expense",Transactions!$E$7:$E$996,A108),"")</f>
        <v/>
      </c>
      <c r="E108" s="72" t="str">
        <f t="shared" si="1"/>
        <v/>
      </c>
      <c r="F108" s="72" t="str">
        <f t="shared" si="2"/>
        <v/>
      </c>
      <c r="G108" s="69"/>
      <c r="H108" s="6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68" t="str">
        <f>IF(A109&lt;&gt;"",SUMIFS(Transactions!$F$7:$F$996,Transactions!$D$7:$D$996,"Income",Transactions!$E$7:$E$996,A109),"")</f>
        <v/>
      </c>
      <c r="D109" s="68" t="str">
        <f>IF(A109&lt;&gt;"",SUMIFS(Transactions!$F$7:$F$996,Transactions!$D$7:$D$996,"Expense",Transactions!$E$7:$E$996,A109),"")</f>
        <v/>
      </c>
      <c r="E109" s="66" t="str">
        <f t="shared" si="1"/>
        <v/>
      </c>
      <c r="F109" s="66" t="str">
        <f t="shared" si="2"/>
        <v/>
      </c>
      <c r="G109" s="69"/>
      <c r="H109" s="6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0" t="str">
        <f>IF(Roster!$A$108&lt;&gt;"",Roster!$A$108,"")</f>
        <v/>
      </c>
      <c r="B110" s="70" t="str">
        <f t="array" ref="B110">IF(A110&lt;&gt;"",IFERROR(SUMPRODUCT((INDEX(Attendance!$B$7:$AZ$206,MATCH(A110,Attendance!$A$7:$A$206,0),0)=1)*Attendance!$B$4:$AZ$4),0),"")</f>
        <v/>
      </c>
      <c r="C110" s="71" t="str">
        <f>IF(A110&lt;&gt;"",SUMIFS(Transactions!$F$7:$F$996,Transactions!$D$7:$D$996,"Income",Transactions!$E$7:$E$996,A110),"")</f>
        <v/>
      </c>
      <c r="D110" s="71" t="str">
        <f>IF(A110&lt;&gt;"",SUMIFS(Transactions!$F$7:$F$996,Transactions!$D$7:$D$996,"Expense",Transactions!$E$7:$E$996,A110),"")</f>
        <v/>
      </c>
      <c r="E110" s="72" t="str">
        <f t="shared" si="1"/>
        <v/>
      </c>
      <c r="F110" s="72" t="str">
        <f t="shared" si="2"/>
        <v/>
      </c>
      <c r="G110" s="69"/>
      <c r="H110" s="6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68" t="str">
        <f>IF(A111&lt;&gt;"",SUMIFS(Transactions!$F$7:$F$996,Transactions!$D$7:$D$996,"Income",Transactions!$E$7:$E$996,A111),"")</f>
        <v/>
      </c>
      <c r="D111" s="68" t="str">
        <f>IF(A111&lt;&gt;"",SUMIFS(Transactions!$F$7:$F$996,Transactions!$D$7:$D$996,"Expense",Transactions!$E$7:$E$996,A111),"")</f>
        <v/>
      </c>
      <c r="E111" s="66" t="str">
        <f t="shared" si="1"/>
        <v/>
      </c>
      <c r="F111" s="66" t="str">
        <f t="shared" si="2"/>
        <v/>
      </c>
      <c r="G111" s="69"/>
      <c r="H111" s="6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0" t="str">
        <f>IF(Roster!$A$110&lt;&gt;"",Roster!$A$110,"")</f>
        <v/>
      </c>
      <c r="B112" s="70" t="str">
        <f t="array" ref="B112">IF(A112&lt;&gt;"",IFERROR(SUMPRODUCT((INDEX(Attendance!$B$7:$AZ$206,MATCH(A112,Attendance!$A$7:$A$206,0),0)=1)*Attendance!$B$4:$AZ$4),0),"")</f>
        <v/>
      </c>
      <c r="C112" s="71" t="str">
        <f>IF(A112&lt;&gt;"",SUMIFS(Transactions!$F$7:$F$996,Transactions!$D$7:$D$996,"Income",Transactions!$E$7:$E$996,A112),"")</f>
        <v/>
      </c>
      <c r="D112" s="71" t="str">
        <f>IF(A112&lt;&gt;"",SUMIFS(Transactions!$F$7:$F$996,Transactions!$D$7:$D$996,"Expense",Transactions!$E$7:$E$996,A112),"")</f>
        <v/>
      </c>
      <c r="E112" s="72" t="str">
        <f t="shared" si="1"/>
        <v/>
      </c>
      <c r="F112" s="72" t="str">
        <f t="shared" si="2"/>
        <v/>
      </c>
      <c r="G112" s="69"/>
      <c r="H112" s="6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68" t="str">
        <f>IF(A113&lt;&gt;"",SUMIFS(Transactions!$F$7:$F$996,Transactions!$D$7:$D$996,"Income",Transactions!$E$7:$E$996,A113),"")</f>
        <v/>
      </c>
      <c r="D113" s="68" t="str">
        <f>IF(A113&lt;&gt;"",SUMIFS(Transactions!$F$7:$F$996,Transactions!$D$7:$D$996,"Expense",Transactions!$E$7:$E$996,A113),"")</f>
        <v/>
      </c>
      <c r="E113" s="66" t="str">
        <f t="shared" si="1"/>
        <v/>
      </c>
      <c r="F113" s="66" t="str">
        <f t="shared" si="2"/>
        <v/>
      </c>
      <c r="G113" s="69"/>
      <c r="H113" s="6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0" t="str">
        <f>IF(Roster!$A$112&lt;&gt;"",Roster!$A$112,"")</f>
        <v/>
      </c>
      <c r="B114" s="70" t="str">
        <f t="array" ref="B114">IF(A114&lt;&gt;"",IFERROR(SUMPRODUCT((INDEX(Attendance!$B$7:$AZ$206,MATCH(A114,Attendance!$A$7:$A$206,0),0)=1)*Attendance!$B$4:$AZ$4),0),"")</f>
        <v/>
      </c>
      <c r="C114" s="71" t="str">
        <f>IF(A114&lt;&gt;"",SUMIFS(Transactions!$F$7:$F$996,Transactions!$D$7:$D$996,"Income",Transactions!$E$7:$E$996,A114),"")</f>
        <v/>
      </c>
      <c r="D114" s="71" t="str">
        <f>IF(A114&lt;&gt;"",SUMIFS(Transactions!$F$7:$F$996,Transactions!$D$7:$D$996,"Expense",Transactions!$E$7:$E$996,A114),"")</f>
        <v/>
      </c>
      <c r="E114" s="72" t="str">
        <f t="shared" si="1"/>
        <v/>
      </c>
      <c r="F114" s="72" t="str">
        <f t="shared" si="2"/>
        <v/>
      </c>
      <c r="G114" s="69"/>
      <c r="H114" s="6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68" t="str">
        <f>IF(A115&lt;&gt;"",SUMIFS(Transactions!$F$7:$F$996,Transactions!$D$7:$D$996,"Income",Transactions!$E$7:$E$996,A115),"")</f>
        <v/>
      </c>
      <c r="D115" s="68" t="str">
        <f>IF(A115&lt;&gt;"",SUMIFS(Transactions!$F$7:$F$996,Transactions!$D$7:$D$996,"Expense",Transactions!$E$7:$E$996,A115),"")</f>
        <v/>
      </c>
      <c r="E115" s="66" t="str">
        <f t="shared" si="1"/>
        <v/>
      </c>
      <c r="F115" s="66" t="str">
        <f t="shared" si="2"/>
        <v/>
      </c>
      <c r="G115" s="69"/>
      <c r="H115" s="6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0" t="str">
        <f>IF(Roster!$A$114&lt;&gt;"",Roster!$A$114,"")</f>
        <v/>
      </c>
      <c r="B116" s="70" t="str">
        <f t="array" ref="B116">IF(A116&lt;&gt;"",IFERROR(SUMPRODUCT((INDEX(Attendance!$B$7:$AZ$206,MATCH(A116,Attendance!$A$7:$A$206,0),0)=1)*Attendance!$B$4:$AZ$4),0),"")</f>
        <v/>
      </c>
      <c r="C116" s="71" t="str">
        <f>IF(A116&lt;&gt;"",SUMIFS(Transactions!$F$7:$F$996,Transactions!$D$7:$D$996,"Income",Transactions!$E$7:$E$996,A116),"")</f>
        <v/>
      </c>
      <c r="D116" s="71" t="str">
        <f>IF(A116&lt;&gt;"",SUMIFS(Transactions!$F$7:$F$996,Transactions!$D$7:$D$996,"Expense",Transactions!$E$7:$E$996,A116),"")</f>
        <v/>
      </c>
      <c r="E116" s="72" t="str">
        <f t="shared" si="1"/>
        <v/>
      </c>
      <c r="F116" s="72" t="str">
        <f t="shared" si="2"/>
        <v/>
      </c>
      <c r="G116" s="69"/>
      <c r="H116" s="6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68" t="str">
        <f>IF(A117&lt;&gt;"",SUMIFS(Transactions!$F$7:$F$996,Transactions!$D$7:$D$996,"Income",Transactions!$E$7:$E$996,A117),"")</f>
        <v/>
      </c>
      <c r="D117" s="68" t="str">
        <f>IF(A117&lt;&gt;"",SUMIFS(Transactions!$F$7:$F$996,Transactions!$D$7:$D$996,"Expense",Transactions!$E$7:$E$996,A117),"")</f>
        <v/>
      </c>
      <c r="E117" s="66" t="str">
        <f t="shared" si="1"/>
        <v/>
      </c>
      <c r="F117" s="66" t="str">
        <f t="shared" si="2"/>
        <v/>
      </c>
      <c r="G117" s="69"/>
      <c r="H117" s="6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0" t="str">
        <f>IF(Roster!$A$116&lt;&gt;"",Roster!$A$116,"")</f>
        <v/>
      </c>
      <c r="B118" s="70" t="str">
        <f t="array" ref="B118">IF(A118&lt;&gt;"",IFERROR(SUMPRODUCT((INDEX(Attendance!$B$7:$AZ$206,MATCH(A118,Attendance!$A$7:$A$206,0),0)=1)*Attendance!$B$4:$AZ$4),0),"")</f>
        <v/>
      </c>
      <c r="C118" s="71" t="str">
        <f>IF(A118&lt;&gt;"",SUMIFS(Transactions!$F$7:$F$996,Transactions!$D$7:$D$996,"Income",Transactions!$E$7:$E$996,A118),"")</f>
        <v/>
      </c>
      <c r="D118" s="71" t="str">
        <f>IF(A118&lt;&gt;"",SUMIFS(Transactions!$F$7:$F$996,Transactions!$D$7:$D$996,"Expense",Transactions!$E$7:$E$996,A118),"")</f>
        <v/>
      </c>
      <c r="E118" s="72" t="str">
        <f t="shared" si="1"/>
        <v/>
      </c>
      <c r="F118" s="72" t="str">
        <f t="shared" si="2"/>
        <v/>
      </c>
      <c r="G118" s="69"/>
      <c r="H118" s="6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68" t="str">
        <f>IF(A119&lt;&gt;"",SUMIFS(Transactions!$F$7:$F$996,Transactions!$D$7:$D$996,"Income",Transactions!$E$7:$E$996,A119),"")</f>
        <v/>
      </c>
      <c r="D119" s="68" t="str">
        <f>IF(A119&lt;&gt;"",SUMIFS(Transactions!$F$7:$F$996,Transactions!$D$7:$D$996,"Expense",Transactions!$E$7:$E$996,A119),"")</f>
        <v/>
      </c>
      <c r="E119" s="66" t="str">
        <f t="shared" si="1"/>
        <v/>
      </c>
      <c r="F119" s="66" t="str">
        <f t="shared" si="2"/>
        <v/>
      </c>
      <c r="G119" s="69"/>
      <c r="H119" s="6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0" t="str">
        <f>IF(Roster!$A$118&lt;&gt;"",Roster!$A$118,"")</f>
        <v/>
      </c>
      <c r="B120" s="70" t="str">
        <f t="array" ref="B120">IF(A120&lt;&gt;"",IFERROR(SUMPRODUCT((INDEX(Attendance!$B$7:$AZ$206,MATCH(A120,Attendance!$A$7:$A$206,0),0)=1)*Attendance!$B$4:$AZ$4),0),"")</f>
        <v/>
      </c>
      <c r="C120" s="71" t="str">
        <f>IF(A120&lt;&gt;"",SUMIFS(Transactions!$F$7:$F$996,Transactions!$D$7:$D$996,"Income",Transactions!$E$7:$E$996,A120),"")</f>
        <v/>
      </c>
      <c r="D120" s="71" t="str">
        <f>IF(A120&lt;&gt;"",SUMIFS(Transactions!$F$7:$F$996,Transactions!$D$7:$D$996,"Expense",Transactions!$E$7:$E$996,A120),"")</f>
        <v/>
      </c>
      <c r="E120" s="72" t="str">
        <f t="shared" si="1"/>
        <v/>
      </c>
      <c r="F120" s="72" t="str">
        <f t="shared" si="2"/>
        <v/>
      </c>
      <c r="G120" s="69"/>
      <c r="H120" s="6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68" t="str">
        <f>IF(A121&lt;&gt;"",SUMIFS(Transactions!$F$7:$F$996,Transactions!$D$7:$D$996,"Income",Transactions!$E$7:$E$996,A121),"")</f>
        <v/>
      </c>
      <c r="D121" s="68" t="str">
        <f>IF(A121&lt;&gt;"",SUMIFS(Transactions!$F$7:$F$996,Transactions!$D$7:$D$996,"Expense",Transactions!$E$7:$E$996,A121),"")</f>
        <v/>
      </c>
      <c r="E121" s="66" t="str">
        <f t="shared" si="1"/>
        <v/>
      </c>
      <c r="F121" s="66" t="str">
        <f t="shared" si="2"/>
        <v/>
      </c>
      <c r="G121" s="69"/>
      <c r="H121" s="6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0" t="str">
        <f>IF(Roster!$A$120&lt;&gt;"",Roster!$A$120,"")</f>
        <v/>
      </c>
      <c r="B122" s="70" t="str">
        <f t="array" ref="B122">IF(A122&lt;&gt;"",IFERROR(SUMPRODUCT((INDEX(Attendance!$B$7:$AZ$206,MATCH(A122,Attendance!$A$7:$A$206,0),0)=1)*Attendance!$B$4:$AZ$4),0),"")</f>
        <v/>
      </c>
      <c r="C122" s="71" t="str">
        <f>IF(A122&lt;&gt;"",SUMIFS(Transactions!$F$7:$F$996,Transactions!$D$7:$D$996,"Income",Transactions!$E$7:$E$996,A122),"")</f>
        <v/>
      </c>
      <c r="D122" s="71" t="str">
        <f>IF(A122&lt;&gt;"",SUMIFS(Transactions!$F$7:$F$996,Transactions!$D$7:$D$996,"Expense",Transactions!$E$7:$E$996,A122),"")</f>
        <v/>
      </c>
      <c r="E122" s="72" t="str">
        <f t="shared" si="1"/>
        <v/>
      </c>
      <c r="F122" s="72" t="str">
        <f t="shared" si="2"/>
        <v/>
      </c>
      <c r="G122" s="69"/>
      <c r="H122" s="6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68" t="str">
        <f>IF(A123&lt;&gt;"",SUMIFS(Transactions!$F$7:$F$996,Transactions!$D$7:$D$996,"Income",Transactions!$E$7:$E$996,A123),"")</f>
        <v/>
      </c>
      <c r="D123" s="68" t="str">
        <f>IF(A123&lt;&gt;"",SUMIFS(Transactions!$F$7:$F$996,Transactions!$D$7:$D$996,"Expense",Transactions!$E$7:$E$996,A123),"")</f>
        <v/>
      </c>
      <c r="E123" s="66" t="str">
        <f t="shared" si="1"/>
        <v/>
      </c>
      <c r="F123" s="66" t="str">
        <f t="shared" si="2"/>
        <v/>
      </c>
      <c r="G123" s="69"/>
      <c r="H123" s="6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0" t="str">
        <f>IF(Roster!$A$122&lt;&gt;"",Roster!$A$122,"")</f>
        <v/>
      </c>
      <c r="B124" s="70" t="str">
        <f t="array" ref="B124">IF(A124&lt;&gt;"",IFERROR(SUMPRODUCT((INDEX(Attendance!$B$7:$AZ$206,MATCH(A124,Attendance!$A$7:$A$206,0),0)=1)*Attendance!$B$4:$AZ$4),0),"")</f>
        <v/>
      </c>
      <c r="C124" s="71" t="str">
        <f>IF(A124&lt;&gt;"",SUMIFS(Transactions!$F$7:$F$996,Transactions!$D$7:$D$996,"Income",Transactions!$E$7:$E$996,A124),"")</f>
        <v/>
      </c>
      <c r="D124" s="71" t="str">
        <f>IF(A124&lt;&gt;"",SUMIFS(Transactions!$F$7:$F$996,Transactions!$D$7:$D$996,"Expense",Transactions!$E$7:$E$996,A124),"")</f>
        <v/>
      </c>
      <c r="E124" s="72" t="str">
        <f t="shared" si="1"/>
        <v/>
      </c>
      <c r="F124" s="72" t="str">
        <f t="shared" si="2"/>
        <v/>
      </c>
      <c r="G124" s="69"/>
      <c r="H124" s="6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68" t="str">
        <f>IF(A125&lt;&gt;"",SUMIFS(Transactions!$F$7:$F$996,Transactions!$D$7:$D$996,"Income",Transactions!$E$7:$E$996,A125),"")</f>
        <v/>
      </c>
      <c r="D125" s="68" t="str">
        <f>IF(A125&lt;&gt;"",SUMIFS(Transactions!$F$7:$F$996,Transactions!$D$7:$D$996,"Expense",Transactions!$E$7:$E$996,A125),"")</f>
        <v/>
      </c>
      <c r="E125" s="66" t="str">
        <f t="shared" si="1"/>
        <v/>
      </c>
      <c r="F125" s="66" t="str">
        <f t="shared" si="2"/>
        <v/>
      </c>
      <c r="G125" s="69"/>
      <c r="H125" s="6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0" t="str">
        <f>IF(Roster!$A$124&lt;&gt;"",Roster!$A$124,"")</f>
        <v/>
      </c>
      <c r="B126" s="70" t="str">
        <f t="array" ref="B126">IF(A126&lt;&gt;"",IFERROR(SUMPRODUCT((INDEX(Attendance!$B$7:$AZ$206,MATCH(A126,Attendance!$A$7:$A$206,0),0)=1)*Attendance!$B$4:$AZ$4),0),"")</f>
        <v/>
      </c>
      <c r="C126" s="71" t="str">
        <f>IF(A126&lt;&gt;"",SUMIFS(Transactions!$F$7:$F$996,Transactions!$D$7:$D$996,"Income",Transactions!$E$7:$E$996,A126),"")</f>
        <v/>
      </c>
      <c r="D126" s="71" t="str">
        <f>IF(A126&lt;&gt;"",SUMIFS(Transactions!$F$7:$F$996,Transactions!$D$7:$D$996,"Expense",Transactions!$E$7:$E$996,A126),"")</f>
        <v/>
      </c>
      <c r="E126" s="72" t="str">
        <f t="shared" si="1"/>
        <v/>
      </c>
      <c r="F126" s="72" t="str">
        <f t="shared" si="2"/>
        <v/>
      </c>
      <c r="G126" s="69"/>
      <c r="H126" s="6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68" t="str">
        <f>IF(A127&lt;&gt;"",SUMIFS(Transactions!$F$7:$F$996,Transactions!$D$7:$D$996,"Income",Transactions!$E$7:$E$996,A127),"")</f>
        <v/>
      </c>
      <c r="D127" s="68" t="str">
        <f>IF(A127&lt;&gt;"",SUMIFS(Transactions!$F$7:$F$996,Transactions!$D$7:$D$996,"Expense",Transactions!$E$7:$E$996,A127),"")</f>
        <v/>
      </c>
      <c r="E127" s="66" t="str">
        <f t="shared" si="1"/>
        <v/>
      </c>
      <c r="F127" s="66" t="str">
        <f t="shared" si="2"/>
        <v/>
      </c>
      <c r="G127" s="69"/>
      <c r="H127" s="6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0" t="str">
        <f>IF(Roster!$A$126&lt;&gt;"",Roster!$A$126,"")</f>
        <v/>
      </c>
      <c r="B128" s="70" t="str">
        <f t="array" ref="B128">IF(A128&lt;&gt;"",IFERROR(SUMPRODUCT((INDEX(Attendance!$B$7:$AZ$206,MATCH(A128,Attendance!$A$7:$A$206,0),0)=1)*Attendance!$B$4:$AZ$4),0),"")</f>
        <v/>
      </c>
      <c r="C128" s="71" t="str">
        <f>IF(A128&lt;&gt;"",SUMIFS(Transactions!$F$7:$F$996,Transactions!$D$7:$D$996,"Income",Transactions!$E$7:$E$996,A128),"")</f>
        <v/>
      </c>
      <c r="D128" s="71" t="str">
        <f>IF(A128&lt;&gt;"",SUMIFS(Transactions!$F$7:$F$996,Transactions!$D$7:$D$996,"Expense",Transactions!$E$7:$E$996,A128),"")</f>
        <v/>
      </c>
      <c r="E128" s="72" t="str">
        <f t="shared" si="1"/>
        <v/>
      </c>
      <c r="F128" s="72" t="str">
        <f t="shared" si="2"/>
        <v/>
      </c>
      <c r="G128" s="69"/>
      <c r="H128" s="6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68" t="str">
        <f>IF(A129&lt;&gt;"",SUMIFS(Transactions!$F$7:$F$996,Transactions!$D$7:$D$996,"Income",Transactions!$E$7:$E$996,A129),"")</f>
        <v/>
      </c>
      <c r="D129" s="68" t="str">
        <f>IF(A129&lt;&gt;"",SUMIFS(Transactions!$F$7:$F$996,Transactions!$D$7:$D$996,"Expense",Transactions!$E$7:$E$996,A129),"")</f>
        <v/>
      </c>
      <c r="E129" s="66" t="str">
        <f t="shared" si="1"/>
        <v/>
      </c>
      <c r="F129" s="66" t="str">
        <f t="shared" si="2"/>
        <v/>
      </c>
      <c r="G129" s="69"/>
      <c r="H129" s="6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0" t="str">
        <f>IF(Roster!$A$128&lt;&gt;"",Roster!$A$128,"")</f>
        <v/>
      </c>
      <c r="B130" s="70" t="str">
        <f t="array" ref="B130">IF(A130&lt;&gt;"",IFERROR(SUMPRODUCT((INDEX(Attendance!$B$7:$AZ$206,MATCH(A130,Attendance!$A$7:$A$206,0),0)=1)*Attendance!$B$4:$AZ$4),0),"")</f>
        <v/>
      </c>
      <c r="C130" s="71" t="str">
        <f>IF(A130&lt;&gt;"",SUMIFS(Transactions!$F$7:$F$996,Transactions!$D$7:$D$996,"Income",Transactions!$E$7:$E$996,A130),"")</f>
        <v/>
      </c>
      <c r="D130" s="71" t="str">
        <f>IF(A130&lt;&gt;"",SUMIFS(Transactions!$F$7:$F$996,Transactions!$D$7:$D$996,"Expense",Transactions!$E$7:$E$996,A130),"")</f>
        <v/>
      </c>
      <c r="E130" s="72" t="str">
        <f t="shared" si="1"/>
        <v/>
      </c>
      <c r="F130" s="72" t="str">
        <f t="shared" si="2"/>
        <v/>
      </c>
      <c r="G130" s="69"/>
      <c r="H130" s="6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68" t="str">
        <f>IF(A131&lt;&gt;"",SUMIFS(Transactions!$F$7:$F$996,Transactions!$D$7:$D$996,"Income",Transactions!$E$7:$E$996,A131),"")</f>
        <v/>
      </c>
      <c r="D131" s="68" t="str">
        <f>IF(A131&lt;&gt;"",SUMIFS(Transactions!$F$7:$F$996,Transactions!$D$7:$D$996,"Expense",Transactions!$E$7:$E$996,A131),"")</f>
        <v/>
      </c>
      <c r="E131" s="66" t="str">
        <f t="shared" si="1"/>
        <v/>
      </c>
      <c r="F131" s="66" t="str">
        <f t="shared" si="2"/>
        <v/>
      </c>
      <c r="G131" s="69"/>
      <c r="H131" s="6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0" t="str">
        <f>IF(Roster!$A$130&lt;&gt;"",Roster!$A$130,"")</f>
        <v/>
      </c>
      <c r="B132" s="70" t="str">
        <f t="array" ref="B132">IF(A132&lt;&gt;"",IFERROR(SUMPRODUCT((INDEX(Attendance!$B$7:$AZ$206,MATCH(A132,Attendance!$A$7:$A$206,0),0)=1)*Attendance!$B$4:$AZ$4),0),"")</f>
        <v/>
      </c>
      <c r="C132" s="71" t="str">
        <f>IF(A132&lt;&gt;"",SUMIFS(Transactions!$F$7:$F$996,Transactions!$D$7:$D$996,"Income",Transactions!$E$7:$E$996,A132),"")</f>
        <v/>
      </c>
      <c r="D132" s="71" t="str">
        <f>IF(A132&lt;&gt;"",SUMIFS(Transactions!$F$7:$F$996,Transactions!$D$7:$D$996,"Expense",Transactions!$E$7:$E$996,A132),"")</f>
        <v/>
      </c>
      <c r="E132" s="72" t="str">
        <f t="shared" si="1"/>
        <v/>
      </c>
      <c r="F132" s="72" t="str">
        <f t="shared" si="2"/>
        <v/>
      </c>
      <c r="G132" s="69"/>
      <c r="H132" s="6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68" t="str">
        <f>IF(A133&lt;&gt;"",SUMIFS(Transactions!$F$7:$F$996,Transactions!$D$7:$D$996,"Income",Transactions!$E$7:$E$996,A133),"")</f>
        <v/>
      </c>
      <c r="D133" s="68" t="str">
        <f>IF(A133&lt;&gt;"",SUMIFS(Transactions!$F$7:$F$996,Transactions!$D$7:$D$996,"Expense",Transactions!$E$7:$E$996,A133),"")</f>
        <v/>
      </c>
      <c r="E133" s="66" t="str">
        <f t="shared" si="1"/>
        <v/>
      </c>
      <c r="F133" s="66" t="str">
        <f t="shared" si="2"/>
        <v/>
      </c>
      <c r="G133" s="69"/>
      <c r="H133" s="6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0" t="str">
        <f>IF(Roster!$A$132&lt;&gt;"",Roster!$A$132,"")</f>
        <v/>
      </c>
      <c r="B134" s="70" t="str">
        <f t="array" ref="B134">IF(A134&lt;&gt;"",IFERROR(SUMPRODUCT((INDEX(Attendance!$B$7:$AZ$206,MATCH(A134,Attendance!$A$7:$A$206,0),0)=1)*Attendance!$B$4:$AZ$4),0),"")</f>
        <v/>
      </c>
      <c r="C134" s="71" t="str">
        <f>IF(A134&lt;&gt;"",SUMIFS(Transactions!$F$7:$F$996,Transactions!$D$7:$D$996,"Income",Transactions!$E$7:$E$996,A134),"")</f>
        <v/>
      </c>
      <c r="D134" s="71" t="str">
        <f>IF(A134&lt;&gt;"",SUMIFS(Transactions!$F$7:$F$996,Transactions!$D$7:$D$996,"Expense",Transactions!$E$7:$E$996,A134),"")</f>
        <v/>
      </c>
      <c r="E134" s="72" t="str">
        <f t="shared" si="1"/>
        <v/>
      </c>
      <c r="F134" s="72" t="str">
        <f t="shared" si="2"/>
        <v/>
      </c>
      <c r="G134" s="69"/>
      <c r="H134" s="6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68" t="str">
        <f>IF(A135&lt;&gt;"",SUMIFS(Transactions!$F$7:$F$996,Transactions!$D$7:$D$996,"Income",Transactions!$E$7:$E$996,A135),"")</f>
        <v/>
      </c>
      <c r="D135" s="68" t="str">
        <f>IF(A135&lt;&gt;"",SUMIFS(Transactions!$F$7:$F$996,Transactions!$D$7:$D$996,"Expense",Transactions!$E$7:$E$996,A135),"")</f>
        <v/>
      </c>
      <c r="E135" s="66" t="str">
        <f t="shared" si="1"/>
        <v/>
      </c>
      <c r="F135" s="66" t="str">
        <f t="shared" si="2"/>
        <v/>
      </c>
      <c r="G135" s="69"/>
      <c r="H135" s="6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0" t="str">
        <f>IF(Roster!$A$134&lt;&gt;"",Roster!$A$134,"")</f>
        <v/>
      </c>
      <c r="B136" s="70" t="str">
        <f t="array" ref="B136">IF(A136&lt;&gt;"",IFERROR(SUMPRODUCT((INDEX(Attendance!$B$7:$AZ$206,MATCH(A136,Attendance!$A$7:$A$206,0),0)=1)*Attendance!$B$4:$AZ$4),0),"")</f>
        <v/>
      </c>
      <c r="C136" s="71" t="str">
        <f>IF(A136&lt;&gt;"",SUMIFS(Transactions!$F$7:$F$996,Transactions!$D$7:$D$996,"Income",Transactions!$E$7:$E$996,A136),"")</f>
        <v/>
      </c>
      <c r="D136" s="71" t="str">
        <f>IF(A136&lt;&gt;"",SUMIFS(Transactions!$F$7:$F$996,Transactions!$D$7:$D$996,"Expense",Transactions!$E$7:$E$996,A136),"")</f>
        <v/>
      </c>
      <c r="E136" s="72" t="str">
        <f t="shared" si="1"/>
        <v/>
      </c>
      <c r="F136" s="72" t="str">
        <f t="shared" si="2"/>
        <v/>
      </c>
      <c r="G136" s="69"/>
      <c r="H136" s="6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68" t="str">
        <f>IF(A137&lt;&gt;"",SUMIFS(Transactions!$F$7:$F$996,Transactions!$D$7:$D$996,"Income",Transactions!$E$7:$E$996,A137),"")</f>
        <v/>
      </c>
      <c r="D137" s="68" t="str">
        <f>IF(A137&lt;&gt;"",SUMIFS(Transactions!$F$7:$F$996,Transactions!$D$7:$D$996,"Expense",Transactions!$E$7:$E$996,A137),"")</f>
        <v/>
      </c>
      <c r="E137" s="66" t="str">
        <f t="shared" si="1"/>
        <v/>
      </c>
      <c r="F137" s="66" t="str">
        <f t="shared" si="2"/>
        <v/>
      </c>
      <c r="G137" s="69"/>
      <c r="H137" s="6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0" t="str">
        <f>IF(Roster!$A$136&lt;&gt;"",Roster!$A$136,"")</f>
        <v/>
      </c>
      <c r="B138" s="70" t="str">
        <f t="array" ref="B138">IF(A138&lt;&gt;"",IFERROR(SUMPRODUCT((INDEX(Attendance!$B$7:$AZ$206,MATCH(A138,Attendance!$A$7:$A$206,0),0)=1)*Attendance!$B$4:$AZ$4),0),"")</f>
        <v/>
      </c>
      <c r="C138" s="71" t="str">
        <f>IF(A138&lt;&gt;"",SUMIFS(Transactions!$F$7:$F$996,Transactions!$D$7:$D$996,"Income",Transactions!$E$7:$E$996,A138),"")</f>
        <v/>
      </c>
      <c r="D138" s="71" t="str">
        <f>IF(A138&lt;&gt;"",SUMIFS(Transactions!$F$7:$F$996,Transactions!$D$7:$D$996,"Expense",Transactions!$E$7:$E$996,A138),"")</f>
        <v/>
      </c>
      <c r="E138" s="72" t="str">
        <f t="shared" si="1"/>
        <v/>
      </c>
      <c r="F138" s="72" t="str">
        <f t="shared" si="2"/>
        <v/>
      </c>
      <c r="G138" s="69"/>
      <c r="H138" s="6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68" t="str">
        <f>IF(A139&lt;&gt;"",SUMIFS(Transactions!$F$7:$F$996,Transactions!$D$7:$D$996,"Income",Transactions!$E$7:$E$996,A139),"")</f>
        <v/>
      </c>
      <c r="D139" s="68" t="str">
        <f>IF(A139&lt;&gt;"",SUMIFS(Transactions!$F$7:$F$996,Transactions!$D$7:$D$996,"Expense",Transactions!$E$7:$E$996,A139),"")</f>
        <v/>
      </c>
      <c r="E139" s="66" t="str">
        <f t="shared" si="1"/>
        <v/>
      </c>
      <c r="F139" s="66" t="str">
        <f t="shared" si="2"/>
        <v/>
      </c>
      <c r="G139" s="69"/>
      <c r="H139" s="6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0" t="str">
        <f>IF(Roster!$A$138&lt;&gt;"",Roster!$A$138,"")</f>
        <v/>
      </c>
      <c r="B140" s="70" t="str">
        <f t="array" ref="B140">IF(A140&lt;&gt;"",IFERROR(SUMPRODUCT((INDEX(Attendance!$B$7:$AZ$206,MATCH(A140,Attendance!$A$7:$A$206,0),0)=1)*Attendance!$B$4:$AZ$4),0),"")</f>
        <v/>
      </c>
      <c r="C140" s="71" t="str">
        <f>IF(A140&lt;&gt;"",SUMIFS(Transactions!$F$7:$F$996,Transactions!$D$7:$D$996,"Income",Transactions!$E$7:$E$996,A140),"")</f>
        <v/>
      </c>
      <c r="D140" s="71" t="str">
        <f>IF(A140&lt;&gt;"",SUMIFS(Transactions!$F$7:$F$996,Transactions!$D$7:$D$996,"Expense",Transactions!$E$7:$E$996,A140),"")</f>
        <v/>
      </c>
      <c r="E140" s="72" t="str">
        <f t="shared" si="1"/>
        <v/>
      </c>
      <c r="F140" s="72" t="str">
        <f t="shared" si="2"/>
        <v/>
      </c>
      <c r="G140" s="69"/>
      <c r="H140" s="6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68" t="str">
        <f>IF(A141&lt;&gt;"",SUMIFS(Transactions!$F$7:$F$996,Transactions!$D$7:$D$996,"Income",Transactions!$E$7:$E$996,A141),"")</f>
        <v/>
      </c>
      <c r="D141" s="68" t="str">
        <f>IF(A141&lt;&gt;"",SUMIFS(Transactions!$F$7:$F$996,Transactions!$D$7:$D$996,"Expense",Transactions!$E$7:$E$996,A141),"")</f>
        <v/>
      </c>
      <c r="E141" s="66" t="str">
        <f t="shared" si="1"/>
        <v/>
      </c>
      <c r="F141" s="66" t="str">
        <f t="shared" si="2"/>
        <v/>
      </c>
      <c r="G141" s="69"/>
      <c r="H141" s="6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0" t="str">
        <f>IF(Roster!$A$140&lt;&gt;"",Roster!$A$140,"")</f>
        <v/>
      </c>
      <c r="B142" s="70" t="str">
        <f t="array" ref="B142">IF(A142&lt;&gt;"",IFERROR(SUMPRODUCT((INDEX(Attendance!$B$7:$AZ$206,MATCH(A142,Attendance!$A$7:$A$206,0),0)=1)*Attendance!$B$4:$AZ$4),0),"")</f>
        <v/>
      </c>
      <c r="C142" s="71" t="str">
        <f>IF(A142&lt;&gt;"",SUMIFS(Transactions!$F$7:$F$996,Transactions!$D$7:$D$996,"Income",Transactions!$E$7:$E$996,A142),"")</f>
        <v/>
      </c>
      <c r="D142" s="71" t="str">
        <f>IF(A142&lt;&gt;"",SUMIFS(Transactions!$F$7:$F$996,Transactions!$D$7:$D$996,"Expense",Transactions!$E$7:$E$996,A142),"")</f>
        <v/>
      </c>
      <c r="E142" s="72" t="str">
        <f t="shared" si="1"/>
        <v/>
      </c>
      <c r="F142" s="72" t="str">
        <f t="shared" si="2"/>
        <v/>
      </c>
      <c r="G142" s="69"/>
      <c r="H142" s="6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68" t="str">
        <f>IF(A143&lt;&gt;"",SUMIFS(Transactions!$F$7:$F$996,Transactions!$D$7:$D$996,"Income",Transactions!$E$7:$E$996,A143),"")</f>
        <v/>
      </c>
      <c r="D143" s="68" t="str">
        <f>IF(A143&lt;&gt;"",SUMIFS(Transactions!$F$7:$F$996,Transactions!$D$7:$D$996,"Expense",Transactions!$E$7:$E$996,A143),"")</f>
        <v/>
      </c>
      <c r="E143" s="66" t="str">
        <f t="shared" si="1"/>
        <v/>
      </c>
      <c r="F143" s="66" t="str">
        <f t="shared" si="2"/>
        <v/>
      </c>
      <c r="G143" s="69"/>
      <c r="H143" s="6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0" t="str">
        <f>IF(Roster!$A$142&lt;&gt;"",Roster!$A$142,"")</f>
        <v/>
      </c>
      <c r="B144" s="70" t="str">
        <f t="array" ref="B144">IF(A144&lt;&gt;"",IFERROR(SUMPRODUCT((INDEX(Attendance!$B$7:$AZ$206,MATCH(A144,Attendance!$A$7:$A$206,0),0)=1)*Attendance!$B$4:$AZ$4),0),"")</f>
        <v/>
      </c>
      <c r="C144" s="71" t="str">
        <f>IF(A144&lt;&gt;"",SUMIFS(Transactions!$F$7:$F$996,Transactions!$D$7:$D$996,"Income",Transactions!$E$7:$E$996,A144),"")</f>
        <v/>
      </c>
      <c r="D144" s="71" t="str">
        <f>IF(A144&lt;&gt;"",SUMIFS(Transactions!$F$7:$F$996,Transactions!$D$7:$D$996,"Expense",Transactions!$E$7:$E$996,A144),"")</f>
        <v/>
      </c>
      <c r="E144" s="72" t="str">
        <f t="shared" si="1"/>
        <v/>
      </c>
      <c r="F144" s="72" t="str">
        <f t="shared" si="2"/>
        <v/>
      </c>
      <c r="G144" s="69"/>
      <c r="H144" s="6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68" t="str">
        <f>IF(A145&lt;&gt;"",SUMIFS(Transactions!$F$7:$F$996,Transactions!$D$7:$D$996,"Income",Transactions!$E$7:$E$996,A145),"")</f>
        <v/>
      </c>
      <c r="D145" s="68" t="str">
        <f>IF(A145&lt;&gt;"",SUMIFS(Transactions!$F$7:$F$996,Transactions!$D$7:$D$996,"Expense",Transactions!$E$7:$E$996,A145),"")</f>
        <v/>
      </c>
      <c r="E145" s="66" t="str">
        <f t="shared" si="1"/>
        <v/>
      </c>
      <c r="F145" s="66" t="str">
        <f t="shared" si="2"/>
        <v/>
      </c>
      <c r="G145" s="69"/>
      <c r="H145" s="6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0" t="str">
        <f>IF(Roster!$A$144&lt;&gt;"",Roster!$A$144,"")</f>
        <v/>
      </c>
      <c r="B146" s="70" t="str">
        <f t="array" ref="B146">IF(A146&lt;&gt;"",IFERROR(SUMPRODUCT((INDEX(Attendance!$B$7:$AZ$206,MATCH(A146,Attendance!$A$7:$A$206,0),0)=1)*Attendance!$B$4:$AZ$4),0),"")</f>
        <v/>
      </c>
      <c r="C146" s="71" t="str">
        <f>IF(A146&lt;&gt;"",SUMIFS(Transactions!$F$7:$F$996,Transactions!$D$7:$D$996,"Income",Transactions!$E$7:$E$996,A146),"")</f>
        <v/>
      </c>
      <c r="D146" s="71" t="str">
        <f>IF(A146&lt;&gt;"",SUMIFS(Transactions!$F$7:$F$996,Transactions!$D$7:$D$996,"Expense",Transactions!$E$7:$E$996,A146),"")</f>
        <v/>
      </c>
      <c r="E146" s="72" t="str">
        <f t="shared" si="1"/>
        <v/>
      </c>
      <c r="F146" s="72" t="str">
        <f t="shared" si="2"/>
        <v/>
      </c>
      <c r="G146" s="69"/>
      <c r="H146" s="6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68" t="str">
        <f>IF(A147&lt;&gt;"",SUMIFS(Transactions!$F$7:$F$996,Transactions!$D$7:$D$996,"Income",Transactions!$E$7:$E$996,A147),"")</f>
        <v/>
      </c>
      <c r="D147" s="68" t="str">
        <f>IF(A147&lt;&gt;"",SUMIFS(Transactions!$F$7:$F$996,Transactions!$D$7:$D$996,"Expense",Transactions!$E$7:$E$996,A147),"")</f>
        <v/>
      </c>
      <c r="E147" s="66" t="str">
        <f t="shared" si="1"/>
        <v/>
      </c>
      <c r="F147" s="66" t="str">
        <f t="shared" si="2"/>
        <v/>
      </c>
      <c r="G147" s="69"/>
      <c r="H147" s="6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0" t="str">
        <f>IF(Roster!$A$146&lt;&gt;"",Roster!$A$146,"")</f>
        <v/>
      </c>
      <c r="B148" s="70" t="str">
        <f t="array" ref="B148">IF(A148&lt;&gt;"",IFERROR(SUMPRODUCT((INDEX(Attendance!$B$7:$AZ$206,MATCH(A148,Attendance!$A$7:$A$206,0),0)=1)*Attendance!$B$4:$AZ$4),0),"")</f>
        <v/>
      </c>
      <c r="C148" s="71" t="str">
        <f>IF(A148&lt;&gt;"",SUMIFS(Transactions!$F$7:$F$996,Transactions!$D$7:$D$996,"Income",Transactions!$E$7:$E$996,A148),"")</f>
        <v/>
      </c>
      <c r="D148" s="71" t="str">
        <f>IF(A148&lt;&gt;"",SUMIFS(Transactions!$F$7:$F$996,Transactions!$D$7:$D$996,"Expense",Transactions!$E$7:$E$996,A148),"")</f>
        <v/>
      </c>
      <c r="E148" s="72" t="str">
        <f t="shared" si="1"/>
        <v/>
      </c>
      <c r="F148" s="72" t="str">
        <f t="shared" si="2"/>
        <v/>
      </c>
      <c r="G148" s="69"/>
      <c r="H148" s="6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68" t="str">
        <f>IF(A149&lt;&gt;"",SUMIFS(Transactions!$F$7:$F$996,Transactions!$D$7:$D$996,"Income",Transactions!$E$7:$E$996,A149),"")</f>
        <v/>
      </c>
      <c r="D149" s="68" t="str">
        <f>IF(A149&lt;&gt;"",SUMIFS(Transactions!$F$7:$F$996,Transactions!$D$7:$D$996,"Expense",Transactions!$E$7:$E$996,A149),"")</f>
        <v/>
      </c>
      <c r="E149" s="66" t="str">
        <f t="shared" si="1"/>
        <v/>
      </c>
      <c r="F149" s="66" t="str">
        <f t="shared" si="2"/>
        <v/>
      </c>
      <c r="G149" s="69"/>
      <c r="H149" s="6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0" t="str">
        <f>IF(Roster!$A$148&lt;&gt;"",Roster!$A$148,"")</f>
        <v/>
      </c>
      <c r="B150" s="70" t="str">
        <f t="array" ref="B150">IF(A150&lt;&gt;"",IFERROR(SUMPRODUCT((INDEX(Attendance!$B$7:$AZ$206,MATCH(A150,Attendance!$A$7:$A$206,0),0)=1)*Attendance!$B$4:$AZ$4),0),"")</f>
        <v/>
      </c>
      <c r="C150" s="71" t="str">
        <f>IF(A150&lt;&gt;"",SUMIFS(Transactions!$F$7:$F$996,Transactions!$D$7:$D$996,"Income",Transactions!$E$7:$E$996,A150),"")</f>
        <v/>
      </c>
      <c r="D150" s="71" t="str">
        <f>IF(A150&lt;&gt;"",SUMIFS(Transactions!$F$7:$F$996,Transactions!$D$7:$D$996,"Expense",Transactions!$E$7:$E$996,A150),"")</f>
        <v/>
      </c>
      <c r="E150" s="72" t="str">
        <f t="shared" si="1"/>
        <v/>
      </c>
      <c r="F150" s="72" t="str">
        <f t="shared" si="2"/>
        <v/>
      </c>
      <c r="G150" s="69"/>
      <c r="H150" s="6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68" t="str">
        <f>IF(A151&lt;&gt;"",SUMIFS(Transactions!$F$7:$F$996,Transactions!$D$7:$D$996,"Income",Transactions!$E$7:$E$996,A151),"")</f>
        <v/>
      </c>
      <c r="D151" s="68" t="str">
        <f>IF(A151&lt;&gt;"",SUMIFS(Transactions!$F$7:$F$996,Transactions!$D$7:$D$996,"Expense",Transactions!$E$7:$E$996,A151),"")</f>
        <v/>
      </c>
      <c r="E151" s="66" t="str">
        <f t="shared" si="1"/>
        <v/>
      </c>
      <c r="F151" s="66" t="str">
        <f t="shared" si="2"/>
        <v/>
      </c>
      <c r="G151" s="69"/>
      <c r="H151" s="6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0" t="str">
        <f>IF(Roster!$A$150&lt;&gt;"",Roster!$A$150,"")</f>
        <v/>
      </c>
      <c r="B152" s="70" t="str">
        <f t="array" ref="B152">IF(A152&lt;&gt;"",IFERROR(SUMPRODUCT((INDEX(Attendance!$B$7:$AZ$206,MATCH(A152,Attendance!$A$7:$A$206,0),0)=1)*Attendance!$B$4:$AZ$4),0),"")</f>
        <v/>
      </c>
      <c r="C152" s="71" t="str">
        <f>IF(A152&lt;&gt;"",SUMIFS(Transactions!$F$7:$F$996,Transactions!$D$7:$D$996,"Income",Transactions!$E$7:$E$996,A152),"")</f>
        <v/>
      </c>
      <c r="D152" s="71" t="str">
        <f>IF(A152&lt;&gt;"",SUMIFS(Transactions!$F$7:$F$996,Transactions!$D$7:$D$996,"Expense",Transactions!$E$7:$E$996,A152),"")</f>
        <v/>
      </c>
      <c r="E152" s="72" t="str">
        <f t="shared" si="1"/>
        <v/>
      </c>
      <c r="F152" s="72" t="str">
        <f t="shared" si="2"/>
        <v/>
      </c>
      <c r="G152" s="69"/>
      <c r="H152" s="6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68" t="str">
        <f>IF(A153&lt;&gt;"",SUMIFS(Transactions!$F$7:$F$996,Transactions!$D$7:$D$996,"Income",Transactions!$E$7:$E$996,A153),"")</f>
        <v/>
      </c>
      <c r="D153" s="68" t="str">
        <f>IF(A153&lt;&gt;"",SUMIFS(Transactions!$F$7:$F$996,Transactions!$D$7:$D$996,"Expense",Transactions!$E$7:$E$996,A153),"")</f>
        <v/>
      </c>
      <c r="E153" s="66" t="str">
        <f t="shared" si="1"/>
        <v/>
      </c>
      <c r="F153" s="66" t="str">
        <f t="shared" si="2"/>
        <v/>
      </c>
      <c r="G153" s="69"/>
      <c r="H153" s="6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0" t="str">
        <f>IF(Roster!$A$152&lt;&gt;"",Roster!$A$152,"")</f>
        <v/>
      </c>
      <c r="B154" s="70" t="str">
        <f t="array" ref="B154">IF(A154&lt;&gt;"",IFERROR(SUMPRODUCT((INDEX(Attendance!$B$7:$AZ$206,MATCH(A154,Attendance!$A$7:$A$206,0),0)=1)*Attendance!$B$4:$AZ$4),0),"")</f>
        <v/>
      </c>
      <c r="C154" s="71" t="str">
        <f>IF(A154&lt;&gt;"",SUMIFS(Transactions!$F$7:$F$996,Transactions!$D$7:$D$996,"Income",Transactions!$E$7:$E$996,A154),"")</f>
        <v/>
      </c>
      <c r="D154" s="71" t="str">
        <f>IF(A154&lt;&gt;"",SUMIFS(Transactions!$F$7:$F$996,Transactions!$D$7:$D$996,"Expense",Transactions!$E$7:$E$996,A154),"")</f>
        <v/>
      </c>
      <c r="E154" s="72" t="str">
        <f t="shared" si="1"/>
        <v/>
      </c>
      <c r="F154" s="72" t="str">
        <f t="shared" si="2"/>
        <v/>
      </c>
      <c r="G154" s="69"/>
      <c r="H154" s="6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68" t="str">
        <f>IF(A155&lt;&gt;"",SUMIFS(Transactions!$F$7:$F$996,Transactions!$D$7:$D$996,"Income",Transactions!$E$7:$E$996,A155),"")</f>
        <v/>
      </c>
      <c r="D155" s="68" t="str">
        <f>IF(A155&lt;&gt;"",SUMIFS(Transactions!$F$7:$F$996,Transactions!$D$7:$D$996,"Expense",Transactions!$E$7:$E$996,A155),"")</f>
        <v/>
      </c>
      <c r="E155" s="66" t="str">
        <f t="shared" si="1"/>
        <v/>
      </c>
      <c r="F155" s="66" t="str">
        <f t="shared" si="2"/>
        <v/>
      </c>
      <c r="G155" s="69"/>
      <c r="H155" s="6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0" t="str">
        <f>IF(Roster!$A$154&lt;&gt;"",Roster!$A$154,"")</f>
        <v/>
      </c>
      <c r="B156" s="70" t="str">
        <f t="array" ref="B156">IF(A156&lt;&gt;"",IFERROR(SUMPRODUCT((INDEX(Attendance!$B$7:$AZ$206,MATCH(A156,Attendance!$A$7:$A$206,0),0)=1)*Attendance!$B$4:$AZ$4),0),"")</f>
        <v/>
      </c>
      <c r="C156" s="71" t="str">
        <f>IF(A156&lt;&gt;"",SUMIFS(Transactions!$F$7:$F$996,Transactions!$D$7:$D$996,"Income",Transactions!$E$7:$E$996,A156),"")</f>
        <v/>
      </c>
      <c r="D156" s="71" t="str">
        <f>IF(A156&lt;&gt;"",SUMIFS(Transactions!$F$7:$F$996,Transactions!$D$7:$D$996,"Expense",Transactions!$E$7:$E$996,A156),"")</f>
        <v/>
      </c>
      <c r="E156" s="72" t="str">
        <f t="shared" si="1"/>
        <v/>
      </c>
      <c r="F156" s="72" t="str">
        <f t="shared" si="2"/>
        <v/>
      </c>
      <c r="G156" s="69"/>
      <c r="H156" s="6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68" t="str">
        <f>IF(A157&lt;&gt;"",SUMIFS(Transactions!$F$7:$F$996,Transactions!$D$7:$D$996,"Income",Transactions!$E$7:$E$996,A157),"")</f>
        <v/>
      </c>
      <c r="D157" s="68" t="str">
        <f>IF(A157&lt;&gt;"",SUMIFS(Transactions!$F$7:$F$996,Transactions!$D$7:$D$996,"Expense",Transactions!$E$7:$E$996,A157),"")</f>
        <v/>
      </c>
      <c r="E157" s="66" t="str">
        <f t="shared" si="1"/>
        <v/>
      </c>
      <c r="F157" s="66" t="str">
        <f t="shared" si="2"/>
        <v/>
      </c>
      <c r="G157" s="69"/>
      <c r="H157" s="6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0" t="str">
        <f>IF(Roster!$A$156&lt;&gt;"",Roster!$A$156,"")</f>
        <v/>
      </c>
      <c r="B158" s="70" t="str">
        <f t="array" ref="B158">IF(A158&lt;&gt;"",IFERROR(SUMPRODUCT((INDEX(Attendance!$B$7:$AZ$206,MATCH(A158,Attendance!$A$7:$A$206,0),0)=1)*Attendance!$B$4:$AZ$4),0),"")</f>
        <v/>
      </c>
      <c r="C158" s="71" t="str">
        <f>IF(A158&lt;&gt;"",SUMIFS(Transactions!$F$7:$F$996,Transactions!$D$7:$D$996,"Income",Transactions!$E$7:$E$996,A158),"")</f>
        <v/>
      </c>
      <c r="D158" s="71" t="str">
        <f>IF(A158&lt;&gt;"",SUMIFS(Transactions!$F$7:$F$996,Transactions!$D$7:$D$996,"Expense",Transactions!$E$7:$E$996,A158),"")</f>
        <v/>
      </c>
      <c r="E158" s="72" t="str">
        <f t="shared" si="1"/>
        <v/>
      </c>
      <c r="F158" s="72" t="str">
        <f t="shared" si="2"/>
        <v/>
      </c>
      <c r="G158" s="69"/>
      <c r="H158" s="6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68" t="str">
        <f>IF(A159&lt;&gt;"",SUMIFS(Transactions!$F$7:$F$996,Transactions!$D$7:$D$996,"Income",Transactions!$E$7:$E$996,A159),"")</f>
        <v/>
      </c>
      <c r="D159" s="68" t="str">
        <f>IF(A159&lt;&gt;"",SUMIFS(Transactions!$F$7:$F$996,Transactions!$D$7:$D$996,"Expense",Transactions!$E$7:$E$996,A159),"")</f>
        <v/>
      </c>
      <c r="E159" s="66" t="str">
        <f t="shared" si="1"/>
        <v/>
      </c>
      <c r="F159" s="66" t="str">
        <f t="shared" si="2"/>
        <v/>
      </c>
      <c r="G159" s="69"/>
      <c r="H159" s="6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0" t="str">
        <f>IF(Roster!$A$158&lt;&gt;"",Roster!$A$158,"")</f>
        <v/>
      </c>
      <c r="B160" s="70" t="str">
        <f t="array" ref="B160">IF(A160&lt;&gt;"",IFERROR(SUMPRODUCT((INDEX(Attendance!$B$7:$AZ$206,MATCH(A160,Attendance!$A$7:$A$206,0),0)=1)*Attendance!$B$4:$AZ$4),0),"")</f>
        <v/>
      </c>
      <c r="C160" s="71" t="str">
        <f>IF(A160&lt;&gt;"",SUMIFS(Transactions!$F$7:$F$996,Transactions!$D$7:$D$996,"Income",Transactions!$E$7:$E$996,A160),"")</f>
        <v/>
      </c>
      <c r="D160" s="71" t="str">
        <f>IF(A160&lt;&gt;"",SUMIFS(Transactions!$F$7:$F$996,Transactions!$D$7:$D$996,"Expense",Transactions!$E$7:$E$996,A160),"")</f>
        <v/>
      </c>
      <c r="E160" s="72" t="str">
        <f t="shared" si="1"/>
        <v/>
      </c>
      <c r="F160" s="72" t="str">
        <f t="shared" si="2"/>
        <v/>
      </c>
      <c r="G160" s="69"/>
      <c r="H160" s="6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68" t="str">
        <f>IF(A161&lt;&gt;"",SUMIFS(Transactions!$F$7:$F$996,Transactions!$D$7:$D$996,"Income",Transactions!$E$7:$E$996,A161),"")</f>
        <v/>
      </c>
      <c r="D161" s="68" t="str">
        <f>IF(A161&lt;&gt;"",SUMIFS(Transactions!$F$7:$F$996,Transactions!$D$7:$D$996,"Expense",Transactions!$E$7:$E$996,A161),"")</f>
        <v/>
      </c>
      <c r="E161" s="66" t="str">
        <f t="shared" si="1"/>
        <v/>
      </c>
      <c r="F161" s="66" t="str">
        <f t="shared" si="2"/>
        <v/>
      </c>
      <c r="G161" s="69"/>
      <c r="H161" s="6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0" t="str">
        <f>IF(Roster!$A$160&lt;&gt;"",Roster!$A$160,"")</f>
        <v/>
      </c>
      <c r="B162" s="70" t="str">
        <f t="array" ref="B162">IF(A162&lt;&gt;"",IFERROR(SUMPRODUCT((INDEX(Attendance!$B$7:$AZ$206,MATCH(A162,Attendance!$A$7:$A$206,0),0)=1)*Attendance!$B$4:$AZ$4),0),"")</f>
        <v/>
      </c>
      <c r="C162" s="71" t="str">
        <f>IF(A162&lt;&gt;"",SUMIFS(Transactions!$F$7:$F$996,Transactions!$D$7:$D$996,"Income",Transactions!$E$7:$E$996,A162),"")</f>
        <v/>
      </c>
      <c r="D162" s="71" t="str">
        <f>IF(A162&lt;&gt;"",SUMIFS(Transactions!$F$7:$F$996,Transactions!$D$7:$D$996,"Expense",Transactions!$E$7:$E$996,A162),"")</f>
        <v/>
      </c>
      <c r="E162" s="72" t="str">
        <f t="shared" si="1"/>
        <v/>
      </c>
      <c r="F162" s="72" t="str">
        <f t="shared" si="2"/>
        <v/>
      </c>
      <c r="G162" s="69"/>
      <c r="H162" s="6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68" t="str">
        <f>IF(A163&lt;&gt;"",SUMIFS(Transactions!$F$7:$F$996,Transactions!$D$7:$D$996,"Income",Transactions!$E$7:$E$996,A163),"")</f>
        <v/>
      </c>
      <c r="D163" s="68" t="str">
        <f>IF(A163&lt;&gt;"",SUMIFS(Transactions!$F$7:$F$996,Transactions!$D$7:$D$996,"Expense",Transactions!$E$7:$E$996,A163),"")</f>
        <v/>
      </c>
      <c r="E163" s="66" t="str">
        <f t="shared" si="1"/>
        <v/>
      </c>
      <c r="F163" s="66" t="str">
        <f t="shared" si="2"/>
        <v/>
      </c>
      <c r="G163" s="69"/>
      <c r="H163" s="6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0" t="str">
        <f>IF(Roster!$A$162&lt;&gt;"",Roster!$A$162,"")</f>
        <v/>
      </c>
      <c r="B164" s="70" t="str">
        <f t="array" ref="B164">IF(A164&lt;&gt;"",IFERROR(SUMPRODUCT((INDEX(Attendance!$B$7:$AZ$206,MATCH(A164,Attendance!$A$7:$A$206,0),0)=1)*Attendance!$B$4:$AZ$4),0),"")</f>
        <v/>
      </c>
      <c r="C164" s="71" t="str">
        <f>IF(A164&lt;&gt;"",SUMIFS(Transactions!$F$7:$F$996,Transactions!$D$7:$D$996,"Income",Transactions!$E$7:$E$996,A164),"")</f>
        <v/>
      </c>
      <c r="D164" s="71" t="str">
        <f>IF(A164&lt;&gt;"",SUMIFS(Transactions!$F$7:$F$996,Transactions!$D$7:$D$996,"Expense",Transactions!$E$7:$E$996,A164),"")</f>
        <v/>
      </c>
      <c r="E164" s="72" t="str">
        <f t="shared" si="1"/>
        <v/>
      </c>
      <c r="F164" s="72" t="str">
        <f t="shared" si="2"/>
        <v/>
      </c>
      <c r="G164" s="69"/>
      <c r="H164" s="6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68" t="str">
        <f>IF(A165&lt;&gt;"",SUMIFS(Transactions!$F$7:$F$996,Transactions!$D$7:$D$996,"Income",Transactions!$E$7:$E$996,A165),"")</f>
        <v/>
      </c>
      <c r="D165" s="68" t="str">
        <f>IF(A165&lt;&gt;"",SUMIFS(Transactions!$F$7:$F$996,Transactions!$D$7:$D$996,"Expense",Transactions!$E$7:$E$996,A165),"")</f>
        <v/>
      </c>
      <c r="E165" s="66" t="str">
        <f t="shared" si="1"/>
        <v/>
      </c>
      <c r="F165" s="66" t="str">
        <f t="shared" si="2"/>
        <v/>
      </c>
      <c r="G165" s="69"/>
      <c r="H165" s="6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0" t="str">
        <f>IF(Roster!$A$164&lt;&gt;"",Roster!$A$164,"")</f>
        <v/>
      </c>
      <c r="B166" s="70" t="str">
        <f t="array" ref="B166">IF(A166&lt;&gt;"",IFERROR(SUMPRODUCT((INDEX(Attendance!$B$7:$AZ$206,MATCH(A166,Attendance!$A$7:$A$206,0),0)=1)*Attendance!$B$4:$AZ$4),0),"")</f>
        <v/>
      </c>
      <c r="C166" s="71" t="str">
        <f>IF(A166&lt;&gt;"",SUMIFS(Transactions!$F$7:$F$996,Transactions!$D$7:$D$996,"Income",Transactions!$E$7:$E$996,A166),"")</f>
        <v/>
      </c>
      <c r="D166" s="71" t="str">
        <f>IF(A166&lt;&gt;"",SUMIFS(Transactions!$F$7:$F$996,Transactions!$D$7:$D$996,"Expense",Transactions!$E$7:$E$996,A166),"")</f>
        <v/>
      </c>
      <c r="E166" s="72" t="str">
        <f t="shared" si="1"/>
        <v/>
      </c>
      <c r="F166" s="72" t="str">
        <f t="shared" si="2"/>
        <v/>
      </c>
      <c r="G166" s="69"/>
      <c r="H166" s="6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68" t="str">
        <f>IF(A167&lt;&gt;"",SUMIFS(Transactions!$F$7:$F$996,Transactions!$D$7:$D$996,"Income",Transactions!$E$7:$E$996,A167),"")</f>
        <v/>
      </c>
      <c r="D167" s="68" t="str">
        <f>IF(A167&lt;&gt;"",SUMIFS(Transactions!$F$7:$F$996,Transactions!$D$7:$D$996,"Expense",Transactions!$E$7:$E$996,A167),"")</f>
        <v/>
      </c>
      <c r="E167" s="66" t="str">
        <f t="shared" si="1"/>
        <v/>
      </c>
      <c r="F167" s="66" t="str">
        <f t="shared" si="2"/>
        <v/>
      </c>
      <c r="G167" s="69"/>
      <c r="H167" s="6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0" t="str">
        <f>IF(Roster!$A$166&lt;&gt;"",Roster!$A$166,"")</f>
        <v/>
      </c>
      <c r="B168" s="70" t="str">
        <f t="array" ref="B168">IF(A168&lt;&gt;"",IFERROR(SUMPRODUCT((INDEX(Attendance!$B$7:$AZ$206,MATCH(A168,Attendance!$A$7:$A$206,0),0)=1)*Attendance!$B$4:$AZ$4),0),"")</f>
        <v/>
      </c>
      <c r="C168" s="71" t="str">
        <f>IF(A168&lt;&gt;"",SUMIFS(Transactions!$F$7:$F$996,Transactions!$D$7:$D$996,"Income",Transactions!$E$7:$E$996,A168),"")</f>
        <v/>
      </c>
      <c r="D168" s="71" t="str">
        <f>IF(A168&lt;&gt;"",SUMIFS(Transactions!$F$7:$F$996,Transactions!$D$7:$D$996,"Expense",Transactions!$E$7:$E$996,A168),"")</f>
        <v/>
      </c>
      <c r="E168" s="72" t="str">
        <f t="shared" si="1"/>
        <v/>
      </c>
      <c r="F168" s="72" t="str">
        <f t="shared" si="2"/>
        <v/>
      </c>
      <c r="G168" s="69"/>
      <c r="H168" s="6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68" t="str">
        <f>IF(A169&lt;&gt;"",SUMIFS(Transactions!$F$7:$F$996,Transactions!$D$7:$D$996,"Income",Transactions!$E$7:$E$996,A169),"")</f>
        <v/>
      </c>
      <c r="D169" s="68" t="str">
        <f>IF(A169&lt;&gt;"",SUMIFS(Transactions!$F$7:$F$996,Transactions!$D$7:$D$996,"Expense",Transactions!$E$7:$E$996,A169),"")</f>
        <v/>
      </c>
      <c r="E169" s="66" t="str">
        <f t="shared" si="1"/>
        <v/>
      </c>
      <c r="F169" s="66" t="str">
        <f t="shared" si="2"/>
        <v/>
      </c>
      <c r="G169" s="69"/>
      <c r="H169" s="6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0" t="str">
        <f>IF(Roster!$A$168&lt;&gt;"",Roster!$A$168,"")</f>
        <v/>
      </c>
      <c r="B170" s="70" t="str">
        <f t="array" ref="B170">IF(A170&lt;&gt;"",IFERROR(SUMPRODUCT((INDEX(Attendance!$B$7:$AZ$206,MATCH(A170,Attendance!$A$7:$A$206,0),0)=1)*Attendance!$B$4:$AZ$4),0),"")</f>
        <v/>
      </c>
      <c r="C170" s="71" t="str">
        <f>IF(A170&lt;&gt;"",SUMIFS(Transactions!$F$7:$F$996,Transactions!$D$7:$D$996,"Income",Transactions!$E$7:$E$996,A170),"")</f>
        <v/>
      </c>
      <c r="D170" s="71" t="str">
        <f>IF(A170&lt;&gt;"",SUMIFS(Transactions!$F$7:$F$996,Transactions!$D$7:$D$996,"Expense",Transactions!$E$7:$E$996,A170),"")</f>
        <v/>
      </c>
      <c r="E170" s="72" t="str">
        <f t="shared" si="1"/>
        <v/>
      </c>
      <c r="F170" s="72" t="str">
        <f t="shared" si="2"/>
        <v/>
      </c>
      <c r="G170" s="69"/>
      <c r="H170" s="6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68" t="str">
        <f>IF(A171&lt;&gt;"",SUMIFS(Transactions!$F$7:$F$996,Transactions!$D$7:$D$996,"Income",Transactions!$E$7:$E$996,A171),"")</f>
        <v/>
      </c>
      <c r="D171" s="68" t="str">
        <f>IF(A171&lt;&gt;"",SUMIFS(Transactions!$F$7:$F$996,Transactions!$D$7:$D$996,"Expense",Transactions!$E$7:$E$996,A171),"")</f>
        <v/>
      </c>
      <c r="E171" s="66" t="str">
        <f t="shared" si="1"/>
        <v/>
      </c>
      <c r="F171" s="66" t="str">
        <f t="shared" si="2"/>
        <v/>
      </c>
      <c r="G171" s="69"/>
      <c r="H171" s="6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0" t="str">
        <f>IF(Roster!$A$170&lt;&gt;"",Roster!$A$170,"")</f>
        <v/>
      </c>
      <c r="B172" s="70" t="str">
        <f t="array" ref="B172">IF(A172&lt;&gt;"",IFERROR(SUMPRODUCT((INDEX(Attendance!$B$7:$AZ$206,MATCH(A172,Attendance!$A$7:$A$206,0),0)=1)*Attendance!$B$4:$AZ$4),0),"")</f>
        <v/>
      </c>
      <c r="C172" s="71" t="str">
        <f>IF(A172&lt;&gt;"",SUMIFS(Transactions!$F$7:$F$996,Transactions!$D$7:$D$996,"Income",Transactions!$E$7:$E$996,A172),"")</f>
        <v/>
      </c>
      <c r="D172" s="71" t="str">
        <f>IF(A172&lt;&gt;"",SUMIFS(Transactions!$F$7:$F$996,Transactions!$D$7:$D$996,"Expense",Transactions!$E$7:$E$996,A172),"")</f>
        <v/>
      </c>
      <c r="E172" s="72" t="str">
        <f t="shared" si="1"/>
        <v/>
      </c>
      <c r="F172" s="72" t="str">
        <f t="shared" si="2"/>
        <v/>
      </c>
      <c r="G172" s="69"/>
      <c r="H172" s="6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68" t="str">
        <f>IF(A173&lt;&gt;"",SUMIFS(Transactions!$F$7:$F$996,Transactions!$D$7:$D$996,"Income",Transactions!$E$7:$E$996,A173),"")</f>
        <v/>
      </c>
      <c r="D173" s="68" t="str">
        <f>IF(A173&lt;&gt;"",SUMIFS(Transactions!$F$7:$F$996,Transactions!$D$7:$D$996,"Expense",Transactions!$E$7:$E$996,A173),"")</f>
        <v/>
      </c>
      <c r="E173" s="66" t="str">
        <f t="shared" si="1"/>
        <v/>
      </c>
      <c r="F173" s="66" t="str">
        <f t="shared" si="2"/>
        <v/>
      </c>
      <c r="G173" s="69"/>
      <c r="H173" s="6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0" t="str">
        <f>IF(Roster!$A$172&lt;&gt;"",Roster!$A$172,"")</f>
        <v/>
      </c>
      <c r="B174" s="70" t="str">
        <f t="array" ref="B174">IF(A174&lt;&gt;"",IFERROR(SUMPRODUCT((INDEX(Attendance!$B$7:$AZ$206,MATCH(A174,Attendance!$A$7:$A$206,0),0)=1)*Attendance!$B$4:$AZ$4),0),"")</f>
        <v/>
      </c>
      <c r="C174" s="71" t="str">
        <f>IF(A174&lt;&gt;"",SUMIFS(Transactions!$F$7:$F$996,Transactions!$D$7:$D$996,"Income",Transactions!$E$7:$E$996,A174),"")</f>
        <v/>
      </c>
      <c r="D174" s="71" t="str">
        <f>IF(A174&lt;&gt;"",SUMIFS(Transactions!$F$7:$F$996,Transactions!$D$7:$D$996,"Expense",Transactions!$E$7:$E$996,A174),"")</f>
        <v/>
      </c>
      <c r="E174" s="72" t="str">
        <f t="shared" si="1"/>
        <v/>
      </c>
      <c r="F174" s="72" t="str">
        <f t="shared" si="2"/>
        <v/>
      </c>
      <c r="G174" s="69"/>
      <c r="H174" s="6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68" t="str">
        <f>IF(A175&lt;&gt;"",SUMIFS(Transactions!$F$7:$F$996,Transactions!$D$7:$D$996,"Income",Transactions!$E$7:$E$996,A175),"")</f>
        <v/>
      </c>
      <c r="D175" s="68" t="str">
        <f>IF(A175&lt;&gt;"",SUMIFS(Transactions!$F$7:$F$996,Transactions!$D$7:$D$996,"Expense",Transactions!$E$7:$E$996,A175),"")</f>
        <v/>
      </c>
      <c r="E175" s="66" t="str">
        <f t="shared" si="1"/>
        <v/>
      </c>
      <c r="F175" s="66" t="str">
        <f t="shared" si="2"/>
        <v/>
      </c>
      <c r="G175" s="69"/>
      <c r="H175" s="6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0" t="str">
        <f>IF(Roster!$A$174&lt;&gt;"",Roster!$A$174,"")</f>
        <v/>
      </c>
      <c r="B176" s="70" t="str">
        <f t="array" ref="B176">IF(A176&lt;&gt;"",IFERROR(SUMPRODUCT((INDEX(Attendance!$B$7:$AZ$206,MATCH(A176,Attendance!$A$7:$A$206,0),0)=1)*Attendance!$B$4:$AZ$4),0),"")</f>
        <v/>
      </c>
      <c r="C176" s="71" t="str">
        <f>IF(A176&lt;&gt;"",SUMIFS(Transactions!$F$7:$F$996,Transactions!$D$7:$D$996,"Income",Transactions!$E$7:$E$996,A176),"")</f>
        <v/>
      </c>
      <c r="D176" s="71" t="str">
        <f>IF(A176&lt;&gt;"",SUMIFS(Transactions!$F$7:$F$996,Transactions!$D$7:$D$996,"Expense",Transactions!$E$7:$E$996,A176),"")</f>
        <v/>
      </c>
      <c r="E176" s="72" t="str">
        <f t="shared" si="1"/>
        <v/>
      </c>
      <c r="F176" s="72" t="str">
        <f t="shared" si="2"/>
        <v/>
      </c>
      <c r="G176" s="69"/>
      <c r="H176" s="6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68" t="str">
        <f>IF(A177&lt;&gt;"",SUMIFS(Transactions!$F$7:$F$996,Transactions!$D$7:$D$996,"Income",Transactions!$E$7:$E$996,A177),"")</f>
        <v/>
      </c>
      <c r="D177" s="68" t="str">
        <f>IF(A177&lt;&gt;"",SUMIFS(Transactions!$F$7:$F$996,Transactions!$D$7:$D$996,"Expense",Transactions!$E$7:$E$996,A177),"")</f>
        <v/>
      </c>
      <c r="E177" s="66" t="str">
        <f t="shared" si="1"/>
        <v/>
      </c>
      <c r="F177" s="66" t="str">
        <f t="shared" si="2"/>
        <v/>
      </c>
      <c r="G177" s="69"/>
      <c r="H177" s="6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0" t="str">
        <f>IF(Roster!$A$176&lt;&gt;"",Roster!$A$176,"")</f>
        <v/>
      </c>
      <c r="B178" s="70" t="str">
        <f t="array" ref="B178">IF(A178&lt;&gt;"",IFERROR(SUMPRODUCT((INDEX(Attendance!$B$7:$AZ$206,MATCH(A178,Attendance!$A$7:$A$206,0),0)=1)*Attendance!$B$4:$AZ$4),0),"")</f>
        <v/>
      </c>
      <c r="C178" s="71" t="str">
        <f>IF(A178&lt;&gt;"",SUMIFS(Transactions!$F$7:$F$996,Transactions!$D$7:$D$996,"Income",Transactions!$E$7:$E$996,A178),"")</f>
        <v/>
      </c>
      <c r="D178" s="71" t="str">
        <f>IF(A178&lt;&gt;"",SUMIFS(Transactions!$F$7:$F$996,Transactions!$D$7:$D$996,"Expense",Transactions!$E$7:$E$996,A178),"")</f>
        <v/>
      </c>
      <c r="E178" s="72" t="str">
        <f t="shared" si="1"/>
        <v/>
      </c>
      <c r="F178" s="72" t="str">
        <f t="shared" si="2"/>
        <v/>
      </c>
      <c r="G178" s="69"/>
      <c r="H178" s="6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68" t="str">
        <f>IF(A179&lt;&gt;"",SUMIFS(Transactions!$F$7:$F$996,Transactions!$D$7:$D$996,"Income",Transactions!$E$7:$E$996,A179),"")</f>
        <v/>
      </c>
      <c r="D179" s="68" t="str">
        <f>IF(A179&lt;&gt;"",SUMIFS(Transactions!$F$7:$F$996,Transactions!$D$7:$D$996,"Expense",Transactions!$E$7:$E$996,A179),"")</f>
        <v/>
      </c>
      <c r="E179" s="66" t="str">
        <f t="shared" si="1"/>
        <v/>
      </c>
      <c r="F179" s="66" t="str">
        <f t="shared" si="2"/>
        <v/>
      </c>
      <c r="G179" s="69"/>
      <c r="H179" s="6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0" t="str">
        <f>IF(Roster!$A$178&lt;&gt;"",Roster!$A$178,"")</f>
        <v/>
      </c>
      <c r="B180" s="70" t="str">
        <f t="array" ref="B180">IF(A180&lt;&gt;"",IFERROR(SUMPRODUCT((INDEX(Attendance!$B$7:$AZ$206,MATCH(A180,Attendance!$A$7:$A$206,0),0)=1)*Attendance!$B$4:$AZ$4),0),"")</f>
        <v/>
      </c>
      <c r="C180" s="71" t="str">
        <f>IF(A180&lt;&gt;"",SUMIFS(Transactions!$F$7:$F$996,Transactions!$D$7:$D$996,"Income",Transactions!$E$7:$E$996,A180),"")</f>
        <v/>
      </c>
      <c r="D180" s="71" t="str">
        <f>IF(A180&lt;&gt;"",SUMIFS(Transactions!$F$7:$F$996,Transactions!$D$7:$D$996,"Expense",Transactions!$E$7:$E$996,A180),"")</f>
        <v/>
      </c>
      <c r="E180" s="72" t="str">
        <f t="shared" si="1"/>
        <v/>
      </c>
      <c r="F180" s="72" t="str">
        <f t="shared" si="2"/>
        <v/>
      </c>
      <c r="G180" s="69"/>
      <c r="H180" s="6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68" t="str">
        <f>IF(A181&lt;&gt;"",SUMIFS(Transactions!$F$7:$F$996,Transactions!$D$7:$D$996,"Income",Transactions!$E$7:$E$996,A181),"")</f>
        <v/>
      </c>
      <c r="D181" s="68" t="str">
        <f>IF(A181&lt;&gt;"",SUMIFS(Transactions!$F$7:$F$996,Transactions!$D$7:$D$996,"Expense",Transactions!$E$7:$E$996,A181),"")</f>
        <v/>
      </c>
      <c r="E181" s="66" t="str">
        <f t="shared" si="1"/>
        <v/>
      </c>
      <c r="F181" s="66" t="str">
        <f t="shared" si="2"/>
        <v/>
      </c>
      <c r="G181" s="69"/>
      <c r="H181" s="6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0" t="str">
        <f>IF(Roster!$A$180&lt;&gt;"",Roster!$A$180,"")</f>
        <v/>
      </c>
      <c r="B182" s="70" t="str">
        <f t="array" ref="B182">IF(A182&lt;&gt;"",IFERROR(SUMPRODUCT((INDEX(Attendance!$B$7:$AZ$206,MATCH(A182,Attendance!$A$7:$A$206,0),0)=1)*Attendance!$B$4:$AZ$4),0),"")</f>
        <v/>
      </c>
      <c r="C182" s="71" t="str">
        <f>IF(A182&lt;&gt;"",SUMIFS(Transactions!$F$7:$F$996,Transactions!$D$7:$D$996,"Income",Transactions!$E$7:$E$996,A182),"")</f>
        <v/>
      </c>
      <c r="D182" s="71" t="str">
        <f>IF(A182&lt;&gt;"",SUMIFS(Transactions!$F$7:$F$996,Transactions!$D$7:$D$996,"Expense",Transactions!$E$7:$E$996,A182),"")</f>
        <v/>
      </c>
      <c r="E182" s="72" t="str">
        <f t="shared" si="1"/>
        <v/>
      </c>
      <c r="F182" s="72" t="str">
        <f t="shared" si="2"/>
        <v/>
      </c>
      <c r="G182" s="69"/>
      <c r="H182" s="6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68" t="str">
        <f>IF(A183&lt;&gt;"",SUMIFS(Transactions!$F$7:$F$996,Transactions!$D$7:$D$996,"Income",Transactions!$E$7:$E$996,A183),"")</f>
        <v/>
      </c>
      <c r="D183" s="68" t="str">
        <f>IF(A183&lt;&gt;"",SUMIFS(Transactions!$F$7:$F$996,Transactions!$D$7:$D$996,"Expense",Transactions!$E$7:$E$996,A183),"")</f>
        <v/>
      </c>
      <c r="E183" s="66" t="str">
        <f t="shared" si="1"/>
        <v/>
      </c>
      <c r="F183" s="66" t="str">
        <f t="shared" si="2"/>
        <v/>
      </c>
      <c r="G183" s="69"/>
      <c r="H183" s="6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0" t="str">
        <f>IF(Roster!$A$182&lt;&gt;"",Roster!$A$182,"")</f>
        <v/>
      </c>
      <c r="B184" s="70" t="str">
        <f t="array" ref="B184">IF(A184&lt;&gt;"",IFERROR(SUMPRODUCT((INDEX(Attendance!$B$7:$AZ$206,MATCH(A184,Attendance!$A$7:$A$206,0),0)=1)*Attendance!$B$4:$AZ$4),0),"")</f>
        <v/>
      </c>
      <c r="C184" s="71" t="str">
        <f>IF(A184&lt;&gt;"",SUMIFS(Transactions!$F$7:$F$996,Transactions!$D$7:$D$996,"Income",Transactions!$E$7:$E$996,A184),"")</f>
        <v/>
      </c>
      <c r="D184" s="71" t="str">
        <f>IF(A184&lt;&gt;"",SUMIFS(Transactions!$F$7:$F$996,Transactions!$D$7:$D$996,"Expense",Transactions!$E$7:$E$996,A184),"")</f>
        <v/>
      </c>
      <c r="E184" s="72" t="str">
        <f t="shared" si="1"/>
        <v/>
      </c>
      <c r="F184" s="72" t="str">
        <f t="shared" si="2"/>
        <v/>
      </c>
      <c r="G184" s="69"/>
      <c r="H184" s="6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68" t="str">
        <f>IF(A185&lt;&gt;"",SUMIFS(Transactions!$F$7:$F$996,Transactions!$D$7:$D$996,"Income",Transactions!$E$7:$E$996,A185),"")</f>
        <v/>
      </c>
      <c r="D185" s="68" t="str">
        <f>IF(A185&lt;&gt;"",SUMIFS(Transactions!$F$7:$F$996,Transactions!$D$7:$D$996,"Expense",Transactions!$E$7:$E$996,A185),"")</f>
        <v/>
      </c>
      <c r="E185" s="66" t="str">
        <f t="shared" si="1"/>
        <v/>
      </c>
      <c r="F185" s="66" t="str">
        <f t="shared" si="2"/>
        <v/>
      </c>
      <c r="G185" s="69"/>
      <c r="H185" s="6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0" t="str">
        <f>IF(Roster!$A$184&lt;&gt;"",Roster!$A$184,"")</f>
        <v/>
      </c>
      <c r="B186" s="70" t="str">
        <f t="array" ref="B186">IF(A186&lt;&gt;"",IFERROR(SUMPRODUCT((INDEX(Attendance!$B$7:$AZ$206,MATCH(A186,Attendance!$A$7:$A$206,0),0)=1)*Attendance!$B$4:$AZ$4),0),"")</f>
        <v/>
      </c>
      <c r="C186" s="71" t="str">
        <f>IF(A186&lt;&gt;"",SUMIFS(Transactions!$F$7:$F$996,Transactions!$D$7:$D$996,"Income",Transactions!$E$7:$E$996,A186),"")</f>
        <v/>
      </c>
      <c r="D186" s="71" t="str">
        <f>IF(A186&lt;&gt;"",SUMIFS(Transactions!$F$7:$F$996,Transactions!$D$7:$D$996,"Expense",Transactions!$E$7:$E$996,A186),"")</f>
        <v/>
      </c>
      <c r="E186" s="72" t="str">
        <f t="shared" si="1"/>
        <v/>
      </c>
      <c r="F186" s="72" t="str">
        <f t="shared" si="2"/>
        <v/>
      </c>
      <c r="G186" s="69"/>
      <c r="H186" s="6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68" t="str">
        <f>IF(A187&lt;&gt;"",SUMIFS(Transactions!$F$7:$F$996,Transactions!$D$7:$D$996,"Income",Transactions!$E$7:$E$996,A187),"")</f>
        <v/>
      </c>
      <c r="D187" s="68" t="str">
        <f>IF(A187&lt;&gt;"",SUMIFS(Transactions!$F$7:$F$996,Transactions!$D$7:$D$996,"Expense",Transactions!$E$7:$E$996,A187),"")</f>
        <v/>
      </c>
      <c r="E187" s="66" t="str">
        <f t="shared" si="1"/>
        <v/>
      </c>
      <c r="F187" s="66" t="str">
        <f t="shared" si="2"/>
        <v/>
      </c>
      <c r="G187" s="69"/>
      <c r="H187" s="6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0" t="str">
        <f>IF(Roster!$A$186&lt;&gt;"",Roster!$A$186,"")</f>
        <v/>
      </c>
      <c r="B188" s="70" t="str">
        <f t="array" ref="B188">IF(A188&lt;&gt;"",IFERROR(SUMPRODUCT((INDEX(Attendance!$B$7:$AZ$206,MATCH(A188,Attendance!$A$7:$A$206,0),0)=1)*Attendance!$B$4:$AZ$4),0),"")</f>
        <v/>
      </c>
      <c r="C188" s="71" t="str">
        <f>IF(A188&lt;&gt;"",SUMIFS(Transactions!$F$7:$F$996,Transactions!$D$7:$D$996,"Income",Transactions!$E$7:$E$996,A188),"")</f>
        <v/>
      </c>
      <c r="D188" s="71" t="str">
        <f>IF(A188&lt;&gt;"",SUMIFS(Transactions!$F$7:$F$996,Transactions!$D$7:$D$996,"Expense",Transactions!$E$7:$E$996,A188),"")</f>
        <v/>
      </c>
      <c r="E188" s="72" t="str">
        <f t="shared" si="1"/>
        <v/>
      </c>
      <c r="F188" s="72" t="str">
        <f t="shared" si="2"/>
        <v/>
      </c>
      <c r="G188" s="69"/>
      <c r="H188" s="6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68" t="str">
        <f>IF(A189&lt;&gt;"",SUMIFS(Transactions!$F$7:$F$996,Transactions!$D$7:$D$996,"Income",Transactions!$E$7:$E$996,A189),"")</f>
        <v/>
      </c>
      <c r="D189" s="68" t="str">
        <f>IF(A189&lt;&gt;"",SUMIFS(Transactions!$F$7:$F$996,Transactions!$D$7:$D$996,"Expense",Transactions!$E$7:$E$996,A189),"")</f>
        <v/>
      </c>
      <c r="E189" s="66" t="str">
        <f t="shared" si="1"/>
        <v/>
      </c>
      <c r="F189" s="66" t="str">
        <f t="shared" si="2"/>
        <v/>
      </c>
      <c r="G189" s="69"/>
      <c r="H189" s="6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0" t="str">
        <f>IF(Roster!$A$188&lt;&gt;"",Roster!$A$188,"")</f>
        <v/>
      </c>
      <c r="B190" s="70" t="str">
        <f t="array" ref="B190">IF(A190&lt;&gt;"",IFERROR(SUMPRODUCT((INDEX(Attendance!$B$7:$AZ$206,MATCH(A190,Attendance!$A$7:$A$206,0),0)=1)*Attendance!$B$4:$AZ$4),0),"")</f>
        <v/>
      </c>
      <c r="C190" s="71" t="str">
        <f>IF(A190&lt;&gt;"",SUMIFS(Transactions!$F$7:$F$996,Transactions!$D$7:$D$996,"Income",Transactions!$E$7:$E$996,A190),"")</f>
        <v/>
      </c>
      <c r="D190" s="71" t="str">
        <f>IF(A190&lt;&gt;"",SUMIFS(Transactions!$F$7:$F$996,Transactions!$D$7:$D$996,"Expense",Transactions!$E$7:$E$996,A190),"")</f>
        <v/>
      </c>
      <c r="E190" s="72" t="str">
        <f t="shared" si="1"/>
        <v/>
      </c>
      <c r="F190" s="72" t="str">
        <f t="shared" si="2"/>
        <v/>
      </c>
      <c r="G190" s="69"/>
      <c r="H190" s="6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68" t="str">
        <f>IF(A191&lt;&gt;"",SUMIFS(Transactions!$F$7:$F$996,Transactions!$D$7:$D$996,"Income",Transactions!$E$7:$E$996,A191),"")</f>
        <v/>
      </c>
      <c r="D191" s="68" t="str">
        <f>IF(A191&lt;&gt;"",SUMIFS(Transactions!$F$7:$F$996,Transactions!$D$7:$D$996,"Expense",Transactions!$E$7:$E$996,A191),"")</f>
        <v/>
      </c>
      <c r="E191" s="66" t="str">
        <f t="shared" si="1"/>
        <v/>
      </c>
      <c r="F191" s="66" t="str">
        <f t="shared" si="2"/>
        <v/>
      </c>
      <c r="G191" s="69"/>
      <c r="H191" s="6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0" t="str">
        <f>IF(Roster!$A$190&lt;&gt;"",Roster!$A$190,"")</f>
        <v/>
      </c>
      <c r="B192" s="70" t="str">
        <f t="array" ref="B192">IF(A192&lt;&gt;"",IFERROR(SUMPRODUCT((INDEX(Attendance!$B$7:$AZ$206,MATCH(A192,Attendance!$A$7:$A$206,0),0)=1)*Attendance!$B$4:$AZ$4),0),"")</f>
        <v/>
      </c>
      <c r="C192" s="71" t="str">
        <f>IF(A192&lt;&gt;"",SUMIFS(Transactions!$F$7:$F$996,Transactions!$D$7:$D$996,"Income",Transactions!$E$7:$E$996,A192),"")</f>
        <v/>
      </c>
      <c r="D192" s="71" t="str">
        <f>IF(A192&lt;&gt;"",SUMIFS(Transactions!$F$7:$F$996,Transactions!$D$7:$D$996,"Expense",Transactions!$E$7:$E$996,A192),"")</f>
        <v/>
      </c>
      <c r="E192" s="72" t="str">
        <f t="shared" si="1"/>
        <v/>
      </c>
      <c r="F192" s="72" t="str">
        <f t="shared" si="2"/>
        <v/>
      </c>
      <c r="G192" s="69"/>
      <c r="H192" s="6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68" t="str">
        <f>IF(A193&lt;&gt;"",SUMIFS(Transactions!$F$7:$F$996,Transactions!$D$7:$D$996,"Income",Transactions!$E$7:$E$996,A193),"")</f>
        <v/>
      </c>
      <c r="D193" s="68" t="str">
        <f>IF(A193&lt;&gt;"",SUMIFS(Transactions!$F$7:$F$996,Transactions!$D$7:$D$996,"Expense",Transactions!$E$7:$E$996,A193),"")</f>
        <v/>
      </c>
      <c r="E193" s="66" t="str">
        <f t="shared" si="1"/>
        <v/>
      </c>
      <c r="F193" s="66" t="str">
        <f t="shared" si="2"/>
        <v/>
      </c>
      <c r="G193" s="69"/>
      <c r="H193" s="6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0" t="str">
        <f>IF(Roster!$A$192&lt;&gt;"",Roster!$A$192,"")</f>
        <v/>
      </c>
      <c r="B194" s="70" t="str">
        <f t="array" ref="B194">IF(A194&lt;&gt;"",IFERROR(SUMPRODUCT((INDEX(Attendance!$B$7:$AZ$206,MATCH(A194,Attendance!$A$7:$A$206,0),0)=1)*Attendance!$B$4:$AZ$4),0),"")</f>
        <v/>
      </c>
      <c r="C194" s="71" t="str">
        <f>IF(A194&lt;&gt;"",SUMIFS(Transactions!$F$7:$F$996,Transactions!$D$7:$D$996,"Income",Transactions!$E$7:$E$996,A194),"")</f>
        <v/>
      </c>
      <c r="D194" s="71" t="str">
        <f>IF(A194&lt;&gt;"",SUMIFS(Transactions!$F$7:$F$996,Transactions!$D$7:$D$996,"Expense",Transactions!$E$7:$E$996,A194),"")</f>
        <v/>
      </c>
      <c r="E194" s="72" t="str">
        <f t="shared" si="1"/>
        <v/>
      </c>
      <c r="F194" s="72" t="str">
        <f t="shared" si="2"/>
        <v/>
      </c>
      <c r="G194" s="69"/>
      <c r="H194" s="6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68" t="str">
        <f>IF(A195&lt;&gt;"",SUMIFS(Transactions!$F$7:$F$996,Transactions!$D$7:$D$996,"Income",Transactions!$E$7:$E$996,A195),"")</f>
        <v/>
      </c>
      <c r="D195" s="68" t="str">
        <f>IF(A195&lt;&gt;"",SUMIFS(Transactions!$F$7:$F$996,Transactions!$D$7:$D$996,"Expense",Transactions!$E$7:$E$996,A195),"")</f>
        <v/>
      </c>
      <c r="E195" s="66" t="str">
        <f t="shared" si="1"/>
        <v/>
      </c>
      <c r="F195" s="66" t="str">
        <f t="shared" si="2"/>
        <v/>
      </c>
      <c r="G195" s="69"/>
      <c r="H195" s="6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0" t="str">
        <f>IF(Roster!$A$194&lt;&gt;"",Roster!$A$194,"")</f>
        <v/>
      </c>
      <c r="B196" s="70" t="str">
        <f t="array" ref="B196">IF(A196&lt;&gt;"",IFERROR(SUMPRODUCT((INDEX(Attendance!$B$7:$AZ$206,MATCH(A196,Attendance!$A$7:$A$206,0),0)=1)*Attendance!$B$4:$AZ$4),0),"")</f>
        <v/>
      </c>
      <c r="C196" s="71" t="str">
        <f>IF(A196&lt;&gt;"",SUMIFS(Transactions!$F$7:$F$996,Transactions!$D$7:$D$996,"Income",Transactions!$E$7:$E$996,A196),"")</f>
        <v/>
      </c>
      <c r="D196" s="71" t="str">
        <f>IF(A196&lt;&gt;"",SUMIFS(Transactions!$F$7:$F$996,Transactions!$D$7:$D$996,"Expense",Transactions!$E$7:$E$996,A196),"")</f>
        <v/>
      </c>
      <c r="E196" s="72" t="str">
        <f t="shared" si="1"/>
        <v/>
      </c>
      <c r="F196" s="72" t="str">
        <f t="shared" si="2"/>
        <v/>
      </c>
      <c r="G196" s="69"/>
      <c r="H196" s="6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68" t="str">
        <f>IF(A197&lt;&gt;"",SUMIFS(Transactions!$F$7:$F$996,Transactions!$D$7:$D$996,"Income",Transactions!$E$7:$E$996,A197),"")</f>
        <v/>
      </c>
      <c r="D197" s="68" t="str">
        <f>IF(A197&lt;&gt;"",SUMIFS(Transactions!$F$7:$F$996,Transactions!$D$7:$D$996,"Expense",Transactions!$E$7:$E$996,A197),"")</f>
        <v/>
      </c>
      <c r="E197" s="66" t="str">
        <f t="shared" si="1"/>
        <v/>
      </c>
      <c r="F197" s="66" t="str">
        <f t="shared" si="2"/>
        <v/>
      </c>
      <c r="G197" s="69"/>
      <c r="H197" s="6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0" t="str">
        <f>IF(Roster!$A$196&lt;&gt;"",Roster!$A$196,"")</f>
        <v/>
      </c>
      <c r="B198" s="70" t="str">
        <f t="array" ref="B198">IF(A198&lt;&gt;"",IFERROR(SUMPRODUCT((INDEX(Attendance!$B$7:$AZ$206,MATCH(A198,Attendance!$A$7:$A$206,0),0)=1)*Attendance!$B$4:$AZ$4),0),"")</f>
        <v/>
      </c>
      <c r="C198" s="71" t="str">
        <f>IF(A198&lt;&gt;"",SUMIFS(Transactions!$F$7:$F$996,Transactions!$D$7:$D$996,"Income",Transactions!$E$7:$E$996,A198),"")</f>
        <v/>
      </c>
      <c r="D198" s="71" t="str">
        <f>IF(A198&lt;&gt;"",SUMIFS(Transactions!$F$7:$F$996,Transactions!$D$7:$D$996,"Expense",Transactions!$E$7:$E$996,A198),"")</f>
        <v/>
      </c>
      <c r="E198" s="72" t="str">
        <f t="shared" si="1"/>
        <v/>
      </c>
      <c r="F198" s="72" t="str">
        <f t="shared" si="2"/>
        <v/>
      </c>
      <c r="G198" s="69"/>
      <c r="H198" s="6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68" t="str">
        <f>IF(A199&lt;&gt;"",SUMIFS(Transactions!$F$7:$F$996,Transactions!$D$7:$D$996,"Income",Transactions!$E$7:$E$996,A199),"")</f>
        <v/>
      </c>
      <c r="D199" s="68" t="str">
        <f>IF(A199&lt;&gt;"",SUMIFS(Transactions!$F$7:$F$996,Transactions!$D$7:$D$996,"Expense",Transactions!$E$7:$E$996,A199),"")</f>
        <v/>
      </c>
      <c r="E199" s="66" t="str">
        <f t="shared" si="1"/>
        <v/>
      </c>
      <c r="F199" s="66" t="str">
        <f t="shared" si="2"/>
        <v/>
      </c>
      <c r="G199" s="69"/>
      <c r="H199" s="6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0" t="str">
        <f>IF(Roster!$A$198&lt;&gt;"",Roster!$A$198,"")</f>
        <v/>
      </c>
      <c r="B200" s="70" t="str">
        <f t="array" ref="B200">IF(A200&lt;&gt;"",IFERROR(SUMPRODUCT((INDEX(Attendance!$B$7:$AZ$206,MATCH(A200,Attendance!$A$7:$A$206,0),0)=1)*Attendance!$B$4:$AZ$4),0),"")</f>
        <v/>
      </c>
      <c r="C200" s="71" t="str">
        <f>IF(A200&lt;&gt;"",SUMIFS(Transactions!$F$7:$F$996,Transactions!$D$7:$D$996,"Income",Transactions!$E$7:$E$996,A200),"")</f>
        <v/>
      </c>
      <c r="D200" s="71" t="str">
        <f>IF(A200&lt;&gt;"",SUMIFS(Transactions!$F$7:$F$996,Transactions!$D$7:$D$996,"Expense",Transactions!$E$7:$E$996,A200),"")</f>
        <v/>
      </c>
      <c r="E200" s="72" t="str">
        <f t="shared" si="1"/>
        <v/>
      </c>
      <c r="F200" s="72" t="str">
        <f t="shared" si="2"/>
        <v/>
      </c>
      <c r="G200" s="69"/>
      <c r="H200" s="6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68" t="str">
        <f>IF(A201&lt;&gt;"",SUMIFS(Transactions!$F$7:$F$996,Transactions!$D$7:$D$996,"Income",Transactions!$E$7:$E$996,A201),"")</f>
        <v/>
      </c>
      <c r="D201" s="68" t="str">
        <f>IF(A201&lt;&gt;"",SUMIFS(Transactions!$F$7:$F$996,Transactions!$D$7:$D$996,"Expense",Transactions!$E$7:$E$996,A201),"")</f>
        <v/>
      </c>
      <c r="E201" s="66" t="str">
        <f t="shared" si="1"/>
        <v/>
      </c>
      <c r="F201" s="66" t="str">
        <f t="shared" si="2"/>
        <v/>
      </c>
      <c r="G201" s="69"/>
      <c r="H201" s="6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0" t="str">
        <f>IF(Roster!$A$200&lt;&gt;"",Roster!$A$200,"")</f>
        <v/>
      </c>
      <c r="B202" s="70" t="str">
        <f t="array" ref="B202">IF(A202&lt;&gt;"",IFERROR(SUMPRODUCT((INDEX(Attendance!$B$7:$AZ$206,MATCH(A202,Attendance!$A$7:$A$206,0),0)=1)*Attendance!$B$4:$AZ$4),0),"")</f>
        <v/>
      </c>
      <c r="C202" s="71" t="str">
        <f>IF(A202&lt;&gt;"",SUMIFS(Transactions!$F$7:$F$996,Transactions!$D$7:$D$996,"Income",Transactions!$E$7:$E$996,A202),"")</f>
        <v/>
      </c>
      <c r="D202" s="71" t="str">
        <f>IF(A202&lt;&gt;"",SUMIFS(Transactions!$F$7:$F$996,Transactions!$D$7:$D$996,"Expense",Transactions!$E$7:$E$996,A202),"")</f>
        <v/>
      </c>
      <c r="E202" s="72" t="str">
        <f t="shared" si="1"/>
        <v/>
      </c>
      <c r="F202" s="72" t="str">
        <f t="shared" si="2"/>
        <v/>
      </c>
      <c r="G202" s="69"/>
      <c r="H202" s="6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68" t="str">
        <f>IF(A203&lt;&gt;"",SUMIFS(Transactions!$F$7:$F$996,Transactions!$D$7:$D$996,"Income",Transactions!$E$7:$E$996,A203),"")</f>
        <v/>
      </c>
      <c r="D203" s="68" t="str">
        <f>IF(A203&lt;&gt;"",SUMIFS(Transactions!$F$7:$F$996,Transactions!$D$7:$D$996,"Expense",Transactions!$E$7:$E$996,A203),"")</f>
        <v/>
      </c>
      <c r="E203" s="66" t="str">
        <f t="shared" si="1"/>
        <v/>
      </c>
      <c r="F203" s="66" t="str">
        <f t="shared" si="2"/>
        <v/>
      </c>
      <c r="G203" s="69"/>
      <c r="H203" s="6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0" t="str">
        <f>IF(Roster!$A$202&lt;&gt;"",Roster!$A$202,"")</f>
        <v/>
      </c>
      <c r="B204" s="70" t="str">
        <f t="array" ref="B204">IF(A204&lt;&gt;"",IFERROR(SUMPRODUCT((INDEX(Attendance!$B$7:$AZ$206,MATCH(A204,Attendance!$A$7:$A$206,0),0)=1)*Attendance!$B$4:$AZ$4),0),"")</f>
        <v/>
      </c>
      <c r="C204" s="71" t="str">
        <f>IF(A204&lt;&gt;"",SUMIFS(Transactions!$F$7:$F$996,Transactions!$D$7:$D$996,"Income",Transactions!$E$7:$E$996,A204),"")</f>
        <v/>
      </c>
      <c r="D204" s="71" t="str">
        <f>IF(A204&lt;&gt;"",SUMIFS(Transactions!$F$7:$F$996,Transactions!$D$7:$D$996,"Expense",Transactions!$E$7:$E$996,A204),"")</f>
        <v/>
      </c>
      <c r="E204" s="72" t="str">
        <f t="shared" si="1"/>
        <v/>
      </c>
      <c r="F204" s="72" t="str">
        <f t="shared" si="2"/>
        <v/>
      </c>
      <c r="G204" s="69"/>
      <c r="H204" s="6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68" t="str">
        <f>IF(A205&lt;&gt;"",SUMIFS(Transactions!$F$7:$F$996,Transactions!$D$7:$D$996,"Income",Transactions!$E$7:$E$996,A205),"")</f>
        <v/>
      </c>
      <c r="D205" s="68" t="str">
        <f>IF(A205&lt;&gt;"",SUMIFS(Transactions!$F$7:$F$996,Transactions!$D$7:$D$996,"Expense",Transactions!$E$7:$E$996,A205),"")</f>
        <v/>
      </c>
      <c r="E205" s="66" t="str">
        <f t="shared" si="1"/>
        <v/>
      </c>
      <c r="F205" s="66" t="str">
        <f t="shared" si="2"/>
        <v/>
      </c>
      <c r="G205" s="69"/>
      <c r="H205" s="6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0" t="str">
        <f>IF(Roster!$A$204&lt;&gt;"",Roster!$A$204,"")</f>
        <v/>
      </c>
      <c r="B206" s="70" t="str">
        <f t="array" ref="B206">IF(A206&lt;&gt;"",IFERROR(SUMPRODUCT((INDEX(Attendance!$B$7:$AZ$206,MATCH(A206,Attendance!$A$7:$A$206,0),0)=1)*Attendance!$B$4:$AZ$4),0),"")</f>
        <v/>
      </c>
      <c r="C206" s="71" t="str">
        <f>IF(A206&lt;&gt;"",SUMIFS(Transactions!$F$7:$F$996,Transactions!$D$7:$D$996,"Income",Transactions!$E$7:$E$996,A206),"")</f>
        <v/>
      </c>
      <c r="D206" s="71" t="str">
        <f>IF(A206&lt;&gt;"",SUMIFS(Transactions!$F$7:$F$996,Transactions!$D$7:$D$996,"Expense",Transactions!$E$7:$E$996,A206),"")</f>
        <v/>
      </c>
      <c r="E206" s="72" t="str">
        <f t="shared" si="1"/>
        <v/>
      </c>
      <c r="F206" s="72" t="str">
        <f t="shared" si="2"/>
        <v/>
      </c>
      <c r="G206" s="69"/>
      <c r="H206" s="6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3" t="s">
        <v>87</v>
      </c>
      <c r="B1" s="74"/>
      <c r="C1" s="74"/>
      <c r="D1" s="74"/>
      <c r="E1" s="74"/>
      <c r="F1" s="74"/>
      <c r="G1" s="74"/>
      <c r="H1" s="74"/>
      <c r="I1" s="74"/>
      <c r="J1" s="75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77" t="s">
        <v>88</v>
      </c>
      <c r="B2" s="74"/>
      <c r="C2" s="74"/>
      <c r="D2" s="74"/>
      <c r="E2" s="74"/>
      <c r="F2" s="74"/>
      <c r="G2" s="74"/>
      <c r="H2" s="74"/>
      <c r="I2" s="74"/>
      <c r="J2" s="75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78" t="s">
        <v>53</v>
      </c>
      <c r="B3" s="78" t="s">
        <v>54</v>
      </c>
      <c r="C3" s="78" t="s">
        <v>14</v>
      </c>
      <c r="D3" s="78" t="s">
        <v>55</v>
      </c>
      <c r="E3" s="78" t="s">
        <v>56</v>
      </c>
      <c r="F3" s="78" t="s">
        <v>57</v>
      </c>
      <c r="G3" s="78" t="s">
        <v>58</v>
      </c>
      <c r="H3" s="78" t="s">
        <v>59</v>
      </c>
      <c r="I3" s="78" t="s">
        <v>6</v>
      </c>
      <c r="J3" s="78" t="s">
        <v>89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79">
        <v>46192.0</v>
      </c>
      <c r="B4" s="80" t="s">
        <v>71</v>
      </c>
      <c r="C4" s="80" t="s">
        <v>90</v>
      </c>
      <c r="D4" s="80" t="s">
        <v>63</v>
      </c>
      <c r="E4" s="80" t="s">
        <v>91</v>
      </c>
      <c r="F4" s="81">
        <v>185.69</v>
      </c>
      <c r="G4" s="80" t="s">
        <v>26</v>
      </c>
      <c r="H4" s="82"/>
      <c r="I4" s="80" t="s">
        <v>92</v>
      </c>
      <c r="J4" s="83" t="s">
        <v>93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84">
        <v>46195.0</v>
      </c>
      <c r="B5" s="85" t="s">
        <v>94</v>
      </c>
      <c r="C5" s="85" t="s">
        <v>75</v>
      </c>
      <c r="D5" s="85" t="s">
        <v>63</v>
      </c>
      <c r="E5" s="85" t="s">
        <v>76</v>
      </c>
      <c r="F5" s="85">
        <v>228.44</v>
      </c>
      <c r="G5" s="85" t="s">
        <v>26</v>
      </c>
      <c r="H5" s="86"/>
      <c r="I5" s="85" t="s">
        <v>95</v>
      </c>
      <c r="J5" s="83" t="s">
        <v>93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82"/>
      <c r="B6" s="82"/>
      <c r="C6" s="82"/>
      <c r="D6" s="82"/>
      <c r="E6" s="82"/>
      <c r="F6" s="82"/>
      <c r="G6" s="82"/>
      <c r="H6" s="82"/>
      <c r="I6" s="82"/>
      <c r="J6" s="87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88"/>
      <c r="B7" s="86"/>
      <c r="C7" s="86"/>
      <c r="D7" s="86"/>
      <c r="E7" s="86"/>
      <c r="F7" s="86"/>
      <c r="G7" s="86"/>
      <c r="H7" s="86"/>
      <c r="I7" s="86"/>
      <c r="J7" s="87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89"/>
      <c r="B8" s="82"/>
      <c r="C8" s="82"/>
      <c r="D8" s="82"/>
      <c r="E8" s="82"/>
      <c r="F8" s="82"/>
      <c r="G8" s="82"/>
      <c r="H8" s="82"/>
      <c r="I8" s="82"/>
      <c r="J8" s="87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86"/>
      <c r="B9" s="86"/>
      <c r="C9" s="86"/>
      <c r="D9" s="86"/>
      <c r="E9" s="86"/>
      <c r="F9" s="86"/>
      <c r="G9" s="86"/>
      <c r="H9" s="86"/>
      <c r="I9" s="86"/>
      <c r="J9" s="87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82"/>
      <c r="B10" s="82"/>
      <c r="C10" s="82"/>
      <c r="D10" s="82"/>
      <c r="E10" s="82"/>
      <c r="F10" s="82"/>
      <c r="G10" s="82"/>
      <c r="H10" s="82"/>
      <c r="I10" s="82"/>
      <c r="J10" s="87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7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82"/>
      <c r="B12" s="82"/>
      <c r="C12" s="82"/>
      <c r="D12" s="82"/>
      <c r="E12" s="82"/>
      <c r="F12" s="82"/>
      <c r="G12" s="82"/>
      <c r="H12" s="82"/>
      <c r="I12" s="82"/>
      <c r="J12" s="87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7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82"/>
      <c r="B14" s="82"/>
      <c r="C14" s="82"/>
      <c r="D14" s="82"/>
      <c r="E14" s="82"/>
      <c r="F14" s="82"/>
      <c r="G14" s="82"/>
      <c r="H14" s="82"/>
      <c r="I14" s="82"/>
      <c r="J14" s="87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7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82"/>
      <c r="B16" s="82"/>
      <c r="C16" s="82"/>
      <c r="D16" s="82"/>
      <c r="E16" s="82"/>
      <c r="F16" s="82"/>
      <c r="G16" s="82"/>
      <c r="H16" s="82"/>
      <c r="I16" s="82"/>
      <c r="J16" s="87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7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82"/>
      <c r="B18" s="82"/>
      <c r="C18" s="82"/>
      <c r="D18" s="82"/>
      <c r="E18" s="82"/>
      <c r="F18" s="82"/>
      <c r="G18" s="82"/>
      <c r="H18" s="82"/>
      <c r="I18" s="82"/>
      <c r="J18" s="87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7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82"/>
      <c r="B20" s="82"/>
      <c r="C20" s="82"/>
      <c r="D20" s="82"/>
      <c r="E20" s="82"/>
      <c r="F20" s="82"/>
      <c r="G20" s="82"/>
      <c r="H20" s="82"/>
      <c r="I20" s="82"/>
      <c r="J20" s="87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86"/>
      <c r="J21" s="87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5.75" customHeight="1">
      <c r="A22" s="82"/>
      <c r="B22" s="82"/>
      <c r="C22" s="82"/>
      <c r="D22" s="82"/>
      <c r="E22" s="82"/>
      <c r="F22" s="82"/>
      <c r="G22" s="82"/>
      <c r="H22" s="82"/>
      <c r="I22" s="82"/>
      <c r="J22" s="87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86"/>
      <c r="J23" s="87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5.75" customHeight="1">
      <c r="A24" s="82"/>
      <c r="B24" s="82"/>
      <c r="C24" s="82"/>
      <c r="D24" s="82"/>
      <c r="E24" s="82"/>
      <c r="F24" s="82"/>
      <c r="G24" s="82"/>
      <c r="H24" s="82"/>
      <c r="I24" s="82"/>
      <c r="J24" s="87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86"/>
      <c r="J25" s="87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5.75" customHeight="1">
      <c r="A26" s="82"/>
      <c r="B26" s="82"/>
      <c r="C26" s="82"/>
      <c r="D26" s="82"/>
      <c r="E26" s="82"/>
      <c r="F26" s="82"/>
      <c r="G26" s="82"/>
      <c r="H26" s="82"/>
      <c r="I26" s="82"/>
      <c r="J26" s="87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86"/>
      <c r="J27" s="87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5.75" customHeight="1">
      <c r="A28" s="82"/>
      <c r="B28" s="82"/>
      <c r="C28" s="82"/>
      <c r="D28" s="82"/>
      <c r="E28" s="82"/>
      <c r="F28" s="82"/>
      <c r="G28" s="82"/>
      <c r="H28" s="82"/>
      <c r="I28" s="82"/>
      <c r="J28" s="87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86"/>
      <c r="J29" s="87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5.75" customHeight="1">
      <c r="A30" s="82"/>
      <c r="B30" s="82"/>
      <c r="C30" s="82"/>
      <c r="D30" s="82"/>
      <c r="E30" s="82"/>
      <c r="F30" s="82"/>
      <c r="G30" s="82"/>
      <c r="H30" s="82"/>
      <c r="I30" s="82"/>
      <c r="J30" s="87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86"/>
      <c r="J31" s="87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5.75" customHeight="1">
      <c r="A32" s="82"/>
      <c r="B32" s="82"/>
      <c r="C32" s="82"/>
      <c r="D32" s="82"/>
      <c r="E32" s="82"/>
      <c r="F32" s="82"/>
      <c r="G32" s="82"/>
      <c r="H32" s="82"/>
      <c r="I32" s="82"/>
      <c r="J32" s="87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7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5.75" customHeight="1">
      <c r="A34" s="82"/>
      <c r="B34" s="82"/>
      <c r="C34" s="82"/>
      <c r="D34" s="82"/>
      <c r="E34" s="82"/>
      <c r="F34" s="82"/>
      <c r="G34" s="82"/>
      <c r="H34" s="82"/>
      <c r="I34" s="82"/>
      <c r="J34" s="87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7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5.75" customHeight="1">
      <c r="A36" s="82"/>
      <c r="B36" s="82"/>
      <c r="C36" s="82"/>
      <c r="D36" s="82"/>
      <c r="E36" s="82"/>
      <c r="F36" s="82"/>
      <c r="G36" s="82"/>
      <c r="H36" s="82"/>
      <c r="I36" s="82"/>
      <c r="J36" s="87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7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5.75" customHeight="1">
      <c r="A38" s="82"/>
      <c r="B38" s="82"/>
      <c r="C38" s="82"/>
      <c r="D38" s="82"/>
      <c r="E38" s="82"/>
      <c r="F38" s="82"/>
      <c r="G38" s="82"/>
      <c r="H38" s="82"/>
      <c r="I38" s="82"/>
      <c r="J38" s="87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7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5.75" customHeight="1">
      <c r="A40" s="82"/>
      <c r="B40" s="82"/>
      <c r="C40" s="82"/>
      <c r="D40" s="82"/>
      <c r="E40" s="82"/>
      <c r="F40" s="82"/>
      <c r="G40" s="82"/>
      <c r="H40" s="82"/>
      <c r="I40" s="82"/>
      <c r="J40" s="87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7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5.75" customHeight="1">
      <c r="A42" s="82"/>
      <c r="B42" s="82"/>
      <c r="C42" s="82"/>
      <c r="D42" s="82"/>
      <c r="E42" s="82"/>
      <c r="F42" s="82"/>
      <c r="G42" s="82"/>
      <c r="H42" s="82"/>
      <c r="I42" s="82"/>
      <c r="J42" s="87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7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5.75" customHeight="1">
      <c r="A44" s="82"/>
      <c r="B44" s="82"/>
      <c r="C44" s="82"/>
      <c r="D44" s="82"/>
      <c r="E44" s="82"/>
      <c r="F44" s="82"/>
      <c r="G44" s="82"/>
      <c r="H44" s="82"/>
      <c r="I44" s="82"/>
      <c r="J44" s="87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7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5.75" customHeight="1">
      <c r="A46" s="82"/>
      <c r="B46" s="82"/>
      <c r="C46" s="82"/>
      <c r="D46" s="82"/>
      <c r="E46" s="82"/>
      <c r="F46" s="82"/>
      <c r="G46" s="82"/>
      <c r="H46" s="82"/>
      <c r="I46" s="82"/>
      <c r="J46" s="87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7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5.75" customHeight="1">
      <c r="A48" s="82"/>
      <c r="B48" s="82"/>
      <c r="C48" s="82"/>
      <c r="D48" s="82"/>
      <c r="E48" s="82"/>
      <c r="F48" s="82"/>
      <c r="G48" s="82"/>
      <c r="H48" s="82"/>
      <c r="I48" s="82"/>
      <c r="J48" s="87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7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5.75" customHeight="1">
      <c r="A50" s="82"/>
      <c r="B50" s="82"/>
      <c r="C50" s="82"/>
      <c r="D50" s="82"/>
      <c r="E50" s="82"/>
      <c r="F50" s="82"/>
      <c r="G50" s="82"/>
      <c r="H50" s="82"/>
      <c r="I50" s="82"/>
      <c r="J50" s="87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7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5.75" customHeight="1">
      <c r="A52" s="82"/>
      <c r="B52" s="82"/>
      <c r="C52" s="82"/>
      <c r="D52" s="82"/>
      <c r="E52" s="82"/>
      <c r="F52" s="82"/>
      <c r="G52" s="82"/>
      <c r="H52" s="82"/>
      <c r="I52" s="82"/>
      <c r="J52" s="87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7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5.75" customHeight="1">
      <c r="A54" s="82"/>
      <c r="B54" s="82"/>
      <c r="C54" s="82"/>
      <c r="D54" s="82"/>
      <c r="E54" s="82"/>
      <c r="F54" s="82"/>
      <c r="G54" s="82"/>
      <c r="H54" s="82"/>
      <c r="I54" s="82"/>
      <c r="J54" s="87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7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5.75" customHeight="1">
      <c r="A56" s="82"/>
      <c r="B56" s="82"/>
      <c r="C56" s="82"/>
      <c r="D56" s="82"/>
      <c r="E56" s="82"/>
      <c r="F56" s="82"/>
      <c r="G56" s="82"/>
      <c r="H56" s="82"/>
      <c r="I56" s="82"/>
      <c r="J56" s="87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7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5.75" customHeight="1">
      <c r="A58" s="82"/>
      <c r="B58" s="82"/>
      <c r="C58" s="82"/>
      <c r="D58" s="82"/>
      <c r="E58" s="82"/>
      <c r="F58" s="82"/>
      <c r="G58" s="82"/>
      <c r="H58" s="82"/>
      <c r="I58" s="82"/>
      <c r="J58" s="87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7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5.75" customHeight="1">
      <c r="A60" s="82"/>
      <c r="B60" s="82"/>
      <c r="C60" s="82"/>
      <c r="D60" s="82"/>
      <c r="E60" s="82"/>
      <c r="F60" s="82"/>
      <c r="G60" s="82"/>
      <c r="H60" s="82"/>
      <c r="I60" s="82"/>
      <c r="J60" s="87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7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5.75" customHeight="1">
      <c r="A62" s="82"/>
      <c r="B62" s="82"/>
      <c r="C62" s="82"/>
      <c r="D62" s="82"/>
      <c r="E62" s="82"/>
      <c r="F62" s="82"/>
      <c r="G62" s="82"/>
      <c r="H62" s="82"/>
      <c r="I62" s="82"/>
      <c r="J62" s="87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7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5.75" customHeight="1">
      <c r="A64" s="82"/>
      <c r="B64" s="82"/>
      <c r="C64" s="82"/>
      <c r="D64" s="82"/>
      <c r="E64" s="82"/>
      <c r="F64" s="82"/>
      <c r="G64" s="82"/>
      <c r="H64" s="82"/>
      <c r="I64" s="82"/>
      <c r="J64" s="87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7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5.75" customHeight="1">
      <c r="A66" s="82"/>
      <c r="B66" s="82"/>
      <c r="C66" s="82"/>
      <c r="D66" s="82"/>
      <c r="E66" s="82"/>
      <c r="F66" s="82"/>
      <c r="G66" s="82"/>
      <c r="H66" s="82"/>
      <c r="I66" s="82"/>
      <c r="J66" s="87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7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5.75" customHeight="1">
      <c r="A68" s="82"/>
      <c r="B68" s="82"/>
      <c r="C68" s="82"/>
      <c r="D68" s="82"/>
      <c r="E68" s="82"/>
      <c r="F68" s="82"/>
      <c r="G68" s="82"/>
      <c r="H68" s="82"/>
      <c r="I68" s="82"/>
      <c r="J68" s="87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7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5.75" customHeight="1">
      <c r="A70" s="82"/>
      <c r="B70" s="82"/>
      <c r="C70" s="82"/>
      <c r="D70" s="82"/>
      <c r="E70" s="82"/>
      <c r="F70" s="82"/>
      <c r="G70" s="82"/>
      <c r="H70" s="82"/>
      <c r="I70" s="82"/>
      <c r="J70" s="87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7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5.75" customHeight="1">
      <c r="A72" s="82"/>
      <c r="B72" s="82"/>
      <c r="C72" s="82"/>
      <c r="D72" s="82"/>
      <c r="E72" s="82"/>
      <c r="F72" s="82"/>
      <c r="G72" s="82"/>
      <c r="H72" s="82"/>
      <c r="I72" s="82"/>
      <c r="J72" s="87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7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5.75" customHeight="1">
      <c r="A74" s="82"/>
      <c r="B74" s="82"/>
      <c r="C74" s="82"/>
      <c r="D74" s="82"/>
      <c r="E74" s="82"/>
      <c r="F74" s="82"/>
      <c r="G74" s="82"/>
      <c r="H74" s="82"/>
      <c r="I74" s="82"/>
      <c r="J74" s="87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7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5.75" customHeight="1">
      <c r="A76" s="82"/>
      <c r="B76" s="82"/>
      <c r="C76" s="82"/>
      <c r="D76" s="82"/>
      <c r="E76" s="82"/>
      <c r="F76" s="82"/>
      <c r="G76" s="82"/>
      <c r="H76" s="82"/>
      <c r="I76" s="82"/>
      <c r="J76" s="87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7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5.75" customHeight="1">
      <c r="A78" s="82"/>
      <c r="B78" s="82"/>
      <c r="C78" s="82"/>
      <c r="D78" s="82"/>
      <c r="E78" s="82"/>
      <c r="F78" s="82"/>
      <c r="G78" s="82"/>
      <c r="H78" s="82"/>
      <c r="I78" s="82"/>
      <c r="J78" s="87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7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5.75" customHeight="1">
      <c r="A80" s="82"/>
      <c r="B80" s="82"/>
      <c r="C80" s="82"/>
      <c r="D80" s="82"/>
      <c r="E80" s="82"/>
      <c r="F80" s="82"/>
      <c r="G80" s="82"/>
      <c r="H80" s="82"/>
      <c r="I80" s="82"/>
      <c r="J80" s="87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7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5.75" customHeight="1">
      <c r="A82" s="82"/>
      <c r="B82" s="82"/>
      <c r="C82" s="82"/>
      <c r="D82" s="82"/>
      <c r="E82" s="82"/>
      <c r="F82" s="82"/>
      <c r="G82" s="82"/>
      <c r="H82" s="82"/>
      <c r="I82" s="82"/>
      <c r="J82" s="87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7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5.75" customHeight="1">
      <c r="A84" s="82"/>
      <c r="B84" s="82"/>
      <c r="C84" s="82"/>
      <c r="D84" s="82"/>
      <c r="E84" s="82"/>
      <c r="F84" s="82"/>
      <c r="G84" s="82"/>
      <c r="H84" s="82"/>
      <c r="I84" s="82"/>
      <c r="J84" s="87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7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5.75" customHeight="1">
      <c r="A86" s="82"/>
      <c r="B86" s="82"/>
      <c r="C86" s="82"/>
      <c r="D86" s="82"/>
      <c r="E86" s="82"/>
      <c r="F86" s="82"/>
      <c r="G86" s="82"/>
      <c r="H86" s="82"/>
      <c r="I86" s="82"/>
      <c r="J86" s="87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7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82"/>
      <c r="B88" s="82"/>
      <c r="C88" s="82"/>
      <c r="D88" s="82"/>
      <c r="E88" s="82"/>
      <c r="F88" s="82"/>
      <c r="G88" s="82"/>
      <c r="H88" s="82"/>
      <c r="I88" s="82"/>
      <c r="J88" s="87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7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82"/>
      <c r="B90" s="82"/>
      <c r="C90" s="82"/>
      <c r="D90" s="82"/>
      <c r="E90" s="82"/>
      <c r="F90" s="82"/>
      <c r="G90" s="82"/>
      <c r="H90" s="82"/>
      <c r="I90" s="82"/>
      <c r="J90" s="87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7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82"/>
      <c r="B92" s="82"/>
      <c r="C92" s="82"/>
      <c r="D92" s="82"/>
      <c r="E92" s="82"/>
      <c r="F92" s="82"/>
      <c r="G92" s="82"/>
      <c r="H92" s="82"/>
      <c r="I92" s="82"/>
      <c r="J92" s="87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7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82"/>
      <c r="B94" s="82"/>
      <c r="C94" s="82"/>
      <c r="D94" s="82"/>
      <c r="E94" s="82"/>
      <c r="F94" s="82"/>
      <c r="G94" s="82"/>
      <c r="H94" s="82"/>
      <c r="I94" s="82"/>
      <c r="J94" s="87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7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82"/>
      <c r="B96" s="82"/>
      <c r="C96" s="82"/>
      <c r="D96" s="82"/>
      <c r="E96" s="82"/>
      <c r="F96" s="82"/>
      <c r="G96" s="82"/>
      <c r="H96" s="82"/>
      <c r="I96" s="82"/>
      <c r="J96" s="87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7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82"/>
      <c r="B98" s="82"/>
      <c r="C98" s="82"/>
      <c r="D98" s="82"/>
      <c r="E98" s="82"/>
      <c r="F98" s="82"/>
      <c r="G98" s="82"/>
      <c r="H98" s="82"/>
      <c r="I98" s="82"/>
      <c r="J98" s="87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7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7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7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82"/>
      <c r="B102" s="82"/>
      <c r="C102" s="82"/>
      <c r="D102" s="82"/>
      <c r="E102" s="82"/>
      <c r="F102" s="82"/>
      <c r="G102" s="82"/>
      <c r="H102" s="82"/>
      <c r="I102" s="82"/>
      <c r="J102" s="87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7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82"/>
      <c r="B104" s="82"/>
      <c r="C104" s="82"/>
      <c r="D104" s="82"/>
      <c r="E104" s="82"/>
      <c r="F104" s="82"/>
      <c r="G104" s="82"/>
      <c r="H104" s="82"/>
      <c r="I104" s="82"/>
      <c r="J104" s="87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7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 ht="15.75" customHeight="1">
      <c r="A106" s="82"/>
      <c r="B106" s="82"/>
      <c r="C106" s="82"/>
      <c r="D106" s="82"/>
      <c r="E106" s="82"/>
      <c r="F106" s="82"/>
      <c r="G106" s="82"/>
      <c r="H106" s="82"/>
      <c r="I106" s="82"/>
      <c r="J106" s="87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7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 ht="15.75" customHeight="1">
      <c r="A108" s="82"/>
      <c r="B108" s="82"/>
      <c r="C108" s="82"/>
      <c r="D108" s="82"/>
      <c r="E108" s="82"/>
      <c r="F108" s="82"/>
      <c r="G108" s="82"/>
      <c r="H108" s="82"/>
      <c r="I108" s="82"/>
      <c r="J108" s="87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7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 ht="15.75" customHeight="1">
      <c r="A110" s="82"/>
      <c r="B110" s="82"/>
      <c r="C110" s="82"/>
      <c r="D110" s="82"/>
      <c r="E110" s="82"/>
      <c r="F110" s="82"/>
      <c r="G110" s="82"/>
      <c r="H110" s="82"/>
      <c r="I110" s="82"/>
      <c r="J110" s="87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7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 ht="15.75" customHeight="1">
      <c r="A112" s="82"/>
      <c r="B112" s="82"/>
      <c r="C112" s="82"/>
      <c r="D112" s="82"/>
      <c r="E112" s="82"/>
      <c r="F112" s="82"/>
      <c r="G112" s="82"/>
      <c r="H112" s="82"/>
      <c r="I112" s="82"/>
      <c r="J112" s="87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7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 ht="15.75" customHeight="1">
      <c r="A114" s="82"/>
      <c r="B114" s="82"/>
      <c r="C114" s="82"/>
      <c r="D114" s="82"/>
      <c r="E114" s="82"/>
      <c r="F114" s="82"/>
      <c r="G114" s="82"/>
      <c r="H114" s="82"/>
      <c r="I114" s="82"/>
      <c r="J114" s="87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7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 ht="15.75" customHeight="1">
      <c r="A116" s="82"/>
      <c r="B116" s="82"/>
      <c r="C116" s="82"/>
      <c r="D116" s="82"/>
      <c r="E116" s="82"/>
      <c r="F116" s="82"/>
      <c r="G116" s="82"/>
      <c r="H116" s="82"/>
      <c r="I116" s="82"/>
      <c r="J116" s="87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7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 ht="15.75" customHeight="1">
      <c r="A118" s="82"/>
      <c r="B118" s="82"/>
      <c r="C118" s="82"/>
      <c r="D118" s="82"/>
      <c r="E118" s="82"/>
      <c r="F118" s="82"/>
      <c r="G118" s="82"/>
      <c r="H118" s="82"/>
      <c r="I118" s="82"/>
      <c r="J118" s="87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7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 ht="15.75" customHeight="1">
      <c r="A120" s="82"/>
      <c r="B120" s="82"/>
      <c r="C120" s="82"/>
      <c r="D120" s="82"/>
      <c r="E120" s="82"/>
      <c r="F120" s="82"/>
      <c r="G120" s="82"/>
      <c r="H120" s="82"/>
      <c r="I120" s="82"/>
      <c r="J120" s="87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7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 ht="15.75" customHeight="1">
      <c r="A122" s="82"/>
      <c r="B122" s="82"/>
      <c r="C122" s="82"/>
      <c r="D122" s="82"/>
      <c r="E122" s="82"/>
      <c r="F122" s="82"/>
      <c r="G122" s="82"/>
      <c r="H122" s="82"/>
      <c r="I122" s="82"/>
      <c r="J122" s="87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7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 ht="15.75" customHeight="1">
      <c r="A124" s="82"/>
      <c r="B124" s="82"/>
      <c r="C124" s="82"/>
      <c r="D124" s="82"/>
      <c r="E124" s="82"/>
      <c r="F124" s="82"/>
      <c r="G124" s="82"/>
      <c r="H124" s="82"/>
      <c r="I124" s="82"/>
      <c r="J124" s="87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7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 ht="15.75" customHeight="1">
      <c r="A126" s="82"/>
      <c r="B126" s="82"/>
      <c r="C126" s="82"/>
      <c r="D126" s="82"/>
      <c r="E126" s="82"/>
      <c r="F126" s="82"/>
      <c r="G126" s="82"/>
      <c r="H126" s="82"/>
      <c r="I126" s="82"/>
      <c r="J126" s="87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7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 ht="15.75" customHeight="1">
      <c r="A128" s="82"/>
      <c r="B128" s="82"/>
      <c r="C128" s="82"/>
      <c r="D128" s="82"/>
      <c r="E128" s="82"/>
      <c r="F128" s="82"/>
      <c r="G128" s="82"/>
      <c r="H128" s="82"/>
      <c r="I128" s="82"/>
      <c r="J128" s="87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7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 ht="15.75" customHeight="1">
      <c r="A130" s="82"/>
      <c r="B130" s="82"/>
      <c r="C130" s="82"/>
      <c r="D130" s="82"/>
      <c r="E130" s="82"/>
      <c r="F130" s="82"/>
      <c r="G130" s="82"/>
      <c r="H130" s="82"/>
      <c r="I130" s="82"/>
      <c r="J130" s="87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7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 ht="15.75" customHeight="1">
      <c r="A132" s="82"/>
      <c r="B132" s="82"/>
      <c r="C132" s="82"/>
      <c r="D132" s="82"/>
      <c r="E132" s="82"/>
      <c r="F132" s="82"/>
      <c r="G132" s="82"/>
      <c r="H132" s="82"/>
      <c r="I132" s="82"/>
      <c r="J132" s="87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7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 ht="15.75" customHeight="1">
      <c r="A134" s="82"/>
      <c r="B134" s="82"/>
      <c r="C134" s="82"/>
      <c r="D134" s="82"/>
      <c r="E134" s="82"/>
      <c r="F134" s="82"/>
      <c r="G134" s="82"/>
      <c r="H134" s="82"/>
      <c r="I134" s="82"/>
      <c r="J134" s="87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7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 ht="15.75" customHeight="1">
      <c r="A136" s="82"/>
      <c r="B136" s="82"/>
      <c r="C136" s="82"/>
      <c r="D136" s="82"/>
      <c r="E136" s="82"/>
      <c r="F136" s="82"/>
      <c r="G136" s="82"/>
      <c r="H136" s="82"/>
      <c r="I136" s="82"/>
      <c r="J136" s="87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7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 ht="15.75" customHeight="1">
      <c r="A138" s="82"/>
      <c r="B138" s="82"/>
      <c r="C138" s="82"/>
      <c r="D138" s="82"/>
      <c r="E138" s="82"/>
      <c r="F138" s="82"/>
      <c r="G138" s="82"/>
      <c r="H138" s="82"/>
      <c r="I138" s="82"/>
      <c r="J138" s="87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7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 ht="15.75" customHeight="1">
      <c r="A140" s="82"/>
      <c r="B140" s="82"/>
      <c r="C140" s="82"/>
      <c r="D140" s="82"/>
      <c r="E140" s="82"/>
      <c r="F140" s="82"/>
      <c r="G140" s="82"/>
      <c r="H140" s="82"/>
      <c r="I140" s="82"/>
      <c r="J140" s="87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7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 ht="15.75" customHeight="1">
      <c r="A142" s="82"/>
      <c r="B142" s="82"/>
      <c r="C142" s="82"/>
      <c r="D142" s="82"/>
      <c r="E142" s="82"/>
      <c r="F142" s="82"/>
      <c r="G142" s="82"/>
      <c r="H142" s="82"/>
      <c r="I142" s="82"/>
      <c r="J142" s="87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7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 ht="15.75" customHeight="1">
      <c r="A144" s="82"/>
      <c r="B144" s="82"/>
      <c r="C144" s="82"/>
      <c r="D144" s="82"/>
      <c r="E144" s="82"/>
      <c r="F144" s="82"/>
      <c r="G144" s="82"/>
      <c r="H144" s="82"/>
      <c r="I144" s="82"/>
      <c r="J144" s="87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7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 ht="15.75" customHeight="1">
      <c r="A146" s="82"/>
      <c r="B146" s="82"/>
      <c r="C146" s="82"/>
      <c r="D146" s="82"/>
      <c r="E146" s="82"/>
      <c r="F146" s="82"/>
      <c r="G146" s="82"/>
      <c r="H146" s="82"/>
      <c r="I146" s="82"/>
      <c r="J146" s="87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7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 ht="15.75" customHeight="1">
      <c r="A148" s="82"/>
      <c r="B148" s="82"/>
      <c r="C148" s="82"/>
      <c r="D148" s="82"/>
      <c r="E148" s="82"/>
      <c r="F148" s="82"/>
      <c r="G148" s="82"/>
      <c r="H148" s="82"/>
      <c r="I148" s="82"/>
      <c r="J148" s="87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7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 ht="15.75" customHeight="1">
      <c r="A150" s="82"/>
      <c r="B150" s="82"/>
      <c r="C150" s="82"/>
      <c r="D150" s="82"/>
      <c r="E150" s="82"/>
      <c r="F150" s="82"/>
      <c r="G150" s="82"/>
      <c r="H150" s="82"/>
      <c r="I150" s="82"/>
      <c r="J150" s="87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7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 ht="15.75" customHeight="1">
      <c r="A152" s="82"/>
      <c r="B152" s="82"/>
      <c r="C152" s="82"/>
      <c r="D152" s="82"/>
      <c r="E152" s="82"/>
      <c r="F152" s="82"/>
      <c r="G152" s="82"/>
      <c r="H152" s="82"/>
      <c r="I152" s="82"/>
      <c r="J152" s="87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7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 ht="15.75" customHeight="1">
      <c r="A154" s="82"/>
      <c r="B154" s="82"/>
      <c r="C154" s="82"/>
      <c r="D154" s="82"/>
      <c r="E154" s="82"/>
      <c r="F154" s="82"/>
      <c r="G154" s="82"/>
      <c r="H154" s="82"/>
      <c r="I154" s="82"/>
      <c r="J154" s="87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7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 ht="15.75" customHeight="1">
      <c r="A156" s="82"/>
      <c r="B156" s="82"/>
      <c r="C156" s="82"/>
      <c r="D156" s="82"/>
      <c r="E156" s="82"/>
      <c r="F156" s="82"/>
      <c r="G156" s="82"/>
      <c r="H156" s="82"/>
      <c r="I156" s="82"/>
      <c r="J156" s="87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7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 ht="15.75" customHeight="1">
      <c r="A158" s="82"/>
      <c r="B158" s="82"/>
      <c r="C158" s="82"/>
      <c r="D158" s="82"/>
      <c r="E158" s="82"/>
      <c r="F158" s="82"/>
      <c r="G158" s="82"/>
      <c r="H158" s="82"/>
      <c r="I158" s="82"/>
      <c r="J158" s="87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7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 ht="15.75" customHeight="1">
      <c r="A160" s="82"/>
      <c r="B160" s="82"/>
      <c r="C160" s="82"/>
      <c r="D160" s="82"/>
      <c r="E160" s="82"/>
      <c r="F160" s="82"/>
      <c r="G160" s="82"/>
      <c r="H160" s="82"/>
      <c r="I160" s="82"/>
      <c r="J160" s="87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7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 ht="15.75" customHeight="1">
      <c r="A162" s="82"/>
      <c r="B162" s="82"/>
      <c r="C162" s="82"/>
      <c r="D162" s="82"/>
      <c r="E162" s="82"/>
      <c r="F162" s="82"/>
      <c r="G162" s="82"/>
      <c r="H162" s="82"/>
      <c r="I162" s="82"/>
      <c r="J162" s="87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7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 ht="15.75" customHeight="1">
      <c r="A164" s="82"/>
      <c r="B164" s="82"/>
      <c r="C164" s="82"/>
      <c r="D164" s="82"/>
      <c r="E164" s="82"/>
      <c r="F164" s="82"/>
      <c r="G164" s="82"/>
      <c r="H164" s="82"/>
      <c r="I164" s="82"/>
      <c r="J164" s="87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7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 ht="15.75" customHeight="1">
      <c r="A166" s="82"/>
      <c r="B166" s="82"/>
      <c r="C166" s="82"/>
      <c r="D166" s="82"/>
      <c r="E166" s="82"/>
      <c r="F166" s="82"/>
      <c r="G166" s="82"/>
      <c r="H166" s="82"/>
      <c r="I166" s="82"/>
      <c r="J166" s="87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7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 ht="15.75" customHeight="1">
      <c r="A168" s="82"/>
      <c r="B168" s="82"/>
      <c r="C168" s="82"/>
      <c r="D168" s="82"/>
      <c r="E168" s="82"/>
      <c r="F168" s="82"/>
      <c r="G168" s="82"/>
      <c r="H168" s="82"/>
      <c r="I168" s="82"/>
      <c r="J168" s="87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7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 ht="15.75" customHeight="1">
      <c r="A170" s="82"/>
      <c r="B170" s="82"/>
      <c r="C170" s="82"/>
      <c r="D170" s="82"/>
      <c r="E170" s="82"/>
      <c r="F170" s="82"/>
      <c r="G170" s="82"/>
      <c r="H170" s="82"/>
      <c r="I170" s="82"/>
      <c r="J170" s="87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7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 ht="15.75" customHeight="1">
      <c r="A172" s="82"/>
      <c r="B172" s="82"/>
      <c r="C172" s="82"/>
      <c r="D172" s="82"/>
      <c r="E172" s="82"/>
      <c r="F172" s="82"/>
      <c r="G172" s="82"/>
      <c r="H172" s="82"/>
      <c r="I172" s="82"/>
      <c r="J172" s="87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7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 ht="15.75" customHeight="1">
      <c r="A174" s="82"/>
      <c r="B174" s="82"/>
      <c r="C174" s="82"/>
      <c r="D174" s="82"/>
      <c r="E174" s="82"/>
      <c r="F174" s="82"/>
      <c r="G174" s="82"/>
      <c r="H174" s="82"/>
      <c r="I174" s="82"/>
      <c r="J174" s="87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7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 ht="15.75" customHeight="1">
      <c r="A176" s="82"/>
      <c r="B176" s="82"/>
      <c r="C176" s="82"/>
      <c r="D176" s="82"/>
      <c r="E176" s="82"/>
      <c r="F176" s="82"/>
      <c r="G176" s="82"/>
      <c r="H176" s="82"/>
      <c r="I176" s="82"/>
      <c r="J176" s="87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7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 ht="15.75" customHeight="1">
      <c r="A178" s="82"/>
      <c r="B178" s="82"/>
      <c r="C178" s="82"/>
      <c r="D178" s="82"/>
      <c r="E178" s="82"/>
      <c r="F178" s="82"/>
      <c r="G178" s="82"/>
      <c r="H178" s="82"/>
      <c r="I178" s="82"/>
      <c r="J178" s="87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7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 ht="15.75" customHeight="1">
      <c r="A180" s="82"/>
      <c r="B180" s="82"/>
      <c r="C180" s="82"/>
      <c r="D180" s="82"/>
      <c r="E180" s="82"/>
      <c r="F180" s="82"/>
      <c r="G180" s="82"/>
      <c r="H180" s="82"/>
      <c r="I180" s="82"/>
      <c r="J180" s="87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7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 ht="15.75" customHeight="1">
      <c r="A182" s="82"/>
      <c r="B182" s="82"/>
      <c r="C182" s="82"/>
      <c r="D182" s="82"/>
      <c r="E182" s="82"/>
      <c r="F182" s="82"/>
      <c r="G182" s="82"/>
      <c r="H182" s="82"/>
      <c r="I182" s="82"/>
      <c r="J182" s="87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7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 ht="15.75" customHeight="1">
      <c r="A184" s="82"/>
      <c r="B184" s="82"/>
      <c r="C184" s="82"/>
      <c r="D184" s="82"/>
      <c r="E184" s="82"/>
      <c r="F184" s="82"/>
      <c r="G184" s="82"/>
      <c r="H184" s="82"/>
      <c r="I184" s="82"/>
      <c r="J184" s="87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7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 ht="15.75" customHeight="1">
      <c r="A186" s="82"/>
      <c r="B186" s="82"/>
      <c r="C186" s="82"/>
      <c r="D186" s="82"/>
      <c r="E186" s="82"/>
      <c r="F186" s="82"/>
      <c r="G186" s="82"/>
      <c r="H186" s="82"/>
      <c r="I186" s="82"/>
      <c r="J186" s="87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7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 ht="15.75" customHeight="1">
      <c r="A188" s="82"/>
      <c r="B188" s="82"/>
      <c r="C188" s="82"/>
      <c r="D188" s="82"/>
      <c r="E188" s="82"/>
      <c r="F188" s="82"/>
      <c r="G188" s="82"/>
      <c r="H188" s="82"/>
      <c r="I188" s="82"/>
      <c r="J188" s="87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7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 ht="15.75" customHeight="1">
      <c r="A190" s="82"/>
      <c r="B190" s="82"/>
      <c r="C190" s="82"/>
      <c r="D190" s="82"/>
      <c r="E190" s="82"/>
      <c r="F190" s="82"/>
      <c r="G190" s="82"/>
      <c r="H190" s="82"/>
      <c r="I190" s="82"/>
      <c r="J190" s="87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7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 ht="15.75" customHeight="1">
      <c r="A192" s="82"/>
      <c r="B192" s="82"/>
      <c r="C192" s="82"/>
      <c r="D192" s="82"/>
      <c r="E192" s="82"/>
      <c r="F192" s="82"/>
      <c r="G192" s="82"/>
      <c r="H192" s="82"/>
      <c r="I192" s="82"/>
      <c r="J192" s="87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7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 ht="15.75" customHeight="1">
      <c r="A194" s="82"/>
      <c r="B194" s="82"/>
      <c r="C194" s="82"/>
      <c r="D194" s="82"/>
      <c r="E194" s="82"/>
      <c r="F194" s="82"/>
      <c r="G194" s="82"/>
      <c r="H194" s="82"/>
      <c r="I194" s="82"/>
      <c r="J194" s="87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7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 ht="15.75" customHeight="1">
      <c r="A196" s="82"/>
      <c r="B196" s="82"/>
      <c r="C196" s="82"/>
      <c r="D196" s="82"/>
      <c r="E196" s="82"/>
      <c r="F196" s="82"/>
      <c r="G196" s="82"/>
      <c r="H196" s="82"/>
      <c r="I196" s="82"/>
      <c r="J196" s="87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7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 ht="15.75" customHeight="1">
      <c r="A198" s="82"/>
      <c r="B198" s="82"/>
      <c r="C198" s="82"/>
      <c r="D198" s="82"/>
      <c r="E198" s="82"/>
      <c r="F198" s="82"/>
      <c r="G198" s="82"/>
      <c r="H198" s="82"/>
      <c r="I198" s="82"/>
      <c r="J198" s="87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7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 ht="15.75" customHeight="1">
      <c r="A200" s="82"/>
      <c r="B200" s="82"/>
      <c r="C200" s="82"/>
      <c r="D200" s="82"/>
      <c r="E200" s="82"/>
      <c r="F200" s="82"/>
      <c r="G200" s="82"/>
      <c r="H200" s="82"/>
      <c r="I200" s="82"/>
      <c r="J200" s="87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7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 ht="15.75" customHeight="1">
      <c r="A202" s="82"/>
      <c r="B202" s="82"/>
      <c r="C202" s="82"/>
      <c r="D202" s="82"/>
      <c r="E202" s="82"/>
      <c r="F202" s="82"/>
      <c r="G202" s="82"/>
      <c r="H202" s="82"/>
      <c r="I202" s="82"/>
      <c r="J202" s="87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7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 ht="15.75" customHeight="1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 ht="15.75" customHeight="1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 ht="15.75" customHeight="1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 ht="15.75" customHeight="1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 ht="15.75" customHeight="1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 ht="15.75" customHeight="1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 ht="15.75" customHeight="1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 ht="15.75" customHeight="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 ht="15.75" customHeight="1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 ht="15.75" customHeight="1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 ht="15.75" customHeight="1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 ht="15.75" customHeight="1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 ht="15.75" customHeight="1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 ht="15.75" customHeight="1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 ht="15.75" customHeight="1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 ht="15.75" customHeight="1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 ht="15.75" customHeight="1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0" t="s">
        <v>96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1" t="s">
        <v>97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98</v>
      </c>
      <c r="B4" s="92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99</v>
      </c>
      <c r="B5" s="92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100</v>
      </c>
      <c r="B6" s="92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101</v>
      </c>
      <c r="B7" s="92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1" t="s">
        <v>102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103</v>
      </c>
      <c r="B10" s="93">
        <f>SUMIF(Roster!E5:E204,"Active",Roster!B5:B204)</f>
        <v>1403.13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104</v>
      </c>
      <c r="B11" s="93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105</v>
      </c>
      <c r="B12" s="93">
        <f>B10-B11</f>
        <v>1403.13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106</v>
      </c>
      <c r="B13" s="93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107</v>
      </c>
      <c r="B14" s="93">
        <f>Transactions!B4</f>
        <v>2553.13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93">
        <f>Transactions!C4</f>
        <v>-444.13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108</v>
      </c>
      <c r="B16" s="93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1" t="s">
        <v>109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110</v>
      </c>
      <c r="B19" s="92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111</v>
      </c>
      <c r="B20" s="92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112</v>
      </c>
      <c r="B21" s="92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113</v>
      </c>
      <c r="B22" s="92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114</v>
      </c>
      <c r="B23" s="93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115</v>
      </c>
      <c r="B24" s="93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116</v>
      </c>
      <c r="B25" s="93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117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118</v>
      </c>
      <c r="B3" s="9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6" t="s">
        <v>119</v>
      </c>
      <c r="B4" s="97" t="s">
        <v>120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8" t="s">
        <v>121</v>
      </c>
      <c r="B5" s="97" t="s">
        <v>122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99" t="s">
        <v>123</v>
      </c>
      <c r="B6" s="97" t="s">
        <v>124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0"/>
      <c r="B7" s="9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4" t="s">
        <v>125</v>
      </c>
      <c r="B8" s="9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1" t="s">
        <v>126</v>
      </c>
      <c r="B9" s="97" t="s">
        <v>127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1" t="s">
        <v>128</v>
      </c>
      <c r="B10" s="97" t="s">
        <v>129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1" t="s">
        <v>130</v>
      </c>
      <c r="B11" s="97" t="s">
        <v>131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1" t="s">
        <v>132</v>
      </c>
      <c r="B12" s="97" t="s">
        <v>133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0"/>
      <c r="B13" s="9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4" t="s">
        <v>134</v>
      </c>
      <c r="B14" s="9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1" t="s">
        <v>135</v>
      </c>
      <c r="B15" s="97" t="s">
        <v>136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1" t="s">
        <v>137</v>
      </c>
      <c r="B16" s="97" t="s">
        <v>138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1" t="s">
        <v>139</v>
      </c>
      <c r="B17" s="97" t="s">
        <v>140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1" t="s">
        <v>141</v>
      </c>
      <c r="B18" s="97" t="s">
        <v>142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0"/>
      <c r="B19" s="9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4" t="s">
        <v>143</v>
      </c>
      <c r="B20" s="9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1" t="s">
        <v>144</v>
      </c>
      <c r="B21" s="97" t="s">
        <v>145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1" t="s">
        <v>146</v>
      </c>
      <c r="B22" s="97" t="s">
        <v>147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1" t="s">
        <v>148</v>
      </c>
      <c r="B23" s="97" t="s">
        <v>149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1" t="s">
        <v>150</v>
      </c>
      <c r="B24" s="97" t="s">
        <v>151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1" t="s">
        <v>152</v>
      </c>
      <c r="B25" s="97" t="s">
        <v>153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1" t="s">
        <v>154</v>
      </c>
      <c r="B26" s="97" t="s">
        <v>155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1" t="s">
        <v>156</v>
      </c>
      <c r="B27" s="97" t="s">
        <v>157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0"/>
      <c r="B28" s="97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4" t="s">
        <v>158</v>
      </c>
      <c r="B29" s="9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1" t="s">
        <v>159</v>
      </c>
      <c r="B30" s="97" t="s">
        <v>160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1" t="s">
        <v>24</v>
      </c>
      <c r="B31" s="97" t="s">
        <v>161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1" t="s">
        <v>162</v>
      </c>
      <c r="B32" s="97" t="s">
        <v>163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1" t="s">
        <v>164</v>
      </c>
      <c r="B33" s="97" t="s">
        <v>165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1" t="s">
        <v>166</v>
      </c>
      <c r="B34" s="97" t="s">
        <v>167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2" t="s">
        <v>168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3" t="s">
        <v>169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4" t="s">
        <v>170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5" t="s">
        <v>42</v>
      </c>
      <c r="B5" s="105" t="s">
        <v>171</v>
      </c>
      <c r="C5" s="105" t="s">
        <v>4</v>
      </c>
      <c r="D5" s="105" t="s">
        <v>5</v>
      </c>
      <c r="E5" s="105" t="s">
        <v>172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6" t="s">
        <v>173</v>
      </c>
      <c r="B6" s="107" t="s">
        <v>174</v>
      </c>
      <c r="C6" s="108" t="s">
        <v>175</v>
      </c>
      <c r="D6" s="108" t="s">
        <v>176</v>
      </c>
      <c r="E6" s="10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6" t="s">
        <v>177</v>
      </c>
      <c r="B7" s="107" t="s">
        <v>178</v>
      </c>
      <c r="C7" s="108" t="s">
        <v>179</v>
      </c>
      <c r="D7" s="108" t="s">
        <v>176</v>
      </c>
      <c r="E7" s="106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180</v>
      </c>
      <c r="B8" s="109" t="s">
        <v>181</v>
      </c>
      <c r="C8" s="110" t="s">
        <v>179</v>
      </c>
      <c r="D8" s="110" t="s">
        <v>176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182</v>
      </c>
      <c r="B9" s="109" t="s">
        <v>183</v>
      </c>
      <c r="C9" s="110" t="s">
        <v>179</v>
      </c>
      <c r="D9" s="110" t="s">
        <v>176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6" t="s">
        <v>184</v>
      </c>
      <c r="B10" s="107" t="s">
        <v>185</v>
      </c>
      <c r="C10" s="108" t="s">
        <v>179</v>
      </c>
      <c r="D10" s="108" t="s">
        <v>176</v>
      </c>
      <c r="E10" s="106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1" t="s">
        <v>186</v>
      </c>
      <c r="B11" s="112" t="s">
        <v>187</v>
      </c>
      <c r="C11" s="108" t="s">
        <v>179</v>
      </c>
      <c r="D11" s="108" t="s">
        <v>176</v>
      </c>
      <c r="E11" s="11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3" t="s">
        <v>188</v>
      </c>
      <c r="B12" s="114" t="s">
        <v>189</v>
      </c>
      <c r="C12" s="108" t="s">
        <v>179</v>
      </c>
      <c r="D12" s="108" t="s">
        <v>176</v>
      </c>
      <c r="E12" s="1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 t="s">
        <v>190</v>
      </c>
      <c r="B13" s="112" t="s">
        <v>191</v>
      </c>
      <c r="C13" s="108" t="s">
        <v>179</v>
      </c>
      <c r="D13" s="108" t="s">
        <v>176</v>
      </c>
      <c r="E13" s="11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3" t="s">
        <v>192</v>
      </c>
      <c r="B14" s="114" t="s">
        <v>193</v>
      </c>
      <c r="C14" s="108" t="s">
        <v>179</v>
      </c>
      <c r="D14" s="108" t="s">
        <v>176</v>
      </c>
      <c r="E14" s="1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1" t="s">
        <v>64</v>
      </c>
      <c r="B15" s="112">
        <v>1762.0</v>
      </c>
      <c r="C15" s="108" t="s">
        <v>194</v>
      </c>
      <c r="D15" s="108" t="s">
        <v>176</v>
      </c>
      <c r="E15" s="11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3" t="s">
        <v>195</v>
      </c>
      <c r="B16" s="114" t="s">
        <v>196</v>
      </c>
      <c r="C16" s="108" t="s">
        <v>175</v>
      </c>
      <c r="D16" s="108" t="s">
        <v>176</v>
      </c>
      <c r="E16" s="1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1" t="s">
        <v>197</v>
      </c>
      <c r="B17" s="112" t="s">
        <v>198</v>
      </c>
      <c r="C17" s="108" t="s">
        <v>179</v>
      </c>
      <c r="D17" s="108" t="s">
        <v>176</v>
      </c>
      <c r="E17" s="11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3" t="s">
        <v>199</v>
      </c>
      <c r="B18" s="114" t="s">
        <v>200</v>
      </c>
      <c r="C18" s="108" t="s">
        <v>179</v>
      </c>
      <c r="D18" s="108" t="s">
        <v>176</v>
      </c>
      <c r="E18" s="1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 t="s">
        <v>201</v>
      </c>
      <c r="B19" s="112" t="s">
        <v>202</v>
      </c>
      <c r="C19" s="108" t="s">
        <v>179</v>
      </c>
      <c r="D19" s="108" t="s">
        <v>176</v>
      </c>
      <c r="E19" s="11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3" t="s">
        <v>203</v>
      </c>
      <c r="B20" s="114" t="s">
        <v>204</v>
      </c>
      <c r="C20" s="108" t="s">
        <v>179</v>
      </c>
      <c r="D20" s="108" t="s">
        <v>176</v>
      </c>
      <c r="E20" s="1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1" t="s">
        <v>205</v>
      </c>
      <c r="B21" s="112" t="s">
        <v>206</v>
      </c>
      <c r="C21" s="108" t="s">
        <v>175</v>
      </c>
      <c r="D21" s="108" t="s">
        <v>176</v>
      </c>
      <c r="E21" s="11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3" t="s">
        <v>207</v>
      </c>
      <c r="B22" s="114" t="s">
        <v>208</v>
      </c>
      <c r="C22" s="108" t="s">
        <v>179</v>
      </c>
      <c r="D22" s="108" t="s">
        <v>176</v>
      </c>
      <c r="E22" s="1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1" t="s">
        <v>209</v>
      </c>
      <c r="B23" s="112" t="s">
        <v>210</v>
      </c>
      <c r="C23" s="108" t="s">
        <v>179</v>
      </c>
      <c r="D23" s="108" t="s">
        <v>176</v>
      </c>
      <c r="E23" s="11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3" t="s">
        <v>211</v>
      </c>
      <c r="B24" s="114" t="s">
        <v>212</v>
      </c>
      <c r="C24" s="108" t="s">
        <v>179</v>
      </c>
      <c r="D24" s="108" t="s">
        <v>176</v>
      </c>
      <c r="E24" s="1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1" t="s">
        <v>213</v>
      </c>
      <c r="B25" s="112" t="s">
        <v>214</v>
      </c>
      <c r="C25" s="108" t="s">
        <v>179</v>
      </c>
      <c r="D25" s="108" t="s">
        <v>176</v>
      </c>
      <c r="E25" s="11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1" t="s">
        <v>215</v>
      </c>
      <c r="B26" s="112" t="s">
        <v>216</v>
      </c>
      <c r="C26" s="108" t="s">
        <v>179</v>
      </c>
      <c r="D26" s="108" t="s">
        <v>176</v>
      </c>
      <c r="E26" s="1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3" t="s">
        <v>217</v>
      </c>
      <c r="B27" s="114" t="s">
        <v>218</v>
      </c>
      <c r="C27" s="108" t="s">
        <v>179</v>
      </c>
      <c r="D27" s="108" t="s">
        <v>176</v>
      </c>
      <c r="E27" s="11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 t="s">
        <v>219</v>
      </c>
      <c r="B28" s="112" t="s">
        <v>220</v>
      </c>
      <c r="C28" s="108" t="s">
        <v>179</v>
      </c>
      <c r="D28" s="108" t="s">
        <v>176</v>
      </c>
      <c r="E28" s="113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3" t="s">
        <v>9</v>
      </c>
      <c r="B29" s="114" t="s">
        <v>221</v>
      </c>
      <c r="C29" s="108" t="s">
        <v>179</v>
      </c>
      <c r="D29" s="108" t="s">
        <v>176</v>
      </c>
      <c r="E29" s="11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1" t="s">
        <v>222</v>
      </c>
      <c r="B30" s="112" t="s">
        <v>223</v>
      </c>
      <c r="C30" s="108" t="s">
        <v>179</v>
      </c>
      <c r="D30" s="108" t="s">
        <v>176</v>
      </c>
      <c r="E30" s="113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3" t="s">
        <v>224</v>
      </c>
      <c r="B31" s="114" t="s">
        <v>225</v>
      </c>
      <c r="C31" s="108" t="s">
        <v>179</v>
      </c>
      <c r="D31" s="108" t="s">
        <v>176</v>
      </c>
      <c r="E31" s="11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1" t="s">
        <v>226</v>
      </c>
      <c r="B32" s="112" t="s">
        <v>227</v>
      </c>
      <c r="C32" s="108" t="s">
        <v>179</v>
      </c>
      <c r="D32" s="108" t="s">
        <v>176</v>
      </c>
      <c r="E32" s="11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3" t="s">
        <v>228</v>
      </c>
      <c r="B33" s="114" t="s">
        <v>229</v>
      </c>
      <c r="C33" s="108" t="s">
        <v>179</v>
      </c>
      <c r="D33" s="108" t="s">
        <v>176</v>
      </c>
      <c r="E33" s="11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1" t="s">
        <v>230</v>
      </c>
      <c r="B34" s="112" t="s">
        <v>231</v>
      </c>
      <c r="C34" s="108" t="s">
        <v>179</v>
      </c>
      <c r="D34" s="108" t="s">
        <v>176</v>
      </c>
      <c r="E34" s="11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3" t="s">
        <v>232</v>
      </c>
      <c r="B35" s="114" t="s">
        <v>233</v>
      </c>
      <c r="C35" s="108" t="s">
        <v>179</v>
      </c>
      <c r="D35" s="108" t="s">
        <v>176</v>
      </c>
      <c r="E35" s="11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1" t="s">
        <v>234</v>
      </c>
      <c r="B36" s="112" t="s">
        <v>235</v>
      </c>
      <c r="C36" s="108" t="s">
        <v>179</v>
      </c>
      <c r="D36" s="108" t="s">
        <v>176</v>
      </c>
      <c r="E36" s="1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3" t="s">
        <v>236</v>
      </c>
      <c r="B37" s="114" t="s">
        <v>237</v>
      </c>
      <c r="C37" s="108" t="s">
        <v>238</v>
      </c>
      <c r="D37" s="108" t="s">
        <v>176</v>
      </c>
      <c r="E37" s="11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1" t="s">
        <v>239</v>
      </c>
      <c r="B38" s="112" t="s">
        <v>240</v>
      </c>
      <c r="C38" s="108" t="s">
        <v>238</v>
      </c>
      <c r="D38" s="108" t="s">
        <v>176</v>
      </c>
      <c r="E38" s="1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3" t="s">
        <v>241</v>
      </c>
      <c r="B39" s="114" t="s">
        <v>242</v>
      </c>
      <c r="C39" s="108" t="s">
        <v>238</v>
      </c>
      <c r="D39" s="108" t="s">
        <v>176</v>
      </c>
      <c r="E39" s="11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1" t="s">
        <v>243</v>
      </c>
      <c r="B40" s="112" t="s">
        <v>244</v>
      </c>
      <c r="C40" s="108" t="s">
        <v>245</v>
      </c>
      <c r="D40" s="108" t="s">
        <v>176</v>
      </c>
      <c r="E40" s="1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 t="s">
        <v>246</v>
      </c>
      <c r="B41" s="116" t="s">
        <v>247</v>
      </c>
      <c r="C41" s="117" t="s">
        <v>245</v>
      </c>
      <c r="D41" s="117" t="s">
        <v>176</v>
      </c>
      <c r="E41" s="11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3"/>
      <c r="B42" s="114"/>
      <c r="C42" s="118"/>
      <c r="D42" s="118"/>
      <c r="E42" s="1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1"/>
      <c r="B43" s="112"/>
      <c r="C43" s="119"/>
      <c r="D43" s="119"/>
      <c r="E43" s="11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3"/>
      <c r="B44" s="114"/>
      <c r="C44" s="118"/>
      <c r="D44" s="118"/>
      <c r="E44" s="1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1"/>
      <c r="B45" s="112"/>
      <c r="C45" s="119"/>
      <c r="D45" s="119"/>
      <c r="E45" s="11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3"/>
      <c r="B46" s="114"/>
      <c r="C46" s="118"/>
      <c r="D46" s="118"/>
      <c r="E46" s="1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1"/>
      <c r="B47" s="112"/>
      <c r="C47" s="119"/>
      <c r="D47" s="119"/>
      <c r="E47" s="11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3"/>
      <c r="B48" s="114"/>
      <c r="C48" s="118"/>
      <c r="D48" s="118"/>
      <c r="E48" s="1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1"/>
      <c r="B49" s="112"/>
      <c r="C49" s="119"/>
      <c r="D49" s="119"/>
      <c r="E49" s="11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3"/>
      <c r="B50" s="114"/>
      <c r="C50" s="118"/>
      <c r="D50" s="118"/>
      <c r="E50" s="1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1"/>
      <c r="B51" s="112"/>
      <c r="C51" s="119"/>
      <c r="D51" s="119"/>
      <c r="E51" s="11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3"/>
      <c r="B52" s="114"/>
      <c r="C52" s="118"/>
      <c r="D52" s="118"/>
      <c r="E52" s="1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1"/>
      <c r="B53" s="112"/>
      <c r="C53" s="119"/>
      <c r="D53" s="119"/>
      <c r="E53" s="11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3"/>
      <c r="B54" s="114"/>
      <c r="C54" s="118"/>
      <c r="D54" s="118"/>
      <c r="E54" s="1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1"/>
      <c r="B55" s="112"/>
      <c r="C55" s="119"/>
      <c r="D55" s="119"/>
      <c r="E55" s="11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3"/>
      <c r="B56" s="114"/>
      <c r="C56" s="118"/>
      <c r="D56" s="118"/>
      <c r="E56" s="1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1"/>
      <c r="B57" s="112"/>
      <c r="C57" s="119"/>
      <c r="D57" s="119"/>
      <c r="E57" s="11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3"/>
      <c r="B58" s="114"/>
      <c r="C58" s="118"/>
      <c r="D58" s="118"/>
      <c r="E58" s="1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1"/>
      <c r="B59" s="112"/>
      <c r="C59" s="119"/>
      <c r="D59" s="119"/>
      <c r="E59" s="11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3"/>
      <c r="B60" s="114"/>
      <c r="C60" s="118"/>
      <c r="D60" s="118"/>
      <c r="E60" s="1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1"/>
      <c r="B61" s="112"/>
      <c r="C61" s="119"/>
      <c r="D61" s="119"/>
      <c r="E61" s="11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3"/>
      <c r="B62" s="114"/>
      <c r="C62" s="118"/>
      <c r="D62" s="118"/>
      <c r="E62" s="1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1"/>
      <c r="B63" s="112"/>
      <c r="C63" s="119"/>
      <c r="D63" s="119"/>
      <c r="E63" s="11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3"/>
      <c r="B64" s="114"/>
      <c r="C64" s="118"/>
      <c r="D64" s="118"/>
      <c r="E64" s="1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1"/>
      <c r="B65" s="112"/>
      <c r="C65" s="119"/>
      <c r="D65" s="119"/>
      <c r="E65" s="11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3"/>
      <c r="B66" s="114"/>
      <c r="C66" s="118"/>
      <c r="D66" s="118"/>
      <c r="E66" s="1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1"/>
      <c r="B67" s="112"/>
      <c r="C67" s="119"/>
      <c r="D67" s="119"/>
      <c r="E67" s="11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3"/>
      <c r="B68" s="114"/>
      <c r="C68" s="118"/>
      <c r="D68" s="118"/>
      <c r="E68" s="1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1"/>
      <c r="B69" s="112"/>
      <c r="C69" s="119"/>
      <c r="D69" s="119"/>
      <c r="E69" s="11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3"/>
      <c r="B70" s="114"/>
      <c r="C70" s="118"/>
      <c r="D70" s="118"/>
      <c r="E70" s="1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1"/>
      <c r="B71" s="112"/>
      <c r="C71" s="119"/>
      <c r="D71" s="119"/>
      <c r="E71" s="11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3"/>
      <c r="B72" s="114"/>
      <c r="C72" s="118"/>
      <c r="D72" s="118"/>
      <c r="E72" s="1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1"/>
      <c r="B73" s="112"/>
      <c r="C73" s="119"/>
      <c r="D73" s="119"/>
      <c r="E73" s="11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3"/>
      <c r="B74" s="114"/>
      <c r="C74" s="118"/>
      <c r="D74" s="118"/>
      <c r="E74" s="1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1"/>
      <c r="B75" s="112"/>
      <c r="C75" s="119"/>
      <c r="D75" s="119"/>
      <c r="E75" s="11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3"/>
      <c r="B76" s="114"/>
      <c r="C76" s="118"/>
      <c r="D76" s="118"/>
      <c r="E76" s="1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1"/>
      <c r="B77" s="112"/>
      <c r="C77" s="119"/>
      <c r="D77" s="119"/>
      <c r="E77" s="11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3"/>
      <c r="B78" s="114"/>
      <c r="C78" s="118"/>
      <c r="D78" s="118"/>
      <c r="E78" s="1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1"/>
      <c r="B79" s="112"/>
      <c r="C79" s="119"/>
      <c r="D79" s="119"/>
      <c r="E79" s="11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3"/>
      <c r="B80" s="114"/>
      <c r="C80" s="118"/>
      <c r="D80" s="118"/>
      <c r="E80" s="1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1"/>
      <c r="B81" s="112"/>
      <c r="C81" s="119"/>
      <c r="D81" s="119"/>
      <c r="E81" s="11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3"/>
      <c r="B82" s="114"/>
      <c r="C82" s="118"/>
      <c r="D82" s="118"/>
      <c r="E82" s="1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1"/>
      <c r="B83" s="112"/>
      <c r="C83" s="119"/>
      <c r="D83" s="119"/>
      <c r="E83" s="11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3"/>
      <c r="B84" s="114"/>
      <c r="C84" s="118"/>
      <c r="D84" s="118"/>
      <c r="E84" s="1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1"/>
      <c r="B85" s="112"/>
      <c r="C85" s="119"/>
      <c r="D85" s="119"/>
      <c r="E85" s="11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3"/>
      <c r="B86" s="114"/>
      <c r="C86" s="118"/>
      <c r="D86" s="118"/>
      <c r="E86" s="1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1"/>
      <c r="B87" s="112"/>
      <c r="C87" s="119"/>
      <c r="D87" s="119"/>
      <c r="E87" s="11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3"/>
      <c r="B88" s="114"/>
      <c r="C88" s="118"/>
      <c r="D88" s="118"/>
      <c r="E88" s="1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1"/>
      <c r="B89" s="112"/>
      <c r="C89" s="119"/>
      <c r="D89" s="119"/>
      <c r="E89" s="11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3"/>
      <c r="B90" s="114"/>
      <c r="C90" s="118"/>
      <c r="D90" s="118"/>
      <c r="E90" s="1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1"/>
      <c r="B91" s="112"/>
      <c r="C91" s="119"/>
      <c r="D91" s="119"/>
      <c r="E91" s="11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3"/>
      <c r="B92" s="114"/>
      <c r="C92" s="118"/>
      <c r="D92" s="118"/>
      <c r="E92" s="1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1"/>
      <c r="B93" s="112"/>
      <c r="C93" s="119"/>
      <c r="D93" s="119"/>
      <c r="E93" s="11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3"/>
      <c r="B94" s="114"/>
      <c r="C94" s="118"/>
      <c r="D94" s="118"/>
      <c r="E94" s="1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1"/>
      <c r="B95" s="112"/>
      <c r="C95" s="119"/>
      <c r="D95" s="119"/>
      <c r="E95" s="11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3"/>
      <c r="B96" s="114"/>
      <c r="C96" s="118"/>
      <c r="D96" s="118"/>
      <c r="E96" s="1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1"/>
      <c r="B97" s="112"/>
      <c r="C97" s="119"/>
      <c r="D97" s="119"/>
      <c r="E97" s="11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3"/>
      <c r="B98" s="114"/>
      <c r="C98" s="118"/>
      <c r="D98" s="118"/>
      <c r="E98" s="1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1"/>
      <c r="B99" s="112"/>
      <c r="C99" s="119"/>
      <c r="D99" s="119"/>
      <c r="E99" s="11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3"/>
      <c r="B100" s="114"/>
      <c r="C100" s="118"/>
      <c r="D100" s="118"/>
      <c r="E100" s="1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1"/>
      <c r="B101" s="112"/>
      <c r="C101" s="119"/>
      <c r="D101" s="119"/>
      <c r="E101" s="11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3"/>
      <c r="B102" s="114"/>
      <c r="C102" s="118"/>
      <c r="D102" s="118"/>
      <c r="E102" s="1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1"/>
      <c r="B103" s="112"/>
      <c r="C103" s="119"/>
      <c r="D103" s="119"/>
      <c r="E103" s="11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3"/>
      <c r="B104" s="114"/>
      <c r="C104" s="118"/>
      <c r="D104" s="118"/>
      <c r="E104" s="1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1"/>
      <c r="B105" s="112"/>
      <c r="C105" s="119"/>
      <c r="D105" s="119"/>
      <c r="E105" s="11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0" t="s">
        <v>248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1" t="s">
        <v>249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2" t="s">
        <v>250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3" t="s">
        <v>19</v>
      </c>
      <c r="B4" s="123" t="s">
        <v>251</v>
      </c>
      <c r="C4" s="123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4" t="s">
        <v>34</v>
      </c>
      <c r="B5" s="125" t="s">
        <v>252</v>
      </c>
      <c r="C5" s="126" t="s">
        <v>253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7" t="s">
        <v>25</v>
      </c>
      <c r="B6" s="128" t="s">
        <v>93</v>
      </c>
      <c r="C6" s="129" t="s">
        <v>254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0"/>
      <c r="B7" s="20"/>
      <c r="C7" s="130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1"/>
      <c r="B8" s="21"/>
      <c r="C8" s="13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0"/>
      <c r="B9" s="20"/>
      <c r="C9" s="130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1"/>
      <c r="B10" s="21"/>
      <c r="C10" s="13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0"/>
      <c r="B11" s="20"/>
      <c r="C11" s="130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1"/>
      <c r="B12" s="21"/>
      <c r="C12" s="131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0"/>
      <c r="B13" s="20"/>
      <c r="C13" s="130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1"/>
      <c r="B14" s="21"/>
      <c r="C14" s="13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